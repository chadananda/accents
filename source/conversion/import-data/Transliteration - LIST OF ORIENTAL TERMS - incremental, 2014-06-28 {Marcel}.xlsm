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DieseArbeitsmappe" defaultThemeVersion="124226"/>
  <bookViews>
    <workbookView xWindow="422" yWindow="0" windowWidth="5172" windowHeight="1055"/>
  </bookViews>
  <sheets>
    <sheet name="List" sheetId="1" r:id="rId1"/>
    <sheet name="List interface" sheetId="4" r:id="rId2"/>
    <sheet name="wrong spellings" sheetId="6" r:id="rId3"/>
    <sheet name="Allgemeine Fragen" sheetId="2" r:id="rId4"/>
    <sheet name="Log" sheetId="3" r:id="rId5"/>
    <sheet name="Tabelle1" sheetId="5" r:id="rId6"/>
    <sheet name="Tabelle2" sheetId="7" r:id="rId7"/>
  </sheets>
  <functionGroups/>
  <definedNames>
    <definedName name="_xlnm._FilterDatabase" localSheetId="0" hidden="1">List!$A$1:$AD$4256</definedName>
    <definedName name="BookID">'List interface'!$F$7</definedName>
    <definedName name="ColLang">'List interface'!$C$42</definedName>
    <definedName name="ColQues">'List interface'!$C$48</definedName>
    <definedName name="ColSour">'List interface'!$C$45</definedName>
    <definedName name="ColStat">'List interface'!$C$41</definedName>
    <definedName name="ColSubT">'List interface'!$C$43</definedName>
    <definedName name="ColTran">'List interface'!$C$37</definedName>
    <definedName name="deBookCountMatch">'List interface'!$W$60</definedName>
    <definedName name="deBookIDmatch">'List interface'!$W$59</definedName>
    <definedName name="deFlagged">'List interface'!$W$58</definedName>
    <definedName name="deLocalFeedback">'List interface'!$W$2</definedName>
    <definedName name="deXLSfeedback">'List interface'!$X$2</definedName>
    <definedName name="enBookCountMatch">'List interface'!$U$60</definedName>
    <definedName name="enBookIDmatch">'List interface'!$U$59</definedName>
    <definedName name="enFlagged">'List interface'!$U$58</definedName>
    <definedName name="enLocalFeedback">'List interface'!$U$2</definedName>
    <definedName name="enXLSfeedback">'List interface'!$V$2</definedName>
    <definedName name="FLE_SearchString" localSheetId="2">'wrong spellings'!$D$7</definedName>
    <definedName name="LastRow">'List interface'!$S$4</definedName>
    <definedName name="ListOfTerms">'List interface'!$D$5</definedName>
    <definedName name="ListStructure">'List interface'!$A$36:$E$49</definedName>
    <definedName name="LocalFeedback">'List interface'!$U$2</definedName>
    <definedName name="LocalInstruction">'List interface'!$F$10</definedName>
    <definedName name="LocalTermCount">'List interface'!$F$11</definedName>
    <definedName name="Names">'List interface'!$D$4:$D$33</definedName>
    <definedName name="OperateInRow">'List interface'!$S$2</definedName>
    <definedName name="ScriptAction">'List interface'!$R$2</definedName>
    <definedName name="StandardSaysSubst">'List interface'!$L$2</definedName>
    <definedName name="SubstHit">'List interface'!$F$9</definedName>
    <definedName name="SubstHitPlus">'List interface'!$F$31</definedName>
    <definedName name="Substitute">'List interface'!$F$25</definedName>
    <definedName name="SubstToTrans">'List interface'!$L$2</definedName>
    <definedName name="Term">'List interface'!$F$24</definedName>
    <definedName name="TextLanguage">'List interface'!$F$6</definedName>
    <definedName name="TransHit">'List interface'!$F$8</definedName>
    <definedName name="TransHitPlus">'List interface'!$F$30</definedName>
    <definedName name="UserLanguage">'List interface'!$F$2</definedName>
    <definedName name="Z_082D6A34_A611_47C0_9A79_03EA4C1633BB_.wvu.Cols" localSheetId="0" hidden="1">List!$I:$P</definedName>
    <definedName name="Z_082D6A34_A611_47C0_9A79_03EA4C1633BB_.wvu.FilterData" localSheetId="0" hidden="1">List!$A$1:$AD$4212</definedName>
  </definedNames>
  <calcPr calcId="125725"/>
  <customWorkbookViews>
    <customWorkbookView name="Marcel - Persönliche Ansicht" guid="{082D6A34-A611-47C0-9A79-03EA4C1633BB}" mergeInterval="0" personalView="1" maximized="1" xWindow="1" yWindow="1" windowWidth="3840" windowHeight="1995" tabRatio="358" activeSheetId="1"/>
  </customWorkbookViews>
</workbook>
</file>

<file path=xl/calcChain.xml><?xml version="1.0" encoding="utf-8"?>
<calcChain xmlns="http://schemas.openxmlformats.org/spreadsheetml/2006/main">
  <c r="I4256" i="1"/>
  <c r="R4256"/>
  <c r="J4256"/>
  <c r="N4256"/>
  <c r="P4256"/>
  <c r="K4256" l="1"/>
  <c r="C4256" s="1"/>
  <c r="I4255"/>
  <c r="R4255"/>
  <c r="I4254"/>
  <c r="R4254"/>
  <c r="J4255"/>
  <c r="N4255"/>
  <c r="P4255"/>
  <c r="J4254"/>
  <c r="N4254"/>
  <c r="P4254"/>
  <c r="K4254" l="1"/>
  <c r="C4254" s="1"/>
  <c r="K4255"/>
  <c r="C4255" s="1"/>
  <c r="I4253"/>
  <c r="R4253"/>
  <c r="I4252"/>
  <c r="R4252"/>
  <c r="I4251"/>
  <c r="R4251"/>
  <c r="I4250"/>
  <c r="R4250"/>
  <c r="I4249"/>
  <c r="R4249"/>
  <c r="I4248"/>
  <c r="R4248"/>
  <c r="I4247"/>
  <c r="R4247"/>
  <c r="I4246"/>
  <c r="R4246"/>
  <c r="I4245"/>
  <c r="R4245"/>
  <c r="I4244"/>
  <c r="R4244"/>
  <c r="I4243"/>
  <c r="R4243"/>
  <c r="I4242"/>
  <c r="R4242"/>
  <c r="I4241"/>
  <c r="R4241"/>
  <c r="I4240"/>
  <c r="R4240"/>
  <c r="I4239"/>
  <c r="R4239"/>
  <c r="I4238"/>
  <c r="R4238"/>
  <c r="I4237"/>
  <c r="R4237"/>
  <c r="J4253"/>
  <c r="N4253"/>
  <c r="P4253"/>
  <c r="J4252"/>
  <c r="N4252"/>
  <c r="P4252"/>
  <c r="J4251"/>
  <c r="N4251"/>
  <c r="P4251"/>
  <c r="J4250"/>
  <c r="N4250"/>
  <c r="P4250"/>
  <c r="J4249"/>
  <c r="N4249"/>
  <c r="P4249"/>
  <c r="J4248"/>
  <c r="N4248"/>
  <c r="P4248"/>
  <c r="J4247"/>
  <c r="N4247"/>
  <c r="P4247"/>
  <c r="J4246"/>
  <c r="N4246"/>
  <c r="P4246"/>
  <c r="J4245"/>
  <c r="N4245"/>
  <c r="P4245"/>
  <c r="J4244"/>
  <c r="N4244"/>
  <c r="P4244"/>
  <c r="J4243"/>
  <c r="N4243"/>
  <c r="P4243"/>
  <c r="J4242"/>
  <c r="N4242"/>
  <c r="P4242"/>
  <c r="J4241"/>
  <c r="N4241"/>
  <c r="P4241"/>
  <c r="J4240"/>
  <c r="N4240"/>
  <c r="P4240"/>
  <c r="J4239"/>
  <c r="N4239"/>
  <c r="P4239"/>
  <c r="J4237"/>
  <c r="N4237"/>
  <c r="P4237"/>
  <c r="J4238"/>
  <c r="N4238"/>
  <c r="P4238"/>
  <c r="K4239" l="1"/>
  <c r="C4239" s="1"/>
  <c r="K4240"/>
  <c r="C4240" s="1"/>
  <c r="K4241"/>
  <c r="C4241" s="1"/>
  <c r="K4242"/>
  <c r="C4242" s="1"/>
  <c r="K4243"/>
  <c r="C4243" s="1"/>
  <c r="K4244"/>
  <c r="C4244" s="1"/>
  <c r="K4245"/>
  <c r="C4245" s="1"/>
  <c r="K4246"/>
  <c r="C4246" s="1"/>
  <c r="K4247"/>
  <c r="C4247" s="1"/>
  <c r="K4248"/>
  <c r="C4248" s="1"/>
  <c r="K4249"/>
  <c r="C4249" s="1"/>
  <c r="K4250"/>
  <c r="C4250" s="1"/>
  <c r="K4251"/>
  <c r="C4251" s="1"/>
  <c r="K4252"/>
  <c r="C4252" s="1"/>
  <c r="K4253"/>
  <c r="C4253" s="1"/>
  <c r="K4237"/>
  <c r="C4237" s="1"/>
  <c r="K4238"/>
  <c r="C4238" s="1"/>
  <c r="I4236"/>
  <c r="R4236"/>
  <c r="I4235"/>
  <c r="R4235"/>
  <c r="I4234"/>
  <c r="R4234"/>
  <c r="O4" i="6"/>
  <c r="O5"/>
  <c r="D18" i="4"/>
  <c r="V100" i="6"/>
  <c r="J4236" i="1"/>
  <c r="N4236"/>
  <c r="P4236"/>
  <c r="J4234"/>
  <c r="N4234"/>
  <c r="P4234"/>
  <c r="J4235"/>
  <c r="N4235"/>
  <c r="P4235"/>
  <c r="K4236" l="1"/>
  <c r="C4236" s="1"/>
  <c r="K4234"/>
  <c r="C4234" s="1"/>
  <c r="K4235"/>
  <c r="C4235" s="1"/>
  <c r="W100" i="6"/>
  <c r="U100"/>
  <c r="Q100"/>
  <c r="O100"/>
  <c r="M100"/>
  <c r="V99"/>
  <c r="W99" l="1"/>
  <c r="U99"/>
  <c r="Q99"/>
  <c r="O99"/>
  <c r="M99"/>
  <c r="V98"/>
  <c r="W98" l="1"/>
  <c r="U98"/>
  <c r="Q98"/>
  <c r="O98"/>
  <c r="M98"/>
  <c r="V97"/>
  <c r="W97" l="1"/>
  <c r="U97"/>
  <c r="Q97"/>
  <c r="O97"/>
  <c r="M97"/>
  <c r="V96"/>
  <c r="W96" l="1"/>
  <c r="U96"/>
  <c r="Q96"/>
  <c r="O96"/>
  <c r="M96"/>
  <c r="V95"/>
  <c r="W95" l="1"/>
  <c r="U95"/>
  <c r="Q95"/>
  <c r="O95"/>
  <c r="M95"/>
  <c r="V94"/>
  <c r="W94" l="1"/>
  <c r="U94"/>
  <c r="Q94"/>
  <c r="O94"/>
  <c r="M94"/>
  <c r="V93"/>
  <c r="W93" l="1"/>
  <c r="U93"/>
  <c r="Q93"/>
  <c r="O93"/>
  <c r="M93"/>
  <c r="V92"/>
  <c r="W92" l="1"/>
  <c r="U92"/>
  <c r="Q92"/>
  <c r="O92"/>
  <c r="M92"/>
  <c r="V91"/>
  <c r="W91" l="1"/>
  <c r="U91"/>
  <c r="Q91"/>
  <c r="O91"/>
  <c r="M91"/>
  <c r="V90"/>
  <c r="W90" l="1"/>
  <c r="U90"/>
  <c r="Q90"/>
  <c r="O90"/>
  <c r="M90"/>
  <c r="V89"/>
  <c r="W89" l="1"/>
  <c r="U89"/>
  <c r="Q89"/>
  <c r="O89"/>
  <c r="M89"/>
  <c r="V88"/>
  <c r="W88" l="1"/>
  <c r="U88"/>
  <c r="Q88"/>
  <c r="O88"/>
  <c r="M88"/>
  <c r="V87"/>
  <c r="W87" l="1"/>
  <c r="U87"/>
  <c r="Q87"/>
  <c r="O87"/>
  <c r="M87"/>
  <c r="V86"/>
  <c r="W86" l="1"/>
  <c r="U86"/>
  <c r="Q86"/>
  <c r="O86"/>
  <c r="M86"/>
  <c r="V85"/>
  <c r="W85" l="1"/>
  <c r="U85"/>
  <c r="Q85"/>
  <c r="O85"/>
  <c r="M85"/>
  <c r="V84"/>
  <c r="W84" l="1"/>
  <c r="U84"/>
  <c r="Q84"/>
  <c r="O84"/>
  <c r="M84"/>
  <c r="V83"/>
  <c r="W83" l="1"/>
  <c r="U83"/>
  <c r="Q83"/>
  <c r="O83"/>
  <c r="M83"/>
  <c r="V82"/>
  <c r="W82" l="1"/>
  <c r="U82"/>
  <c r="Q82"/>
  <c r="O82"/>
  <c r="M82"/>
  <c r="V81"/>
  <c r="W81" l="1"/>
  <c r="U81"/>
  <c r="Q81"/>
  <c r="O81"/>
  <c r="M81"/>
  <c r="V80"/>
  <c r="W80" l="1"/>
  <c r="U80"/>
  <c r="Q80"/>
  <c r="O80"/>
  <c r="M80"/>
  <c r="V79"/>
  <c r="W79" l="1"/>
  <c r="U79"/>
  <c r="Q79"/>
  <c r="O79"/>
  <c r="M79"/>
  <c r="V78"/>
  <c r="W78" l="1"/>
  <c r="U78"/>
  <c r="Q78"/>
  <c r="O78"/>
  <c r="M78"/>
  <c r="V77"/>
  <c r="W77" l="1"/>
  <c r="U77"/>
  <c r="Q77"/>
  <c r="O77"/>
  <c r="M77"/>
  <c r="V76"/>
  <c r="W76" l="1"/>
  <c r="U76"/>
  <c r="Q76"/>
  <c r="O76"/>
  <c r="M76"/>
  <c r="V75"/>
  <c r="W75" l="1"/>
  <c r="U75"/>
  <c r="Q75"/>
  <c r="O75"/>
  <c r="M75"/>
  <c r="V74"/>
  <c r="W74" l="1"/>
  <c r="U74"/>
  <c r="Q74"/>
  <c r="O74"/>
  <c r="M74"/>
  <c r="V73"/>
  <c r="W73" l="1"/>
  <c r="U73"/>
  <c r="Q73"/>
  <c r="O73"/>
  <c r="M73"/>
  <c r="V72"/>
  <c r="W72" l="1"/>
  <c r="U72"/>
  <c r="Q72"/>
  <c r="O72"/>
  <c r="M72"/>
  <c r="V71"/>
  <c r="W71" l="1"/>
  <c r="U71"/>
  <c r="Q71"/>
  <c r="O71"/>
  <c r="M71"/>
  <c r="V70"/>
  <c r="W70" l="1"/>
  <c r="U70"/>
  <c r="Q70"/>
  <c r="O70"/>
  <c r="M70"/>
  <c r="V69"/>
  <c r="W69" l="1"/>
  <c r="U69"/>
  <c r="Q69"/>
  <c r="O69"/>
  <c r="M69"/>
  <c r="V68"/>
  <c r="W68" l="1"/>
  <c r="U68"/>
  <c r="Q68"/>
  <c r="O68"/>
  <c r="M68"/>
  <c r="V67"/>
  <c r="W67" l="1"/>
  <c r="U67"/>
  <c r="Q67"/>
  <c r="O67"/>
  <c r="M67"/>
  <c r="V66"/>
  <c r="W66" l="1"/>
  <c r="U66"/>
  <c r="Q66"/>
  <c r="O66"/>
  <c r="M66"/>
  <c r="V65"/>
  <c r="W65" l="1"/>
  <c r="U65"/>
  <c r="Q65"/>
  <c r="O65"/>
  <c r="M65"/>
  <c r="V64"/>
  <c r="W64" l="1"/>
  <c r="U64"/>
  <c r="Q64"/>
  <c r="O64"/>
  <c r="M64"/>
  <c r="V63"/>
  <c r="W63" l="1"/>
  <c r="U63"/>
  <c r="Q63"/>
  <c r="O63"/>
  <c r="M63"/>
  <c r="V62"/>
  <c r="W62" l="1"/>
  <c r="U62"/>
  <c r="Q62"/>
  <c r="O62"/>
  <c r="M62"/>
  <c r="V61"/>
  <c r="W61" l="1"/>
  <c r="U61"/>
  <c r="Q61"/>
  <c r="O61"/>
  <c r="M61"/>
  <c r="V60"/>
  <c r="W60" l="1"/>
  <c r="U60"/>
  <c r="Q60"/>
  <c r="O60"/>
  <c r="M60"/>
  <c r="V59"/>
  <c r="W59" l="1"/>
  <c r="U59"/>
  <c r="Q59"/>
  <c r="O59"/>
  <c r="M59"/>
  <c r="V58"/>
  <c r="W58" l="1"/>
  <c r="U58"/>
  <c r="Q58"/>
  <c r="O58"/>
  <c r="M58"/>
  <c r="V57"/>
  <c r="W57" l="1"/>
  <c r="U57"/>
  <c r="Q57"/>
  <c r="O57"/>
  <c r="M57"/>
  <c r="V56"/>
  <c r="W56" l="1"/>
  <c r="U56"/>
  <c r="Q56"/>
  <c r="O56"/>
  <c r="M56"/>
  <c r="V55"/>
  <c r="W55" l="1"/>
  <c r="U55"/>
  <c r="Q55"/>
  <c r="O55"/>
  <c r="M55"/>
  <c r="V54"/>
  <c r="W54" l="1"/>
  <c r="U54"/>
  <c r="Q54"/>
  <c r="O54"/>
  <c r="M54"/>
  <c r="V53"/>
  <c r="W53" l="1"/>
  <c r="U53"/>
  <c r="Q53"/>
  <c r="O53"/>
  <c r="M53"/>
  <c r="V52"/>
  <c r="W52" l="1"/>
  <c r="U52"/>
  <c r="Q52"/>
  <c r="O52"/>
  <c r="M52"/>
  <c r="V51"/>
  <c r="W51" l="1"/>
  <c r="U51"/>
  <c r="Q51"/>
  <c r="O51"/>
  <c r="M51"/>
  <c r="V50"/>
  <c r="W50" l="1"/>
  <c r="U50"/>
  <c r="Q50"/>
  <c r="O50"/>
  <c r="M50"/>
  <c r="V49"/>
  <c r="W49" l="1"/>
  <c r="U49"/>
  <c r="Q49"/>
  <c r="O49"/>
  <c r="M49"/>
  <c r="V48"/>
  <c r="W48" l="1"/>
  <c r="U48"/>
  <c r="Q48"/>
  <c r="O48"/>
  <c r="M48"/>
  <c r="V47"/>
  <c r="W47" l="1"/>
  <c r="U47"/>
  <c r="Q47"/>
  <c r="O47"/>
  <c r="M47"/>
  <c r="V46"/>
  <c r="W46" l="1"/>
  <c r="U46"/>
  <c r="Q46"/>
  <c r="O46"/>
  <c r="M46"/>
  <c r="V45"/>
  <c r="W45" l="1"/>
  <c r="U45"/>
  <c r="Q45"/>
  <c r="O45"/>
  <c r="M45"/>
  <c r="V44"/>
  <c r="W44" l="1"/>
  <c r="U44"/>
  <c r="Q44"/>
  <c r="O44"/>
  <c r="M44"/>
  <c r="V43"/>
  <c r="W43" l="1"/>
  <c r="U43"/>
  <c r="Q43"/>
  <c r="O43"/>
  <c r="M43"/>
  <c r="V42"/>
  <c r="W42" l="1"/>
  <c r="U42"/>
  <c r="Q42"/>
  <c r="O42"/>
  <c r="M42"/>
  <c r="V41"/>
  <c r="W41" l="1"/>
  <c r="U41"/>
  <c r="Q41"/>
  <c r="O41"/>
  <c r="M41"/>
  <c r="V40"/>
  <c r="W40" l="1"/>
  <c r="U40"/>
  <c r="Q40"/>
  <c r="O40"/>
  <c r="M40"/>
  <c r="V39"/>
  <c r="W39" l="1"/>
  <c r="U39"/>
  <c r="Q39"/>
  <c r="O39"/>
  <c r="M39"/>
  <c r="V38"/>
  <c r="W38" l="1"/>
  <c r="U38"/>
  <c r="Q38"/>
  <c r="O38"/>
  <c r="M38"/>
  <c r="V37"/>
  <c r="W37" l="1"/>
  <c r="U37"/>
  <c r="Q37"/>
  <c r="O37"/>
  <c r="M37"/>
  <c r="V36"/>
  <c r="W36" l="1"/>
  <c r="U36"/>
  <c r="Q36"/>
  <c r="O36"/>
  <c r="M36"/>
  <c r="V35"/>
  <c r="W35" l="1"/>
  <c r="U35"/>
  <c r="Q35"/>
  <c r="O35"/>
  <c r="M35"/>
  <c r="V34"/>
  <c r="W34" l="1"/>
  <c r="U34"/>
  <c r="Q34"/>
  <c r="O34"/>
  <c r="M34"/>
  <c r="V33"/>
  <c r="W33" l="1"/>
  <c r="U33"/>
  <c r="Q33"/>
  <c r="O33"/>
  <c r="M33"/>
  <c r="V32"/>
  <c r="W32" l="1"/>
  <c r="U32"/>
  <c r="Q32"/>
  <c r="O32"/>
  <c r="M32"/>
  <c r="V31"/>
  <c r="W31" l="1"/>
  <c r="U31"/>
  <c r="Q31"/>
  <c r="O31"/>
  <c r="M31"/>
  <c r="V30"/>
  <c r="W30" l="1"/>
  <c r="U30"/>
  <c r="Q30"/>
  <c r="O30"/>
  <c r="M30"/>
  <c r="V29"/>
  <c r="W29" l="1"/>
  <c r="U29"/>
  <c r="Q29"/>
  <c r="O29"/>
  <c r="M29"/>
  <c r="V28"/>
  <c r="W28" l="1"/>
  <c r="U28"/>
  <c r="Q28"/>
  <c r="O28"/>
  <c r="M28"/>
  <c r="V27"/>
  <c r="W27" l="1"/>
  <c r="U27"/>
  <c r="Q27"/>
  <c r="O27"/>
  <c r="M27"/>
  <c r="V26"/>
  <c r="W26" l="1"/>
  <c r="U26"/>
  <c r="Q26"/>
  <c r="O26"/>
  <c r="M26"/>
  <c r="V25"/>
  <c r="W25" l="1"/>
  <c r="U25"/>
  <c r="Q25"/>
  <c r="O25"/>
  <c r="M25"/>
  <c r="V24"/>
  <c r="W24" l="1"/>
  <c r="U24"/>
  <c r="Q24"/>
  <c r="O24"/>
  <c r="M24"/>
  <c r="V23"/>
  <c r="W23" l="1"/>
  <c r="U23"/>
  <c r="Q23"/>
  <c r="O23"/>
  <c r="M23"/>
  <c r="V22"/>
  <c r="W22" l="1"/>
  <c r="U22"/>
  <c r="Q22"/>
  <c r="O22"/>
  <c r="M22"/>
  <c r="V21"/>
  <c r="W21" l="1"/>
  <c r="U21"/>
  <c r="Q21"/>
  <c r="O21"/>
  <c r="M21"/>
  <c r="V20"/>
  <c r="W20" l="1"/>
  <c r="U20"/>
  <c r="Q20"/>
  <c r="O20"/>
  <c r="M20"/>
  <c r="V19"/>
  <c r="W19" l="1"/>
  <c r="U19"/>
  <c r="Q19"/>
  <c r="O19"/>
  <c r="M19"/>
  <c r="V18"/>
  <c r="W18" l="1"/>
  <c r="U18"/>
  <c r="Q18"/>
  <c r="O18"/>
  <c r="M18"/>
  <c r="V17"/>
  <c r="W17" l="1"/>
  <c r="U17"/>
  <c r="Q17"/>
  <c r="O17"/>
  <c r="M17"/>
  <c r="V16"/>
  <c r="W16" l="1"/>
  <c r="U16"/>
  <c r="Q16"/>
  <c r="O16"/>
  <c r="M16"/>
  <c r="V15"/>
  <c r="W15" l="1"/>
  <c r="U15"/>
  <c r="Q15"/>
  <c r="O15"/>
  <c r="M15"/>
  <c r="V14"/>
  <c r="W14" l="1"/>
  <c r="U14"/>
  <c r="Q14"/>
  <c r="O14"/>
  <c r="M14"/>
  <c r="V13"/>
  <c r="W13" l="1"/>
  <c r="U13"/>
  <c r="Q13"/>
  <c r="O13"/>
  <c r="M13"/>
  <c r="V12"/>
  <c r="W12" l="1"/>
  <c r="U12"/>
  <c r="Q12"/>
  <c r="O12"/>
  <c r="M12"/>
  <c r="V11"/>
  <c r="W11" l="1"/>
  <c r="U11"/>
  <c r="Q11"/>
  <c r="O11"/>
  <c r="M11"/>
  <c r="V10"/>
  <c r="W10" l="1"/>
  <c r="U10"/>
  <c r="Q10"/>
  <c r="O10"/>
  <c r="M10"/>
  <c r="V9"/>
  <c r="W9" l="1"/>
  <c r="U9"/>
  <c r="Q9"/>
  <c r="O9"/>
  <c r="M9"/>
  <c r="V8"/>
  <c r="W8" l="1"/>
  <c r="U8"/>
  <c r="Q8"/>
  <c r="O8"/>
  <c r="M8"/>
  <c r="V7"/>
  <c r="W7" l="1"/>
  <c r="U7"/>
  <c r="Q7"/>
  <c r="O7"/>
  <c r="M7"/>
  <c r="V6"/>
  <c r="W6" l="1"/>
  <c r="U6"/>
  <c r="Q6"/>
  <c r="O6"/>
  <c r="M6"/>
  <c r="V5"/>
  <c r="W5" l="1"/>
  <c r="U5"/>
  <c r="Q5"/>
  <c r="Q4"/>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M5"/>
  <c r="M4"/>
  <c r="E100"/>
  <c r="E99"/>
  <c r="E98"/>
  <c r="E97"/>
  <c r="E96"/>
  <c r="E95"/>
  <c r="E94"/>
  <c r="E93"/>
  <c r="E92"/>
  <c r="E91"/>
  <c r="E90"/>
  <c r="E89"/>
  <c r="E88"/>
  <c r="E87"/>
  <c r="E86"/>
  <c r="E85"/>
  <c r="E84"/>
  <c r="E83"/>
  <c r="E82"/>
  <c r="E81"/>
  <c r="E80"/>
  <c r="E79"/>
  <c r="E78"/>
  <c r="E77"/>
  <c r="E76"/>
  <c r="E75"/>
  <c r="E74"/>
  <c r="E73"/>
  <c r="E72"/>
  <c r="E71"/>
  <c r="E70"/>
  <c r="E69"/>
  <c r="E68"/>
  <c r="E67"/>
  <c r="E66"/>
  <c r="E65"/>
  <c r="E64"/>
  <c r="E63"/>
  <c r="E62"/>
  <c r="E61"/>
  <c r="E60"/>
  <c r="E59"/>
  <c r="E58"/>
  <c r="E57"/>
  <c r="E56"/>
  <c r="E55"/>
  <c r="E54"/>
  <c r="E53"/>
  <c r="E52"/>
  <c r="E51"/>
  <c r="E50"/>
  <c r="E49"/>
  <c r="E48"/>
  <c r="E47"/>
  <c r="E46"/>
  <c r="E45"/>
  <c r="E44"/>
  <c r="E43"/>
  <c r="E42"/>
  <c r="E41"/>
  <c r="E40"/>
  <c r="E39"/>
  <c r="E38"/>
  <c r="E37"/>
  <c r="E36"/>
  <c r="E35"/>
  <c r="E34"/>
  <c r="E33"/>
  <c r="E32"/>
  <c r="E31"/>
  <c r="E30"/>
  <c r="E29"/>
  <c r="E28"/>
  <c r="E27"/>
  <c r="E26"/>
  <c r="E25"/>
  <c r="E24"/>
  <c r="E23"/>
  <c r="E22"/>
  <c r="E21"/>
  <c r="E20"/>
  <c r="E19"/>
  <c r="E18"/>
  <c r="E17"/>
  <c r="E16"/>
  <c r="E15"/>
  <c r="E14"/>
  <c r="E13"/>
  <c r="E12"/>
  <c r="E11"/>
  <c r="E10"/>
  <c r="E9"/>
  <c r="E8"/>
  <c r="E5"/>
  <c r="V4"/>
  <c r="E7"/>
  <c r="E6"/>
  <c r="W4" l="1"/>
  <c r="U4"/>
  <c r="C4"/>
  <c r="E4"/>
  <c r="E3"/>
  <c r="Q3" l="1"/>
  <c r="O3"/>
  <c r="M3"/>
  <c r="V3"/>
  <c r="W3" l="1"/>
  <c r="U3"/>
  <c r="C3"/>
  <c r="I4233" i="1" l="1"/>
  <c r="R4233"/>
  <c r="I4232"/>
  <c r="R4232"/>
  <c r="I4231"/>
  <c r="R4231"/>
  <c r="I4230"/>
  <c r="R4230"/>
  <c r="I4229"/>
  <c r="R4229"/>
  <c r="I4228"/>
  <c r="R4228"/>
  <c r="I4227"/>
  <c r="R4227"/>
  <c r="I4226"/>
  <c r="R4226"/>
  <c r="J4233"/>
  <c r="N4233"/>
  <c r="P4233"/>
  <c r="J4232"/>
  <c r="N4232"/>
  <c r="P4232"/>
  <c r="J4231"/>
  <c r="N4231"/>
  <c r="P4231"/>
  <c r="J4230"/>
  <c r="N4230"/>
  <c r="P4230"/>
  <c r="J4229"/>
  <c r="N4229"/>
  <c r="P4229"/>
  <c r="J4228"/>
  <c r="N4228"/>
  <c r="P4228"/>
  <c r="J4227"/>
  <c r="N4227"/>
  <c r="P4227"/>
  <c r="J4226"/>
  <c r="N4226"/>
  <c r="P4226"/>
  <c r="K4227" l="1"/>
  <c r="C4227" s="1"/>
  <c r="K4228"/>
  <c r="C4228" s="1"/>
  <c r="K4229"/>
  <c r="C4229" s="1"/>
  <c r="K4230"/>
  <c r="C4230" s="1"/>
  <c r="K4231"/>
  <c r="C4231" s="1"/>
  <c r="K4232"/>
  <c r="C4232" s="1"/>
  <c r="K4233"/>
  <c r="C4233" s="1"/>
  <c r="K4226"/>
  <c r="C4226" s="1"/>
  <c r="X18" i="4"/>
  <c r="W18"/>
  <c r="V18"/>
  <c r="U11"/>
  <c r="U9"/>
  <c r="U10"/>
  <c r="W14"/>
  <c r="W13"/>
  <c r="W12"/>
  <c r="W11"/>
  <c r="W10"/>
  <c r="W9"/>
  <c r="W4"/>
  <c r="S17" l="1"/>
  <c r="S16"/>
  <c r="S15"/>
  <c r="R17"/>
  <c r="R16"/>
  <c r="R15"/>
  <c r="R11"/>
  <c r="R10"/>
  <c r="R9"/>
  <c r="U18"/>
  <c r="U15"/>
  <c r="V12"/>
  <c r="X12"/>
  <c r="X15"/>
  <c r="X17" s="1"/>
  <c r="W15"/>
  <c r="W17" s="1"/>
  <c r="V15"/>
  <c r="V17" s="1"/>
  <c r="U17"/>
  <c r="X14"/>
  <c r="V14"/>
  <c r="V13"/>
  <c r="S11"/>
  <c r="S10"/>
  <c r="S9"/>
  <c r="U16" l="1"/>
  <c r="V16"/>
  <c r="W16"/>
  <c r="X16"/>
  <c r="X13"/>
  <c r="K1"/>
  <c r="K2" s="1"/>
  <c r="I2"/>
  <c r="J2"/>
  <c r="M2" l="1"/>
  <c r="U3"/>
  <c r="W3"/>
  <c r="R4"/>
  <c r="U5"/>
  <c r="W5"/>
  <c r="U6"/>
  <c r="W6"/>
  <c r="R7"/>
  <c r="U8"/>
  <c r="W8"/>
  <c r="R12"/>
  <c r="S12"/>
  <c r="R13"/>
  <c r="S13"/>
  <c r="R14"/>
  <c r="S14"/>
  <c r="R18"/>
  <c r="S18"/>
  <c r="R19"/>
  <c r="S19"/>
  <c r="U19"/>
  <c r="V19"/>
  <c r="W19"/>
  <c r="X19"/>
  <c r="R20"/>
  <c r="S20"/>
  <c r="U20"/>
  <c r="V20"/>
  <c r="W20"/>
  <c r="X20"/>
  <c r="R21"/>
  <c r="S21"/>
  <c r="V21"/>
  <c r="R22"/>
  <c r="S22"/>
  <c r="V22"/>
  <c r="R23"/>
  <c r="S23"/>
  <c r="V23"/>
  <c r="R24"/>
  <c r="S24"/>
  <c r="U24"/>
  <c r="V24"/>
  <c r="W24"/>
  <c r="X24"/>
  <c r="R25"/>
  <c r="S25"/>
  <c r="U25"/>
  <c r="V25"/>
  <c r="W25"/>
  <c r="X25"/>
  <c r="R26"/>
  <c r="S26"/>
  <c r="U26"/>
  <c r="V26"/>
  <c r="W26"/>
  <c r="X26"/>
  <c r="R27"/>
  <c r="S27"/>
  <c r="R28"/>
  <c r="S28"/>
  <c r="R29"/>
  <c r="S29"/>
  <c r="R30"/>
  <c r="S30"/>
  <c r="R31"/>
  <c r="S31"/>
  <c r="R32"/>
  <c r="S32"/>
  <c r="R33"/>
  <c r="S33"/>
  <c r="U33"/>
  <c r="V33"/>
  <c r="W33"/>
  <c r="X33"/>
  <c r="R34"/>
  <c r="S34"/>
  <c r="U34"/>
  <c r="V34"/>
  <c r="W34"/>
  <c r="X34"/>
  <c r="R35"/>
  <c r="S35"/>
  <c r="U35"/>
  <c r="V35"/>
  <c r="W35"/>
  <c r="X35"/>
  <c r="U36"/>
  <c r="W36"/>
  <c r="U37"/>
  <c r="W37"/>
  <c r="U38"/>
  <c r="W38"/>
  <c r="R39"/>
  <c r="S39"/>
  <c r="U39"/>
  <c r="V39"/>
  <c r="W39"/>
  <c r="X39"/>
  <c r="R40"/>
  <c r="S40"/>
  <c r="U40"/>
  <c r="V40"/>
  <c r="W40"/>
  <c r="X40"/>
  <c r="R41"/>
  <c r="S41"/>
  <c r="U41"/>
  <c r="V41"/>
  <c r="W41"/>
  <c r="X41"/>
  <c r="U42"/>
  <c r="W42"/>
  <c r="U43"/>
  <c r="W43"/>
  <c r="U44"/>
  <c r="W44"/>
  <c r="R45"/>
  <c r="S45"/>
  <c r="R46"/>
  <c r="S46"/>
  <c r="R47"/>
  <c r="S47"/>
  <c r="R48"/>
  <c r="S48"/>
  <c r="U48"/>
  <c r="V48"/>
  <c r="W48"/>
  <c r="X48"/>
  <c r="R49"/>
  <c r="S49"/>
  <c r="U49"/>
  <c r="V49"/>
  <c r="W49"/>
  <c r="X49"/>
  <c r="R50"/>
  <c r="S50"/>
  <c r="U50"/>
  <c r="V50"/>
  <c r="W50"/>
  <c r="X50"/>
  <c r="R51"/>
  <c r="S51"/>
  <c r="R52"/>
  <c r="S52"/>
  <c r="R53"/>
  <c r="S53"/>
  <c r="R54"/>
  <c r="S54"/>
  <c r="U54"/>
  <c r="V54"/>
  <c r="W54"/>
  <c r="X54"/>
  <c r="R55"/>
  <c r="S55"/>
  <c r="U55"/>
  <c r="V55"/>
  <c r="W55"/>
  <c r="X55"/>
  <c r="R56"/>
  <c r="S56"/>
  <c r="U56"/>
  <c r="V56"/>
  <c r="W56"/>
  <c r="X56"/>
  <c r="E23" l="1"/>
  <c r="D15"/>
  <c r="D14"/>
  <c r="N4224" i="1"/>
  <c r="N4223"/>
  <c r="N4222"/>
  <c r="N4221"/>
  <c r="N4220"/>
  <c r="N4219"/>
  <c r="N4218"/>
  <c r="N4217"/>
  <c r="N4216"/>
  <c r="N4215"/>
  <c r="N4214"/>
  <c r="N4213"/>
  <c r="N4212"/>
  <c r="N4211"/>
  <c r="N4210"/>
  <c r="N4209"/>
  <c r="N4208"/>
  <c r="N4207"/>
  <c r="N4206"/>
  <c r="N4205"/>
  <c r="N4204"/>
  <c r="N4203"/>
  <c r="N4202"/>
  <c r="N4201"/>
  <c r="N4200"/>
  <c r="N4199"/>
  <c r="N4198"/>
  <c r="N4197"/>
  <c r="N4196"/>
  <c r="N4195"/>
  <c r="N4194"/>
  <c r="N4193"/>
  <c r="N4192"/>
  <c r="N4191"/>
  <c r="N4190"/>
  <c r="N4189"/>
  <c r="N4188"/>
  <c r="N4187"/>
  <c r="N4186"/>
  <c r="N4185"/>
  <c r="N4184"/>
  <c r="N4183"/>
  <c r="N4182"/>
  <c r="N4181"/>
  <c r="N4180"/>
  <c r="N4179"/>
  <c r="N4178"/>
  <c r="N4177"/>
  <c r="N4176"/>
  <c r="N4175"/>
  <c r="N4174"/>
  <c r="N4173"/>
  <c r="N4172"/>
  <c r="N4171"/>
  <c r="N4170"/>
  <c r="N4169"/>
  <c r="N4168"/>
  <c r="N4167"/>
  <c r="N4166"/>
  <c r="N4165"/>
  <c r="N4164"/>
  <c r="N4163"/>
  <c r="N4162"/>
  <c r="N4161"/>
  <c r="N4160"/>
  <c r="N4159"/>
  <c r="N4158"/>
  <c r="N4157"/>
  <c r="N4156"/>
  <c r="N4155"/>
  <c r="N4154"/>
  <c r="N4153"/>
  <c r="N4152"/>
  <c r="N4151"/>
  <c r="N4150"/>
  <c r="N4149"/>
  <c r="N4148"/>
  <c r="N4147"/>
  <c r="N4146"/>
  <c r="N4145"/>
  <c r="N4144"/>
  <c r="N4143"/>
  <c r="N4142"/>
  <c r="N4141"/>
  <c r="N4140"/>
  <c r="N4139"/>
  <c r="N4138"/>
  <c r="N4137"/>
  <c r="N4136"/>
  <c r="N4135"/>
  <c r="N4134"/>
  <c r="N4133"/>
  <c r="N4132"/>
  <c r="N4131"/>
  <c r="N4130"/>
  <c r="N4129"/>
  <c r="N4128"/>
  <c r="N4127"/>
  <c r="N4126"/>
  <c r="N4125"/>
  <c r="N4124"/>
  <c r="N4123"/>
  <c r="N4122"/>
  <c r="N4121"/>
  <c r="N4120"/>
  <c r="N4119"/>
  <c r="N4118"/>
  <c r="N4117"/>
  <c r="N4116"/>
  <c r="N4115"/>
  <c r="N4114"/>
  <c r="N4113"/>
  <c r="N4112"/>
  <c r="N4111"/>
  <c r="N4110"/>
  <c r="N4109"/>
  <c r="N4108"/>
  <c r="N4107"/>
  <c r="N4106"/>
  <c r="N4105"/>
  <c r="N4104"/>
  <c r="N4103"/>
  <c r="N4102"/>
  <c r="N4101"/>
  <c r="N4100"/>
  <c r="N4099"/>
  <c r="N4098"/>
  <c r="N4097"/>
  <c r="N4096"/>
  <c r="N4095"/>
  <c r="N4094"/>
  <c r="N4093"/>
  <c r="N4092"/>
  <c r="N4091"/>
  <c r="N4090"/>
  <c r="N4089"/>
  <c r="N4088"/>
  <c r="N4087"/>
  <c r="N4086"/>
  <c r="N4085"/>
  <c r="N4084"/>
  <c r="N4083"/>
  <c r="N4082"/>
  <c r="N4081"/>
  <c r="N4080"/>
  <c r="N4079"/>
  <c r="N4078"/>
  <c r="N4077"/>
  <c r="N4076"/>
  <c r="N4075"/>
  <c r="N4074"/>
  <c r="N4073"/>
  <c r="N4072"/>
  <c r="N4071"/>
  <c r="N4070"/>
  <c r="N4069"/>
  <c r="N4068"/>
  <c r="N4067"/>
  <c r="N4066"/>
  <c r="N4065"/>
  <c r="N4064"/>
  <c r="N4063"/>
  <c r="N4062"/>
  <c r="N4061"/>
  <c r="N4060"/>
  <c r="N4059"/>
  <c r="N4058"/>
  <c r="N4057"/>
  <c r="N4056"/>
  <c r="N4055"/>
  <c r="N4054"/>
  <c r="N4053"/>
  <c r="N4052"/>
  <c r="N4051"/>
  <c r="N4050"/>
  <c r="N4049"/>
  <c r="N4048"/>
  <c r="N4047"/>
  <c r="N4046"/>
  <c r="N4045"/>
  <c r="N4044"/>
  <c r="N4043"/>
  <c r="N4042"/>
  <c r="N4041"/>
  <c r="N4040"/>
  <c r="N4039"/>
  <c r="N4038"/>
  <c r="N4037"/>
  <c r="N4036"/>
  <c r="N4035"/>
  <c r="N4034"/>
  <c r="N4033"/>
  <c r="N4032"/>
  <c r="N4031"/>
  <c r="N4030"/>
  <c r="N4029"/>
  <c r="N4028"/>
  <c r="N4027"/>
  <c r="N4026"/>
  <c r="N4025"/>
  <c r="N4024"/>
  <c r="N4023"/>
  <c r="N4022"/>
  <c r="N4021"/>
  <c r="N4020"/>
  <c r="N4019"/>
  <c r="N4018"/>
  <c r="N4017"/>
  <c r="N4016"/>
  <c r="N4015"/>
  <c r="N4014"/>
  <c r="N4013"/>
  <c r="N4012"/>
  <c r="N4011"/>
  <c r="N4010"/>
  <c r="N4009"/>
  <c r="N4008"/>
  <c r="N4007"/>
  <c r="N4006"/>
  <c r="N4005"/>
  <c r="N4004"/>
  <c r="N4003"/>
  <c r="N4002"/>
  <c r="N4001"/>
  <c r="N4000"/>
  <c r="N3999"/>
  <c r="N3998"/>
  <c r="N3997"/>
  <c r="N3996"/>
  <c r="N3995"/>
  <c r="N3994"/>
  <c r="N3993"/>
  <c r="N3992"/>
  <c r="N3991"/>
  <c r="N3990"/>
  <c r="N3989"/>
  <c r="N3988"/>
  <c r="N3987"/>
  <c r="N3986"/>
  <c r="N3985"/>
  <c r="N3984"/>
  <c r="N3983"/>
  <c r="N3982"/>
  <c r="N3981"/>
  <c r="N3980"/>
  <c r="N3979"/>
  <c r="N3978"/>
  <c r="N3977"/>
  <c r="N3976"/>
  <c r="N3975"/>
  <c r="N3974"/>
  <c r="N3973"/>
  <c r="N3972"/>
  <c r="N3971"/>
  <c r="N3970"/>
  <c r="N3969"/>
  <c r="N3968"/>
  <c r="N3967"/>
  <c r="N3966"/>
  <c r="N3965"/>
  <c r="N3964"/>
  <c r="N3963"/>
  <c r="N3962"/>
  <c r="N3961"/>
  <c r="N3960"/>
  <c r="N3959"/>
  <c r="N3958"/>
  <c r="N3957"/>
  <c r="N3956"/>
  <c r="N3955"/>
  <c r="N3954"/>
  <c r="N3953"/>
  <c r="N3952"/>
  <c r="N3951"/>
  <c r="N3950"/>
  <c r="N3949"/>
  <c r="N3948"/>
  <c r="N3947"/>
  <c r="N3946"/>
  <c r="N3945"/>
  <c r="N3944"/>
  <c r="N3943"/>
  <c r="N3942"/>
  <c r="N3941"/>
  <c r="N3940"/>
  <c r="N3939"/>
  <c r="N3938"/>
  <c r="N3937"/>
  <c r="N3936"/>
  <c r="N3935"/>
  <c r="N3934"/>
  <c r="N3933"/>
  <c r="N3932"/>
  <c r="N3931"/>
  <c r="N3930"/>
  <c r="N3929"/>
  <c r="N3928"/>
  <c r="N3927"/>
  <c r="N3926"/>
  <c r="N3925"/>
  <c r="N3924"/>
  <c r="N3923"/>
  <c r="N3922"/>
  <c r="N3921"/>
  <c r="N3920"/>
  <c r="N3919"/>
  <c r="N3918"/>
  <c r="N3917"/>
  <c r="N3916"/>
  <c r="N3915"/>
  <c r="N3914"/>
  <c r="N3913"/>
  <c r="N3912"/>
  <c r="N3911"/>
  <c r="N3910"/>
  <c r="N3909"/>
  <c r="N3908"/>
  <c r="N3907"/>
  <c r="N3906"/>
  <c r="N3905"/>
  <c r="N3904"/>
  <c r="N3903"/>
  <c r="N3902"/>
  <c r="N3901"/>
  <c r="N3900"/>
  <c r="N3899"/>
  <c r="N3898"/>
  <c r="N3897"/>
  <c r="N3896"/>
  <c r="N3895"/>
  <c r="N3894"/>
  <c r="N3893"/>
  <c r="N3892"/>
  <c r="N3891"/>
  <c r="N3890"/>
  <c r="N3889"/>
  <c r="N3888"/>
  <c r="N3887"/>
  <c r="N3886"/>
  <c r="N3885"/>
  <c r="N3884"/>
  <c r="N3883"/>
  <c r="N3882"/>
  <c r="N3881"/>
  <c r="N3880"/>
  <c r="N3879"/>
  <c r="N3878"/>
  <c r="N3877"/>
  <c r="N3876"/>
  <c r="N3875"/>
  <c r="N3874"/>
  <c r="N3873"/>
  <c r="N3872"/>
  <c r="N3871"/>
  <c r="N3870"/>
  <c r="N3869"/>
  <c r="N3868"/>
  <c r="N3867"/>
  <c r="N3866"/>
  <c r="N3865"/>
  <c r="N3864"/>
  <c r="N3863"/>
  <c r="N3862"/>
  <c r="N3861"/>
  <c r="N3860"/>
  <c r="N3859"/>
  <c r="N3858"/>
  <c r="N3857"/>
  <c r="N3856"/>
  <c r="N3855"/>
  <c r="N3854"/>
  <c r="N3853"/>
  <c r="N3852"/>
  <c r="N3851"/>
  <c r="N3850"/>
  <c r="N3849"/>
  <c r="N3848"/>
  <c r="N3847"/>
  <c r="N3846"/>
  <c r="N3845"/>
  <c r="N3844"/>
  <c r="N3843"/>
  <c r="N3842"/>
  <c r="N3841"/>
  <c r="N3840"/>
  <c r="N3839"/>
  <c r="N3838"/>
  <c r="N3837"/>
  <c r="N3836"/>
  <c r="N3835"/>
  <c r="N3834"/>
  <c r="N3833"/>
  <c r="N3832"/>
  <c r="N3831"/>
  <c r="N3830"/>
  <c r="N3829"/>
  <c r="N3828"/>
  <c r="N3827"/>
  <c r="N3826"/>
  <c r="N3825"/>
  <c r="N3824"/>
  <c r="N3823"/>
  <c r="N3822"/>
  <c r="N3821"/>
  <c r="N3820"/>
  <c r="N3819"/>
  <c r="N3818"/>
  <c r="N3817"/>
  <c r="N3816"/>
  <c r="N3815"/>
  <c r="N3814"/>
  <c r="N3813"/>
  <c r="N3812"/>
  <c r="N3811"/>
  <c r="N3810"/>
  <c r="N3809"/>
  <c r="N3808"/>
  <c r="N3807"/>
  <c r="N3806"/>
  <c r="N3805"/>
  <c r="N3804"/>
  <c r="N3803"/>
  <c r="N3802"/>
  <c r="N3801"/>
  <c r="N3800"/>
  <c r="N3799"/>
  <c r="N3798"/>
  <c r="N3797"/>
  <c r="N3796"/>
  <c r="N3795"/>
  <c r="N3794"/>
  <c r="N3793"/>
  <c r="N3792"/>
  <c r="N3791"/>
  <c r="N3790"/>
  <c r="N3789"/>
  <c r="N3788"/>
  <c r="N3787"/>
  <c r="N3786"/>
  <c r="N3785"/>
  <c r="N3784"/>
  <c r="N3783"/>
  <c r="N3782"/>
  <c r="N3781"/>
  <c r="N3780"/>
  <c r="N3779"/>
  <c r="N3778"/>
  <c r="N3777"/>
  <c r="N3776"/>
  <c r="N3775"/>
  <c r="N3774"/>
  <c r="N3773"/>
  <c r="N3772"/>
  <c r="N3771"/>
  <c r="N3770"/>
  <c r="N3769"/>
  <c r="N3768"/>
  <c r="N3767"/>
  <c r="N3766"/>
  <c r="N3765"/>
  <c r="N3764"/>
  <c r="N3763"/>
  <c r="N3762"/>
  <c r="N3761"/>
  <c r="N3760"/>
  <c r="N3759"/>
  <c r="N3758"/>
  <c r="N3757"/>
  <c r="N3756"/>
  <c r="N3755"/>
  <c r="N3754"/>
  <c r="N3753"/>
  <c r="N3752"/>
  <c r="N3751"/>
  <c r="N3750"/>
  <c r="N3749"/>
  <c r="N3748"/>
  <c r="N3747"/>
  <c r="N3746"/>
  <c r="N3745"/>
  <c r="N3744"/>
  <c r="N3743"/>
  <c r="N3742"/>
  <c r="N3741"/>
  <c r="N3740"/>
  <c r="N3739"/>
  <c r="N3738"/>
  <c r="N3737"/>
  <c r="N3736"/>
  <c r="N3735"/>
  <c r="N3734"/>
  <c r="N3733"/>
  <c r="N3732"/>
  <c r="N3731"/>
  <c r="N3730"/>
  <c r="N3729"/>
  <c r="N3728"/>
  <c r="N3727"/>
  <c r="N3726"/>
  <c r="N3725"/>
  <c r="N3724"/>
  <c r="N3723"/>
  <c r="N3722"/>
  <c r="N3721"/>
  <c r="N3720"/>
  <c r="N3719"/>
  <c r="N3718"/>
  <c r="N3717"/>
  <c r="N3716"/>
  <c r="N3715"/>
  <c r="N3714"/>
  <c r="N3713"/>
  <c r="N3712"/>
  <c r="N3711"/>
  <c r="N3710"/>
  <c r="N3709"/>
  <c r="N3708"/>
  <c r="N3707"/>
  <c r="N3706"/>
  <c r="N3705"/>
  <c r="N3704"/>
  <c r="N3703"/>
  <c r="N3702"/>
  <c r="N3701"/>
  <c r="N3700"/>
  <c r="N3699"/>
  <c r="N3698"/>
  <c r="N3697"/>
  <c r="N3696"/>
  <c r="N3695"/>
  <c r="N3694"/>
  <c r="N3693"/>
  <c r="N3692"/>
  <c r="N3691"/>
  <c r="N3690"/>
  <c r="N3689"/>
  <c r="N3688"/>
  <c r="N3687"/>
  <c r="N3686"/>
  <c r="N3685"/>
  <c r="N3684"/>
  <c r="N3683"/>
  <c r="N3682"/>
  <c r="N3681"/>
  <c r="N3680"/>
  <c r="N3679"/>
  <c r="N3678"/>
  <c r="N3677"/>
  <c r="N3676"/>
  <c r="N3675"/>
  <c r="N3674"/>
  <c r="N3673"/>
  <c r="N3672"/>
  <c r="N3671"/>
  <c r="N3670"/>
  <c r="N3669"/>
  <c r="N3668"/>
  <c r="N3667"/>
  <c r="N3666"/>
  <c r="N3665"/>
  <c r="N3664"/>
  <c r="N3663"/>
  <c r="N3662"/>
  <c r="N3661"/>
  <c r="N3660"/>
  <c r="N3659"/>
  <c r="N3658"/>
  <c r="N3657"/>
  <c r="N3656"/>
  <c r="N3655"/>
  <c r="N3654"/>
  <c r="N3653"/>
  <c r="N3652"/>
  <c r="N3651"/>
  <c r="N3650"/>
  <c r="N3649"/>
  <c r="N3648"/>
  <c r="N3647"/>
  <c r="N3646"/>
  <c r="N3645"/>
  <c r="N3644"/>
  <c r="N3643"/>
  <c r="N3642"/>
  <c r="N3641"/>
  <c r="N3640"/>
  <c r="N3639"/>
  <c r="N3638"/>
  <c r="N3637"/>
  <c r="N3636"/>
  <c r="N3635"/>
  <c r="N3634"/>
  <c r="N3633"/>
  <c r="N3632"/>
  <c r="N3631"/>
  <c r="N3630"/>
  <c r="N3629"/>
  <c r="N3628"/>
  <c r="N3627"/>
  <c r="N3626"/>
  <c r="N3625"/>
  <c r="N3624"/>
  <c r="N3623"/>
  <c r="N3622"/>
  <c r="N3621"/>
  <c r="N3620"/>
  <c r="N3619"/>
  <c r="N3618"/>
  <c r="N3617"/>
  <c r="N3616"/>
  <c r="N3615"/>
  <c r="N3614"/>
  <c r="N3613"/>
  <c r="N3612"/>
  <c r="N3611"/>
  <c r="N3610"/>
  <c r="N3609"/>
  <c r="N3608"/>
  <c r="N3607"/>
  <c r="N3606"/>
  <c r="N3605"/>
  <c r="N3604"/>
  <c r="N3603"/>
  <c r="N3602"/>
  <c r="N3601"/>
  <c r="N3600"/>
  <c r="N3599"/>
  <c r="N3598"/>
  <c r="N3597"/>
  <c r="N3596"/>
  <c r="N3595"/>
  <c r="N3594"/>
  <c r="N3593"/>
  <c r="N3592"/>
  <c r="N3591"/>
  <c r="N3590"/>
  <c r="N3589"/>
  <c r="N3588"/>
  <c r="N3587"/>
  <c r="N3586"/>
  <c r="N3585"/>
  <c r="N3584"/>
  <c r="N3583"/>
  <c r="N3582"/>
  <c r="N3581"/>
  <c r="N3580"/>
  <c r="N3579"/>
  <c r="N3578"/>
  <c r="N3577"/>
  <c r="N3576"/>
  <c r="N3575"/>
  <c r="N3574"/>
  <c r="N3573"/>
  <c r="N3572"/>
  <c r="N3571"/>
  <c r="N3570"/>
  <c r="N3569"/>
  <c r="N3568"/>
  <c r="N3567"/>
  <c r="N3566"/>
  <c r="N3565"/>
  <c r="N3564"/>
  <c r="N3563"/>
  <c r="N3562"/>
  <c r="N3561"/>
  <c r="N3560"/>
  <c r="N3559"/>
  <c r="N3558"/>
  <c r="N3557"/>
  <c r="N3556"/>
  <c r="N3555"/>
  <c r="N3554"/>
  <c r="N3553"/>
  <c r="N3552"/>
  <c r="N3551"/>
  <c r="N3550"/>
  <c r="N3549"/>
  <c r="N3548"/>
  <c r="N3547"/>
  <c r="N3546"/>
  <c r="N3545"/>
  <c r="N3544"/>
  <c r="N3543"/>
  <c r="N3542"/>
  <c r="N3541"/>
  <c r="N3540"/>
  <c r="N3539"/>
  <c r="N3538"/>
  <c r="N3537"/>
  <c r="N3536"/>
  <c r="N3535"/>
  <c r="N3534"/>
  <c r="N3533"/>
  <c r="N3532"/>
  <c r="N3531"/>
  <c r="N3530"/>
  <c r="N3529"/>
  <c r="N3528"/>
  <c r="N3527"/>
  <c r="N3526"/>
  <c r="N3525"/>
  <c r="N3524"/>
  <c r="N3523"/>
  <c r="N3522"/>
  <c r="N3521"/>
  <c r="N3520"/>
  <c r="N3519"/>
  <c r="N3518"/>
  <c r="N3517"/>
  <c r="N3516"/>
  <c r="N3515"/>
  <c r="N3514"/>
  <c r="N3513"/>
  <c r="N3512"/>
  <c r="N3511"/>
  <c r="N3510"/>
  <c r="N3509"/>
  <c r="N3508"/>
  <c r="N3507"/>
  <c r="N3506"/>
  <c r="N3505"/>
  <c r="N3504"/>
  <c r="N3503"/>
  <c r="N3502"/>
  <c r="N3501"/>
  <c r="N3500"/>
  <c r="N3499"/>
  <c r="N3498"/>
  <c r="N3497"/>
  <c r="N3496"/>
  <c r="N3495"/>
  <c r="N3494"/>
  <c r="N3493"/>
  <c r="N3492"/>
  <c r="N3491"/>
  <c r="N3490"/>
  <c r="N3489"/>
  <c r="N3488"/>
  <c r="N3487"/>
  <c r="N3486"/>
  <c r="N3485"/>
  <c r="N3484"/>
  <c r="N3483"/>
  <c r="N3482"/>
  <c r="N3481"/>
  <c r="N3480"/>
  <c r="N3479"/>
  <c r="N3478"/>
  <c r="N3477"/>
  <c r="N3476"/>
  <c r="N3475"/>
  <c r="N3474"/>
  <c r="N3473"/>
  <c r="N3472"/>
  <c r="N3471"/>
  <c r="N3470"/>
  <c r="N3469"/>
  <c r="N3468"/>
  <c r="N3467"/>
  <c r="N3466"/>
  <c r="N3465"/>
  <c r="N3464"/>
  <c r="N3463"/>
  <c r="N3462"/>
  <c r="N3461"/>
  <c r="N3460"/>
  <c r="N3459"/>
  <c r="N3458"/>
  <c r="N3457"/>
  <c r="N3456"/>
  <c r="N3455"/>
  <c r="N3454"/>
  <c r="N3453"/>
  <c r="N3452"/>
  <c r="N3451"/>
  <c r="N3450"/>
  <c r="N3449"/>
  <c r="N3448"/>
  <c r="N3447"/>
  <c r="N3446"/>
  <c r="N3445"/>
  <c r="N3444"/>
  <c r="N3443"/>
  <c r="N3442"/>
  <c r="N3441"/>
  <c r="N3440"/>
  <c r="N3439"/>
  <c r="N3438"/>
  <c r="N3437"/>
  <c r="N3436"/>
  <c r="N3435"/>
  <c r="N3434"/>
  <c r="N3433"/>
  <c r="N3432"/>
  <c r="N3431"/>
  <c r="N3430"/>
  <c r="N3429"/>
  <c r="N3428"/>
  <c r="N3427"/>
  <c r="N3426"/>
  <c r="N3425"/>
  <c r="N3424"/>
  <c r="N3423"/>
  <c r="N3422"/>
  <c r="N3421"/>
  <c r="N3420"/>
  <c r="N3419"/>
  <c r="N3418"/>
  <c r="N3417"/>
  <c r="N3416"/>
  <c r="N3415"/>
  <c r="N3414"/>
  <c r="N3413"/>
  <c r="N3412"/>
  <c r="N3411"/>
  <c r="N3410"/>
  <c r="N3409"/>
  <c r="N3408"/>
  <c r="N3407"/>
  <c r="N3406"/>
  <c r="N3405"/>
  <c r="N3404"/>
  <c r="N3403"/>
  <c r="N3402"/>
  <c r="N3401"/>
  <c r="N3400"/>
  <c r="N3399"/>
  <c r="N3398"/>
  <c r="N3397"/>
  <c r="N3396"/>
  <c r="N3395"/>
  <c r="N3394"/>
  <c r="N3393"/>
  <c r="N3392"/>
  <c r="N3391"/>
  <c r="N3390"/>
  <c r="N3389"/>
  <c r="N3388"/>
  <c r="N3387"/>
  <c r="N3386"/>
  <c r="N3385"/>
  <c r="N3384"/>
  <c r="N3383"/>
  <c r="N3382"/>
  <c r="N3381"/>
  <c r="N3380"/>
  <c r="N3379"/>
  <c r="N3378"/>
  <c r="N3377"/>
  <c r="N3376"/>
  <c r="N3375"/>
  <c r="N3374"/>
  <c r="N3373"/>
  <c r="N3372"/>
  <c r="N3371"/>
  <c r="N3370"/>
  <c r="N3369"/>
  <c r="N3368"/>
  <c r="N3367"/>
  <c r="N3366"/>
  <c r="N3365"/>
  <c r="N3364"/>
  <c r="N3363"/>
  <c r="N3362"/>
  <c r="N3361"/>
  <c r="N3360"/>
  <c r="N3359"/>
  <c r="N3358"/>
  <c r="N3357"/>
  <c r="N3356"/>
  <c r="N3355"/>
  <c r="N3354"/>
  <c r="N3353"/>
  <c r="N3352"/>
  <c r="N3351"/>
  <c r="N3350"/>
  <c r="N3349"/>
  <c r="N3348"/>
  <c r="N3347"/>
  <c r="N3346"/>
  <c r="N3345"/>
  <c r="N3344"/>
  <c r="N3343"/>
  <c r="N3342"/>
  <c r="N3341"/>
  <c r="N3340"/>
  <c r="N3339"/>
  <c r="N3338"/>
  <c r="N3337"/>
  <c r="N3336"/>
  <c r="N3335"/>
  <c r="N3334"/>
  <c r="N3333"/>
  <c r="N3332"/>
  <c r="N3331"/>
  <c r="N3330"/>
  <c r="N3329"/>
  <c r="N3328"/>
  <c r="N3327"/>
  <c r="N3326"/>
  <c r="N3325"/>
  <c r="N3324"/>
  <c r="N3323"/>
  <c r="N3322"/>
  <c r="N3321"/>
  <c r="N3320"/>
  <c r="N3319"/>
  <c r="N3318"/>
  <c r="N3317"/>
  <c r="N3316"/>
  <c r="N3315"/>
  <c r="N3314"/>
  <c r="N3313"/>
  <c r="N3312"/>
  <c r="N3311"/>
  <c r="N3310"/>
  <c r="N3309"/>
  <c r="N3308"/>
  <c r="N3307"/>
  <c r="N3306"/>
  <c r="N3305"/>
  <c r="N3304"/>
  <c r="N3303"/>
  <c r="N3302"/>
  <c r="N3301"/>
  <c r="N3300"/>
  <c r="N3299"/>
  <c r="N3298"/>
  <c r="N3297"/>
  <c r="N3296"/>
  <c r="N3295"/>
  <c r="N3294"/>
  <c r="N3293"/>
  <c r="N3292"/>
  <c r="N3291"/>
  <c r="N3290"/>
  <c r="N3289"/>
  <c r="N3288"/>
  <c r="N3287"/>
  <c r="N3286"/>
  <c r="N3285"/>
  <c r="N3284"/>
  <c r="N3283"/>
  <c r="N3282"/>
  <c r="N3281"/>
  <c r="N3280"/>
  <c r="N3279"/>
  <c r="N3278"/>
  <c r="N3277"/>
  <c r="N3276"/>
  <c r="N3275"/>
  <c r="N3274"/>
  <c r="N3273"/>
  <c r="N3272"/>
  <c r="N3271"/>
  <c r="N3270"/>
  <c r="N3269"/>
  <c r="N3268"/>
  <c r="N3267"/>
  <c r="N3266"/>
  <c r="N3265"/>
  <c r="N3264"/>
  <c r="N3263"/>
  <c r="N3262"/>
  <c r="N3261"/>
  <c r="N3260"/>
  <c r="N3259"/>
  <c r="N3258"/>
  <c r="N3257"/>
  <c r="N3256"/>
  <c r="N3255"/>
  <c r="N3254"/>
  <c r="N3253"/>
  <c r="N3252"/>
  <c r="N3251"/>
  <c r="N3250"/>
  <c r="N3249"/>
  <c r="N3248"/>
  <c r="N3247"/>
  <c r="N3246"/>
  <c r="N3245"/>
  <c r="N3244"/>
  <c r="N3243"/>
  <c r="N3242"/>
  <c r="N3241"/>
  <c r="N3240"/>
  <c r="N3239"/>
  <c r="N3238"/>
  <c r="N3237"/>
  <c r="N3236"/>
  <c r="N3235"/>
  <c r="N3234"/>
  <c r="N3233"/>
  <c r="N3232"/>
  <c r="N3231"/>
  <c r="N3230"/>
  <c r="N3229"/>
  <c r="N3228"/>
  <c r="N3227"/>
  <c r="N3226"/>
  <c r="N3225"/>
  <c r="N3224"/>
  <c r="N3223"/>
  <c r="N3222"/>
  <c r="N3221"/>
  <c r="N3220"/>
  <c r="N3219"/>
  <c r="N3218"/>
  <c r="N3217"/>
  <c r="N3216"/>
  <c r="N3215"/>
  <c r="N3214"/>
  <c r="N3213"/>
  <c r="N3212"/>
  <c r="N3211"/>
  <c r="N3210"/>
  <c r="N3209"/>
  <c r="N3208"/>
  <c r="N3207"/>
  <c r="N3206"/>
  <c r="N3205"/>
  <c r="N3204"/>
  <c r="N3203"/>
  <c r="N3202"/>
  <c r="N3201"/>
  <c r="N3200"/>
  <c r="N3199"/>
  <c r="N3198"/>
  <c r="N3197"/>
  <c r="N3196"/>
  <c r="N3195"/>
  <c r="N3194"/>
  <c r="N3193"/>
  <c r="N3192"/>
  <c r="N3191"/>
  <c r="N3190"/>
  <c r="N3189"/>
  <c r="N3188"/>
  <c r="N3187"/>
  <c r="N3186"/>
  <c r="N3185"/>
  <c r="N3184"/>
  <c r="N3183"/>
  <c r="N3182"/>
  <c r="N3181"/>
  <c r="N3180"/>
  <c r="N3179"/>
  <c r="N3178"/>
  <c r="N3177"/>
  <c r="N3176"/>
  <c r="N3175"/>
  <c r="N3174"/>
  <c r="N3173"/>
  <c r="N3172"/>
  <c r="N3171"/>
  <c r="N3170"/>
  <c r="N3169"/>
  <c r="N3168"/>
  <c r="N3167"/>
  <c r="N3166"/>
  <c r="N3165"/>
  <c r="N3164"/>
  <c r="N3163"/>
  <c r="N3162"/>
  <c r="N3161"/>
  <c r="N3160"/>
  <c r="N3159"/>
  <c r="N3158"/>
  <c r="N3157"/>
  <c r="N3156"/>
  <c r="N3155"/>
  <c r="N3154"/>
  <c r="N3153"/>
  <c r="N3152"/>
  <c r="N3151"/>
  <c r="N3150"/>
  <c r="N3149"/>
  <c r="N3148"/>
  <c r="N3147"/>
  <c r="N3146"/>
  <c r="N3145"/>
  <c r="N3144"/>
  <c r="N3143"/>
  <c r="N3142"/>
  <c r="N3141"/>
  <c r="N3140"/>
  <c r="N3139"/>
  <c r="N3138"/>
  <c r="N3137"/>
  <c r="N3136"/>
  <c r="N3135"/>
  <c r="N3134"/>
  <c r="N3133"/>
  <c r="N3132"/>
  <c r="N3131"/>
  <c r="N3130"/>
  <c r="N3129"/>
  <c r="N3128"/>
  <c r="N3127"/>
  <c r="N3126"/>
  <c r="N3125"/>
  <c r="N3124"/>
  <c r="N3123"/>
  <c r="N3122"/>
  <c r="N3121"/>
  <c r="N3120"/>
  <c r="N3119"/>
  <c r="N3118"/>
  <c r="N3117"/>
  <c r="N3116"/>
  <c r="N3115"/>
  <c r="N3114"/>
  <c r="N3113"/>
  <c r="N3112"/>
  <c r="N3111"/>
  <c r="N3110"/>
  <c r="N3109"/>
  <c r="N3108"/>
  <c r="N3107"/>
  <c r="N3106"/>
  <c r="N3105"/>
  <c r="N3104"/>
  <c r="N3103"/>
  <c r="N3102"/>
  <c r="N3101"/>
  <c r="N3100"/>
  <c r="N3099"/>
  <c r="N3098"/>
  <c r="N3097"/>
  <c r="N3096"/>
  <c r="N3095"/>
  <c r="N3094"/>
  <c r="N3093"/>
  <c r="N3092"/>
  <c r="N3091"/>
  <c r="N3090"/>
  <c r="N3089"/>
  <c r="N3088"/>
  <c r="N3087"/>
  <c r="N3086"/>
  <c r="N3085"/>
  <c r="N3084"/>
  <c r="N3083"/>
  <c r="N3082"/>
  <c r="N3081"/>
  <c r="N3080"/>
  <c r="N3079"/>
  <c r="N3078"/>
  <c r="N3077"/>
  <c r="N3076"/>
  <c r="N3075"/>
  <c r="N3074"/>
  <c r="N3073"/>
  <c r="N3072"/>
  <c r="N3071"/>
  <c r="N3070"/>
  <c r="N3069"/>
  <c r="N3068"/>
  <c r="N3067"/>
  <c r="N3066"/>
  <c r="N3065"/>
  <c r="N3064"/>
  <c r="N3063"/>
  <c r="N3062"/>
  <c r="N3061"/>
  <c r="N3060"/>
  <c r="N3059"/>
  <c r="N3058"/>
  <c r="N3057"/>
  <c r="N3056"/>
  <c r="N3055"/>
  <c r="N3054"/>
  <c r="N3053"/>
  <c r="N3052"/>
  <c r="N3051"/>
  <c r="N3050"/>
  <c r="N3049"/>
  <c r="N3048"/>
  <c r="N3047"/>
  <c r="N3046"/>
  <c r="N3045"/>
  <c r="N3044"/>
  <c r="N3043"/>
  <c r="N3042"/>
  <c r="N3041"/>
  <c r="N3040"/>
  <c r="N3039"/>
  <c r="N3038"/>
  <c r="N3037"/>
  <c r="N3036"/>
  <c r="N3035"/>
  <c r="N3034"/>
  <c r="N3033"/>
  <c r="N3032"/>
  <c r="N3031"/>
  <c r="N3030"/>
  <c r="N3029"/>
  <c r="N3028"/>
  <c r="N3027"/>
  <c r="N3026"/>
  <c r="N3025"/>
  <c r="N3024"/>
  <c r="N3023"/>
  <c r="N3022"/>
  <c r="N3021"/>
  <c r="N3020"/>
  <c r="N3019"/>
  <c r="N3018"/>
  <c r="N3017"/>
  <c r="N3016"/>
  <c r="N3015"/>
  <c r="N3014"/>
  <c r="N3013"/>
  <c r="N3012"/>
  <c r="N3011"/>
  <c r="N3010"/>
  <c r="N3009"/>
  <c r="N3008"/>
  <c r="N3007"/>
  <c r="N3006"/>
  <c r="N3005"/>
  <c r="N3004"/>
  <c r="N3003"/>
  <c r="N3002"/>
  <c r="N3001"/>
  <c r="N3000"/>
  <c r="N2999"/>
  <c r="N2998"/>
  <c r="N2997"/>
  <c r="N2996"/>
  <c r="N2995"/>
  <c r="N2994"/>
  <c r="N2993"/>
  <c r="N2992"/>
  <c r="N2991"/>
  <c r="N2990"/>
  <c r="N2989"/>
  <c r="N2988"/>
  <c r="N2987"/>
  <c r="N2986"/>
  <c r="N2985"/>
  <c r="N2984"/>
  <c r="N2983"/>
  <c r="N2982"/>
  <c r="N2981"/>
  <c r="N2980"/>
  <c r="N2979"/>
  <c r="N2978"/>
  <c r="N2977"/>
  <c r="N2976"/>
  <c r="N2975"/>
  <c r="N2974"/>
  <c r="N2973"/>
  <c r="N2972"/>
  <c r="N2971"/>
  <c r="N2970"/>
  <c r="N2969"/>
  <c r="N2968"/>
  <c r="N2967"/>
  <c r="N2966"/>
  <c r="N2965"/>
  <c r="N2964"/>
  <c r="N2963"/>
  <c r="N2962"/>
  <c r="N2961"/>
  <c r="N2960"/>
  <c r="N2959"/>
  <c r="N2958"/>
  <c r="N2957"/>
  <c r="N2956"/>
  <c r="N2955"/>
  <c r="N2954"/>
  <c r="N2953"/>
  <c r="N2952"/>
  <c r="N2951"/>
  <c r="N2950"/>
  <c r="N2949"/>
  <c r="N2948"/>
  <c r="N2947"/>
  <c r="N2946"/>
  <c r="N2945"/>
  <c r="N2944"/>
  <c r="N2943"/>
  <c r="N2942"/>
  <c r="N2941"/>
  <c r="N2940"/>
  <c r="N2939"/>
  <c r="N2938"/>
  <c r="N2937"/>
  <c r="N2936"/>
  <c r="N2935"/>
  <c r="N2934"/>
  <c r="N2933"/>
  <c r="N2932"/>
  <c r="N2931"/>
  <c r="N2930"/>
  <c r="N2929"/>
  <c r="N2928"/>
  <c r="N2927"/>
  <c r="N2926"/>
  <c r="N2925"/>
  <c r="N2924"/>
  <c r="N2923"/>
  <c r="N2922"/>
  <c r="N2921"/>
  <c r="N2920"/>
  <c r="N2919"/>
  <c r="N2918"/>
  <c r="N2917"/>
  <c r="N2916"/>
  <c r="N2915"/>
  <c r="N2914"/>
  <c r="N2913"/>
  <c r="N2912"/>
  <c r="N2911"/>
  <c r="N2910"/>
  <c r="N2909"/>
  <c r="N2908"/>
  <c r="N2907"/>
  <c r="N2906"/>
  <c r="N2905"/>
  <c r="N2904"/>
  <c r="N2903"/>
  <c r="N2902"/>
  <c r="N2901"/>
  <c r="N2900"/>
  <c r="N2899"/>
  <c r="N2898"/>
  <c r="N2897"/>
  <c r="N2896"/>
  <c r="N2895"/>
  <c r="N2894"/>
  <c r="N2893"/>
  <c r="N2892"/>
  <c r="N2891"/>
  <c r="N2890"/>
  <c r="N2889"/>
  <c r="N2888"/>
  <c r="N2887"/>
  <c r="N2886"/>
  <c r="N2885"/>
  <c r="N2884"/>
  <c r="N2883"/>
  <c r="N2882"/>
  <c r="N2881"/>
  <c r="N2880"/>
  <c r="N2879"/>
  <c r="N2878"/>
  <c r="N2877"/>
  <c r="N2876"/>
  <c r="N2875"/>
  <c r="N2874"/>
  <c r="N2873"/>
  <c r="N2872"/>
  <c r="N2871"/>
  <c r="N2870"/>
  <c r="N2869"/>
  <c r="N2868"/>
  <c r="N2867"/>
  <c r="N2866"/>
  <c r="N2865"/>
  <c r="N2864"/>
  <c r="N2863"/>
  <c r="N2862"/>
  <c r="N2861"/>
  <c r="N2860"/>
  <c r="N2859"/>
  <c r="N2858"/>
  <c r="N2857"/>
  <c r="N2856"/>
  <c r="N2855"/>
  <c r="N2854"/>
  <c r="N2853"/>
  <c r="N2852"/>
  <c r="N2851"/>
  <c r="N2850"/>
  <c r="N2849"/>
  <c r="N2848"/>
  <c r="N2847"/>
  <c r="N2846"/>
  <c r="N2845"/>
  <c r="N2844"/>
  <c r="N2843"/>
  <c r="N2842"/>
  <c r="N2841"/>
  <c r="N2840"/>
  <c r="N2839"/>
  <c r="N2838"/>
  <c r="N2837"/>
  <c r="N2836"/>
  <c r="N2835"/>
  <c r="N2834"/>
  <c r="N2833"/>
  <c r="N2832"/>
  <c r="N2831"/>
  <c r="N2830"/>
  <c r="N2829"/>
  <c r="N2828"/>
  <c r="N2827"/>
  <c r="N2826"/>
  <c r="N2825"/>
  <c r="N2824"/>
  <c r="N2823"/>
  <c r="N2822"/>
  <c r="N2821"/>
  <c r="N2820"/>
  <c r="N2819"/>
  <c r="N2818"/>
  <c r="N2817"/>
  <c r="N2816"/>
  <c r="N2815"/>
  <c r="N2814"/>
  <c r="N2813"/>
  <c r="N2812"/>
  <c r="N2811"/>
  <c r="N2810"/>
  <c r="N2809"/>
  <c r="N2808"/>
  <c r="N2807"/>
  <c r="N2806"/>
  <c r="N2805"/>
  <c r="N2804"/>
  <c r="N2803"/>
  <c r="N2802"/>
  <c r="N2801"/>
  <c r="N2800"/>
  <c r="N2799"/>
  <c r="N2798"/>
  <c r="N2797"/>
  <c r="N2796"/>
  <c r="N2795"/>
  <c r="N2794"/>
  <c r="N2793"/>
  <c r="N2792"/>
  <c r="N2791"/>
  <c r="N2790"/>
  <c r="N2789"/>
  <c r="N2788"/>
  <c r="N2787"/>
  <c r="N2786"/>
  <c r="N2785"/>
  <c r="N2784"/>
  <c r="N2783"/>
  <c r="N2782"/>
  <c r="N2781"/>
  <c r="N2780"/>
  <c r="N2779"/>
  <c r="N2778"/>
  <c r="N2777"/>
  <c r="N2776"/>
  <c r="N2775"/>
  <c r="N2774"/>
  <c r="N2773"/>
  <c r="N2772"/>
  <c r="N2771"/>
  <c r="N2770"/>
  <c r="N2769"/>
  <c r="N2768"/>
  <c r="N2767"/>
  <c r="N2766"/>
  <c r="N2765"/>
  <c r="N2764"/>
  <c r="N2763"/>
  <c r="N2762"/>
  <c r="N2761"/>
  <c r="N2760"/>
  <c r="N2759"/>
  <c r="N2758"/>
  <c r="N2757"/>
  <c r="N2756"/>
  <c r="N2755"/>
  <c r="N2754"/>
  <c r="N2753"/>
  <c r="N2752"/>
  <c r="N2751"/>
  <c r="N2750"/>
  <c r="N2749"/>
  <c r="N2748"/>
  <c r="N2747"/>
  <c r="N2746"/>
  <c r="N2745"/>
  <c r="N2744"/>
  <c r="N2743"/>
  <c r="N2742"/>
  <c r="N2741"/>
  <c r="N2740"/>
  <c r="N2739"/>
  <c r="N2738"/>
  <c r="N2737"/>
  <c r="N2736"/>
  <c r="N2735"/>
  <c r="N2734"/>
  <c r="N2733"/>
  <c r="N2732"/>
  <c r="N2731"/>
  <c r="N2730"/>
  <c r="N2729"/>
  <c r="N2728"/>
  <c r="N2727"/>
  <c r="N2726"/>
  <c r="N2725"/>
  <c r="N2724"/>
  <c r="N2723"/>
  <c r="N2722"/>
  <c r="N2721"/>
  <c r="N2720"/>
  <c r="N2719"/>
  <c r="N2718"/>
  <c r="N2717"/>
  <c r="N2716"/>
  <c r="N2715"/>
  <c r="N2714"/>
  <c r="N2713"/>
  <c r="N2712"/>
  <c r="N2711"/>
  <c r="N2710"/>
  <c r="N2709"/>
  <c r="N2708"/>
  <c r="N2707"/>
  <c r="N2706"/>
  <c r="N2705"/>
  <c r="N2704"/>
  <c r="N2703"/>
  <c r="N2702"/>
  <c r="N2701"/>
  <c r="N2700"/>
  <c r="N2699"/>
  <c r="N2698"/>
  <c r="N2697"/>
  <c r="N2696"/>
  <c r="N2695"/>
  <c r="N2694"/>
  <c r="N2693"/>
  <c r="N2692"/>
  <c r="N2691"/>
  <c r="N2690"/>
  <c r="N2689"/>
  <c r="N2688"/>
  <c r="N2687"/>
  <c r="N2686"/>
  <c r="N2685"/>
  <c r="N2684"/>
  <c r="N2683"/>
  <c r="N2682"/>
  <c r="N2681"/>
  <c r="N2680"/>
  <c r="N2679"/>
  <c r="N2678"/>
  <c r="N2677"/>
  <c r="N2676"/>
  <c r="N2675"/>
  <c r="N2674"/>
  <c r="N2673"/>
  <c r="N2672"/>
  <c r="N2671"/>
  <c r="N2670"/>
  <c r="N2669"/>
  <c r="N2668"/>
  <c r="N2667"/>
  <c r="N2666"/>
  <c r="N2665"/>
  <c r="N2664"/>
  <c r="N2663"/>
  <c r="N2662"/>
  <c r="N2661"/>
  <c r="N2660"/>
  <c r="N2659"/>
  <c r="N2658"/>
  <c r="N2657"/>
  <c r="N2656"/>
  <c r="N2655"/>
  <c r="N2654"/>
  <c r="N2653"/>
  <c r="N2652"/>
  <c r="N2651"/>
  <c r="N2650"/>
  <c r="N2649"/>
  <c r="N2648"/>
  <c r="N2647"/>
  <c r="N2646"/>
  <c r="N2645"/>
  <c r="N2644"/>
  <c r="N2643"/>
  <c r="N2642"/>
  <c r="N2641"/>
  <c r="N2640"/>
  <c r="N2639"/>
  <c r="N2638"/>
  <c r="N2637"/>
  <c r="N2636"/>
  <c r="N2635"/>
  <c r="N2634"/>
  <c r="N2633"/>
  <c r="N2632"/>
  <c r="N2631"/>
  <c r="N2630"/>
  <c r="N2629"/>
  <c r="N2628"/>
  <c r="N2627"/>
  <c r="N2626"/>
  <c r="N2625"/>
  <c r="N2624"/>
  <c r="N2623"/>
  <c r="N2622"/>
  <c r="N2621"/>
  <c r="N2620"/>
  <c r="N2619"/>
  <c r="N2618"/>
  <c r="N2617"/>
  <c r="N2616"/>
  <c r="N2615"/>
  <c r="N2614"/>
  <c r="N2613"/>
  <c r="N2612"/>
  <c r="N2611"/>
  <c r="N2610"/>
  <c r="N2609"/>
  <c r="N2608"/>
  <c r="N2607"/>
  <c r="N2606"/>
  <c r="N2605"/>
  <c r="N2604"/>
  <c r="N2603"/>
  <c r="N2602"/>
  <c r="N2601"/>
  <c r="N2600"/>
  <c r="N2599"/>
  <c r="N2598"/>
  <c r="N2597"/>
  <c r="N2596"/>
  <c r="N2595"/>
  <c r="N2594"/>
  <c r="N2593"/>
  <c r="N2592"/>
  <c r="N2591"/>
  <c r="N2590"/>
  <c r="N2589"/>
  <c r="N2588"/>
  <c r="N2587"/>
  <c r="N2586"/>
  <c r="N2585"/>
  <c r="N2584"/>
  <c r="N2583"/>
  <c r="N2582"/>
  <c r="N2581"/>
  <c r="N2580"/>
  <c r="N2579"/>
  <c r="N2578"/>
  <c r="N2577"/>
  <c r="N2576"/>
  <c r="N2575"/>
  <c r="N2574"/>
  <c r="N2573"/>
  <c r="N2572"/>
  <c r="N2571"/>
  <c r="N2570"/>
  <c r="N2569"/>
  <c r="N2568"/>
  <c r="N2567"/>
  <c r="N2566"/>
  <c r="N2565"/>
  <c r="N2564"/>
  <c r="N2563"/>
  <c r="N2562"/>
  <c r="N2561"/>
  <c r="N2560"/>
  <c r="N2559"/>
  <c r="N2558"/>
  <c r="N2557"/>
  <c r="N2556"/>
  <c r="N2555"/>
  <c r="N2554"/>
  <c r="N2553"/>
  <c r="N2552"/>
  <c r="N2551"/>
  <c r="N2550"/>
  <c r="N2549"/>
  <c r="N2548"/>
  <c r="N2547"/>
  <c r="N2546"/>
  <c r="N2545"/>
  <c r="N2544"/>
  <c r="N2543"/>
  <c r="N2542"/>
  <c r="N2541"/>
  <c r="N2540"/>
  <c r="N2539"/>
  <c r="N2538"/>
  <c r="N2537"/>
  <c r="N2536"/>
  <c r="N2535"/>
  <c r="N2534"/>
  <c r="N2533"/>
  <c r="N2532"/>
  <c r="N2531"/>
  <c r="N2530"/>
  <c r="N2529"/>
  <c r="N2528"/>
  <c r="N2527"/>
  <c r="N2526"/>
  <c r="N2525"/>
  <c r="N2524"/>
  <c r="N2523"/>
  <c r="N2522"/>
  <c r="N2521"/>
  <c r="N2520"/>
  <c r="N2519"/>
  <c r="N2518"/>
  <c r="N2517"/>
  <c r="N2516"/>
  <c r="N2515"/>
  <c r="N2514"/>
  <c r="N2513"/>
  <c r="N2512"/>
  <c r="N2511"/>
  <c r="N2510"/>
  <c r="N2509"/>
  <c r="N2508"/>
  <c r="N2507"/>
  <c r="N2506"/>
  <c r="N2505"/>
  <c r="N2504"/>
  <c r="N2503"/>
  <c r="N2502"/>
  <c r="N2501"/>
  <c r="N2500"/>
  <c r="N2499"/>
  <c r="N2498"/>
  <c r="N2497"/>
  <c r="N2496"/>
  <c r="N2495"/>
  <c r="N2494"/>
  <c r="N2493"/>
  <c r="N2492"/>
  <c r="N2491"/>
  <c r="N2490"/>
  <c r="N2489"/>
  <c r="N2488"/>
  <c r="N2487"/>
  <c r="N2486"/>
  <c r="N2485"/>
  <c r="N2484"/>
  <c r="N2483"/>
  <c r="N2482"/>
  <c r="N2481"/>
  <c r="N2480"/>
  <c r="N2479"/>
  <c r="N2478"/>
  <c r="N2477"/>
  <c r="N2476"/>
  <c r="N2475"/>
  <c r="N2474"/>
  <c r="N2473"/>
  <c r="N2472"/>
  <c r="N2471"/>
  <c r="N2470"/>
  <c r="N2469"/>
  <c r="N2468"/>
  <c r="N2467"/>
  <c r="N2466"/>
  <c r="N2465"/>
  <c r="N2464"/>
  <c r="N2463"/>
  <c r="N2462"/>
  <c r="N2461"/>
  <c r="N2460"/>
  <c r="N2459"/>
  <c r="N2458"/>
  <c r="N2457"/>
  <c r="N2456"/>
  <c r="N2455"/>
  <c r="N2454"/>
  <c r="N2453"/>
  <c r="N2452"/>
  <c r="N2451"/>
  <c r="N2450"/>
  <c r="N2449"/>
  <c r="N2448"/>
  <c r="N2447"/>
  <c r="N2446"/>
  <c r="N2445"/>
  <c r="N2444"/>
  <c r="N2443"/>
  <c r="N2442"/>
  <c r="N2441"/>
  <c r="N2440"/>
  <c r="N2439"/>
  <c r="N2438"/>
  <c r="N2437"/>
  <c r="N2436"/>
  <c r="N2435"/>
  <c r="N2434"/>
  <c r="N2433"/>
  <c r="N2432"/>
  <c r="N2431"/>
  <c r="N2430"/>
  <c r="N2429"/>
  <c r="N2428"/>
  <c r="N2427"/>
  <c r="N2426"/>
  <c r="N2425"/>
  <c r="N2424"/>
  <c r="N2423"/>
  <c r="N2422"/>
  <c r="N2421"/>
  <c r="N2420"/>
  <c r="N2419"/>
  <c r="N2418"/>
  <c r="N2417"/>
  <c r="N2416"/>
  <c r="N2415"/>
  <c r="N2414"/>
  <c r="N2413"/>
  <c r="N2412"/>
  <c r="N2411"/>
  <c r="N2410"/>
  <c r="N2409"/>
  <c r="N2408"/>
  <c r="N2407"/>
  <c r="N2406"/>
  <c r="N2405"/>
  <c r="N2404"/>
  <c r="N2403"/>
  <c r="N2402"/>
  <c r="N2401"/>
  <c r="N2400"/>
  <c r="N2399"/>
  <c r="N2398"/>
  <c r="N2397"/>
  <c r="N2396"/>
  <c r="N2395"/>
  <c r="N2394"/>
  <c r="N2393"/>
  <c r="N2392"/>
  <c r="N2391"/>
  <c r="N2390"/>
  <c r="N2389"/>
  <c r="N2388"/>
  <c r="N2387"/>
  <c r="N2386"/>
  <c r="N2385"/>
  <c r="N2384"/>
  <c r="N2383"/>
  <c r="N2382"/>
  <c r="N2381"/>
  <c r="N2380"/>
  <c r="N2379"/>
  <c r="N2378"/>
  <c r="N2377"/>
  <c r="N2376"/>
  <c r="N2375"/>
  <c r="N2374"/>
  <c r="N2373"/>
  <c r="N2372"/>
  <c r="N2371"/>
  <c r="N2370"/>
  <c r="N2369"/>
  <c r="N2368"/>
  <c r="N2367"/>
  <c r="N2366"/>
  <c r="N2365"/>
  <c r="N2364"/>
  <c r="N2363"/>
  <c r="N2362"/>
  <c r="N2361"/>
  <c r="N2360"/>
  <c r="N2359"/>
  <c r="N2358"/>
  <c r="N2357"/>
  <c r="N2356"/>
  <c r="N2355"/>
  <c r="N2354"/>
  <c r="N2353"/>
  <c r="N2352"/>
  <c r="N2351"/>
  <c r="N2350"/>
  <c r="N2349"/>
  <c r="N2348"/>
  <c r="N2347"/>
  <c r="N2346"/>
  <c r="N2345"/>
  <c r="N2344"/>
  <c r="N2343"/>
  <c r="N2342"/>
  <c r="N2341"/>
  <c r="N2340"/>
  <c r="N2339"/>
  <c r="N2338"/>
  <c r="N2337"/>
  <c r="N2336"/>
  <c r="N2335"/>
  <c r="N2334"/>
  <c r="N2333"/>
  <c r="N2332"/>
  <c r="N2331"/>
  <c r="N2330"/>
  <c r="N2329"/>
  <c r="N2328"/>
  <c r="N2327"/>
  <c r="N2326"/>
  <c r="N2325"/>
  <c r="N2324"/>
  <c r="N2323"/>
  <c r="N2322"/>
  <c r="N2321"/>
  <c r="N2320"/>
  <c r="N2319"/>
  <c r="N2318"/>
  <c r="N2317"/>
  <c r="N2316"/>
  <c r="N2315"/>
  <c r="N2314"/>
  <c r="N2313"/>
  <c r="N2312"/>
  <c r="N2311"/>
  <c r="N2310"/>
  <c r="N2309"/>
  <c r="N2308"/>
  <c r="N2307"/>
  <c r="N2306"/>
  <c r="N2305"/>
  <c r="N2304"/>
  <c r="N2303"/>
  <c r="N2302"/>
  <c r="N2301"/>
  <c r="N2300"/>
  <c r="N2299"/>
  <c r="N2298"/>
  <c r="N2297"/>
  <c r="N2296"/>
  <c r="N2295"/>
  <c r="N2294"/>
  <c r="N2293"/>
  <c r="N2292"/>
  <c r="N2291"/>
  <c r="N2290"/>
  <c r="N2289"/>
  <c r="N2288"/>
  <c r="N2287"/>
  <c r="N2286"/>
  <c r="N2285"/>
  <c r="N2284"/>
  <c r="N2283"/>
  <c r="N2282"/>
  <c r="N2281"/>
  <c r="N2280"/>
  <c r="N2279"/>
  <c r="N2278"/>
  <c r="N2277"/>
  <c r="N2276"/>
  <c r="N2275"/>
  <c r="N2274"/>
  <c r="N2273"/>
  <c r="N2272"/>
  <c r="N2271"/>
  <c r="N2270"/>
  <c r="N2269"/>
  <c r="N2268"/>
  <c r="N2267"/>
  <c r="N2266"/>
  <c r="N2265"/>
  <c r="N2264"/>
  <c r="N2263"/>
  <c r="N2262"/>
  <c r="N2261"/>
  <c r="N2260"/>
  <c r="N2259"/>
  <c r="N2258"/>
  <c r="N2257"/>
  <c r="N2256"/>
  <c r="N2255"/>
  <c r="N2254"/>
  <c r="N2253"/>
  <c r="N2252"/>
  <c r="N2251"/>
  <c r="N2250"/>
  <c r="N2249"/>
  <c r="N2248"/>
  <c r="N2247"/>
  <c r="N2246"/>
  <c r="N2245"/>
  <c r="N2244"/>
  <c r="N2243"/>
  <c r="N2242"/>
  <c r="N2241"/>
  <c r="N2240"/>
  <c r="N2239"/>
  <c r="N2238"/>
  <c r="N2237"/>
  <c r="N2236"/>
  <c r="N2235"/>
  <c r="N2234"/>
  <c r="N2233"/>
  <c r="N2232"/>
  <c r="N2231"/>
  <c r="N2230"/>
  <c r="N2229"/>
  <c r="N2228"/>
  <c r="N2227"/>
  <c r="N2226"/>
  <c r="N2225"/>
  <c r="N2224"/>
  <c r="N2223"/>
  <c r="N2222"/>
  <c r="N2221"/>
  <c r="N2220"/>
  <c r="N2219"/>
  <c r="N2218"/>
  <c r="N2217"/>
  <c r="N2216"/>
  <c r="N2215"/>
  <c r="N2214"/>
  <c r="N2213"/>
  <c r="N2212"/>
  <c r="N2211"/>
  <c r="N2210"/>
  <c r="N2209"/>
  <c r="N2208"/>
  <c r="N2207"/>
  <c r="N2206"/>
  <c r="N2205"/>
  <c r="N2204"/>
  <c r="N2203"/>
  <c r="N2202"/>
  <c r="N2201"/>
  <c r="N2200"/>
  <c r="N2199"/>
  <c r="N2198"/>
  <c r="N2197"/>
  <c r="N2196"/>
  <c r="N2195"/>
  <c r="N2194"/>
  <c r="N2193"/>
  <c r="N2192"/>
  <c r="N2191"/>
  <c r="N2190"/>
  <c r="N2189"/>
  <c r="N2188"/>
  <c r="N2187"/>
  <c r="N2186"/>
  <c r="N2185"/>
  <c r="N2184"/>
  <c r="N2183"/>
  <c r="N2182"/>
  <c r="N2181"/>
  <c r="N2180"/>
  <c r="N2179"/>
  <c r="N2178"/>
  <c r="N2177"/>
  <c r="N2176"/>
  <c r="N2175"/>
  <c r="N2174"/>
  <c r="N2173"/>
  <c r="N2172"/>
  <c r="N2171"/>
  <c r="N2170"/>
  <c r="N2169"/>
  <c r="N2168"/>
  <c r="N2167"/>
  <c r="N2166"/>
  <c r="N2165"/>
  <c r="N2164"/>
  <c r="N2163"/>
  <c r="N2162"/>
  <c r="N2161"/>
  <c r="N2160"/>
  <c r="N2159"/>
  <c r="N2158"/>
  <c r="N2157"/>
  <c r="N2156"/>
  <c r="N2155"/>
  <c r="N2154"/>
  <c r="N2153"/>
  <c r="N2152"/>
  <c r="N2151"/>
  <c r="N2150"/>
  <c r="N2149"/>
  <c r="N2148"/>
  <c r="N2147"/>
  <c r="N2146"/>
  <c r="N2145"/>
  <c r="N2144"/>
  <c r="N2143"/>
  <c r="N2142"/>
  <c r="N2141"/>
  <c r="N2140"/>
  <c r="N2139"/>
  <c r="N2138"/>
  <c r="N2137"/>
  <c r="N2136"/>
  <c r="N2135"/>
  <c r="N2134"/>
  <c r="N2133"/>
  <c r="N2132"/>
  <c r="N2131"/>
  <c r="N2130"/>
  <c r="N2129"/>
  <c r="N2128"/>
  <c r="N2127"/>
  <c r="N2126"/>
  <c r="N2125"/>
  <c r="N2124"/>
  <c r="N2123"/>
  <c r="N2122"/>
  <c r="N2121"/>
  <c r="N2120"/>
  <c r="N2119"/>
  <c r="N2118"/>
  <c r="N2117"/>
  <c r="N2116"/>
  <c r="N2115"/>
  <c r="N2114"/>
  <c r="N2113"/>
  <c r="N2112"/>
  <c r="N2111"/>
  <c r="N2110"/>
  <c r="N2109"/>
  <c r="N2108"/>
  <c r="N2107"/>
  <c r="N2106"/>
  <c r="N2105"/>
  <c r="N2104"/>
  <c r="N2103"/>
  <c r="N2102"/>
  <c r="N2101"/>
  <c r="N2100"/>
  <c r="N2099"/>
  <c r="N2098"/>
  <c r="N2097"/>
  <c r="N2096"/>
  <c r="N2095"/>
  <c r="N2094"/>
  <c r="N2093"/>
  <c r="N2092"/>
  <c r="N2091"/>
  <c r="N2090"/>
  <c r="N2089"/>
  <c r="N2088"/>
  <c r="N2087"/>
  <c r="N2086"/>
  <c r="N2085"/>
  <c r="N2084"/>
  <c r="N2083"/>
  <c r="N2082"/>
  <c r="N2081"/>
  <c r="N2080"/>
  <c r="N2079"/>
  <c r="N2078"/>
  <c r="N2077"/>
  <c r="N2076"/>
  <c r="N2075"/>
  <c r="N2074"/>
  <c r="N2073"/>
  <c r="N2072"/>
  <c r="N2071"/>
  <c r="N2070"/>
  <c r="N2069"/>
  <c r="N2068"/>
  <c r="N2067"/>
  <c r="N2066"/>
  <c r="N2065"/>
  <c r="N2064"/>
  <c r="N2063"/>
  <c r="N2062"/>
  <c r="N2061"/>
  <c r="N2060"/>
  <c r="N2059"/>
  <c r="N2058"/>
  <c r="N2057"/>
  <c r="N2056"/>
  <c r="N2055"/>
  <c r="N2054"/>
  <c r="N2053"/>
  <c r="N2052"/>
  <c r="N2051"/>
  <c r="N2050"/>
  <c r="N2049"/>
  <c r="N2048"/>
  <c r="N2047"/>
  <c r="N2046"/>
  <c r="N2045"/>
  <c r="N2044"/>
  <c r="N2043"/>
  <c r="N2042"/>
  <c r="N2041"/>
  <c r="N2040"/>
  <c r="N2039"/>
  <c r="N2038"/>
  <c r="N2037"/>
  <c r="N2036"/>
  <c r="N2035"/>
  <c r="N2034"/>
  <c r="N2033"/>
  <c r="N2032"/>
  <c r="N2031"/>
  <c r="N2030"/>
  <c r="N2029"/>
  <c r="N2028"/>
  <c r="N2027"/>
  <c r="N2026"/>
  <c r="N2025"/>
  <c r="N2024"/>
  <c r="N2023"/>
  <c r="N2022"/>
  <c r="N2021"/>
  <c r="N2020"/>
  <c r="N2019"/>
  <c r="N2018"/>
  <c r="N2017"/>
  <c r="N2016"/>
  <c r="N2015"/>
  <c r="N2014"/>
  <c r="N2013"/>
  <c r="N2012"/>
  <c r="N2011"/>
  <c r="N2010"/>
  <c r="N2009"/>
  <c r="N2008"/>
  <c r="N2007"/>
  <c r="N2006"/>
  <c r="N2005"/>
  <c r="N2004"/>
  <c r="N2003"/>
  <c r="N2002"/>
  <c r="N2001"/>
  <c r="N2000"/>
  <c r="N1999"/>
  <c r="N1998"/>
  <c r="N1997"/>
  <c r="N1996"/>
  <c r="N1995"/>
  <c r="N1994"/>
  <c r="N1993"/>
  <c r="N1992"/>
  <c r="N1991"/>
  <c r="N1990"/>
  <c r="N1989"/>
  <c r="N1988"/>
  <c r="N1987"/>
  <c r="N1986"/>
  <c r="N1985"/>
  <c r="N1984"/>
  <c r="N1983"/>
  <c r="N1982"/>
  <c r="N1981"/>
  <c r="N1980"/>
  <c r="N1979"/>
  <c r="N1978"/>
  <c r="N1977"/>
  <c r="N1976"/>
  <c r="N1975"/>
  <c r="N1974"/>
  <c r="N1973"/>
  <c r="N1972"/>
  <c r="N1971"/>
  <c r="N1970"/>
  <c r="N1969"/>
  <c r="N1968"/>
  <c r="N1967"/>
  <c r="N1966"/>
  <c r="N1965"/>
  <c r="N1964"/>
  <c r="N1963"/>
  <c r="N1962"/>
  <c r="N1961"/>
  <c r="N1960"/>
  <c r="N1959"/>
  <c r="N1958"/>
  <c r="N1957"/>
  <c r="N1956"/>
  <c r="N1955"/>
  <c r="N1954"/>
  <c r="N1953"/>
  <c r="N1952"/>
  <c r="N1951"/>
  <c r="N1950"/>
  <c r="N1949"/>
  <c r="N1948"/>
  <c r="N1947"/>
  <c r="N1946"/>
  <c r="N1945"/>
  <c r="N1944"/>
  <c r="N1943"/>
  <c r="N1942"/>
  <c r="N1941"/>
  <c r="N1940"/>
  <c r="N1939"/>
  <c r="N1938"/>
  <c r="N1937"/>
  <c r="N1936"/>
  <c r="N1935"/>
  <c r="N1934"/>
  <c r="N1933"/>
  <c r="N1932"/>
  <c r="N1931"/>
  <c r="N1930"/>
  <c r="N1929"/>
  <c r="N1928"/>
  <c r="N1927"/>
  <c r="N1926"/>
  <c r="N1925"/>
  <c r="N1924"/>
  <c r="N1923"/>
  <c r="N1922"/>
  <c r="N1921"/>
  <c r="N1920"/>
  <c r="N1919"/>
  <c r="N1918"/>
  <c r="N1917"/>
  <c r="N1916"/>
  <c r="N1915"/>
  <c r="N1914"/>
  <c r="N1913"/>
  <c r="N1912"/>
  <c r="N1911"/>
  <c r="N1910"/>
  <c r="N1909"/>
  <c r="N1908"/>
  <c r="N1907"/>
  <c r="N1906"/>
  <c r="N1905"/>
  <c r="N1904"/>
  <c r="N1903"/>
  <c r="N1902"/>
  <c r="N1901"/>
  <c r="N1900"/>
  <c r="N1899"/>
  <c r="N1898"/>
  <c r="N1897"/>
  <c r="N1896"/>
  <c r="N1895"/>
  <c r="N1894"/>
  <c r="N1893"/>
  <c r="N1892"/>
  <c r="N1891"/>
  <c r="N1890"/>
  <c r="N1889"/>
  <c r="N1888"/>
  <c r="N1887"/>
  <c r="N1886"/>
  <c r="N1885"/>
  <c r="N1884"/>
  <c r="N1883"/>
  <c r="N1882"/>
  <c r="N1881"/>
  <c r="N1880"/>
  <c r="N1879"/>
  <c r="N1878"/>
  <c r="N1877"/>
  <c r="N1876"/>
  <c r="N1875"/>
  <c r="N1874"/>
  <c r="N1873"/>
  <c r="N1872"/>
  <c r="N1871"/>
  <c r="N1870"/>
  <c r="N1869"/>
  <c r="N1868"/>
  <c r="N1867"/>
  <c r="N1866"/>
  <c r="N1865"/>
  <c r="N1864"/>
  <c r="N1863"/>
  <c r="N1862"/>
  <c r="N1861"/>
  <c r="N1860"/>
  <c r="N1859"/>
  <c r="N1858"/>
  <c r="N1857"/>
  <c r="N1856"/>
  <c r="N1855"/>
  <c r="N1854"/>
  <c r="N1853"/>
  <c r="N1852"/>
  <c r="N1851"/>
  <c r="N1850"/>
  <c r="N1849"/>
  <c r="N1848"/>
  <c r="N1847"/>
  <c r="N1846"/>
  <c r="N1845"/>
  <c r="N1844"/>
  <c r="N1843"/>
  <c r="N1842"/>
  <c r="N1841"/>
  <c r="N1840"/>
  <c r="N1839"/>
  <c r="N1838"/>
  <c r="N1837"/>
  <c r="N1836"/>
  <c r="N1835"/>
  <c r="N1834"/>
  <c r="N1833"/>
  <c r="N1832"/>
  <c r="N1831"/>
  <c r="N1830"/>
  <c r="N1829"/>
  <c r="N1828"/>
  <c r="N1827"/>
  <c r="N1826"/>
  <c r="N1825"/>
  <c r="N1824"/>
  <c r="N1823"/>
  <c r="N1822"/>
  <c r="N1821"/>
  <c r="N1820"/>
  <c r="N1819"/>
  <c r="N1818"/>
  <c r="N1817"/>
  <c r="N1816"/>
  <c r="N1815"/>
  <c r="N1814"/>
  <c r="N1813"/>
  <c r="N1812"/>
  <c r="N1811"/>
  <c r="N1810"/>
  <c r="N1809"/>
  <c r="N1808"/>
  <c r="N1807"/>
  <c r="N1806"/>
  <c r="N1805"/>
  <c r="N1804"/>
  <c r="N1803"/>
  <c r="N1802"/>
  <c r="N1801"/>
  <c r="N1800"/>
  <c r="N1799"/>
  <c r="N1798"/>
  <c r="N1797"/>
  <c r="N1796"/>
  <c r="N1795"/>
  <c r="N1794"/>
  <c r="N1793"/>
  <c r="N1792"/>
  <c r="N1791"/>
  <c r="N1790"/>
  <c r="N1789"/>
  <c r="N1788"/>
  <c r="N1787"/>
  <c r="N1786"/>
  <c r="N1785"/>
  <c r="N1784"/>
  <c r="N1783"/>
  <c r="N1782"/>
  <c r="N1781"/>
  <c r="N1780"/>
  <c r="N1779"/>
  <c r="N1778"/>
  <c r="N1777"/>
  <c r="N1776"/>
  <c r="N1775"/>
  <c r="N1774"/>
  <c r="N1773"/>
  <c r="N1772"/>
  <c r="N1771"/>
  <c r="N1770"/>
  <c r="N1769"/>
  <c r="N1768"/>
  <c r="N1767"/>
  <c r="N1766"/>
  <c r="N1765"/>
  <c r="N1764"/>
  <c r="N1763"/>
  <c r="N1762"/>
  <c r="N1761"/>
  <c r="N1760"/>
  <c r="N1759"/>
  <c r="N1758"/>
  <c r="N1757"/>
  <c r="N1756"/>
  <c r="N1755"/>
  <c r="N1754"/>
  <c r="N1753"/>
  <c r="N1752"/>
  <c r="N1751"/>
  <c r="N1750"/>
  <c r="N1749"/>
  <c r="N1748"/>
  <c r="N1747"/>
  <c r="N1746"/>
  <c r="N1745"/>
  <c r="N1744"/>
  <c r="N1743"/>
  <c r="N1742"/>
  <c r="N1741"/>
  <c r="N1740"/>
  <c r="N1739"/>
  <c r="N1738"/>
  <c r="N1737"/>
  <c r="N1736"/>
  <c r="N1735"/>
  <c r="N1734"/>
  <c r="N1733"/>
  <c r="N1732"/>
  <c r="N1731"/>
  <c r="N1730"/>
  <c r="N1729"/>
  <c r="N1728"/>
  <c r="N1727"/>
  <c r="N1726"/>
  <c r="N1725"/>
  <c r="N1724"/>
  <c r="N1723"/>
  <c r="N1722"/>
  <c r="N1721"/>
  <c r="N1720"/>
  <c r="N1719"/>
  <c r="N1718"/>
  <c r="N1717"/>
  <c r="N1716"/>
  <c r="N1715"/>
  <c r="N1714"/>
  <c r="N1713"/>
  <c r="N1712"/>
  <c r="N1711"/>
  <c r="N1710"/>
  <c r="N1709"/>
  <c r="N1708"/>
  <c r="N1707"/>
  <c r="N1706"/>
  <c r="N1705"/>
  <c r="N1704"/>
  <c r="N1703"/>
  <c r="N1702"/>
  <c r="N1701"/>
  <c r="N1700"/>
  <c r="N1699"/>
  <c r="N1698"/>
  <c r="N1697"/>
  <c r="N1696"/>
  <c r="N1695"/>
  <c r="N1694"/>
  <c r="N1693"/>
  <c r="N1692"/>
  <c r="N1691"/>
  <c r="N1690"/>
  <c r="N1689"/>
  <c r="N1688"/>
  <c r="N1687"/>
  <c r="N1686"/>
  <c r="N1685"/>
  <c r="N1684"/>
  <c r="N1683"/>
  <c r="N1682"/>
  <c r="N1681"/>
  <c r="N1680"/>
  <c r="N1679"/>
  <c r="N1678"/>
  <c r="N1677"/>
  <c r="N1676"/>
  <c r="N1675"/>
  <c r="N1674"/>
  <c r="N1673"/>
  <c r="N1672"/>
  <c r="N1671"/>
  <c r="N1670"/>
  <c r="N1669"/>
  <c r="N1668"/>
  <c r="N1667"/>
  <c r="N1666"/>
  <c r="N1665"/>
  <c r="N1664"/>
  <c r="N1663"/>
  <c r="N1662"/>
  <c r="N1661"/>
  <c r="N1660"/>
  <c r="N1659"/>
  <c r="N1658"/>
  <c r="N1657"/>
  <c r="N1656"/>
  <c r="N1655"/>
  <c r="N1654"/>
  <c r="N1653"/>
  <c r="N1652"/>
  <c r="N1651"/>
  <c r="N1650"/>
  <c r="N1649"/>
  <c r="N1648"/>
  <c r="N1647"/>
  <c r="N1646"/>
  <c r="N1645"/>
  <c r="N1644"/>
  <c r="N1643"/>
  <c r="N1642"/>
  <c r="N1641"/>
  <c r="N1640"/>
  <c r="N1639"/>
  <c r="N1638"/>
  <c r="N1637"/>
  <c r="N1636"/>
  <c r="N1635"/>
  <c r="N1634"/>
  <c r="N1633"/>
  <c r="N1632"/>
  <c r="N1631"/>
  <c r="N1630"/>
  <c r="N1629"/>
  <c r="N1628"/>
  <c r="N1627"/>
  <c r="N1626"/>
  <c r="N1625"/>
  <c r="N1624"/>
  <c r="N1623"/>
  <c r="N1622"/>
  <c r="N1621"/>
  <c r="N1620"/>
  <c r="N1619"/>
  <c r="N1618"/>
  <c r="N1617"/>
  <c r="N1616"/>
  <c r="N1615"/>
  <c r="N1614"/>
  <c r="N1613"/>
  <c r="N1612"/>
  <c r="N1611"/>
  <c r="N1610"/>
  <c r="N1609"/>
  <c r="N1608"/>
  <c r="N1607"/>
  <c r="N1606"/>
  <c r="N1605"/>
  <c r="N1604"/>
  <c r="N1603"/>
  <c r="N1602"/>
  <c r="N1601"/>
  <c r="N1600"/>
  <c r="N1599"/>
  <c r="N1598"/>
  <c r="N1597"/>
  <c r="N1596"/>
  <c r="N1595"/>
  <c r="N1594"/>
  <c r="N1593"/>
  <c r="N1592"/>
  <c r="N1591"/>
  <c r="N1590"/>
  <c r="N1589"/>
  <c r="N1588"/>
  <c r="N1587"/>
  <c r="N1586"/>
  <c r="N1585"/>
  <c r="N1584"/>
  <c r="N1583"/>
  <c r="N1582"/>
  <c r="N1581"/>
  <c r="N1580"/>
  <c r="N1579"/>
  <c r="N1578"/>
  <c r="N1577"/>
  <c r="N1576"/>
  <c r="N1575"/>
  <c r="N1574"/>
  <c r="N1573"/>
  <c r="N1572"/>
  <c r="N1571"/>
  <c r="N1570"/>
  <c r="N1569"/>
  <c r="N1568"/>
  <c r="N1567"/>
  <c r="N1566"/>
  <c r="N1565"/>
  <c r="N1564"/>
  <c r="N1563"/>
  <c r="N1562"/>
  <c r="N1561"/>
  <c r="N1560"/>
  <c r="N1559"/>
  <c r="N1558"/>
  <c r="N1557"/>
  <c r="N1556"/>
  <c r="N1555"/>
  <c r="N1554"/>
  <c r="N1553"/>
  <c r="N1552"/>
  <c r="N1551"/>
  <c r="N1550"/>
  <c r="N1549"/>
  <c r="N1548"/>
  <c r="N1547"/>
  <c r="N1546"/>
  <c r="N1545"/>
  <c r="N1544"/>
  <c r="N1543"/>
  <c r="N1542"/>
  <c r="N1541"/>
  <c r="N1540"/>
  <c r="N1539"/>
  <c r="N1538"/>
  <c r="N1537"/>
  <c r="N1536"/>
  <c r="N1535"/>
  <c r="N1534"/>
  <c r="N1533"/>
  <c r="N1532"/>
  <c r="N1531"/>
  <c r="N1530"/>
  <c r="N1529"/>
  <c r="N1528"/>
  <c r="N1527"/>
  <c r="N1526"/>
  <c r="N1525"/>
  <c r="N1524"/>
  <c r="N1523"/>
  <c r="N1522"/>
  <c r="N1521"/>
  <c r="N1520"/>
  <c r="N1519"/>
  <c r="N1518"/>
  <c r="N1517"/>
  <c r="N1516"/>
  <c r="N1515"/>
  <c r="N1514"/>
  <c r="N1513"/>
  <c r="N1512"/>
  <c r="N1511"/>
  <c r="N1510"/>
  <c r="N1509"/>
  <c r="N1508"/>
  <c r="N1507"/>
  <c r="N1506"/>
  <c r="N1505"/>
  <c r="N1504"/>
  <c r="N1503"/>
  <c r="N1502"/>
  <c r="N1501"/>
  <c r="N1500"/>
  <c r="N1499"/>
  <c r="N1498"/>
  <c r="N1497"/>
  <c r="N1496"/>
  <c r="N1495"/>
  <c r="N1494"/>
  <c r="N1493"/>
  <c r="N1492"/>
  <c r="N1491"/>
  <c r="N1490"/>
  <c r="N1489"/>
  <c r="N1488"/>
  <c r="N1487"/>
  <c r="N1486"/>
  <c r="N1485"/>
  <c r="N1484"/>
  <c r="N1483"/>
  <c r="N1482"/>
  <c r="N1481"/>
  <c r="N1480"/>
  <c r="N1479"/>
  <c r="N1478"/>
  <c r="N1477"/>
  <c r="N1476"/>
  <c r="N1475"/>
  <c r="N1474"/>
  <c r="N1473"/>
  <c r="N1472"/>
  <c r="N1471"/>
  <c r="N1470"/>
  <c r="N1469"/>
  <c r="N1468"/>
  <c r="N1467"/>
  <c r="N1466"/>
  <c r="N1465"/>
  <c r="N1464"/>
  <c r="N1463"/>
  <c r="N1462"/>
  <c r="N1461"/>
  <c r="N1460"/>
  <c r="N1459"/>
  <c r="N1458"/>
  <c r="N1457"/>
  <c r="N1456"/>
  <c r="N1455"/>
  <c r="N1454"/>
  <c r="N1453"/>
  <c r="N1452"/>
  <c r="N1451"/>
  <c r="N1450"/>
  <c r="N1449"/>
  <c r="N1448"/>
  <c r="N1447"/>
  <c r="N1446"/>
  <c r="N1445"/>
  <c r="N1444"/>
  <c r="N1443"/>
  <c r="N1442"/>
  <c r="N1441"/>
  <c r="N1440"/>
  <c r="N1439"/>
  <c r="N1438"/>
  <c r="N1437"/>
  <c r="N1436"/>
  <c r="N1435"/>
  <c r="N1434"/>
  <c r="N1433"/>
  <c r="N1432"/>
  <c r="N1431"/>
  <c r="N1430"/>
  <c r="N1429"/>
  <c r="N1428"/>
  <c r="N1427"/>
  <c r="N1426"/>
  <c r="N1425"/>
  <c r="N1424"/>
  <c r="N1423"/>
  <c r="N1422"/>
  <c r="N1421"/>
  <c r="N1420"/>
  <c r="N1419"/>
  <c r="N1418"/>
  <c r="N1417"/>
  <c r="N1416"/>
  <c r="N1415"/>
  <c r="N1414"/>
  <c r="N1413"/>
  <c r="N1412"/>
  <c r="N1411"/>
  <c r="N1410"/>
  <c r="N1409"/>
  <c r="N1408"/>
  <c r="N1407"/>
  <c r="N1406"/>
  <c r="N1405"/>
  <c r="N1404"/>
  <c r="N1403"/>
  <c r="N1402"/>
  <c r="N1401"/>
  <c r="N1400"/>
  <c r="N1399"/>
  <c r="N1398"/>
  <c r="N1397"/>
  <c r="N1396"/>
  <c r="N1395"/>
  <c r="N1394"/>
  <c r="N1393"/>
  <c r="N1392"/>
  <c r="N1391"/>
  <c r="N1390"/>
  <c r="N1389"/>
  <c r="N1388"/>
  <c r="N1387"/>
  <c r="N1386"/>
  <c r="N1385"/>
  <c r="N1384"/>
  <c r="N1383"/>
  <c r="N1382"/>
  <c r="N1381"/>
  <c r="N1380"/>
  <c r="N1379"/>
  <c r="N1378"/>
  <c r="N1377"/>
  <c r="N1376"/>
  <c r="N1375"/>
  <c r="N1374"/>
  <c r="N1373"/>
  <c r="N1372"/>
  <c r="N1371"/>
  <c r="N1370"/>
  <c r="N1369"/>
  <c r="N1368"/>
  <c r="N1367"/>
  <c r="N1366"/>
  <c r="N1365"/>
  <c r="N1364"/>
  <c r="N1363"/>
  <c r="N1362"/>
  <c r="N1361"/>
  <c r="N1360"/>
  <c r="N1359"/>
  <c r="N1358"/>
  <c r="N1357"/>
  <c r="N1356"/>
  <c r="N1355"/>
  <c r="N1354"/>
  <c r="N1353"/>
  <c r="N1352"/>
  <c r="N1351"/>
  <c r="N1350"/>
  <c r="N1349"/>
  <c r="N1348"/>
  <c r="N1347"/>
  <c r="N1346"/>
  <c r="N1345"/>
  <c r="N1344"/>
  <c r="N1343"/>
  <c r="N1342"/>
  <c r="N1341"/>
  <c r="N1340"/>
  <c r="N1339"/>
  <c r="N1338"/>
  <c r="N1337"/>
  <c r="N1336"/>
  <c r="N1335"/>
  <c r="N1334"/>
  <c r="N1333"/>
  <c r="N1332"/>
  <c r="N1331"/>
  <c r="N1330"/>
  <c r="N1329"/>
  <c r="N1328"/>
  <c r="N1327"/>
  <c r="N1326"/>
  <c r="N1325"/>
  <c r="N1324"/>
  <c r="N1323"/>
  <c r="N1322"/>
  <c r="N1321"/>
  <c r="N1320"/>
  <c r="N1319"/>
  <c r="N1318"/>
  <c r="N1317"/>
  <c r="N1316"/>
  <c r="N1315"/>
  <c r="N1314"/>
  <c r="N1313"/>
  <c r="N1312"/>
  <c r="N1311"/>
  <c r="N1310"/>
  <c r="N1309"/>
  <c r="N1308"/>
  <c r="N1307"/>
  <c r="N1306"/>
  <c r="N1305"/>
  <c r="N1304"/>
  <c r="N1303"/>
  <c r="N1302"/>
  <c r="N1301"/>
  <c r="N1300"/>
  <c r="N1299"/>
  <c r="N1298"/>
  <c r="N1297"/>
  <c r="N1296"/>
  <c r="N1295"/>
  <c r="N1294"/>
  <c r="N1293"/>
  <c r="N1292"/>
  <c r="N1291"/>
  <c r="N1290"/>
  <c r="N1289"/>
  <c r="N1288"/>
  <c r="N1287"/>
  <c r="N1286"/>
  <c r="N1285"/>
  <c r="N1284"/>
  <c r="N1283"/>
  <c r="N1282"/>
  <c r="N1281"/>
  <c r="N1280"/>
  <c r="N1279"/>
  <c r="N1278"/>
  <c r="N1277"/>
  <c r="N1276"/>
  <c r="N1275"/>
  <c r="N1274"/>
  <c r="N1273"/>
  <c r="N1272"/>
  <c r="N1271"/>
  <c r="N1270"/>
  <c r="N1269"/>
  <c r="N1268"/>
  <c r="N1267"/>
  <c r="N1266"/>
  <c r="N1265"/>
  <c r="N1264"/>
  <c r="N1263"/>
  <c r="N1262"/>
  <c r="N1261"/>
  <c r="N1260"/>
  <c r="N1259"/>
  <c r="N1258"/>
  <c r="N1257"/>
  <c r="N1256"/>
  <c r="N1255"/>
  <c r="N1254"/>
  <c r="N1253"/>
  <c r="N1252"/>
  <c r="N1251"/>
  <c r="N1250"/>
  <c r="N1249"/>
  <c r="N1248"/>
  <c r="N1247"/>
  <c r="N1246"/>
  <c r="N1245"/>
  <c r="N1244"/>
  <c r="N1243"/>
  <c r="N1242"/>
  <c r="N1241"/>
  <c r="N1240"/>
  <c r="N1239"/>
  <c r="N1238"/>
  <c r="N1237"/>
  <c r="N1236"/>
  <c r="N1235"/>
  <c r="N1234"/>
  <c r="N1233"/>
  <c r="N1232"/>
  <c r="N1231"/>
  <c r="N1230"/>
  <c r="N1229"/>
  <c r="N1228"/>
  <c r="N1227"/>
  <c r="N1226"/>
  <c r="N1225"/>
  <c r="N1224"/>
  <c r="N1223"/>
  <c r="N1222"/>
  <c r="N1221"/>
  <c r="N1220"/>
  <c r="N1219"/>
  <c r="N1218"/>
  <c r="N1217"/>
  <c r="N1216"/>
  <c r="N1215"/>
  <c r="N1214"/>
  <c r="N1213"/>
  <c r="N1212"/>
  <c r="N1211"/>
  <c r="N1210"/>
  <c r="N1209"/>
  <c r="N1208"/>
  <c r="N1207"/>
  <c r="N1206"/>
  <c r="N1205"/>
  <c r="N1204"/>
  <c r="N1203"/>
  <c r="N1202"/>
  <c r="N1201"/>
  <c r="N1200"/>
  <c r="N1199"/>
  <c r="N1198"/>
  <c r="N1197"/>
  <c r="N1196"/>
  <c r="N1195"/>
  <c r="N1194"/>
  <c r="N1193"/>
  <c r="N1192"/>
  <c r="N1191"/>
  <c r="N1190"/>
  <c r="N1189"/>
  <c r="N1188"/>
  <c r="N1187"/>
  <c r="N1186"/>
  <c r="N1185"/>
  <c r="N1184"/>
  <c r="N1183"/>
  <c r="N1182"/>
  <c r="N1181"/>
  <c r="N1180"/>
  <c r="N1179"/>
  <c r="N1178"/>
  <c r="N1177"/>
  <c r="N1176"/>
  <c r="N1175"/>
  <c r="N1174"/>
  <c r="N1173"/>
  <c r="N1172"/>
  <c r="N1171"/>
  <c r="N1170"/>
  <c r="N1169"/>
  <c r="N1168"/>
  <c r="N1167"/>
  <c r="N1166"/>
  <c r="N1165"/>
  <c r="N1164"/>
  <c r="N1163"/>
  <c r="N1162"/>
  <c r="N1161"/>
  <c r="N1160"/>
  <c r="N1159"/>
  <c r="N1158"/>
  <c r="N1157"/>
  <c r="N1156"/>
  <c r="N1155"/>
  <c r="N1154"/>
  <c r="N1153"/>
  <c r="N1152"/>
  <c r="N1151"/>
  <c r="N1150"/>
  <c r="N1149"/>
  <c r="N1148"/>
  <c r="N1147"/>
  <c r="N1146"/>
  <c r="N1145"/>
  <c r="N1144"/>
  <c r="N1143"/>
  <c r="N1142"/>
  <c r="N1141"/>
  <c r="N1140"/>
  <c r="N1139"/>
  <c r="N1138"/>
  <c r="N1137"/>
  <c r="N1136"/>
  <c r="N1135"/>
  <c r="N1134"/>
  <c r="N1133"/>
  <c r="N1132"/>
  <c r="N1131"/>
  <c r="N1130"/>
  <c r="N1129"/>
  <c r="N1128"/>
  <c r="N1127"/>
  <c r="N1126"/>
  <c r="N1125"/>
  <c r="N1124"/>
  <c r="N1123"/>
  <c r="N1122"/>
  <c r="N1121"/>
  <c r="N1120"/>
  <c r="N1119"/>
  <c r="N1118"/>
  <c r="N1117"/>
  <c r="N1116"/>
  <c r="N1115"/>
  <c r="N1114"/>
  <c r="N1113"/>
  <c r="N1112"/>
  <c r="N1111"/>
  <c r="N1110"/>
  <c r="N1109"/>
  <c r="N1108"/>
  <c r="N1107"/>
  <c r="N1106"/>
  <c r="N1105"/>
  <c r="N1104"/>
  <c r="N1103"/>
  <c r="N1102"/>
  <c r="N1101"/>
  <c r="N1100"/>
  <c r="N1099"/>
  <c r="N1098"/>
  <c r="N1097"/>
  <c r="N1096"/>
  <c r="N1095"/>
  <c r="N1094"/>
  <c r="N1093"/>
  <c r="N1092"/>
  <c r="N1091"/>
  <c r="N1090"/>
  <c r="N1089"/>
  <c r="N1088"/>
  <c r="N1087"/>
  <c r="N1086"/>
  <c r="N1085"/>
  <c r="N1084"/>
  <c r="N1083"/>
  <c r="N1082"/>
  <c r="N1081"/>
  <c r="N1080"/>
  <c r="N1079"/>
  <c r="N1078"/>
  <c r="N1077"/>
  <c r="N1076"/>
  <c r="N1075"/>
  <c r="N1074"/>
  <c r="N1073"/>
  <c r="N1072"/>
  <c r="N1071"/>
  <c r="N1070"/>
  <c r="N1069"/>
  <c r="N1068"/>
  <c r="N1067"/>
  <c r="N1066"/>
  <c r="N1065"/>
  <c r="N1064"/>
  <c r="N1063"/>
  <c r="N1062"/>
  <c r="N1061"/>
  <c r="N1060"/>
  <c r="N1059"/>
  <c r="N1058"/>
  <c r="N1057"/>
  <c r="N1056"/>
  <c r="N1055"/>
  <c r="N1054"/>
  <c r="N1053"/>
  <c r="N1052"/>
  <c r="N1051"/>
  <c r="N1050"/>
  <c r="N1049"/>
  <c r="N1048"/>
  <c r="N1047"/>
  <c r="N1046"/>
  <c r="N1045"/>
  <c r="N1044"/>
  <c r="N1043"/>
  <c r="N1042"/>
  <c r="N1041"/>
  <c r="N1040"/>
  <c r="N1039"/>
  <c r="N1038"/>
  <c r="N1037"/>
  <c r="N1036"/>
  <c r="N1035"/>
  <c r="N1034"/>
  <c r="N1033"/>
  <c r="N1032"/>
  <c r="N1031"/>
  <c r="N1030"/>
  <c r="N1029"/>
  <c r="N1028"/>
  <c r="N1027"/>
  <c r="N1026"/>
  <c r="N1025"/>
  <c r="N1024"/>
  <c r="N1023"/>
  <c r="N1022"/>
  <c r="N1021"/>
  <c r="N1020"/>
  <c r="N1019"/>
  <c r="N1018"/>
  <c r="N1017"/>
  <c r="N1016"/>
  <c r="N1015"/>
  <c r="N1014"/>
  <c r="N1013"/>
  <c r="N1012"/>
  <c r="N1011"/>
  <c r="N1010"/>
  <c r="N1009"/>
  <c r="N1008"/>
  <c r="N1007"/>
  <c r="N1006"/>
  <c r="N1005"/>
  <c r="N1004"/>
  <c r="N1003"/>
  <c r="N1002"/>
  <c r="N1001"/>
  <c r="N1000"/>
  <c r="N999"/>
  <c r="N998"/>
  <c r="N997"/>
  <c r="N996"/>
  <c r="N995"/>
  <c r="N994"/>
  <c r="N993"/>
  <c r="N992"/>
  <c r="N991"/>
  <c r="N990"/>
  <c r="N989"/>
  <c r="N988"/>
  <c r="N987"/>
  <c r="N986"/>
  <c r="N985"/>
  <c r="N984"/>
  <c r="N983"/>
  <c r="N982"/>
  <c r="N981"/>
  <c r="N980"/>
  <c r="N979"/>
  <c r="N978"/>
  <c r="N977"/>
  <c r="N976"/>
  <c r="N975"/>
  <c r="N974"/>
  <c r="N973"/>
  <c r="N972"/>
  <c r="N971"/>
  <c r="N970"/>
  <c r="N969"/>
  <c r="N968"/>
  <c r="N967"/>
  <c r="N966"/>
  <c r="N965"/>
  <c r="N964"/>
  <c r="N963"/>
  <c r="N962"/>
  <c r="N961"/>
  <c r="N960"/>
  <c r="N959"/>
  <c r="N958"/>
  <c r="N957"/>
  <c r="N956"/>
  <c r="N955"/>
  <c r="N954"/>
  <c r="N953"/>
  <c r="N952"/>
  <c r="N951"/>
  <c r="N950"/>
  <c r="N949"/>
  <c r="N948"/>
  <c r="N947"/>
  <c r="N946"/>
  <c r="N945"/>
  <c r="N944"/>
  <c r="N943"/>
  <c r="N942"/>
  <c r="N941"/>
  <c r="N940"/>
  <c r="N939"/>
  <c r="N938"/>
  <c r="N937"/>
  <c r="N936"/>
  <c r="N935"/>
  <c r="N934"/>
  <c r="N933"/>
  <c r="N932"/>
  <c r="N931"/>
  <c r="N930"/>
  <c r="N929"/>
  <c r="N928"/>
  <c r="N927"/>
  <c r="N926"/>
  <c r="N925"/>
  <c r="N924"/>
  <c r="N923"/>
  <c r="N922"/>
  <c r="N921"/>
  <c r="N920"/>
  <c r="N919"/>
  <c r="N918"/>
  <c r="N917"/>
  <c r="N916"/>
  <c r="N915"/>
  <c r="N914"/>
  <c r="N913"/>
  <c r="N912"/>
  <c r="N911"/>
  <c r="N910"/>
  <c r="N909"/>
  <c r="N908"/>
  <c r="N907"/>
  <c r="N906"/>
  <c r="N905"/>
  <c r="N904"/>
  <c r="N903"/>
  <c r="N902"/>
  <c r="N901"/>
  <c r="N900"/>
  <c r="N899"/>
  <c r="N898"/>
  <c r="N897"/>
  <c r="N896"/>
  <c r="N895"/>
  <c r="N894"/>
  <c r="N893"/>
  <c r="N892"/>
  <c r="N891"/>
  <c r="N890"/>
  <c r="N889"/>
  <c r="N888"/>
  <c r="N887"/>
  <c r="N886"/>
  <c r="N885"/>
  <c r="N884"/>
  <c r="N883"/>
  <c r="N882"/>
  <c r="N881"/>
  <c r="N880"/>
  <c r="N879"/>
  <c r="N878"/>
  <c r="N877"/>
  <c r="N876"/>
  <c r="N875"/>
  <c r="N874"/>
  <c r="N873"/>
  <c r="N872"/>
  <c r="N871"/>
  <c r="N870"/>
  <c r="N869"/>
  <c r="N868"/>
  <c r="N867"/>
  <c r="N866"/>
  <c r="N865"/>
  <c r="N864"/>
  <c r="N863"/>
  <c r="N862"/>
  <c r="N861"/>
  <c r="N860"/>
  <c r="N859"/>
  <c r="N858"/>
  <c r="N857"/>
  <c r="N856"/>
  <c r="N855"/>
  <c r="N854"/>
  <c r="N853"/>
  <c r="N852"/>
  <c r="N851"/>
  <c r="N850"/>
  <c r="N849"/>
  <c r="N848"/>
  <c r="N847"/>
  <c r="N846"/>
  <c r="N845"/>
  <c r="N844"/>
  <c r="N843"/>
  <c r="N842"/>
  <c r="N841"/>
  <c r="N840"/>
  <c r="N839"/>
  <c r="N838"/>
  <c r="N837"/>
  <c r="N836"/>
  <c r="N835"/>
  <c r="N834"/>
  <c r="N833"/>
  <c r="N832"/>
  <c r="N831"/>
  <c r="N830"/>
  <c r="N829"/>
  <c r="N828"/>
  <c r="N827"/>
  <c r="N826"/>
  <c r="N825"/>
  <c r="N824"/>
  <c r="N823"/>
  <c r="N822"/>
  <c r="N821"/>
  <c r="N820"/>
  <c r="N819"/>
  <c r="N818"/>
  <c r="N817"/>
  <c r="N816"/>
  <c r="N815"/>
  <c r="N814"/>
  <c r="N813"/>
  <c r="N812"/>
  <c r="N811"/>
  <c r="N810"/>
  <c r="N809"/>
  <c r="N808"/>
  <c r="N807"/>
  <c r="N806"/>
  <c r="N805"/>
  <c r="N804"/>
  <c r="N803"/>
  <c r="N802"/>
  <c r="N801"/>
  <c r="N800"/>
  <c r="N799"/>
  <c r="N798"/>
  <c r="N797"/>
  <c r="N796"/>
  <c r="N795"/>
  <c r="N794"/>
  <c r="N793"/>
  <c r="N792"/>
  <c r="N791"/>
  <c r="N790"/>
  <c r="N789"/>
  <c r="N788"/>
  <c r="N787"/>
  <c r="N786"/>
  <c r="N785"/>
  <c r="N784"/>
  <c r="N783"/>
  <c r="N782"/>
  <c r="N781"/>
  <c r="N780"/>
  <c r="N779"/>
  <c r="N778"/>
  <c r="N777"/>
  <c r="N776"/>
  <c r="N775"/>
  <c r="N774"/>
  <c r="N773"/>
  <c r="N772"/>
  <c r="N771"/>
  <c r="N770"/>
  <c r="N769"/>
  <c r="N768"/>
  <c r="N767"/>
  <c r="N766"/>
  <c r="N765"/>
  <c r="N764"/>
  <c r="N763"/>
  <c r="N762"/>
  <c r="N761"/>
  <c r="N760"/>
  <c r="N759"/>
  <c r="N758"/>
  <c r="N757"/>
  <c r="N756"/>
  <c r="N755"/>
  <c r="N754"/>
  <c r="N753"/>
  <c r="N752"/>
  <c r="N751"/>
  <c r="N750"/>
  <c r="N749"/>
  <c r="N748"/>
  <c r="N747"/>
  <c r="N746"/>
  <c r="N745"/>
  <c r="N744"/>
  <c r="N743"/>
  <c r="N742"/>
  <c r="N741"/>
  <c r="N740"/>
  <c r="N739"/>
  <c r="N738"/>
  <c r="N737"/>
  <c r="N736"/>
  <c r="N735"/>
  <c r="N734"/>
  <c r="N733"/>
  <c r="N732"/>
  <c r="N731"/>
  <c r="N730"/>
  <c r="N729"/>
  <c r="N728"/>
  <c r="N727"/>
  <c r="N726"/>
  <c r="N725"/>
  <c r="N724"/>
  <c r="N723"/>
  <c r="N722"/>
  <c r="N721"/>
  <c r="N720"/>
  <c r="N719"/>
  <c r="N718"/>
  <c r="N717"/>
  <c r="N716"/>
  <c r="N715"/>
  <c r="N714"/>
  <c r="N713"/>
  <c r="N712"/>
  <c r="N711"/>
  <c r="N710"/>
  <c r="N709"/>
  <c r="N708"/>
  <c r="N707"/>
  <c r="N706"/>
  <c r="N705"/>
  <c r="N704"/>
  <c r="N703"/>
  <c r="N702"/>
  <c r="N701"/>
  <c r="N700"/>
  <c r="N699"/>
  <c r="N698"/>
  <c r="N697"/>
  <c r="N696"/>
  <c r="N695"/>
  <c r="N694"/>
  <c r="N693"/>
  <c r="N692"/>
  <c r="N691"/>
  <c r="N690"/>
  <c r="N689"/>
  <c r="N688"/>
  <c r="N687"/>
  <c r="N686"/>
  <c r="N685"/>
  <c r="N684"/>
  <c r="N683"/>
  <c r="N682"/>
  <c r="N681"/>
  <c r="N680"/>
  <c r="N679"/>
  <c r="N678"/>
  <c r="N677"/>
  <c r="N676"/>
  <c r="N675"/>
  <c r="N674"/>
  <c r="N673"/>
  <c r="N672"/>
  <c r="N671"/>
  <c r="N670"/>
  <c r="N669"/>
  <c r="N668"/>
  <c r="N667"/>
  <c r="N666"/>
  <c r="N665"/>
  <c r="N664"/>
  <c r="N663"/>
  <c r="N662"/>
  <c r="N661"/>
  <c r="N660"/>
  <c r="N659"/>
  <c r="N658"/>
  <c r="N657"/>
  <c r="N656"/>
  <c r="N655"/>
  <c r="N654"/>
  <c r="N653"/>
  <c r="N652"/>
  <c r="N651"/>
  <c r="N650"/>
  <c r="N649"/>
  <c r="N648"/>
  <c r="N647"/>
  <c r="N646"/>
  <c r="N645"/>
  <c r="N644"/>
  <c r="N643"/>
  <c r="N642"/>
  <c r="N641"/>
  <c r="N640"/>
  <c r="N639"/>
  <c r="N638"/>
  <c r="N637"/>
  <c r="N636"/>
  <c r="N635"/>
  <c r="N634"/>
  <c r="N633"/>
  <c r="N632"/>
  <c r="N631"/>
  <c r="N630"/>
  <c r="N629"/>
  <c r="N628"/>
  <c r="N627"/>
  <c r="N626"/>
  <c r="N625"/>
  <c r="N624"/>
  <c r="N623"/>
  <c r="N622"/>
  <c r="N621"/>
  <c r="N620"/>
  <c r="N619"/>
  <c r="N618"/>
  <c r="N617"/>
  <c r="N616"/>
  <c r="N615"/>
  <c r="N614"/>
  <c r="N613"/>
  <c r="N612"/>
  <c r="N611"/>
  <c r="N610"/>
  <c r="N609"/>
  <c r="N608"/>
  <c r="N607"/>
  <c r="N606"/>
  <c r="N605"/>
  <c r="N604"/>
  <c r="N603"/>
  <c r="N602"/>
  <c r="N601"/>
  <c r="N600"/>
  <c r="N599"/>
  <c r="N598"/>
  <c r="N597"/>
  <c r="N596"/>
  <c r="N595"/>
  <c r="N594"/>
  <c r="N593"/>
  <c r="N592"/>
  <c r="N591"/>
  <c r="N590"/>
  <c r="N589"/>
  <c r="N588"/>
  <c r="N587"/>
  <c r="N586"/>
  <c r="N585"/>
  <c r="N584"/>
  <c r="N583"/>
  <c r="N582"/>
  <c r="N581"/>
  <c r="N580"/>
  <c r="N579"/>
  <c r="N578"/>
  <c r="N577"/>
  <c r="N576"/>
  <c r="N575"/>
  <c r="N574"/>
  <c r="N573"/>
  <c r="N572"/>
  <c r="N571"/>
  <c r="N570"/>
  <c r="N569"/>
  <c r="N568"/>
  <c r="N567"/>
  <c r="N566"/>
  <c r="N565"/>
  <c r="N564"/>
  <c r="N563"/>
  <c r="N562"/>
  <c r="N561"/>
  <c r="N560"/>
  <c r="N559"/>
  <c r="N558"/>
  <c r="N557"/>
  <c r="N556"/>
  <c r="N555"/>
  <c r="N554"/>
  <c r="N553"/>
  <c r="N552"/>
  <c r="N551"/>
  <c r="N550"/>
  <c r="N549"/>
  <c r="N548"/>
  <c r="N547"/>
  <c r="N546"/>
  <c r="N545"/>
  <c r="N544"/>
  <c r="N543"/>
  <c r="N542"/>
  <c r="N541"/>
  <c r="N540"/>
  <c r="N539"/>
  <c r="N538"/>
  <c r="N537"/>
  <c r="N536"/>
  <c r="N535"/>
  <c r="N534"/>
  <c r="N533"/>
  <c r="N532"/>
  <c r="N531"/>
  <c r="N530"/>
  <c r="N529"/>
  <c r="N528"/>
  <c r="N527"/>
  <c r="N526"/>
  <c r="N525"/>
  <c r="N524"/>
  <c r="N523"/>
  <c r="N522"/>
  <c r="N521"/>
  <c r="N520"/>
  <c r="N519"/>
  <c r="N518"/>
  <c r="N517"/>
  <c r="N516"/>
  <c r="N515"/>
  <c r="N514"/>
  <c r="N513"/>
  <c r="N512"/>
  <c r="N511"/>
  <c r="N510"/>
  <c r="N509"/>
  <c r="N508"/>
  <c r="N507"/>
  <c r="N506"/>
  <c r="N505"/>
  <c r="N504"/>
  <c r="N503"/>
  <c r="N502"/>
  <c r="N501"/>
  <c r="N500"/>
  <c r="N499"/>
  <c r="N498"/>
  <c r="N497"/>
  <c r="N496"/>
  <c r="N495"/>
  <c r="N494"/>
  <c r="N493"/>
  <c r="N492"/>
  <c r="N491"/>
  <c r="N490"/>
  <c r="N489"/>
  <c r="N488"/>
  <c r="N487"/>
  <c r="N486"/>
  <c r="N485"/>
  <c r="N484"/>
  <c r="N483"/>
  <c r="N482"/>
  <c r="N481"/>
  <c r="N480"/>
  <c r="N479"/>
  <c r="N478"/>
  <c r="N477"/>
  <c r="N476"/>
  <c r="N475"/>
  <c r="N474"/>
  <c r="N473"/>
  <c r="N472"/>
  <c r="N471"/>
  <c r="N470"/>
  <c r="N469"/>
  <c r="N468"/>
  <c r="N467"/>
  <c r="N466"/>
  <c r="N465"/>
  <c r="N464"/>
  <c r="N463"/>
  <c r="N462"/>
  <c r="N461"/>
  <c r="N460"/>
  <c r="N459"/>
  <c r="N458"/>
  <c r="N457"/>
  <c r="N456"/>
  <c r="N455"/>
  <c r="N454"/>
  <c r="N453"/>
  <c r="N452"/>
  <c r="N451"/>
  <c r="N450"/>
  <c r="N449"/>
  <c r="N448"/>
  <c r="N447"/>
  <c r="N446"/>
  <c r="N445"/>
  <c r="N444"/>
  <c r="N443"/>
  <c r="N442"/>
  <c r="N441"/>
  <c r="N440"/>
  <c r="N439"/>
  <c r="N438"/>
  <c r="N437"/>
  <c r="N436"/>
  <c r="N435"/>
  <c r="N434"/>
  <c r="N433"/>
  <c r="N432"/>
  <c r="N431"/>
  <c r="N430"/>
  <c r="N429"/>
  <c r="N428"/>
  <c r="N427"/>
  <c r="N426"/>
  <c r="N425"/>
  <c r="N424"/>
  <c r="N423"/>
  <c r="N422"/>
  <c r="N421"/>
  <c r="N420"/>
  <c r="N419"/>
  <c r="N418"/>
  <c r="N417"/>
  <c r="N416"/>
  <c r="N415"/>
  <c r="N414"/>
  <c r="N413"/>
  <c r="N412"/>
  <c r="N411"/>
  <c r="N410"/>
  <c r="N409"/>
  <c r="N408"/>
  <c r="N407"/>
  <c r="N406"/>
  <c r="N405"/>
  <c r="N404"/>
  <c r="N403"/>
  <c r="N402"/>
  <c r="N401"/>
  <c r="N400"/>
  <c r="N399"/>
  <c r="N398"/>
  <c r="N397"/>
  <c r="N396"/>
  <c r="N395"/>
  <c r="N394"/>
  <c r="N393"/>
  <c r="N392"/>
  <c r="N391"/>
  <c r="N390"/>
  <c r="N389"/>
  <c r="N388"/>
  <c r="N387"/>
  <c r="N386"/>
  <c r="N385"/>
  <c r="N384"/>
  <c r="N383"/>
  <c r="N382"/>
  <c r="N381"/>
  <c r="N380"/>
  <c r="N379"/>
  <c r="N378"/>
  <c r="N377"/>
  <c r="N376"/>
  <c r="N375"/>
  <c r="N374"/>
  <c r="N373"/>
  <c r="N372"/>
  <c r="N371"/>
  <c r="N370"/>
  <c r="N369"/>
  <c r="N368"/>
  <c r="N367"/>
  <c r="N366"/>
  <c r="N365"/>
  <c r="N364"/>
  <c r="N363"/>
  <c r="N362"/>
  <c r="N361"/>
  <c r="N360"/>
  <c r="N359"/>
  <c r="N358"/>
  <c r="N357"/>
  <c r="N356"/>
  <c r="N355"/>
  <c r="N354"/>
  <c r="N353"/>
  <c r="N352"/>
  <c r="N351"/>
  <c r="N350"/>
  <c r="N349"/>
  <c r="N348"/>
  <c r="N347"/>
  <c r="N346"/>
  <c r="N345"/>
  <c r="N344"/>
  <c r="N343"/>
  <c r="N342"/>
  <c r="N341"/>
  <c r="N340"/>
  <c r="N339"/>
  <c r="N338"/>
  <c r="N337"/>
  <c r="N336"/>
  <c r="N335"/>
  <c r="N334"/>
  <c r="N333"/>
  <c r="N332"/>
  <c r="N331"/>
  <c r="N330"/>
  <c r="N329"/>
  <c r="N328"/>
  <c r="N327"/>
  <c r="N326"/>
  <c r="N325"/>
  <c r="N324"/>
  <c r="N323"/>
  <c r="N322"/>
  <c r="N321"/>
  <c r="N320"/>
  <c r="N319"/>
  <c r="N318"/>
  <c r="N317"/>
  <c r="N316"/>
  <c r="N315"/>
  <c r="N314"/>
  <c r="N313"/>
  <c r="N312"/>
  <c r="N311"/>
  <c r="N310"/>
  <c r="N309"/>
  <c r="N308"/>
  <c r="N307"/>
  <c r="N306"/>
  <c r="N305"/>
  <c r="N304"/>
  <c r="N303"/>
  <c r="N302"/>
  <c r="N301"/>
  <c r="N300"/>
  <c r="N299"/>
  <c r="N298"/>
  <c r="N297"/>
  <c r="N296"/>
  <c r="N295"/>
  <c r="N294"/>
  <c r="N293"/>
  <c r="N292"/>
  <c r="N291"/>
  <c r="N290"/>
  <c r="N289"/>
  <c r="N288"/>
  <c r="N287"/>
  <c r="N286"/>
  <c r="N285"/>
  <c r="N284"/>
  <c r="N283"/>
  <c r="N282"/>
  <c r="N281"/>
  <c r="N280"/>
  <c r="N279"/>
  <c r="N278"/>
  <c r="N277"/>
  <c r="N276"/>
  <c r="N275"/>
  <c r="N274"/>
  <c r="N273"/>
  <c r="N272"/>
  <c r="N271"/>
  <c r="N270"/>
  <c r="N269"/>
  <c r="N268"/>
  <c r="N267"/>
  <c r="N266"/>
  <c r="N265"/>
  <c r="N264"/>
  <c r="N263"/>
  <c r="N262"/>
  <c r="N261"/>
  <c r="N260"/>
  <c r="N259"/>
  <c r="N258"/>
  <c r="N257"/>
  <c r="N256"/>
  <c r="N255"/>
  <c r="N254"/>
  <c r="N253"/>
  <c r="N252"/>
  <c r="N251"/>
  <c r="N250"/>
  <c r="N249"/>
  <c r="N248"/>
  <c r="N247"/>
  <c r="N246"/>
  <c r="N245"/>
  <c r="N244"/>
  <c r="N243"/>
  <c r="N242"/>
  <c r="N241"/>
  <c r="N240"/>
  <c r="N239"/>
  <c r="N238"/>
  <c r="N237"/>
  <c r="N236"/>
  <c r="N235"/>
  <c r="N234"/>
  <c r="N233"/>
  <c r="N232"/>
  <c r="N231"/>
  <c r="N230"/>
  <c r="N229"/>
  <c r="N228"/>
  <c r="N227"/>
  <c r="N226"/>
  <c r="N225"/>
  <c r="N224"/>
  <c r="N223"/>
  <c r="N222"/>
  <c r="N221"/>
  <c r="N220"/>
  <c r="N219"/>
  <c r="N218"/>
  <c r="N217"/>
  <c r="N216"/>
  <c r="N215"/>
  <c r="N214"/>
  <c r="N213"/>
  <c r="N212"/>
  <c r="N211"/>
  <c r="N210"/>
  <c r="N209"/>
  <c r="N208"/>
  <c r="N207"/>
  <c r="N206"/>
  <c r="N205"/>
  <c r="N204"/>
  <c r="N203"/>
  <c r="N202"/>
  <c r="N201"/>
  <c r="N200"/>
  <c r="N199"/>
  <c r="N198"/>
  <c r="N197"/>
  <c r="N196"/>
  <c r="N195"/>
  <c r="N194"/>
  <c r="N193"/>
  <c r="N192"/>
  <c r="N191"/>
  <c r="N190"/>
  <c r="N189"/>
  <c r="N188"/>
  <c r="N187"/>
  <c r="N186"/>
  <c r="N185"/>
  <c r="N184"/>
  <c r="N183"/>
  <c r="N182"/>
  <c r="N181"/>
  <c r="N180"/>
  <c r="N179"/>
  <c r="N178"/>
  <c r="N177"/>
  <c r="N176"/>
  <c r="N175"/>
  <c r="N174"/>
  <c r="N173"/>
  <c r="N172"/>
  <c r="N171"/>
  <c r="N170"/>
  <c r="N169"/>
  <c r="N168"/>
  <c r="N167"/>
  <c r="N166"/>
  <c r="N165"/>
  <c r="N164"/>
  <c r="N163"/>
  <c r="N162"/>
  <c r="N161"/>
  <c r="N160"/>
  <c r="N159"/>
  <c r="N158"/>
  <c r="N157"/>
  <c r="N156"/>
  <c r="N155"/>
  <c r="N154"/>
  <c r="N153"/>
  <c r="N152"/>
  <c r="N151"/>
  <c r="N150"/>
  <c r="N149"/>
  <c r="N148"/>
  <c r="N147"/>
  <c r="N146"/>
  <c r="N145"/>
  <c r="N144"/>
  <c r="N143"/>
  <c r="N142"/>
  <c r="N141"/>
  <c r="N140"/>
  <c r="N139"/>
  <c r="N138"/>
  <c r="N137"/>
  <c r="N136"/>
  <c r="N135"/>
  <c r="N134"/>
  <c r="N133"/>
  <c r="N132"/>
  <c r="N131"/>
  <c r="N130"/>
  <c r="N129"/>
  <c r="N128"/>
  <c r="N127"/>
  <c r="N126"/>
  <c r="N125"/>
  <c r="N124"/>
  <c r="N123"/>
  <c r="N122"/>
  <c r="N121"/>
  <c r="N120"/>
  <c r="N119"/>
  <c r="N118"/>
  <c r="N117"/>
  <c r="N116"/>
  <c r="N115"/>
  <c r="N114"/>
  <c r="N113"/>
  <c r="N112"/>
  <c r="N111"/>
  <c r="N110"/>
  <c r="N109"/>
  <c r="N108"/>
  <c r="N107"/>
  <c r="N106"/>
  <c r="N105"/>
  <c r="N104"/>
  <c r="N103"/>
  <c r="N102"/>
  <c r="N101"/>
  <c r="N100"/>
  <c r="N99"/>
  <c r="N98"/>
  <c r="N97"/>
  <c r="N96"/>
  <c r="N95"/>
  <c r="N94"/>
  <c r="N93"/>
  <c r="N92"/>
  <c r="N91"/>
  <c r="N90"/>
  <c r="N89"/>
  <c r="N88"/>
  <c r="N87"/>
  <c r="N86"/>
  <c r="N85"/>
  <c r="N84"/>
  <c r="N83"/>
  <c r="N82"/>
  <c r="N81"/>
  <c r="N80"/>
  <c r="N79"/>
  <c r="N78"/>
  <c r="N77"/>
  <c r="N76"/>
  <c r="N75"/>
  <c r="N74"/>
  <c r="N73"/>
  <c r="N72"/>
  <c r="N71"/>
  <c r="N70"/>
  <c r="N69"/>
  <c r="N68"/>
  <c r="N67"/>
  <c r="N66"/>
  <c r="N65"/>
  <c r="N64"/>
  <c r="N63"/>
  <c r="N62"/>
  <c r="N61"/>
  <c r="N60"/>
  <c r="N59"/>
  <c r="N58"/>
  <c r="N57"/>
  <c r="N56"/>
  <c r="N55"/>
  <c r="N54"/>
  <c r="N53"/>
  <c r="N52"/>
  <c r="N51"/>
  <c r="N50"/>
  <c r="N49"/>
  <c r="N48"/>
  <c r="N47"/>
  <c r="N46"/>
  <c r="N45"/>
  <c r="N44"/>
  <c r="N43"/>
  <c r="N42"/>
  <c r="N41"/>
  <c r="N40"/>
  <c r="N39"/>
  <c r="N38"/>
  <c r="N37"/>
  <c r="N36"/>
  <c r="N35"/>
  <c r="N34"/>
  <c r="N33"/>
  <c r="N32"/>
  <c r="N31"/>
  <c r="N30"/>
  <c r="N29"/>
  <c r="N28"/>
  <c r="N27"/>
  <c r="N26"/>
  <c r="N25"/>
  <c r="N24"/>
  <c r="N23"/>
  <c r="N22"/>
  <c r="N21"/>
  <c r="N20"/>
  <c r="N19"/>
  <c r="N18"/>
  <c r="N17"/>
  <c r="N16"/>
  <c r="N15"/>
  <c r="N14"/>
  <c r="N13"/>
  <c r="N12"/>
  <c r="N11"/>
  <c r="N10"/>
  <c r="N9"/>
  <c r="N8"/>
  <c r="N7"/>
  <c r="N6"/>
  <c r="N5"/>
  <c r="N4"/>
  <c r="N3"/>
  <c r="N4225"/>
  <c r="P4224"/>
  <c r="P4223"/>
  <c r="P4222"/>
  <c r="P4221"/>
  <c r="P4220"/>
  <c r="P4219"/>
  <c r="P4218"/>
  <c r="P4217"/>
  <c r="P4216"/>
  <c r="P4215"/>
  <c r="P4214"/>
  <c r="P4213"/>
  <c r="P4212"/>
  <c r="P4211"/>
  <c r="P4210"/>
  <c r="P4209"/>
  <c r="P4208"/>
  <c r="P4207"/>
  <c r="P4206"/>
  <c r="P4205"/>
  <c r="P4204"/>
  <c r="P4203"/>
  <c r="P4202"/>
  <c r="P4201"/>
  <c r="P4200"/>
  <c r="P4199"/>
  <c r="P4198"/>
  <c r="P4197"/>
  <c r="P4196"/>
  <c r="P4195"/>
  <c r="P4194"/>
  <c r="P4193"/>
  <c r="P4192"/>
  <c r="P4191"/>
  <c r="P4190"/>
  <c r="P4189"/>
  <c r="P4188"/>
  <c r="P4187"/>
  <c r="P4186"/>
  <c r="P4185"/>
  <c r="P4184"/>
  <c r="P4183"/>
  <c r="P4182"/>
  <c r="P4181"/>
  <c r="P4180"/>
  <c r="P4179"/>
  <c r="P4178"/>
  <c r="P4177"/>
  <c r="P4176"/>
  <c r="P4175"/>
  <c r="P4174"/>
  <c r="P4173"/>
  <c r="P4172"/>
  <c r="P4171"/>
  <c r="P4170"/>
  <c r="P4169"/>
  <c r="P4168"/>
  <c r="P4167"/>
  <c r="P4166"/>
  <c r="P4165"/>
  <c r="P4164"/>
  <c r="P4163"/>
  <c r="P4162"/>
  <c r="P4161"/>
  <c r="P4160"/>
  <c r="P4159"/>
  <c r="P4158"/>
  <c r="P4157"/>
  <c r="P4156"/>
  <c r="P4155"/>
  <c r="P4154"/>
  <c r="P4153"/>
  <c r="P4152"/>
  <c r="P4151"/>
  <c r="P4150"/>
  <c r="P4149"/>
  <c r="P4148"/>
  <c r="P4147"/>
  <c r="P4146"/>
  <c r="P4145"/>
  <c r="P4144"/>
  <c r="P4143"/>
  <c r="P4142"/>
  <c r="P4141"/>
  <c r="P4140"/>
  <c r="P4139"/>
  <c r="P4138"/>
  <c r="P4137"/>
  <c r="P4136"/>
  <c r="P4135"/>
  <c r="P4134"/>
  <c r="P4133"/>
  <c r="P4132"/>
  <c r="P4131"/>
  <c r="P4130"/>
  <c r="P4129"/>
  <c r="P4128"/>
  <c r="P4127"/>
  <c r="P4126"/>
  <c r="P4125"/>
  <c r="P4124"/>
  <c r="P4123"/>
  <c r="P4122"/>
  <c r="P4121"/>
  <c r="P4120"/>
  <c r="P4119"/>
  <c r="P4118"/>
  <c r="P4117"/>
  <c r="P4116"/>
  <c r="P4115"/>
  <c r="P4114"/>
  <c r="P4113"/>
  <c r="P4112"/>
  <c r="P4111"/>
  <c r="P4110"/>
  <c r="P4109"/>
  <c r="P4108"/>
  <c r="P4107"/>
  <c r="P4106"/>
  <c r="P4105"/>
  <c r="P4104"/>
  <c r="P4103"/>
  <c r="P4102"/>
  <c r="P4101"/>
  <c r="P4100"/>
  <c r="P4099"/>
  <c r="P4098"/>
  <c r="P4097"/>
  <c r="P4096"/>
  <c r="P4095"/>
  <c r="P4094"/>
  <c r="P4093"/>
  <c r="P4092"/>
  <c r="P4091"/>
  <c r="P4090"/>
  <c r="P4089"/>
  <c r="P4088"/>
  <c r="P4087"/>
  <c r="P4086"/>
  <c r="P4085"/>
  <c r="P4084"/>
  <c r="P4083"/>
  <c r="P4082"/>
  <c r="P4081"/>
  <c r="P4080"/>
  <c r="P4079"/>
  <c r="P4078"/>
  <c r="P4077"/>
  <c r="P4076"/>
  <c r="P4075"/>
  <c r="P4074"/>
  <c r="P4073"/>
  <c r="P4072"/>
  <c r="P4071"/>
  <c r="P4070"/>
  <c r="P4069"/>
  <c r="P4068"/>
  <c r="P4067"/>
  <c r="P4066"/>
  <c r="P4065"/>
  <c r="P4064"/>
  <c r="P4063"/>
  <c r="P4062"/>
  <c r="P4061"/>
  <c r="P4060"/>
  <c r="P4059"/>
  <c r="P4058"/>
  <c r="P4057"/>
  <c r="P4056"/>
  <c r="P4055"/>
  <c r="P4054"/>
  <c r="P4053"/>
  <c r="P4052"/>
  <c r="P4051"/>
  <c r="P4050"/>
  <c r="P4049"/>
  <c r="P4048"/>
  <c r="P4047"/>
  <c r="P4046"/>
  <c r="P4045"/>
  <c r="P4044"/>
  <c r="P4043"/>
  <c r="P4042"/>
  <c r="P4041"/>
  <c r="P4040"/>
  <c r="P4039"/>
  <c r="P4038"/>
  <c r="P4037"/>
  <c r="P4036"/>
  <c r="P4035"/>
  <c r="P4034"/>
  <c r="P4033"/>
  <c r="P4032"/>
  <c r="P4031"/>
  <c r="P4030"/>
  <c r="P4029"/>
  <c r="P4028"/>
  <c r="P4027"/>
  <c r="P4026"/>
  <c r="P4025"/>
  <c r="P4024"/>
  <c r="P4023"/>
  <c r="P4022"/>
  <c r="P4021"/>
  <c r="P4020"/>
  <c r="P4019"/>
  <c r="P4018"/>
  <c r="P4017"/>
  <c r="P4016"/>
  <c r="P4015"/>
  <c r="P4014"/>
  <c r="P4013"/>
  <c r="P4012"/>
  <c r="P4011"/>
  <c r="P4010"/>
  <c r="P4009"/>
  <c r="P4008"/>
  <c r="P4007"/>
  <c r="P4006"/>
  <c r="P4005"/>
  <c r="P4004"/>
  <c r="P4003"/>
  <c r="P4002"/>
  <c r="P4001"/>
  <c r="P4000"/>
  <c r="P3999"/>
  <c r="P3998"/>
  <c r="P3997"/>
  <c r="P3996"/>
  <c r="P3995"/>
  <c r="P3994"/>
  <c r="P3993"/>
  <c r="P3992"/>
  <c r="P3991"/>
  <c r="P3990"/>
  <c r="P3989"/>
  <c r="P3988"/>
  <c r="P3987"/>
  <c r="P3986"/>
  <c r="P3985"/>
  <c r="P3984"/>
  <c r="P3983"/>
  <c r="P3982"/>
  <c r="P3981"/>
  <c r="P3980"/>
  <c r="P3979"/>
  <c r="P3978"/>
  <c r="P3977"/>
  <c r="P3976"/>
  <c r="P3975"/>
  <c r="P3974"/>
  <c r="P3973"/>
  <c r="P3972"/>
  <c r="P3971"/>
  <c r="P3970"/>
  <c r="P3969"/>
  <c r="P3968"/>
  <c r="P3967"/>
  <c r="P3966"/>
  <c r="P3965"/>
  <c r="P3964"/>
  <c r="P3963"/>
  <c r="P3962"/>
  <c r="P3961"/>
  <c r="P3960"/>
  <c r="P3959"/>
  <c r="P3958"/>
  <c r="P3957"/>
  <c r="P3956"/>
  <c r="P3955"/>
  <c r="P3954"/>
  <c r="P3953"/>
  <c r="P3952"/>
  <c r="P3951"/>
  <c r="P3950"/>
  <c r="P3949"/>
  <c r="P3948"/>
  <c r="P3947"/>
  <c r="P3946"/>
  <c r="P3945"/>
  <c r="P3944"/>
  <c r="P3943"/>
  <c r="P3942"/>
  <c r="P3941"/>
  <c r="P3940"/>
  <c r="P3939"/>
  <c r="P3938"/>
  <c r="P3937"/>
  <c r="P3936"/>
  <c r="P3935"/>
  <c r="P3934"/>
  <c r="P3933"/>
  <c r="P3932"/>
  <c r="P3931"/>
  <c r="P3930"/>
  <c r="P3929"/>
  <c r="P3928"/>
  <c r="P3927"/>
  <c r="P3926"/>
  <c r="P3925"/>
  <c r="P3924"/>
  <c r="P3923"/>
  <c r="P3922"/>
  <c r="P3921"/>
  <c r="P3920"/>
  <c r="P3919"/>
  <c r="P3918"/>
  <c r="P3917"/>
  <c r="P3916"/>
  <c r="P3915"/>
  <c r="P3914"/>
  <c r="P3913"/>
  <c r="P3912"/>
  <c r="P3911"/>
  <c r="P3910"/>
  <c r="P3909"/>
  <c r="P3908"/>
  <c r="P3907"/>
  <c r="P3906"/>
  <c r="P3905"/>
  <c r="P3904"/>
  <c r="P3903"/>
  <c r="P3902"/>
  <c r="P3901"/>
  <c r="P3900"/>
  <c r="P3899"/>
  <c r="P3898"/>
  <c r="P3897"/>
  <c r="P3896"/>
  <c r="P3895"/>
  <c r="P3894"/>
  <c r="P3893"/>
  <c r="P3892"/>
  <c r="P3891"/>
  <c r="P3890"/>
  <c r="P3889"/>
  <c r="P3888"/>
  <c r="P3887"/>
  <c r="P3886"/>
  <c r="P3885"/>
  <c r="P3884"/>
  <c r="P3883"/>
  <c r="P3882"/>
  <c r="P3881"/>
  <c r="P3880"/>
  <c r="P3879"/>
  <c r="P3878"/>
  <c r="P3877"/>
  <c r="P3876"/>
  <c r="P3875"/>
  <c r="P3874"/>
  <c r="P3873"/>
  <c r="P3872"/>
  <c r="P3871"/>
  <c r="P3870"/>
  <c r="P3869"/>
  <c r="P3868"/>
  <c r="P3867"/>
  <c r="P3866"/>
  <c r="P3865"/>
  <c r="P3864"/>
  <c r="P3863"/>
  <c r="P3862"/>
  <c r="P3861"/>
  <c r="P3860"/>
  <c r="P3859"/>
  <c r="P3858"/>
  <c r="P3857"/>
  <c r="P3856"/>
  <c r="P3855"/>
  <c r="P3854"/>
  <c r="P3853"/>
  <c r="P3852"/>
  <c r="P3851"/>
  <c r="P3850"/>
  <c r="P3849"/>
  <c r="P3848"/>
  <c r="P3847"/>
  <c r="P3846"/>
  <c r="P3845"/>
  <c r="P3844"/>
  <c r="P3843"/>
  <c r="P3842"/>
  <c r="P3841"/>
  <c r="P3840"/>
  <c r="P3839"/>
  <c r="P3838"/>
  <c r="P3837"/>
  <c r="P3836"/>
  <c r="P3835"/>
  <c r="P3834"/>
  <c r="P3833"/>
  <c r="P3832"/>
  <c r="P3831"/>
  <c r="P3830"/>
  <c r="P3829"/>
  <c r="P3828"/>
  <c r="P3827"/>
  <c r="P3826"/>
  <c r="P3825"/>
  <c r="P3824"/>
  <c r="P3823"/>
  <c r="P3822"/>
  <c r="P3821"/>
  <c r="P3820"/>
  <c r="P3819"/>
  <c r="P3818"/>
  <c r="P3817"/>
  <c r="P3816"/>
  <c r="P3815"/>
  <c r="P3814"/>
  <c r="P3813"/>
  <c r="P3812"/>
  <c r="P3811"/>
  <c r="P3810"/>
  <c r="P3809"/>
  <c r="P3808"/>
  <c r="P3807"/>
  <c r="P3806"/>
  <c r="P3805"/>
  <c r="P3804"/>
  <c r="P3803"/>
  <c r="P3802"/>
  <c r="P3801"/>
  <c r="P3800"/>
  <c r="P3799"/>
  <c r="P3798"/>
  <c r="P3797"/>
  <c r="P3796"/>
  <c r="P3795"/>
  <c r="P3794"/>
  <c r="P3793"/>
  <c r="P3792"/>
  <c r="P3791"/>
  <c r="P3790"/>
  <c r="P3789"/>
  <c r="P3788"/>
  <c r="P3787"/>
  <c r="P3786"/>
  <c r="P3785"/>
  <c r="P3784"/>
  <c r="P3783"/>
  <c r="P3782"/>
  <c r="P3781"/>
  <c r="P3780"/>
  <c r="P3779"/>
  <c r="P3778"/>
  <c r="P3777"/>
  <c r="P3776"/>
  <c r="P3775"/>
  <c r="P3774"/>
  <c r="P3773"/>
  <c r="P3772"/>
  <c r="P3771"/>
  <c r="P3770"/>
  <c r="P3769"/>
  <c r="P3768"/>
  <c r="P3767"/>
  <c r="P3766"/>
  <c r="P3765"/>
  <c r="P3764"/>
  <c r="P3763"/>
  <c r="P3762"/>
  <c r="P3761"/>
  <c r="P3760"/>
  <c r="P3759"/>
  <c r="P3758"/>
  <c r="P3757"/>
  <c r="P3756"/>
  <c r="P3755"/>
  <c r="P3754"/>
  <c r="P3753"/>
  <c r="P3752"/>
  <c r="P3751"/>
  <c r="P3750"/>
  <c r="P3749"/>
  <c r="P3748"/>
  <c r="P3747"/>
  <c r="P3746"/>
  <c r="P3745"/>
  <c r="P3744"/>
  <c r="P3743"/>
  <c r="P3742"/>
  <c r="P3741"/>
  <c r="P3740"/>
  <c r="P3739"/>
  <c r="P3738"/>
  <c r="P3737"/>
  <c r="P3736"/>
  <c r="P3735"/>
  <c r="P3734"/>
  <c r="P3733"/>
  <c r="P3732"/>
  <c r="P3731"/>
  <c r="P3730"/>
  <c r="P3729"/>
  <c r="P3728"/>
  <c r="P3727"/>
  <c r="P3726"/>
  <c r="P3725"/>
  <c r="P3724"/>
  <c r="P3723"/>
  <c r="P3722"/>
  <c r="P3721"/>
  <c r="P3720"/>
  <c r="P3719"/>
  <c r="P3718"/>
  <c r="P3717"/>
  <c r="P3716"/>
  <c r="P3715"/>
  <c r="P3714"/>
  <c r="P3713"/>
  <c r="P3712"/>
  <c r="P3711"/>
  <c r="P3710"/>
  <c r="P3709"/>
  <c r="P3708"/>
  <c r="P3707"/>
  <c r="P3706"/>
  <c r="P3705"/>
  <c r="P3704"/>
  <c r="P3703"/>
  <c r="P3702"/>
  <c r="P3701"/>
  <c r="P3700"/>
  <c r="P3699"/>
  <c r="P3698"/>
  <c r="P3697"/>
  <c r="P3696"/>
  <c r="P3695"/>
  <c r="P3694"/>
  <c r="P3693"/>
  <c r="P3692"/>
  <c r="P3691"/>
  <c r="P3690"/>
  <c r="P3689"/>
  <c r="P3688"/>
  <c r="P3687"/>
  <c r="P3686"/>
  <c r="P3685"/>
  <c r="P3684"/>
  <c r="P3683"/>
  <c r="P3682"/>
  <c r="P3681"/>
  <c r="P3680"/>
  <c r="P3679"/>
  <c r="P3678"/>
  <c r="P3677"/>
  <c r="P3676"/>
  <c r="P3675"/>
  <c r="P3674"/>
  <c r="P3673"/>
  <c r="P3672"/>
  <c r="P3671"/>
  <c r="P3670"/>
  <c r="P3669"/>
  <c r="P3668"/>
  <c r="P3667"/>
  <c r="P3666"/>
  <c r="P3665"/>
  <c r="P3664"/>
  <c r="P3663"/>
  <c r="P3662"/>
  <c r="P3661"/>
  <c r="P3660"/>
  <c r="P3659"/>
  <c r="P3658"/>
  <c r="P3657"/>
  <c r="P3656"/>
  <c r="P3655"/>
  <c r="P3654"/>
  <c r="P3653"/>
  <c r="P3652"/>
  <c r="P3651"/>
  <c r="P3650"/>
  <c r="P3649"/>
  <c r="P3648"/>
  <c r="P3647"/>
  <c r="P3646"/>
  <c r="P3645"/>
  <c r="P3644"/>
  <c r="P3643"/>
  <c r="P3642"/>
  <c r="P3641"/>
  <c r="P3640"/>
  <c r="P3639"/>
  <c r="P3638"/>
  <c r="P3637"/>
  <c r="P3636"/>
  <c r="P3635"/>
  <c r="P3634"/>
  <c r="P3633"/>
  <c r="P3632"/>
  <c r="P3631"/>
  <c r="P3630"/>
  <c r="P3629"/>
  <c r="P3628"/>
  <c r="P3627"/>
  <c r="P3626"/>
  <c r="P3625"/>
  <c r="P3624"/>
  <c r="P3623"/>
  <c r="P3622"/>
  <c r="P3621"/>
  <c r="P3620"/>
  <c r="P3619"/>
  <c r="P3618"/>
  <c r="P3617"/>
  <c r="P3616"/>
  <c r="P3615"/>
  <c r="P3614"/>
  <c r="P3613"/>
  <c r="P3612"/>
  <c r="P3611"/>
  <c r="P3610"/>
  <c r="P3609"/>
  <c r="P3608"/>
  <c r="P3607"/>
  <c r="P3606"/>
  <c r="P3605"/>
  <c r="P3604"/>
  <c r="P3603"/>
  <c r="P3602"/>
  <c r="P3601"/>
  <c r="P3600"/>
  <c r="P3599"/>
  <c r="P3598"/>
  <c r="P3597"/>
  <c r="P3596"/>
  <c r="P3595"/>
  <c r="P3594"/>
  <c r="P3593"/>
  <c r="P3592"/>
  <c r="P3591"/>
  <c r="P3590"/>
  <c r="P3589"/>
  <c r="P3588"/>
  <c r="P3587"/>
  <c r="P3586"/>
  <c r="P3585"/>
  <c r="P3584"/>
  <c r="P3583"/>
  <c r="P3582"/>
  <c r="P3581"/>
  <c r="P3580"/>
  <c r="P3579"/>
  <c r="P3578"/>
  <c r="P3577"/>
  <c r="P3576"/>
  <c r="P3575"/>
  <c r="P3574"/>
  <c r="P3573"/>
  <c r="P3572"/>
  <c r="P3571"/>
  <c r="P3570"/>
  <c r="P3569"/>
  <c r="P3568"/>
  <c r="P3567"/>
  <c r="P3566"/>
  <c r="P3565"/>
  <c r="P3564"/>
  <c r="P3563"/>
  <c r="P3562"/>
  <c r="P3561"/>
  <c r="P3560"/>
  <c r="P3559"/>
  <c r="P3558"/>
  <c r="P3557"/>
  <c r="P3556"/>
  <c r="P3555"/>
  <c r="P3554"/>
  <c r="P3553"/>
  <c r="P3552"/>
  <c r="P3551"/>
  <c r="P3550"/>
  <c r="P3549"/>
  <c r="P3548"/>
  <c r="P3547"/>
  <c r="P3546"/>
  <c r="P3545"/>
  <c r="P3544"/>
  <c r="P3543"/>
  <c r="P3542"/>
  <c r="P3541"/>
  <c r="P3540"/>
  <c r="P3539"/>
  <c r="P3538"/>
  <c r="P3537"/>
  <c r="P3536"/>
  <c r="P3535"/>
  <c r="P3534"/>
  <c r="P3533"/>
  <c r="P3532"/>
  <c r="P3531"/>
  <c r="P3530"/>
  <c r="P3529"/>
  <c r="P3528"/>
  <c r="P3527"/>
  <c r="P3526"/>
  <c r="P3525"/>
  <c r="P3524"/>
  <c r="P3523"/>
  <c r="P3522"/>
  <c r="P3521"/>
  <c r="P3520"/>
  <c r="P3519"/>
  <c r="P3518"/>
  <c r="P3517"/>
  <c r="P3516"/>
  <c r="P3515"/>
  <c r="P3514"/>
  <c r="P3513"/>
  <c r="P3512"/>
  <c r="P3511"/>
  <c r="P3510"/>
  <c r="P3509"/>
  <c r="P3508"/>
  <c r="P3507"/>
  <c r="P3506"/>
  <c r="P3505"/>
  <c r="P3504"/>
  <c r="P3503"/>
  <c r="P3502"/>
  <c r="P3501"/>
  <c r="P3500"/>
  <c r="P3499"/>
  <c r="P3498"/>
  <c r="P3497"/>
  <c r="P3496"/>
  <c r="P3495"/>
  <c r="P3494"/>
  <c r="P3493"/>
  <c r="P3492"/>
  <c r="P3491"/>
  <c r="P3490"/>
  <c r="P3489"/>
  <c r="P3488"/>
  <c r="P3487"/>
  <c r="P3486"/>
  <c r="P3485"/>
  <c r="P3484"/>
  <c r="P3483"/>
  <c r="P3482"/>
  <c r="P3481"/>
  <c r="P3480"/>
  <c r="P3479"/>
  <c r="P3478"/>
  <c r="P3477"/>
  <c r="P3476"/>
  <c r="P3475"/>
  <c r="P3474"/>
  <c r="P3473"/>
  <c r="P3472"/>
  <c r="P3471"/>
  <c r="P3470"/>
  <c r="P3469"/>
  <c r="P3468"/>
  <c r="P3467"/>
  <c r="P3466"/>
  <c r="P3465"/>
  <c r="P3464"/>
  <c r="P3463"/>
  <c r="P3462"/>
  <c r="P3461"/>
  <c r="P3460"/>
  <c r="P3459"/>
  <c r="P3458"/>
  <c r="P3457"/>
  <c r="P3456"/>
  <c r="P3455"/>
  <c r="P3454"/>
  <c r="P3453"/>
  <c r="P3452"/>
  <c r="P3451"/>
  <c r="P3450"/>
  <c r="P3449"/>
  <c r="P3448"/>
  <c r="P3447"/>
  <c r="P3446"/>
  <c r="P3445"/>
  <c r="P3444"/>
  <c r="P3443"/>
  <c r="P3442"/>
  <c r="P3441"/>
  <c r="P3440"/>
  <c r="P3439"/>
  <c r="P3438"/>
  <c r="P3437"/>
  <c r="P3436"/>
  <c r="P3435"/>
  <c r="P3434"/>
  <c r="P3433"/>
  <c r="P3432"/>
  <c r="P3431"/>
  <c r="P3430"/>
  <c r="P3429"/>
  <c r="P3428"/>
  <c r="P3427"/>
  <c r="P3426"/>
  <c r="P3425"/>
  <c r="P3424"/>
  <c r="P3423"/>
  <c r="P3422"/>
  <c r="P3421"/>
  <c r="P3420"/>
  <c r="P3419"/>
  <c r="P3418"/>
  <c r="P3417"/>
  <c r="P3416"/>
  <c r="P3415"/>
  <c r="P3414"/>
  <c r="P3413"/>
  <c r="P3412"/>
  <c r="P3411"/>
  <c r="P3410"/>
  <c r="P3409"/>
  <c r="P3408"/>
  <c r="P3407"/>
  <c r="P3406"/>
  <c r="P3405"/>
  <c r="P3404"/>
  <c r="P3403"/>
  <c r="P3402"/>
  <c r="P3401"/>
  <c r="P3400"/>
  <c r="P3399"/>
  <c r="P3398"/>
  <c r="P3397"/>
  <c r="P3396"/>
  <c r="P3395"/>
  <c r="P3394"/>
  <c r="P3393"/>
  <c r="P3392"/>
  <c r="P3391"/>
  <c r="P3390"/>
  <c r="P3389"/>
  <c r="P3388"/>
  <c r="P3387"/>
  <c r="P3386"/>
  <c r="P3385"/>
  <c r="P3384"/>
  <c r="P3383"/>
  <c r="P3382"/>
  <c r="P3381"/>
  <c r="P3380"/>
  <c r="P3379"/>
  <c r="P3378"/>
  <c r="P3377"/>
  <c r="P3376"/>
  <c r="P3375"/>
  <c r="P3374"/>
  <c r="P3373"/>
  <c r="P3372"/>
  <c r="P3371"/>
  <c r="P3370"/>
  <c r="P3369"/>
  <c r="P3368"/>
  <c r="P3367"/>
  <c r="P3366"/>
  <c r="P3365"/>
  <c r="P3364"/>
  <c r="P3363"/>
  <c r="P3362"/>
  <c r="P3361"/>
  <c r="P3360"/>
  <c r="P3359"/>
  <c r="P3358"/>
  <c r="P3357"/>
  <c r="P3356"/>
  <c r="P3355"/>
  <c r="P3354"/>
  <c r="P3353"/>
  <c r="P3352"/>
  <c r="P3351"/>
  <c r="P3350"/>
  <c r="P3349"/>
  <c r="P3348"/>
  <c r="P3347"/>
  <c r="P3346"/>
  <c r="P3345"/>
  <c r="P3344"/>
  <c r="P3343"/>
  <c r="P3342"/>
  <c r="P3341"/>
  <c r="P3340"/>
  <c r="P3339"/>
  <c r="P3338"/>
  <c r="P3337"/>
  <c r="P3336"/>
  <c r="P3335"/>
  <c r="P3334"/>
  <c r="P3333"/>
  <c r="P3332"/>
  <c r="P3331"/>
  <c r="P3330"/>
  <c r="P3329"/>
  <c r="P3328"/>
  <c r="P3327"/>
  <c r="P3326"/>
  <c r="P3325"/>
  <c r="P3324"/>
  <c r="P3323"/>
  <c r="P3322"/>
  <c r="P3321"/>
  <c r="P3320"/>
  <c r="P3319"/>
  <c r="P3318"/>
  <c r="P3317"/>
  <c r="P3316"/>
  <c r="P3315"/>
  <c r="P3314"/>
  <c r="P3313"/>
  <c r="P3312"/>
  <c r="P3311"/>
  <c r="P3310"/>
  <c r="P3309"/>
  <c r="P3308"/>
  <c r="P3307"/>
  <c r="P3306"/>
  <c r="P3305"/>
  <c r="P3304"/>
  <c r="P3303"/>
  <c r="P3302"/>
  <c r="P3301"/>
  <c r="P3300"/>
  <c r="P3299"/>
  <c r="P3298"/>
  <c r="P3297"/>
  <c r="P3296"/>
  <c r="P3295"/>
  <c r="P3294"/>
  <c r="P3293"/>
  <c r="P3292"/>
  <c r="P3291"/>
  <c r="P3290"/>
  <c r="P3289"/>
  <c r="P3288"/>
  <c r="P3287"/>
  <c r="P3286"/>
  <c r="P3285"/>
  <c r="P3284"/>
  <c r="P3283"/>
  <c r="P3282"/>
  <c r="P3281"/>
  <c r="P3280"/>
  <c r="P3279"/>
  <c r="P3278"/>
  <c r="P3277"/>
  <c r="P3276"/>
  <c r="P3275"/>
  <c r="P3274"/>
  <c r="P3273"/>
  <c r="P3272"/>
  <c r="P3271"/>
  <c r="P3270"/>
  <c r="P3269"/>
  <c r="P3268"/>
  <c r="P3267"/>
  <c r="P3266"/>
  <c r="P3265"/>
  <c r="P3264"/>
  <c r="P3263"/>
  <c r="P3262"/>
  <c r="P3261"/>
  <c r="P3260"/>
  <c r="P3259"/>
  <c r="P3258"/>
  <c r="P3257"/>
  <c r="P3256"/>
  <c r="P3255"/>
  <c r="P3254"/>
  <c r="P3253"/>
  <c r="P3252"/>
  <c r="P3251"/>
  <c r="P3250"/>
  <c r="P3249"/>
  <c r="P3248"/>
  <c r="P3247"/>
  <c r="P3246"/>
  <c r="P3245"/>
  <c r="P3244"/>
  <c r="P3243"/>
  <c r="P3242"/>
  <c r="P3241"/>
  <c r="P3240"/>
  <c r="P3239"/>
  <c r="P3238"/>
  <c r="P3237"/>
  <c r="P3236"/>
  <c r="P3235"/>
  <c r="P3234"/>
  <c r="P3233"/>
  <c r="P3232"/>
  <c r="P3231"/>
  <c r="P3230"/>
  <c r="P3229"/>
  <c r="P3228"/>
  <c r="P3227"/>
  <c r="P3226"/>
  <c r="P3225"/>
  <c r="P3224"/>
  <c r="P3223"/>
  <c r="P3222"/>
  <c r="P3221"/>
  <c r="P3220"/>
  <c r="P3219"/>
  <c r="P3218"/>
  <c r="P3217"/>
  <c r="P3216"/>
  <c r="P3215"/>
  <c r="P3214"/>
  <c r="P3213"/>
  <c r="P3212"/>
  <c r="P3211"/>
  <c r="P3210"/>
  <c r="P3209"/>
  <c r="P3208"/>
  <c r="P3207"/>
  <c r="P3206"/>
  <c r="P3205"/>
  <c r="P3204"/>
  <c r="P3203"/>
  <c r="P3202"/>
  <c r="P3201"/>
  <c r="P3200"/>
  <c r="P3199"/>
  <c r="P3198"/>
  <c r="P3197"/>
  <c r="P3196"/>
  <c r="P3195"/>
  <c r="P3194"/>
  <c r="P3193"/>
  <c r="P3192"/>
  <c r="P3191"/>
  <c r="P3190"/>
  <c r="P3189"/>
  <c r="P3188"/>
  <c r="P3187"/>
  <c r="P3186"/>
  <c r="P3185"/>
  <c r="P3184"/>
  <c r="P3183"/>
  <c r="P3182"/>
  <c r="P3181"/>
  <c r="P3180"/>
  <c r="P3179"/>
  <c r="P3178"/>
  <c r="P3177"/>
  <c r="P3176"/>
  <c r="P3175"/>
  <c r="P3174"/>
  <c r="P3173"/>
  <c r="P3172"/>
  <c r="P3171"/>
  <c r="P3170"/>
  <c r="P3169"/>
  <c r="P3168"/>
  <c r="P3167"/>
  <c r="P3166"/>
  <c r="P3165"/>
  <c r="P3164"/>
  <c r="P3163"/>
  <c r="P3162"/>
  <c r="P3161"/>
  <c r="P3160"/>
  <c r="P3159"/>
  <c r="P3158"/>
  <c r="P3157"/>
  <c r="P3156"/>
  <c r="P3155"/>
  <c r="P3154"/>
  <c r="P3153"/>
  <c r="P3152"/>
  <c r="P3151"/>
  <c r="P3150"/>
  <c r="P3149"/>
  <c r="P3148"/>
  <c r="P3147"/>
  <c r="P3146"/>
  <c r="P3145"/>
  <c r="P3144"/>
  <c r="P3143"/>
  <c r="P3142"/>
  <c r="P3141"/>
  <c r="P3140"/>
  <c r="P3139"/>
  <c r="P3138"/>
  <c r="P3137"/>
  <c r="P3136"/>
  <c r="P3135"/>
  <c r="P3134"/>
  <c r="P3133"/>
  <c r="P3132"/>
  <c r="P3131"/>
  <c r="P3130"/>
  <c r="P3129"/>
  <c r="P3128"/>
  <c r="P3127"/>
  <c r="P3126"/>
  <c r="P3125"/>
  <c r="P3124"/>
  <c r="P3123"/>
  <c r="P3122"/>
  <c r="P3121"/>
  <c r="P3120"/>
  <c r="P3119"/>
  <c r="P3118"/>
  <c r="P3117"/>
  <c r="P3116"/>
  <c r="P3115"/>
  <c r="P3114"/>
  <c r="P3113"/>
  <c r="P3112"/>
  <c r="P3111"/>
  <c r="P3110"/>
  <c r="P3109"/>
  <c r="P3108"/>
  <c r="P3107"/>
  <c r="P3106"/>
  <c r="P3105"/>
  <c r="P3104"/>
  <c r="P3103"/>
  <c r="P3102"/>
  <c r="P3101"/>
  <c r="P3100"/>
  <c r="P3099"/>
  <c r="P3098"/>
  <c r="P3097"/>
  <c r="P3096"/>
  <c r="P3095"/>
  <c r="P3094"/>
  <c r="P3093"/>
  <c r="P3092"/>
  <c r="P3091"/>
  <c r="P3090"/>
  <c r="P3089"/>
  <c r="P3088"/>
  <c r="P3087"/>
  <c r="P3086"/>
  <c r="P3085"/>
  <c r="P3084"/>
  <c r="P3083"/>
  <c r="P3082"/>
  <c r="P3081"/>
  <c r="P3080"/>
  <c r="P3079"/>
  <c r="P3078"/>
  <c r="P3077"/>
  <c r="P3076"/>
  <c r="P3075"/>
  <c r="P3074"/>
  <c r="P3073"/>
  <c r="P3072"/>
  <c r="P3071"/>
  <c r="P3070"/>
  <c r="P3069"/>
  <c r="P3068"/>
  <c r="P3067"/>
  <c r="P3066"/>
  <c r="P3065"/>
  <c r="P3064"/>
  <c r="P3063"/>
  <c r="P3062"/>
  <c r="P3061"/>
  <c r="P3060"/>
  <c r="P3059"/>
  <c r="P3058"/>
  <c r="P3057"/>
  <c r="P3056"/>
  <c r="P3055"/>
  <c r="P3054"/>
  <c r="P3053"/>
  <c r="P3052"/>
  <c r="P3051"/>
  <c r="P3050"/>
  <c r="P3049"/>
  <c r="P3048"/>
  <c r="P3047"/>
  <c r="P3046"/>
  <c r="P3045"/>
  <c r="P3044"/>
  <c r="P3043"/>
  <c r="P3042"/>
  <c r="P3041"/>
  <c r="P3040"/>
  <c r="P3039"/>
  <c r="P3038"/>
  <c r="P3037"/>
  <c r="P3036"/>
  <c r="P3035"/>
  <c r="P3034"/>
  <c r="P3033"/>
  <c r="P3032"/>
  <c r="P3031"/>
  <c r="P3030"/>
  <c r="P3029"/>
  <c r="P3028"/>
  <c r="P3027"/>
  <c r="P3026"/>
  <c r="P3025"/>
  <c r="P3024"/>
  <c r="P3023"/>
  <c r="P3022"/>
  <c r="P3021"/>
  <c r="P3020"/>
  <c r="P3019"/>
  <c r="P3018"/>
  <c r="P3017"/>
  <c r="P3016"/>
  <c r="P3015"/>
  <c r="P3014"/>
  <c r="P3013"/>
  <c r="P3012"/>
  <c r="P3011"/>
  <c r="P3010"/>
  <c r="P3009"/>
  <c r="P3008"/>
  <c r="P3007"/>
  <c r="P3006"/>
  <c r="P3005"/>
  <c r="P3004"/>
  <c r="P3003"/>
  <c r="P3002"/>
  <c r="P3001"/>
  <c r="P3000"/>
  <c r="P2999"/>
  <c r="P2998"/>
  <c r="P2997"/>
  <c r="P2996"/>
  <c r="P2995"/>
  <c r="P2994"/>
  <c r="P2993"/>
  <c r="P2992"/>
  <c r="P2991"/>
  <c r="P2990"/>
  <c r="P2989"/>
  <c r="P2988"/>
  <c r="P2987"/>
  <c r="P2986"/>
  <c r="P2985"/>
  <c r="P2984"/>
  <c r="P2983"/>
  <c r="P2982"/>
  <c r="P2981"/>
  <c r="P2980"/>
  <c r="P2979"/>
  <c r="P2978"/>
  <c r="P2977"/>
  <c r="P2976"/>
  <c r="P2975"/>
  <c r="P2974"/>
  <c r="P2973"/>
  <c r="P2972"/>
  <c r="P2971"/>
  <c r="P2970"/>
  <c r="P2969"/>
  <c r="P2968"/>
  <c r="P2967"/>
  <c r="P2966"/>
  <c r="P2965"/>
  <c r="P2964"/>
  <c r="P2963"/>
  <c r="P2962"/>
  <c r="P2961"/>
  <c r="P2960"/>
  <c r="P2959"/>
  <c r="P2958"/>
  <c r="P2957"/>
  <c r="P2956"/>
  <c r="P2955"/>
  <c r="P2954"/>
  <c r="P2953"/>
  <c r="P2952"/>
  <c r="P2951"/>
  <c r="P2950"/>
  <c r="P2949"/>
  <c r="P2948"/>
  <c r="P2947"/>
  <c r="P2946"/>
  <c r="P2945"/>
  <c r="P2944"/>
  <c r="P2943"/>
  <c r="P2942"/>
  <c r="P2941"/>
  <c r="P2940"/>
  <c r="P2939"/>
  <c r="P2938"/>
  <c r="P2937"/>
  <c r="P2936"/>
  <c r="P2935"/>
  <c r="P2934"/>
  <c r="P2933"/>
  <c r="P2932"/>
  <c r="P2931"/>
  <c r="P2930"/>
  <c r="P2929"/>
  <c r="P2928"/>
  <c r="P2927"/>
  <c r="P2926"/>
  <c r="P2925"/>
  <c r="P2924"/>
  <c r="P2923"/>
  <c r="P2922"/>
  <c r="P2921"/>
  <c r="P2920"/>
  <c r="P2919"/>
  <c r="P2918"/>
  <c r="P2917"/>
  <c r="P2916"/>
  <c r="P2915"/>
  <c r="P2914"/>
  <c r="P2913"/>
  <c r="P2912"/>
  <c r="P2911"/>
  <c r="P2910"/>
  <c r="P2909"/>
  <c r="P2908"/>
  <c r="P2907"/>
  <c r="P2906"/>
  <c r="P2905"/>
  <c r="P2904"/>
  <c r="P2903"/>
  <c r="P2902"/>
  <c r="P2901"/>
  <c r="P2900"/>
  <c r="P2899"/>
  <c r="P2898"/>
  <c r="P2897"/>
  <c r="P2896"/>
  <c r="P2895"/>
  <c r="P2894"/>
  <c r="P2893"/>
  <c r="P2892"/>
  <c r="P2891"/>
  <c r="P2890"/>
  <c r="P2889"/>
  <c r="P2888"/>
  <c r="P2887"/>
  <c r="P2886"/>
  <c r="P2885"/>
  <c r="P2884"/>
  <c r="P2883"/>
  <c r="P2882"/>
  <c r="P2881"/>
  <c r="P2880"/>
  <c r="P2879"/>
  <c r="P2878"/>
  <c r="P2877"/>
  <c r="P2876"/>
  <c r="P2875"/>
  <c r="P2874"/>
  <c r="P2873"/>
  <c r="P2872"/>
  <c r="P2871"/>
  <c r="P2870"/>
  <c r="P2869"/>
  <c r="P2868"/>
  <c r="P2867"/>
  <c r="P2866"/>
  <c r="P2865"/>
  <c r="P2864"/>
  <c r="P2863"/>
  <c r="P2862"/>
  <c r="P2861"/>
  <c r="P2860"/>
  <c r="P2859"/>
  <c r="P2858"/>
  <c r="P2857"/>
  <c r="P2856"/>
  <c r="P2855"/>
  <c r="P2854"/>
  <c r="P2853"/>
  <c r="P2852"/>
  <c r="P2851"/>
  <c r="P2850"/>
  <c r="P2849"/>
  <c r="P2848"/>
  <c r="P2847"/>
  <c r="P2846"/>
  <c r="P2845"/>
  <c r="P2844"/>
  <c r="P2843"/>
  <c r="P2842"/>
  <c r="P2841"/>
  <c r="P2840"/>
  <c r="P2839"/>
  <c r="P2838"/>
  <c r="P2837"/>
  <c r="P2836"/>
  <c r="P2835"/>
  <c r="P2834"/>
  <c r="P2833"/>
  <c r="P2832"/>
  <c r="P2831"/>
  <c r="P2830"/>
  <c r="P2829"/>
  <c r="P2828"/>
  <c r="P2827"/>
  <c r="P2826"/>
  <c r="P2825"/>
  <c r="P2824"/>
  <c r="P2823"/>
  <c r="P2822"/>
  <c r="P2821"/>
  <c r="P2820"/>
  <c r="P2819"/>
  <c r="P2818"/>
  <c r="P2817"/>
  <c r="P2816"/>
  <c r="P2815"/>
  <c r="P2814"/>
  <c r="P2813"/>
  <c r="P2812"/>
  <c r="P2811"/>
  <c r="P2810"/>
  <c r="P2809"/>
  <c r="P2808"/>
  <c r="P2807"/>
  <c r="P2806"/>
  <c r="P2805"/>
  <c r="P2804"/>
  <c r="P2803"/>
  <c r="P2802"/>
  <c r="P2801"/>
  <c r="P2800"/>
  <c r="P2799"/>
  <c r="P2798"/>
  <c r="P2797"/>
  <c r="P2796"/>
  <c r="P2795"/>
  <c r="P2794"/>
  <c r="P2793"/>
  <c r="P2792"/>
  <c r="P2791"/>
  <c r="P2790"/>
  <c r="P2789"/>
  <c r="P2788"/>
  <c r="P2787"/>
  <c r="P2786"/>
  <c r="P2785"/>
  <c r="P2784"/>
  <c r="P2783"/>
  <c r="P2782"/>
  <c r="P2781"/>
  <c r="P2780"/>
  <c r="P2779"/>
  <c r="P2778"/>
  <c r="P2777"/>
  <c r="P2776"/>
  <c r="P2775"/>
  <c r="P2774"/>
  <c r="P2773"/>
  <c r="P2772"/>
  <c r="P2771"/>
  <c r="P2770"/>
  <c r="P2769"/>
  <c r="P2768"/>
  <c r="P2767"/>
  <c r="P2766"/>
  <c r="P2765"/>
  <c r="P2764"/>
  <c r="P2763"/>
  <c r="P2762"/>
  <c r="P2761"/>
  <c r="P2760"/>
  <c r="P2759"/>
  <c r="P2758"/>
  <c r="P2757"/>
  <c r="P2756"/>
  <c r="P2755"/>
  <c r="P2754"/>
  <c r="P2753"/>
  <c r="P2752"/>
  <c r="P2751"/>
  <c r="P2750"/>
  <c r="P2749"/>
  <c r="P2748"/>
  <c r="P2747"/>
  <c r="P2746"/>
  <c r="P2745"/>
  <c r="P2744"/>
  <c r="P2743"/>
  <c r="P2742"/>
  <c r="P2741"/>
  <c r="P2740"/>
  <c r="P2739"/>
  <c r="P2738"/>
  <c r="P2737"/>
  <c r="P2736"/>
  <c r="P2735"/>
  <c r="P2734"/>
  <c r="P2733"/>
  <c r="P2732"/>
  <c r="P2731"/>
  <c r="P2730"/>
  <c r="P2729"/>
  <c r="P2728"/>
  <c r="P2727"/>
  <c r="P2726"/>
  <c r="P2725"/>
  <c r="P2724"/>
  <c r="P2723"/>
  <c r="P2722"/>
  <c r="P2721"/>
  <c r="P2720"/>
  <c r="P2719"/>
  <c r="P2718"/>
  <c r="P2717"/>
  <c r="P2716"/>
  <c r="P2715"/>
  <c r="P2714"/>
  <c r="P2713"/>
  <c r="P2712"/>
  <c r="P2711"/>
  <c r="P2710"/>
  <c r="P2709"/>
  <c r="P2708"/>
  <c r="P2707"/>
  <c r="P2706"/>
  <c r="P2705"/>
  <c r="P2704"/>
  <c r="P2703"/>
  <c r="P2702"/>
  <c r="P2701"/>
  <c r="P2700"/>
  <c r="P2699"/>
  <c r="P2698"/>
  <c r="P2697"/>
  <c r="P2696"/>
  <c r="P2695"/>
  <c r="P2694"/>
  <c r="P2693"/>
  <c r="P2692"/>
  <c r="P2691"/>
  <c r="P2690"/>
  <c r="P2689"/>
  <c r="P2688"/>
  <c r="P2687"/>
  <c r="P2686"/>
  <c r="P2685"/>
  <c r="P2684"/>
  <c r="P2683"/>
  <c r="P2682"/>
  <c r="P2681"/>
  <c r="P2680"/>
  <c r="P2679"/>
  <c r="P2678"/>
  <c r="P2677"/>
  <c r="P2676"/>
  <c r="P2675"/>
  <c r="P2674"/>
  <c r="P2673"/>
  <c r="P2672"/>
  <c r="P2671"/>
  <c r="P2670"/>
  <c r="P2669"/>
  <c r="P2668"/>
  <c r="P2667"/>
  <c r="P2666"/>
  <c r="P2665"/>
  <c r="P2664"/>
  <c r="P2663"/>
  <c r="P2662"/>
  <c r="P2661"/>
  <c r="P2660"/>
  <c r="P2659"/>
  <c r="P2658"/>
  <c r="P2657"/>
  <c r="P2656"/>
  <c r="P2655"/>
  <c r="P2654"/>
  <c r="P2653"/>
  <c r="P2652"/>
  <c r="P2651"/>
  <c r="P2650"/>
  <c r="P2649"/>
  <c r="P2648"/>
  <c r="P2647"/>
  <c r="P2646"/>
  <c r="P2645"/>
  <c r="P2644"/>
  <c r="P2643"/>
  <c r="P2642"/>
  <c r="P2641"/>
  <c r="P2640"/>
  <c r="P2639"/>
  <c r="P2638"/>
  <c r="P2637"/>
  <c r="P2636"/>
  <c r="P2635"/>
  <c r="P2634"/>
  <c r="P2633"/>
  <c r="P2632"/>
  <c r="P2631"/>
  <c r="P2630"/>
  <c r="P2629"/>
  <c r="P2628"/>
  <c r="P2627"/>
  <c r="P2626"/>
  <c r="P2625"/>
  <c r="P2624"/>
  <c r="P2623"/>
  <c r="P2622"/>
  <c r="P2621"/>
  <c r="P2620"/>
  <c r="P2619"/>
  <c r="P2618"/>
  <c r="P2617"/>
  <c r="P2616"/>
  <c r="P2615"/>
  <c r="P2614"/>
  <c r="P2613"/>
  <c r="P2612"/>
  <c r="P2611"/>
  <c r="P2610"/>
  <c r="P2609"/>
  <c r="P2608"/>
  <c r="P2607"/>
  <c r="P2606"/>
  <c r="P2605"/>
  <c r="P2604"/>
  <c r="P2603"/>
  <c r="P2602"/>
  <c r="P2601"/>
  <c r="P2600"/>
  <c r="P2599"/>
  <c r="P2598"/>
  <c r="P2597"/>
  <c r="P2596"/>
  <c r="P2595"/>
  <c r="P2594"/>
  <c r="P2593"/>
  <c r="P2592"/>
  <c r="P2591"/>
  <c r="P2590"/>
  <c r="P2589"/>
  <c r="P2588"/>
  <c r="P2587"/>
  <c r="P2586"/>
  <c r="P2585"/>
  <c r="P2584"/>
  <c r="P2583"/>
  <c r="P2582"/>
  <c r="P2581"/>
  <c r="P2580"/>
  <c r="P2579"/>
  <c r="P2578"/>
  <c r="P2577"/>
  <c r="P2576"/>
  <c r="P2575"/>
  <c r="P2574"/>
  <c r="P2573"/>
  <c r="P2572"/>
  <c r="P2571"/>
  <c r="P2570"/>
  <c r="P2569"/>
  <c r="P2568"/>
  <c r="P2567"/>
  <c r="P2566"/>
  <c r="P2565"/>
  <c r="P2564"/>
  <c r="P2563"/>
  <c r="P2562"/>
  <c r="P2561"/>
  <c r="P2560"/>
  <c r="P2559"/>
  <c r="P2558"/>
  <c r="P2557"/>
  <c r="P2556"/>
  <c r="P2555"/>
  <c r="P2554"/>
  <c r="P2553"/>
  <c r="P2552"/>
  <c r="P2551"/>
  <c r="P2550"/>
  <c r="P2549"/>
  <c r="P2548"/>
  <c r="P2547"/>
  <c r="P2546"/>
  <c r="P2545"/>
  <c r="P2544"/>
  <c r="P2543"/>
  <c r="P2542"/>
  <c r="P2541"/>
  <c r="P2540"/>
  <c r="P2539"/>
  <c r="P2538"/>
  <c r="P2537"/>
  <c r="P2536"/>
  <c r="P2535"/>
  <c r="P2534"/>
  <c r="P2533"/>
  <c r="P2532"/>
  <c r="P2531"/>
  <c r="P2530"/>
  <c r="P2529"/>
  <c r="P2528"/>
  <c r="P2527"/>
  <c r="P2526"/>
  <c r="P2525"/>
  <c r="P2524"/>
  <c r="P2523"/>
  <c r="P2522"/>
  <c r="P2521"/>
  <c r="P2520"/>
  <c r="P2519"/>
  <c r="P2518"/>
  <c r="P2517"/>
  <c r="P2516"/>
  <c r="P2515"/>
  <c r="P2514"/>
  <c r="P2513"/>
  <c r="P2512"/>
  <c r="P2511"/>
  <c r="P2510"/>
  <c r="P2509"/>
  <c r="P2508"/>
  <c r="P2507"/>
  <c r="P2506"/>
  <c r="P2505"/>
  <c r="P2504"/>
  <c r="P2503"/>
  <c r="P2502"/>
  <c r="P2501"/>
  <c r="P2500"/>
  <c r="P2499"/>
  <c r="P2498"/>
  <c r="P2497"/>
  <c r="P2496"/>
  <c r="P2495"/>
  <c r="P2494"/>
  <c r="P2493"/>
  <c r="P2492"/>
  <c r="P2491"/>
  <c r="P2490"/>
  <c r="P2489"/>
  <c r="P2488"/>
  <c r="P2487"/>
  <c r="P2486"/>
  <c r="P2485"/>
  <c r="P2484"/>
  <c r="P2483"/>
  <c r="P2482"/>
  <c r="P2481"/>
  <c r="P2480"/>
  <c r="P2479"/>
  <c r="P2478"/>
  <c r="P2477"/>
  <c r="P2476"/>
  <c r="P2475"/>
  <c r="P2474"/>
  <c r="P2473"/>
  <c r="P2472"/>
  <c r="P2471"/>
  <c r="P2470"/>
  <c r="P2469"/>
  <c r="P2468"/>
  <c r="P2467"/>
  <c r="P2466"/>
  <c r="P2465"/>
  <c r="P2464"/>
  <c r="P2463"/>
  <c r="P2462"/>
  <c r="P2461"/>
  <c r="P2460"/>
  <c r="P2459"/>
  <c r="P2458"/>
  <c r="P2457"/>
  <c r="P2456"/>
  <c r="P2455"/>
  <c r="P2454"/>
  <c r="P2453"/>
  <c r="P2452"/>
  <c r="P2451"/>
  <c r="P2450"/>
  <c r="P2449"/>
  <c r="P2448"/>
  <c r="P2447"/>
  <c r="P2446"/>
  <c r="P2445"/>
  <c r="P2444"/>
  <c r="P2443"/>
  <c r="P2442"/>
  <c r="P2441"/>
  <c r="P2440"/>
  <c r="P2439"/>
  <c r="P2438"/>
  <c r="P2437"/>
  <c r="P2436"/>
  <c r="P2435"/>
  <c r="P2434"/>
  <c r="P2433"/>
  <c r="P2432"/>
  <c r="P2431"/>
  <c r="P2430"/>
  <c r="P2429"/>
  <c r="P2428"/>
  <c r="P2427"/>
  <c r="P2426"/>
  <c r="P2425"/>
  <c r="P2424"/>
  <c r="P2423"/>
  <c r="P2422"/>
  <c r="P2421"/>
  <c r="P2420"/>
  <c r="P2419"/>
  <c r="P2418"/>
  <c r="P2417"/>
  <c r="P2416"/>
  <c r="P2415"/>
  <c r="P2414"/>
  <c r="P2413"/>
  <c r="P2412"/>
  <c r="P2411"/>
  <c r="P2410"/>
  <c r="P2409"/>
  <c r="P2408"/>
  <c r="P2407"/>
  <c r="P2406"/>
  <c r="P2405"/>
  <c r="P2404"/>
  <c r="P2403"/>
  <c r="P2402"/>
  <c r="P2401"/>
  <c r="P2400"/>
  <c r="P2399"/>
  <c r="P2398"/>
  <c r="P2397"/>
  <c r="P2396"/>
  <c r="P2395"/>
  <c r="P2394"/>
  <c r="P2393"/>
  <c r="P2392"/>
  <c r="P2391"/>
  <c r="P2390"/>
  <c r="P2389"/>
  <c r="P2388"/>
  <c r="P2387"/>
  <c r="P2386"/>
  <c r="P2385"/>
  <c r="P2384"/>
  <c r="P2383"/>
  <c r="P2382"/>
  <c r="P2381"/>
  <c r="P2380"/>
  <c r="P2379"/>
  <c r="P2378"/>
  <c r="P2377"/>
  <c r="P2376"/>
  <c r="P2375"/>
  <c r="P2374"/>
  <c r="P2373"/>
  <c r="P2372"/>
  <c r="P2371"/>
  <c r="P2370"/>
  <c r="P2369"/>
  <c r="P2368"/>
  <c r="P2367"/>
  <c r="P2366"/>
  <c r="P2365"/>
  <c r="P2364"/>
  <c r="P2363"/>
  <c r="P2362"/>
  <c r="P2361"/>
  <c r="P2360"/>
  <c r="P2359"/>
  <c r="P2358"/>
  <c r="P2357"/>
  <c r="P2356"/>
  <c r="P2355"/>
  <c r="P2354"/>
  <c r="P2353"/>
  <c r="P2352"/>
  <c r="P2351"/>
  <c r="P2350"/>
  <c r="P2349"/>
  <c r="P2348"/>
  <c r="P2347"/>
  <c r="P2346"/>
  <c r="P2345"/>
  <c r="P2344"/>
  <c r="P2343"/>
  <c r="P2342"/>
  <c r="P2341"/>
  <c r="P2340"/>
  <c r="P2339"/>
  <c r="P2338"/>
  <c r="P2337"/>
  <c r="P2336"/>
  <c r="P2335"/>
  <c r="P2334"/>
  <c r="P2333"/>
  <c r="P2332"/>
  <c r="P2331"/>
  <c r="P2330"/>
  <c r="P2329"/>
  <c r="P2328"/>
  <c r="P2327"/>
  <c r="P2326"/>
  <c r="P2325"/>
  <c r="P2324"/>
  <c r="P2323"/>
  <c r="P2322"/>
  <c r="P2321"/>
  <c r="P2320"/>
  <c r="P2319"/>
  <c r="P2318"/>
  <c r="P2317"/>
  <c r="P2316"/>
  <c r="P2315"/>
  <c r="P2314"/>
  <c r="P2313"/>
  <c r="P2312"/>
  <c r="P2311"/>
  <c r="P2310"/>
  <c r="P2309"/>
  <c r="P2308"/>
  <c r="P2307"/>
  <c r="P2306"/>
  <c r="P2305"/>
  <c r="P2304"/>
  <c r="P2303"/>
  <c r="P2302"/>
  <c r="P2301"/>
  <c r="P2300"/>
  <c r="P2299"/>
  <c r="P2298"/>
  <c r="P2297"/>
  <c r="P2296"/>
  <c r="P2295"/>
  <c r="P2294"/>
  <c r="P2293"/>
  <c r="P2292"/>
  <c r="P2291"/>
  <c r="P2290"/>
  <c r="P2289"/>
  <c r="P2288"/>
  <c r="P2287"/>
  <c r="P2286"/>
  <c r="P2285"/>
  <c r="P2284"/>
  <c r="P2283"/>
  <c r="P2282"/>
  <c r="P2281"/>
  <c r="P2280"/>
  <c r="P2279"/>
  <c r="P2278"/>
  <c r="P2277"/>
  <c r="P2276"/>
  <c r="P2275"/>
  <c r="P2274"/>
  <c r="P2273"/>
  <c r="P2272"/>
  <c r="P2271"/>
  <c r="P2270"/>
  <c r="P2269"/>
  <c r="P2268"/>
  <c r="P2267"/>
  <c r="P2266"/>
  <c r="P2265"/>
  <c r="P2264"/>
  <c r="P2263"/>
  <c r="P2262"/>
  <c r="P2261"/>
  <c r="P2260"/>
  <c r="P2259"/>
  <c r="P2258"/>
  <c r="P2257"/>
  <c r="P2256"/>
  <c r="P2255"/>
  <c r="P2254"/>
  <c r="P2253"/>
  <c r="P2252"/>
  <c r="P2251"/>
  <c r="P2250"/>
  <c r="P2249"/>
  <c r="P2248"/>
  <c r="P2247"/>
  <c r="P2246"/>
  <c r="P2245"/>
  <c r="P2244"/>
  <c r="P2243"/>
  <c r="P2242"/>
  <c r="P2241"/>
  <c r="P2240"/>
  <c r="P2239"/>
  <c r="P2238"/>
  <c r="P2237"/>
  <c r="P2236"/>
  <c r="P2235"/>
  <c r="P2234"/>
  <c r="P2233"/>
  <c r="P2232"/>
  <c r="P2231"/>
  <c r="P2230"/>
  <c r="P2229"/>
  <c r="P2228"/>
  <c r="P2227"/>
  <c r="P2226"/>
  <c r="P2225"/>
  <c r="P2224"/>
  <c r="P2223"/>
  <c r="P2222"/>
  <c r="P2221"/>
  <c r="P2220"/>
  <c r="P2219"/>
  <c r="P2218"/>
  <c r="P2217"/>
  <c r="P2216"/>
  <c r="P2215"/>
  <c r="P2214"/>
  <c r="P2213"/>
  <c r="P2212"/>
  <c r="P2211"/>
  <c r="P2210"/>
  <c r="P2209"/>
  <c r="P2208"/>
  <c r="P2207"/>
  <c r="P2206"/>
  <c r="P2205"/>
  <c r="P2204"/>
  <c r="P2203"/>
  <c r="P2202"/>
  <c r="P2201"/>
  <c r="P2200"/>
  <c r="P2199"/>
  <c r="P2198"/>
  <c r="P2197"/>
  <c r="P2196"/>
  <c r="P2195"/>
  <c r="P2194"/>
  <c r="P2193"/>
  <c r="P2192"/>
  <c r="P2191"/>
  <c r="P2190"/>
  <c r="P2189"/>
  <c r="P2188"/>
  <c r="P2187"/>
  <c r="P2186"/>
  <c r="P2185"/>
  <c r="P2184"/>
  <c r="P2183"/>
  <c r="P2182"/>
  <c r="P2181"/>
  <c r="P2180"/>
  <c r="P2179"/>
  <c r="P2178"/>
  <c r="P2177"/>
  <c r="P2176"/>
  <c r="P2175"/>
  <c r="P2174"/>
  <c r="P2173"/>
  <c r="P2172"/>
  <c r="P2171"/>
  <c r="P2170"/>
  <c r="P2169"/>
  <c r="P2168"/>
  <c r="P2167"/>
  <c r="P2166"/>
  <c r="P2165"/>
  <c r="P2164"/>
  <c r="P2163"/>
  <c r="P2162"/>
  <c r="P2161"/>
  <c r="P2160"/>
  <c r="P2159"/>
  <c r="P2158"/>
  <c r="P2157"/>
  <c r="P2156"/>
  <c r="P2155"/>
  <c r="P2154"/>
  <c r="P2153"/>
  <c r="P2152"/>
  <c r="P2151"/>
  <c r="P2150"/>
  <c r="P2149"/>
  <c r="P2148"/>
  <c r="P2147"/>
  <c r="P2146"/>
  <c r="P2145"/>
  <c r="P2144"/>
  <c r="P2143"/>
  <c r="P2142"/>
  <c r="P2141"/>
  <c r="P2140"/>
  <c r="P2139"/>
  <c r="P2138"/>
  <c r="P2137"/>
  <c r="P2136"/>
  <c r="P2135"/>
  <c r="P2134"/>
  <c r="P2133"/>
  <c r="P2132"/>
  <c r="P2131"/>
  <c r="P2130"/>
  <c r="P2129"/>
  <c r="P2128"/>
  <c r="P2127"/>
  <c r="P2126"/>
  <c r="P2125"/>
  <c r="P2124"/>
  <c r="P2123"/>
  <c r="P2122"/>
  <c r="P2121"/>
  <c r="P2120"/>
  <c r="P2119"/>
  <c r="P2118"/>
  <c r="P2117"/>
  <c r="P2116"/>
  <c r="P2115"/>
  <c r="P2114"/>
  <c r="P2113"/>
  <c r="P2112"/>
  <c r="P2111"/>
  <c r="P2110"/>
  <c r="P2109"/>
  <c r="P2108"/>
  <c r="P2107"/>
  <c r="P2106"/>
  <c r="P2105"/>
  <c r="P2104"/>
  <c r="P2103"/>
  <c r="P2102"/>
  <c r="P2101"/>
  <c r="P2100"/>
  <c r="P2099"/>
  <c r="P2098"/>
  <c r="P2097"/>
  <c r="P2096"/>
  <c r="P2095"/>
  <c r="P2094"/>
  <c r="P2093"/>
  <c r="P2092"/>
  <c r="P2091"/>
  <c r="P2090"/>
  <c r="P2089"/>
  <c r="P2088"/>
  <c r="P2087"/>
  <c r="P2086"/>
  <c r="P2085"/>
  <c r="P2084"/>
  <c r="P2083"/>
  <c r="P2082"/>
  <c r="P2081"/>
  <c r="P2080"/>
  <c r="P2079"/>
  <c r="P2078"/>
  <c r="P2077"/>
  <c r="P2076"/>
  <c r="P2075"/>
  <c r="P2074"/>
  <c r="P2073"/>
  <c r="P2072"/>
  <c r="P2071"/>
  <c r="P2070"/>
  <c r="P2069"/>
  <c r="P2068"/>
  <c r="P2067"/>
  <c r="P2066"/>
  <c r="P2065"/>
  <c r="P2064"/>
  <c r="P2063"/>
  <c r="P2062"/>
  <c r="P2061"/>
  <c r="P2060"/>
  <c r="P2059"/>
  <c r="P2058"/>
  <c r="P2057"/>
  <c r="P2056"/>
  <c r="P2055"/>
  <c r="P2054"/>
  <c r="P2053"/>
  <c r="P2052"/>
  <c r="P2051"/>
  <c r="P2050"/>
  <c r="P2049"/>
  <c r="P2048"/>
  <c r="P2047"/>
  <c r="P2046"/>
  <c r="P2045"/>
  <c r="P2044"/>
  <c r="P2043"/>
  <c r="P2042"/>
  <c r="P2041"/>
  <c r="P2040"/>
  <c r="P2039"/>
  <c r="P2038"/>
  <c r="P2037"/>
  <c r="P2036"/>
  <c r="P2035"/>
  <c r="P2034"/>
  <c r="P2033"/>
  <c r="P2032"/>
  <c r="P2031"/>
  <c r="P2030"/>
  <c r="P2029"/>
  <c r="P2028"/>
  <c r="P2027"/>
  <c r="P2026"/>
  <c r="P2025"/>
  <c r="P2024"/>
  <c r="P2023"/>
  <c r="P2022"/>
  <c r="P2021"/>
  <c r="P2020"/>
  <c r="P2019"/>
  <c r="P2018"/>
  <c r="P2017"/>
  <c r="P2016"/>
  <c r="P2015"/>
  <c r="P2014"/>
  <c r="P2013"/>
  <c r="P2012"/>
  <c r="P2011"/>
  <c r="P2010"/>
  <c r="P2009"/>
  <c r="P2008"/>
  <c r="P2007"/>
  <c r="P2006"/>
  <c r="P2005"/>
  <c r="P2004"/>
  <c r="P2003"/>
  <c r="P2002"/>
  <c r="P2001"/>
  <c r="P2000"/>
  <c r="P1999"/>
  <c r="P1998"/>
  <c r="P1997"/>
  <c r="P1996"/>
  <c r="P1995"/>
  <c r="P1994"/>
  <c r="P1993"/>
  <c r="P1992"/>
  <c r="P1991"/>
  <c r="P1990"/>
  <c r="P1989"/>
  <c r="P1988"/>
  <c r="P1987"/>
  <c r="P1986"/>
  <c r="P1985"/>
  <c r="P1984"/>
  <c r="P1983"/>
  <c r="P1982"/>
  <c r="P1981"/>
  <c r="P1980"/>
  <c r="P1979"/>
  <c r="P1978"/>
  <c r="P1977"/>
  <c r="P1976"/>
  <c r="P1975"/>
  <c r="P1974"/>
  <c r="P1973"/>
  <c r="P1972"/>
  <c r="P1971"/>
  <c r="P1970"/>
  <c r="P1969"/>
  <c r="P1968"/>
  <c r="P1967"/>
  <c r="P1966"/>
  <c r="P1965"/>
  <c r="P1964"/>
  <c r="P1963"/>
  <c r="P1962"/>
  <c r="P1961"/>
  <c r="P1960"/>
  <c r="P1959"/>
  <c r="P1958"/>
  <c r="P1957"/>
  <c r="P1956"/>
  <c r="P1955"/>
  <c r="P1954"/>
  <c r="P1953"/>
  <c r="P1952"/>
  <c r="P1951"/>
  <c r="P1950"/>
  <c r="P1949"/>
  <c r="P1948"/>
  <c r="P1947"/>
  <c r="P1946"/>
  <c r="P1945"/>
  <c r="P1944"/>
  <c r="P1943"/>
  <c r="P1942"/>
  <c r="P1941"/>
  <c r="P1940"/>
  <c r="P1939"/>
  <c r="P1938"/>
  <c r="P1937"/>
  <c r="P1936"/>
  <c r="P1935"/>
  <c r="P1934"/>
  <c r="P1933"/>
  <c r="P1932"/>
  <c r="P1931"/>
  <c r="P1930"/>
  <c r="P1929"/>
  <c r="P1928"/>
  <c r="P1927"/>
  <c r="P1926"/>
  <c r="P1925"/>
  <c r="P1924"/>
  <c r="P1923"/>
  <c r="P1922"/>
  <c r="P1921"/>
  <c r="P1920"/>
  <c r="P1919"/>
  <c r="P1918"/>
  <c r="P1917"/>
  <c r="P1916"/>
  <c r="P1915"/>
  <c r="P1914"/>
  <c r="P1913"/>
  <c r="P1912"/>
  <c r="P1911"/>
  <c r="P1910"/>
  <c r="P1909"/>
  <c r="P1908"/>
  <c r="P1907"/>
  <c r="P1906"/>
  <c r="P1905"/>
  <c r="P1904"/>
  <c r="P1903"/>
  <c r="P1902"/>
  <c r="P1901"/>
  <c r="P1900"/>
  <c r="P1899"/>
  <c r="P1898"/>
  <c r="P1897"/>
  <c r="P1896"/>
  <c r="P1895"/>
  <c r="P1894"/>
  <c r="P1893"/>
  <c r="P1892"/>
  <c r="P1891"/>
  <c r="P1890"/>
  <c r="P1889"/>
  <c r="P1888"/>
  <c r="P1887"/>
  <c r="P1886"/>
  <c r="P1885"/>
  <c r="P1884"/>
  <c r="P1883"/>
  <c r="P1882"/>
  <c r="P1881"/>
  <c r="P1880"/>
  <c r="P1879"/>
  <c r="P1878"/>
  <c r="P1877"/>
  <c r="P1876"/>
  <c r="P1875"/>
  <c r="P1874"/>
  <c r="P1873"/>
  <c r="P1872"/>
  <c r="P1871"/>
  <c r="P1870"/>
  <c r="P1869"/>
  <c r="P1868"/>
  <c r="P1867"/>
  <c r="P1866"/>
  <c r="P1865"/>
  <c r="P1864"/>
  <c r="P1863"/>
  <c r="P1862"/>
  <c r="P1861"/>
  <c r="P1860"/>
  <c r="P1859"/>
  <c r="P1858"/>
  <c r="P1857"/>
  <c r="P1856"/>
  <c r="P1855"/>
  <c r="P1854"/>
  <c r="P1853"/>
  <c r="P1852"/>
  <c r="P1851"/>
  <c r="P1850"/>
  <c r="P1849"/>
  <c r="P1848"/>
  <c r="P1847"/>
  <c r="P1846"/>
  <c r="P1845"/>
  <c r="P1844"/>
  <c r="P1843"/>
  <c r="P1842"/>
  <c r="P1841"/>
  <c r="P1840"/>
  <c r="P1839"/>
  <c r="P1838"/>
  <c r="P1837"/>
  <c r="P1836"/>
  <c r="P1835"/>
  <c r="P1834"/>
  <c r="P1833"/>
  <c r="P1832"/>
  <c r="P1831"/>
  <c r="P1830"/>
  <c r="P1829"/>
  <c r="P1828"/>
  <c r="P1827"/>
  <c r="P1826"/>
  <c r="P1825"/>
  <c r="P1824"/>
  <c r="P1823"/>
  <c r="P1822"/>
  <c r="P1821"/>
  <c r="P1820"/>
  <c r="P1819"/>
  <c r="P1818"/>
  <c r="P1817"/>
  <c r="P1816"/>
  <c r="P1815"/>
  <c r="P1814"/>
  <c r="P1813"/>
  <c r="P1812"/>
  <c r="P1811"/>
  <c r="P1810"/>
  <c r="P1809"/>
  <c r="P1808"/>
  <c r="P1807"/>
  <c r="P1806"/>
  <c r="P1805"/>
  <c r="P1804"/>
  <c r="P1803"/>
  <c r="P1802"/>
  <c r="P1801"/>
  <c r="P1800"/>
  <c r="P1799"/>
  <c r="P1798"/>
  <c r="P1797"/>
  <c r="P1796"/>
  <c r="P1795"/>
  <c r="P1794"/>
  <c r="P1793"/>
  <c r="P1792"/>
  <c r="P1791"/>
  <c r="P1790"/>
  <c r="P1789"/>
  <c r="P1788"/>
  <c r="P1787"/>
  <c r="P1786"/>
  <c r="P1785"/>
  <c r="P1784"/>
  <c r="P1783"/>
  <c r="P1782"/>
  <c r="P1781"/>
  <c r="P1780"/>
  <c r="P1779"/>
  <c r="P1778"/>
  <c r="P1777"/>
  <c r="P1776"/>
  <c r="P1775"/>
  <c r="P1774"/>
  <c r="P1773"/>
  <c r="P1772"/>
  <c r="P1771"/>
  <c r="P1770"/>
  <c r="P1769"/>
  <c r="P1768"/>
  <c r="P1767"/>
  <c r="P1766"/>
  <c r="P1765"/>
  <c r="P1764"/>
  <c r="P1763"/>
  <c r="P1762"/>
  <c r="P1761"/>
  <c r="P1760"/>
  <c r="P1759"/>
  <c r="P1758"/>
  <c r="P1757"/>
  <c r="P1756"/>
  <c r="P1755"/>
  <c r="P1754"/>
  <c r="P1753"/>
  <c r="P1752"/>
  <c r="P1751"/>
  <c r="P1750"/>
  <c r="P1749"/>
  <c r="P1748"/>
  <c r="P1747"/>
  <c r="P1746"/>
  <c r="P1745"/>
  <c r="P1744"/>
  <c r="P1743"/>
  <c r="P1742"/>
  <c r="P1741"/>
  <c r="P1740"/>
  <c r="P1739"/>
  <c r="P1738"/>
  <c r="P1737"/>
  <c r="P1736"/>
  <c r="P1735"/>
  <c r="P1734"/>
  <c r="P1733"/>
  <c r="P1732"/>
  <c r="P1731"/>
  <c r="P1730"/>
  <c r="P1729"/>
  <c r="P1728"/>
  <c r="P1727"/>
  <c r="P1726"/>
  <c r="P1725"/>
  <c r="P1724"/>
  <c r="P1723"/>
  <c r="P1722"/>
  <c r="P1721"/>
  <c r="P1720"/>
  <c r="P1719"/>
  <c r="P1718"/>
  <c r="P1717"/>
  <c r="P1716"/>
  <c r="P1715"/>
  <c r="P1714"/>
  <c r="P1713"/>
  <c r="P1712"/>
  <c r="P1711"/>
  <c r="P1710"/>
  <c r="P1709"/>
  <c r="P1708"/>
  <c r="P1707"/>
  <c r="P1706"/>
  <c r="P1705"/>
  <c r="P1704"/>
  <c r="P1703"/>
  <c r="P1702"/>
  <c r="P1701"/>
  <c r="P1700"/>
  <c r="P1699"/>
  <c r="P1698"/>
  <c r="P1697"/>
  <c r="P1696"/>
  <c r="P1695"/>
  <c r="P1694"/>
  <c r="P1693"/>
  <c r="P1692"/>
  <c r="P1691"/>
  <c r="P1690"/>
  <c r="P1689"/>
  <c r="P1688"/>
  <c r="P1687"/>
  <c r="P1686"/>
  <c r="P1685"/>
  <c r="P1684"/>
  <c r="P1683"/>
  <c r="P1682"/>
  <c r="P1681"/>
  <c r="P1680"/>
  <c r="P1679"/>
  <c r="P1678"/>
  <c r="P1677"/>
  <c r="P1676"/>
  <c r="P1675"/>
  <c r="P1674"/>
  <c r="P1673"/>
  <c r="P1672"/>
  <c r="P1671"/>
  <c r="P1670"/>
  <c r="P1669"/>
  <c r="P1668"/>
  <c r="P1667"/>
  <c r="P1666"/>
  <c r="P1665"/>
  <c r="P1664"/>
  <c r="P1663"/>
  <c r="P1662"/>
  <c r="P1661"/>
  <c r="P1660"/>
  <c r="P1659"/>
  <c r="P1658"/>
  <c r="P1657"/>
  <c r="P1656"/>
  <c r="P1655"/>
  <c r="P1654"/>
  <c r="P1653"/>
  <c r="P1652"/>
  <c r="P1651"/>
  <c r="P1650"/>
  <c r="P1649"/>
  <c r="P1648"/>
  <c r="P1647"/>
  <c r="P1646"/>
  <c r="P1645"/>
  <c r="P1644"/>
  <c r="P1643"/>
  <c r="P1642"/>
  <c r="P1641"/>
  <c r="P1640"/>
  <c r="P1639"/>
  <c r="P1638"/>
  <c r="P1637"/>
  <c r="P1636"/>
  <c r="P1635"/>
  <c r="P1634"/>
  <c r="P1633"/>
  <c r="P1632"/>
  <c r="P1631"/>
  <c r="P1630"/>
  <c r="P1629"/>
  <c r="P1628"/>
  <c r="P1627"/>
  <c r="P1626"/>
  <c r="P1625"/>
  <c r="P1624"/>
  <c r="P1623"/>
  <c r="P1622"/>
  <c r="P1621"/>
  <c r="P1620"/>
  <c r="P1619"/>
  <c r="P1618"/>
  <c r="P1617"/>
  <c r="P1616"/>
  <c r="P1615"/>
  <c r="P1614"/>
  <c r="P1613"/>
  <c r="P1612"/>
  <c r="P1611"/>
  <c r="P1610"/>
  <c r="P1609"/>
  <c r="P1608"/>
  <c r="P1607"/>
  <c r="P1606"/>
  <c r="P1605"/>
  <c r="P1604"/>
  <c r="P1603"/>
  <c r="P1602"/>
  <c r="P1601"/>
  <c r="P1600"/>
  <c r="P1599"/>
  <c r="P1598"/>
  <c r="P1597"/>
  <c r="P1596"/>
  <c r="P1595"/>
  <c r="P1594"/>
  <c r="P1593"/>
  <c r="P1592"/>
  <c r="P1591"/>
  <c r="P1590"/>
  <c r="P1589"/>
  <c r="P1588"/>
  <c r="P1587"/>
  <c r="P1586"/>
  <c r="P1585"/>
  <c r="P1584"/>
  <c r="P1583"/>
  <c r="P1582"/>
  <c r="P1581"/>
  <c r="P1580"/>
  <c r="P1579"/>
  <c r="P1578"/>
  <c r="P1577"/>
  <c r="P1576"/>
  <c r="P1575"/>
  <c r="P1574"/>
  <c r="P1573"/>
  <c r="P1572"/>
  <c r="P1571"/>
  <c r="P1570"/>
  <c r="P1569"/>
  <c r="P1568"/>
  <c r="P1567"/>
  <c r="P1566"/>
  <c r="P1565"/>
  <c r="P1564"/>
  <c r="P1563"/>
  <c r="P1562"/>
  <c r="P1561"/>
  <c r="P1560"/>
  <c r="P1559"/>
  <c r="P1558"/>
  <c r="P1557"/>
  <c r="P1556"/>
  <c r="P1555"/>
  <c r="P1554"/>
  <c r="P1553"/>
  <c r="P1552"/>
  <c r="P1551"/>
  <c r="P1550"/>
  <c r="P1549"/>
  <c r="P1548"/>
  <c r="P1547"/>
  <c r="P1546"/>
  <c r="P1545"/>
  <c r="P1544"/>
  <c r="P1543"/>
  <c r="P1542"/>
  <c r="P1541"/>
  <c r="P1540"/>
  <c r="P1539"/>
  <c r="P1538"/>
  <c r="P1537"/>
  <c r="P1536"/>
  <c r="P1535"/>
  <c r="P1534"/>
  <c r="P1533"/>
  <c r="P1532"/>
  <c r="P1531"/>
  <c r="P1530"/>
  <c r="P1529"/>
  <c r="P1528"/>
  <c r="P1527"/>
  <c r="P1526"/>
  <c r="P1525"/>
  <c r="P1524"/>
  <c r="P1523"/>
  <c r="P1522"/>
  <c r="P1521"/>
  <c r="P1520"/>
  <c r="P1519"/>
  <c r="P1518"/>
  <c r="P1517"/>
  <c r="P1516"/>
  <c r="P1515"/>
  <c r="P1514"/>
  <c r="P1513"/>
  <c r="P1512"/>
  <c r="P1511"/>
  <c r="P1510"/>
  <c r="P1509"/>
  <c r="P1508"/>
  <c r="P1507"/>
  <c r="P1506"/>
  <c r="P1505"/>
  <c r="P1504"/>
  <c r="P1503"/>
  <c r="P1502"/>
  <c r="P1501"/>
  <c r="P1500"/>
  <c r="P1499"/>
  <c r="P1498"/>
  <c r="P1497"/>
  <c r="P1496"/>
  <c r="P1495"/>
  <c r="P1494"/>
  <c r="P1493"/>
  <c r="P1492"/>
  <c r="P1491"/>
  <c r="P1490"/>
  <c r="P1489"/>
  <c r="P1488"/>
  <c r="P1487"/>
  <c r="P1486"/>
  <c r="P1485"/>
  <c r="P1484"/>
  <c r="P1483"/>
  <c r="P1482"/>
  <c r="P1481"/>
  <c r="P1480"/>
  <c r="P1479"/>
  <c r="P1478"/>
  <c r="P1477"/>
  <c r="P1476"/>
  <c r="P1475"/>
  <c r="P1474"/>
  <c r="P1473"/>
  <c r="P1472"/>
  <c r="P1471"/>
  <c r="P1470"/>
  <c r="P1469"/>
  <c r="P1468"/>
  <c r="P1467"/>
  <c r="P1466"/>
  <c r="P1465"/>
  <c r="P1464"/>
  <c r="P1463"/>
  <c r="P1462"/>
  <c r="P1461"/>
  <c r="P1460"/>
  <c r="P1459"/>
  <c r="P1458"/>
  <c r="P1457"/>
  <c r="P1456"/>
  <c r="P1455"/>
  <c r="P1454"/>
  <c r="P1453"/>
  <c r="P1452"/>
  <c r="P1451"/>
  <c r="P1450"/>
  <c r="P1449"/>
  <c r="P1448"/>
  <c r="P1447"/>
  <c r="P1446"/>
  <c r="P1445"/>
  <c r="P1444"/>
  <c r="P1443"/>
  <c r="P1442"/>
  <c r="P1441"/>
  <c r="P1440"/>
  <c r="P1439"/>
  <c r="P1438"/>
  <c r="P1437"/>
  <c r="P1436"/>
  <c r="P1435"/>
  <c r="P1434"/>
  <c r="P1433"/>
  <c r="P1432"/>
  <c r="P1431"/>
  <c r="P1430"/>
  <c r="P1429"/>
  <c r="P1428"/>
  <c r="P1427"/>
  <c r="P1426"/>
  <c r="P1425"/>
  <c r="P1424"/>
  <c r="P1423"/>
  <c r="P1422"/>
  <c r="P1421"/>
  <c r="P1420"/>
  <c r="P1419"/>
  <c r="P1418"/>
  <c r="P1417"/>
  <c r="P1416"/>
  <c r="P1415"/>
  <c r="P1414"/>
  <c r="P1413"/>
  <c r="P1412"/>
  <c r="P1411"/>
  <c r="P1410"/>
  <c r="P1409"/>
  <c r="P1408"/>
  <c r="P1407"/>
  <c r="P1406"/>
  <c r="P1405"/>
  <c r="P1404"/>
  <c r="P1403"/>
  <c r="P1402"/>
  <c r="P1401"/>
  <c r="P1400"/>
  <c r="P1399"/>
  <c r="P1398"/>
  <c r="P1397"/>
  <c r="P1396"/>
  <c r="P1395"/>
  <c r="P1394"/>
  <c r="P1393"/>
  <c r="P1392"/>
  <c r="P1391"/>
  <c r="P1390"/>
  <c r="P1389"/>
  <c r="P1388"/>
  <c r="P1387"/>
  <c r="P1386"/>
  <c r="P1385"/>
  <c r="P1384"/>
  <c r="P1383"/>
  <c r="P1382"/>
  <c r="P1381"/>
  <c r="P1380"/>
  <c r="P1379"/>
  <c r="P1378"/>
  <c r="P1377"/>
  <c r="P1376"/>
  <c r="P1375"/>
  <c r="P1374"/>
  <c r="P1373"/>
  <c r="P1372"/>
  <c r="P1371"/>
  <c r="P1370"/>
  <c r="P1369"/>
  <c r="P1368"/>
  <c r="P1367"/>
  <c r="P1366"/>
  <c r="P1365"/>
  <c r="P1364"/>
  <c r="P1363"/>
  <c r="P1362"/>
  <c r="P1361"/>
  <c r="P1360"/>
  <c r="P1359"/>
  <c r="P1358"/>
  <c r="P1357"/>
  <c r="P1356"/>
  <c r="P1355"/>
  <c r="P1354"/>
  <c r="P1353"/>
  <c r="P1352"/>
  <c r="P1351"/>
  <c r="P1350"/>
  <c r="P1349"/>
  <c r="P1348"/>
  <c r="P1347"/>
  <c r="P1346"/>
  <c r="P1345"/>
  <c r="P1344"/>
  <c r="P1343"/>
  <c r="P1342"/>
  <c r="P1341"/>
  <c r="P1340"/>
  <c r="P1339"/>
  <c r="P1338"/>
  <c r="P1337"/>
  <c r="P1336"/>
  <c r="P1335"/>
  <c r="P1334"/>
  <c r="P1333"/>
  <c r="P1332"/>
  <c r="P1331"/>
  <c r="P1330"/>
  <c r="P1329"/>
  <c r="P1328"/>
  <c r="P1327"/>
  <c r="P1326"/>
  <c r="P1325"/>
  <c r="P1324"/>
  <c r="P1323"/>
  <c r="P1322"/>
  <c r="P1321"/>
  <c r="P1320"/>
  <c r="P1319"/>
  <c r="P1318"/>
  <c r="P1317"/>
  <c r="P1316"/>
  <c r="P1315"/>
  <c r="P1314"/>
  <c r="P1313"/>
  <c r="P1312"/>
  <c r="P1311"/>
  <c r="P1310"/>
  <c r="P1309"/>
  <c r="P1308"/>
  <c r="P1307"/>
  <c r="P1306"/>
  <c r="P1305"/>
  <c r="P1304"/>
  <c r="P1303"/>
  <c r="P1302"/>
  <c r="P1301"/>
  <c r="P1300"/>
  <c r="P1299"/>
  <c r="P1298"/>
  <c r="P1297"/>
  <c r="P1296"/>
  <c r="P1295"/>
  <c r="P1294"/>
  <c r="P1293"/>
  <c r="P1292"/>
  <c r="P1291"/>
  <c r="P1290"/>
  <c r="P1289"/>
  <c r="P1288"/>
  <c r="P1287"/>
  <c r="P1286"/>
  <c r="P1285"/>
  <c r="P1284"/>
  <c r="P1283"/>
  <c r="P1282"/>
  <c r="P1281"/>
  <c r="P1280"/>
  <c r="P1279"/>
  <c r="P1278"/>
  <c r="P1277"/>
  <c r="P1276"/>
  <c r="P1275"/>
  <c r="P1274"/>
  <c r="P1273"/>
  <c r="P1272"/>
  <c r="P1271"/>
  <c r="P1270"/>
  <c r="P1269"/>
  <c r="P1268"/>
  <c r="P1267"/>
  <c r="P1266"/>
  <c r="P1265"/>
  <c r="P1264"/>
  <c r="P1263"/>
  <c r="P1262"/>
  <c r="P1261"/>
  <c r="P1260"/>
  <c r="P1259"/>
  <c r="P1258"/>
  <c r="P1257"/>
  <c r="P1256"/>
  <c r="P1255"/>
  <c r="P1254"/>
  <c r="P1253"/>
  <c r="P1252"/>
  <c r="P1251"/>
  <c r="P1250"/>
  <c r="P1249"/>
  <c r="P1248"/>
  <c r="P1247"/>
  <c r="P1246"/>
  <c r="P1245"/>
  <c r="P1244"/>
  <c r="P1243"/>
  <c r="P1242"/>
  <c r="P1241"/>
  <c r="P1240"/>
  <c r="P1239"/>
  <c r="P1238"/>
  <c r="P1237"/>
  <c r="P1236"/>
  <c r="P1235"/>
  <c r="P1234"/>
  <c r="P1233"/>
  <c r="P1232"/>
  <c r="P1231"/>
  <c r="P1230"/>
  <c r="P1229"/>
  <c r="P1228"/>
  <c r="P1227"/>
  <c r="P1226"/>
  <c r="P1225"/>
  <c r="P1224"/>
  <c r="P1223"/>
  <c r="P1222"/>
  <c r="P1221"/>
  <c r="P1220"/>
  <c r="P1219"/>
  <c r="P1218"/>
  <c r="P1217"/>
  <c r="P1216"/>
  <c r="P1215"/>
  <c r="P1214"/>
  <c r="P1213"/>
  <c r="P1212"/>
  <c r="P1211"/>
  <c r="P1210"/>
  <c r="P1209"/>
  <c r="P1208"/>
  <c r="P1207"/>
  <c r="P1206"/>
  <c r="P1205"/>
  <c r="P1204"/>
  <c r="P1203"/>
  <c r="P1202"/>
  <c r="P1201"/>
  <c r="P1200"/>
  <c r="P1199"/>
  <c r="P1198"/>
  <c r="P1197"/>
  <c r="P1196"/>
  <c r="P1195"/>
  <c r="P1194"/>
  <c r="P1193"/>
  <c r="P1192"/>
  <c r="P1191"/>
  <c r="P1190"/>
  <c r="P1189"/>
  <c r="P1188"/>
  <c r="P1187"/>
  <c r="P1186"/>
  <c r="P1185"/>
  <c r="P1184"/>
  <c r="P1183"/>
  <c r="P1182"/>
  <c r="P1181"/>
  <c r="P1180"/>
  <c r="P1179"/>
  <c r="P1178"/>
  <c r="P1177"/>
  <c r="P1176"/>
  <c r="P1175"/>
  <c r="P1174"/>
  <c r="P1173"/>
  <c r="P1172"/>
  <c r="P1171"/>
  <c r="P1170"/>
  <c r="P1169"/>
  <c r="P1168"/>
  <c r="P1167"/>
  <c r="P1166"/>
  <c r="P1165"/>
  <c r="P1164"/>
  <c r="P1163"/>
  <c r="P1162"/>
  <c r="P1161"/>
  <c r="P1160"/>
  <c r="P1159"/>
  <c r="P1158"/>
  <c r="P1157"/>
  <c r="P1156"/>
  <c r="P1155"/>
  <c r="P1154"/>
  <c r="P1153"/>
  <c r="P1152"/>
  <c r="P1151"/>
  <c r="P1150"/>
  <c r="P1149"/>
  <c r="P1148"/>
  <c r="P1147"/>
  <c r="P1146"/>
  <c r="P1145"/>
  <c r="P1144"/>
  <c r="P1143"/>
  <c r="P1142"/>
  <c r="P1141"/>
  <c r="P1140"/>
  <c r="P1139"/>
  <c r="P1138"/>
  <c r="P1137"/>
  <c r="P1136"/>
  <c r="P1135"/>
  <c r="P1134"/>
  <c r="P1133"/>
  <c r="P1132"/>
  <c r="P1131"/>
  <c r="P1130"/>
  <c r="P1129"/>
  <c r="P1128"/>
  <c r="P1127"/>
  <c r="P1126"/>
  <c r="P1125"/>
  <c r="P1124"/>
  <c r="P1123"/>
  <c r="P1122"/>
  <c r="P1121"/>
  <c r="P1120"/>
  <c r="P1119"/>
  <c r="P1118"/>
  <c r="P1117"/>
  <c r="P1116"/>
  <c r="P1115"/>
  <c r="P1114"/>
  <c r="P1113"/>
  <c r="P1112"/>
  <c r="P1111"/>
  <c r="P1110"/>
  <c r="P1109"/>
  <c r="P1108"/>
  <c r="P1107"/>
  <c r="P1106"/>
  <c r="P1105"/>
  <c r="P1104"/>
  <c r="P1103"/>
  <c r="P1102"/>
  <c r="P1101"/>
  <c r="P1100"/>
  <c r="P1099"/>
  <c r="P1098"/>
  <c r="P1097"/>
  <c r="P1096"/>
  <c r="P1095"/>
  <c r="P1094"/>
  <c r="P1093"/>
  <c r="P1092"/>
  <c r="P1091"/>
  <c r="P1090"/>
  <c r="P1089"/>
  <c r="P1088"/>
  <c r="P1087"/>
  <c r="P1086"/>
  <c r="P1085"/>
  <c r="P1084"/>
  <c r="P1083"/>
  <c r="P1082"/>
  <c r="P1081"/>
  <c r="P1080"/>
  <c r="P1079"/>
  <c r="P1078"/>
  <c r="P1077"/>
  <c r="P1076"/>
  <c r="P1075"/>
  <c r="P1074"/>
  <c r="P1073"/>
  <c r="P1072"/>
  <c r="P1071"/>
  <c r="P1070"/>
  <c r="P1069"/>
  <c r="P1068"/>
  <c r="P1067"/>
  <c r="P1066"/>
  <c r="P1065"/>
  <c r="P1064"/>
  <c r="P1063"/>
  <c r="P1062"/>
  <c r="P1061"/>
  <c r="P1060"/>
  <c r="P1059"/>
  <c r="P1058"/>
  <c r="P1057"/>
  <c r="P1056"/>
  <c r="P1055"/>
  <c r="P1054"/>
  <c r="P1053"/>
  <c r="P1052"/>
  <c r="P1051"/>
  <c r="P1050"/>
  <c r="P1049"/>
  <c r="P1048"/>
  <c r="P1047"/>
  <c r="P1046"/>
  <c r="P1045"/>
  <c r="P1044"/>
  <c r="P1043"/>
  <c r="P1042"/>
  <c r="P1041"/>
  <c r="P1040"/>
  <c r="P1039"/>
  <c r="P1038"/>
  <c r="P1037"/>
  <c r="P1036"/>
  <c r="P1035"/>
  <c r="P1034"/>
  <c r="P1033"/>
  <c r="P1032"/>
  <c r="P1031"/>
  <c r="P1030"/>
  <c r="P1029"/>
  <c r="P1028"/>
  <c r="P1027"/>
  <c r="P1026"/>
  <c r="P1025"/>
  <c r="P1024"/>
  <c r="P1023"/>
  <c r="P1022"/>
  <c r="P1021"/>
  <c r="P1020"/>
  <c r="P1019"/>
  <c r="P1018"/>
  <c r="P1017"/>
  <c r="P1016"/>
  <c r="P1015"/>
  <c r="P1014"/>
  <c r="P1013"/>
  <c r="P1012"/>
  <c r="P1011"/>
  <c r="P1010"/>
  <c r="P1009"/>
  <c r="P1008"/>
  <c r="P1007"/>
  <c r="P1006"/>
  <c r="P1005"/>
  <c r="P1004"/>
  <c r="P1003"/>
  <c r="P1002"/>
  <c r="P1001"/>
  <c r="P1000"/>
  <c r="P999"/>
  <c r="P998"/>
  <c r="P997"/>
  <c r="P996"/>
  <c r="P995"/>
  <c r="P994"/>
  <c r="P993"/>
  <c r="P992"/>
  <c r="P991"/>
  <c r="P990"/>
  <c r="P989"/>
  <c r="P988"/>
  <c r="P987"/>
  <c r="P986"/>
  <c r="P985"/>
  <c r="P984"/>
  <c r="P983"/>
  <c r="P982"/>
  <c r="P981"/>
  <c r="P980"/>
  <c r="P979"/>
  <c r="P978"/>
  <c r="P977"/>
  <c r="P976"/>
  <c r="P975"/>
  <c r="P974"/>
  <c r="P973"/>
  <c r="P972"/>
  <c r="P971"/>
  <c r="P970"/>
  <c r="P969"/>
  <c r="P968"/>
  <c r="P967"/>
  <c r="P966"/>
  <c r="P965"/>
  <c r="P964"/>
  <c r="P963"/>
  <c r="P962"/>
  <c r="P961"/>
  <c r="P960"/>
  <c r="P959"/>
  <c r="P958"/>
  <c r="P957"/>
  <c r="P956"/>
  <c r="P955"/>
  <c r="P954"/>
  <c r="P953"/>
  <c r="P952"/>
  <c r="P951"/>
  <c r="P950"/>
  <c r="P949"/>
  <c r="P948"/>
  <c r="P947"/>
  <c r="P946"/>
  <c r="P945"/>
  <c r="P944"/>
  <c r="P943"/>
  <c r="P942"/>
  <c r="P941"/>
  <c r="P940"/>
  <c r="P939"/>
  <c r="P938"/>
  <c r="P937"/>
  <c r="P936"/>
  <c r="P935"/>
  <c r="P934"/>
  <c r="P933"/>
  <c r="P932"/>
  <c r="P931"/>
  <c r="P930"/>
  <c r="P929"/>
  <c r="P928"/>
  <c r="P927"/>
  <c r="P926"/>
  <c r="P925"/>
  <c r="P924"/>
  <c r="P923"/>
  <c r="P922"/>
  <c r="P921"/>
  <c r="P920"/>
  <c r="P919"/>
  <c r="P918"/>
  <c r="P917"/>
  <c r="P916"/>
  <c r="P915"/>
  <c r="P914"/>
  <c r="P913"/>
  <c r="P912"/>
  <c r="P911"/>
  <c r="P910"/>
  <c r="P909"/>
  <c r="P908"/>
  <c r="P907"/>
  <c r="P906"/>
  <c r="P905"/>
  <c r="P904"/>
  <c r="P903"/>
  <c r="P902"/>
  <c r="P901"/>
  <c r="P900"/>
  <c r="P899"/>
  <c r="P898"/>
  <c r="P897"/>
  <c r="P896"/>
  <c r="P895"/>
  <c r="P894"/>
  <c r="P893"/>
  <c r="P892"/>
  <c r="P891"/>
  <c r="P890"/>
  <c r="P889"/>
  <c r="P888"/>
  <c r="P887"/>
  <c r="P886"/>
  <c r="P885"/>
  <c r="P884"/>
  <c r="P883"/>
  <c r="P882"/>
  <c r="P881"/>
  <c r="P880"/>
  <c r="P879"/>
  <c r="P878"/>
  <c r="P877"/>
  <c r="P876"/>
  <c r="P875"/>
  <c r="P874"/>
  <c r="P873"/>
  <c r="P872"/>
  <c r="P871"/>
  <c r="P870"/>
  <c r="P869"/>
  <c r="P868"/>
  <c r="P867"/>
  <c r="P866"/>
  <c r="P865"/>
  <c r="P864"/>
  <c r="P863"/>
  <c r="P862"/>
  <c r="P861"/>
  <c r="P860"/>
  <c r="P859"/>
  <c r="P858"/>
  <c r="P857"/>
  <c r="P856"/>
  <c r="P855"/>
  <c r="P854"/>
  <c r="P853"/>
  <c r="P852"/>
  <c r="P851"/>
  <c r="P850"/>
  <c r="P849"/>
  <c r="P848"/>
  <c r="P847"/>
  <c r="P846"/>
  <c r="P845"/>
  <c r="P844"/>
  <c r="P843"/>
  <c r="P842"/>
  <c r="P841"/>
  <c r="P840"/>
  <c r="P839"/>
  <c r="P838"/>
  <c r="P837"/>
  <c r="P836"/>
  <c r="P835"/>
  <c r="P834"/>
  <c r="P833"/>
  <c r="P832"/>
  <c r="P831"/>
  <c r="P830"/>
  <c r="P829"/>
  <c r="P828"/>
  <c r="P827"/>
  <c r="P826"/>
  <c r="P825"/>
  <c r="P824"/>
  <c r="P823"/>
  <c r="P822"/>
  <c r="P821"/>
  <c r="P820"/>
  <c r="P819"/>
  <c r="P818"/>
  <c r="P817"/>
  <c r="P816"/>
  <c r="P815"/>
  <c r="P814"/>
  <c r="P813"/>
  <c r="P812"/>
  <c r="P811"/>
  <c r="P810"/>
  <c r="P809"/>
  <c r="P808"/>
  <c r="P807"/>
  <c r="P806"/>
  <c r="P805"/>
  <c r="P804"/>
  <c r="P803"/>
  <c r="P802"/>
  <c r="P801"/>
  <c r="P800"/>
  <c r="P799"/>
  <c r="P798"/>
  <c r="P797"/>
  <c r="P796"/>
  <c r="P795"/>
  <c r="P794"/>
  <c r="P793"/>
  <c r="P792"/>
  <c r="P791"/>
  <c r="P790"/>
  <c r="P789"/>
  <c r="P788"/>
  <c r="P787"/>
  <c r="P786"/>
  <c r="P785"/>
  <c r="P784"/>
  <c r="P783"/>
  <c r="P782"/>
  <c r="P781"/>
  <c r="P780"/>
  <c r="P779"/>
  <c r="P778"/>
  <c r="P777"/>
  <c r="P776"/>
  <c r="P775"/>
  <c r="P774"/>
  <c r="P773"/>
  <c r="P772"/>
  <c r="P771"/>
  <c r="P770"/>
  <c r="P769"/>
  <c r="P768"/>
  <c r="P767"/>
  <c r="P766"/>
  <c r="P765"/>
  <c r="P764"/>
  <c r="P763"/>
  <c r="P762"/>
  <c r="P761"/>
  <c r="P760"/>
  <c r="P759"/>
  <c r="P758"/>
  <c r="P757"/>
  <c r="P756"/>
  <c r="P755"/>
  <c r="P754"/>
  <c r="P753"/>
  <c r="P752"/>
  <c r="P751"/>
  <c r="P750"/>
  <c r="P749"/>
  <c r="P748"/>
  <c r="P747"/>
  <c r="P746"/>
  <c r="P745"/>
  <c r="P744"/>
  <c r="P743"/>
  <c r="P742"/>
  <c r="P741"/>
  <c r="P740"/>
  <c r="P739"/>
  <c r="P738"/>
  <c r="P737"/>
  <c r="P736"/>
  <c r="P735"/>
  <c r="P734"/>
  <c r="P733"/>
  <c r="P732"/>
  <c r="P731"/>
  <c r="P730"/>
  <c r="P729"/>
  <c r="P728"/>
  <c r="P727"/>
  <c r="P726"/>
  <c r="P725"/>
  <c r="P724"/>
  <c r="P723"/>
  <c r="P722"/>
  <c r="P721"/>
  <c r="P720"/>
  <c r="P719"/>
  <c r="P718"/>
  <c r="P717"/>
  <c r="P716"/>
  <c r="P715"/>
  <c r="P714"/>
  <c r="P713"/>
  <c r="P712"/>
  <c r="P711"/>
  <c r="P710"/>
  <c r="P709"/>
  <c r="P708"/>
  <c r="P707"/>
  <c r="P706"/>
  <c r="P705"/>
  <c r="P704"/>
  <c r="P703"/>
  <c r="P702"/>
  <c r="P701"/>
  <c r="P700"/>
  <c r="P699"/>
  <c r="P698"/>
  <c r="P697"/>
  <c r="P696"/>
  <c r="P695"/>
  <c r="P694"/>
  <c r="P693"/>
  <c r="P692"/>
  <c r="P691"/>
  <c r="P690"/>
  <c r="P689"/>
  <c r="P688"/>
  <c r="P687"/>
  <c r="P686"/>
  <c r="P685"/>
  <c r="P684"/>
  <c r="P683"/>
  <c r="P682"/>
  <c r="P681"/>
  <c r="P680"/>
  <c r="P679"/>
  <c r="P678"/>
  <c r="P677"/>
  <c r="P676"/>
  <c r="P675"/>
  <c r="P674"/>
  <c r="P673"/>
  <c r="P672"/>
  <c r="P671"/>
  <c r="P670"/>
  <c r="P669"/>
  <c r="P668"/>
  <c r="P667"/>
  <c r="P666"/>
  <c r="P665"/>
  <c r="P664"/>
  <c r="P663"/>
  <c r="P662"/>
  <c r="P661"/>
  <c r="P660"/>
  <c r="P659"/>
  <c r="P658"/>
  <c r="P657"/>
  <c r="P656"/>
  <c r="P655"/>
  <c r="P654"/>
  <c r="P653"/>
  <c r="P652"/>
  <c r="P651"/>
  <c r="P650"/>
  <c r="P649"/>
  <c r="P648"/>
  <c r="P647"/>
  <c r="P646"/>
  <c r="P645"/>
  <c r="P644"/>
  <c r="P643"/>
  <c r="P642"/>
  <c r="P641"/>
  <c r="P640"/>
  <c r="P639"/>
  <c r="P638"/>
  <c r="P637"/>
  <c r="P636"/>
  <c r="P635"/>
  <c r="P634"/>
  <c r="P633"/>
  <c r="P632"/>
  <c r="P631"/>
  <c r="P630"/>
  <c r="P629"/>
  <c r="P628"/>
  <c r="P627"/>
  <c r="P626"/>
  <c r="P625"/>
  <c r="P624"/>
  <c r="P623"/>
  <c r="P622"/>
  <c r="P621"/>
  <c r="P620"/>
  <c r="P619"/>
  <c r="P618"/>
  <c r="P617"/>
  <c r="P616"/>
  <c r="P615"/>
  <c r="P614"/>
  <c r="P613"/>
  <c r="P612"/>
  <c r="P611"/>
  <c r="P610"/>
  <c r="P609"/>
  <c r="P608"/>
  <c r="P607"/>
  <c r="P606"/>
  <c r="P605"/>
  <c r="P604"/>
  <c r="P603"/>
  <c r="P602"/>
  <c r="P601"/>
  <c r="P600"/>
  <c r="P599"/>
  <c r="P598"/>
  <c r="P597"/>
  <c r="P596"/>
  <c r="P595"/>
  <c r="P594"/>
  <c r="P593"/>
  <c r="P592"/>
  <c r="P591"/>
  <c r="P590"/>
  <c r="P589"/>
  <c r="P588"/>
  <c r="P587"/>
  <c r="P586"/>
  <c r="P585"/>
  <c r="P584"/>
  <c r="P583"/>
  <c r="P582"/>
  <c r="P581"/>
  <c r="P580"/>
  <c r="P579"/>
  <c r="P578"/>
  <c r="P577"/>
  <c r="P576"/>
  <c r="P575"/>
  <c r="P574"/>
  <c r="P573"/>
  <c r="P572"/>
  <c r="P571"/>
  <c r="P570"/>
  <c r="P569"/>
  <c r="P568"/>
  <c r="P567"/>
  <c r="P566"/>
  <c r="P565"/>
  <c r="P564"/>
  <c r="P563"/>
  <c r="P562"/>
  <c r="P561"/>
  <c r="P560"/>
  <c r="P559"/>
  <c r="P558"/>
  <c r="P557"/>
  <c r="P556"/>
  <c r="P555"/>
  <c r="P554"/>
  <c r="P553"/>
  <c r="P552"/>
  <c r="P551"/>
  <c r="P550"/>
  <c r="P549"/>
  <c r="P548"/>
  <c r="P547"/>
  <c r="P546"/>
  <c r="P545"/>
  <c r="P544"/>
  <c r="P543"/>
  <c r="P542"/>
  <c r="P541"/>
  <c r="P540"/>
  <c r="P539"/>
  <c r="P538"/>
  <c r="P537"/>
  <c r="P536"/>
  <c r="P535"/>
  <c r="P534"/>
  <c r="P533"/>
  <c r="P532"/>
  <c r="P531"/>
  <c r="P530"/>
  <c r="P529"/>
  <c r="P528"/>
  <c r="P527"/>
  <c r="P526"/>
  <c r="P525"/>
  <c r="P524"/>
  <c r="P523"/>
  <c r="P522"/>
  <c r="P521"/>
  <c r="P520"/>
  <c r="P519"/>
  <c r="P518"/>
  <c r="P517"/>
  <c r="P516"/>
  <c r="P515"/>
  <c r="P514"/>
  <c r="P513"/>
  <c r="P512"/>
  <c r="P511"/>
  <c r="P510"/>
  <c r="P509"/>
  <c r="P508"/>
  <c r="P507"/>
  <c r="P506"/>
  <c r="P505"/>
  <c r="P504"/>
  <c r="P503"/>
  <c r="P502"/>
  <c r="P501"/>
  <c r="P500"/>
  <c r="P499"/>
  <c r="P498"/>
  <c r="P497"/>
  <c r="P496"/>
  <c r="P495"/>
  <c r="P494"/>
  <c r="P493"/>
  <c r="P492"/>
  <c r="P491"/>
  <c r="P490"/>
  <c r="P489"/>
  <c r="P488"/>
  <c r="P487"/>
  <c r="P486"/>
  <c r="P485"/>
  <c r="P484"/>
  <c r="P483"/>
  <c r="P482"/>
  <c r="P481"/>
  <c r="P480"/>
  <c r="P479"/>
  <c r="P478"/>
  <c r="P477"/>
  <c r="P476"/>
  <c r="P475"/>
  <c r="P474"/>
  <c r="P473"/>
  <c r="P472"/>
  <c r="P471"/>
  <c r="P470"/>
  <c r="P469"/>
  <c r="P468"/>
  <c r="P467"/>
  <c r="P466"/>
  <c r="P465"/>
  <c r="P464"/>
  <c r="P463"/>
  <c r="P462"/>
  <c r="P461"/>
  <c r="P460"/>
  <c r="P459"/>
  <c r="P458"/>
  <c r="P457"/>
  <c r="P456"/>
  <c r="P455"/>
  <c r="P454"/>
  <c r="P453"/>
  <c r="P452"/>
  <c r="P451"/>
  <c r="P450"/>
  <c r="P449"/>
  <c r="P448"/>
  <c r="P447"/>
  <c r="P446"/>
  <c r="P445"/>
  <c r="P444"/>
  <c r="P443"/>
  <c r="P442"/>
  <c r="P441"/>
  <c r="P440"/>
  <c r="P439"/>
  <c r="P438"/>
  <c r="P437"/>
  <c r="P436"/>
  <c r="P435"/>
  <c r="P434"/>
  <c r="P433"/>
  <c r="P432"/>
  <c r="P431"/>
  <c r="P430"/>
  <c r="P429"/>
  <c r="P428"/>
  <c r="P427"/>
  <c r="P426"/>
  <c r="P425"/>
  <c r="P424"/>
  <c r="P423"/>
  <c r="P422"/>
  <c r="P421"/>
  <c r="P420"/>
  <c r="P419"/>
  <c r="P418"/>
  <c r="P417"/>
  <c r="P416"/>
  <c r="P415"/>
  <c r="P414"/>
  <c r="P413"/>
  <c r="P412"/>
  <c r="P411"/>
  <c r="P410"/>
  <c r="P409"/>
  <c r="P408"/>
  <c r="P407"/>
  <c r="P406"/>
  <c r="P405"/>
  <c r="P404"/>
  <c r="P403"/>
  <c r="P402"/>
  <c r="P401"/>
  <c r="P400"/>
  <c r="P399"/>
  <c r="P398"/>
  <c r="P397"/>
  <c r="P396"/>
  <c r="P395"/>
  <c r="P394"/>
  <c r="P393"/>
  <c r="P392"/>
  <c r="P391"/>
  <c r="P390"/>
  <c r="P389"/>
  <c r="P388"/>
  <c r="P387"/>
  <c r="P386"/>
  <c r="P385"/>
  <c r="P384"/>
  <c r="P383"/>
  <c r="P382"/>
  <c r="P381"/>
  <c r="P380"/>
  <c r="P379"/>
  <c r="P378"/>
  <c r="P377"/>
  <c r="P376"/>
  <c r="P375"/>
  <c r="P374"/>
  <c r="P373"/>
  <c r="P372"/>
  <c r="P371"/>
  <c r="P370"/>
  <c r="P369"/>
  <c r="P368"/>
  <c r="P367"/>
  <c r="P366"/>
  <c r="P365"/>
  <c r="P364"/>
  <c r="P363"/>
  <c r="P362"/>
  <c r="P361"/>
  <c r="P360"/>
  <c r="P359"/>
  <c r="P358"/>
  <c r="P357"/>
  <c r="P356"/>
  <c r="P355"/>
  <c r="P354"/>
  <c r="P353"/>
  <c r="P352"/>
  <c r="P351"/>
  <c r="P350"/>
  <c r="P349"/>
  <c r="P348"/>
  <c r="P347"/>
  <c r="P346"/>
  <c r="P345"/>
  <c r="P344"/>
  <c r="P343"/>
  <c r="P342"/>
  <c r="P341"/>
  <c r="P340"/>
  <c r="P339"/>
  <c r="P338"/>
  <c r="P337"/>
  <c r="P336"/>
  <c r="P335"/>
  <c r="P334"/>
  <c r="P333"/>
  <c r="P332"/>
  <c r="P331"/>
  <c r="P330"/>
  <c r="P329"/>
  <c r="P328"/>
  <c r="P327"/>
  <c r="P326"/>
  <c r="P325"/>
  <c r="P324"/>
  <c r="P323"/>
  <c r="P322"/>
  <c r="P321"/>
  <c r="P320"/>
  <c r="P319"/>
  <c r="P318"/>
  <c r="P317"/>
  <c r="P316"/>
  <c r="P315"/>
  <c r="P314"/>
  <c r="P313"/>
  <c r="P312"/>
  <c r="P311"/>
  <c r="P310"/>
  <c r="P309"/>
  <c r="P308"/>
  <c r="P307"/>
  <c r="P306"/>
  <c r="P305"/>
  <c r="P304"/>
  <c r="P303"/>
  <c r="P302"/>
  <c r="P301"/>
  <c r="P300"/>
  <c r="P299"/>
  <c r="P298"/>
  <c r="P297"/>
  <c r="P296"/>
  <c r="P295"/>
  <c r="P294"/>
  <c r="P293"/>
  <c r="P292"/>
  <c r="P291"/>
  <c r="P290"/>
  <c r="P289"/>
  <c r="P288"/>
  <c r="P287"/>
  <c r="P286"/>
  <c r="P285"/>
  <c r="P284"/>
  <c r="P283"/>
  <c r="P282"/>
  <c r="P281"/>
  <c r="P280"/>
  <c r="P279"/>
  <c r="P278"/>
  <c r="P277"/>
  <c r="P276"/>
  <c r="P275"/>
  <c r="P274"/>
  <c r="P273"/>
  <c r="P272"/>
  <c r="P271"/>
  <c r="P270"/>
  <c r="P269"/>
  <c r="P268"/>
  <c r="P267"/>
  <c r="P266"/>
  <c r="P265"/>
  <c r="P264"/>
  <c r="P263"/>
  <c r="P262"/>
  <c r="P261"/>
  <c r="P260"/>
  <c r="P259"/>
  <c r="P258"/>
  <c r="P257"/>
  <c r="P256"/>
  <c r="P255"/>
  <c r="P254"/>
  <c r="P253"/>
  <c r="P252"/>
  <c r="P251"/>
  <c r="P250"/>
  <c r="P249"/>
  <c r="P248"/>
  <c r="P247"/>
  <c r="P246"/>
  <c r="P245"/>
  <c r="P244"/>
  <c r="P243"/>
  <c r="P242"/>
  <c r="P241"/>
  <c r="P240"/>
  <c r="P239"/>
  <c r="P238"/>
  <c r="P237"/>
  <c r="P236"/>
  <c r="P235"/>
  <c r="P234"/>
  <c r="P233"/>
  <c r="P232"/>
  <c r="P231"/>
  <c r="P230"/>
  <c r="P229"/>
  <c r="P228"/>
  <c r="P227"/>
  <c r="P226"/>
  <c r="P225"/>
  <c r="P224"/>
  <c r="P223"/>
  <c r="P222"/>
  <c r="P221"/>
  <c r="P220"/>
  <c r="P219"/>
  <c r="P218"/>
  <c r="P217"/>
  <c r="P216"/>
  <c r="P215"/>
  <c r="P214"/>
  <c r="P213"/>
  <c r="P212"/>
  <c r="P211"/>
  <c r="P210"/>
  <c r="P209"/>
  <c r="P208"/>
  <c r="P207"/>
  <c r="P206"/>
  <c r="P205"/>
  <c r="P204"/>
  <c r="P203"/>
  <c r="P202"/>
  <c r="P201"/>
  <c r="P200"/>
  <c r="P199"/>
  <c r="P198"/>
  <c r="P197"/>
  <c r="P196"/>
  <c r="P195"/>
  <c r="P194"/>
  <c r="P193"/>
  <c r="P192"/>
  <c r="P191"/>
  <c r="P190"/>
  <c r="P189"/>
  <c r="P188"/>
  <c r="P187"/>
  <c r="P186"/>
  <c r="P185"/>
  <c r="P184"/>
  <c r="P183"/>
  <c r="P182"/>
  <c r="P181"/>
  <c r="P180"/>
  <c r="P179"/>
  <c r="P178"/>
  <c r="P177"/>
  <c r="P176"/>
  <c r="P175"/>
  <c r="P174"/>
  <c r="P173"/>
  <c r="P172"/>
  <c r="P171"/>
  <c r="P170"/>
  <c r="P169"/>
  <c r="P168"/>
  <c r="P167"/>
  <c r="P166"/>
  <c r="P165"/>
  <c r="P164"/>
  <c r="P163"/>
  <c r="P162"/>
  <c r="P161"/>
  <c r="P160"/>
  <c r="P159"/>
  <c r="P158"/>
  <c r="P157"/>
  <c r="P156"/>
  <c r="P155"/>
  <c r="P154"/>
  <c r="P153"/>
  <c r="P152"/>
  <c r="P151"/>
  <c r="P150"/>
  <c r="P149"/>
  <c r="P148"/>
  <c r="P147"/>
  <c r="P146"/>
  <c r="P145"/>
  <c r="P144"/>
  <c r="P143"/>
  <c r="P142"/>
  <c r="P141"/>
  <c r="P140"/>
  <c r="P139"/>
  <c r="P138"/>
  <c r="P137"/>
  <c r="P136"/>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4"/>
  <c r="P3"/>
  <c r="P4225"/>
  <c r="D5" i="4"/>
  <c r="D6"/>
  <c r="A44" l="1"/>
  <c r="A43"/>
  <c r="B4" a="1"/>
  <c r="B4"/>
  <c r="B5"/>
  <c r="B6"/>
  <c r="B7"/>
  <c r="B8"/>
  <c r="B9"/>
  <c r="B10"/>
  <c r="B11"/>
  <c r="B12"/>
  <c r="B13"/>
  <c r="B14"/>
  <c r="B15"/>
  <c r="B16"/>
  <c r="B17"/>
  <c r="B18"/>
  <c r="B19"/>
  <c r="B20"/>
  <c r="B21"/>
  <c r="B22"/>
  <c r="B23"/>
  <c r="B24"/>
  <c r="B25"/>
  <c r="B26"/>
  <c r="B27"/>
  <c r="B28"/>
  <c r="B29"/>
  <c r="B30"/>
  <c r="B31"/>
  <c r="B32"/>
  <c r="B33"/>
  <c r="A4" a="1"/>
  <c r="A4"/>
  <c r="A5"/>
  <c r="A6"/>
  <c r="A7"/>
  <c r="A8"/>
  <c r="A9"/>
  <c r="A10"/>
  <c r="A11"/>
  <c r="A12"/>
  <c r="A13"/>
  <c r="A14"/>
  <c r="A15"/>
  <c r="A16"/>
  <c r="A17"/>
  <c r="A18"/>
  <c r="A19"/>
  <c r="A20"/>
  <c r="A21"/>
  <c r="A22"/>
  <c r="A23"/>
  <c r="A24"/>
  <c r="A25"/>
  <c r="A26"/>
  <c r="A27"/>
  <c r="A28"/>
  <c r="A29"/>
  <c r="A30"/>
  <c r="A31"/>
  <c r="A32"/>
  <c r="A33"/>
  <c r="D44"/>
  <c r="D43"/>
  <c r="E43"/>
  <c r="E44"/>
  <c r="C4"/>
  <c r="C5" s="1"/>
  <c r="C6" s="1"/>
  <c r="C7" s="1"/>
  <c r="C8" s="1"/>
  <c r="C9" s="1"/>
  <c r="C10" s="1"/>
  <c r="C11" s="1"/>
  <c r="C12" s="1"/>
  <c r="C13" s="1"/>
  <c r="C14" s="1"/>
  <c r="C15" s="1"/>
  <c r="C16" s="1"/>
  <c r="C17" s="1"/>
  <c r="C18" s="1"/>
  <c r="C19" s="1"/>
  <c r="C20" s="1"/>
  <c r="C21" s="1"/>
  <c r="C22" s="1"/>
  <c r="C23" s="1"/>
  <c r="C24" s="1"/>
  <c r="C25" s="1"/>
  <c r="C26" s="1"/>
  <c r="C27" s="1"/>
  <c r="C28" s="1"/>
  <c r="C29" s="1"/>
  <c r="C30" s="1"/>
  <c r="C31" s="1"/>
  <c r="C32" s="1"/>
  <c r="C33" s="1"/>
  <c r="R4225" i="1"/>
  <c r="R4224"/>
  <c r="R4223"/>
  <c r="R4222"/>
  <c r="R4221"/>
  <c r="R4220"/>
  <c r="R4219"/>
  <c r="R4218"/>
  <c r="R4217"/>
  <c r="R4216"/>
  <c r="R4215"/>
  <c r="R4214"/>
  <c r="R4213"/>
  <c r="R4212"/>
  <c r="R4211"/>
  <c r="R4210"/>
  <c r="R4209"/>
  <c r="R4208"/>
  <c r="R4207"/>
  <c r="R4206"/>
  <c r="R4205"/>
  <c r="R4204"/>
  <c r="R4203"/>
  <c r="R4202"/>
  <c r="R4201"/>
  <c r="R4200"/>
  <c r="R4199"/>
  <c r="R4198"/>
  <c r="R4197"/>
  <c r="R4196"/>
  <c r="R4195"/>
  <c r="R4194"/>
  <c r="R4193"/>
  <c r="R4192"/>
  <c r="R4191"/>
  <c r="R4190"/>
  <c r="R4189"/>
  <c r="R4188"/>
  <c r="R4187"/>
  <c r="R4186"/>
  <c r="R4185"/>
  <c r="R4184"/>
  <c r="R4183"/>
  <c r="R4182"/>
  <c r="R4181"/>
  <c r="R4180"/>
  <c r="R4179"/>
  <c r="R4178"/>
  <c r="R4177"/>
  <c r="R4176"/>
  <c r="R4175"/>
  <c r="R4174"/>
  <c r="R4173"/>
  <c r="R4172"/>
  <c r="R4171"/>
  <c r="R4170"/>
  <c r="R4169"/>
  <c r="R4168"/>
  <c r="R4167"/>
  <c r="R4166"/>
  <c r="R4165"/>
  <c r="R4164"/>
  <c r="R4163"/>
  <c r="R4162"/>
  <c r="R4161"/>
  <c r="R4160"/>
  <c r="R4159"/>
  <c r="R4158"/>
  <c r="R4157"/>
  <c r="R4156"/>
  <c r="R4155"/>
  <c r="R4154"/>
  <c r="R4153"/>
  <c r="R4152"/>
  <c r="R4151"/>
  <c r="R4150"/>
  <c r="R4149"/>
  <c r="R4148"/>
  <c r="R4147"/>
  <c r="R4146"/>
  <c r="R4145"/>
  <c r="R4144"/>
  <c r="R4143"/>
  <c r="R4142"/>
  <c r="R4141"/>
  <c r="R4140"/>
  <c r="R4139"/>
  <c r="R4138"/>
  <c r="R4137"/>
  <c r="R4136"/>
  <c r="R4135"/>
  <c r="R4134"/>
  <c r="R4133"/>
  <c r="R4132"/>
  <c r="R4131"/>
  <c r="R4130"/>
  <c r="R4129"/>
  <c r="R4128"/>
  <c r="R4127"/>
  <c r="R4126"/>
  <c r="R4125"/>
  <c r="R4124"/>
  <c r="R4123"/>
  <c r="R4122"/>
  <c r="R4121"/>
  <c r="R4120"/>
  <c r="R4119"/>
  <c r="R4118"/>
  <c r="R4117"/>
  <c r="R4116"/>
  <c r="R4115"/>
  <c r="R4114"/>
  <c r="R4113"/>
  <c r="R4112"/>
  <c r="R4111"/>
  <c r="R4110"/>
  <c r="R4109"/>
  <c r="R4108"/>
  <c r="R4107"/>
  <c r="R4106"/>
  <c r="R4105"/>
  <c r="R4104"/>
  <c r="R4103"/>
  <c r="R4102"/>
  <c r="R4101"/>
  <c r="R4100"/>
  <c r="R4099"/>
  <c r="R4098"/>
  <c r="R4097"/>
  <c r="R4096"/>
  <c r="R4095"/>
  <c r="R4094"/>
  <c r="R4093"/>
  <c r="R4092"/>
  <c r="R4091"/>
  <c r="R4090"/>
  <c r="R4089"/>
  <c r="R4088"/>
  <c r="R4087"/>
  <c r="R4086"/>
  <c r="R4085"/>
  <c r="R4084"/>
  <c r="R4083"/>
  <c r="R4082"/>
  <c r="R4081"/>
  <c r="R4080"/>
  <c r="R4079"/>
  <c r="R4078"/>
  <c r="R4077"/>
  <c r="R4076"/>
  <c r="R4075"/>
  <c r="R4074"/>
  <c r="R4073"/>
  <c r="R4072"/>
  <c r="R4071"/>
  <c r="R4070"/>
  <c r="R4069"/>
  <c r="R4068"/>
  <c r="R4067"/>
  <c r="R4066"/>
  <c r="R4065"/>
  <c r="R4064"/>
  <c r="R4063"/>
  <c r="R4062"/>
  <c r="R4061"/>
  <c r="R4060"/>
  <c r="R4059"/>
  <c r="R4058"/>
  <c r="R4057"/>
  <c r="R4056"/>
  <c r="R4055"/>
  <c r="R4054"/>
  <c r="R4053"/>
  <c r="R4052"/>
  <c r="R4051"/>
  <c r="R4050"/>
  <c r="R4049"/>
  <c r="R4048"/>
  <c r="R4047"/>
  <c r="R4046"/>
  <c r="R4045"/>
  <c r="R4044"/>
  <c r="R4043"/>
  <c r="R4042"/>
  <c r="R4041"/>
  <c r="R4040"/>
  <c r="R4039"/>
  <c r="R4038"/>
  <c r="R4037"/>
  <c r="R4036"/>
  <c r="R4035"/>
  <c r="R4034"/>
  <c r="R4033"/>
  <c r="R4032"/>
  <c r="R4031"/>
  <c r="R4030"/>
  <c r="R4029"/>
  <c r="R4028"/>
  <c r="R4027"/>
  <c r="R4026"/>
  <c r="R4025"/>
  <c r="R4024"/>
  <c r="R4023"/>
  <c r="R4022"/>
  <c r="R4021"/>
  <c r="R4020"/>
  <c r="R4019"/>
  <c r="R4018"/>
  <c r="R4017"/>
  <c r="R4016"/>
  <c r="R4015"/>
  <c r="R4014"/>
  <c r="R4013"/>
  <c r="R4012"/>
  <c r="R4011"/>
  <c r="R4010"/>
  <c r="R4009"/>
  <c r="R4008"/>
  <c r="R4007"/>
  <c r="R4006"/>
  <c r="R4005"/>
  <c r="R4004"/>
  <c r="R4003"/>
  <c r="R4002"/>
  <c r="R4001"/>
  <c r="R4000"/>
  <c r="R3999"/>
  <c r="R3998"/>
  <c r="R3997"/>
  <c r="R3996"/>
  <c r="R3995"/>
  <c r="R3994"/>
  <c r="R3993"/>
  <c r="R3992"/>
  <c r="R3991"/>
  <c r="R3990"/>
  <c r="R3989"/>
  <c r="R3988"/>
  <c r="R3987"/>
  <c r="R3986"/>
  <c r="R3985"/>
  <c r="R3984"/>
  <c r="R3983"/>
  <c r="R3982"/>
  <c r="R3981"/>
  <c r="R3980"/>
  <c r="R3979"/>
  <c r="R3978"/>
  <c r="R3977"/>
  <c r="R3976"/>
  <c r="R3975"/>
  <c r="R3974"/>
  <c r="R3973"/>
  <c r="R3972"/>
  <c r="R3971"/>
  <c r="R3970"/>
  <c r="R3969"/>
  <c r="R3968"/>
  <c r="R3967"/>
  <c r="R3966"/>
  <c r="R3965"/>
  <c r="R3964"/>
  <c r="R3963"/>
  <c r="R3962"/>
  <c r="R3961"/>
  <c r="R3960"/>
  <c r="R3959"/>
  <c r="R3958"/>
  <c r="R3957"/>
  <c r="R3956"/>
  <c r="R3955"/>
  <c r="R3954"/>
  <c r="R3953"/>
  <c r="R3952"/>
  <c r="R3951"/>
  <c r="R3950"/>
  <c r="R3949"/>
  <c r="R3948"/>
  <c r="R3947"/>
  <c r="R3946"/>
  <c r="R3945"/>
  <c r="R3944"/>
  <c r="R3943"/>
  <c r="R3942"/>
  <c r="R3941"/>
  <c r="R3940"/>
  <c r="R3939"/>
  <c r="R3938"/>
  <c r="R3937"/>
  <c r="R3936"/>
  <c r="R3935"/>
  <c r="R3934"/>
  <c r="R3933"/>
  <c r="R3932"/>
  <c r="R3931"/>
  <c r="R3930"/>
  <c r="R3929"/>
  <c r="R3928"/>
  <c r="R3927"/>
  <c r="R3926"/>
  <c r="R3925"/>
  <c r="R3924"/>
  <c r="R3923"/>
  <c r="R3922"/>
  <c r="R3921"/>
  <c r="R3920"/>
  <c r="R3919"/>
  <c r="R3918"/>
  <c r="R3917"/>
  <c r="R3916"/>
  <c r="R3915"/>
  <c r="R3914"/>
  <c r="R3913"/>
  <c r="R3912"/>
  <c r="R3911"/>
  <c r="R3910"/>
  <c r="R3909"/>
  <c r="R3908"/>
  <c r="R3907"/>
  <c r="R3906"/>
  <c r="R3905"/>
  <c r="R3904"/>
  <c r="R3903"/>
  <c r="R3902"/>
  <c r="R3901"/>
  <c r="R3900"/>
  <c r="R3899"/>
  <c r="R3898"/>
  <c r="R3897"/>
  <c r="R3896"/>
  <c r="R3895"/>
  <c r="R3894"/>
  <c r="R3893"/>
  <c r="R3892"/>
  <c r="R3891"/>
  <c r="R3890"/>
  <c r="R3889"/>
  <c r="R3888"/>
  <c r="R3887"/>
  <c r="R3886"/>
  <c r="R3885"/>
  <c r="R3884"/>
  <c r="R3883"/>
  <c r="R3882"/>
  <c r="R3881"/>
  <c r="R3880"/>
  <c r="R3879"/>
  <c r="R3878"/>
  <c r="R3877"/>
  <c r="R3876"/>
  <c r="R3875"/>
  <c r="R3874"/>
  <c r="R3873"/>
  <c r="R3872"/>
  <c r="R3871"/>
  <c r="R3870"/>
  <c r="R3869"/>
  <c r="R3868"/>
  <c r="R3867"/>
  <c r="R3866"/>
  <c r="R3865"/>
  <c r="R3864"/>
  <c r="R3863"/>
  <c r="R3862"/>
  <c r="R3861"/>
  <c r="R3860"/>
  <c r="R3859"/>
  <c r="R3858"/>
  <c r="R3857"/>
  <c r="R3856"/>
  <c r="R3855"/>
  <c r="R3854"/>
  <c r="R3853"/>
  <c r="R3852"/>
  <c r="R3851"/>
  <c r="R3850"/>
  <c r="R3849"/>
  <c r="R3848"/>
  <c r="R3847"/>
  <c r="R3846"/>
  <c r="R3845"/>
  <c r="R3844"/>
  <c r="R3843"/>
  <c r="R3842"/>
  <c r="R3841"/>
  <c r="R3840"/>
  <c r="R3839"/>
  <c r="R3838"/>
  <c r="R3837"/>
  <c r="R3836"/>
  <c r="R3835"/>
  <c r="R3834"/>
  <c r="R3833"/>
  <c r="R3832"/>
  <c r="R3831"/>
  <c r="R3830"/>
  <c r="R3829"/>
  <c r="R3828"/>
  <c r="R3827"/>
  <c r="R3826"/>
  <c r="R3825"/>
  <c r="R3824"/>
  <c r="R3823"/>
  <c r="R3822"/>
  <c r="R3821"/>
  <c r="R3820"/>
  <c r="R3819"/>
  <c r="R3818"/>
  <c r="R3817"/>
  <c r="R3816"/>
  <c r="R3815"/>
  <c r="R3814"/>
  <c r="R3813"/>
  <c r="R3812"/>
  <c r="R3811"/>
  <c r="R3810"/>
  <c r="R3809"/>
  <c r="R3808"/>
  <c r="R3807"/>
  <c r="R3806"/>
  <c r="R3805"/>
  <c r="R3804"/>
  <c r="R3803"/>
  <c r="R3802"/>
  <c r="R3801"/>
  <c r="R3800"/>
  <c r="R3799"/>
  <c r="R3798"/>
  <c r="R3797"/>
  <c r="R3796"/>
  <c r="R3795"/>
  <c r="R3794"/>
  <c r="R3793"/>
  <c r="R3792"/>
  <c r="R3791"/>
  <c r="R3790"/>
  <c r="R3789"/>
  <c r="R3788"/>
  <c r="R3787"/>
  <c r="R3786"/>
  <c r="R3785"/>
  <c r="R3784"/>
  <c r="R3783"/>
  <c r="R3782"/>
  <c r="R3781"/>
  <c r="R3780"/>
  <c r="R3779"/>
  <c r="R3778"/>
  <c r="R3777"/>
  <c r="R3776"/>
  <c r="R3775"/>
  <c r="R3774"/>
  <c r="R3773"/>
  <c r="R3772"/>
  <c r="R3771"/>
  <c r="R3770"/>
  <c r="R3769"/>
  <c r="R3768"/>
  <c r="R3767"/>
  <c r="R3766"/>
  <c r="R3765"/>
  <c r="R3764"/>
  <c r="R3763"/>
  <c r="R3762"/>
  <c r="R3761"/>
  <c r="R3760"/>
  <c r="R3759"/>
  <c r="R3758"/>
  <c r="R3757"/>
  <c r="R3756"/>
  <c r="R3755"/>
  <c r="R3754"/>
  <c r="R3753"/>
  <c r="R3752"/>
  <c r="R3751"/>
  <c r="R3750"/>
  <c r="R3749"/>
  <c r="R3748"/>
  <c r="R3747"/>
  <c r="R3746"/>
  <c r="R3745"/>
  <c r="R3744"/>
  <c r="R3743"/>
  <c r="R3742"/>
  <c r="R3741"/>
  <c r="R3740"/>
  <c r="R3739"/>
  <c r="R3738"/>
  <c r="R3737"/>
  <c r="R3736"/>
  <c r="R3735"/>
  <c r="R3734"/>
  <c r="R3733"/>
  <c r="R3732"/>
  <c r="R3731"/>
  <c r="R3730"/>
  <c r="R3729"/>
  <c r="R3728"/>
  <c r="R3727"/>
  <c r="R3726"/>
  <c r="R3725"/>
  <c r="R3724"/>
  <c r="R3723"/>
  <c r="R3722"/>
  <c r="R3721"/>
  <c r="R3720"/>
  <c r="R3719"/>
  <c r="R3718"/>
  <c r="R3717"/>
  <c r="R3716"/>
  <c r="R3715"/>
  <c r="R3714"/>
  <c r="R3713"/>
  <c r="R3712"/>
  <c r="R3711"/>
  <c r="R3710"/>
  <c r="R3709"/>
  <c r="R3708"/>
  <c r="R3707"/>
  <c r="R3706"/>
  <c r="R3705"/>
  <c r="R3704"/>
  <c r="R3703"/>
  <c r="R3702"/>
  <c r="R3701"/>
  <c r="R3700"/>
  <c r="R3699"/>
  <c r="R3698"/>
  <c r="R3697"/>
  <c r="R3696"/>
  <c r="R3695"/>
  <c r="R3694"/>
  <c r="R3693"/>
  <c r="R3692"/>
  <c r="R3691"/>
  <c r="R3690"/>
  <c r="R3689"/>
  <c r="R3688"/>
  <c r="R3687"/>
  <c r="R3686"/>
  <c r="R3685"/>
  <c r="R3684"/>
  <c r="R3683"/>
  <c r="R3682"/>
  <c r="R3681"/>
  <c r="R3680"/>
  <c r="R3679"/>
  <c r="R3678"/>
  <c r="R3677"/>
  <c r="R3676"/>
  <c r="R3675"/>
  <c r="R3674"/>
  <c r="R3673"/>
  <c r="R3672"/>
  <c r="R3671"/>
  <c r="R3670"/>
  <c r="R3669"/>
  <c r="R3668"/>
  <c r="R3667"/>
  <c r="R3666"/>
  <c r="R3665"/>
  <c r="R3664"/>
  <c r="R3663"/>
  <c r="R3662"/>
  <c r="R3661"/>
  <c r="R3660"/>
  <c r="R3659"/>
  <c r="R3658"/>
  <c r="R3657"/>
  <c r="R3656"/>
  <c r="R3655"/>
  <c r="R3654"/>
  <c r="R3653"/>
  <c r="R3652"/>
  <c r="R3651"/>
  <c r="R3650"/>
  <c r="R3649"/>
  <c r="R3648"/>
  <c r="R3647"/>
  <c r="R3646"/>
  <c r="R3645"/>
  <c r="R3644"/>
  <c r="R3643"/>
  <c r="R3642"/>
  <c r="R3641"/>
  <c r="R3640"/>
  <c r="R3639"/>
  <c r="R3638"/>
  <c r="R3637"/>
  <c r="R3636"/>
  <c r="R3635"/>
  <c r="R3634"/>
  <c r="R3633"/>
  <c r="R3632"/>
  <c r="R3631"/>
  <c r="R3630"/>
  <c r="R3629"/>
  <c r="R3628"/>
  <c r="R3627"/>
  <c r="R3626"/>
  <c r="R3625"/>
  <c r="R3624"/>
  <c r="R3623"/>
  <c r="R3622"/>
  <c r="R3621"/>
  <c r="R3620"/>
  <c r="R3619"/>
  <c r="R3618"/>
  <c r="R3617"/>
  <c r="R3616"/>
  <c r="R3615"/>
  <c r="R3614"/>
  <c r="R3613"/>
  <c r="R3612"/>
  <c r="R3611"/>
  <c r="R3610"/>
  <c r="R3609"/>
  <c r="R3608"/>
  <c r="R3607"/>
  <c r="R3606"/>
  <c r="R3605"/>
  <c r="R3604"/>
  <c r="R3603"/>
  <c r="R3602"/>
  <c r="R3601"/>
  <c r="R3600"/>
  <c r="R3599"/>
  <c r="R3598"/>
  <c r="R3597"/>
  <c r="R3596"/>
  <c r="R3595"/>
  <c r="R3594"/>
  <c r="R3593"/>
  <c r="R3592"/>
  <c r="R3591"/>
  <c r="R3590"/>
  <c r="R3589"/>
  <c r="R3588"/>
  <c r="R3587"/>
  <c r="R3586"/>
  <c r="R3585"/>
  <c r="R3584"/>
  <c r="R3583"/>
  <c r="R3582"/>
  <c r="R3581"/>
  <c r="R3580"/>
  <c r="R3579"/>
  <c r="R3578"/>
  <c r="R3577"/>
  <c r="R3576"/>
  <c r="R3575"/>
  <c r="R3574"/>
  <c r="R3573"/>
  <c r="R3572"/>
  <c r="R3571"/>
  <c r="R3570"/>
  <c r="R3569"/>
  <c r="R3568"/>
  <c r="R3567"/>
  <c r="R3566"/>
  <c r="R3565"/>
  <c r="R3564"/>
  <c r="R3563"/>
  <c r="R3562"/>
  <c r="R3561"/>
  <c r="R3560"/>
  <c r="R3559"/>
  <c r="R3558"/>
  <c r="R3557"/>
  <c r="R3556"/>
  <c r="R3555"/>
  <c r="R3554"/>
  <c r="R3553"/>
  <c r="R3552"/>
  <c r="R3551"/>
  <c r="R3550"/>
  <c r="R3549"/>
  <c r="R3548"/>
  <c r="R3547"/>
  <c r="R3546"/>
  <c r="R3545"/>
  <c r="R3544"/>
  <c r="R3543"/>
  <c r="R3542"/>
  <c r="R3541"/>
  <c r="R3540"/>
  <c r="R3539"/>
  <c r="R3538"/>
  <c r="R3537"/>
  <c r="R3536"/>
  <c r="R3535"/>
  <c r="R3534"/>
  <c r="R3533"/>
  <c r="R3532"/>
  <c r="R3531"/>
  <c r="R3530"/>
  <c r="R3529"/>
  <c r="R3528"/>
  <c r="R3527"/>
  <c r="R3526"/>
  <c r="R3525"/>
  <c r="R3524"/>
  <c r="R3523"/>
  <c r="R3522"/>
  <c r="R3521"/>
  <c r="R3520"/>
  <c r="R3519"/>
  <c r="R3518"/>
  <c r="R3517"/>
  <c r="R3516"/>
  <c r="R3515"/>
  <c r="R3514"/>
  <c r="R3513"/>
  <c r="R3512"/>
  <c r="R3511"/>
  <c r="R3510"/>
  <c r="R3509"/>
  <c r="R3508"/>
  <c r="R3507"/>
  <c r="R3506"/>
  <c r="R3505"/>
  <c r="R3504"/>
  <c r="R3503"/>
  <c r="R3502"/>
  <c r="R3501"/>
  <c r="R3500"/>
  <c r="R3499"/>
  <c r="R3498"/>
  <c r="R3497"/>
  <c r="R3496"/>
  <c r="R3495"/>
  <c r="R3494"/>
  <c r="R3493"/>
  <c r="R3492"/>
  <c r="R3491"/>
  <c r="R3490"/>
  <c r="R3489"/>
  <c r="R3488"/>
  <c r="R3487"/>
  <c r="R3486"/>
  <c r="R3485"/>
  <c r="R3484"/>
  <c r="R3483"/>
  <c r="R3482"/>
  <c r="R3481"/>
  <c r="R3480"/>
  <c r="R3479"/>
  <c r="R3478"/>
  <c r="R3477"/>
  <c r="R3476"/>
  <c r="R3475"/>
  <c r="R3474"/>
  <c r="R3473"/>
  <c r="R3472"/>
  <c r="R3471"/>
  <c r="R3470"/>
  <c r="R3469"/>
  <c r="R3468"/>
  <c r="R3467"/>
  <c r="R3466"/>
  <c r="R3465"/>
  <c r="R3464"/>
  <c r="R3463"/>
  <c r="R3462"/>
  <c r="R3461"/>
  <c r="R3460"/>
  <c r="R3459"/>
  <c r="R3458"/>
  <c r="R3457"/>
  <c r="R3456"/>
  <c r="R3455"/>
  <c r="R3454"/>
  <c r="R3453"/>
  <c r="R3452"/>
  <c r="R3451"/>
  <c r="R3450"/>
  <c r="R3449"/>
  <c r="R3448"/>
  <c r="R3447"/>
  <c r="R3446"/>
  <c r="R3445"/>
  <c r="R3444"/>
  <c r="R3443"/>
  <c r="R3442"/>
  <c r="R3441"/>
  <c r="R3440"/>
  <c r="R3439"/>
  <c r="R3438"/>
  <c r="R3437"/>
  <c r="R3436"/>
  <c r="R3435"/>
  <c r="R3434"/>
  <c r="R3433"/>
  <c r="R3432"/>
  <c r="R3431"/>
  <c r="R3430"/>
  <c r="R3429"/>
  <c r="R3428"/>
  <c r="R3427"/>
  <c r="R3426"/>
  <c r="R3425"/>
  <c r="R3424"/>
  <c r="R3423"/>
  <c r="R3422"/>
  <c r="R3421"/>
  <c r="R3420"/>
  <c r="R3419"/>
  <c r="R3418"/>
  <c r="R3417"/>
  <c r="R3416"/>
  <c r="R3415"/>
  <c r="R3414"/>
  <c r="R3413"/>
  <c r="R3412"/>
  <c r="R3411"/>
  <c r="R3410"/>
  <c r="R3409"/>
  <c r="R3408"/>
  <c r="R3407"/>
  <c r="R3406"/>
  <c r="R3405"/>
  <c r="R3404"/>
  <c r="R3403"/>
  <c r="R3402"/>
  <c r="R3401"/>
  <c r="R3400"/>
  <c r="R3399"/>
  <c r="R3398"/>
  <c r="R3397"/>
  <c r="R3396"/>
  <c r="R3395"/>
  <c r="R3394"/>
  <c r="R3393"/>
  <c r="R3392"/>
  <c r="R3391"/>
  <c r="R3390"/>
  <c r="R3389"/>
  <c r="R3388"/>
  <c r="R3387"/>
  <c r="R3386"/>
  <c r="R3385"/>
  <c r="R3384"/>
  <c r="R3383"/>
  <c r="R3382"/>
  <c r="R3381"/>
  <c r="R3380"/>
  <c r="R3379"/>
  <c r="R3378"/>
  <c r="R3377"/>
  <c r="R3376"/>
  <c r="R3375"/>
  <c r="R3374"/>
  <c r="R3373"/>
  <c r="R3372"/>
  <c r="R3371"/>
  <c r="R3370"/>
  <c r="R3369"/>
  <c r="R3368"/>
  <c r="R3367"/>
  <c r="R3366"/>
  <c r="R3365"/>
  <c r="R3364"/>
  <c r="R3363"/>
  <c r="R3362"/>
  <c r="R3361"/>
  <c r="R3360"/>
  <c r="R3359"/>
  <c r="R3358"/>
  <c r="R3357"/>
  <c r="R3356"/>
  <c r="R3355"/>
  <c r="R3354"/>
  <c r="R3353"/>
  <c r="R3352"/>
  <c r="R3351"/>
  <c r="R3350"/>
  <c r="R3349"/>
  <c r="R3348"/>
  <c r="R3347"/>
  <c r="R3346"/>
  <c r="R3345"/>
  <c r="R3344"/>
  <c r="R3343"/>
  <c r="R3342"/>
  <c r="R3341"/>
  <c r="R3340"/>
  <c r="R3339"/>
  <c r="R3338"/>
  <c r="R3337"/>
  <c r="R3336"/>
  <c r="R3335"/>
  <c r="R3334"/>
  <c r="R3333"/>
  <c r="R3332"/>
  <c r="R3331"/>
  <c r="R3330"/>
  <c r="R3329"/>
  <c r="R3328"/>
  <c r="R3327"/>
  <c r="R3326"/>
  <c r="R3325"/>
  <c r="R3324"/>
  <c r="R3323"/>
  <c r="R3322"/>
  <c r="R3321"/>
  <c r="R3320"/>
  <c r="R3319"/>
  <c r="R3318"/>
  <c r="R3317"/>
  <c r="R3316"/>
  <c r="R3315"/>
  <c r="R3314"/>
  <c r="R3313"/>
  <c r="R3312"/>
  <c r="R3311"/>
  <c r="R3310"/>
  <c r="R3309"/>
  <c r="R3308"/>
  <c r="R3307"/>
  <c r="R3306"/>
  <c r="R3305"/>
  <c r="R3304"/>
  <c r="R3303"/>
  <c r="R3302"/>
  <c r="R3301"/>
  <c r="R3300"/>
  <c r="R3299"/>
  <c r="R3298"/>
  <c r="R3297"/>
  <c r="R3296"/>
  <c r="R3295"/>
  <c r="R3294"/>
  <c r="R3293"/>
  <c r="R3292"/>
  <c r="R3291"/>
  <c r="R3290"/>
  <c r="R3289"/>
  <c r="R3288"/>
  <c r="R3287"/>
  <c r="R3286"/>
  <c r="R3285"/>
  <c r="R3284"/>
  <c r="R3283"/>
  <c r="R3282"/>
  <c r="R3281"/>
  <c r="R3280"/>
  <c r="R3279"/>
  <c r="R3278"/>
  <c r="R3277"/>
  <c r="R3276"/>
  <c r="R3275"/>
  <c r="R3274"/>
  <c r="R3273"/>
  <c r="R3272"/>
  <c r="R3271"/>
  <c r="R3270"/>
  <c r="R3269"/>
  <c r="R3268"/>
  <c r="R3267"/>
  <c r="R3266"/>
  <c r="R3265"/>
  <c r="R3264"/>
  <c r="R3263"/>
  <c r="R3262"/>
  <c r="R3261"/>
  <c r="R3260"/>
  <c r="R3259"/>
  <c r="R3258"/>
  <c r="R3257"/>
  <c r="R3256"/>
  <c r="R3255"/>
  <c r="R3254"/>
  <c r="R3253"/>
  <c r="R3252"/>
  <c r="R3251"/>
  <c r="R3250"/>
  <c r="R3249"/>
  <c r="R3248"/>
  <c r="R3247"/>
  <c r="R3246"/>
  <c r="R3245"/>
  <c r="R3244"/>
  <c r="R3243"/>
  <c r="R3242"/>
  <c r="R3241"/>
  <c r="R3240"/>
  <c r="R3239"/>
  <c r="R3238"/>
  <c r="R3237"/>
  <c r="R3236"/>
  <c r="R3235"/>
  <c r="R3234"/>
  <c r="R3233"/>
  <c r="R3232"/>
  <c r="R3231"/>
  <c r="R3230"/>
  <c r="R3229"/>
  <c r="R3228"/>
  <c r="R3227"/>
  <c r="R3226"/>
  <c r="R3225"/>
  <c r="R3224"/>
  <c r="R3223"/>
  <c r="R3222"/>
  <c r="R3221"/>
  <c r="R3220"/>
  <c r="R3219"/>
  <c r="R3218"/>
  <c r="R3217"/>
  <c r="R3216"/>
  <c r="R3215"/>
  <c r="R3214"/>
  <c r="R3213"/>
  <c r="R3212"/>
  <c r="R3211"/>
  <c r="R3210"/>
  <c r="R3209"/>
  <c r="R3208"/>
  <c r="R3207"/>
  <c r="R3206"/>
  <c r="R3205"/>
  <c r="R3204"/>
  <c r="R3203"/>
  <c r="R3202"/>
  <c r="R3201"/>
  <c r="R3200"/>
  <c r="R3199"/>
  <c r="R3198"/>
  <c r="R3197"/>
  <c r="R3196"/>
  <c r="R3195"/>
  <c r="R3194"/>
  <c r="R3193"/>
  <c r="R3192"/>
  <c r="R3191"/>
  <c r="R3190"/>
  <c r="R3189"/>
  <c r="R3188"/>
  <c r="R3187"/>
  <c r="R3186"/>
  <c r="R3185"/>
  <c r="R3184"/>
  <c r="R3183"/>
  <c r="R3182"/>
  <c r="R3181"/>
  <c r="R3180"/>
  <c r="R3179"/>
  <c r="R3178"/>
  <c r="R3177"/>
  <c r="R3176"/>
  <c r="R3175"/>
  <c r="R3174"/>
  <c r="R3173"/>
  <c r="R3172"/>
  <c r="R3171"/>
  <c r="R3170"/>
  <c r="R3169"/>
  <c r="R3168"/>
  <c r="R3167"/>
  <c r="R3166"/>
  <c r="R3165"/>
  <c r="R3164"/>
  <c r="R3163"/>
  <c r="R3162"/>
  <c r="R3161"/>
  <c r="R3160"/>
  <c r="R3159"/>
  <c r="R3158"/>
  <c r="R3157"/>
  <c r="R3156"/>
  <c r="R3155"/>
  <c r="R3154"/>
  <c r="R3153"/>
  <c r="R3152"/>
  <c r="R3151"/>
  <c r="R3150"/>
  <c r="R3149"/>
  <c r="R3148"/>
  <c r="R3147"/>
  <c r="R3146"/>
  <c r="R3145"/>
  <c r="R3144"/>
  <c r="R3143"/>
  <c r="R3142"/>
  <c r="R3141"/>
  <c r="R3140"/>
  <c r="R3139"/>
  <c r="R3138"/>
  <c r="R3137"/>
  <c r="R3136"/>
  <c r="R3135"/>
  <c r="R3134"/>
  <c r="R3133"/>
  <c r="R3132"/>
  <c r="R3131"/>
  <c r="R3130"/>
  <c r="R3129"/>
  <c r="R3128"/>
  <c r="R3127"/>
  <c r="R3126"/>
  <c r="R3125"/>
  <c r="R3124"/>
  <c r="R3123"/>
  <c r="R3122"/>
  <c r="R3121"/>
  <c r="R3120"/>
  <c r="R3119"/>
  <c r="R3118"/>
  <c r="R3117"/>
  <c r="R3116"/>
  <c r="R3115"/>
  <c r="R3114"/>
  <c r="R3113"/>
  <c r="R3112"/>
  <c r="R3111"/>
  <c r="R3110"/>
  <c r="R3109"/>
  <c r="R3108"/>
  <c r="R3107"/>
  <c r="R3106"/>
  <c r="R3105"/>
  <c r="R3104"/>
  <c r="R3103"/>
  <c r="R3102"/>
  <c r="R3101"/>
  <c r="R3100"/>
  <c r="R3099"/>
  <c r="R3098"/>
  <c r="R3097"/>
  <c r="R3096"/>
  <c r="R3095"/>
  <c r="R3094"/>
  <c r="R3093"/>
  <c r="R3092"/>
  <c r="R3091"/>
  <c r="R3090"/>
  <c r="R3089"/>
  <c r="R3088"/>
  <c r="R3087"/>
  <c r="R3086"/>
  <c r="R3085"/>
  <c r="R3084"/>
  <c r="R3083"/>
  <c r="R3082"/>
  <c r="R3081"/>
  <c r="R3080"/>
  <c r="R3079"/>
  <c r="R3078"/>
  <c r="R3077"/>
  <c r="R3076"/>
  <c r="R3075"/>
  <c r="R3074"/>
  <c r="R3073"/>
  <c r="R3072"/>
  <c r="R3071"/>
  <c r="R3070"/>
  <c r="R3069"/>
  <c r="R3068"/>
  <c r="R3067"/>
  <c r="R3066"/>
  <c r="R3065"/>
  <c r="R3064"/>
  <c r="R3063"/>
  <c r="R3062"/>
  <c r="R3061"/>
  <c r="R3060"/>
  <c r="R3059"/>
  <c r="R3058"/>
  <c r="R3057"/>
  <c r="R3056"/>
  <c r="R3055"/>
  <c r="R3054"/>
  <c r="R3053"/>
  <c r="R3052"/>
  <c r="R3051"/>
  <c r="R3050"/>
  <c r="R3049"/>
  <c r="R3048"/>
  <c r="R3047"/>
  <c r="R3046"/>
  <c r="R3045"/>
  <c r="R3044"/>
  <c r="R3043"/>
  <c r="R3042"/>
  <c r="R3041"/>
  <c r="R3040"/>
  <c r="R3039"/>
  <c r="R3038"/>
  <c r="R3037"/>
  <c r="R3036"/>
  <c r="R3035"/>
  <c r="R3034"/>
  <c r="R3033"/>
  <c r="R3032"/>
  <c r="R3031"/>
  <c r="R3030"/>
  <c r="R3029"/>
  <c r="R3028"/>
  <c r="R3027"/>
  <c r="R3026"/>
  <c r="R3025"/>
  <c r="R3024"/>
  <c r="R3023"/>
  <c r="R3022"/>
  <c r="R3021"/>
  <c r="R3020"/>
  <c r="R3019"/>
  <c r="R3018"/>
  <c r="R3017"/>
  <c r="R3016"/>
  <c r="R3015"/>
  <c r="R3014"/>
  <c r="R3013"/>
  <c r="R3012"/>
  <c r="R3011"/>
  <c r="R3010"/>
  <c r="R3009"/>
  <c r="R3008"/>
  <c r="R3007"/>
  <c r="R3006"/>
  <c r="R3005"/>
  <c r="R3004"/>
  <c r="R3003"/>
  <c r="R3002"/>
  <c r="R3001"/>
  <c r="R3000"/>
  <c r="R2999"/>
  <c r="R2998"/>
  <c r="R2997"/>
  <c r="R2996"/>
  <c r="R2995"/>
  <c r="R2994"/>
  <c r="R2993"/>
  <c r="R2992"/>
  <c r="R2991"/>
  <c r="R2990"/>
  <c r="R2989"/>
  <c r="R2988"/>
  <c r="R2987"/>
  <c r="R2986"/>
  <c r="R2985"/>
  <c r="R2984"/>
  <c r="R2983"/>
  <c r="R2982"/>
  <c r="R2981"/>
  <c r="R2980"/>
  <c r="R2979"/>
  <c r="R2978"/>
  <c r="R2977"/>
  <c r="R2976"/>
  <c r="R2975"/>
  <c r="R2974"/>
  <c r="R2973"/>
  <c r="R2972"/>
  <c r="R2971"/>
  <c r="R2970"/>
  <c r="R2969"/>
  <c r="R2968"/>
  <c r="R2967"/>
  <c r="R2966"/>
  <c r="R2965"/>
  <c r="R2964"/>
  <c r="R2963"/>
  <c r="R2962"/>
  <c r="R2961"/>
  <c r="R2960"/>
  <c r="R2959"/>
  <c r="R2958"/>
  <c r="R2957"/>
  <c r="R2956"/>
  <c r="R2955"/>
  <c r="R2954"/>
  <c r="R2953"/>
  <c r="R2952"/>
  <c r="R2951"/>
  <c r="R2950"/>
  <c r="R2949"/>
  <c r="R2948"/>
  <c r="R2947"/>
  <c r="R2946"/>
  <c r="R2945"/>
  <c r="R2944"/>
  <c r="R2943"/>
  <c r="R2942"/>
  <c r="R2941"/>
  <c r="R2940"/>
  <c r="R2939"/>
  <c r="R2938"/>
  <c r="R2937"/>
  <c r="R2936"/>
  <c r="R2935"/>
  <c r="R2934"/>
  <c r="R2933"/>
  <c r="R2932"/>
  <c r="R2931"/>
  <c r="R2930"/>
  <c r="R2929"/>
  <c r="R2928"/>
  <c r="R2927"/>
  <c r="R2926"/>
  <c r="R2925"/>
  <c r="R2924"/>
  <c r="R2923"/>
  <c r="R2922"/>
  <c r="R2921"/>
  <c r="R2920"/>
  <c r="R2919"/>
  <c r="R2918"/>
  <c r="R2917"/>
  <c r="R2916"/>
  <c r="R2915"/>
  <c r="R2914"/>
  <c r="R2913"/>
  <c r="R2912"/>
  <c r="R2911"/>
  <c r="R2910"/>
  <c r="R2909"/>
  <c r="R2908"/>
  <c r="R2907"/>
  <c r="R2906"/>
  <c r="R2905"/>
  <c r="R2904"/>
  <c r="R2903"/>
  <c r="R2902"/>
  <c r="R2901"/>
  <c r="R2900"/>
  <c r="R2899"/>
  <c r="R2898"/>
  <c r="R2897"/>
  <c r="R2896"/>
  <c r="R2895"/>
  <c r="R2894"/>
  <c r="R2893"/>
  <c r="R2892"/>
  <c r="R2891"/>
  <c r="R2890"/>
  <c r="R2889"/>
  <c r="R2888"/>
  <c r="R2887"/>
  <c r="R2886"/>
  <c r="R2885"/>
  <c r="R2884"/>
  <c r="R2883"/>
  <c r="R2882"/>
  <c r="R2881"/>
  <c r="R2880"/>
  <c r="R2879"/>
  <c r="R2878"/>
  <c r="R2877"/>
  <c r="R2876"/>
  <c r="R2875"/>
  <c r="R2874"/>
  <c r="R2873"/>
  <c r="R2872"/>
  <c r="R2871"/>
  <c r="R2870"/>
  <c r="R2869"/>
  <c r="R2868"/>
  <c r="R2867"/>
  <c r="R2866"/>
  <c r="R2865"/>
  <c r="R2864"/>
  <c r="R2863"/>
  <c r="R2862"/>
  <c r="R2861"/>
  <c r="R2860"/>
  <c r="R2859"/>
  <c r="R2858"/>
  <c r="R2857"/>
  <c r="R2856"/>
  <c r="R2855"/>
  <c r="R2854"/>
  <c r="R2853"/>
  <c r="R2852"/>
  <c r="R2851"/>
  <c r="R2850"/>
  <c r="R2849"/>
  <c r="R2848"/>
  <c r="R2847"/>
  <c r="R2846"/>
  <c r="R2845"/>
  <c r="R2844"/>
  <c r="R2843"/>
  <c r="R2842"/>
  <c r="R2841"/>
  <c r="R2840"/>
  <c r="R2839"/>
  <c r="R2838"/>
  <c r="R2837"/>
  <c r="R2836"/>
  <c r="R2835"/>
  <c r="R2834"/>
  <c r="R2833"/>
  <c r="R2832"/>
  <c r="R2831"/>
  <c r="R2830"/>
  <c r="R2829"/>
  <c r="R2828"/>
  <c r="R2827"/>
  <c r="R2826"/>
  <c r="R2825"/>
  <c r="R2824"/>
  <c r="R2823"/>
  <c r="R2822"/>
  <c r="R2821"/>
  <c r="R2820"/>
  <c r="R2819"/>
  <c r="R2818"/>
  <c r="R2817"/>
  <c r="R2816"/>
  <c r="R2815"/>
  <c r="R2814"/>
  <c r="R2813"/>
  <c r="R2812"/>
  <c r="R2811"/>
  <c r="R2810"/>
  <c r="R2809"/>
  <c r="R2808"/>
  <c r="R2807"/>
  <c r="R2806"/>
  <c r="R2805"/>
  <c r="R2804"/>
  <c r="R2803"/>
  <c r="R2802"/>
  <c r="R2801"/>
  <c r="R2800"/>
  <c r="R2799"/>
  <c r="R2798"/>
  <c r="R2797"/>
  <c r="R2796"/>
  <c r="R2795"/>
  <c r="R2794"/>
  <c r="R2793"/>
  <c r="R2792"/>
  <c r="R2791"/>
  <c r="R2790"/>
  <c r="R2789"/>
  <c r="R2788"/>
  <c r="R2787"/>
  <c r="R2786"/>
  <c r="R2785"/>
  <c r="R2784"/>
  <c r="R2783"/>
  <c r="R2782"/>
  <c r="R2781"/>
  <c r="R2780"/>
  <c r="R2779"/>
  <c r="R2778"/>
  <c r="R2777"/>
  <c r="R2776"/>
  <c r="R2775"/>
  <c r="R2774"/>
  <c r="R2773"/>
  <c r="R2772"/>
  <c r="R2771"/>
  <c r="R2770"/>
  <c r="R2769"/>
  <c r="R2768"/>
  <c r="R2767"/>
  <c r="R2766"/>
  <c r="R2765"/>
  <c r="R2764"/>
  <c r="R2763"/>
  <c r="R2762"/>
  <c r="R2761"/>
  <c r="R2760"/>
  <c r="R2759"/>
  <c r="R2758"/>
  <c r="R2757"/>
  <c r="R2756"/>
  <c r="R2755"/>
  <c r="R2754"/>
  <c r="R2753"/>
  <c r="R2752"/>
  <c r="R2751"/>
  <c r="R2750"/>
  <c r="R2749"/>
  <c r="R2748"/>
  <c r="R2747"/>
  <c r="R2746"/>
  <c r="R2745"/>
  <c r="R2744"/>
  <c r="R2743"/>
  <c r="R2742"/>
  <c r="R2741"/>
  <c r="R2740"/>
  <c r="R2739"/>
  <c r="R2738"/>
  <c r="R2737"/>
  <c r="R2736"/>
  <c r="R2735"/>
  <c r="R2734"/>
  <c r="R2733"/>
  <c r="R2732"/>
  <c r="R2731"/>
  <c r="R2730"/>
  <c r="R2729"/>
  <c r="R2728"/>
  <c r="R2727"/>
  <c r="R2726"/>
  <c r="R2725"/>
  <c r="R2724"/>
  <c r="R2723"/>
  <c r="R2722"/>
  <c r="R2721"/>
  <c r="R2720"/>
  <c r="R2719"/>
  <c r="R2718"/>
  <c r="R2717"/>
  <c r="R2716"/>
  <c r="R2715"/>
  <c r="R2714"/>
  <c r="R2713"/>
  <c r="R2712"/>
  <c r="R2711"/>
  <c r="R2710"/>
  <c r="R2709"/>
  <c r="R2708"/>
  <c r="R2707"/>
  <c r="R2706"/>
  <c r="R2705"/>
  <c r="R2704"/>
  <c r="R2703"/>
  <c r="R2702"/>
  <c r="R2701"/>
  <c r="R2700"/>
  <c r="R2699"/>
  <c r="R2698"/>
  <c r="R2697"/>
  <c r="R2696"/>
  <c r="R2695"/>
  <c r="R2694"/>
  <c r="R2693"/>
  <c r="R2692"/>
  <c r="R2691"/>
  <c r="R2690"/>
  <c r="R2689"/>
  <c r="R2688"/>
  <c r="R2687"/>
  <c r="R2686"/>
  <c r="R2685"/>
  <c r="R2684"/>
  <c r="R2683"/>
  <c r="R2682"/>
  <c r="R2681"/>
  <c r="R2680"/>
  <c r="R2679"/>
  <c r="R2678"/>
  <c r="R2677"/>
  <c r="R2676"/>
  <c r="R2675"/>
  <c r="R2674"/>
  <c r="R2673"/>
  <c r="R2672"/>
  <c r="R2671"/>
  <c r="R2670"/>
  <c r="R2669"/>
  <c r="R2668"/>
  <c r="R2667"/>
  <c r="R2666"/>
  <c r="R2665"/>
  <c r="R2664"/>
  <c r="R2663"/>
  <c r="R2662"/>
  <c r="R2661"/>
  <c r="R2660"/>
  <c r="R2659"/>
  <c r="R2658"/>
  <c r="R2657"/>
  <c r="R2656"/>
  <c r="R2655"/>
  <c r="R2654"/>
  <c r="R2653"/>
  <c r="R2652"/>
  <c r="R2651"/>
  <c r="R2650"/>
  <c r="R2649"/>
  <c r="R2648"/>
  <c r="R2647"/>
  <c r="R2646"/>
  <c r="R2645"/>
  <c r="R2644"/>
  <c r="R2643"/>
  <c r="R2642"/>
  <c r="R2641"/>
  <c r="R2640"/>
  <c r="R2639"/>
  <c r="R2638"/>
  <c r="R2637"/>
  <c r="R2636"/>
  <c r="R2635"/>
  <c r="R2634"/>
  <c r="R2633"/>
  <c r="R2632"/>
  <c r="R2631"/>
  <c r="R2630"/>
  <c r="R2629"/>
  <c r="R2628"/>
  <c r="R2627"/>
  <c r="R2626"/>
  <c r="R2625"/>
  <c r="R2624"/>
  <c r="R2623"/>
  <c r="R2622"/>
  <c r="R2621"/>
  <c r="R2620"/>
  <c r="R2619"/>
  <c r="R2618"/>
  <c r="R2617"/>
  <c r="R2616"/>
  <c r="R2615"/>
  <c r="R2614"/>
  <c r="R2613"/>
  <c r="R2612"/>
  <c r="R2611"/>
  <c r="R2610"/>
  <c r="R2609"/>
  <c r="R2608"/>
  <c r="R2607"/>
  <c r="R2606"/>
  <c r="R2605"/>
  <c r="R2604"/>
  <c r="R2603"/>
  <c r="R2602"/>
  <c r="R2601"/>
  <c r="R2600"/>
  <c r="R2599"/>
  <c r="R2598"/>
  <c r="R2597"/>
  <c r="R2596"/>
  <c r="R2595"/>
  <c r="R2594"/>
  <c r="R2593"/>
  <c r="R2592"/>
  <c r="R2591"/>
  <c r="R2590"/>
  <c r="R2589"/>
  <c r="R2588"/>
  <c r="R2587"/>
  <c r="R2586"/>
  <c r="R2585"/>
  <c r="R2584"/>
  <c r="R2583"/>
  <c r="R2582"/>
  <c r="R2581"/>
  <c r="R2580"/>
  <c r="R2579"/>
  <c r="R2578"/>
  <c r="R2577"/>
  <c r="R2576"/>
  <c r="R2575"/>
  <c r="R2574"/>
  <c r="R2573"/>
  <c r="R2572"/>
  <c r="R2571"/>
  <c r="R2570"/>
  <c r="R2569"/>
  <c r="R2568"/>
  <c r="R2567"/>
  <c r="R2566"/>
  <c r="R2565"/>
  <c r="R2564"/>
  <c r="R2563"/>
  <c r="R2562"/>
  <c r="R2561"/>
  <c r="R2560"/>
  <c r="R2559"/>
  <c r="R2558"/>
  <c r="R2557"/>
  <c r="R2556"/>
  <c r="R2555"/>
  <c r="R2554"/>
  <c r="R2553"/>
  <c r="R2552"/>
  <c r="R2551"/>
  <c r="R2550"/>
  <c r="R2549"/>
  <c r="R2548"/>
  <c r="R2547"/>
  <c r="R2546"/>
  <c r="R2545"/>
  <c r="R2544"/>
  <c r="R2543"/>
  <c r="R2542"/>
  <c r="R2541"/>
  <c r="R2540"/>
  <c r="R2539"/>
  <c r="R2538"/>
  <c r="R2537"/>
  <c r="R2536"/>
  <c r="R2535"/>
  <c r="R2534"/>
  <c r="R2533"/>
  <c r="R2532"/>
  <c r="R2531"/>
  <c r="R2530"/>
  <c r="R2529"/>
  <c r="R2528"/>
  <c r="R2527"/>
  <c r="R2526"/>
  <c r="R2525"/>
  <c r="R2524"/>
  <c r="R2523"/>
  <c r="R2522"/>
  <c r="R2521"/>
  <c r="R2520"/>
  <c r="R2519"/>
  <c r="R2518"/>
  <c r="R2517"/>
  <c r="R2516"/>
  <c r="R2515"/>
  <c r="R2514"/>
  <c r="R2513"/>
  <c r="R2512"/>
  <c r="R2511"/>
  <c r="R2510"/>
  <c r="R2509"/>
  <c r="R2508"/>
  <c r="R2507"/>
  <c r="R2506"/>
  <c r="R2505"/>
  <c r="R2504"/>
  <c r="R2503"/>
  <c r="R2502"/>
  <c r="R2501"/>
  <c r="R2500"/>
  <c r="R2499"/>
  <c r="R2498"/>
  <c r="R2497"/>
  <c r="R2496"/>
  <c r="R2495"/>
  <c r="R2494"/>
  <c r="R2493"/>
  <c r="R2492"/>
  <c r="R2491"/>
  <c r="R2490"/>
  <c r="R2489"/>
  <c r="R2488"/>
  <c r="R2487"/>
  <c r="R2486"/>
  <c r="R2485"/>
  <c r="R2484"/>
  <c r="R2483"/>
  <c r="R2482"/>
  <c r="R2481"/>
  <c r="R2480"/>
  <c r="R2479"/>
  <c r="R2478"/>
  <c r="R2477"/>
  <c r="R2476"/>
  <c r="R2475"/>
  <c r="R2474"/>
  <c r="R2473"/>
  <c r="R2472"/>
  <c r="R2471"/>
  <c r="R2470"/>
  <c r="R2469"/>
  <c r="R2468"/>
  <c r="R2467"/>
  <c r="R2466"/>
  <c r="R2465"/>
  <c r="R2464"/>
  <c r="R2463"/>
  <c r="R2462"/>
  <c r="R2461"/>
  <c r="R2460"/>
  <c r="R2459"/>
  <c r="R2458"/>
  <c r="R2457"/>
  <c r="R2456"/>
  <c r="R2455"/>
  <c r="R2454"/>
  <c r="R2453"/>
  <c r="R2452"/>
  <c r="R2451"/>
  <c r="R2450"/>
  <c r="R2449"/>
  <c r="R2448"/>
  <c r="R2447"/>
  <c r="R2446"/>
  <c r="R2445"/>
  <c r="R2444"/>
  <c r="R2443"/>
  <c r="R2442"/>
  <c r="R2441"/>
  <c r="R2440"/>
  <c r="R2439"/>
  <c r="R2438"/>
  <c r="R2437"/>
  <c r="R2436"/>
  <c r="R2435"/>
  <c r="R2434"/>
  <c r="R2433"/>
  <c r="R2432"/>
  <c r="R2431"/>
  <c r="R2430"/>
  <c r="R2429"/>
  <c r="R2428"/>
  <c r="R2427"/>
  <c r="R2426"/>
  <c r="R2425"/>
  <c r="R2424"/>
  <c r="R2423"/>
  <c r="R2422"/>
  <c r="R2421"/>
  <c r="R2420"/>
  <c r="R2419"/>
  <c r="R2418"/>
  <c r="R2417"/>
  <c r="R2416"/>
  <c r="R2415"/>
  <c r="R2414"/>
  <c r="R2413"/>
  <c r="R2412"/>
  <c r="R2411"/>
  <c r="R2410"/>
  <c r="R2409"/>
  <c r="R2408"/>
  <c r="R2407"/>
  <c r="R2406"/>
  <c r="R2405"/>
  <c r="R2404"/>
  <c r="R2403"/>
  <c r="R2402"/>
  <c r="R2401"/>
  <c r="R2400"/>
  <c r="R2399"/>
  <c r="R2398"/>
  <c r="R2397"/>
  <c r="R2396"/>
  <c r="R2395"/>
  <c r="R2394"/>
  <c r="R2393"/>
  <c r="R2392"/>
  <c r="R2391"/>
  <c r="R2390"/>
  <c r="R2389"/>
  <c r="R2388"/>
  <c r="R2387"/>
  <c r="R2386"/>
  <c r="R2385"/>
  <c r="R2384"/>
  <c r="R2383"/>
  <c r="R2382"/>
  <c r="R2381"/>
  <c r="R2380"/>
  <c r="R2379"/>
  <c r="R2378"/>
  <c r="R2377"/>
  <c r="R2376"/>
  <c r="R2375"/>
  <c r="R2374"/>
  <c r="R2373"/>
  <c r="R2372"/>
  <c r="R2371"/>
  <c r="R2370"/>
  <c r="R2369"/>
  <c r="R2368"/>
  <c r="R2367"/>
  <c r="R2366"/>
  <c r="R2365"/>
  <c r="R2364"/>
  <c r="R2363"/>
  <c r="R2362"/>
  <c r="R2361"/>
  <c r="R2360"/>
  <c r="R2359"/>
  <c r="R2358"/>
  <c r="R2357"/>
  <c r="R2356"/>
  <c r="R2355"/>
  <c r="R2354"/>
  <c r="R2353"/>
  <c r="R2352"/>
  <c r="R2351"/>
  <c r="R2350"/>
  <c r="R2349"/>
  <c r="R2348"/>
  <c r="R2347"/>
  <c r="R2346"/>
  <c r="R2345"/>
  <c r="R2344"/>
  <c r="R2343"/>
  <c r="R2342"/>
  <c r="R2341"/>
  <c r="R2340"/>
  <c r="R2339"/>
  <c r="R2338"/>
  <c r="R2337"/>
  <c r="R2336"/>
  <c r="R2335"/>
  <c r="R2334"/>
  <c r="R2333"/>
  <c r="R2332"/>
  <c r="R2331"/>
  <c r="R2330"/>
  <c r="R2329"/>
  <c r="R2328"/>
  <c r="R2327"/>
  <c r="R2326"/>
  <c r="R2325"/>
  <c r="R2324"/>
  <c r="R2323"/>
  <c r="R2322"/>
  <c r="R2321"/>
  <c r="R2320"/>
  <c r="R2319"/>
  <c r="R2318"/>
  <c r="R2317"/>
  <c r="R2316"/>
  <c r="R2315"/>
  <c r="R2314"/>
  <c r="R2313"/>
  <c r="R2312"/>
  <c r="R2311"/>
  <c r="R2310"/>
  <c r="R2309"/>
  <c r="R2308"/>
  <c r="R2307"/>
  <c r="R2306"/>
  <c r="R2305"/>
  <c r="R2304"/>
  <c r="R2303"/>
  <c r="R2302"/>
  <c r="R2301"/>
  <c r="R2300"/>
  <c r="R2299"/>
  <c r="R2298"/>
  <c r="R2297"/>
  <c r="R2296"/>
  <c r="R2295"/>
  <c r="R2294"/>
  <c r="R2293"/>
  <c r="R2292"/>
  <c r="R2291"/>
  <c r="R2290"/>
  <c r="R2289"/>
  <c r="R2288"/>
  <c r="R2287"/>
  <c r="R2286"/>
  <c r="R2285"/>
  <c r="R2284"/>
  <c r="R2283"/>
  <c r="R2282"/>
  <c r="R2281"/>
  <c r="R2280"/>
  <c r="R2279"/>
  <c r="R2278"/>
  <c r="R2277"/>
  <c r="R2276"/>
  <c r="R2275"/>
  <c r="R2274"/>
  <c r="R2273"/>
  <c r="R2272"/>
  <c r="R2271"/>
  <c r="R2270"/>
  <c r="R2269"/>
  <c r="R2268"/>
  <c r="R2267"/>
  <c r="R2266"/>
  <c r="R2265"/>
  <c r="R2264"/>
  <c r="R2263"/>
  <c r="R2262"/>
  <c r="R2261"/>
  <c r="R2260"/>
  <c r="R2259"/>
  <c r="R2258"/>
  <c r="R2257"/>
  <c r="R2256"/>
  <c r="R2255"/>
  <c r="R2254"/>
  <c r="R2253"/>
  <c r="R2252"/>
  <c r="R2251"/>
  <c r="R2250"/>
  <c r="R2249"/>
  <c r="R2248"/>
  <c r="R2247"/>
  <c r="R2246"/>
  <c r="R2245"/>
  <c r="R2244"/>
  <c r="R2243"/>
  <c r="R2242"/>
  <c r="R2241"/>
  <c r="R2240"/>
  <c r="R2239"/>
  <c r="R2238"/>
  <c r="R2237"/>
  <c r="R2236"/>
  <c r="R2235"/>
  <c r="R2234"/>
  <c r="R2233"/>
  <c r="R2232"/>
  <c r="R2231"/>
  <c r="R2230"/>
  <c r="R2229"/>
  <c r="R2228"/>
  <c r="R2227"/>
  <c r="R2226"/>
  <c r="R2225"/>
  <c r="R2224"/>
  <c r="R2223"/>
  <c r="R2222"/>
  <c r="R2221"/>
  <c r="R2220"/>
  <c r="R2219"/>
  <c r="R2218"/>
  <c r="R2217"/>
  <c r="R2216"/>
  <c r="R2215"/>
  <c r="R2214"/>
  <c r="R2213"/>
  <c r="R2212"/>
  <c r="R2211"/>
  <c r="R2210"/>
  <c r="R2209"/>
  <c r="R2208"/>
  <c r="R2207"/>
  <c r="R2206"/>
  <c r="R2205"/>
  <c r="R2204"/>
  <c r="R2203"/>
  <c r="R2202"/>
  <c r="R2201"/>
  <c r="R2200"/>
  <c r="R2199"/>
  <c r="R2198"/>
  <c r="R2197"/>
  <c r="R2196"/>
  <c r="R2195"/>
  <c r="R2194"/>
  <c r="R2193"/>
  <c r="R2192"/>
  <c r="R2191"/>
  <c r="R2190"/>
  <c r="R2189"/>
  <c r="R2188"/>
  <c r="R2187"/>
  <c r="R2186"/>
  <c r="R2185"/>
  <c r="R2184"/>
  <c r="R2183"/>
  <c r="R2182"/>
  <c r="R2181"/>
  <c r="R2180"/>
  <c r="R2179"/>
  <c r="R2178"/>
  <c r="R2177"/>
  <c r="R2176"/>
  <c r="R2175"/>
  <c r="R2174"/>
  <c r="R2173"/>
  <c r="R2172"/>
  <c r="R2171"/>
  <c r="R2170"/>
  <c r="R2169"/>
  <c r="R2168"/>
  <c r="R2167"/>
  <c r="R2166"/>
  <c r="R2165"/>
  <c r="R2164"/>
  <c r="R2163"/>
  <c r="R2162"/>
  <c r="R2161"/>
  <c r="R2160"/>
  <c r="R2159"/>
  <c r="R2158"/>
  <c r="R2157"/>
  <c r="R2156"/>
  <c r="R2155"/>
  <c r="R2154"/>
  <c r="R2153"/>
  <c r="R2152"/>
  <c r="R2151"/>
  <c r="R2150"/>
  <c r="R2149"/>
  <c r="R2148"/>
  <c r="R2147"/>
  <c r="R2146"/>
  <c r="R2145"/>
  <c r="R2144"/>
  <c r="R2143"/>
  <c r="R2142"/>
  <c r="R2141"/>
  <c r="R2140"/>
  <c r="R2139"/>
  <c r="R2138"/>
  <c r="R2137"/>
  <c r="R2136"/>
  <c r="R2135"/>
  <c r="R2134"/>
  <c r="R2133"/>
  <c r="R2132"/>
  <c r="R2131"/>
  <c r="R2130"/>
  <c r="R2129"/>
  <c r="R2128"/>
  <c r="R2127"/>
  <c r="R2126"/>
  <c r="R2125"/>
  <c r="R2124"/>
  <c r="R2123"/>
  <c r="R2122"/>
  <c r="R2121"/>
  <c r="R2120"/>
  <c r="R2119"/>
  <c r="R2118"/>
  <c r="R2117"/>
  <c r="R2116"/>
  <c r="R2115"/>
  <c r="R2114"/>
  <c r="R2113"/>
  <c r="R2112"/>
  <c r="R2111"/>
  <c r="R2110"/>
  <c r="R2109"/>
  <c r="R2108"/>
  <c r="R2107"/>
  <c r="R2106"/>
  <c r="R2105"/>
  <c r="R2104"/>
  <c r="R2103"/>
  <c r="R2102"/>
  <c r="R2101"/>
  <c r="R2100"/>
  <c r="R2099"/>
  <c r="R2098"/>
  <c r="R2097"/>
  <c r="R2096"/>
  <c r="R2095"/>
  <c r="R2094"/>
  <c r="R2093"/>
  <c r="R2092"/>
  <c r="R2091"/>
  <c r="R2090"/>
  <c r="R2089"/>
  <c r="R2088"/>
  <c r="R2087"/>
  <c r="R2086"/>
  <c r="R2085"/>
  <c r="R2084"/>
  <c r="R2083"/>
  <c r="R2082"/>
  <c r="R2081"/>
  <c r="R2080"/>
  <c r="R2079"/>
  <c r="R2078"/>
  <c r="R2077"/>
  <c r="R2076"/>
  <c r="R2075"/>
  <c r="R2074"/>
  <c r="R2073"/>
  <c r="R2072"/>
  <c r="R2071"/>
  <c r="R2070"/>
  <c r="R2069"/>
  <c r="R2068"/>
  <c r="R2067"/>
  <c r="R2066"/>
  <c r="R2065"/>
  <c r="R2064"/>
  <c r="R2063"/>
  <c r="R2062"/>
  <c r="R2061"/>
  <c r="R2060"/>
  <c r="R2059"/>
  <c r="R2058"/>
  <c r="R2057"/>
  <c r="R2056"/>
  <c r="R2055"/>
  <c r="R2054"/>
  <c r="R2053"/>
  <c r="R2052"/>
  <c r="R2051"/>
  <c r="R2050"/>
  <c r="R2049"/>
  <c r="R2048"/>
  <c r="R2047"/>
  <c r="R2046"/>
  <c r="R2045"/>
  <c r="R2044"/>
  <c r="R2043"/>
  <c r="R2042"/>
  <c r="R2041"/>
  <c r="R2040"/>
  <c r="R2039"/>
  <c r="R2038"/>
  <c r="R2037"/>
  <c r="R2036"/>
  <c r="R2035"/>
  <c r="R2034"/>
  <c r="R2033"/>
  <c r="R2032"/>
  <c r="R2031"/>
  <c r="R2030"/>
  <c r="R2029"/>
  <c r="R2028"/>
  <c r="R2027"/>
  <c r="R2026"/>
  <c r="R2025"/>
  <c r="R2024"/>
  <c r="R2023"/>
  <c r="R2022"/>
  <c r="R2021"/>
  <c r="R2020"/>
  <c r="R2019"/>
  <c r="R2018"/>
  <c r="R2017"/>
  <c r="R2016"/>
  <c r="R2015"/>
  <c r="R2014"/>
  <c r="R2013"/>
  <c r="R2012"/>
  <c r="R2011"/>
  <c r="R2010"/>
  <c r="R2009"/>
  <c r="R2008"/>
  <c r="R2007"/>
  <c r="R2006"/>
  <c r="R2005"/>
  <c r="R2004"/>
  <c r="R2003"/>
  <c r="R2002"/>
  <c r="R2001"/>
  <c r="R2000"/>
  <c r="R1999"/>
  <c r="R1998"/>
  <c r="R1997"/>
  <c r="R1996"/>
  <c r="R1995"/>
  <c r="R1994"/>
  <c r="R1993"/>
  <c r="R1992"/>
  <c r="R1991"/>
  <c r="R1990"/>
  <c r="R1989"/>
  <c r="R1988"/>
  <c r="R1987"/>
  <c r="R1986"/>
  <c r="R1985"/>
  <c r="R1984"/>
  <c r="R1983"/>
  <c r="R1982"/>
  <c r="R1981"/>
  <c r="R1980"/>
  <c r="R1979"/>
  <c r="R1978"/>
  <c r="R1977"/>
  <c r="R1976"/>
  <c r="R1975"/>
  <c r="R1974"/>
  <c r="R1973"/>
  <c r="R1972"/>
  <c r="R1971"/>
  <c r="R1970"/>
  <c r="R1969"/>
  <c r="R1968"/>
  <c r="R1967"/>
  <c r="R1966"/>
  <c r="R1965"/>
  <c r="R1964"/>
  <c r="R1963"/>
  <c r="R1962"/>
  <c r="R1961"/>
  <c r="R1960"/>
  <c r="R1959"/>
  <c r="R1958"/>
  <c r="R1957"/>
  <c r="R1956"/>
  <c r="R1955"/>
  <c r="R1954"/>
  <c r="R1953"/>
  <c r="R1952"/>
  <c r="R1951"/>
  <c r="R1950"/>
  <c r="R1949"/>
  <c r="R1948"/>
  <c r="R1947"/>
  <c r="R1946"/>
  <c r="R1945"/>
  <c r="R1944"/>
  <c r="R1943"/>
  <c r="R1942"/>
  <c r="R1941"/>
  <c r="R1940"/>
  <c r="R1939"/>
  <c r="R1938"/>
  <c r="R1937"/>
  <c r="R1936"/>
  <c r="R1935"/>
  <c r="R1934"/>
  <c r="R1933"/>
  <c r="R1932"/>
  <c r="R1931"/>
  <c r="R1930"/>
  <c r="R1929"/>
  <c r="R1928"/>
  <c r="R1927"/>
  <c r="R1926"/>
  <c r="R1925"/>
  <c r="R1924"/>
  <c r="R1923"/>
  <c r="R1922"/>
  <c r="R1921"/>
  <c r="R1920"/>
  <c r="R1919"/>
  <c r="R1918"/>
  <c r="R1917"/>
  <c r="R1916"/>
  <c r="R1915"/>
  <c r="R1914"/>
  <c r="R1913"/>
  <c r="R1912"/>
  <c r="R1911"/>
  <c r="R1910"/>
  <c r="R1909"/>
  <c r="R1908"/>
  <c r="R1907"/>
  <c r="R1906"/>
  <c r="R1905"/>
  <c r="R1904"/>
  <c r="R1903"/>
  <c r="R1902"/>
  <c r="R1901"/>
  <c r="R1900"/>
  <c r="R1899"/>
  <c r="R1898"/>
  <c r="R1897"/>
  <c r="R1896"/>
  <c r="R1895"/>
  <c r="R1894"/>
  <c r="R1893"/>
  <c r="R1892"/>
  <c r="R1891"/>
  <c r="R1890"/>
  <c r="R1889"/>
  <c r="R1888"/>
  <c r="R1887"/>
  <c r="R1886"/>
  <c r="R1885"/>
  <c r="R1884"/>
  <c r="R1883"/>
  <c r="R1882"/>
  <c r="R1881"/>
  <c r="R1880"/>
  <c r="R1879"/>
  <c r="R1878"/>
  <c r="R1877"/>
  <c r="R1876"/>
  <c r="R1875"/>
  <c r="R1874"/>
  <c r="R1873"/>
  <c r="R1872"/>
  <c r="R1871"/>
  <c r="R1870"/>
  <c r="R1869"/>
  <c r="R1868"/>
  <c r="R1867"/>
  <c r="R1866"/>
  <c r="R1865"/>
  <c r="R1864"/>
  <c r="R1863"/>
  <c r="R1862"/>
  <c r="R1861"/>
  <c r="R1860"/>
  <c r="R1859"/>
  <c r="R1858"/>
  <c r="R1857"/>
  <c r="R1856"/>
  <c r="R1855"/>
  <c r="R1854"/>
  <c r="R1853"/>
  <c r="R1852"/>
  <c r="R1851"/>
  <c r="R1850"/>
  <c r="R1849"/>
  <c r="R1848"/>
  <c r="R1847"/>
  <c r="R1846"/>
  <c r="R1845"/>
  <c r="R1844"/>
  <c r="R1843"/>
  <c r="R1842"/>
  <c r="R1841"/>
  <c r="R1840"/>
  <c r="R1839"/>
  <c r="R1838"/>
  <c r="R1837"/>
  <c r="R1836"/>
  <c r="R1835"/>
  <c r="R1834"/>
  <c r="R1833"/>
  <c r="R1832"/>
  <c r="R1831"/>
  <c r="R1830"/>
  <c r="R1829"/>
  <c r="R1828"/>
  <c r="R1827"/>
  <c r="R1826"/>
  <c r="R1825"/>
  <c r="R1824"/>
  <c r="R1823"/>
  <c r="R1822"/>
  <c r="R1821"/>
  <c r="R1820"/>
  <c r="R1819"/>
  <c r="R1818"/>
  <c r="R1817"/>
  <c r="R1816"/>
  <c r="R1815"/>
  <c r="R1814"/>
  <c r="R1813"/>
  <c r="R1812"/>
  <c r="R1811"/>
  <c r="R1810"/>
  <c r="R1809"/>
  <c r="R1808"/>
  <c r="R1807"/>
  <c r="R1806"/>
  <c r="R1805"/>
  <c r="R1804"/>
  <c r="R1803"/>
  <c r="R1802"/>
  <c r="R1801"/>
  <c r="R1800"/>
  <c r="R1799"/>
  <c r="R1798"/>
  <c r="R1797"/>
  <c r="R1796"/>
  <c r="R1795"/>
  <c r="R1794"/>
  <c r="R1793"/>
  <c r="R1792"/>
  <c r="R1791"/>
  <c r="R1790"/>
  <c r="R1789"/>
  <c r="R1788"/>
  <c r="R1787"/>
  <c r="R1786"/>
  <c r="R1785"/>
  <c r="R1784"/>
  <c r="R1783"/>
  <c r="R1782"/>
  <c r="R1781"/>
  <c r="R1780"/>
  <c r="R1779"/>
  <c r="R1778"/>
  <c r="R1777"/>
  <c r="R1776"/>
  <c r="R1775"/>
  <c r="R1774"/>
  <c r="R1773"/>
  <c r="R1772"/>
  <c r="R1771"/>
  <c r="R1770"/>
  <c r="R1769"/>
  <c r="R1768"/>
  <c r="R1767"/>
  <c r="R1766"/>
  <c r="R1765"/>
  <c r="R1764"/>
  <c r="R1763"/>
  <c r="R1762"/>
  <c r="R1761"/>
  <c r="R1760"/>
  <c r="R1759"/>
  <c r="R1758"/>
  <c r="R1757"/>
  <c r="R1756"/>
  <c r="R1755"/>
  <c r="R1754"/>
  <c r="R1753"/>
  <c r="R1752"/>
  <c r="R1751"/>
  <c r="R1750"/>
  <c r="R1749"/>
  <c r="R1748"/>
  <c r="R1747"/>
  <c r="R1746"/>
  <c r="R1745"/>
  <c r="R1744"/>
  <c r="R1743"/>
  <c r="R1742"/>
  <c r="R1741"/>
  <c r="R1740"/>
  <c r="R1739"/>
  <c r="R1738"/>
  <c r="R1737"/>
  <c r="R1736"/>
  <c r="R1735"/>
  <c r="R1734"/>
  <c r="R1733"/>
  <c r="R1732"/>
  <c r="R1731"/>
  <c r="R1730"/>
  <c r="R1729"/>
  <c r="R1728"/>
  <c r="R1727"/>
  <c r="R1726"/>
  <c r="R1725"/>
  <c r="R1724"/>
  <c r="R1723"/>
  <c r="R1722"/>
  <c r="R1721"/>
  <c r="R1720"/>
  <c r="R1719"/>
  <c r="R1718"/>
  <c r="R1717"/>
  <c r="R1716"/>
  <c r="R1715"/>
  <c r="R1714"/>
  <c r="R1713"/>
  <c r="R1712"/>
  <c r="R1711"/>
  <c r="R1710"/>
  <c r="R1709"/>
  <c r="R1708"/>
  <c r="R1707"/>
  <c r="R1706"/>
  <c r="R1705"/>
  <c r="R1704"/>
  <c r="R1703"/>
  <c r="R1702"/>
  <c r="R1701"/>
  <c r="R1700"/>
  <c r="R1699"/>
  <c r="R1698"/>
  <c r="R1697"/>
  <c r="R1696"/>
  <c r="R1695"/>
  <c r="R1694"/>
  <c r="R1693"/>
  <c r="R1692"/>
  <c r="R1691"/>
  <c r="R1690"/>
  <c r="R1689"/>
  <c r="R1688"/>
  <c r="R1687"/>
  <c r="R1686"/>
  <c r="R1685"/>
  <c r="R1684"/>
  <c r="R1683"/>
  <c r="R1682"/>
  <c r="R1681"/>
  <c r="R1680"/>
  <c r="R1679"/>
  <c r="R1678"/>
  <c r="R1677"/>
  <c r="R1676"/>
  <c r="R1675"/>
  <c r="R1674"/>
  <c r="R1673"/>
  <c r="R1672"/>
  <c r="R1671"/>
  <c r="R1670"/>
  <c r="R1669"/>
  <c r="R1668"/>
  <c r="R1667"/>
  <c r="R1666"/>
  <c r="R1665"/>
  <c r="R1664"/>
  <c r="R1663"/>
  <c r="R1662"/>
  <c r="R1661"/>
  <c r="R1660"/>
  <c r="R1659"/>
  <c r="R1658"/>
  <c r="R1657"/>
  <c r="R1656"/>
  <c r="R1655"/>
  <c r="R1654"/>
  <c r="R1653"/>
  <c r="R1652"/>
  <c r="R1651"/>
  <c r="R1650"/>
  <c r="R1649"/>
  <c r="R1648"/>
  <c r="R1647"/>
  <c r="R1646"/>
  <c r="R1645"/>
  <c r="R1644"/>
  <c r="R1643"/>
  <c r="R1642"/>
  <c r="R1641"/>
  <c r="R1640"/>
  <c r="R1639"/>
  <c r="R1638"/>
  <c r="R1637"/>
  <c r="R1636"/>
  <c r="R1635"/>
  <c r="R1634"/>
  <c r="R1633"/>
  <c r="R1632"/>
  <c r="R1631"/>
  <c r="R1630"/>
  <c r="R1629"/>
  <c r="R1628"/>
  <c r="R1627"/>
  <c r="R1626"/>
  <c r="R1625"/>
  <c r="R1624"/>
  <c r="R1623"/>
  <c r="R1622"/>
  <c r="R1621"/>
  <c r="R1620"/>
  <c r="R1619"/>
  <c r="R1618"/>
  <c r="R1617"/>
  <c r="R1616"/>
  <c r="R1615"/>
  <c r="R1614"/>
  <c r="R1613"/>
  <c r="R1612"/>
  <c r="R1611"/>
  <c r="R1610"/>
  <c r="R1609"/>
  <c r="R1608"/>
  <c r="R1607"/>
  <c r="R1606"/>
  <c r="R1605"/>
  <c r="R1604"/>
  <c r="R1603"/>
  <c r="R1602"/>
  <c r="R1601"/>
  <c r="R1600"/>
  <c r="R1599"/>
  <c r="R1598"/>
  <c r="R1597"/>
  <c r="R1596"/>
  <c r="R1595"/>
  <c r="R1594"/>
  <c r="R1593"/>
  <c r="R1592"/>
  <c r="R1591"/>
  <c r="R1590"/>
  <c r="R1589"/>
  <c r="R1588"/>
  <c r="R1587"/>
  <c r="R1586"/>
  <c r="R1585"/>
  <c r="R1584"/>
  <c r="R1583"/>
  <c r="R1582"/>
  <c r="R1581"/>
  <c r="R1580"/>
  <c r="R1579"/>
  <c r="R1578"/>
  <c r="R1577"/>
  <c r="R1576"/>
  <c r="R1575"/>
  <c r="R1574"/>
  <c r="R1573"/>
  <c r="R1572"/>
  <c r="R1571"/>
  <c r="R1570"/>
  <c r="R1569"/>
  <c r="R1568"/>
  <c r="R1567"/>
  <c r="R1566"/>
  <c r="R1565"/>
  <c r="R1564"/>
  <c r="R1563"/>
  <c r="R1562"/>
  <c r="R1561"/>
  <c r="R1560"/>
  <c r="R1559"/>
  <c r="R1558"/>
  <c r="R1557"/>
  <c r="R1556"/>
  <c r="R1555"/>
  <c r="R1554"/>
  <c r="R1553"/>
  <c r="R1552"/>
  <c r="R1551"/>
  <c r="R1550"/>
  <c r="R1549"/>
  <c r="R1548"/>
  <c r="R1547"/>
  <c r="R1546"/>
  <c r="R1545"/>
  <c r="R1544"/>
  <c r="R1543"/>
  <c r="R1542"/>
  <c r="R1541"/>
  <c r="R1540"/>
  <c r="R1539"/>
  <c r="R1538"/>
  <c r="R1537"/>
  <c r="R1536"/>
  <c r="R1535"/>
  <c r="R1534"/>
  <c r="R1533"/>
  <c r="R1532"/>
  <c r="R1531"/>
  <c r="R1530"/>
  <c r="R1529"/>
  <c r="R1528"/>
  <c r="R1527"/>
  <c r="R1526"/>
  <c r="R1525"/>
  <c r="R1524"/>
  <c r="R1523"/>
  <c r="R1522"/>
  <c r="R1521"/>
  <c r="R1520"/>
  <c r="R1519"/>
  <c r="R1518"/>
  <c r="R1517"/>
  <c r="R1516"/>
  <c r="R1515"/>
  <c r="R1514"/>
  <c r="R1513"/>
  <c r="R1512"/>
  <c r="R1511"/>
  <c r="R1510"/>
  <c r="R1509"/>
  <c r="R1508"/>
  <c r="R1507"/>
  <c r="R1506"/>
  <c r="R1505"/>
  <c r="R1504"/>
  <c r="R1503"/>
  <c r="R1502"/>
  <c r="R1501"/>
  <c r="R1500"/>
  <c r="R1499"/>
  <c r="R1498"/>
  <c r="R1497"/>
  <c r="R1496"/>
  <c r="R1495"/>
  <c r="R1494"/>
  <c r="R1493"/>
  <c r="R1492"/>
  <c r="R1491"/>
  <c r="R1490"/>
  <c r="R1489"/>
  <c r="R1488"/>
  <c r="R1487"/>
  <c r="R1486"/>
  <c r="R1485"/>
  <c r="R1484"/>
  <c r="R1483"/>
  <c r="R1482"/>
  <c r="R1481"/>
  <c r="R1480"/>
  <c r="R1479"/>
  <c r="R1478"/>
  <c r="R1477"/>
  <c r="R1476"/>
  <c r="R1475"/>
  <c r="R1474"/>
  <c r="R1473"/>
  <c r="R1472"/>
  <c r="R1471"/>
  <c r="R1470"/>
  <c r="R1469"/>
  <c r="R1468"/>
  <c r="R1467"/>
  <c r="R1466"/>
  <c r="R1465"/>
  <c r="R1464"/>
  <c r="R1463"/>
  <c r="R1462"/>
  <c r="R1461"/>
  <c r="R1460"/>
  <c r="R1459"/>
  <c r="R1458"/>
  <c r="R1457"/>
  <c r="R1456"/>
  <c r="R1455"/>
  <c r="R1454"/>
  <c r="R1453"/>
  <c r="R1452"/>
  <c r="R1451"/>
  <c r="R1450"/>
  <c r="R1449"/>
  <c r="R1448"/>
  <c r="R1447"/>
  <c r="R1446"/>
  <c r="R1445"/>
  <c r="R1444"/>
  <c r="R1443"/>
  <c r="R1442"/>
  <c r="R1441"/>
  <c r="R1440"/>
  <c r="R1439"/>
  <c r="R1438"/>
  <c r="R1437"/>
  <c r="R1436"/>
  <c r="R1435"/>
  <c r="R1434"/>
  <c r="R1433"/>
  <c r="R1432"/>
  <c r="R1431"/>
  <c r="R1430"/>
  <c r="R1429"/>
  <c r="R1428"/>
  <c r="R1427"/>
  <c r="R1426"/>
  <c r="R1425"/>
  <c r="R1424"/>
  <c r="R1423"/>
  <c r="R1422"/>
  <c r="R1421"/>
  <c r="R1420"/>
  <c r="R1419"/>
  <c r="R1418"/>
  <c r="R1417"/>
  <c r="R1416"/>
  <c r="R1415"/>
  <c r="R1414"/>
  <c r="R1413"/>
  <c r="R1412"/>
  <c r="R1411"/>
  <c r="R1410"/>
  <c r="R1409"/>
  <c r="R1408"/>
  <c r="R1407"/>
  <c r="R1406"/>
  <c r="R1405"/>
  <c r="R1404"/>
  <c r="R1403"/>
  <c r="R1402"/>
  <c r="R1401"/>
  <c r="R1400"/>
  <c r="R1399"/>
  <c r="R1398"/>
  <c r="R1397"/>
  <c r="R1396"/>
  <c r="R1395"/>
  <c r="R1394"/>
  <c r="R1393"/>
  <c r="R1392"/>
  <c r="R1391"/>
  <c r="R1390"/>
  <c r="R1389"/>
  <c r="R1388"/>
  <c r="R1387"/>
  <c r="R1386"/>
  <c r="R1385"/>
  <c r="R1384"/>
  <c r="R1383"/>
  <c r="R1382"/>
  <c r="R1381"/>
  <c r="R1380"/>
  <c r="R1379"/>
  <c r="R1378"/>
  <c r="R1377"/>
  <c r="R1376"/>
  <c r="R1375"/>
  <c r="R1374"/>
  <c r="R1373"/>
  <c r="R1372"/>
  <c r="R1371"/>
  <c r="R1370"/>
  <c r="R1369"/>
  <c r="R1368"/>
  <c r="R1367"/>
  <c r="R1366"/>
  <c r="R1365"/>
  <c r="R1364"/>
  <c r="R1363"/>
  <c r="R1362"/>
  <c r="R1361"/>
  <c r="R1360"/>
  <c r="R1359"/>
  <c r="R1358"/>
  <c r="R1357"/>
  <c r="R1356"/>
  <c r="R1355"/>
  <c r="R1354"/>
  <c r="R1353"/>
  <c r="R1352"/>
  <c r="R1351"/>
  <c r="R1350"/>
  <c r="R1349"/>
  <c r="R1348"/>
  <c r="R1347"/>
  <c r="R1346"/>
  <c r="R1345"/>
  <c r="R1344"/>
  <c r="R1343"/>
  <c r="R1342"/>
  <c r="R1341"/>
  <c r="R1340"/>
  <c r="R1339"/>
  <c r="R1338"/>
  <c r="R1337"/>
  <c r="R1336"/>
  <c r="R1335"/>
  <c r="R1334"/>
  <c r="R1333"/>
  <c r="R1332"/>
  <c r="R1331"/>
  <c r="R1330"/>
  <c r="R1329"/>
  <c r="R1328"/>
  <c r="R1327"/>
  <c r="R1326"/>
  <c r="R1325"/>
  <c r="R1324"/>
  <c r="R1323"/>
  <c r="R1322"/>
  <c r="R1321"/>
  <c r="R1320"/>
  <c r="R1319"/>
  <c r="R1318"/>
  <c r="R1317"/>
  <c r="R1316"/>
  <c r="R1315"/>
  <c r="R1314"/>
  <c r="R1313"/>
  <c r="R1312"/>
  <c r="R1311"/>
  <c r="R1310"/>
  <c r="R1309"/>
  <c r="R1308"/>
  <c r="R1307"/>
  <c r="R1306"/>
  <c r="R1305"/>
  <c r="R1304"/>
  <c r="R1303"/>
  <c r="R1302"/>
  <c r="R1301"/>
  <c r="R1300"/>
  <c r="R1299"/>
  <c r="R1298"/>
  <c r="R1297"/>
  <c r="R1296"/>
  <c r="R1295"/>
  <c r="R1294"/>
  <c r="R1293"/>
  <c r="R1292"/>
  <c r="R1291"/>
  <c r="R1290"/>
  <c r="R1289"/>
  <c r="R1288"/>
  <c r="R1287"/>
  <c r="R1286"/>
  <c r="R1285"/>
  <c r="R1284"/>
  <c r="R1283"/>
  <c r="R1282"/>
  <c r="R1281"/>
  <c r="R1280"/>
  <c r="R1279"/>
  <c r="R1278"/>
  <c r="R1277"/>
  <c r="R1276"/>
  <c r="R1275"/>
  <c r="R1274"/>
  <c r="R1273"/>
  <c r="R1272"/>
  <c r="R1271"/>
  <c r="R1270"/>
  <c r="R1269"/>
  <c r="R1268"/>
  <c r="R1267"/>
  <c r="R1266"/>
  <c r="R1265"/>
  <c r="R1264"/>
  <c r="R1263"/>
  <c r="R1262"/>
  <c r="R1261"/>
  <c r="R1260"/>
  <c r="R1259"/>
  <c r="R1258"/>
  <c r="R1257"/>
  <c r="R1256"/>
  <c r="R1255"/>
  <c r="R1254"/>
  <c r="R1253"/>
  <c r="R1252"/>
  <c r="R1251"/>
  <c r="R1250"/>
  <c r="R1249"/>
  <c r="R1248"/>
  <c r="R1247"/>
  <c r="R1246"/>
  <c r="R1245"/>
  <c r="R1244"/>
  <c r="R1243"/>
  <c r="R1242"/>
  <c r="R1241"/>
  <c r="R1240"/>
  <c r="R1239"/>
  <c r="R1238"/>
  <c r="R1237"/>
  <c r="R1236"/>
  <c r="R1235"/>
  <c r="R1234"/>
  <c r="R1233"/>
  <c r="R1232"/>
  <c r="R1231"/>
  <c r="R1230"/>
  <c r="R1229"/>
  <c r="R1228"/>
  <c r="R1227"/>
  <c r="R1226"/>
  <c r="R1225"/>
  <c r="R1224"/>
  <c r="R1223"/>
  <c r="R1222"/>
  <c r="R1221"/>
  <c r="R1220"/>
  <c r="R1219"/>
  <c r="R1218"/>
  <c r="R1217"/>
  <c r="R1216"/>
  <c r="R1215"/>
  <c r="R1214"/>
  <c r="R1213"/>
  <c r="R1212"/>
  <c r="R1211"/>
  <c r="R1210"/>
  <c r="R1209"/>
  <c r="R1208"/>
  <c r="R1207"/>
  <c r="R1206"/>
  <c r="R1205"/>
  <c r="R1204"/>
  <c r="R1203"/>
  <c r="R1202"/>
  <c r="R1201"/>
  <c r="R1200"/>
  <c r="R1199"/>
  <c r="R1198"/>
  <c r="R1197"/>
  <c r="R1196"/>
  <c r="R1195"/>
  <c r="R1194"/>
  <c r="R1193"/>
  <c r="R1192"/>
  <c r="R1191"/>
  <c r="R1190"/>
  <c r="R1189"/>
  <c r="R1188"/>
  <c r="R1187"/>
  <c r="R1186"/>
  <c r="R1185"/>
  <c r="R1184"/>
  <c r="R1183"/>
  <c r="R1182"/>
  <c r="R1181"/>
  <c r="R1180"/>
  <c r="R1179"/>
  <c r="R1178"/>
  <c r="R1177"/>
  <c r="R1176"/>
  <c r="R1175"/>
  <c r="R1174"/>
  <c r="R1173"/>
  <c r="R1172"/>
  <c r="R1171"/>
  <c r="R1170"/>
  <c r="R1169"/>
  <c r="R1168"/>
  <c r="R1167"/>
  <c r="R1166"/>
  <c r="R1165"/>
  <c r="R1164"/>
  <c r="R1163"/>
  <c r="R1162"/>
  <c r="R1161"/>
  <c r="R1160"/>
  <c r="R1159"/>
  <c r="R1158"/>
  <c r="R1157"/>
  <c r="R1156"/>
  <c r="R1155"/>
  <c r="R1154"/>
  <c r="R1153"/>
  <c r="R1152"/>
  <c r="R1151"/>
  <c r="R1150"/>
  <c r="R1149"/>
  <c r="R1148"/>
  <c r="R1147"/>
  <c r="R1146"/>
  <c r="R1145"/>
  <c r="R1144"/>
  <c r="R1143"/>
  <c r="R1142"/>
  <c r="R1141"/>
  <c r="R1140"/>
  <c r="R1139"/>
  <c r="R1138"/>
  <c r="R1137"/>
  <c r="R1136"/>
  <c r="R1135"/>
  <c r="R1134"/>
  <c r="R1133"/>
  <c r="R1132"/>
  <c r="R1131"/>
  <c r="R1130"/>
  <c r="R1129"/>
  <c r="R1128"/>
  <c r="R1127"/>
  <c r="R1126"/>
  <c r="R1125"/>
  <c r="R1124"/>
  <c r="R1123"/>
  <c r="R1122"/>
  <c r="R1121"/>
  <c r="R1120"/>
  <c r="R1119"/>
  <c r="R1118"/>
  <c r="R1117"/>
  <c r="R1116"/>
  <c r="R1115"/>
  <c r="R1114"/>
  <c r="R1113"/>
  <c r="R1112"/>
  <c r="R1111"/>
  <c r="R1110"/>
  <c r="R1109"/>
  <c r="R1108"/>
  <c r="R1107"/>
  <c r="R1106"/>
  <c r="R1105"/>
  <c r="R1104"/>
  <c r="R1103"/>
  <c r="R1102"/>
  <c r="R1101"/>
  <c r="R1100"/>
  <c r="R1099"/>
  <c r="R1098"/>
  <c r="R1097"/>
  <c r="R1096"/>
  <c r="R1095"/>
  <c r="R1094"/>
  <c r="R1093"/>
  <c r="R1092"/>
  <c r="R1091"/>
  <c r="R1090"/>
  <c r="R1089"/>
  <c r="R1088"/>
  <c r="R1087"/>
  <c r="R1086"/>
  <c r="R1085"/>
  <c r="R1084"/>
  <c r="R1083"/>
  <c r="R1082"/>
  <c r="R1081"/>
  <c r="R1080"/>
  <c r="R1079"/>
  <c r="R1078"/>
  <c r="R1077"/>
  <c r="R1076"/>
  <c r="R1075"/>
  <c r="R1074"/>
  <c r="R1073"/>
  <c r="R1072"/>
  <c r="R1071"/>
  <c r="R1070"/>
  <c r="R1069"/>
  <c r="R1068"/>
  <c r="R1067"/>
  <c r="R1066"/>
  <c r="R1065"/>
  <c r="R1064"/>
  <c r="R1063"/>
  <c r="R1062"/>
  <c r="R1061"/>
  <c r="R1060"/>
  <c r="R1059"/>
  <c r="R1058"/>
  <c r="R1057"/>
  <c r="R1056"/>
  <c r="R1055"/>
  <c r="R1054"/>
  <c r="R1053"/>
  <c r="R1052"/>
  <c r="R1051"/>
  <c r="R1050"/>
  <c r="R1049"/>
  <c r="R1048"/>
  <c r="R1047"/>
  <c r="R1046"/>
  <c r="R1045"/>
  <c r="R1044"/>
  <c r="R1043"/>
  <c r="R1042"/>
  <c r="R1041"/>
  <c r="R1040"/>
  <c r="R1039"/>
  <c r="R1038"/>
  <c r="R1037"/>
  <c r="R1036"/>
  <c r="R1035"/>
  <c r="R1034"/>
  <c r="R1033"/>
  <c r="R1032"/>
  <c r="R1031"/>
  <c r="R1030"/>
  <c r="R1029"/>
  <c r="R1028"/>
  <c r="R1027"/>
  <c r="R1026"/>
  <c r="R1025"/>
  <c r="R1024"/>
  <c r="R1023"/>
  <c r="R1022"/>
  <c r="R1021"/>
  <c r="R1020"/>
  <c r="R1019"/>
  <c r="R1018"/>
  <c r="R1017"/>
  <c r="R1016"/>
  <c r="R1015"/>
  <c r="R1014"/>
  <c r="R1013"/>
  <c r="R1012"/>
  <c r="R1011"/>
  <c r="R1010"/>
  <c r="R1009"/>
  <c r="R1008"/>
  <c r="R1007"/>
  <c r="R1006"/>
  <c r="R1005"/>
  <c r="R1004"/>
  <c r="R1003"/>
  <c r="R1002"/>
  <c r="R1001"/>
  <c r="R1000"/>
  <c r="R999"/>
  <c r="R998"/>
  <c r="R997"/>
  <c r="R996"/>
  <c r="R995"/>
  <c r="R994"/>
  <c r="R993"/>
  <c r="R992"/>
  <c r="R991"/>
  <c r="R990"/>
  <c r="R989"/>
  <c r="R988"/>
  <c r="R987"/>
  <c r="R986"/>
  <c r="R985"/>
  <c r="R984"/>
  <c r="R983"/>
  <c r="R982"/>
  <c r="R981"/>
  <c r="R980"/>
  <c r="R979"/>
  <c r="R978"/>
  <c r="R977"/>
  <c r="R976"/>
  <c r="R975"/>
  <c r="R974"/>
  <c r="R973"/>
  <c r="R972"/>
  <c r="R971"/>
  <c r="R970"/>
  <c r="R969"/>
  <c r="R968"/>
  <c r="R967"/>
  <c r="R966"/>
  <c r="R965"/>
  <c r="R964"/>
  <c r="R963"/>
  <c r="R962"/>
  <c r="R961"/>
  <c r="R960"/>
  <c r="R959"/>
  <c r="R958"/>
  <c r="R957"/>
  <c r="R956"/>
  <c r="R955"/>
  <c r="R954"/>
  <c r="R953"/>
  <c r="R952"/>
  <c r="R951"/>
  <c r="R950"/>
  <c r="R949"/>
  <c r="R948"/>
  <c r="R947"/>
  <c r="R946"/>
  <c r="R945"/>
  <c r="R944"/>
  <c r="R943"/>
  <c r="R942"/>
  <c r="R941"/>
  <c r="R940"/>
  <c r="R939"/>
  <c r="R938"/>
  <c r="R937"/>
  <c r="R936"/>
  <c r="R935"/>
  <c r="R934"/>
  <c r="R933"/>
  <c r="R932"/>
  <c r="R931"/>
  <c r="R930"/>
  <c r="R929"/>
  <c r="R928"/>
  <c r="R927"/>
  <c r="R926"/>
  <c r="R925"/>
  <c r="R924"/>
  <c r="R923"/>
  <c r="R922"/>
  <c r="R921"/>
  <c r="R920"/>
  <c r="R919"/>
  <c r="R918"/>
  <c r="R917"/>
  <c r="R916"/>
  <c r="R915"/>
  <c r="R914"/>
  <c r="R913"/>
  <c r="R912"/>
  <c r="R911"/>
  <c r="R910"/>
  <c r="R909"/>
  <c r="R908"/>
  <c r="R907"/>
  <c r="R906"/>
  <c r="R905"/>
  <c r="R904"/>
  <c r="R903"/>
  <c r="R902"/>
  <c r="R901"/>
  <c r="R900"/>
  <c r="R899"/>
  <c r="R898"/>
  <c r="R897"/>
  <c r="R896"/>
  <c r="R895"/>
  <c r="R894"/>
  <c r="R893"/>
  <c r="R892"/>
  <c r="R891"/>
  <c r="R890"/>
  <c r="R889"/>
  <c r="R888"/>
  <c r="R887"/>
  <c r="R886"/>
  <c r="R885"/>
  <c r="R884"/>
  <c r="R883"/>
  <c r="R882"/>
  <c r="R881"/>
  <c r="R880"/>
  <c r="R879"/>
  <c r="R878"/>
  <c r="R877"/>
  <c r="R876"/>
  <c r="R875"/>
  <c r="R874"/>
  <c r="R873"/>
  <c r="R872"/>
  <c r="R871"/>
  <c r="R870"/>
  <c r="R869"/>
  <c r="R868"/>
  <c r="R867"/>
  <c r="R866"/>
  <c r="R865"/>
  <c r="R864"/>
  <c r="R863"/>
  <c r="R862"/>
  <c r="R861"/>
  <c r="R860"/>
  <c r="R859"/>
  <c r="R858"/>
  <c r="R857"/>
  <c r="R856"/>
  <c r="R855"/>
  <c r="R854"/>
  <c r="R853"/>
  <c r="R852"/>
  <c r="R851"/>
  <c r="R850"/>
  <c r="R849"/>
  <c r="R848"/>
  <c r="R847"/>
  <c r="R846"/>
  <c r="R845"/>
  <c r="R844"/>
  <c r="R843"/>
  <c r="R842"/>
  <c r="R841"/>
  <c r="R840"/>
  <c r="R839"/>
  <c r="R838"/>
  <c r="R837"/>
  <c r="R836"/>
  <c r="R835"/>
  <c r="R834"/>
  <c r="R833"/>
  <c r="R832"/>
  <c r="R831"/>
  <c r="R830"/>
  <c r="R829"/>
  <c r="R828"/>
  <c r="R827"/>
  <c r="R826"/>
  <c r="R825"/>
  <c r="R824"/>
  <c r="R823"/>
  <c r="R822"/>
  <c r="R821"/>
  <c r="R820"/>
  <c r="R819"/>
  <c r="R818"/>
  <c r="R817"/>
  <c r="R816"/>
  <c r="R815"/>
  <c r="R814"/>
  <c r="R813"/>
  <c r="R812"/>
  <c r="R811"/>
  <c r="R810"/>
  <c r="R809"/>
  <c r="R808"/>
  <c r="R807"/>
  <c r="R806"/>
  <c r="R805"/>
  <c r="R804"/>
  <c r="R803"/>
  <c r="R802"/>
  <c r="R801"/>
  <c r="R800"/>
  <c r="R799"/>
  <c r="R798"/>
  <c r="R797"/>
  <c r="R796"/>
  <c r="R795"/>
  <c r="R794"/>
  <c r="R793"/>
  <c r="R792"/>
  <c r="R791"/>
  <c r="R790"/>
  <c r="R789"/>
  <c r="R788"/>
  <c r="R787"/>
  <c r="R786"/>
  <c r="R785"/>
  <c r="R784"/>
  <c r="R783"/>
  <c r="R782"/>
  <c r="R781"/>
  <c r="R780"/>
  <c r="R779"/>
  <c r="R778"/>
  <c r="R777"/>
  <c r="R776"/>
  <c r="R775"/>
  <c r="R774"/>
  <c r="R773"/>
  <c r="R772"/>
  <c r="R771"/>
  <c r="R770"/>
  <c r="R769"/>
  <c r="R768"/>
  <c r="R767"/>
  <c r="R766"/>
  <c r="R765"/>
  <c r="R764"/>
  <c r="R763"/>
  <c r="R762"/>
  <c r="R761"/>
  <c r="R760"/>
  <c r="R759"/>
  <c r="R758"/>
  <c r="R757"/>
  <c r="R756"/>
  <c r="R755"/>
  <c r="R754"/>
  <c r="R753"/>
  <c r="R752"/>
  <c r="R751"/>
  <c r="R750"/>
  <c r="R749"/>
  <c r="R748"/>
  <c r="R747"/>
  <c r="R746"/>
  <c r="R745"/>
  <c r="R744"/>
  <c r="R743"/>
  <c r="R742"/>
  <c r="R741"/>
  <c r="R740"/>
  <c r="R739"/>
  <c r="R738"/>
  <c r="R737"/>
  <c r="R736"/>
  <c r="R735"/>
  <c r="R734"/>
  <c r="R733"/>
  <c r="R732"/>
  <c r="R731"/>
  <c r="R730"/>
  <c r="R729"/>
  <c r="R728"/>
  <c r="R727"/>
  <c r="R726"/>
  <c r="R725"/>
  <c r="R724"/>
  <c r="R723"/>
  <c r="R722"/>
  <c r="R721"/>
  <c r="R720"/>
  <c r="R719"/>
  <c r="R718"/>
  <c r="R717"/>
  <c r="R716"/>
  <c r="R715"/>
  <c r="R714"/>
  <c r="R713"/>
  <c r="R712"/>
  <c r="R711"/>
  <c r="R710"/>
  <c r="R709"/>
  <c r="R708"/>
  <c r="R707"/>
  <c r="R706"/>
  <c r="R705"/>
  <c r="R704"/>
  <c r="R703"/>
  <c r="R702"/>
  <c r="R701"/>
  <c r="R700"/>
  <c r="R699"/>
  <c r="R698"/>
  <c r="R697"/>
  <c r="R696"/>
  <c r="R695"/>
  <c r="R694"/>
  <c r="R693"/>
  <c r="R692"/>
  <c r="R691"/>
  <c r="R690"/>
  <c r="R689"/>
  <c r="R688"/>
  <c r="R687"/>
  <c r="R686"/>
  <c r="R685"/>
  <c r="R684"/>
  <c r="R683"/>
  <c r="R682"/>
  <c r="R681"/>
  <c r="R680"/>
  <c r="R679"/>
  <c r="R678"/>
  <c r="R677"/>
  <c r="R676"/>
  <c r="R675"/>
  <c r="R674"/>
  <c r="R673"/>
  <c r="R672"/>
  <c r="R671"/>
  <c r="R670"/>
  <c r="R669"/>
  <c r="R668"/>
  <c r="R667"/>
  <c r="R666"/>
  <c r="R665"/>
  <c r="R664"/>
  <c r="R663"/>
  <c r="R662"/>
  <c r="R661"/>
  <c r="R660"/>
  <c r="R659"/>
  <c r="R658"/>
  <c r="R657"/>
  <c r="R656"/>
  <c r="R655"/>
  <c r="R654"/>
  <c r="R653"/>
  <c r="R652"/>
  <c r="R651"/>
  <c r="R650"/>
  <c r="R649"/>
  <c r="R648"/>
  <c r="R647"/>
  <c r="R646"/>
  <c r="R645"/>
  <c r="R644"/>
  <c r="R643"/>
  <c r="R642"/>
  <c r="R641"/>
  <c r="R640"/>
  <c r="R639"/>
  <c r="R638"/>
  <c r="R637"/>
  <c r="R636"/>
  <c r="R635"/>
  <c r="R634"/>
  <c r="R633"/>
  <c r="R632"/>
  <c r="R631"/>
  <c r="R630"/>
  <c r="R629"/>
  <c r="R628"/>
  <c r="R627"/>
  <c r="R626"/>
  <c r="R625"/>
  <c r="R624"/>
  <c r="R623"/>
  <c r="R622"/>
  <c r="R621"/>
  <c r="R620"/>
  <c r="R619"/>
  <c r="R618"/>
  <c r="R617"/>
  <c r="R616"/>
  <c r="R615"/>
  <c r="R614"/>
  <c r="R613"/>
  <c r="R612"/>
  <c r="R611"/>
  <c r="R610"/>
  <c r="R609"/>
  <c r="R608"/>
  <c r="R607"/>
  <c r="R606"/>
  <c r="R605"/>
  <c r="R604"/>
  <c r="R603"/>
  <c r="R602"/>
  <c r="R601"/>
  <c r="R600"/>
  <c r="R599"/>
  <c r="R598"/>
  <c r="R597"/>
  <c r="R596"/>
  <c r="R595"/>
  <c r="R594"/>
  <c r="R593"/>
  <c r="R592"/>
  <c r="R591"/>
  <c r="R590"/>
  <c r="R589"/>
  <c r="R588"/>
  <c r="R587"/>
  <c r="R586"/>
  <c r="R585"/>
  <c r="R584"/>
  <c r="R583"/>
  <c r="R582"/>
  <c r="R581"/>
  <c r="R580"/>
  <c r="R579"/>
  <c r="R578"/>
  <c r="R577"/>
  <c r="R576"/>
  <c r="R575"/>
  <c r="R574"/>
  <c r="R573"/>
  <c r="R572"/>
  <c r="R571"/>
  <c r="R570"/>
  <c r="R569"/>
  <c r="R568"/>
  <c r="R567"/>
  <c r="R566"/>
  <c r="R565"/>
  <c r="R564"/>
  <c r="R563"/>
  <c r="R562"/>
  <c r="R561"/>
  <c r="R560"/>
  <c r="R559"/>
  <c r="R558"/>
  <c r="R557"/>
  <c r="R556"/>
  <c r="R555"/>
  <c r="R554"/>
  <c r="R553"/>
  <c r="R552"/>
  <c r="R551"/>
  <c r="R550"/>
  <c r="R549"/>
  <c r="R548"/>
  <c r="R547"/>
  <c r="R546"/>
  <c r="R545"/>
  <c r="R544"/>
  <c r="R543"/>
  <c r="R542"/>
  <c r="R541"/>
  <c r="R540"/>
  <c r="R539"/>
  <c r="R538"/>
  <c r="R537"/>
  <c r="R536"/>
  <c r="R535"/>
  <c r="R534"/>
  <c r="R533"/>
  <c r="R532"/>
  <c r="R531"/>
  <c r="R530"/>
  <c r="R529"/>
  <c r="R528"/>
  <c r="R527"/>
  <c r="R526"/>
  <c r="R525"/>
  <c r="R524"/>
  <c r="R523"/>
  <c r="R522"/>
  <c r="R521"/>
  <c r="R520"/>
  <c r="R519"/>
  <c r="R518"/>
  <c r="R517"/>
  <c r="R516"/>
  <c r="R515"/>
  <c r="R514"/>
  <c r="R513"/>
  <c r="R512"/>
  <c r="R511"/>
  <c r="R510"/>
  <c r="R509"/>
  <c r="R508"/>
  <c r="R507"/>
  <c r="R506"/>
  <c r="R505"/>
  <c r="R504"/>
  <c r="R503"/>
  <c r="R502"/>
  <c r="R501"/>
  <c r="R500"/>
  <c r="R499"/>
  <c r="R498"/>
  <c r="R497"/>
  <c r="R496"/>
  <c r="R495"/>
  <c r="R494"/>
  <c r="R493"/>
  <c r="R492"/>
  <c r="R491"/>
  <c r="R490"/>
  <c r="R489"/>
  <c r="R488"/>
  <c r="R487"/>
  <c r="R486"/>
  <c r="R485"/>
  <c r="R484"/>
  <c r="R483"/>
  <c r="R482"/>
  <c r="R481"/>
  <c r="R480"/>
  <c r="R479"/>
  <c r="R478"/>
  <c r="R477"/>
  <c r="R476"/>
  <c r="R475"/>
  <c r="R474"/>
  <c r="R473"/>
  <c r="R472"/>
  <c r="R471"/>
  <c r="R470"/>
  <c r="R469"/>
  <c r="R468"/>
  <c r="R467"/>
  <c r="R466"/>
  <c r="R465"/>
  <c r="R464"/>
  <c r="R463"/>
  <c r="R462"/>
  <c r="R461"/>
  <c r="R460"/>
  <c r="R459"/>
  <c r="R458"/>
  <c r="R457"/>
  <c r="R456"/>
  <c r="R455"/>
  <c r="R454"/>
  <c r="R453"/>
  <c r="R452"/>
  <c r="R451"/>
  <c r="R450"/>
  <c r="R449"/>
  <c r="R448"/>
  <c r="R447"/>
  <c r="R446"/>
  <c r="R445"/>
  <c r="R444"/>
  <c r="R443"/>
  <c r="R442"/>
  <c r="R441"/>
  <c r="R440"/>
  <c r="R439"/>
  <c r="R438"/>
  <c r="R437"/>
  <c r="R436"/>
  <c r="R435"/>
  <c r="R434"/>
  <c r="R433"/>
  <c r="R432"/>
  <c r="R431"/>
  <c r="R430"/>
  <c r="R429"/>
  <c r="R428"/>
  <c r="R427"/>
  <c r="R426"/>
  <c r="R425"/>
  <c r="R424"/>
  <c r="R423"/>
  <c r="R422"/>
  <c r="R421"/>
  <c r="R420"/>
  <c r="R419"/>
  <c r="R418"/>
  <c r="R417"/>
  <c r="R416"/>
  <c r="R415"/>
  <c r="R414"/>
  <c r="R413"/>
  <c r="R412"/>
  <c r="R411"/>
  <c r="R410"/>
  <c r="R409"/>
  <c r="R408"/>
  <c r="R407"/>
  <c r="R406"/>
  <c r="R405"/>
  <c r="R404"/>
  <c r="R403"/>
  <c r="R402"/>
  <c r="R401"/>
  <c r="R400"/>
  <c r="R399"/>
  <c r="R398"/>
  <c r="R397"/>
  <c r="R396"/>
  <c r="R395"/>
  <c r="R394"/>
  <c r="R393"/>
  <c r="R392"/>
  <c r="R391"/>
  <c r="R390"/>
  <c r="R389"/>
  <c r="R388"/>
  <c r="R387"/>
  <c r="R386"/>
  <c r="R385"/>
  <c r="R384"/>
  <c r="R383"/>
  <c r="R382"/>
  <c r="R381"/>
  <c r="R380"/>
  <c r="R379"/>
  <c r="R378"/>
  <c r="R377"/>
  <c r="R376"/>
  <c r="R375"/>
  <c r="R374"/>
  <c r="R373"/>
  <c r="R372"/>
  <c r="R371"/>
  <c r="R370"/>
  <c r="R369"/>
  <c r="R368"/>
  <c r="R367"/>
  <c r="R366"/>
  <c r="R365"/>
  <c r="R364"/>
  <c r="R363"/>
  <c r="R362"/>
  <c r="R361"/>
  <c r="R360"/>
  <c r="R359"/>
  <c r="R358"/>
  <c r="R357"/>
  <c r="R356"/>
  <c r="R355"/>
  <c r="R354"/>
  <c r="R353"/>
  <c r="R352"/>
  <c r="R351"/>
  <c r="R350"/>
  <c r="R349"/>
  <c r="R348"/>
  <c r="R347"/>
  <c r="R346"/>
  <c r="R345"/>
  <c r="R344"/>
  <c r="R343"/>
  <c r="R342"/>
  <c r="R341"/>
  <c r="R340"/>
  <c r="R339"/>
  <c r="R338"/>
  <c r="R337"/>
  <c r="R336"/>
  <c r="R335"/>
  <c r="R334"/>
  <c r="R333"/>
  <c r="R332"/>
  <c r="R331"/>
  <c r="R330"/>
  <c r="R329"/>
  <c r="R328"/>
  <c r="R327"/>
  <c r="R326"/>
  <c r="R325"/>
  <c r="R324"/>
  <c r="R323"/>
  <c r="R322"/>
  <c r="R321"/>
  <c r="R320"/>
  <c r="R319"/>
  <c r="R318"/>
  <c r="R317"/>
  <c r="R316"/>
  <c r="R315"/>
  <c r="R314"/>
  <c r="R313"/>
  <c r="R312"/>
  <c r="R311"/>
  <c r="R310"/>
  <c r="R309"/>
  <c r="R308"/>
  <c r="R307"/>
  <c r="R306"/>
  <c r="R305"/>
  <c r="R304"/>
  <c r="R303"/>
  <c r="R302"/>
  <c r="R301"/>
  <c r="R300"/>
  <c r="R299"/>
  <c r="R298"/>
  <c r="R297"/>
  <c r="R296"/>
  <c r="R295"/>
  <c r="R294"/>
  <c r="R293"/>
  <c r="R292"/>
  <c r="R291"/>
  <c r="R290"/>
  <c r="R289"/>
  <c r="R288"/>
  <c r="R287"/>
  <c r="R286"/>
  <c r="R285"/>
  <c r="R284"/>
  <c r="R283"/>
  <c r="R282"/>
  <c r="R281"/>
  <c r="R280"/>
  <c r="R279"/>
  <c r="R278"/>
  <c r="R277"/>
  <c r="R276"/>
  <c r="R275"/>
  <c r="R274"/>
  <c r="R273"/>
  <c r="R272"/>
  <c r="R271"/>
  <c r="R270"/>
  <c r="R269"/>
  <c r="R268"/>
  <c r="R267"/>
  <c r="R266"/>
  <c r="R265"/>
  <c r="R264"/>
  <c r="R263"/>
  <c r="R262"/>
  <c r="R261"/>
  <c r="R260"/>
  <c r="R259"/>
  <c r="R258"/>
  <c r="R257"/>
  <c r="R256"/>
  <c r="R255"/>
  <c r="R254"/>
  <c r="R253"/>
  <c r="R252"/>
  <c r="R251"/>
  <c r="R250"/>
  <c r="R249"/>
  <c r="R248"/>
  <c r="R247"/>
  <c r="R246"/>
  <c r="R245"/>
  <c r="R244"/>
  <c r="R243"/>
  <c r="R242"/>
  <c r="R241"/>
  <c r="R240"/>
  <c r="R239"/>
  <c r="R238"/>
  <c r="R237"/>
  <c r="R236"/>
  <c r="R235"/>
  <c r="R234"/>
  <c r="R233"/>
  <c r="R232"/>
  <c r="R231"/>
  <c r="R230"/>
  <c r="R229"/>
  <c r="R228"/>
  <c r="R227"/>
  <c r="R226"/>
  <c r="R225"/>
  <c r="R224"/>
  <c r="R223"/>
  <c r="R222"/>
  <c r="R221"/>
  <c r="R220"/>
  <c r="R219"/>
  <c r="R218"/>
  <c r="R217"/>
  <c r="R216"/>
  <c r="R215"/>
  <c r="R214"/>
  <c r="R213"/>
  <c r="R212"/>
  <c r="R211"/>
  <c r="R210"/>
  <c r="R209"/>
  <c r="R208"/>
  <c r="R207"/>
  <c r="R206"/>
  <c r="R205"/>
  <c r="R204"/>
  <c r="R203"/>
  <c r="R202"/>
  <c r="R201"/>
  <c r="R200"/>
  <c r="R199"/>
  <c r="R198"/>
  <c r="R197"/>
  <c r="R196"/>
  <c r="R195"/>
  <c r="R194"/>
  <c r="R193"/>
  <c r="R192"/>
  <c r="R191"/>
  <c r="R190"/>
  <c r="R189"/>
  <c r="R188"/>
  <c r="R187"/>
  <c r="R186"/>
  <c r="R185"/>
  <c r="R184"/>
  <c r="R183"/>
  <c r="R182"/>
  <c r="R181"/>
  <c r="R180"/>
  <c r="R179"/>
  <c r="R178"/>
  <c r="R177"/>
  <c r="R176"/>
  <c r="R175"/>
  <c r="R174"/>
  <c r="R173"/>
  <c r="R172"/>
  <c r="R171"/>
  <c r="R170"/>
  <c r="R169"/>
  <c r="R168"/>
  <c r="R167"/>
  <c r="R166"/>
  <c r="R165"/>
  <c r="R164"/>
  <c r="R163"/>
  <c r="R162"/>
  <c r="R161"/>
  <c r="R160"/>
  <c r="R159"/>
  <c r="R158"/>
  <c r="R157"/>
  <c r="R156"/>
  <c r="R155"/>
  <c r="R154"/>
  <c r="R153"/>
  <c r="R152"/>
  <c r="R151"/>
  <c r="R150"/>
  <c r="R149"/>
  <c r="R148"/>
  <c r="R147"/>
  <c r="R146"/>
  <c r="R145"/>
  <c r="R144"/>
  <c r="R143"/>
  <c r="R142"/>
  <c r="R141"/>
  <c r="R140"/>
  <c r="R139"/>
  <c r="R138"/>
  <c r="R137"/>
  <c r="R136"/>
  <c r="R135"/>
  <c r="R134"/>
  <c r="R133"/>
  <c r="R132"/>
  <c r="R131"/>
  <c r="R130"/>
  <c r="R129"/>
  <c r="R128"/>
  <c r="R127"/>
  <c r="R126"/>
  <c r="R125"/>
  <c r="R124"/>
  <c r="R123"/>
  <c r="R122"/>
  <c r="R121"/>
  <c r="R120"/>
  <c r="R119"/>
  <c r="R118"/>
  <c r="R117"/>
  <c r="R116"/>
  <c r="R115"/>
  <c r="R114"/>
  <c r="R113"/>
  <c r="R112"/>
  <c r="R111"/>
  <c r="R110"/>
  <c r="R109"/>
  <c r="R108"/>
  <c r="R107"/>
  <c r="R106"/>
  <c r="R105"/>
  <c r="R104"/>
  <c r="R103"/>
  <c r="R102"/>
  <c r="R101"/>
  <c r="R100"/>
  <c r="R99"/>
  <c r="R98"/>
  <c r="R97"/>
  <c r="R96"/>
  <c r="R95"/>
  <c r="R94"/>
  <c r="R93"/>
  <c r="R92"/>
  <c r="R91"/>
  <c r="R90"/>
  <c r="R89"/>
  <c r="R88"/>
  <c r="R87"/>
  <c r="R86"/>
  <c r="R85"/>
  <c r="R84"/>
  <c r="R83"/>
  <c r="R82"/>
  <c r="R81"/>
  <c r="R80"/>
  <c r="R79"/>
  <c r="R78"/>
  <c r="R77"/>
  <c r="R76"/>
  <c r="R75"/>
  <c r="R74"/>
  <c r="R73"/>
  <c r="R72"/>
  <c r="R71"/>
  <c r="R70"/>
  <c r="R69"/>
  <c r="R68"/>
  <c r="R67"/>
  <c r="R66"/>
  <c r="R65"/>
  <c r="R64"/>
  <c r="R63"/>
  <c r="R62"/>
  <c r="R61"/>
  <c r="R60"/>
  <c r="R59"/>
  <c r="R58"/>
  <c r="R57"/>
  <c r="R56"/>
  <c r="R55"/>
  <c r="R54"/>
  <c r="R53"/>
  <c r="R52"/>
  <c r="R51"/>
  <c r="R50"/>
  <c r="R49"/>
  <c r="R48"/>
  <c r="R47"/>
  <c r="R46"/>
  <c r="R45"/>
  <c r="R44"/>
  <c r="R43"/>
  <c r="R42"/>
  <c r="R41"/>
  <c r="R40"/>
  <c r="R39"/>
  <c r="R38"/>
  <c r="R37"/>
  <c r="R36"/>
  <c r="R35"/>
  <c r="R34"/>
  <c r="R33"/>
  <c r="R32"/>
  <c r="R31"/>
  <c r="R30"/>
  <c r="R29"/>
  <c r="R28"/>
  <c r="R27"/>
  <c r="R26"/>
  <c r="R25"/>
  <c r="R24"/>
  <c r="R23"/>
  <c r="R22"/>
  <c r="R21"/>
  <c r="R20"/>
  <c r="R19"/>
  <c r="R18"/>
  <c r="R17"/>
  <c r="R16"/>
  <c r="R15"/>
  <c r="R14"/>
  <c r="R13"/>
  <c r="R12"/>
  <c r="R11"/>
  <c r="R10"/>
  <c r="R9"/>
  <c r="R8"/>
  <c r="R7"/>
  <c r="R6"/>
  <c r="R5"/>
  <c r="R4"/>
  <c r="R3"/>
  <c r="I4225"/>
  <c r="I3968"/>
  <c r="I3772"/>
  <c r="I3716"/>
  <c r="I2891"/>
  <c r="I2848"/>
  <c r="I2770"/>
  <c r="I2698"/>
  <c r="I2545"/>
  <c r="I1689"/>
  <c r="I1628"/>
  <c r="I793"/>
  <c r="I40"/>
  <c r="I4224"/>
  <c r="I4223"/>
  <c r="I4222"/>
  <c r="I4221"/>
  <c r="I4220"/>
  <c r="I4219"/>
  <c r="I4218"/>
  <c r="I4217"/>
  <c r="I4216"/>
  <c r="I4215"/>
  <c r="I4214"/>
  <c r="I4213"/>
  <c r="I4212"/>
  <c r="I4211"/>
  <c r="I4210"/>
  <c r="I4209"/>
  <c r="I4208"/>
  <c r="I4207"/>
  <c r="I4206"/>
  <c r="I4205"/>
  <c r="I4204"/>
  <c r="I4203"/>
  <c r="I4202"/>
  <c r="I4201"/>
  <c r="I4200"/>
  <c r="I4199"/>
  <c r="I4198"/>
  <c r="I4197"/>
  <c r="I4196"/>
  <c r="I4195"/>
  <c r="I4194"/>
  <c r="I4193"/>
  <c r="I4192"/>
  <c r="I4191"/>
  <c r="I4190"/>
  <c r="I4189"/>
  <c r="I4188"/>
  <c r="I4187"/>
  <c r="I4186"/>
  <c r="I4185"/>
  <c r="I4184"/>
  <c r="I4183"/>
  <c r="I4182"/>
  <c r="I4181"/>
  <c r="I4180"/>
  <c r="I4179"/>
  <c r="I4178"/>
  <c r="I4177"/>
  <c r="I4176"/>
  <c r="I4175"/>
  <c r="I4174"/>
  <c r="I4173"/>
  <c r="I4172"/>
  <c r="I4171"/>
  <c r="I4170"/>
  <c r="I4169"/>
  <c r="I4168"/>
  <c r="I4167"/>
  <c r="I4166"/>
  <c r="I4165"/>
  <c r="I4164"/>
  <c r="I4163"/>
  <c r="I4162"/>
  <c r="I4161"/>
  <c r="I4160"/>
  <c r="I4159"/>
  <c r="I4158"/>
  <c r="I4157"/>
  <c r="I4156"/>
  <c r="I4155"/>
  <c r="I4154"/>
  <c r="I4153"/>
  <c r="I4152"/>
  <c r="I4151"/>
  <c r="I4150"/>
  <c r="I4149"/>
  <c r="I4148"/>
  <c r="I4147"/>
  <c r="I4146"/>
  <c r="I4145"/>
  <c r="I4144"/>
  <c r="I4143"/>
  <c r="I4142"/>
  <c r="I4141"/>
  <c r="I4140"/>
  <c r="I4139"/>
  <c r="I4138"/>
  <c r="I4137"/>
  <c r="I4136"/>
  <c r="I4135"/>
  <c r="I4134"/>
  <c r="I4133"/>
  <c r="I4132"/>
  <c r="I4131"/>
  <c r="I4130"/>
  <c r="I4129"/>
  <c r="I4128"/>
  <c r="I4127"/>
  <c r="I4126"/>
  <c r="I4125"/>
  <c r="I4124"/>
  <c r="I4123"/>
  <c r="I4122"/>
  <c r="I4121"/>
  <c r="I4120"/>
  <c r="I4119"/>
  <c r="I4118"/>
  <c r="I4117"/>
  <c r="I4116"/>
  <c r="I4115"/>
  <c r="I4114"/>
  <c r="I4113"/>
  <c r="I4112"/>
  <c r="I4111"/>
  <c r="I4110"/>
  <c r="I4109"/>
  <c r="I4108"/>
  <c r="I4107"/>
  <c r="I4106"/>
  <c r="I4105"/>
  <c r="I4104"/>
  <c r="I4103"/>
  <c r="I4102"/>
  <c r="I4101"/>
  <c r="I4100"/>
  <c r="I4099"/>
  <c r="I4098"/>
  <c r="I4097"/>
  <c r="I4096"/>
  <c r="I4095"/>
  <c r="I4094"/>
  <c r="I4093"/>
  <c r="I4092"/>
  <c r="I4091"/>
  <c r="I4090"/>
  <c r="I4089"/>
  <c r="I4088"/>
  <c r="I4087"/>
  <c r="I4086"/>
  <c r="I4085"/>
  <c r="I4084"/>
  <c r="I4083"/>
  <c r="I4082"/>
  <c r="I4081"/>
  <c r="I4080"/>
  <c r="I4079"/>
  <c r="I4078"/>
  <c r="I4077"/>
  <c r="I4076"/>
  <c r="I4075"/>
  <c r="I4074"/>
  <c r="I4073"/>
  <c r="I4072"/>
  <c r="I4071"/>
  <c r="I4070"/>
  <c r="I4069"/>
  <c r="I4068"/>
  <c r="I4067"/>
  <c r="I4066"/>
  <c r="I4065"/>
  <c r="I4064"/>
  <c r="I4063"/>
  <c r="I4062"/>
  <c r="I4061"/>
  <c r="I4060"/>
  <c r="I4059"/>
  <c r="I4058"/>
  <c r="I4057"/>
  <c r="I4056"/>
  <c r="I4055"/>
  <c r="I4054"/>
  <c r="I4053"/>
  <c r="I4052"/>
  <c r="I4051"/>
  <c r="I4050"/>
  <c r="I4049"/>
  <c r="I4048"/>
  <c r="I4047"/>
  <c r="I4046"/>
  <c r="I4045"/>
  <c r="I4044"/>
  <c r="I4043"/>
  <c r="I4042"/>
  <c r="I4041"/>
  <c r="I4040"/>
  <c r="I4039"/>
  <c r="I4038"/>
  <c r="I4037"/>
  <c r="I4036"/>
  <c r="I4035"/>
  <c r="I4034"/>
  <c r="I4033"/>
  <c r="I4032"/>
  <c r="I4031"/>
  <c r="I4030"/>
  <c r="I4029"/>
  <c r="I4028"/>
  <c r="I4027"/>
  <c r="I4026"/>
  <c r="I4025"/>
  <c r="I4024"/>
  <c r="I4023"/>
  <c r="I4022"/>
  <c r="I4021"/>
  <c r="I4020"/>
  <c r="I4019"/>
  <c r="I4018"/>
  <c r="I4017"/>
  <c r="I4016"/>
  <c r="I4015"/>
  <c r="I4014"/>
  <c r="I4013"/>
  <c r="I4012"/>
  <c r="I4011"/>
  <c r="I4010"/>
  <c r="I4009"/>
  <c r="I4008"/>
  <c r="I4007"/>
  <c r="I4006"/>
  <c r="I4005"/>
  <c r="I4004"/>
  <c r="I4003"/>
  <c r="I4002"/>
  <c r="I4001"/>
  <c r="I4000"/>
  <c r="I3999"/>
  <c r="I3998"/>
  <c r="I3997"/>
  <c r="I3996"/>
  <c r="I3995"/>
  <c r="I3994"/>
  <c r="I3993"/>
  <c r="I3992"/>
  <c r="I3991"/>
  <c r="I3990"/>
  <c r="I3989"/>
  <c r="I3988"/>
  <c r="I3987"/>
  <c r="I3986"/>
  <c r="I3985"/>
  <c r="I3984"/>
  <c r="I3983"/>
  <c r="I3982"/>
  <c r="I3981"/>
  <c r="I3980"/>
  <c r="I3979"/>
  <c r="I3978"/>
  <c r="I3977"/>
  <c r="I3976"/>
  <c r="I3975"/>
  <c r="I3974"/>
  <c r="I3973"/>
  <c r="I3972"/>
  <c r="I3971"/>
  <c r="I3970"/>
  <c r="I3969"/>
  <c r="I3967"/>
  <c r="I3966"/>
  <c r="I3965"/>
  <c r="I3964"/>
  <c r="I3963"/>
  <c r="I3962"/>
  <c r="I3961"/>
  <c r="I3960"/>
  <c r="I3959"/>
  <c r="I3958"/>
  <c r="I3957"/>
  <c r="I3956"/>
  <c r="I3955"/>
  <c r="I3954"/>
  <c r="I3953"/>
  <c r="I3952"/>
  <c r="I3951"/>
  <c r="I3950"/>
  <c r="I3949"/>
  <c r="I3948"/>
  <c r="I3947"/>
  <c r="I3946"/>
  <c r="I3945"/>
  <c r="I3944"/>
  <c r="I3943"/>
  <c r="I3942"/>
  <c r="I3941"/>
  <c r="I3940"/>
  <c r="I3939"/>
  <c r="I3938"/>
  <c r="I3937"/>
  <c r="I3936"/>
  <c r="I3935"/>
  <c r="I3934"/>
  <c r="I3933"/>
  <c r="I3932"/>
  <c r="I3931"/>
  <c r="I3930"/>
  <c r="I3929"/>
  <c r="I3928"/>
  <c r="I3927"/>
  <c r="I3926"/>
  <c r="I3925"/>
  <c r="I3924"/>
  <c r="I3923"/>
  <c r="I3922"/>
  <c r="I3921"/>
  <c r="I3920"/>
  <c r="I3919"/>
  <c r="I3918"/>
  <c r="I3917"/>
  <c r="I3916"/>
  <c r="I3915"/>
  <c r="I3914"/>
  <c r="I3913"/>
  <c r="I3912"/>
  <c r="I3911"/>
  <c r="I3910"/>
  <c r="I3909"/>
  <c r="I3908"/>
  <c r="I3907"/>
  <c r="I3906"/>
  <c r="I3905"/>
  <c r="I3904"/>
  <c r="I3903"/>
  <c r="I3902"/>
  <c r="I3901"/>
  <c r="I3900"/>
  <c r="I3899"/>
  <c r="I3898"/>
  <c r="I3897"/>
  <c r="I3896"/>
  <c r="I3895"/>
  <c r="I3894"/>
  <c r="I3893"/>
  <c r="I3892"/>
  <c r="I3891"/>
  <c r="I3890"/>
  <c r="I3889"/>
  <c r="I3888"/>
  <c r="I3887"/>
  <c r="I3886"/>
  <c r="I3885"/>
  <c r="I3884"/>
  <c r="I3883"/>
  <c r="I3882"/>
  <c r="I3881"/>
  <c r="I3880"/>
  <c r="I3879"/>
  <c r="I3878"/>
  <c r="I3877"/>
  <c r="I3876"/>
  <c r="I3875"/>
  <c r="I3874"/>
  <c r="I3873"/>
  <c r="I3872"/>
  <c r="I3871"/>
  <c r="I3870"/>
  <c r="I3869"/>
  <c r="I3868"/>
  <c r="I3867"/>
  <c r="I3866"/>
  <c r="I3865"/>
  <c r="I3864"/>
  <c r="I3863"/>
  <c r="I3862"/>
  <c r="I3861"/>
  <c r="I3860"/>
  <c r="I3859"/>
  <c r="I3858"/>
  <c r="I3857"/>
  <c r="I3856"/>
  <c r="I3855"/>
  <c r="I3854"/>
  <c r="I3853"/>
  <c r="I3852"/>
  <c r="I3851"/>
  <c r="I3850"/>
  <c r="I3849"/>
  <c r="I3848"/>
  <c r="I3847"/>
  <c r="I3846"/>
  <c r="I3845"/>
  <c r="I3844"/>
  <c r="I3843"/>
  <c r="I3842"/>
  <c r="I3841"/>
  <c r="I3840"/>
  <c r="I3839"/>
  <c r="I3838"/>
  <c r="I3837"/>
  <c r="I3836"/>
  <c r="I3835"/>
  <c r="I3834"/>
  <c r="I3833"/>
  <c r="I3832"/>
  <c r="I3831"/>
  <c r="I3830"/>
  <c r="I3829"/>
  <c r="I3828"/>
  <c r="I3827"/>
  <c r="I3826"/>
  <c r="I3825"/>
  <c r="I3824"/>
  <c r="I3823"/>
  <c r="I3822"/>
  <c r="I3821"/>
  <c r="I3820"/>
  <c r="I3819"/>
  <c r="I3818"/>
  <c r="I3817"/>
  <c r="I3816"/>
  <c r="I3815"/>
  <c r="I3814"/>
  <c r="I3813"/>
  <c r="I3812"/>
  <c r="I3811"/>
  <c r="I3810"/>
  <c r="I3809"/>
  <c r="I3808"/>
  <c r="I3807"/>
  <c r="I3806"/>
  <c r="I3805"/>
  <c r="I3804"/>
  <c r="I3803"/>
  <c r="I3802"/>
  <c r="I3801"/>
  <c r="I3800"/>
  <c r="I3799"/>
  <c r="I3798"/>
  <c r="I3797"/>
  <c r="I3796"/>
  <c r="I3795"/>
  <c r="I3794"/>
  <c r="I3793"/>
  <c r="I3792"/>
  <c r="I3791"/>
  <c r="I3790"/>
  <c r="I3789"/>
  <c r="I3788"/>
  <c r="I3787"/>
  <c r="I3786"/>
  <c r="I3785"/>
  <c r="I3784"/>
  <c r="I3783"/>
  <c r="I3782"/>
  <c r="I3781"/>
  <c r="I3780"/>
  <c r="I3779"/>
  <c r="I3778"/>
  <c r="I3777"/>
  <c r="I3776"/>
  <c r="I3775"/>
  <c r="I3774"/>
  <c r="I3773"/>
  <c r="I3771"/>
  <c r="I3770"/>
  <c r="I3769"/>
  <c r="I3768"/>
  <c r="I3767"/>
  <c r="I3766"/>
  <c r="I3765"/>
  <c r="I3764"/>
  <c r="I3763"/>
  <c r="I3762"/>
  <c r="I3761"/>
  <c r="I3760"/>
  <c r="I3759"/>
  <c r="I3758"/>
  <c r="I3757"/>
  <c r="I3756"/>
  <c r="I3755"/>
  <c r="I3754"/>
  <c r="I3753"/>
  <c r="I3752"/>
  <c r="I3751"/>
  <c r="I3750"/>
  <c r="I3749"/>
  <c r="I3748"/>
  <c r="I3747"/>
  <c r="I3746"/>
  <c r="I3745"/>
  <c r="I3744"/>
  <c r="I3743"/>
  <c r="I3742"/>
  <c r="I3741"/>
  <c r="I3740"/>
  <c r="I3739"/>
  <c r="I3738"/>
  <c r="I3737"/>
  <c r="I3736"/>
  <c r="I3735"/>
  <c r="I3734"/>
  <c r="I3733"/>
  <c r="I3732"/>
  <c r="I3731"/>
  <c r="I3730"/>
  <c r="I3729"/>
  <c r="I3728"/>
  <c r="I3727"/>
  <c r="I3726"/>
  <c r="I3725"/>
  <c r="I3724"/>
  <c r="I3723"/>
  <c r="I3722"/>
  <c r="I3721"/>
  <c r="I3720"/>
  <c r="I3719"/>
  <c r="I3718"/>
  <c r="I3717"/>
  <c r="I3715"/>
  <c r="I3714"/>
  <c r="I3713"/>
  <c r="I3712"/>
  <c r="I3711"/>
  <c r="I3710"/>
  <c r="I3709"/>
  <c r="I3708"/>
  <c r="I3707"/>
  <c r="I3706"/>
  <c r="I3705"/>
  <c r="I3704"/>
  <c r="I3703"/>
  <c r="I3702"/>
  <c r="I3701"/>
  <c r="I3700"/>
  <c r="I3699"/>
  <c r="I3698"/>
  <c r="I3697"/>
  <c r="I3696"/>
  <c r="I3695"/>
  <c r="I3694"/>
  <c r="I3693"/>
  <c r="I3692"/>
  <c r="I3691"/>
  <c r="I3690"/>
  <c r="I3689"/>
  <c r="I3688"/>
  <c r="I3687"/>
  <c r="I3686"/>
  <c r="I3685"/>
  <c r="I3684"/>
  <c r="I3683"/>
  <c r="I3682"/>
  <c r="I3681"/>
  <c r="I3680"/>
  <c r="I3679"/>
  <c r="I3678"/>
  <c r="I3677"/>
  <c r="I3676"/>
  <c r="I3675"/>
  <c r="I3674"/>
  <c r="I3673"/>
  <c r="I3672"/>
  <c r="I3671"/>
  <c r="I3670"/>
  <c r="I3669"/>
  <c r="I3668"/>
  <c r="I3667"/>
  <c r="I3666"/>
  <c r="I3665"/>
  <c r="I3664"/>
  <c r="I3663"/>
  <c r="I3662"/>
  <c r="I3661"/>
  <c r="I3660"/>
  <c r="I3659"/>
  <c r="I3658"/>
  <c r="I3657"/>
  <c r="I3656"/>
  <c r="I3655"/>
  <c r="I3654"/>
  <c r="I3653"/>
  <c r="I3652"/>
  <c r="I3651"/>
  <c r="I3650"/>
  <c r="I3649"/>
  <c r="I3648"/>
  <c r="I3647"/>
  <c r="I3646"/>
  <c r="I3645"/>
  <c r="I3644"/>
  <c r="I3643"/>
  <c r="I3642"/>
  <c r="I3641"/>
  <c r="I3640"/>
  <c r="I3639"/>
  <c r="I3638"/>
  <c r="I3637"/>
  <c r="I3636"/>
  <c r="I3635"/>
  <c r="I3634"/>
  <c r="I3633"/>
  <c r="I3632"/>
  <c r="I3631"/>
  <c r="I3630"/>
  <c r="I3629"/>
  <c r="I3628"/>
  <c r="I3627"/>
  <c r="I3626"/>
  <c r="I3625"/>
  <c r="I3624"/>
  <c r="I3623"/>
  <c r="I3622"/>
  <c r="I3621"/>
  <c r="I3620"/>
  <c r="I3619"/>
  <c r="I3618"/>
  <c r="I3617"/>
  <c r="I3616"/>
  <c r="I3615"/>
  <c r="I3614"/>
  <c r="I3613"/>
  <c r="I3612"/>
  <c r="I3611"/>
  <c r="I3610"/>
  <c r="I3609"/>
  <c r="I3608"/>
  <c r="I3607"/>
  <c r="I3606"/>
  <c r="I3605"/>
  <c r="I3604"/>
  <c r="I3603"/>
  <c r="I3602"/>
  <c r="I3601"/>
  <c r="I3600"/>
  <c r="I3599"/>
  <c r="I3598"/>
  <c r="I3597"/>
  <c r="I3596"/>
  <c r="I3595"/>
  <c r="I3594"/>
  <c r="I3593"/>
  <c r="I3592"/>
  <c r="I3591"/>
  <c r="I3590"/>
  <c r="I3589"/>
  <c r="I3588"/>
  <c r="I3587"/>
  <c r="I3586"/>
  <c r="I3585"/>
  <c r="I3584"/>
  <c r="I3583"/>
  <c r="I3582"/>
  <c r="I3581"/>
  <c r="I3580"/>
  <c r="I3579"/>
  <c r="I3578"/>
  <c r="I3577"/>
  <c r="I3576"/>
  <c r="I3575"/>
  <c r="I3574"/>
  <c r="I3573"/>
  <c r="I3572"/>
  <c r="I3571"/>
  <c r="I3570"/>
  <c r="I3569"/>
  <c r="I3568"/>
  <c r="I3567"/>
  <c r="I3566"/>
  <c r="I3565"/>
  <c r="I3564"/>
  <c r="I3563"/>
  <c r="I3562"/>
  <c r="I3561"/>
  <c r="I3560"/>
  <c r="I3559"/>
  <c r="I3558"/>
  <c r="I3557"/>
  <c r="I3556"/>
  <c r="I3555"/>
  <c r="I3554"/>
  <c r="I3553"/>
  <c r="I3552"/>
  <c r="I3551"/>
  <c r="I3550"/>
  <c r="I3549"/>
  <c r="I3548"/>
  <c r="I3547"/>
  <c r="I3546"/>
  <c r="I3545"/>
  <c r="I3544"/>
  <c r="I3543"/>
  <c r="I3542"/>
  <c r="I3541"/>
  <c r="I3540"/>
  <c r="I3539"/>
  <c r="I3538"/>
  <c r="I3537"/>
  <c r="I3536"/>
  <c r="I3535"/>
  <c r="I3534"/>
  <c r="I3533"/>
  <c r="I3532"/>
  <c r="I3531"/>
  <c r="I3530"/>
  <c r="I3529"/>
  <c r="I3528"/>
  <c r="I3527"/>
  <c r="I3526"/>
  <c r="I3525"/>
  <c r="I3524"/>
  <c r="I3523"/>
  <c r="I3522"/>
  <c r="I3521"/>
  <c r="I3520"/>
  <c r="I3519"/>
  <c r="I3518"/>
  <c r="I3517"/>
  <c r="I3516"/>
  <c r="I3515"/>
  <c r="I3514"/>
  <c r="I3513"/>
  <c r="I3512"/>
  <c r="I3511"/>
  <c r="I3510"/>
  <c r="I3509"/>
  <c r="I3508"/>
  <c r="I3507"/>
  <c r="I3506"/>
  <c r="I3505"/>
  <c r="I3504"/>
  <c r="I3503"/>
  <c r="I3502"/>
  <c r="I3501"/>
  <c r="I3500"/>
  <c r="I3499"/>
  <c r="I3498"/>
  <c r="I3497"/>
  <c r="I3496"/>
  <c r="I3495"/>
  <c r="I3494"/>
  <c r="I3493"/>
  <c r="I3492"/>
  <c r="I3491"/>
  <c r="I3490"/>
  <c r="I3489"/>
  <c r="I3488"/>
  <c r="I3487"/>
  <c r="I3486"/>
  <c r="I3485"/>
  <c r="I3484"/>
  <c r="I3483"/>
  <c r="I3482"/>
  <c r="I3481"/>
  <c r="I3480"/>
  <c r="I3479"/>
  <c r="I3478"/>
  <c r="I3477"/>
  <c r="I3476"/>
  <c r="I3475"/>
  <c r="I3474"/>
  <c r="I3473"/>
  <c r="I3472"/>
  <c r="I3471"/>
  <c r="I3470"/>
  <c r="I3469"/>
  <c r="I3468"/>
  <c r="I3467"/>
  <c r="I3466"/>
  <c r="I3465"/>
  <c r="I3464"/>
  <c r="I3463"/>
  <c r="I3462"/>
  <c r="I3461"/>
  <c r="I3460"/>
  <c r="I3459"/>
  <c r="I3458"/>
  <c r="I3457"/>
  <c r="I3456"/>
  <c r="I3455"/>
  <c r="I3454"/>
  <c r="I3453"/>
  <c r="I3452"/>
  <c r="I3451"/>
  <c r="I3450"/>
  <c r="I3449"/>
  <c r="I3448"/>
  <c r="I3447"/>
  <c r="I3446"/>
  <c r="I3445"/>
  <c r="I3444"/>
  <c r="I3443"/>
  <c r="I3442"/>
  <c r="I3441"/>
  <c r="I3440"/>
  <c r="I3439"/>
  <c r="I3438"/>
  <c r="I3437"/>
  <c r="I3436"/>
  <c r="I3435"/>
  <c r="I3434"/>
  <c r="I3433"/>
  <c r="I3432"/>
  <c r="I3431"/>
  <c r="I3430"/>
  <c r="I3429"/>
  <c r="I3428"/>
  <c r="I3427"/>
  <c r="I3426"/>
  <c r="I3425"/>
  <c r="I3424"/>
  <c r="I3423"/>
  <c r="I3422"/>
  <c r="I3421"/>
  <c r="I3420"/>
  <c r="I3419"/>
  <c r="I3418"/>
  <c r="I3417"/>
  <c r="I3416"/>
  <c r="I3415"/>
  <c r="I3414"/>
  <c r="I3413"/>
  <c r="I3412"/>
  <c r="I3411"/>
  <c r="I3410"/>
  <c r="I3409"/>
  <c r="I3408"/>
  <c r="I3407"/>
  <c r="I3406"/>
  <c r="I3405"/>
  <c r="I3404"/>
  <c r="I3403"/>
  <c r="I3402"/>
  <c r="I3401"/>
  <c r="I3400"/>
  <c r="I3399"/>
  <c r="I3398"/>
  <c r="I3397"/>
  <c r="I3396"/>
  <c r="I3395"/>
  <c r="I3394"/>
  <c r="I3393"/>
  <c r="I3392"/>
  <c r="I3391"/>
  <c r="I3390"/>
  <c r="I3389"/>
  <c r="I3388"/>
  <c r="I3387"/>
  <c r="I3386"/>
  <c r="I3385"/>
  <c r="I3384"/>
  <c r="I3383"/>
  <c r="I3382"/>
  <c r="I3381"/>
  <c r="I3380"/>
  <c r="I3379"/>
  <c r="I3378"/>
  <c r="I3377"/>
  <c r="I3376"/>
  <c r="I3375"/>
  <c r="I3374"/>
  <c r="I3373"/>
  <c r="I3372"/>
  <c r="I3371"/>
  <c r="I3370"/>
  <c r="I3369"/>
  <c r="I3368"/>
  <c r="I3367"/>
  <c r="I3366"/>
  <c r="I3365"/>
  <c r="I3364"/>
  <c r="I3363"/>
  <c r="I3362"/>
  <c r="I3361"/>
  <c r="I3360"/>
  <c r="I3359"/>
  <c r="I3358"/>
  <c r="I3357"/>
  <c r="I3356"/>
  <c r="I3355"/>
  <c r="I3354"/>
  <c r="I3353"/>
  <c r="I3352"/>
  <c r="I3351"/>
  <c r="I3350"/>
  <c r="I3349"/>
  <c r="I3348"/>
  <c r="I3347"/>
  <c r="I3346"/>
  <c r="I3345"/>
  <c r="I3344"/>
  <c r="I3343"/>
  <c r="I3342"/>
  <c r="I3341"/>
  <c r="I3340"/>
  <c r="I3339"/>
  <c r="I3338"/>
  <c r="I3337"/>
  <c r="I3336"/>
  <c r="I3335"/>
  <c r="I3334"/>
  <c r="I3333"/>
  <c r="I3332"/>
  <c r="I3331"/>
  <c r="I3330"/>
  <c r="I3329"/>
  <c r="I3328"/>
  <c r="I3327"/>
  <c r="I3326"/>
  <c r="I3325"/>
  <c r="I3324"/>
  <c r="I3323"/>
  <c r="I3322"/>
  <c r="I3321"/>
  <c r="I3320"/>
  <c r="I3319"/>
  <c r="I3318"/>
  <c r="I3317"/>
  <c r="I3316"/>
  <c r="I3315"/>
  <c r="I3314"/>
  <c r="I3313"/>
  <c r="I3312"/>
  <c r="I3311"/>
  <c r="I3310"/>
  <c r="I3309"/>
  <c r="I3308"/>
  <c r="I3307"/>
  <c r="I3306"/>
  <c r="I3305"/>
  <c r="I3304"/>
  <c r="I3303"/>
  <c r="I3302"/>
  <c r="I3301"/>
  <c r="I3300"/>
  <c r="I3299"/>
  <c r="I3298"/>
  <c r="I3297"/>
  <c r="I3296"/>
  <c r="I3295"/>
  <c r="I3294"/>
  <c r="I3293"/>
  <c r="I3292"/>
  <c r="I3291"/>
  <c r="I3290"/>
  <c r="I3289"/>
  <c r="I3288"/>
  <c r="I3287"/>
  <c r="I3286"/>
  <c r="I3285"/>
  <c r="I3284"/>
  <c r="I3283"/>
  <c r="I3282"/>
  <c r="I3281"/>
  <c r="I3280"/>
  <c r="I3279"/>
  <c r="I3278"/>
  <c r="I3277"/>
  <c r="I3276"/>
  <c r="I3275"/>
  <c r="I3274"/>
  <c r="I3273"/>
  <c r="I3272"/>
  <c r="I3271"/>
  <c r="I3270"/>
  <c r="I3269"/>
  <c r="I3268"/>
  <c r="I3267"/>
  <c r="I3266"/>
  <c r="I3265"/>
  <c r="I3264"/>
  <c r="I3263"/>
  <c r="I3262"/>
  <c r="I3261"/>
  <c r="I3260"/>
  <c r="I3259"/>
  <c r="I3258"/>
  <c r="I3257"/>
  <c r="I3256"/>
  <c r="I3255"/>
  <c r="I3254"/>
  <c r="I3253"/>
  <c r="I3252"/>
  <c r="I3251"/>
  <c r="I3250"/>
  <c r="I3249"/>
  <c r="I3248"/>
  <c r="I3247"/>
  <c r="I3246"/>
  <c r="I3245"/>
  <c r="I3244"/>
  <c r="I3243"/>
  <c r="I3242"/>
  <c r="I3241"/>
  <c r="I3240"/>
  <c r="I3239"/>
  <c r="I3238"/>
  <c r="I3237"/>
  <c r="I3236"/>
  <c r="I3235"/>
  <c r="I3234"/>
  <c r="I3233"/>
  <c r="I3232"/>
  <c r="I3231"/>
  <c r="I3230"/>
  <c r="I3229"/>
  <c r="I3228"/>
  <c r="I3227"/>
  <c r="I3226"/>
  <c r="I3225"/>
  <c r="I3224"/>
  <c r="I3223"/>
  <c r="I3222"/>
  <c r="I3221"/>
  <c r="I3220"/>
  <c r="I3219"/>
  <c r="I3218"/>
  <c r="I3217"/>
  <c r="I3216"/>
  <c r="I3215"/>
  <c r="I3214"/>
  <c r="I3213"/>
  <c r="I3212"/>
  <c r="I3211"/>
  <c r="I3210"/>
  <c r="I3209"/>
  <c r="I3208"/>
  <c r="I3207"/>
  <c r="I3206"/>
  <c r="I3205"/>
  <c r="I3204"/>
  <c r="I3203"/>
  <c r="I3202"/>
  <c r="I3201"/>
  <c r="I3200"/>
  <c r="I3199"/>
  <c r="I3198"/>
  <c r="I3197"/>
  <c r="I3196"/>
  <c r="I3195"/>
  <c r="I3194"/>
  <c r="I3193"/>
  <c r="I3192"/>
  <c r="I3191"/>
  <c r="I3190"/>
  <c r="I3189"/>
  <c r="I3188"/>
  <c r="I3187"/>
  <c r="I3186"/>
  <c r="I3185"/>
  <c r="I3184"/>
  <c r="I3183"/>
  <c r="I3182"/>
  <c r="I3181"/>
  <c r="I3180"/>
  <c r="I3179"/>
  <c r="I3178"/>
  <c r="I3177"/>
  <c r="I3176"/>
  <c r="I3175"/>
  <c r="I3174"/>
  <c r="I3173"/>
  <c r="I3172"/>
  <c r="I3171"/>
  <c r="I3170"/>
  <c r="I3169"/>
  <c r="I3168"/>
  <c r="I3167"/>
  <c r="I3166"/>
  <c r="I3165"/>
  <c r="I3164"/>
  <c r="I3163"/>
  <c r="I3162"/>
  <c r="I3161"/>
  <c r="I3160"/>
  <c r="I3159"/>
  <c r="I3158"/>
  <c r="I3157"/>
  <c r="I3156"/>
  <c r="I3155"/>
  <c r="I3154"/>
  <c r="I3153"/>
  <c r="I3152"/>
  <c r="I3151"/>
  <c r="I3150"/>
  <c r="I3149"/>
  <c r="I3148"/>
  <c r="I3147"/>
  <c r="I3146"/>
  <c r="I3145"/>
  <c r="I3144"/>
  <c r="I3143"/>
  <c r="I3142"/>
  <c r="I3141"/>
  <c r="I3140"/>
  <c r="I3139"/>
  <c r="I3138"/>
  <c r="I3137"/>
  <c r="I3136"/>
  <c r="I3135"/>
  <c r="I3134"/>
  <c r="I3133"/>
  <c r="I3132"/>
  <c r="I3131"/>
  <c r="I3130"/>
  <c r="I3129"/>
  <c r="I3128"/>
  <c r="I3127"/>
  <c r="I3126"/>
  <c r="I3125"/>
  <c r="I3124"/>
  <c r="I3123"/>
  <c r="I3122"/>
  <c r="I3121"/>
  <c r="I3120"/>
  <c r="I3119"/>
  <c r="I3118"/>
  <c r="I3117"/>
  <c r="I3116"/>
  <c r="I3115"/>
  <c r="I3114"/>
  <c r="I3113"/>
  <c r="I3112"/>
  <c r="I3111"/>
  <c r="I3110"/>
  <c r="I3109"/>
  <c r="I3108"/>
  <c r="I3107"/>
  <c r="I3106"/>
  <c r="I3105"/>
  <c r="I3104"/>
  <c r="I3103"/>
  <c r="I3102"/>
  <c r="I3101"/>
  <c r="I3100"/>
  <c r="I3099"/>
  <c r="I3098"/>
  <c r="I3097"/>
  <c r="I3096"/>
  <c r="I3095"/>
  <c r="I3094"/>
  <c r="I3093"/>
  <c r="I3092"/>
  <c r="I3091"/>
  <c r="I3090"/>
  <c r="I3089"/>
  <c r="I3088"/>
  <c r="I3087"/>
  <c r="I3086"/>
  <c r="I3085"/>
  <c r="I3084"/>
  <c r="I3083"/>
  <c r="I3082"/>
  <c r="I3081"/>
  <c r="I3080"/>
  <c r="I3079"/>
  <c r="I3078"/>
  <c r="I3077"/>
  <c r="I3076"/>
  <c r="I3075"/>
  <c r="I3074"/>
  <c r="I3073"/>
  <c r="I3072"/>
  <c r="I3071"/>
  <c r="I3070"/>
  <c r="I3069"/>
  <c r="I3068"/>
  <c r="I3067"/>
  <c r="I3066"/>
  <c r="I3065"/>
  <c r="I3064"/>
  <c r="I3063"/>
  <c r="I3062"/>
  <c r="I3061"/>
  <c r="I3060"/>
  <c r="I3059"/>
  <c r="I3058"/>
  <c r="I3057"/>
  <c r="I3056"/>
  <c r="I3055"/>
  <c r="I3054"/>
  <c r="I3053"/>
  <c r="I3052"/>
  <c r="I3051"/>
  <c r="I3050"/>
  <c r="I3049"/>
  <c r="I3048"/>
  <c r="I3047"/>
  <c r="I3046"/>
  <c r="I3045"/>
  <c r="I3044"/>
  <c r="I3043"/>
  <c r="I3042"/>
  <c r="I3041"/>
  <c r="I3040"/>
  <c r="I3039"/>
  <c r="I3038"/>
  <c r="I3037"/>
  <c r="I3036"/>
  <c r="I3035"/>
  <c r="I3034"/>
  <c r="I3033"/>
  <c r="I3032"/>
  <c r="I3031"/>
  <c r="I3030"/>
  <c r="I3029"/>
  <c r="I3028"/>
  <c r="I3027"/>
  <c r="I3026"/>
  <c r="I3025"/>
  <c r="I3024"/>
  <c r="I3023"/>
  <c r="I3022"/>
  <c r="I3021"/>
  <c r="I3020"/>
  <c r="I3019"/>
  <c r="I3018"/>
  <c r="I3017"/>
  <c r="I3016"/>
  <c r="I3015"/>
  <c r="I3014"/>
  <c r="I3013"/>
  <c r="I3012"/>
  <c r="I3011"/>
  <c r="I3010"/>
  <c r="I3009"/>
  <c r="I3008"/>
  <c r="I3007"/>
  <c r="I3006"/>
  <c r="I3005"/>
  <c r="I3004"/>
  <c r="I3003"/>
  <c r="I3002"/>
  <c r="I3001"/>
  <c r="I3000"/>
  <c r="I2999"/>
  <c r="I2998"/>
  <c r="I2997"/>
  <c r="I2996"/>
  <c r="I2995"/>
  <c r="I2994"/>
  <c r="I2993"/>
  <c r="I2992"/>
  <c r="I2991"/>
  <c r="I2990"/>
  <c r="I2989"/>
  <c r="I2988"/>
  <c r="I2987"/>
  <c r="I2986"/>
  <c r="I2985"/>
  <c r="I2984"/>
  <c r="I2983"/>
  <c r="I2982"/>
  <c r="I2981"/>
  <c r="I2980"/>
  <c r="I2979"/>
  <c r="I2978"/>
  <c r="I2977"/>
  <c r="I2976"/>
  <c r="I2975"/>
  <c r="I2974"/>
  <c r="I2973"/>
  <c r="I2972"/>
  <c r="I2971"/>
  <c r="I2970"/>
  <c r="I2969"/>
  <c r="I2968"/>
  <c r="I2967"/>
  <c r="I2966"/>
  <c r="I2965"/>
  <c r="I2964"/>
  <c r="I2963"/>
  <c r="I2962"/>
  <c r="I2961"/>
  <c r="I2960"/>
  <c r="I2959"/>
  <c r="I2958"/>
  <c r="I2957"/>
  <c r="I2956"/>
  <c r="I2955"/>
  <c r="I2954"/>
  <c r="I2953"/>
  <c r="I2952"/>
  <c r="I2951"/>
  <c r="I2950"/>
  <c r="I2949"/>
  <c r="I2948"/>
  <c r="I2947"/>
  <c r="I2946"/>
  <c r="I2945"/>
  <c r="I2944"/>
  <c r="I2943"/>
  <c r="I2942"/>
  <c r="I2941"/>
  <c r="I2940"/>
  <c r="I2939"/>
  <c r="I2938"/>
  <c r="I2937"/>
  <c r="I2936"/>
  <c r="I2935"/>
  <c r="I2934"/>
  <c r="I2933"/>
  <c r="I2932"/>
  <c r="I2931"/>
  <c r="I2930"/>
  <c r="I2929"/>
  <c r="I2928"/>
  <c r="I2927"/>
  <c r="I2926"/>
  <c r="I2925"/>
  <c r="I2924"/>
  <c r="I2923"/>
  <c r="I2922"/>
  <c r="I2921"/>
  <c r="I2920"/>
  <c r="I2919"/>
  <c r="I2918"/>
  <c r="I2917"/>
  <c r="I2916"/>
  <c r="I2915"/>
  <c r="I2914"/>
  <c r="I2913"/>
  <c r="I2912"/>
  <c r="I2911"/>
  <c r="I2910"/>
  <c r="I2909"/>
  <c r="I2908"/>
  <c r="I2907"/>
  <c r="I2906"/>
  <c r="I2905"/>
  <c r="I2904"/>
  <c r="I2903"/>
  <c r="I2902"/>
  <c r="I2901"/>
  <c r="I2900"/>
  <c r="I2899"/>
  <c r="I2898"/>
  <c r="I2897"/>
  <c r="I2896"/>
  <c r="I2895"/>
  <c r="I2894"/>
  <c r="I2893"/>
  <c r="I2892"/>
  <c r="I2890"/>
  <c r="I2889"/>
  <c r="I2888"/>
  <c r="I2887"/>
  <c r="I2886"/>
  <c r="I2885"/>
  <c r="I2884"/>
  <c r="I2883"/>
  <c r="I2882"/>
  <c r="I2881"/>
  <c r="I2880"/>
  <c r="I2879"/>
  <c r="I2878"/>
  <c r="I2877"/>
  <c r="I2876"/>
  <c r="I2875"/>
  <c r="I2874"/>
  <c r="I2873"/>
  <c r="I2872"/>
  <c r="I2871"/>
  <c r="I2870"/>
  <c r="I2869"/>
  <c r="I2868"/>
  <c r="I2867"/>
  <c r="I2866"/>
  <c r="I2865"/>
  <c r="I2864"/>
  <c r="I2863"/>
  <c r="I2862"/>
  <c r="I2861"/>
  <c r="I2860"/>
  <c r="I2859"/>
  <c r="I2858"/>
  <c r="I2857"/>
  <c r="I2856"/>
  <c r="I2855"/>
  <c r="I2854"/>
  <c r="I2853"/>
  <c r="I2852"/>
  <c r="I2851"/>
  <c r="I2850"/>
  <c r="I2849"/>
  <c r="I2847"/>
  <c r="I2846"/>
  <c r="I2845"/>
  <c r="I2844"/>
  <c r="I2843"/>
  <c r="I2842"/>
  <c r="I2841"/>
  <c r="I2840"/>
  <c r="I2839"/>
  <c r="I2838"/>
  <c r="I2837"/>
  <c r="I2836"/>
  <c r="I2835"/>
  <c r="I2834"/>
  <c r="I2833"/>
  <c r="I2832"/>
  <c r="I2831"/>
  <c r="I2830"/>
  <c r="I2829"/>
  <c r="I2828"/>
  <c r="I2827"/>
  <c r="I2826"/>
  <c r="I2825"/>
  <c r="I2824"/>
  <c r="I2823"/>
  <c r="I2822"/>
  <c r="I2821"/>
  <c r="I2820"/>
  <c r="I2819"/>
  <c r="I2818"/>
  <c r="I2817"/>
  <c r="I2816"/>
  <c r="I2815"/>
  <c r="I2814"/>
  <c r="I2813"/>
  <c r="I2812"/>
  <c r="I2811"/>
  <c r="I2810"/>
  <c r="I2809"/>
  <c r="I2808"/>
  <c r="I2807"/>
  <c r="I2806"/>
  <c r="I2805"/>
  <c r="I2804"/>
  <c r="I2803"/>
  <c r="I2802"/>
  <c r="I2801"/>
  <c r="I2800"/>
  <c r="I2799"/>
  <c r="I2798"/>
  <c r="I2797"/>
  <c r="I2796"/>
  <c r="I2795"/>
  <c r="I2794"/>
  <c r="I2793"/>
  <c r="I2792"/>
  <c r="I2791"/>
  <c r="I2790"/>
  <c r="I2789"/>
  <c r="I2788"/>
  <c r="I2787"/>
  <c r="I2786"/>
  <c r="I2785"/>
  <c r="I2784"/>
  <c r="I2783"/>
  <c r="I2782"/>
  <c r="I2781"/>
  <c r="I2780"/>
  <c r="I2779"/>
  <c r="I2778"/>
  <c r="I2777"/>
  <c r="I2776"/>
  <c r="I2775"/>
  <c r="I2774"/>
  <c r="I2773"/>
  <c r="I2772"/>
  <c r="I2771"/>
  <c r="I2769"/>
  <c r="I2768"/>
  <c r="I2767"/>
  <c r="I2766"/>
  <c r="I2765"/>
  <c r="I2764"/>
  <c r="I2763"/>
  <c r="I2762"/>
  <c r="I2761"/>
  <c r="I2760"/>
  <c r="I2759"/>
  <c r="I2758"/>
  <c r="I2757"/>
  <c r="I2756"/>
  <c r="I2755"/>
  <c r="I2754"/>
  <c r="I2753"/>
  <c r="I2752"/>
  <c r="I2751"/>
  <c r="I2750"/>
  <c r="I2749"/>
  <c r="I2748"/>
  <c r="I2747"/>
  <c r="I2746"/>
  <c r="I2745"/>
  <c r="I2744"/>
  <c r="I2743"/>
  <c r="I2742"/>
  <c r="I2741"/>
  <c r="I2740"/>
  <c r="I2739"/>
  <c r="I2738"/>
  <c r="I2737"/>
  <c r="I2736"/>
  <c r="I2735"/>
  <c r="I2734"/>
  <c r="I2733"/>
  <c r="I2732"/>
  <c r="I2731"/>
  <c r="I2730"/>
  <c r="I2729"/>
  <c r="I2728"/>
  <c r="I2727"/>
  <c r="I2726"/>
  <c r="I2725"/>
  <c r="I2724"/>
  <c r="I2723"/>
  <c r="I2722"/>
  <c r="I2721"/>
  <c r="I2720"/>
  <c r="I2719"/>
  <c r="I2718"/>
  <c r="I2717"/>
  <c r="I2716"/>
  <c r="I2715"/>
  <c r="I2714"/>
  <c r="I2713"/>
  <c r="I2712"/>
  <c r="I2711"/>
  <c r="I2710"/>
  <c r="I2709"/>
  <c r="I2708"/>
  <c r="I2707"/>
  <c r="I2706"/>
  <c r="I2705"/>
  <c r="I2704"/>
  <c r="I2703"/>
  <c r="I2702"/>
  <c r="I2701"/>
  <c r="I2700"/>
  <c r="I2699"/>
  <c r="I2697"/>
  <c r="I2696"/>
  <c r="I2695"/>
  <c r="I2694"/>
  <c r="I2693"/>
  <c r="I2692"/>
  <c r="I2691"/>
  <c r="I2690"/>
  <c r="I2689"/>
  <c r="I2688"/>
  <c r="I2687"/>
  <c r="I2686"/>
  <c r="I2685"/>
  <c r="I2684"/>
  <c r="I2683"/>
  <c r="I2682"/>
  <c r="I2681"/>
  <c r="I2680"/>
  <c r="I2679"/>
  <c r="I2678"/>
  <c r="I2677"/>
  <c r="I2676"/>
  <c r="I2675"/>
  <c r="I2674"/>
  <c r="I2673"/>
  <c r="I2672"/>
  <c r="I2671"/>
  <c r="I2670"/>
  <c r="I2669"/>
  <c r="I2668"/>
  <c r="I2667"/>
  <c r="I2666"/>
  <c r="I2665"/>
  <c r="I2664"/>
  <c r="I2663"/>
  <c r="I2662"/>
  <c r="I2661"/>
  <c r="I2660"/>
  <c r="I2659"/>
  <c r="I2658"/>
  <c r="I2657"/>
  <c r="I2656"/>
  <c r="I2655"/>
  <c r="I2654"/>
  <c r="I2653"/>
  <c r="I2652"/>
  <c r="I2651"/>
  <c r="I2650"/>
  <c r="I2649"/>
  <c r="I2648"/>
  <c r="I2647"/>
  <c r="I2646"/>
  <c r="I2645"/>
  <c r="I2644"/>
  <c r="I2643"/>
  <c r="I2642"/>
  <c r="I2641"/>
  <c r="I2640"/>
  <c r="I2639"/>
  <c r="I2638"/>
  <c r="I2637"/>
  <c r="I2636"/>
  <c r="I2635"/>
  <c r="I2634"/>
  <c r="I2633"/>
  <c r="I2632"/>
  <c r="I2631"/>
  <c r="I2630"/>
  <c r="I2629"/>
  <c r="I2628"/>
  <c r="I2627"/>
  <c r="I2626"/>
  <c r="I2625"/>
  <c r="I2624"/>
  <c r="I2623"/>
  <c r="I2622"/>
  <c r="I2621"/>
  <c r="I2620"/>
  <c r="I2619"/>
  <c r="I2618"/>
  <c r="I2617"/>
  <c r="I2616"/>
  <c r="I2615"/>
  <c r="I2614"/>
  <c r="I2613"/>
  <c r="I2612"/>
  <c r="I2611"/>
  <c r="I2610"/>
  <c r="I2609"/>
  <c r="I2608"/>
  <c r="I2607"/>
  <c r="I2606"/>
  <c r="I2605"/>
  <c r="I2604"/>
  <c r="I2603"/>
  <c r="I2602"/>
  <c r="I2601"/>
  <c r="I2600"/>
  <c r="I2599"/>
  <c r="I2598"/>
  <c r="I2597"/>
  <c r="I2596"/>
  <c r="I2595"/>
  <c r="I2594"/>
  <c r="I2593"/>
  <c r="I2592"/>
  <c r="I2591"/>
  <c r="I2590"/>
  <c r="I2589"/>
  <c r="I2588"/>
  <c r="I2587"/>
  <c r="I2586"/>
  <c r="I2585"/>
  <c r="I2584"/>
  <c r="I2583"/>
  <c r="I2582"/>
  <c r="I2581"/>
  <c r="I2580"/>
  <c r="I2579"/>
  <c r="I2578"/>
  <c r="I2577"/>
  <c r="I2576"/>
  <c r="I2575"/>
  <c r="I2574"/>
  <c r="I2573"/>
  <c r="I2572"/>
  <c r="I2571"/>
  <c r="I2570"/>
  <c r="I2569"/>
  <c r="I2568"/>
  <c r="I2567"/>
  <c r="I2566"/>
  <c r="I2565"/>
  <c r="I2564"/>
  <c r="I2563"/>
  <c r="I2562"/>
  <c r="I2561"/>
  <c r="I2560"/>
  <c r="I2559"/>
  <c r="I2558"/>
  <c r="I2557"/>
  <c r="I2556"/>
  <c r="I2555"/>
  <c r="I2554"/>
  <c r="I2553"/>
  <c r="I2552"/>
  <c r="I2551"/>
  <c r="I2550"/>
  <c r="I2549"/>
  <c r="I2548"/>
  <c r="I2547"/>
  <c r="I2546"/>
  <c r="I2544"/>
  <c r="I2543"/>
  <c r="I2542"/>
  <c r="I2541"/>
  <c r="I2540"/>
  <c r="I2539"/>
  <c r="I2538"/>
  <c r="I2537"/>
  <c r="I2536"/>
  <c r="I2535"/>
  <c r="I2534"/>
  <c r="I2533"/>
  <c r="I2532"/>
  <c r="I2531"/>
  <c r="I2530"/>
  <c r="I2529"/>
  <c r="I2528"/>
  <c r="I2527"/>
  <c r="I2526"/>
  <c r="I2525"/>
  <c r="I2524"/>
  <c r="I2523"/>
  <c r="I2522"/>
  <c r="I2521"/>
  <c r="I2520"/>
  <c r="I2519"/>
  <c r="I2518"/>
  <c r="I2517"/>
  <c r="I2516"/>
  <c r="I2515"/>
  <c r="I2514"/>
  <c r="I2513"/>
  <c r="I2512"/>
  <c r="I2511"/>
  <c r="I2510"/>
  <c r="I2509"/>
  <c r="I2508"/>
  <c r="I2507"/>
  <c r="I2506"/>
  <c r="I2505"/>
  <c r="I2504"/>
  <c r="I2503"/>
  <c r="I2502"/>
  <c r="I2501"/>
  <c r="I2500"/>
  <c r="I2499"/>
  <c r="I2498"/>
  <c r="I2497"/>
  <c r="I2496"/>
  <c r="I2495"/>
  <c r="I2494"/>
  <c r="I2493"/>
  <c r="I2492"/>
  <c r="I2491"/>
  <c r="I2490"/>
  <c r="I2489"/>
  <c r="I2488"/>
  <c r="I2487"/>
  <c r="I2486"/>
  <c r="I2485"/>
  <c r="I2484"/>
  <c r="I2483"/>
  <c r="I2482"/>
  <c r="I2481"/>
  <c r="I2480"/>
  <c r="I2479"/>
  <c r="I2478"/>
  <c r="I2477"/>
  <c r="I2476"/>
  <c r="I2475"/>
  <c r="I2474"/>
  <c r="I2473"/>
  <c r="I2472"/>
  <c r="I2471"/>
  <c r="I2470"/>
  <c r="I2469"/>
  <c r="I2468"/>
  <c r="I2467"/>
  <c r="I2466"/>
  <c r="I2465"/>
  <c r="I2464"/>
  <c r="I2463"/>
  <c r="I2462"/>
  <c r="I2461"/>
  <c r="I2460"/>
  <c r="I2459"/>
  <c r="I2458"/>
  <c r="I2457"/>
  <c r="I2456"/>
  <c r="I2455"/>
  <c r="I2454"/>
  <c r="I2453"/>
  <c r="I2452"/>
  <c r="I2451"/>
  <c r="I2450"/>
  <c r="I2449"/>
  <c r="I2448"/>
  <c r="I2447"/>
  <c r="I2446"/>
  <c r="I2445"/>
  <c r="I2444"/>
  <c r="I2443"/>
  <c r="I2442"/>
  <c r="I2441"/>
  <c r="I2440"/>
  <c r="I2439"/>
  <c r="I2438"/>
  <c r="I2437"/>
  <c r="I2436"/>
  <c r="I2435"/>
  <c r="I2434"/>
  <c r="I2433"/>
  <c r="I2432"/>
  <c r="I2431"/>
  <c r="I2430"/>
  <c r="I2429"/>
  <c r="I2428"/>
  <c r="I2427"/>
  <c r="I2426"/>
  <c r="I2425"/>
  <c r="I2424"/>
  <c r="I2423"/>
  <c r="I2422"/>
  <c r="I2421"/>
  <c r="I2420"/>
  <c r="I2419"/>
  <c r="I2418"/>
  <c r="I2417"/>
  <c r="I2416"/>
  <c r="I2415"/>
  <c r="I2414"/>
  <c r="I2413"/>
  <c r="I2412"/>
  <c r="I2411"/>
  <c r="I2410"/>
  <c r="I2409"/>
  <c r="I2408"/>
  <c r="I2407"/>
  <c r="I2406"/>
  <c r="I2405"/>
  <c r="I2404"/>
  <c r="I2403"/>
  <c r="I2402"/>
  <c r="I2401"/>
  <c r="I2400"/>
  <c r="I2399"/>
  <c r="I2398"/>
  <c r="I2397"/>
  <c r="I2396"/>
  <c r="I2395"/>
  <c r="I2394"/>
  <c r="I2393"/>
  <c r="I2392"/>
  <c r="I2391"/>
  <c r="I2390"/>
  <c r="I2389"/>
  <c r="I2388"/>
  <c r="I2387"/>
  <c r="I2386"/>
  <c r="I2385"/>
  <c r="I2384"/>
  <c r="I2383"/>
  <c r="I2382"/>
  <c r="I2381"/>
  <c r="I2380"/>
  <c r="I2379"/>
  <c r="I2378"/>
  <c r="I2377"/>
  <c r="I2376"/>
  <c r="I2375"/>
  <c r="I2374"/>
  <c r="I2373"/>
  <c r="I2372"/>
  <c r="I2371"/>
  <c r="I2370"/>
  <c r="I2369"/>
  <c r="I2368"/>
  <c r="I2367"/>
  <c r="I2366"/>
  <c r="I2365"/>
  <c r="I2364"/>
  <c r="I2363"/>
  <c r="I2362"/>
  <c r="I2361"/>
  <c r="I2360"/>
  <c r="I2359"/>
  <c r="I2358"/>
  <c r="I2357"/>
  <c r="I2356"/>
  <c r="I2355"/>
  <c r="I2354"/>
  <c r="I2353"/>
  <c r="I2352"/>
  <c r="I2351"/>
  <c r="I2350"/>
  <c r="I2349"/>
  <c r="I2348"/>
  <c r="I2347"/>
  <c r="I2346"/>
  <c r="I2345"/>
  <c r="I2344"/>
  <c r="I2343"/>
  <c r="I2342"/>
  <c r="I2341"/>
  <c r="I2340"/>
  <c r="I2339"/>
  <c r="I2338"/>
  <c r="I2337"/>
  <c r="I2336"/>
  <c r="I2335"/>
  <c r="I2334"/>
  <c r="I2333"/>
  <c r="I2332"/>
  <c r="I2331"/>
  <c r="I2330"/>
  <c r="I2329"/>
  <c r="I2328"/>
  <c r="I2327"/>
  <c r="I2326"/>
  <c r="I2325"/>
  <c r="I2324"/>
  <c r="I2323"/>
  <c r="I2322"/>
  <c r="I2321"/>
  <c r="I2320"/>
  <c r="I2319"/>
  <c r="I2318"/>
  <c r="I2317"/>
  <c r="I2316"/>
  <c r="I2315"/>
  <c r="I2314"/>
  <c r="I2313"/>
  <c r="I2312"/>
  <c r="I2311"/>
  <c r="I2310"/>
  <c r="I2309"/>
  <c r="I2308"/>
  <c r="I2307"/>
  <c r="I2306"/>
  <c r="I2305"/>
  <c r="I2304"/>
  <c r="I2303"/>
  <c r="I2302"/>
  <c r="I2301"/>
  <c r="I2300"/>
  <c r="I2299"/>
  <c r="I2298"/>
  <c r="I2297"/>
  <c r="I2296"/>
  <c r="I2295"/>
  <c r="I2294"/>
  <c r="I2293"/>
  <c r="I2292"/>
  <c r="I2291"/>
  <c r="I2290"/>
  <c r="I2289"/>
  <c r="I2288"/>
  <c r="I2287"/>
  <c r="I2286"/>
  <c r="I2285"/>
  <c r="I2284"/>
  <c r="I2283"/>
  <c r="I2282"/>
  <c r="I2281"/>
  <c r="I2280"/>
  <c r="I2279"/>
  <c r="I2278"/>
  <c r="I2277"/>
  <c r="I2276"/>
  <c r="I2275"/>
  <c r="I2274"/>
  <c r="I2273"/>
  <c r="I2272"/>
  <c r="I2271"/>
  <c r="I2270"/>
  <c r="I2269"/>
  <c r="I2268"/>
  <c r="I2267"/>
  <c r="I2266"/>
  <c r="I2265"/>
  <c r="I2264"/>
  <c r="I2263"/>
  <c r="I2262"/>
  <c r="I2261"/>
  <c r="I2260"/>
  <c r="I2259"/>
  <c r="I2258"/>
  <c r="I2257"/>
  <c r="I2256"/>
  <c r="I2255"/>
  <c r="I2254"/>
  <c r="I2253"/>
  <c r="I2252"/>
  <c r="I2251"/>
  <c r="I2250"/>
  <c r="I2249"/>
  <c r="I2248"/>
  <c r="I2247"/>
  <c r="I2246"/>
  <c r="I2245"/>
  <c r="I2244"/>
  <c r="I2243"/>
  <c r="I2242"/>
  <c r="I2241"/>
  <c r="I2240"/>
  <c r="I2239"/>
  <c r="I2238"/>
  <c r="I2237"/>
  <c r="I2236"/>
  <c r="I2235"/>
  <c r="I2234"/>
  <c r="I2233"/>
  <c r="I2232"/>
  <c r="I2231"/>
  <c r="I2230"/>
  <c r="I2229"/>
  <c r="I2228"/>
  <c r="I2227"/>
  <c r="I2226"/>
  <c r="I2225"/>
  <c r="I2224"/>
  <c r="I2223"/>
  <c r="I2222"/>
  <c r="I2221"/>
  <c r="I2220"/>
  <c r="I2219"/>
  <c r="I2218"/>
  <c r="I2217"/>
  <c r="I2216"/>
  <c r="I2215"/>
  <c r="I2214"/>
  <c r="I2213"/>
  <c r="I2212"/>
  <c r="I2211"/>
  <c r="I2210"/>
  <c r="I2209"/>
  <c r="I2208"/>
  <c r="I2207"/>
  <c r="I2206"/>
  <c r="I2205"/>
  <c r="I2204"/>
  <c r="I2203"/>
  <c r="I2202"/>
  <c r="I2201"/>
  <c r="I2200"/>
  <c r="I2199"/>
  <c r="I2198"/>
  <c r="I2197"/>
  <c r="I2196"/>
  <c r="I2195"/>
  <c r="I2194"/>
  <c r="I2193"/>
  <c r="I2192"/>
  <c r="I2191"/>
  <c r="I2190"/>
  <c r="I2189"/>
  <c r="I2188"/>
  <c r="I2187"/>
  <c r="I2186"/>
  <c r="I2185"/>
  <c r="I2184"/>
  <c r="I2183"/>
  <c r="I2182"/>
  <c r="I2181"/>
  <c r="I2180"/>
  <c r="I2179"/>
  <c r="I2178"/>
  <c r="I2177"/>
  <c r="I2176"/>
  <c r="I2175"/>
  <c r="I2174"/>
  <c r="I2173"/>
  <c r="I2172"/>
  <c r="I2171"/>
  <c r="I2170"/>
  <c r="I2169"/>
  <c r="I2168"/>
  <c r="I2167"/>
  <c r="I2166"/>
  <c r="I2165"/>
  <c r="I2164"/>
  <c r="I2163"/>
  <c r="I2162"/>
  <c r="I2161"/>
  <c r="I2160"/>
  <c r="I2159"/>
  <c r="I2158"/>
  <c r="I2157"/>
  <c r="I2156"/>
  <c r="I2155"/>
  <c r="I2154"/>
  <c r="I2153"/>
  <c r="I2152"/>
  <c r="I2151"/>
  <c r="I2150"/>
  <c r="I2149"/>
  <c r="I2148"/>
  <c r="I2147"/>
  <c r="I2146"/>
  <c r="I2145"/>
  <c r="I2144"/>
  <c r="I2143"/>
  <c r="I2142"/>
  <c r="I2141"/>
  <c r="I2140"/>
  <c r="I2139"/>
  <c r="I2138"/>
  <c r="I2137"/>
  <c r="I2136"/>
  <c r="I2135"/>
  <c r="I2134"/>
  <c r="I2133"/>
  <c r="I2132"/>
  <c r="I2131"/>
  <c r="I2130"/>
  <c r="I2129"/>
  <c r="I2128"/>
  <c r="I2127"/>
  <c r="I2126"/>
  <c r="I2125"/>
  <c r="I2124"/>
  <c r="I2123"/>
  <c r="I2122"/>
  <c r="I2121"/>
  <c r="I2120"/>
  <c r="I2119"/>
  <c r="I2118"/>
  <c r="I2117"/>
  <c r="I2116"/>
  <c r="I2115"/>
  <c r="I2114"/>
  <c r="I2113"/>
  <c r="I2112"/>
  <c r="I2111"/>
  <c r="I2110"/>
  <c r="I2109"/>
  <c r="I2108"/>
  <c r="I2107"/>
  <c r="I2106"/>
  <c r="I2105"/>
  <c r="I2104"/>
  <c r="I2103"/>
  <c r="I2102"/>
  <c r="I2101"/>
  <c r="I2100"/>
  <c r="I2099"/>
  <c r="I2098"/>
  <c r="I2097"/>
  <c r="I2096"/>
  <c r="I2095"/>
  <c r="I2094"/>
  <c r="I2093"/>
  <c r="I2092"/>
  <c r="I2091"/>
  <c r="I2090"/>
  <c r="I2089"/>
  <c r="I2088"/>
  <c r="I2087"/>
  <c r="I2086"/>
  <c r="I2085"/>
  <c r="I2084"/>
  <c r="I2083"/>
  <c r="I2082"/>
  <c r="I2081"/>
  <c r="I2080"/>
  <c r="I2079"/>
  <c r="I2078"/>
  <c r="I2077"/>
  <c r="I2076"/>
  <c r="I2075"/>
  <c r="I2074"/>
  <c r="I2073"/>
  <c r="I2072"/>
  <c r="I2071"/>
  <c r="I2070"/>
  <c r="I2069"/>
  <c r="I2068"/>
  <c r="I2067"/>
  <c r="I2066"/>
  <c r="I2065"/>
  <c r="I2064"/>
  <c r="I2063"/>
  <c r="I2062"/>
  <c r="I2061"/>
  <c r="I2060"/>
  <c r="I2059"/>
  <c r="I2058"/>
  <c r="I2057"/>
  <c r="I2056"/>
  <c r="I2055"/>
  <c r="I2054"/>
  <c r="I2053"/>
  <c r="I2052"/>
  <c r="I2051"/>
  <c r="I2050"/>
  <c r="I2049"/>
  <c r="I2048"/>
  <c r="I2047"/>
  <c r="I2046"/>
  <c r="I2045"/>
  <c r="I2044"/>
  <c r="I2043"/>
  <c r="I2042"/>
  <c r="I2041"/>
  <c r="I2040"/>
  <c r="I2039"/>
  <c r="I2038"/>
  <c r="I2037"/>
  <c r="I2036"/>
  <c r="I2035"/>
  <c r="I2034"/>
  <c r="I2033"/>
  <c r="I2032"/>
  <c r="I2031"/>
  <c r="I2030"/>
  <c r="I2029"/>
  <c r="I2028"/>
  <c r="I2027"/>
  <c r="I2026"/>
  <c r="I2025"/>
  <c r="I2024"/>
  <c r="I2023"/>
  <c r="I2022"/>
  <c r="I2021"/>
  <c r="I2020"/>
  <c r="I2019"/>
  <c r="I2018"/>
  <c r="I2017"/>
  <c r="I2016"/>
  <c r="I2015"/>
  <c r="I2014"/>
  <c r="I2013"/>
  <c r="I2012"/>
  <c r="I2011"/>
  <c r="I2010"/>
  <c r="I2009"/>
  <c r="I2008"/>
  <c r="I2007"/>
  <c r="I2006"/>
  <c r="I2005"/>
  <c r="I2004"/>
  <c r="I2003"/>
  <c r="I2002"/>
  <c r="I2001"/>
  <c r="I2000"/>
  <c r="I1999"/>
  <c r="I1998"/>
  <c r="I1997"/>
  <c r="I1996"/>
  <c r="I1995"/>
  <c r="I1994"/>
  <c r="I1993"/>
  <c r="I1992"/>
  <c r="I1991"/>
  <c r="I1990"/>
  <c r="I1989"/>
  <c r="I1988"/>
  <c r="I1987"/>
  <c r="I1986"/>
  <c r="I1985"/>
  <c r="I1984"/>
  <c r="I1983"/>
  <c r="I1982"/>
  <c r="I1981"/>
  <c r="I1980"/>
  <c r="I1979"/>
  <c r="I1978"/>
  <c r="I1977"/>
  <c r="I1976"/>
  <c r="I1975"/>
  <c r="I1974"/>
  <c r="I1973"/>
  <c r="I1972"/>
  <c r="I1971"/>
  <c r="I1970"/>
  <c r="I1969"/>
  <c r="I1968"/>
  <c r="I1967"/>
  <c r="I1966"/>
  <c r="I1965"/>
  <c r="I1964"/>
  <c r="I1963"/>
  <c r="I1962"/>
  <c r="I1961"/>
  <c r="I1960"/>
  <c r="I1959"/>
  <c r="I1958"/>
  <c r="I1957"/>
  <c r="I1956"/>
  <c r="I1955"/>
  <c r="I1954"/>
  <c r="I1953"/>
  <c r="I1952"/>
  <c r="I1951"/>
  <c r="I1950"/>
  <c r="I1949"/>
  <c r="I1948"/>
  <c r="I1947"/>
  <c r="I1946"/>
  <c r="I1945"/>
  <c r="I1944"/>
  <c r="I1943"/>
  <c r="I1942"/>
  <c r="I1941"/>
  <c r="I1940"/>
  <c r="I1939"/>
  <c r="I1938"/>
  <c r="I1937"/>
  <c r="I1936"/>
  <c r="I1935"/>
  <c r="I1934"/>
  <c r="I1933"/>
  <c r="I1932"/>
  <c r="I1931"/>
  <c r="I1930"/>
  <c r="I1929"/>
  <c r="I1928"/>
  <c r="I1927"/>
  <c r="I1926"/>
  <c r="I1925"/>
  <c r="I1924"/>
  <c r="I1923"/>
  <c r="I1922"/>
  <c r="I1921"/>
  <c r="I1920"/>
  <c r="I1919"/>
  <c r="I1918"/>
  <c r="I1917"/>
  <c r="I1916"/>
  <c r="I1915"/>
  <c r="I1914"/>
  <c r="I1913"/>
  <c r="I1912"/>
  <c r="I1911"/>
  <c r="I1910"/>
  <c r="I1909"/>
  <c r="I1908"/>
  <c r="I1907"/>
  <c r="I1906"/>
  <c r="I1905"/>
  <c r="I1904"/>
  <c r="I1903"/>
  <c r="I1902"/>
  <c r="I1901"/>
  <c r="I1900"/>
  <c r="I1899"/>
  <c r="I1898"/>
  <c r="I1897"/>
  <c r="I1896"/>
  <c r="I1895"/>
  <c r="I1894"/>
  <c r="I1893"/>
  <c r="I1892"/>
  <c r="I1891"/>
  <c r="I1890"/>
  <c r="I1889"/>
  <c r="I1888"/>
  <c r="I1887"/>
  <c r="I1886"/>
  <c r="I1885"/>
  <c r="I1884"/>
  <c r="I1883"/>
  <c r="I1882"/>
  <c r="I1881"/>
  <c r="I1880"/>
  <c r="I1879"/>
  <c r="I1878"/>
  <c r="I1877"/>
  <c r="I1876"/>
  <c r="I1875"/>
  <c r="I1874"/>
  <c r="I1873"/>
  <c r="I1872"/>
  <c r="I1871"/>
  <c r="I1870"/>
  <c r="I1869"/>
  <c r="I1868"/>
  <c r="I1867"/>
  <c r="I1866"/>
  <c r="I1865"/>
  <c r="I1864"/>
  <c r="I1863"/>
  <c r="I1862"/>
  <c r="I1861"/>
  <c r="I1860"/>
  <c r="I1859"/>
  <c r="I1858"/>
  <c r="I1857"/>
  <c r="I1856"/>
  <c r="I1855"/>
  <c r="I1854"/>
  <c r="I1853"/>
  <c r="I1852"/>
  <c r="I1851"/>
  <c r="I1850"/>
  <c r="I1849"/>
  <c r="I1848"/>
  <c r="I1847"/>
  <c r="I1846"/>
  <c r="I1845"/>
  <c r="I1844"/>
  <c r="I1843"/>
  <c r="I1842"/>
  <c r="I1841"/>
  <c r="I1840"/>
  <c r="I1839"/>
  <c r="I1838"/>
  <c r="I1837"/>
  <c r="I1836"/>
  <c r="I1835"/>
  <c r="I1834"/>
  <c r="I1833"/>
  <c r="I1832"/>
  <c r="I1831"/>
  <c r="I1830"/>
  <c r="I1829"/>
  <c r="I1828"/>
  <c r="I1827"/>
  <c r="I1826"/>
  <c r="I1825"/>
  <c r="I1824"/>
  <c r="I1823"/>
  <c r="I1822"/>
  <c r="I1821"/>
  <c r="I1820"/>
  <c r="I1819"/>
  <c r="I1818"/>
  <c r="I1817"/>
  <c r="I1816"/>
  <c r="I1815"/>
  <c r="I1814"/>
  <c r="I1813"/>
  <c r="I1812"/>
  <c r="I1811"/>
  <c r="I1810"/>
  <c r="I1809"/>
  <c r="I1808"/>
  <c r="I1807"/>
  <c r="I1806"/>
  <c r="I1805"/>
  <c r="I1804"/>
  <c r="I1803"/>
  <c r="I1802"/>
  <c r="I1801"/>
  <c r="I1800"/>
  <c r="I1799"/>
  <c r="I1798"/>
  <c r="I1797"/>
  <c r="I1796"/>
  <c r="I1795"/>
  <c r="I1794"/>
  <c r="I1793"/>
  <c r="I1792"/>
  <c r="I1791"/>
  <c r="I1790"/>
  <c r="I1789"/>
  <c r="I1788"/>
  <c r="I1787"/>
  <c r="I1786"/>
  <c r="I1785"/>
  <c r="I1784"/>
  <c r="I1783"/>
  <c r="I1782"/>
  <c r="I1781"/>
  <c r="I1780"/>
  <c r="I1779"/>
  <c r="I1778"/>
  <c r="I1777"/>
  <c r="I1776"/>
  <c r="I1775"/>
  <c r="I1774"/>
  <c r="I1773"/>
  <c r="I1772"/>
  <c r="I1771"/>
  <c r="I1770"/>
  <c r="I1769"/>
  <c r="I1768"/>
  <c r="I1767"/>
  <c r="I1766"/>
  <c r="I1765"/>
  <c r="I1764"/>
  <c r="I1763"/>
  <c r="I1762"/>
  <c r="I1761"/>
  <c r="I1760"/>
  <c r="I1759"/>
  <c r="I1758"/>
  <c r="I1757"/>
  <c r="I1756"/>
  <c r="I1755"/>
  <c r="I1754"/>
  <c r="I1753"/>
  <c r="I1752"/>
  <c r="I1751"/>
  <c r="I1750"/>
  <c r="I1749"/>
  <c r="I1748"/>
  <c r="I1747"/>
  <c r="I1746"/>
  <c r="I1745"/>
  <c r="I1744"/>
  <c r="I1743"/>
  <c r="I1742"/>
  <c r="I1741"/>
  <c r="I1740"/>
  <c r="I1739"/>
  <c r="I1738"/>
  <c r="I1737"/>
  <c r="I1736"/>
  <c r="I1735"/>
  <c r="I1734"/>
  <c r="I1733"/>
  <c r="I1732"/>
  <c r="I1731"/>
  <c r="I1730"/>
  <c r="I1729"/>
  <c r="I1728"/>
  <c r="I1727"/>
  <c r="I1726"/>
  <c r="I1725"/>
  <c r="I1724"/>
  <c r="I1723"/>
  <c r="I1722"/>
  <c r="I1721"/>
  <c r="I1720"/>
  <c r="I1719"/>
  <c r="I1718"/>
  <c r="I1717"/>
  <c r="I1716"/>
  <c r="I1715"/>
  <c r="I1714"/>
  <c r="I1713"/>
  <c r="I1712"/>
  <c r="I1711"/>
  <c r="I1710"/>
  <c r="I1709"/>
  <c r="I1708"/>
  <c r="I1707"/>
  <c r="I1706"/>
  <c r="I1705"/>
  <c r="I1704"/>
  <c r="I1703"/>
  <c r="I1702"/>
  <c r="I1701"/>
  <c r="I1700"/>
  <c r="I1699"/>
  <c r="I1698"/>
  <c r="I1697"/>
  <c r="I1696"/>
  <c r="I1695"/>
  <c r="I1694"/>
  <c r="I1693"/>
  <c r="I1692"/>
  <c r="I1691"/>
  <c r="I1690"/>
  <c r="I1688"/>
  <c r="I1687"/>
  <c r="I1686"/>
  <c r="I1685"/>
  <c r="I1684"/>
  <c r="I1683"/>
  <c r="I1682"/>
  <c r="I1681"/>
  <c r="I1680"/>
  <c r="I1679"/>
  <c r="I1678"/>
  <c r="I1677"/>
  <c r="I1676"/>
  <c r="I1675"/>
  <c r="I1674"/>
  <c r="I1673"/>
  <c r="I1672"/>
  <c r="I1671"/>
  <c r="I1670"/>
  <c r="I1669"/>
  <c r="I1668"/>
  <c r="I1667"/>
  <c r="I1666"/>
  <c r="I1665"/>
  <c r="I1664"/>
  <c r="I1663"/>
  <c r="I1662"/>
  <c r="I1661"/>
  <c r="I1660"/>
  <c r="I1659"/>
  <c r="I1658"/>
  <c r="I1657"/>
  <c r="I1656"/>
  <c r="I1655"/>
  <c r="I1654"/>
  <c r="I1653"/>
  <c r="I1652"/>
  <c r="I1651"/>
  <c r="I1650"/>
  <c r="I1649"/>
  <c r="I1648"/>
  <c r="I1647"/>
  <c r="I1646"/>
  <c r="I1645"/>
  <c r="I1644"/>
  <c r="I1643"/>
  <c r="I1642"/>
  <c r="I1641"/>
  <c r="I1640"/>
  <c r="I1639"/>
  <c r="I1638"/>
  <c r="I1637"/>
  <c r="I1636"/>
  <c r="I1635"/>
  <c r="I1634"/>
  <c r="I1633"/>
  <c r="I1632"/>
  <c r="I1631"/>
  <c r="I1630"/>
  <c r="I1629"/>
  <c r="I1627"/>
  <c r="I1626"/>
  <c r="I1625"/>
  <c r="I1624"/>
  <c r="I1623"/>
  <c r="I1622"/>
  <c r="I1621"/>
  <c r="I1620"/>
  <c r="I1619"/>
  <c r="I1618"/>
  <c r="I1617"/>
  <c r="I1616"/>
  <c r="I1615"/>
  <c r="I1614"/>
  <c r="I1613"/>
  <c r="I1612"/>
  <c r="I1611"/>
  <c r="I1610"/>
  <c r="I1609"/>
  <c r="I1608"/>
  <c r="I1607"/>
  <c r="I1606"/>
  <c r="I1605"/>
  <c r="I1604"/>
  <c r="I1603"/>
  <c r="I1602"/>
  <c r="I1601"/>
  <c r="I1600"/>
  <c r="I1599"/>
  <c r="I1598"/>
  <c r="I1597"/>
  <c r="I1596"/>
  <c r="I1595"/>
  <c r="I1594"/>
  <c r="I1593"/>
  <c r="I1592"/>
  <c r="I1591"/>
  <c r="I1590"/>
  <c r="I1589"/>
  <c r="I1588"/>
  <c r="I1587"/>
  <c r="I1586"/>
  <c r="I1585"/>
  <c r="I1584"/>
  <c r="I1583"/>
  <c r="I1582"/>
  <c r="I1581"/>
  <c r="I1580"/>
  <c r="I1579"/>
  <c r="I1578"/>
  <c r="I1577"/>
  <c r="I1576"/>
  <c r="I1575"/>
  <c r="I1574"/>
  <c r="I1573"/>
  <c r="I1572"/>
  <c r="I1571"/>
  <c r="I1570"/>
  <c r="I1569"/>
  <c r="I1568"/>
  <c r="I1567"/>
  <c r="I1566"/>
  <c r="I1565"/>
  <c r="I1564"/>
  <c r="I1563"/>
  <c r="I1562"/>
  <c r="I1561"/>
  <c r="I1560"/>
  <c r="I1559"/>
  <c r="I1558"/>
  <c r="I1557"/>
  <c r="I1556"/>
  <c r="I1555"/>
  <c r="I1554"/>
  <c r="I1553"/>
  <c r="I1552"/>
  <c r="I1551"/>
  <c r="I1550"/>
  <c r="I1549"/>
  <c r="I1548"/>
  <c r="I1547"/>
  <c r="I1546"/>
  <c r="I1545"/>
  <c r="I1544"/>
  <c r="I1543"/>
  <c r="I1542"/>
  <c r="I1541"/>
  <c r="I1540"/>
  <c r="I1539"/>
  <c r="I1538"/>
  <c r="I1537"/>
  <c r="I1536"/>
  <c r="I1535"/>
  <c r="I1534"/>
  <c r="I1533"/>
  <c r="I1532"/>
  <c r="I1531"/>
  <c r="I1530"/>
  <c r="I1529"/>
  <c r="I1528"/>
  <c r="I1527"/>
  <c r="I1526"/>
  <c r="I1525"/>
  <c r="I1524"/>
  <c r="I1523"/>
  <c r="I1522"/>
  <c r="I1521"/>
  <c r="I1520"/>
  <c r="I1519"/>
  <c r="I1518"/>
  <c r="I1517"/>
  <c r="I1516"/>
  <c r="I1515"/>
  <c r="I1514"/>
  <c r="I1513"/>
  <c r="I1512"/>
  <c r="I1511"/>
  <c r="I1510"/>
  <c r="I1509"/>
  <c r="I1508"/>
  <c r="I1507"/>
  <c r="I1506"/>
  <c r="I1505"/>
  <c r="I1504"/>
  <c r="I1503"/>
  <c r="I1502"/>
  <c r="I1501"/>
  <c r="I1500"/>
  <c r="I1499"/>
  <c r="I1498"/>
  <c r="I1497"/>
  <c r="I1496"/>
  <c r="I1495"/>
  <c r="I1494"/>
  <c r="I1493"/>
  <c r="I1492"/>
  <c r="I1491"/>
  <c r="I1490"/>
  <c r="I1489"/>
  <c r="I1488"/>
  <c r="I1487"/>
  <c r="I1486"/>
  <c r="I1485"/>
  <c r="I1484"/>
  <c r="I1483"/>
  <c r="I1482"/>
  <c r="I1481"/>
  <c r="I1480"/>
  <c r="I1479"/>
  <c r="I1478"/>
  <c r="I1477"/>
  <c r="I1476"/>
  <c r="I1475"/>
  <c r="I1474"/>
  <c r="I1473"/>
  <c r="I1472"/>
  <c r="I1471"/>
  <c r="I1470"/>
  <c r="I1469"/>
  <c r="I1468"/>
  <c r="I1467"/>
  <c r="I1466"/>
  <c r="I1465"/>
  <c r="I1464"/>
  <c r="I1463"/>
  <c r="I1462"/>
  <c r="I1461"/>
  <c r="I1460"/>
  <c r="I1459"/>
  <c r="I1458"/>
  <c r="I1457"/>
  <c r="I1456"/>
  <c r="I1455"/>
  <c r="I1454"/>
  <c r="I1453"/>
  <c r="I1452"/>
  <c r="I1451"/>
  <c r="I1450"/>
  <c r="I1449"/>
  <c r="I1448"/>
  <c r="I1447"/>
  <c r="I1446"/>
  <c r="I1445"/>
  <c r="I1444"/>
  <c r="I1443"/>
  <c r="I1442"/>
  <c r="I1441"/>
  <c r="I1440"/>
  <c r="I1439"/>
  <c r="I1438"/>
  <c r="I1437"/>
  <c r="I1436"/>
  <c r="I1435"/>
  <c r="I1434"/>
  <c r="I1433"/>
  <c r="I1432"/>
  <c r="I1431"/>
  <c r="I1430"/>
  <c r="I1429"/>
  <c r="I1428"/>
  <c r="I1427"/>
  <c r="I1426"/>
  <c r="I1425"/>
  <c r="I1424"/>
  <c r="I1423"/>
  <c r="I1422"/>
  <c r="I1421"/>
  <c r="I1420"/>
  <c r="I1419"/>
  <c r="I1418"/>
  <c r="I1417"/>
  <c r="I1416"/>
  <c r="I1415"/>
  <c r="I1414"/>
  <c r="I1413"/>
  <c r="I1412"/>
  <c r="I1411"/>
  <c r="I1410"/>
  <c r="I1409"/>
  <c r="I1408"/>
  <c r="I1407"/>
  <c r="I1406"/>
  <c r="I1405"/>
  <c r="I1404"/>
  <c r="I1403"/>
  <c r="I1402"/>
  <c r="I1401"/>
  <c r="I1400"/>
  <c r="I1399"/>
  <c r="I1398"/>
  <c r="I1397"/>
  <c r="I1396"/>
  <c r="I1395"/>
  <c r="I1394"/>
  <c r="I1393"/>
  <c r="I1392"/>
  <c r="I1391"/>
  <c r="I1390"/>
  <c r="I1389"/>
  <c r="I1388"/>
  <c r="I1387"/>
  <c r="I1386"/>
  <c r="I1385"/>
  <c r="I1384"/>
  <c r="I1383"/>
  <c r="I1382"/>
  <c r="I1381"/>
  <c r="I1380"/>
  <c r="I1379"/>
  <c r="I1378"/>
  <c r="I1377"/>
  <c r="I1376"/>
  <c r="I1375"/>
  <c r="I1374"/>
  <c r="I1373"/>
  <c r="I1372"/>
  <c r="I1371"/>
  <c r="I1370"/>
  <c r="I1369"/>
  <c r="I1368"/>
  <c r="I1367"/>
  <c r="I1366"/>
  <c r="I1365"/>
  <c r="I1364"/>
  <c r="I1363"/>
  <c r="I1362"/>
  <c r="I1361"/>
  <c r="I1360"/>
  <c r="I1359"/>
  <c r="I1358"/>
  <c r="I1357"/>
  <c r="I1356"/>
  <c r="I1355"/>
  <c r="I1354"/>
  <c r="I1353"/>
  <c r="I1352"/>
  <c r="I1351"/>
  <c r="I1350"/>
  <c r="I1349"/>
  <c r="I1348"/>
  <c r="I1347"/>
  <c r="I1346"/>
  <c r="I1345"/>
  <c r="I1344"/>
  <c r="I1343"/>
  <c r="I1342"/>
  <c r="I1341"/>
  <c r="I1340"/>
  <c r="I1339"/>
  <c r="I1338"/>
  <c r="I1337"/>
  <c r="I1336"/>
  <c r="I1335"/>
  <c r="I1334"/>
  <c r="I1333"/>
  <c r="I1332"/>
  <c r="I1331"/>
  <c r="I1330"/>
  <c r="I1329"/>
  <c r="I1328"/>
  <c r="I1327"/>
  <c r="I1326"/>
  <c r="I1325"/>
  <c r="I1324"/>
  <c r="I1323"/>
  <c r="I1322"/>
  <c r="I1321"/>
  <c r="I1320"/>
  <c r="I1319"/>
  <c r="I1318"/>
  <c r="I1317"/>
  <c r="I1316"/>
  <c r="I1315"/>
  <c r="I1314"/>
  <c r="I1313"/>
  <c r="I1312"/>
  <c r="I1311"/>
  <c r="I1310"/>
  <c r="I1309"/>
  <c r="I1308"/>
  <c r="I1307"/>
  <c r="I1306"/>
  <c r="I1305"/>
  <c r="I1304"/>
  <c r="I1303"/>
  <c r="I1302"/>
  <c r="I1301"/>
  <c r="I1300"/>
  <c r="I1299"/>
  <c r="I1298"/>
  <c r="I1297"/>
  <c r="I1296"/>
  <c r="I1295"/>
  <c r="I1294"/>
  <c r="I1293"/>
  <c r="I1292"/>
  <c r="I1291"/>
  <c r="I1290"/>
  <c r="I1289"/>
  <c r="I1288"/>
  <c r="I1287"/>
  <c r="I1286"/>
  <c r="I1285"/>
  <c r="I1284"/>
  <c r="I1283"/>
  <c r="I1282"/>
  <c r="I1281"/>
  <c r="I1280"/>
  <c r="I1279"/>
  <c r="I1278"/>
  <c r="I1277"/>
  <c r="I1276"/>
  <c r="I1275"/>
  <c r="I1274"/>
  <c r="I1273"/>
  <c r="I1272"/>
  <c r="I1271"/>
  <c r="I1270"/>
  <c r="I1269"/>
  <c r="I1268"/>
  <c r="I1267"/>
  <c r="I1266"/>
  <c r="I1265"/>
  <c r="I1264"/>
  <c r="I1263"/>
  <c r="I1262"/>
  <c r="I1261"/>
  <c r="I1260"/>
  <c r="I1259"/>
  <c r="I1258"/>
  <c r="I1257"/>
  <c r="I1256"/>
  <c r="I1255"/>
  <c r="I1254"/>
  <c r="I1253"/>
  <c r="I1252"/>
  <c r="I1251"/>
  <c r="I1250"/>
  <c r="I1249"/>
  <c r="I1248"/>
  <c r="I1247"/>
  <c r="I1246"/>
  <c r="I1245"/>
  <c r="I1244"/>
  <c r="I1243"/>
  <c r="I1242"/>
  <c r="I1241"/>
  <c r="I1240"/>
  <c r="I1239"/>
  <c r="I1238"/>
  <c r="I1237"/>
  <c r="I1236"/>
  <c r="I1235"/>
  <c r="I1234"/>
  <c r="I1233"/>
  <c r="I1232"/>
  <c r="I1231"/>
  <c r="I1230"/>
  <c r="I1229"/>
  <c r="I1228"/>
  <c r="I1227"/>
  <c r="I1226"/>
  <c r="I1225"/>
  <c r="I1224"/>
  <c r="I1223"/>
  <c r="I1222"/>
  <c r="I1221"/>
  <c r="I1220"/>
  <c r="I1219"/>
  <c r="I1218"/>
  <c r="I1217"/>
  <c r="I1216"/>
  <c r="I1215"/>
  <c r="I1214"/>
  <c r="I1213"/>
  <c r="I1212"/>
  <c r="I1211"/>
  <c r="I1210"/>
  <c r="I1209"/>
  <c r="I1208"/>
  <c r="I1207"/>
  <c r="I1206"/>
  <c r="I1205"/>
  <c r="I1204"/>
  <c r="I1203"/>
  <c r="I1202"/>
  <c r="I1201"/>
  <c r="I1200"/>
  <c r="I1199"/>
  <c r="I1198"/>
  <c r="I1197"/>
  <c r="I1196"/>
  <c r="I1195"/>
  <c r="I1194"/>
  <c r="I1193"/>
  <c r="I1192"/>
  <c r="I1191"/>
  <c r="I1190"/>
  <c r="I1189"/>
  <c r="I1188"/>
  <c r="I1187"/>
  <c r="I1186"/>
  <c r="I1185"/>
  <c r="I1184"/>
  <c r="I1183"/>
  <c r="I1182"/>
  <c r="I1181"/>
  <c r="I1180"/>
  <c r="I1179"/>
  <c r="I1178"/>
  <c r="I1177"/>
  <c r="I1176"/>
  <c r="I1175"/>
  <c r="I1174"/>
  <c r="I1173"/>
  <c r="I1172"/>
  <c r="I1171"/>
  <c r="I1170"/>
  <c r="I1169"/>
  <c r="I1168"/>
  <c r="I1167"/>
  <c r="I1166"/>
  <c r="I1165"/>
  <c r="I1164"/>
  <c r="I1163"/>
  <c r="I1162"/>
  <c r="I1161"/>
  <c r="I1160"/>
  <c r="I1159"/>
  <c r="I1158"/>
  <c r="I1157"/>
  <c r="I1156"/>
  <c r="I1155"/>
  <c r="I1154"/>
  <c r="I1153"/>
  <c r="I1152"/>
  <c r="I1151"/>
  <c r="I1150"/>
  <c r="I1149"/>
  <c r="I1148"/>
  <c r="I1147"/>
  <c r="I1146"/>
  <c r="I1145"/>
  <c r="I1144"/>
  <c r="I1143"/>
  <c r="I1142"/>
  <c r="I1141"/>
  <c r="I1140"/>
  <c r="I1139"/>
  <c r="I1138"/>
  <c r="I1137"/>
  <c r="I1136"/>
  <c r="I1135"/>
  <c r="I1134"/>
  <c r="I1133"/>
  <c r="I1132"/>
  <c r="I1131"/>
  <c r="I1130"/>
  <c r="I1129"/>
  <c r="I1128"/>
  <c r="I1127"/>
  <c r="I1126"/>
  <c r="I1125"/>
  <c r="I1124"/>
  <c r="I1123"/>
  <c r="I1122"/>
  <c r="I1121"/>
  <c r="I1120"/>
  <c r="I1119"/>
  <c r="I1118"/>
  <c r="I1117"/>
  <c r="I1116"/>
  <c r="I1115"/>
  <c r="I1114"/>
  <c r="I1113"/>
  <c r="I1112"/>
  <c r="I1111"/>
  <c r="I1110"/>
  <c r="I1109"/>
  <c r="I1108"/>
  <c r="I1107"/>
  <c r="I1106"/>
  <c r="I1105"/>
  <c r="I1104"/>
  <c r="I1103"/>
  <c r="I1102"/>
  <c r="I1101"/>
  <c r="I1100"/>
  <c r="I1099"/>
  <c r="I1098"/>
  <c r="I1097"/>
  <c r="I1096"/>
  <c r="I1095"/>
  <c r="I1094"/>
  <c r="I1093"/>
  <c r="I1092"/>
  <c r="I1091"/>
  <c r="I1090"/>
  <c r="I1089"/>
  <c r="I1088"/>
  <c r="I1087"/>
  <c r="I1086"/>
  <c r="I1085"/>
  <c r="I1084"/>
  <c r="I1083"/>
  <c r="I1082"/>
  <c r="I1081"/>
  <c r="I1080"/>
  <c r="I1079"/>
  <c r="I1078"/>
  <c r="I1077"/>
  <c r="I1076"/>
  <c r="I1075"/>
  <c r="I1074"/>
  <c r="I1073"/>
  <c r="I1072"/>
  <c r="I1071"/>
  <c r="I1070"/>
  <c r="I1069"/>
  <c r="I1068"/>
  <c r="I1067"/>
  <c r="I1066"/>
  <c r="I1065"/>
  <c r="I1064"/>
  <c r="I1063"/>
  <c r="I1062"/>
  <c r="I1061"/>
  <c r="I1060"/>
  <c r="I1059"/>
  <c r="I1058"/>
  <c r="I1057"/>
  <c r="I1056"/>
  <c r="I1055"/>
  <c r="I1054"/>
  <c r="I1053"/>
  <c r="I1052"/>
  <c r="I1051"/>
  <c r="I1050"/>
  <c r="I1049"/>
  <c r="I1048"/>
  <c r="I1047"/>
  <c r="I1046"/>
  <c r="I1045"/>
  <c r="I1044"/>
  <c r="I1043"/>
  <c r="I1042"/>
  <c r="I1041"/>
  <c r="I1040"/>
  <c r="I1039"/>
  <c r="I1038"/>
  <c r="I1037"/>
  <c r="I1036"/>
  <c r="I1035"/>
  <c r="I1034"/>
  <c r="I1033"/>
  <c r="I1032"/>
  <c r="I1031"/>
  <c r="I1030"/>
  <c r="I1029"/>
  <c r="I1028"/>
  <c r="I1027"/>
  <c r="I1026"/>
  <c r="I1025"/>
  <c r="I1024"/>
  <c r="I1023"/>
  <c r="I1022"/>
  <c r="I1021"/>
  <c r="I1020"/>
  <c r="I1019"/>
  <c r="I1018"/>
  <c r="I1017"/>
  <c r="I1016"/>
  <c r="I1015"/>
  <c r="I1014"/>
  <c r="I1013"/>
  <c r="I1012"/>
  <c r="I1011"/>
  <c r="I1010"/>
  <c r="I1009"/>
  <c r="I1008"/>
  <c r="I1007"/>
  <c r="I1006"/>
  <c r="I1005"/>
  <c r="I1004"/>
  <c r="I1003"/>
  <c r="I1002"/>
  <c r="I1001"/>
  <c r="I1000"/>
  <c r="I999"/>
  <c r="I998"/>
  <c r="I997"/>
  <c r="I996"/>
  <c r="I995"/>
  <c r="I994"/>
  <c r="I993"/>
  <c r="I992"/>
  <c r="I991"/>
  <c r="I990"/>
  <c r="I989"/>
  <c r="I988"/>
  <c r="I987"/>
  <c r="I986"/>
  <c r="I985"/>
  <c r="I984"/>
  <c r="I983"/>
  <c r="I982"/>
  <c r="I981"/>
  <c r="I980"/>
  <c r="I979"/>
  <c r="I978"/>
  <c r="I977"/>
  <c r="I976"/>
  <c r="I975"/>
  <c r="I974"/>
  <c r="I973"/>
  <c r="I972"/>
  <c r="I971"/>
  <c r="I970"/>
  <c r="I969"/>
  <c r="I968"/>
  <c r="I967"/>
  <c r="I966"/>
  <c r="I965"/>
  <c r="I964"/>
  <c r="I963"/>
  <c r="I962"/>
  <c r="I961"/>
  <c r="I960"/>
  <c r="I959"/>
  <c r="I958"/>
  <c r="I957"/>
  <c r="I956"/>
  <c r="I955"/>
  <c r="I954"/>
  <c r="I953"/>
  <c r="I952"/>
  <c r="I951"/>
  <c r="I950"/>
  <c r="I949"/>
  <c r="I948"/>
  <c r="I947"/>
  <c r="I946"/>
  <c r="I945"/>
  <c r="I944"/>
  <c r="I943"/>
  <c r="I942"/>
  <c r="I941"/>
  <c r="I940"/>
  <c r="I939"/>
  <c r="I938"/>
  <c r="I937"/>
  <c r="I936"/>
  <c r="I935"/>
  <c r="I934"/>
  <c r="I933"/>
  <c r="I932"/>
  <c r="I931"/>
  <c r="I930"/>
  <c r="I929"/>
  <c r="I928"/>
  <c r="I927"/>
  <c r="I926"/>
  <c r="I925"/>
  <c r="I924"/>
  <c r="I923"/>
  <c r="I922"/>
  <c r="I921"/>
  <c r="I920"/>
  <c r="I919"/>
  <c r="I918"/>
  <c r="I917"/>
  <c r="I916"/>
  <c r="I915"/>
  <c r="I914"/>
  <c r="I913"/>
  <c r="I912"/>
  <c r="I911"/>
  <c r="I910"/>
  <c r="I909"/>
  <c r="I908"/>
  <c r="I907"/>
  <c r="I906"/>
  <c r="I905"/>
  <c r="I904"/>
  <c r="I903"/>
  <c r="I902"/>
  <c r="I901"/>
  <c r="I900"/>
  <c r="I899"/>
  <c r="I898"/>
  <c r="I897"/>
  <c r="I896"/>
  <c r="I895"/>
  <c r="I894"/>
  <c r="I893"/>
  <c r="I892"/>
  <c r="I891"/>
  <c r="I890"/>
  <c r="I889"/>
  <c r="I888"/>
  <c r="I887"/>
  <c r="I886"/>
  <c r="I885"/>
  <c r="I884"/>
  <c r="I883"/>
  <c r="I882"/>
  <c r="I881"/>
  <c r="I880"/>
  <c r="I879"/>
  <c r="I878"/>
  <c r="I877"/>
  <c r="I876"/>
  <c r="I875"/>
  <c r="I874"/>
  <c r="I873"/>
  <c r="I872"/>
  <c r="I871"/>
  <c r="I870"/>
  <c r="I869"/>
  <c r="I868"/>
  <c r="I867"/>
  <c r="I866"/>
  <c r="I865"/>
  <c r="I864"/>
  <c r="I863"/>
  <c r="I862"/>
  <c r="I861"/>
  <c r="I860"/>
  <c r="I859"/>
  <c r="I858"/>
  <c r="I857"/>
  <c r="I856"/>
  <c r="I855"/>
  <c r="I854"/>
  <c r="I853"/>
  <c r="I852"/>
  <c r="I851"/>
  <c r="I850"/>
  <c r="I849"/>
  <c r="I848"/>
  <c r="I847"/>
  <c r="I846"/>
  <c r="I845"/>
  <c r="I844"/>
  <c r="I843"/>
  <c r="I842"/>
  <c r="I841"/>
  <c r="I840"/>
  <c r="I839"/>
  <c r="I838"/>
  <c r="I837"/>
  <c r="I836"/>
  <c r="I835"/>
  <c r="I834"/>
  <c r="I833"/>
  <c r="I832"/>
  <c r="I831"/>
  <c r="I830"/>
  <c r="I829"/>
  <c r="I828"/>
  <c r="I827"/>
  <c r="I826"/>
  <c r="I825"/>
  <c r="I824"/>
  <c r="I823"/>
  <c r="I822"/>
  <c r="I821"/>
  <c r="I820"/>
  <c r="I819"/>
  <c r="I818"/>
  <c r="I817"/>
  <c r="I816"/>
  <c r="I815"/>
  <c r="I814"/>
  <c r="I813"/>
  <c r="I812"/>
  <c r="I811"/>
  <c r="I810"/>
  <c r="I809"/>
  <c r="I808"/>
  <c r="I807"/>
  <c r="I806"/>
  <c r="I805"/>
  <c r="I804"/>
  <c r="I803"/>
  <c r="I802"/>
  <c r="I801"/>
  <c r="I800"/>
  <c r="I799"/>
  <c r="I798"/>
  <c r="I797"/>
  <c r="I796"/>
  <c r="I795"/>
  <c r="I794"/>
  <c r="I792"/>
  <c r="I791"/>
  <c r="I790"/>
  <c r="I789"/>
  <c r="I788"/>
  <c r="I787"/>
  <c r="I786"/>
  <c r="I785"/>
  <c r="I784"/>
  <c r="I783"/>
  <c r="I782"/>
  <c r="I781"/>
  <c r="I780"/>
  <c r="I779"/>
  <c r="I778"/>
  <c r="I777"/>
  <c r="I776"/>
  <c r="I775"/>
  <c r="I774"/>
  <c r="I773"/>
  <c r="I772"/>
  <c r="I771"/>
  <c r="I770"/>
  <c r="I769"/>
  <c r="I768"/>
  <c r="I767"/>
  <c r="I766"/>
  <c r="I765"/>
  <c r="I764"/>
  <c r="I763"/>
  <c r="I762"/>
  <c r="I761"/>
  <c r="I760"/>
  <c r="I759"/>
  <c r="I758"/>
  <c r="I757"/>
  <c r="I756"/>
  <c r="I755"/>
  <c r="I754"/>
  <c r="I753"/>
  <c r="I752"/>
  <c r="I751"/>
  <c r="I750"/>
  <c r="I749"/>
  <c r="I748"/>
  <c r="I747"/>
  <c r="I746"/>
  <c r="I745"/>
  <c r="I744"/>
  <c r="I743"/>
  <c r="I742"/>
  <c r="I741"/>
  <c r="I740"/>
  <c r="I739"/>
  <c r="I738"/>
  <c r="I737"/>
  <c r="I736"/>
  <c r="I735"/>
  <c r="I734"/>
  <c r="I733"/>
  <c r="I732"/>
  <c r="I731"/>
  <c r="I730"/>
  <c r="I729"/>
  <c r="I728"/>
  <c r="I727"/>
  <c r="I726"/>
  <c r="I725"/>
  <c r="I724"/>
  <c r="I723"/>
  <c r="I722"/>
  <c r="I721"/>
  <c r="I720"/>
  <c r="I719"/>
  <c r="I718"/>
  <c r="I717"/>
  <c r="I716"/>
  <c r="I715"/>
  <c r="I714"/>
  <c r="I713"/>
  <c r="I712"/>
  <c r="I711"/>
  <c r="I710"/>
  <c r="I709"/>
  <c r="I708"/>
  <c r="I707"/>
  <c r="I706"/>
  <c r="I705"/>
  <c r="I704"/>
  <c r="I703"/>
  <c r="I702"/>
  <c r="I701"/>
  <c r="I700"/>
  <c r="I699"/>
  <c r="I698"/>
  <c r="I697"/>
  <c r="I696"/>
  <c r="I695"/>
  <c r="I694"/>
  <c r="I693"/>
  <c r="I692"/>
  <c r="I691"/>
  <c r="I690"/>
  <c r="I689"/>
  <c r="I688"/>
  <c r="I687"/>
  <c r="I686"/>
  <c r="I685"/>
  <c r="I684"/>
  <c r="I683"/>
  <c r="I682"/>
  <c r="I681"/>
  <c r="I680"/>
  <c r="I679"/>
  <c r="I678"/>
  <c r="I677"/>
  <c r="I676"/>
  <c r="I675"/>
  <c r="I674"/>
  <c r="I673"/>
  <c r="I672"/>
  <c r="I671"/>
  <c r="I670"/>
  <c r="I669"/>
  <c r="I668"/>
  <c r="I667"/>
  <c r="I666"/>
  <c r="I665"/>
  <c r="I664"/>
  <c r="I663"/>
  <c r="I662"/>
  <c r="I661"/>
  <c r="I660"/>
  <c r="I659"/>
  <c r="I658"/>
  <c r="I657"/>
  <c r="I656"/>
  <c r="I655"/>
  <c r="I654"/>
  <c r="I653"/>
  <c r="I652"/>
  <c r="I651"/>
  <c r="I650"/>
  <c r="I649"/>
  <c r="I648"/>
  <c r="I647"/>
  <c r="I646"/>
  <c r="I645"/>
  <c r="I644"/>
  <c r="I643"/>
  <c r="I642"/>
  <c r="I641"/>
  <c r="I640"/>
  <c r="I639"/>
  <c r="I638"/>
  <c r="I637"/>
  <c r="I636"/>
  <c r="I635"/>
  <c r="I634"/>
  <c r="I633"/>
  <c r="I632"/>
  <c r="I631"/>
  <c r="I630"/>
  <c r="I629"/>
  <c r="I628"/>
  <c r="I627"/>
  <c r="I626"/>
  <c r="I625"/>
  <c r="I624"/>
  <c r="I623"/>
  <c r="I622"/>
  <c r="I621"/>
  <c r="I620"/>
  <c r="I619"/>
  <c r="I618"/>
  <c r="I617"/>
  <c r="I616"/>
  <c r="I615"/>
  <c r="I614"/>
  <c r="I613"/>
  <c r="I612"/>
  <c r="I611"/>
  <c r="I610"/>
  <c r="I609"/>
  <c r="I608"/>
  <c r="I607"/>
  <c r="I606"/>
  <c r="I605"/>
  <c r="I604"/>
  <c r="I603"/>
  <c r="I602"/>
  <c r="I601"/>
  <c r="I600"/>
  <c r="I599"/>
  <c r="I598"/>
  <c r="I597"/>
  <c r="I596"/>
  <c r="I595"/>
  <c r="I594"/>
  <c r="I593"/>
  <c r="I592"/>
  <c r="I591"/>
  <c r="I590"/>
  <c r="I589"/>
  <c r="I588"/>
  <c r="I587"/>
  <c r="I586"/>
  <c r="I585"/>
  <c r="I584"/>
  <c r="I583"/>
  <c r="I582"/>
  <c r="I581"/>
  <c r="I580"/>
  <c r="I579"/>
  <c r="I578"/>
  <c r="I577"/>
  <c r="I576"/>
  <c r="I575"/>
  <c r="I574"/>
  <c r="I573"/>
  <c r="I572"/>
  <c r="I571"/>
  <c r="I570"/>
  <c r="I569"/>
  <c r="I568"/>
  <c r="I567"/>
  <c r="I566"/>
  <c r="I565"/>
  <c r="I564"/>
  <c r="I563"/>
  <c r="I562"/>
  <c r="I561"/>
  <c r="I560"/>
  <c r="I559"/>
  <c r="I558"/>
  <c r="I557"/>
  <c r="I556"/>
  <c r="I555"/>
  <c r="I554"/>
  <c r="I553"/>
  <c r="I552"/>
  <c r="I551"/>
  <c r="I550"/>
  <c r="I549"/>
  <c r="I548"/>
  <c r="I547"/>
  <c r="I546"/>
  <c r="I545"/>
  <c r="I544"/>
  <c r="I543"/>
  <c r="I542"/>
  <c r="I541"/>
  <c r="I540"/>
  <c r="I539"/>
  <c r="I538"/>
  <c r="I537"/>
  <c r="I536"/>
  <c r="I535"/>
  <c r="I534"/>
  <c r="I533"/>
  <c r="I532"/>
  <c r="I531"/>
  <c r="I530"/>
  <c r="I529"/>
  <c r="I528"/>
  <c r="I527"/>
  <c r="I526"/>
  <c r="I525"/>
  <c r="I524"/>
  <c r="I523"/>
  <c r="I522"/>
  <c r="I521"/>
  <c r="I520"/>
  <c r="I519"/>
  <c r="I518"/>
  <c r="I517"/>
  <c r="I516"/>
  <c r="I515"/>
  <c r="I514"/>
  <c r="I513"/>
  <c r="I512"/>
  <c r="I511"/>
  <c r="I510"/>
  <c r="I509"/>
  <c r="I508"/>
  <c r="I507"/>
  <c r="I506"/>
  <c r="I505"/>
  <c r="I504"/>
  <c r="I503"/>
  <c r="I502"/>
  <c r="I501"/>
  <c r="I500"/>
  <c r="I499"/>
  <c r="I498"/>
  <c r="I497"/>
  <c r="I496"/>
  <c r="I495"/>
  <c r="I494"/>
  <c r="I493"/>
  <c r="I492"/>
  <c r="I491"/>
  <c r="I490"/>
  <c r="I489"/>
  <c r="I488"/>
  <c r="I487"/>
  <c r="I486"/>
  <c r="I485"/>
  <c r="I484"/>
  <c r="I483"/>
  <c r="I482"/>
  <c r="I481"/>
  <c r="I480"/>
  <c r="I479"/>
  <c r="I478"/>
  <c r="I477"/>
  <c r="I476"/>
  <c r="I475"/>
  <c r="I474"/>
  <c r="I473"/>
  <c r="I472"/>
  <c r="I471"/>
  <c r="I470"/>
  <c r="I469"/>
  <c r="I468"/>
  <c r="I467"/>
  <c r="I466"/>
  <c r="I465"/>
  <c r="I464"/>
  <c r="I463"/>
  <c r="I462"/>
  <c r="I461"/>
  <c r="I460"/>
  <c r="I459"/>
  <c r="I458"/>
  <c r="I457"/>
  <c r="I456"/>
  <c r="I455"/>
  <c r="I454"/>
  <c r="I453"/>
  <c r="I452"/>
  <c r="I451"/>
  <c r="I450"/>
  <c r="I449"/>
  <c r="I448"/>
  <c r="I447"/>
  <c r="I446"/>
  <c r="I445"/>
  <c r="I444"/>
  <c r="I443"/>
  <c r="I442"/>
  <c r="I441"/>
  <c r="I440"/>
  <c r="I439"/>
  <c r="I438"/>
  <c r="I437"/>
  <c r="I436"/>
  <c r="I435"/>
  <c r="I434"/>
  <c r="I433"/>
  <c r="I432"/>
  <c r="I431"/>
  <c r="I430"/>
  <c r="I429"/>
  <c r="I428"/>
  <c r="I427"/>
  <c r="I426"/>
  <c r="I425"/>
  <c r="I424"/>
  <c r="I423"/>
  <c r="I422"/>
  <c r="I421"/>
  <c r="I420"/>
  <c r="I419"/>
  <c r="I418"/>
  <c r="I417"/>
  <c r="I416"/>
  <c r="I415"/>
  <c r="I414"/>
  <c r="I413"/>
  <c r="I412"/>
  <c r="I411"/>
  <c r="I410"/>
  <c r="I409"/>
  <c r="I408"/>
  <c r="I407"/>
  <c r="I406"/>
  <c r="I405"/>
  <c r="I404"/>
  <c r="I403"/>
  <c r="I402"/>
  <c r="I401"/>
  <c r="I400"/>
  <c r="I399"/>
  <c r="I398"/>
  <c r="I397"/>
  <c r="I396"/>
  <c r="I395"/>
  <c r="I394"/>
  <c r="I393"/>
  <c r="I392"/>
  <c r="I391"/>
  <c r="I390"/>
  <c r="I389"/>
  <c r="I388"/>
  <c r="I387"/>
  <c r="I386"/>
  <c r="I385"/>
  <c r="I384"/>
  <c r="I383"/>
  <c r="I382"/>
  <c r="I381"/>
  <c r="I380"/>
  <c r="I379"/>
  <c r="I378"/>
  <c r="I377"/>
  <c r="I376"/>
  <c r="I375"/>
  <c r="I374"/>
  <c r="I373"/>
  <c r="I372"/>
  <c r="I371"/>
  <c r="I370"/>
  <c r="I369"/>
  <c r="I368"/>
  <c r="I367"/>
  <c r="I366"/>
  <c r="I365"/>
  <c r="I364"/>
  <c r="I363"/>
  <c r="I362"/>
  <c r="I361"/>
  <c r="I360"/>
  <c r="I359"/>
  <c r="I358"/>
  <c r="I357"/>
  <c r="I356"/>
  <c r="I355"/>
  <c r="I354"/>
  <c r="I353"/>
  <c r="I352"/>
  <c r="I351"/>
  <c r="I350"/>
  <c r="I349"/>
  <c r="I348"/>
  <c r="I347"/>
  <c r="I346"/>
  <c r="I345"/>
  <c r="I344"/>
  <c r="I343"/>
  <c r="I342"/>
  <c r="I341"/>
  <c r="I340"/>
  <c r="I339"/>
  <c r="I338"/>
  <c r="I337"/>
  <c r="I336"/>
  <c r="I335"/>
  <c r="I334"/>
  <c r="I333"/>
  <c r="I332"/>
  <c r="I331"/>
  <c r="I330"/>
  <c r="I329"/>
  <c r="I328"/>
  <c r="I327"/>
  <c r="I326"/>
  <c r="I325"/>
  <c r="I324"/>
  <c r="I323"/>
  <c r="I322"/>
  <c r="I321"/>
  <c r="I320"/>
  <c r="I319"/>
  <c r="I318"/>
  <c r="I317"/>
  <c r="I316"/>
  <c r="I315"/>
  <c r="I314"/>
  <c r="I313"/>
  <c r="I312"/>
  <c r="I311"/>
  <c r="I310"/>
  <c r="I309"/>
  <c r="I308"/>
  <c r="I307"/>
  <c r="I306"/>
  <c r="I305"/>
  <c r="I304"/>
  <c r="I303"/>
  <c r="I302"/>
  <c r="I301"/>
  <c r="I300"/>
  <c r="I299"/>
  <c r="I298"/>
  <c r="I297"/>
  <c r="I296"/>
  <c r="I295"/>
  <c r="I294"/>
  <c r="I293"/>
  <c r="I292"/>
  <c r="I291"/>
  <c r="I290"/>
  <c r="I289"/>
  <c r="I288"/>
  <c r="I287"/>
  <c r="I286"/>
  <c r="I285"/>
  <c r="I284"/>
  <c r="I283"/>
  <c r="I282"/>
  <c r="I281"/>
  <c r="I280"/>
  <c r="I279"/>
  <c r="I278"/>
  <c r="I277"/>
  <c r="I276"/>
  <c r="I275"/>
  <c r="I274"/>
  <c r="I273"/>
  <c r="I272"/>
  <c r="I271"/>
  <c r="I270"/>
  <c r="I269"/>
  <c r="I268"/>
  <c r="I267"/>
  <c r="I266"/>
  <c r="I265"/>
  <c r="I264"/>
  <c r="I263"/>
  <c r="I262"/>
  <c r="I261"/>
  <c r="I260"/>
  <c r="I259"/>
  <c r="I258"/>
  <c r="I257"/>
  <c r="I256"/>
  <c r="I255"/>
  <c r="I254"/>
  <c r="I253"/>
  <c r="I252"/>
  <c r="I251"/>
  <c r="I250"/>
  <c r="I249"/>
  <c r="I248"/>
  <c r="I247"/>
  <c r="I246"/>
  <c r="I245"/>
  <c r="I244"/>
  <c r="I243"/>
  <c r="I242"/>
  <c r="I241"/>
  <c r="I240"/>
  <c r="I239"/>
  <c r="I238"/>
  <c r="I237"/>
  <c r="I236"/>
  <c r="I235"/>
  <c r="I234"/>
  <c r="I233"/>
  <c r="I232"/>
  <c r="I231"/>
  <c r="I230"/>
  <c r="I229"/>
  <c r="I228"/>
  <c r="I227"/>
  <c r="I226"/>
  <c r="I225"/>
  <c r="I224"/>
  <c r="I223"/>
  <c r="I222"/>
  <c r="I221"/>
  <c r="I220"/>
  <c r="I219"/>
  <c r="I218"/>
  <c r="I217"/>
  <c r="I216"/>
  <c r="I215"/>
  <c r="I214"/>
  <c r="I213"/>
  <c r="I212"/>
  <c r="I211"/>
  <c r="I210"/>
  <c r="I209"/>
  <c r="I208"/>
  <c r="I207"/>
  <c r="I206"/>
  <c r="I205"/>
  <c r="I204"/>
  <c r="I203"/>
  <c r="I202"/>
  <c r="I201"/>
  <c r="I200"/>
  <c r="I199"/>
  <c r="I198"/>
  <c r="I197"/>
  <c r="I196"/>
  <c r="I195"/>
  <c r="I194"/>
  <c r="I193"/>
  <c r="I192"/>
  <c r="I191"/>
  <c r="I190"/>
  <c r="I189"/>
  <c r="I188"/>
  <c r="I187"/>
  <c r="I186"/>
  <c r="I185"/>
  <c r="I184"/>
  <c r="I183"/>
  <c r="I182"/>
  <c r="I181"/>
  <c r="I180"/>
  <c r="I179"/>
  <c r="I178"/>
  <c r="I177"/>
  <c r="I176"/>
  <c r="I175"/>
  <c r="I174"/>
  <c r="I173"/>
  <c r="I172"/>
  <c r="I171"/>
  <c r="I170"/>
  <c r="I169"/>
  <c r="I168"/>
  <c r="I167"/>
  <c r="I166"/>
  <c r="I165"/>
  <c r="I164"/>
  <c r="I163"/>
  <c r="I162"/>
  <c r="I161"/>
  <c r="I160"/>
  <c r="I159"/>
  <c r="I158"/>
  <c r="I157"/>
  <c r="I156"/>
  <c r="I155"/>
  <c r="I154"/>
  <c r="I153"/>
  <c r="I152"/>
  <c r="I151"/>
  <c r="I150"/>
  <c r="I149"/>
  <c r="I148"/>
  <c r="I147"/>
  <c r="I146"/>
  <c r="I145"/>
  <c r="I144"/>
  <c r="I143"/>
  <c r="I142"/>
  <c r="I141"/>
  <c r="I140"/>
  <c r="I139"/>
  <c r="I138"/>
  <c r="I137"/>
  <c r="I136"/>
  <c r="I135"/>
  <c r="I134"/>
  <c r="I133"/>
  <c r="I132"/>
  <c r="I131"/>
  <c r="I130"/>
  <c r="I129"/>
  <c r="I128"/>
  <c r="I127"/>
  <c r="I126"/>
  <c r="I125"/>
  <c r="I124"/>
  <c r="I123"/>
  <c r="I122"/>
  <c r="I121"/>
  <c r="I120"/>
  <c r="I119"/>
  <c r="I118"/>
  <c r="I117"/>
  <c r="I116"/>
  <c r="I115"/>
  <c r="I114"/>
  <c r="I113"/>
  <c r="I112"/>
  <c r="I111"/>
  <c r="I110"/>
  <c r="I109"/>
  <c r="I108"/>
  <c r="I107"/>
  <c r="I106"/>
  <c r="I105"/>
  <c r="I104"/>
  <c r="I103"/>
  <c r="I102"/>
  <c r="I101"/>
  <c r="I100"/>
  <c r="I99"/>
  <c r="I98"/>
  <c r="I97"/>
  <c r="I96"/>
  <c r="I95"/>
  <c r="I94"/>
  <c r="I93"/>
  <c r="I92"/>
  <c r="I91"/>
  <c r="I90"/>
  <c r="I89"/>
  <c r="I88"/>
  <c r="I87"/>
  <c r="I86"/>
  <c r="I85"/>
  <c r="I84"/>
  <c r="I83"/>
  <c r="I82"/>
  <c r="I81"/>
  <c r="I80"/>
  <c r="I79"/>
  <c r="I78"/>
  <c r="I77"/>
  <c r="I76"/>
  <c r="I75"/>
  <c r="I74"/>
  <c r="I73"/>
  <c r="I72"/>
  <c r="I71"/>
  <c r="I70"/>
  <c r="I69"/>
  <c r="I68"/>
  <c r="I67"/>
  <c r="I66"/>
  <c r="I65"/>
  <c r="I64"/>
  <c r="I63"/>
  <c r="I62"/>
  <c r="I61"/>
  <c r="I60"/>
  <c r="I59"/>
  <c r="I58"/>
  <c r="I57"/>
  <c r="I56"/>
  <c r="I55"/>
  <c r="I54"/>
  <c r="I53"/>
  <c r="I52"/>
  <c r="I51"/>
  <c r="I50"/>
  <c r="I49"/>
  <c r="I48"/>
  <c r="I47"/>
  <c r="I46"/>
  <c r="I45"/>
  <c r="I44"/>
  <c r="I43"/>
  <c r="I42"/>
  <c r="I41"/>
  <c r="I39"/>
  <c r="I38"/>
  <c r="I37"/>
  <c r="I36"/>
  <c r="I35"/>
  <c r="I34"/>
  <c r="I33"/>
  <c r="I32"/>
  <c r="I31"/>
  <c r="I30"/>
  <c r="I29"/>
  <c r="I28"/>
  <c r="I27"/>
  <c r="I26"/>
  <c r="I25"/>
  <c r="I24"/>
  <c r="I23"/>
  <c r="I22"/>
  <c r="I21"/>
  <c r="I20"/>
  <c r="I19"/>
  <c r="I18"/>
  <c r="I17"/>
  <c r="I16"/>
  <c r="I15"/>
  <c r="I14"/>
  <c r="I13"/>
  <c r="I12"/>
  <c r="I11"/>
  <c r="I10"/>
  <c r="I9"/>
  <c r="I8"/>
  <c r="I7"/>
  <c r="I6"/>
  <c r="I5"/>
  <c r="I4"/>
  <c r="J4225"/>
  <c r="J3968"/>
  <c r="J3772"/>
  <c r="J3716"/>
  <c r="J2891"/>
  <c r="J2848"/>
  <c r="J2770"/>
  <c r="J2698"/>
  <c r="J2545"/>
  <c r="J1689"/>
  <c r="J1628"/>
  <c r="J793"/>
  <c r="J2195"/>
  <c r="J1896"/>
  <c r="J815"/>
  <c r="J40"/>
  <c r="J3767"/>
  <c r="B39" i="4" l="1"/>
  <c r="C39" s="1"/>
  <c r="B37"/>
  <c r="C37" s="1"/>
  <c r="B38"/>
  <c r="C38" s="1"/>
  <c r="B40"/>
  <c r="C40" s="1"/>
  <c r="B41"/>
  <c r="C41" s="1"/>
  <c r="B42"/>
  <c r="C42" s="1"/>
  <c r="B43"/>
  <c r="C43" s="1"/>
  <c r="B44"/>
  <c r="C44" s="1"/>
  <c r="B45"/>
  <c r="C45" s="1"/>
  <c r="B46"/>
  <c r="C46" s="1"/>
  <c r="B47"/>
  <c r="C47" s="1"/>
  <c r="B48"/>
  <c r="C48" s="1"/>
  <c r="B49"/>
  <c r="C49" s="1"/>
  <c r="K793" i="1"/>
  <c r="C793" s="1"/>
  <c r="K1628"/>
  <c r="C1628" s="1"/>
  <c r="K1689"/>
  <c r="C1689" s="1"/>
  <c r="K2545"/>
  <c r="C2545" s="1"/>
  <c r="K2698"/>
  <c r="C2698" s="1"/>
  <c r="K2770"/>
  <c r="C2770" s="1"/>
  <c r="K2848"/>
  <c r="C2848" s="1"/>
  <c r="K2891"/>
  <c r="C2891" s="1"/>
  <c r="K3716"/>
  <c r="C3716" s="1"/>
  <c r="K3772"/>
  <c r="C3772" s="1"/>
  <c r="K3968"/>
  <c r="C3968" s="1"/>
  <c r="K4225"/>
  <c r="C4225" s="1"/>
  <c r="K40"/>
  <c r="C40" s="1"/>
  <c r="K2195"/>
  <c r="C2195" s="1"/>
  <c r="K815"/>
  <c r="C815" s="1"/>
  <c r="K3767"/>
  <c r="C3767" s="1"/>
  <c r="K1896"/>
  <c r="C1896" s="1"/>
  <c r="F30" i="4"/>
  <c r="F31"/>
  <c r="G34"/>
  <c r="O2"/>
  <c r="E34"/>
  <c r="N2"/>
  <c r="F25"/>
  <c r="F24"/>
  <c r="L2" l="1"/>
  <c r="F34"/>
  <c r="F33"/>
  <c r="G33"/>
  <c r="E33"/>
  <c r="I3" i="1"/>
  <c r="J1755"/>
  <c r="J1189"/>
  <c r="J468"/>
  <c r="J2515"/>
  <c r="J900"/>
  <c r="J641"/>
  <c r="J717"/>
  <c r="J238"/>
  <c r="J2784"/>
  <c r="J1253"/>
  <c r="J1329"/>
  <c r="J1368"/>
  <c r="J1348"/>
  <c r="J396"/>
  <c r="J638"/>
  <c r="J1225"/>
  <c r="J2772"/>
  <c r="J1335"/>
  <c r="J1496"/>
  <c r="J662"/>
  <c r="J2069"/>
  <c r="J1737"/>
  <c r="J3564"/>
  <c r="J1338"/>
  <c r="J1272"/>
  <c r="J573"/>
  <c r="J2410"/>
  <c r="J621"/>
  <c r="J1309"/>
  <c r="J741"/>
  <c r="J2330"/>
  <c r="J868"/>
  <c r="J1527"/>
  <c r="J338"/>
  <c r="J572"/>
  <c r="J2942"/>
  <c r="J1798"/>
  <c r="J1521"/>
  <c r="J2773"/>
  <c r="J364"/>
  <c r="J2524"/>
  <c r="J625"/>
  <c r="J348"/>
  <c r="J2531"/>
  <c r="J509"/>
  <c r="J721"/>
  <c r="J836"/>
  <c r="J612"/>
  <c r="J893"/>
  <c r="J2127"/>
  <c r="J1422"/>
  <c r="J654"/>
  <c r="J3788"/>
  <c r="J2481"/>
  <c r="J2767"/>
  <c r="J1641"/>
  <c r="J2446"/>
  <c r="J937"/>
  <c r="J1050"/>
  <c r="J2505"/>
  <c r="J876"/>
  <c r="J2821"/>
  <c r="J2701"/>
  <c r="J3617"/>
  <c r="J3728"/>
  <c r="J1195"/>
  <c r="J732"/>
  <c r="J2927"/>
  <c r="J2522"/>
  <c r="J406"/>
  <c r="J235"/>
  <c r="J4093"/>
  <c r="J254"/>
  <c r="J1768"/>
  <c r="J2186"/>
  <c r="J682"/>
  <c r="J2769"/>
  <c r="J3615"/>
  <c r="J3729"/>
  <c r="J543"/>
  <c r="J637"/>
  <c r="J491"/>
  <c r="J1679"/>
  <c r="J1973"/>
  <c r="J2110"/>
  <c r="J1292"/>
  <c r="J817"/>
  <c r="J770"/>
  <c r="J3605"/>
  <c r="J3543"/>
  <c r="J1683"/>
  <c r="J1149"/>
  <c r="J309"/>
  <c r="J597"/>
  <c r="J2540"/>
  <c r="J639"/>
  <c r="J496"/>
  <c r="J1061"/>
  <c r="J3991"/>
  <c r="J1603"/>
  <c r="J2222"/>
  <c r="J4083"/>
  <c r="J1332"/>
  <c r="J1389"/>
  <c r="J1433"/>
  <c r="J227"/>
  <c r="J488"/>
  <c r="J2134"/>
  <c r="J1743"/>
  <c r="J2208"/>
  <c r="J1330"/>
  <c r="J2059"/>
  <c r="J2719"/>
  <c r="J1200"/>
  <c r="J809"/>
  <c r="J1356"/>
  <c r="J2176"/>
  <c r="J1540"/>
  <c r="J1806"/>
  <c r="J1355"/>
  <c r="J635"/>
  <c r="J2527"/>
  <c r="J2753"/>
  <c r="J331"/>
  <c r="J2956"/>
  <c r="J2535"/>
  <c r="J650"/>
  <c r="J305"/>
  <c r="J734"/>
  <c r="J850"/>
  <c r="J1373"/>
  <c r="J2103"/>
  <c r="J2518"/>
  <c r="J196"/>
  <c r="J781"/>
  <c r="J2761"/>
  <c r="J780"/>
  <c r="J958"/>
  <c r="J873"/>
  <c r="J2726"/>
  <c r="J284"/>
  <c r="J489"/>
  <c r="J832"/>
  <c r="J480"/>
  <c r="J1093"/>
  <c r="J626"/>
  <c r="J709"/>
  <c r="J3704"/>
  <c r="J2757"/>
  <c r="J1134"/>
  <c r="J711"/>
  <c r="J2760"/>
  <c r="J1625"/>
  <c r="J1624"/>
  <c r="J786"/>
  <c r="J1365"/>
  <c r="J2096"/>
  <c r="J946"/>
  <c r="J3287"/>
  <c r="J1966"/>
  <c r="J1366"/>
  <c r="J1734"/>
  <c r="J783"/>
  <c r="J481"/>
  <c r="J408"/>
  <c r="J704"/>
  <c r="J2844"/>
  <c r="J719"/>
  <c r="J255"/>
  <c r="J324"/>
  <c r="J1147"/>
  <c r="J1278"/>
  <c r="J451"/>
  <c r="J757"/>
  <c r="J3611"/>
  <c r="J1693"/>
  <c r="J3391"/>
  <c r="J1372"/>
  <c r="J2185"/>
  <c r="J2250"/>
  <c r="J1742"/>
  <c r="J1494"/>
  <c r="J667"/>
  <c r="J2506"/>
  <c r="J1190"/>
  <c r="J574"/>
  <c r="J1863"/>
  <c r="J636"/>
  <c r="J2533"/>
  <c r="J2258"/>
  <c r="J1019"/>
  <c r="J215"/>
  <c r="J541"/>
  <c r="J2025"/>
  <c r="J335"/>
  <c r="J1299"/>
  <c r="J1818"/>
  <c r="J903"/>
  <c r="J2778"/>
  <c r="J728"/>
  <c r="J767"/>
  <c r="J190"/>
  <c r="J225"/>
  <c r="J2414"/>
  <c r="J972"/>
  <c r="J1560"/>
  <c r="J2640"/>
  <c r="J3990"/>
  <c r="J4016"/>
  <c r="J2748"/>
  <c r="J1682"/>
  <c r="J3719"/>
  <c r="J587"/>
  <c r="J568"/>
  <c r="J2763"/>
  <c r="J692"/>
  <c r="J912"/>
  <c r="J615"/>
  <c r="J2254"/>
  <c r="J656"/>
  <c r="J213"/>
  <c r="J2359"/>
  <c r="J1029"/>
  <c r="J484"/>
  <c r="J790"/>
  <c r="J204"/>
  <c r="J1363"/>
  <c r="J1328"/>
  <c r="J354"/>
  <c r="J466"/>
  <c r="J661"/>
  <c r="J2026"/>
  <c r="J1965"/>
  <c r="J4166"/>
  <c r="J1931"/>
  <c r="J1434"/>
  <c r="J1899"/>
  <c r="J1021"/>
  <c r="J1819"/>
  <c r="J388"/>
  <c r="J3208"/>
  <c r="J3621"/>
  <c r="J288"/>
  <c r="J1898"/>
  <c r="J329"/>
  <c r="J1635"/>
  <c r="J3619"/>
  <c r="J738"/>
  <c r="J703"/>
  <c r="J813"/>
  <c r="J2830"/>
  <c r="J1339"/>
  <c r="J320"/>
  <c r="J240"/>
  <c r="J4219"/>
  <c r="J2542"/>
  <c r="J803"/>
  <c r="J948"/>
  <c r="J1244"/>
  <c r="J3075"/>
  <c r="J1706"/>
  <c r="J1334"/>
  <c r="J1357"/>
  <c r="J1013"/>
  <c r="J2433"/>
  <c r="J250"/>
  <c r="J657"/>
  <c r="J1495"/>
  <c r="J978"/>
  <c r="J2283"/>
  <c r="J1455"/>
  <c r="J655"/>
  <c r="J2218"/>
  <c r="J2235"/>
  <c r="J2510"/>
  <c r="J640"/>
  <c r="J623"/>
  <c r="J2924"/>
  <c r="J2371"/>
  <c r="J1140"/>
  <c r="J736"/>
  <c r="J805"/>
  <c r="J1623"/>
  <c r="J258"/>
  <c r="J1226"/>
  <c r="J2587"/>
  <c r="J1561"/>
  <c r="J2541"/>
  <c r="J252"/>
  <c r="J447"/>
  <c r="J811"/>
  <c r="J1767"/>
  <c r="J1556"/>
  <c r="J3124"/>
  <c r="J1063"/>
  <c r="J1098"/>
  <c r="J2852"/>
  <c r="J755"/>
  <c r="J336"/>
  <c r="J3606"/>
  <c r="J1111"/>
  <c r="J642"/>
  <c r="J577"/>
  <c r="J2882"/>
  <c r="J920"/>
  <c r="J606"/>
  <c r="J2898"/>
  <c r="J3608"/>
  <c r="J367"/>
  <c r="J1017"/>
  <c r="J4039"/>
  <c r="J1346"/>
  <c r="J1670"/>
  <c r="J1354"/>
  <c r="J896"/>
  <c r="J1342"/>
  <c r="J2033"/>
  <c r="J966"/>
  <c r="J1034"/>
  <c r="J1554"/>
  <c r="J1026"/>
  <c r="J864"/>
  <c r="J1801"/>
  <c r="J570"/>
  <c r="J458"/>
  <c r="J1686"/>
  <c r="J1846"/>
  <c r="J271"/>
  <c r="J2182"/>
  <c r="J1163"/>
  <c r="J415"/>
  <c r="J3008"/>
  <c r="J1129"/>
  <c r="J533"/>
  <c r="J1315"/>
  <c r="J1038"/>
  <c r="J1371"/>
  <c r="J643"/>
  <c r="J2672"/>
  <c r="J226"/>
  <c r="J1318"/>
  <c r="J2543"/>
  <c r="J432"/>
  <c r="J2507"/>
  <c r="J1263"/>
  <c r="J1232"/>
  <c r="J4106"/>
  <c r="J2512"/>
  <c r="J1152"/>
  <c r="J1304"/>
  <c r="J1720"/>
  <c r="J1143"/>
  <c r="J3579"/>
  <c r="J1562"/>
  <c r="J2637"/>
  <c r="J1594"/>
  <c r="J2589"/>
  <c r="J997"/>
  <c r="J2077"/>
  <c r="J2538"/>
  <c r="J1513"/>
  <c r="J2376"/>
  <c r="J2047"/>
  <c r="J203"/>
  <c r="J2759"/>
  <c r="J1879"/>
  <c r="J1993"/>
  <c r="J1738"/>
  <c r="J852"/>
  <c r="J394"/>
  <c r="J2534"/>
  <c r="J1210"/>
  <c r="J163"/>
  <c r="J2751"/>
  <c r="J2027"/>
  <c r="J550"/>
  <c r="J330"/>
  <c r="J1610"/>
  <c r="J2814"/>
  <c r="J1655"/>
  <c r="J2503"/>
  <c r="J1606"/>
  <c r="J963"/>
  <c r="J395"/>
  <c r="J1184"/>
  <c r="J919"/>
  <c r="J3383"/>
  <c r="J714"/>
  <c r="J983"/>
  <c r="J1037"/>
  <c r="J232"/>
  <c r="J1633"/>
  <c r="J2758"/>
  <c r="J999"/>
  <c r="J2777"/>
  <c r="J525"/>
  <c r="J3418"/>
  <c r="J1705"/>
  <c r="J1124"/>
  <c r="J821"/>
  <c r="J2755"/>
  <c r="J1070"/>
  <c r="J869"/>
  <c r="J800"/>
  <c r="J2284"/>
  <c r="J1011"/>
  <c r="J834"/>
  <c r="J1360"/>
  <c r="J2121"/>
  <c r="J2073"/>
  <c r="J3724"/>
  <c r="J2750"/>
  <c r="J1314"/>
  <c r="J700"/>
  <c r="J438"/>
  <c r="J2588"/>
  <c r="J461"/>
  <c r="J1691"/>
  <c r="J633"/>
  <c r="J2194"/>
  <c r="J1571"/>
  <c r="J2319"/>
  <c r="J2272"/>
  <c r="J1172"/>
  <c r="J1836"/>
  <c r="J1386"/>
  <c r="J282"/>
  <c r="J2551"/>
  <c r="J3881"/>
  <c r="J991"/>
  <c r="J3613"/>
  <c r="J3612"/>
  <c r="J749"/>
  <c r="J2536"/>
  <c r="J3064"/>
  <c r="J1361"/>
  <c r="J596"/>
  <c r="J356"/>
  <c r="J1393"/>
  <c r="J2592"/>
  <c r="J611"/>
  <c r="J1534"/>
  <c r="J1156"/>
  <c r="J1230"/>
  <c r="J2552"/>
  <c r="J591"/>
  <c r="J2514"/>
  <c r="J739"/>
  <c r="J1337"/>
  <c r="J486"/>
  <c r="J3048"/>
  <c r="J383"/>
  <c r="J1761"/>
  <c r="J351"/>
  <c r="J712"/>
  <c r="J866"/>
  <c r="J672"/>
  <c r="J2206"/>
  <c r="J3305"/>
  <c r="J2152"/>
  <c r="J3616"/>
  <c r="J369"/>
  <c r="J1305"/>
  <c r="J681"/>
  <c r="J1745"/>
  <c r="J216"/>
  <c r="J2074"/>
  <c r="J3132"/>
  <c r="J2764"/>
  <c r="J3646"/>
  <c r="J583"/>
  <c r="J2754"/>
  <c r="J2335"/>
  <c r="J1516"/>
  <c r="J511"/>
  <c r="J1916"/>
  <c r="J2203"/>
  <c r="J1814"/>
  <c r="J987"/>
  <c r="J453"/>
  <c r="J206"/>
  <c r="J1481"/>
  <c r="J1523"/>
  <c r="J3860"/>
  <c r="J2855"/>
  <c r="J315"/>
  <c r="J294"/>
  <c r="J360"/>
  <c r="J1369"/>
  <c r="J2909"/>
  <c r="J1333"/>
  <c r="J327"/>
  <c r="J1367"/>
  <c r="J1602"/>
  <c r="J1352"/>
  <c r="J272"/>
  <c r="J483"/>
  <c r="J269"/>
  <c r="J3610"/>
  <c r="J2991"/>
  <c r="J1642"/>
  <c r="J2119"/>
  <c r="J660"/>
  <c r="J280"/>
  <c r="J614"/>
  <c r="J3178"/>
  <c r="J2690"/>
  <c r="J1986"/>
  <c r="J826"/>
  <c r="J460"/>
  <c r="J1675"/>
  <c r="J2528"/>
  <c r="J1577"/>
  <c r="J1097"/>
  <c r="J1612"/>
  <c r="J1713"/>
  <c r="J2749"/>
  <c r="J2353"/>
  <c r="J962"/>
  <c r="J822"/>
  <c r="J1735"/>
  <c r="J487"/>
  <c r="J2280"/>
  <c r="J610"/>
  <c r="J1084"/>
  <c r="J4014"/>
  <c r="J538"/>
  <c r="J980"/>
  <c r="J2104"/>
  <c r="J2420"/>
  <c r="J1125"/>
  <c r="J276"/>
  <c r="J3166"/>
  <c r="J1086"/>
  <c r="J3829"/>
  <c r="J3281"/>
  <c r="J2035"/>
  <c r="J1064"/>
  <c r="J2783"/>
  <c r="J1108"/>
  <c r="J246"/>
  <c r="J772"/>
  <c r="J2537"/>
  <c r="J720"/>
  <c r="J1729"/>
  <c r="J2526"/>
  <c r="J243"/>
  <c r="J3832"/>
  <c r="J729"/>
  <c r="J556"/>
  <c r="J1660"/>
  <c r="J874"/>
  <c r="J784"/>
  <c r="J3970"/>
  <c r="J1794"/>
  <c r="J2183"/>
  <c r="J2511"/>
  <c r="J1815"/>
  <c r="J1178"/>
  <c r="J1725"/>
  <c r="J670"/>
  <c r="J2583"/>
  <c r="J2664"/>
  <c r="J949"/>
  <c r="J3655"/>
  <c r="J776"/>
  <c r="J1572"/>
  <c r="J3576"/>
  <c r="J2498"/>
  <c r="J1410"/>
  <c r="J2444"/>
  <c r="J2048"/>
  <c r="J2142"/>
  <c r="J1757"/>
  <c r="J3215"/>
  <c r="J2282"/>
  <c r="J1581"/>
  <c r="J3527"/>
  <c r="J3335"/>
  <c r="J4178"/>
  <c r="J1411"/>
  <c r="J1169"/>
  <c r="J1207"/>
  <c r="J194"/>
  <c r="J847"/>
  <c r="J2290"/>
  <c r="J3314"/>
  <c r="J1180"/>
  <c r="J744"/>
  <c r="J2150"/>
  <c r="J1533"/>
  <c r="J2984"/>
  <c r="J2178"/>
  <c r="J3554"/>
  <c r="J3321"/>
  <c r="J710"/>
  <c r="J344"/>
  <c r="J3007"/>
  <c r="J2163"/>
  <c r="J4109"/>
  <c r="J3308"/>
  <c r="J1511"/>
  <c r="J3620"/>
  <c r="J2832"/>
  <c r="J201"/>
  <c r="J810"/>
  <c r="J1042"/>
  <c r="J1229"/>
  <c r="J567"/>
  <c r="J2779"/>
  <c r="J2450"/>
  <c r="J1569"/>
  <c r="J1847"/>
  <c r="J2062"/>
  <c r="J2703"/>
  <c r="J4023"/>
  <c r="J1548"/>
  <c r="J1327"/>
  <c r="J433"/>
  <c r="J913"/>
  <c r="J3495"/>
  <c r="J2331"/>
  <c r="J471"/>
  <c r="J3356"/>
  <c r="J467"/>
  <c r="J1498"/>
  <c r="J3499"/>
  <c r="J4221"/>
  <c r="J2397"/>
  <c r="J690"/>
  <c r="J2476"/>
  <c r="J1484"/>
  <c r="J231"/>
  <c r="J2109"/>
  <c r="J3280"/>
  <c r="J950"/>
  <c r="J1268"/>
  <c r="J775"/>
  <c r="J694"/>
  <c r="J2519"/>
  <c r="J2508"/>
  <c r="J879"/>
  <c r="J1802"/>
  <c r="J2593"/>
  <c r="J718"/>
  <c r="J2071"/>
  <c r="J400"/>
  <c r="J3071"/>
  <c r="J1175"/>
  <c r="J1464"/>
  <c r="J702"/>
  <c r="J1811"/>
  <c r="J2086"/>
  <c r="J4172"/>
  <c r="J3220"/>
  <c r="J3574"/>
  <c r="J4204"/>
  <c r="J2434"/>
  <c r="J1213"/>
  <c r="J2031"/>
  <c r="J2472"/>
  <c r="J4025"/>
  <c r="J3851"/>
  <c r="J794"/>
  <c r="J1115"/>
  <c r="J2816"/>
  <c r="J1326"/>
  <c r="J1345"/>
  <c r="J1347"/>
  <c r="J1477"/>
  <c r="J1570"/>
  <c r="J257"/>
  <c r="J224"/>
  <c r="J594"/>
  <c r="J4131"/>
  <c r="J1677"/>
  <c r="J798"/>
  <c r="J2122"/>
  <c r="J1261"/>
  <c r="J1068"/>
  <c r="J4187"/>
  <c r="J3364"/>
  <c r="J2413"/>
  <c r="J2766"/>
  <c r="J1911"/>
  <c r="J2063"/>
  <c r="J602"/>
  <c r="J2293"/>
  <c r="J1596"/>
  <c r="J598"/>
  <c r="J3552"/>
  <c r="J1259"/>
  <c r="J3732"/>
  <c r="J2055"/>
  <c r="J2629"/>
  <c r="J1721"/>
  <c r="J1981"/>
  <c r="J209"/>
  <c r="J301"/>
  <c r="J3005"/>
  <c r="J1788"/>
  <c r="J4026"/>
  <c r="J2139"/>
  <c r="J3583"/>
  <c r="J3894"/>
  <c r="J2198"/>
  <c r="J1499"/>
  <c r="J3392"/>
  <c r="J431"/>
  <c r="J3586"/>
  <c r="J2076"/>
  <c r="J1605"/>
  <c r="J1558"/>
  <c r="J1487"/>
  <c r="J3164"/>
  <c r="J845"/>
  <c r="J1707"/>
  <c r="J2192"/>
  <c r="J1141"/>
  <c r="J2372"/>
  <c r="J1205"/>
  <c r="J1776"/>
  <c r="J1311"/>
  <c r="J4195"/>
  <c r="J444"/>
  <c r="J1804"/>
  <c r="J448"/>
  <c r="J4028"/>
  <c r="J2557"/>
  <c r="J2774"/>
  <c r="J229"/>
  <c r="J1409"/>
  <c r="J1297"/>
  <c r="J1255"/>
  <c r="J4196"/>
  <c r="J1903"/>
  <c r="J916"/>
  <c r="J3143"/>
  <c r="J4042"/>
  <c r="J740"/>
  <c r="J2943"/>
  <c r="J646"/>
  <c r="J210"/>
  <c r="J1359"/>
  <c r="J1869"/>
  <c r="J2716"/>
  <c r="J1060"/>
  <c r="J998"/>
  <c r="J1120"/>
  <c r="J3127"/>
  <c r="J830"/>
  <c r="J2016"/>
  <c r="J4069"/>
  <c r="J1692"/>
  <c r="J2793"/>
  <c r="J2577"/>
  <c r="J3325"/>
  <c r="J4220"/>
  <c r="J2173"/>
  <c r="J534"/>
  <c r="J3721"/>
  <c r="J1353"/>
  <c r="J1196"/>
  <c r="J1306"/>
  <c r="J686"/>
  <c r="J3787"/>
  <c r="J1351"/>
  <c r="J443"/>
  <c r="J323"/>
  <c r="J379"/>
  <c r="J989"/>
  <c r="J3864"/>
  <c r="J1762"/>
  <c r="J595"/>
  <c r="J923"/>
  <c r="J3031"/>
  <c r="J897"/>
  <c r="J2023"/>
  <c r="J2219"/>
  <c r="J3547"/>
  <c r="J3849"/>
  <c r="J4077"/>
  <c r="J959"/>
  <c r="J2223"/>
  <c r="J4154"/>
  <c r="J239"/>
  <c r="J2021"/>
  <c r="J281"/>
  <c r="J2998"/>
  <c r="J2351"/>
  <c r="J1117"/>
  <c r="J1420"/>
  <c r="J752"/>
  <c r="J267"/>
  <c r="J1696"/>
  <c r="J3097"/>
  <c r="J843"/>
  <c r="J358"/>
  <c r="J3020"/>
  <c r="J2315"/>
  <c r="J4143"/>
  <c r="J1970"/>
  <c r="J2762"/>
  <c r="J1963"/>
  <c r="J3191"/>
  <c r="J1106"/>
  <c r="J2504"/>
  <c r="J1243"/>
  <c r="J2847"/>
  <c r="J2000"/>
  <c r="J4223"/>
  <c r="J1044"/>
  <c r="J2117"/>
  <c r="J3276"/>
  <c r="J3969"/>
  <c r="J2040"/>
  <c r="J2482"/>
  <c r="J3131"/>
  <c r="J2066"/>
  <c r="J2709"/>
  <c r="J853"/>
  <c r="J3821"/>
  <c r="J3149"/>
  <c r="J3194"/>
  <c r="J2357"/>
  <c r="J2457"/>
  <c r="J3298"/>
  <c r="J1032"/>
  <c r="J823"/>
  <c r="J3572"/>
  <c r="J3690"/>
  <c r="J1502"/>
  <c r="J1162"/>
  <c r="J2427"/>
  <c r="J3380"/>
  <c r="J814"/>
  <c r="J965"/>
  <c r="J961"/>
  <c r="J796"/>
  <c r="J3642"/>
  <c r="J2834"/>
  <c r="J2352"/>
  <c r="J1613"/>
  <c r="J1104"/>
  <c r="J1428"/>
  <c r="J1714"/>
  <c r="J2234"/>
  <c r="J540"/>
  <c r="J1828"/>
  <c r="J2360"/>
  <c r="J3951"/>
  <c r="J2030"/>
  <c r="J2470"/>
  <c r="J2159"/>
  <c r="J2529"/>
  <c r="J274"/>
  <c r="J3722"/>
  <c r="J2673"/>
  <c r="J960"/>
  <c r="J1446"/>
  <c r="J2013"/>
  <c r="J1826"/>
  <c r="J2839"/>
  <c r="J2933"/>
  <c r="J3773"/>
  <c r="J399"/>
  <c r="J2574"/>
  <c r="J1458"/>
  <c r="J189"/>
  <c r="J3714"/>
  <c r="J2078"/>
  <c r="J679"/>
  <c r="J942"/>
  <c r="J1127"/>
  <c r="J725"/>
  <c r="J1056"/>
  <c r="J1508"/>
  <c r="J3065"/>
  <c r="J207"/>
  <c r="J908"/>
  <c r="J2662"/>
  <c r="J1649"/>
  <c r="J2747"/>
  <c r="J2888"/>
  <c r="J1320"/>
  <c r="J1080"/>
  <c r="J1509"/>
  <c r="J2781"/>
  <c r="J220"/>
  <c r="J249"/>
  <c r="J1690"/>
  <c r="J503"/>
  <c r="J409"/>
  <c r="J808"/>
  <c r="J2546"/>
  <c r="J3442"/>
  <c r="J3199"/>
  <c r="J3939"/>
  <c r="J1016"/>
  <c r="J218"/>
  <c r="J1317"/>
  <c r="J697"/>
  <c r="J1324"/>
  <c r="J2097"/>
  <c r="J929"/>
  <c r="J1073"/>
  <c r="J2363"/>
  <c r="J1662"/>
  <c r="J2959"/>
  <c r="J455"/>
  <c r="J3665"/>
  <c r="J4084"/>
  <c r="J921"/>
  <c r="J1384"/>
  <c r="J1135"/>
  <c r="J3858"/>
  <c r="J947"/>
  <c r="J2756"/>
  <c r="J1281"/>
  <c r="J1375"/>
  <c r="J1349"/>
  <c r="J1430"/>
  <c r="J754"/>
  <c r="J505"/>
  <c r="J2819"/>
  <c r="J906"/>
  <c r="J1884"/>
  <c r="J911"/>
  <c r="J2436"/>
  <c r="J1391"/>
  <c r="J760"/>
  <c r="J3322"/>
  <c r="J1362"/>
  <c r="J3491"/>
  <c r="J894"/>
  <c r="J1407"/>
  <c r="J1766"/>
  <c r="J1529"/>
  <c r="J316"/>
  <c r="J1701"/>
  <c r="J2215"/>
  <c r="J3630"/>
  <c r="J1799"/>
  <c r="J3467"/>
  <c r="J4212"/>
  <c r="J2556"/>
  <c r="J818"/>
  <c r="J1654"/>
  <c r="J831"/>
  <c r="J1922"/>
  <c r="J3015"/>
  <c r="J3989"/>
  <c r="J2129"/>
  <c r="J2275"/>
  <c r="J3445"/>
  <c r="J673"/>
  <c r="J365"/>
  <c r="J3420"/>
  <c r="J3282"/>
  <c r="J3423"/>
  <c r="J1564"/>
  <c r="J1876"/>
  <c r="J3561"/>
  <c r="J1652"/>
  <c r="J1855"/>
  <c r="J1644"/>
  <c r="J1854"/>
  <c r="J1514"/>
  <c r="J1249"/>
  <c r="J2200"/>
  <c r="J3301"/>
  <c r="J563"/>
  <c r="J1415"/>
  <c r="J2792"/>
  <c r="J382"/>
  <c r="J812"/>
  <c r="J2329"/>
  <c r="J1538"/>
  <c r="J3684"/>
  <c r="J1875"/>
  <c r="J2298"/>
  <c r="J4051"/>
  <c r="J1505"/>
  <c r="J601"/>
  <c r="J253"/>
  <c r="J1797"/>
  <c r="J1621"/>
  <c r="J3309"/>
  <c r="J3958"/>
  <c r="J2416"/>
  <c r="J1350"/>
  <c r="J722"/>
  <c r="J1131"/>
  <c r="J693"/>
  <c r="J355"/>
  <c r="J1634"/>
  <c r="J562"/>
  <c r="J1653"/>
  <c r="J3585"/>
  <c r="J2513"/>
  <c r="J1599"/>
  <c r="J842"/>
  <c r="J3182"/>
  <c r="J3967"/>
  <c r="J3433"/>
  <c r="J3555"/>
  <c r="J659"/>
  <c r="J3306"/>
  <c r="J2650"/>
  <c r="J1530"/>
  <c r="J3252"/>
  <c r="J982"/>
  <c r="J742"/>
  <c r="J1240"/>
  <c r="J1287"/>
  <c r="J3385"/>
  <c r="J915"/>
  <c r="J2435"/>
  <c r="J3593"/>
  <c r="J2199"/>
  <c r="J4191"/>
  <c r="J839"/>
  <c r="J3984"/>
  <c r="J1803"/>
  <c r="J3217"/>
  <c r="J3916"/>
  <c r="J3551"/>
  <c r="J2796"/>
  <c r="J2094"/>
  <c r="J986"/>
  <c r="J747"/>
  <c r="J3723"/>
  <c r="J3778"/>
  <c r="J3912"/>
  <c r="J3932"/>
  <c r="J1448"/>
  <c r="J1881"/>
  <c r="J2170"/>
  <c r="J1793"/>
  <c r="J1099"/>
  <c r="J2348"/>
  <c r="J769"/>
  <c r="J2133"/>
  <c r="J634"/>
  <c r="J1760"/>
  <c r="J888"/>
  <c r="J2752"/>
  <c r="J2105"/>
  <c r="J1781"/>
  <c r="J3534"/>
  <c r="J1853"/>
  <c r="J3575"/>
  <c r="J1066"/>
  <c r="J1188"/>
  <c r="J1528"/>
  <c r="J1552"/>
  <c r="J3474"/>
  <c r="J3753"/>
  <c r="J2050"/>
  <c r="J4005"/>
  <c r="J1959"/>
  <c r="J3740"/>
  <c r="J2746"/>
  <c r="J3672"/>
  <c r="J2950"/>
  <c r="J3668"/>
  <c r="J1266"/>
  <c r="J2106"/>
  <c r="J1740"/>
  <c r="J4033"/>
  <c r="J1039"/>
  <c r="J392"/>
  <c r="J2516"/>
  <c r="J1539"/>
  <c r="J2447"/>
  <c r="J4055"/>
  <c r="J4157"/>
  <c r="J4036"/>
  <c r="J1472"/>
  <c r="J2648"/>
  <c r="J4217"/>
  <c r="J3255"/>
  <c r="J779"/>
  <c r="J4208"/>
  <c r="J917"/>
  <c r="J3038"/>
  <c r="J1557"/>
  <c r="J1958"/>
  <c r="J498"/>
  <c r="J1764"/>
  <c r="J1077"/>
  <c r="J3016"/>
  <c r="J3055"/>
  <c r="J4001"/>
  <c r="J3438"/>
  <c r="J2598"/>
  <c r="J3378"/>
  <c r="J3650"/>
  <c r="J197"/>
  <c r="J3701"/>
  <c r="J1622"/>
  <c r="J851"/>
  <c r="J2465"/>
  <c r="J3370"/>
  <c r="J2387"/>
  <c r="J3343"/>
  <c r="J647"/>
  <c r="J1036"/>
  <c r="J1212"/>
  <c r="J1728"/>
  <c r="J357"/>
  <c r="J456"/>
  <c r="J3689"/>
  <c r="J3175"/>
  <c r="J2310"/>
  <c r="J3529"/>
  <c r="J3897"/>
  <c r="J3764"/>
  <c r="J2148"/>
  <c r="J297"/>
  <c r="J3441"/>
  <c r="J956"/>
  <c r="J3062"/>
  <c r="J1394"/>
  <c r="J3447"/>
  <c r="J2712"/>
  <c r="J951"/>
  <c r="J2131"/>
  <c r="J469"/>
  <c r="J1851"/>
  <c r="J1471"/>
  <c r="J3477"/>
  <c r="J440"/>
  <c r="J2080"/>
  <c r="J2550"/>
  <c r="J223"/>
  <c r="J968"/>
  <c r="J1885"/>
  <c r="J3087"/>
  <c r="J1282"/>
  <c r="J371"/>
  <c r="J1418"/>
  <c r="J2428"/>
  <c r="J1817"/>
  <c r="J2569"/>
  <c r="J3920"/>
  <c r="J3274"/>
  <c r="J1227"/>
  <c r="J3501"/>
  <c r="J3472"/>
  <c r="J748"/>
  <c r="J2693"/>
  <c r="J2161"/>
  <c r="J2946"/>
  <c r="J788"/>
  <c r="J3402"/>
  <c r="J3705"/>
  <c r="J750"/>
  <c r="J2838"/>
  <c r="J743"/>
  <c r="J2977"/>
  <c r="J3429"/>
  <c r="J884"/>
  <c r="J2100"/>
  <c r="J785"/>
  <c r="J340"/>
  <c r="J1647"/>
  <c r="J372"/>
  <c r="J2056"/>
  <c r="J4140"/>
  <c r="J1878"/>
  <c r="J1159"/>
  <c r="J687"/>
  <c r="J3148"/>
  <c r="J973"/>
  <c r="J2862"/>
  <c r="J2979"/>
  <c r="J2327"/>
  <c r="J3806"/>
  <c r="J833"/>
  <c r="J2356"/>
  <c r="J1697"/>
  <c r="J524"/>
  <c r="J3869"/>
  <c r="J2204"/>
  <c r="J3664"/>
  <c r="J2492"/>
  <c r="J1101"/>
  <c r="J3938"/>
  <c r="J2886"/>
  <c r="J1890"/>
  <c r="J4006"/>
  <c r="J2893"/>
  <c r="J2339"/>
  <c r="J2480"/>
  <c r="J2549"/>
  <c r="J883"/>
  <c r="J3341"/>
  <c r="J1289"/>
  <c r="J649"/>
  <c r="J1585"/>
  <c r="J1279"/>
  <c r="J2707"/>
  <c r="J890"/>
  <c r="J2017"/>
  <c r="J902"/>
  <c r="J3906"/>
  <c r="J4207"/>
  <c r="J3324"/>
  <c r="J2320"/>
  <c r="J435"/>
  <c r="J1479"/>
  <c r="J1674"/>
  <c r="J1076"/>
  <c r="J3733"/>
  <c r="J2696"/>
  <c r="J3785"/>
  <c r="J3444"/>
  <c r="J3661"/>
  <c r="J3838"/>
  <c r="J2079"/>
  <c r="J1913"/>
  <c r="J3492"/>
  <c r="J3540"/>
  <c r="J1703"/>
  <c r="J2233"/>
  <c r="J3907"/>
  <c r="J1000"/>
  <c r="J799"/>
  <c r="J529"/>
  <c r="J895"/>
  <c r="J1840"/>
  <c r="J3848"/>
  <c r="J4075"/>
  <c r="J3676"/>
  <c r="J375"/>
  <c r="J789"/>
  <c r="J1245"/>
  <c r="J787"/>
  <c r="J2790"/>
  <c r="J2677"/>
  <c r="J3752"/>
  <c r="J1907"/>
  <c r="J3360"/>
  <c r="J2801"/>
  <c r="J1003"/>
  <c r="J545"/>
  <c r="J2156"/>
  <c r="J4210"/>
  <c r="J2656"/>
  <c r="J1331"/>
  <c r="J1257"/>
  <c r="J237"/>
  <c r="J2270"/>
  <c r="J2130"/>
  <c r="J3877"/>
  <c r="J1454"/>
  <c r="J1228"/>
  <c r="J1971"/>
  <c r="J2060"/>
  <c r="J2728"/>
  <c r="J1648"/>
  <c r="J2864"/>
  <c r="J2570"/>
  <c r="J1153"/>
  <c r="J182"/>
  <c r="J4116"/>
  <c r="J4149"/>
  <c r="J2147"/>
  <c r="J2684"/>
  <c r="J1024"/>
  <c r="J3943"/>
  <c r="J3979"/>
  <c r="J1431"/>
  <c r="J1186"/>
  <c r="J1889"/>
  <c r="J1747"/>
  <c r="J910"/>
  <c r="J1923"/>
  <c r="J1303"/>
  <c r="J733"/>
  <c r="J1374"/>
  <c r="J2765"/>
  <c r="J2715"/>
  <c r="J970"/>
  <c r="J2221"/>
  <c r="J2334"/>
  <c r="J1442"/>
  <c r="J2618"/>
  <c r="J199"/>
  <c r="J2530"/>
  <c r="J2346"/>
  <c r="J846"/>
  <c r="J2338"/>
  <c r="J3852"/>
  <c r="J2676"/>
  <c r="J3459"/>
  <c r="J3357"/>
  <c r="J1341"/>
  <c r="J384"/>
  <c r="J581"/>
  <c r="J1598"/>
  <c r="J678"/>
  <c r="J2349"/>
  <c r="J2385"/>
  <c r="J1837"/>
  <c r="J1500"/>
  <c r="J1504"/>
  <c r="J3909"/>
  <c r="J922"/>
  <c r="J3229"/>
  <c r="J368"/>
  <c r="J264"/>
  <c r="J1909"/>
  <c r="J685"/>
  <c r="J3404"/>
  <c r="J2824"/>
  <c r="J3291"/>
  <c r="J3522"/>
  <c r="J3059"/>
  <c r="J414"/>
  <c r="J528"/>
  <c r="J302"/>
  <c r="J1877"/>
  <c r="J1946"/>
  <c r="J1805"/>
  <c r="J2347"/>
  <c r="J1109"/>
  <c r="J2780"/>
  <c r="J762"/>
  <c r="J569"/>
  <c r="J3777"/>
  <c r="J3814"/>
  <c r="J2860"/>
  <c r="J3934"/>
  <c r="J1082"/>
  <c r="J1910"/>
  <c r="J2212"/>
  <c r="J2123"/>
  <c r="J1765"/>
  <c r="J2304"/>
  <c r="J1861"/>
  <c r="J311"/>
  <c r="J668"/>
  <c r="J1584"/>
  <c r="J3797"/>
  <c r="J2471"/>
  <c r="J1291"/>
  <c r="J3996"/>
  <c r="J285"/>
  <c r="J3983"/>
  <c r="J2951"/>
  <c r="J3693"/>
  <c r="J3730"/>
  <c r="J178"/>
  <c r="J2539"/>
  <c r="J1199"/>
  <c r="J2042"/>
  <c r="J299"/>
  <c r="J2135"/>
  <c r="J2494"/>
  <c r="J537"/>
  <c r="J1096"/>
  <c r="J3004"/>
  <c r="J1045"/>
  <c r="J387"/>
  <c r="J4056"/>
  <c r="J872"/>
  <c r="J1704"/>
  <c r="J3602"/>
  <c r="J2929"/>
  <c r="J1587"/>
  <c r="J1678"/>
  <c r="J374"/>
  <c r="J835"/>
  <c r="J1883"/>
  <c r="J1470"/>
  <c r="J1025"/>
  <c r="J2355"/>
  <c r="J1646"/>
  <c r="J996"/>
  <c r="J1615"/>
  <c r="J2788"/>
  <c r="J1182"/>
  <c r="J2438"/>
  <c r="J1376"/>
  <c r="J2081"/>
  <c r="J904"/>
  <c r="J4094"/>
  <c r="J3266"/>
  <c r="J3482"/>
  <c r="J2651"/>
  <c r="J3203"/>
  <c r="J3550"/>
  <c r="J1574"/>
  <c r="J3925"/>
  <c r="J4045"/>
  <c r="J2831"/>
  <c r="J2600"/>
  <c r="J3018"/>
  <c r="J2797"/>
  <c r="J114"/>
  <c r="J3278"/>
  <c r="J1936"/>
  <c r="J1449"/>
  <c r="J2277"/>
  <c r="J2567"/>
  <c r="J1756"/>
  <c r="J2398"/>
  <c r="J3021"/>
  <c r="J1285"/>
  <c r="J2141"/>
  <c r="J3545"/>
  <c r="J1444"/>
  <c r="J3142"/>
  <c r="J838"/>
  <c r="J3089"/>
  <c r="J2406"/>
  <c r="J1695"/>
  <c r="J1750"/>
  <c r="J1758"/>
  <c r="J2112"/>
  <c r="J2126"/>
  <c r="J1467"/>
  <c r="J3846"/>
  <c r="J691"/>
  <c r="J1934"/>
  <c r="J2445"/>
  <c r="J2032"/>
  <c r="J3162"/>
  <c r="J863"/>
  <c r="J1614"/>
  <c r="J3919"/>
  <c r="J3975"/>
  <c r="J3781"/>
  <c r="J4088"/>
  <c r="J192"/>
  <c r="J753"/>
  <c r="J1057"/>
  <c r="J3269"/>
  <c r="J2745"/>
  <c r="J1480"/>
  <c r="J3128"/>
  <c r="J554"/>
  <c r="J4095"/>
  <c r="J768"/>
  <c r="J3355"/>
  <c r="J2149"/>
  <c r="J1276"/>
  <c r="J3439"/>
  <c r="J2257"/>
  <c r="J2899"/>
  <c r="J2912"/>
  <c r="J3652"/>
  <c r="J428"/>
  <c r="J2961"/>
  <c r="J3286"/>
  <c r="J4067"/>
  <c r="J1865"/>
  <c r="J3759"/>
  <c r="J3268"/>
  <c r="J1166"/>
  <c r="J2794"/>
  <c r="J2067"/>
  <c r="J3333"/>
  <c r="J4192"/>
  <c r="J3104"/>
  <c r="J3470"/>
  <c r="J3245"/>
  <c r="J1600"/>
  <c r="J2169"/>
  <c r="J4037"/>
  <c r="J2689"/>
  <c r="J3437"/>
  <c r="J3257"/>
  <c r="J2403"/>
  <c r="J1710"/>
  <c r="J981"/>
  <c r="J604"/>
  <c r="J2102"/>
  <c r="J3523"/>
  <c r="J1497"/>
  <c r="J3081"/>
  <c r="J600"/>
  <c r="J571"/>
  <c r="J3706"/>
  <c r="J1079"/>
  <c r="J653"/>
  <c r="J236"/>
  <c r="J1841"/>
  <c r="J1015"/>
  <c r="J4151"/>
  <c r="J2095"/>
  <c r="J3068"/>
  <c r="J2350"/>
  <c r="J3105"/>
  <c r="J1948"/>
  <c r="J1219"/>
  <c r="J952"/>
  <c r="J2317"/>
  <c r="J449"/>
  <c r="J4092"/>
  <c r="J2612"/>
  <c r="J2302"/>
  <c r="J457"/>
  <c r="J1310"/>
  <c r="J2045"/>
  <c r="J1401"/>
  <c r="J1681"/>
  <c r="J707"/>
  <c r="J3169"/>
  <c r="J275"/>
  <c r="J2881"/>
  <c r="J3803"/>
  <c r="J3791"/>
  <c r="J3827"/>
  <c r="J1953"/>
  <c r="J3116"/>
  <c r="J3946"/>
  <c r="J553"/>
  <c r="J2914"/>
  <c r="J726"/>
  <c r="J4063"/>
  <c r="J2267"/>
  <c r="J1142"/>
  <c r="J3448"/>
  <c r="J3817"/>
  <c r="J3129"/>
  <c r="J2475"/>
  <c r="J2921"/>
  <c r="J478"/>
  <c r="J3488"/>
  <c r="J2960"/>
  <c r="J1589"/>
  <c r="J3808"/>
  <c r="J2965"/>
  <c r="J1288"/>
  <c r="J522"/>
  <c r="J3614"/>
  <c r="J390"/>
  <c r="J3247"/>
  <c r="J265"/>
  <c r="J1209"/>
  <c r="J2649"/>
  <c r="J559"/>
  <c r="J2820"/>
  <c r="J3362"/>
  <c r="J860"/>
  <c r="J3699"/>
  <c r="J1775"/>
  <c r="J1746"/>
  <c r="J2116"/>
  <c r="J202"/>
  <c r="J1474"/>
  <c r="J1055"/>
  <c r="J2264"/>
  <c r="J3397"/>
  <c r="J3509"/>
  <c r="J708"/>
  <c r="J1733"/>
  <c r="J1832"/>
  <c r="J3082"/>
  <c r="J3413"/>
  <c r="J2333"/>
  <c r="J3330"/>
  <c r="J2039"/>
  <c r="J1264"/>
  <c r="J1041"/>
  <c r="J620"/>
  <c r="J3061"/>
  <c r="J3956"/>
  <c r="J990"/>
  <c r="J427"/>
  <c r="J1900"/>
  <c r="J985"/>
  <c r="J1821"/>
  <c r="J2990"/>
  <c r="J3302"/>
  <c r="J397"/>
  <c r="J2626"/>
  <c r="J1658"/>
  <c r="J4119"/>
  <c r="J3426"/>
  <c r="J2627"/>
  <c r="J497"/>
  <c r="J2007"/>
  <c r="J2828"/>
  <c r="J2162"/>
  <c r="J4215"/>
  <c r="J2827"/>
  <c r="J586"/>
  <c r="J3694"/>
  <c r="J3070"/>
  <c r="J3494"/>
  <c r="J3206"/>
  <c r="J184"/>
  <c r="J1251"/>
  <c r="J1202"/>
  <c r="J2594"/>
  <c r="J680"/>
  <c r="J2132"/>
  <c r="J3342"/>
  <c r="J1858"/>
  <c r="J2168"/>
  <c r="J4018"/>
  <c r="J4089"/>
  <c r="J588"/>
  <c r="J2197"/>
  <c r="J3645"/>
  <c r="J849"/>
  <c r="J3974"/>
  <c r="J558"/>
  <c r="J3584"/>
  <c r="J2768"/>
  <c r="J1222"/>
  <c r="J844"/>
  <c r="J3010"/>
  <c r="J3228"/>
  <c r="J1780"/>
  <c r="J2717"/>
  <c r="J4129"/>
  <c r="J1423"/>
  <c r="J777"/>
  <c r="J3375"/>
  <c r="J219"/>
  <c r="J298"/>
  <c r="J701"/>
  <c r="J566"/>
  <c r="J2181"/>
  <c r="J402"/>
  <c r="J4061"/>
  <c r="J183"/>
  <c r="J3122"/>
  <c r="J2609"/>
  <c r="J2702"/>
  <c r="J603"/>
  <c r="J2396"/>
  <c r="J3607"/>
  <c r="J4099"/>
  <c r="J3351"/>
  <c r="J2603"/>
  <c r="J1404"/>
  <c r="J1583"/>
  <c r="J1014"/>
  <c r="J2070"/>
  <c r="J3463"/>
  <c r="J1429"/>
  <c r="J3966"/>
  <c r="J2058"/>
  <c r="J3743"/>
  <c r="J2871"/>
  <c r="J1835"/>
  <c r="J2563"/>
  <c r="J2244"/>
  <c r="J2939"/>
  <c r="J3637"/>
  <c r="J3389"/>
  <c r="J3434"/>
  <c r="J3346"/>
  <c r="J1267"/>
  <c r="J3171"/>
  <c r="J2389"/>
  <c r="J2913"/>
  <c r="J3051"/>
  <c r="J2729"/>
  <c r="J1989"/>
  <c r="J1138"/>
  <c r="J3801"/>
  <c r="J4102"/>
  <c r="J1961"/>
  <c r="J1183"/>
  <c r="J1630"/>
  <c r="J1090"/>
  <c r="J413"/>
  <c r="J1119"/>
  <c r="J1820"/>
  <c r="J205"/>
  <c r="J214"/>
  <c r="J3634"/>
  <c r="J345"/>
  <c r="J1340"/>
  <c r="J291"/>
  <c r="J4071"/>
  <c r="J859"/>
  <c r="J2815"/>
  <c r="J3731"/>
  <c r="J4133"/>
  <c r="J1616"/>
  <c r="J3755"/>
  <c r="J2915"/>
  <c r="J3506"/>
  <c r="J512"/>
  <c r="J1185"/>
  <c r="J3868"/>
  <c r="J2422"/>
  <c r="J3349"/>
  <c r="J756"/>
  <c r="J2341"/>
  <c r="J3644"/>
  <c r="J2973"/>
  <c r="J2245"/>
  <c r="J3163"/>
  <c r="J2248"/>
  <c r="J332"/>
  <c r="J1944"/>
  <c r="J4163"/>
  <c r="J774"/>
  <c r="J2509"/>
  <c r="J723"/>
  <c r="J3205"/>
  <c r="J3865"/>
  <c r="J3841"/>
  <c r="J3811"/>
  <c r="J2041"/>
  <c r="J4206"/>
  <c r="J3000"/>
  <c r="J2232"/>
  <c r="J4126"/>
  <c r="J2227"/>
  <c r="J4164"/>
  <c r="J3738"/>
  <c r="J2873"/>
  <c r="J664"/>
  <c r="J3040"/>
  <c r="J3931"/>
  <c r="J3190"/>
  <c r="J3903"/>
  <c r="J2565"/>
  <c r="J376"/>
  <c r="J3417"/>
  <c r="J3809"/>
  <c r="J3374"/>
  <c r="J361"/>
  <c r="J2962"/>
  <c r="J1816"/>
  <c r="J3025"/>
  <c r="J1926"/>
  <c r="J3033"/>
  <c r="J2158"/>
  <c r="J1319"/>
  <c r="J2817"/>
  <c r="J2665"/>
  <c r="J4098"/>
  <c r="J2889"/>
  <c r="J2384"/>
  <c r="J3904"/>
  <c r="J4161"/>
  <c r="J2379"/>
  <c r="J4176"/>
  <c r="J474"/>
  <c r="J2477"/>
  <c r="J1687"/>
  <c r="J3546"/>
  <c r="J1664"/>
  <c r="J4156"/>
  <c r="J901"/>
  <c r="J1754"/>
  <c r="J3653"/>
  <c r="J1872"/>
  <c r="J465"/>
  <c r="J423"/>
  <c r="J2659"/>
  <c r="J1322"/>
  <c r="J1010"/>
  <c r="J2419"/>
  <c r="J925"/>
  <c r="J2415"/>
  <c r="J613"/>
  <c r="J2738"/>
  <c r="J3279"/>
  <c r="J2196"/>
  <c r="J3415"/>
  <c r="J940"/>
  <c r="J2037"/>
  <c r="J2214"/>
  <c r="J3001"/>
  <c r="J2326"/>
  <c r="J3647"/>
  <c r="J2906"/>
  <c r="J1595"/>
  <c r="J2099"/>
  <c r="J407"/>
  <c r="J552"/>
  <c r="J3570"/>
  <c r="J2407"/>
  <c r="J1868"/>
  <c r="J3449"/>
  <c r="J3875"/>
  <c r="J3962"/>
  <c r="J2614"/>
  <c r="J2548"/>
  <c r="J1915"/>
  <c r="J1379"/>
  <c r="J4057"/>
  <c r="J2938"/>
  <c r="J2211"/>
  <c r="J2575"/>
  <c r="J3288"/>
  <c r="J2811"/>
  <c r="J3498"/>
  <c r="J1651"/>
  <c r="J3039"/>
  <c r="J3537"/>
  <c r="J645"/>
  <c r="J2890"/>
  <c r="J2599"/>
  <c r="J2454"/>
  <c r="J899"/>
  <c r="J490"/>
  <c r="J663"/>
  <c r="J2051"/>
  <c r="J2782"/>
  <c r="J2525"/>
  <c r="J1882"/>
  <c r="J945"/>
  <c r="J1917"/>
  <c r="J3462"/>
  <c r="J2108"/>
  <c r="J1795"/>
  <c r="J2426"/>
  <c r="J698"/>
  <c r="J1711"/>
  <c r="J1235"/>
  <c r="J3515"/>
  <c r="J1627"/>
  <c r="J2314"/>
  <c r="J2660"/>
  <c r="J2229"/>
  <c r="J3400"/>
  <c r="J1807"/>
  <c r="J4029"/>
  <c r="J2584"/>
  <c r="J2177"/>
  <c r="J2464"/>
  <c r="J2028"/>
  <c r="J3775"/>
  <c r="J2179"/>
  <c r="J3944"/>
  <c r="J2558"/>
  <c r="J1967"/>
  <c r="J2191"/>
  <c r="J1012"/>
  <c r="J2632"/>
  <c r="J3641"/>
  <c r="J2605"/>
  <c r="J816"/>
  <c r="J609"/>
  <c r="J3987"/>
  <c r="J2046"/>
  <c r="J3878"/>
  <c r="J1891"/>
  <c r="J289"/>
  <c r="J1937"/>
  <c r="J429"/>
  <c r="J381"/>
  <c r="J230"/>
  <c r="J212"/>
  <c r="J1512"/>
  <c r="J3111"/>
  <c r="J3188"/>
  <c r="J2582"/>
  <c r="J2786"/>
  <c r="J2691"/>
  <c r="J1717"/>
  <c r="J3972"/>
  <c r="J3683"/>
  <c r="J3292"/>
  <c r="J416"/>
  <c r="J2987"/>
  <c r="J1544"/>
  <c r="J2941"/>
  <c r="J4222"/>
  <c r="J1604"/>
  <c r="J3159"/>
  <c r="J957"/>
  <c r="J3090"/>
  <c r="J1478"/>
  <c r="J2053"/>
  <c r="J3856"/>
  <c r="J3119"/>
  <c r="J3691"/>
  <c r="J3271"/>
  <c r="J2671"/>
  <c r="J2669"/>
  <c r="J1262"/>
  <c r="J2483"/>
  <c r="J3138"/>
  <c r="J2279"/>
  <c r="J247"/>
  <c r="J1123"/>
  <c r="J248"/>
  <c r="J3530"/>
  <c r="J3368"/>
  <c r="J2997"/>
  <c r="J2833"/>
  <c r="J2877"/>
  <c r="J1553"/>
  <c r="J3009"/>
  <c r="J3898"/>
  <c r="J1398"/>
  <c r="J1380"/>
  <c r="J293"/>
  <c r="J2785"/>
  <c r="J2061"/>
  <c r="J1838"/>
  <c r="J186"/>
  <c r="J2555"/>
  <c r="J1270"/>
  <c r="J555"/>
  <c r="J1631"/>
  <c r="J424"/>
  <c r="J2286"/>
  <c r="J1035"/>
  <c r="J1412"/>
  <c r="J4135"/>
  <c r="J1382"/>
  <c r="J2374"/>
  <c r="J3232"/>
  <c r="J3887"/>
  <c r="J3935"/>
  <c r="J2301"/>
  <c r="J2392"/>
  <c r="J3107"/>
  <c r="J3100"/>
  <c r="J3103"/>
  <c r="J2978"/>
  <c r="J1559"/>
  <c r="J3682"/>
  <c r="J1763"/>
  <c r="J3624"/>
  <c r="J3725"/>
  <c r="J3862"/>
  <c r="J1545"/>
  <c r="J644"/>
  <c r="J277"/>
  <c r="J2224"/>
  <c r="J1062"/>
  <c r="J1748"/>
  <c r="J1069"/>
  <c r="J1759"/>
  <c r="J926"/>
  <c r="J1771"/>
  <c r="J1773"/>
  <c r="J4004"/>
  <c r="J2861"/>
  <c r="J1312"/>
  <c r="J3244"/>
  <c r="J3277"/>
  <c r="J3953"/>
  <c r="J2332"/>
  <c r="J3412"/>
  <c r="J891"/>
  <c r="J1566"/>
  <c r="J3209"/>
  <c r="J2166"/>
  <c r="J2639"/>
  <c r="J3074"/>
  <c r="J3285"/>
  <c r="J3218"/>
  <c r="J290"/>
  <c r="J1425"/>
  <c r="J4022"/>
  <c r="J2967"/>
  <c r="J2309"/>
  <c r="J2606"/>
  <c r="J3717"/>
  <c r="J1457"/>
  <c r="J446"/>
  <c r="J2136"/>
  <c r="J1608"/>
  <c r="J995"/>
  <c r="J3798"/>
  <c r="J4138"/>
  <c r="J1221"/>
  <c r="J1246"/>
  <c r="J2787"/>
  <c r="J2808"/>
  <c r="J2246"/>
  <c r="J731"/>
  <c r="J3923"/>
  <c r="J2805"/>
  <c r="J3387"/>
  <c r="J1403"/>
  <c r="J2448"/>
  <c r="J1732"/>
  <c r="J3888"/>
  <c r="J4170"/>
  <c r="J4124"/>
  <c r="J2615"/>
  <c r="J564"/>
  <c r="J2932"/>
  <c r="J1033"/>
  <c r="J195"/>
  <c r="J2791"/>
  <c r="J2188"/>
  <c r="J1005"/>
  <c r="J3161"/>
  <c r="J2225"/>
  <c r="J2995"/>
  <c r="J2354"/>
  <c r="J4030"/>
  <c r="J3749"/>
  <c r="J4180"/>
  <c r="J3202"/>
  <c r="J1982"/>
  <c r="J3300"/>
  <c r="J4205"/>
  <c r="J3782"/>
  <c r="J3792"/>
  <c r="J2174"/>
  <c r="J881"/>
  <c r="J1020"/>
  <c r="J4188"/>
  <c r="J1293"/>
  <c r="J3069"/>
  <c r="J3032"/>
  <c r="J3794"/>
  <c r="J2124"/>
  <c r="J3431"/>
  <c r="J688"/>
  <c r="J3135"/>
  <c r="J1179"/>
  <c r="J1665"/>
  <c r="J1177"/>
  <c r="J3828"/>
  <c r="J3290"/>
  <c r="J2631"/>
  <c r="J2905"/>
  <c r="J2486"/>
  <c r="J1122"/>
  <c r="J1824"/>
  <c r="J3056"/>
  <c r="J3310"/>
  <c r="J1897"/>
  <c r="J494"/>
  <c r="J1204"/>
  <c r="J1390"/>
  <c r="J3635"/>
  <c r="J1985"/>
  <c r="J1772"/>
  <c r="J599"/>
  <c r="J684"/>
  <c r="J2602"/>
  <c r="J3246"/>
  <c r="J3435"/>
  <c r="J2646"/>
  <c r="J3866"/>
  <c r="J1668"/>
  <c r="J4158"/>
  <c r="J3436"/>
  <c r="J1535"/>
  <c r="J4058"/>
  <c r="J1075"/>
  <c r="J404"/>
  <c r="J200"/>
  <c r="J3949"/>
  <c r="J1578"/>
  <c r="J1193"/>
  <c r="J485"/>
  <c r="J1145"/>
  <c r="J696"/>
  <c r="J3099"/>
  <c r="J2107"/>
  <c r="J2642"/>
  <c r="J2324"/>
  <c r="J1443"/>
  <c r="J3456"/>
  <c r="J3406"/>
  <c r="J405"/>
  <c r="J1524"/>
  <c r="J3519"/>
  <c r="J1849"/>
  <c r="J3256"/>
  <c r="J3992"/>
  <c r="J1298"/>
  <c r="J452"/>
  <c r="J544"/>
  <c r="J3813"/>
  <c r="J3450"/>
  <c r="J185"/>
  <c r="J3622"/>
  <c r="J3657"/>
  <c r="J2922"/>
  <c r="J2243"/>
  <c r="J666"/>
  <c r="J1555"/>
  <c r="J2296"/>
  <c r="J1829"/>
  <c r="J3259"/>
  <c r="J2840"/>
  <c r="J3312"/>
  <c r="J2001"/>
  <c r="J4201"/>
  <c r="J2175"/>
  <c r="J401"/>
  <c r="J3982"/>
  <c r="J3512"/>
  <c r="J1588"/>
  <c r="J2554"/>
  <c r="J1685"/>
  <c r="J1437"/>
  <c r="J2625"/>
  <c r="J3363"/>
  <c r="J1850"/>
  <c r="J1387"/>
  <c r="J3458"/>
  <c r="J3698"/>
  <c r="J208"/>
  <c r="J4054"/>
  <c r="J1619"/>
  <c r="J475"/>
  <c r="J1974"/>
  <c r="J1920"/>
  <c r="J1170"/>
  <c r="J2216"/>
  <c r="J3478"/>
  <c r="J3514"/>
  <c r="J2375"/>
  <c r="J2404"/>
  <c r="J4167"/>
  <c r="J2657"/>
  <c r="J825"/>
  <c r="J3410"/>
  <c r="J2969"/>
  <c r="J2003"/>
  <c r="J1323"/>
  <c r="J2409"/>
  <c r="J1834"/>
  <c r="J1468"/>
  <c r="J2068"/>
  <c r="J3502"/>
  <c r="J2842"/>
  <c r="J2402"/>
  <c r="J3656"/>
  <c r="J2735"/>
  <c r="J3405"/>
  <c r="J3853"/>
  <c r="J1465"/>
  <c r="J3901"/>
  <c r="J3687"/>
  <c r="J3976"/>
  <c r="J1089"/>
  <c r="J4200"/>
  <c r="J3172"/>
  <c r="J1250"/>
  <c r="J2378"/>
  <c r="J3014"/>
  <c r="J1242"/>
  <c r="J1417"/>
  <c r="J3636"/>
  <c r="J242"/>
  <c r="J575"/>
  <c r="J3440"/>
  <c r="J1700"/>
  <c r="J3945"/>
  <c r="J1980"/>
  <c r="J3959"/>
  <c r="J882"/>
  <c r="J3815"/>
  <c r="J4062"/>
  <c r="J629"/>
  <c r="J1223"/>
  <c r="J2571"/>
  <c r="J295"/>
  <c r="J1666"/>
  <c r="J535"/>
  <c r="J2231"/>
  <c r="J470"/>
  <c r="J3754"/>
  <c r="J2635"/>
  <c r="J3093"/>
  <c r="J2628"/>
  <c r="J126"/>
  <c r="J2806"/>
  <c r="J589"/>
  <c r="J3503"/>
  <c r="J3929"/>
  <c r="J3249"/>
  <c r="J3669"/>
  <c r="J3548"/>
  <c r="J1517"/>
  <c r="J854"/>
  <c r="J4104"/>
  <c r="J1873"/>
  <c r="J3443"/>
  <c r="J2621"/>
  <c r="J1779"/>
  <c r="J1258"/>
  <c r="J2207"/>
  <c r="J3867"/>
  <c r="J2487"/>
  <c r="J1059"/>
  <c r="J3745"/>
  <c r="J350"/>
  <c r="J4032"/>
  <c r="J3559"/>
  <c r="J2718"/>
  <c r="J3673"/>
  <c r="J3957"/>
  <c r="J3084"/>
  <c r="J3457"/>
  <c r="J339"/>
  <c r="J3940"/>
  <c r="J584"/>
  <c r="J2303"/>
  <c r="J1493"/>
  <c r="J3088"/>
  <c r="J1406"/>
  <c r="J2870"/>
  <c r="J2879"/>
  <c r="J1573"/>
  <c r="J2818"/>
  <c r="J2688"/>
  <c r="J2493"/>
  <c r="J2616"/>
  <c r="J3401"/>
  <c r="J4009"/>
  <c r="J542"/>
  <c r="J1972"/>
  <c r="J878"/>
  <c r="J4115"/>
  <c r="J2903"/>
  <c r="J2022"/>
  <c r="J3022"/>
  <c r="J909"/>
  <c r="J1929"/>
  <c r="J2114"/>
  <c r="J4068"/>
  <c r="J2292"/>
  <c r="J3006"/>
  <c r="J2321"/>
  <c r="J4101"/>
  <c r="J2382"/>
  <c r="J3315"/>
  <c r="J1208"/>
  <c r="J304"/>
  <c r="J262"/>
  <c r="J1709"/>
  <c r="J2463"/>
  <c r="J4012"/>
  <c r="J840"/>
  <c r="J1591"/>
  <c r="J3358"/>
  <c r="J3518"/>
  <c r="J2256"/>
  <c r="J1445"/>
  <c r="J3432"/>
  <c r="J2897"/>
  <c r="J385"/>
  <c r="J1462"/>
  <c r="J2381"/>
  <c r="J3235"/>
  <c r="J2887"/>
  <c r="J2652"/>
  <c r="J2982"/>
  <c r="J2771"/>
  <c r="J3727"/>
  <c r="J510"/>
  <c r="J1862"/>
  <c r="J1859"/>
  <c r="J3452"/>
  <c r="J608"/>
  <c r="J1825"/>
  <c r="J2710"/>
  <c r="J3802"/>
  <c r="J2876"/>
  <c r="J2868"/>
  <c r="J418"/>
  <c r="J1452"/>
  <c r="J1722"/>
  <c r="J2975"/>
  <c r="J3879"/>
  <c r="J2236"/>
  <c r="J2837"/>
  <c r="J3915"/>
  <c r="J1789"/>
  <c r="J1860"/>
  <c r="J3317"/>
  <c r="J3978"/>
  <c r="J1277"/>
  <c r="J871"/>
  <c r="J1526"/>
  <c r="J2405"/>
  <c r="J2713"/>
  <c r="J3678"/>
  <c r="J3513"/>
  <c r="J3718"/>
  <c r="J2586"/>
  <c r="J716"/>
  <c r="J892"/>
  <c r="J2958"/>
  <c r="J3524"/>
  <c r="J1715"/>
  <c r="J1857"/>
  <c r="J2230"/>
  <c r="J3260"/>
  <c r="J1902"/>
  <c r="J1501"/>
  <c r="J4194"/>
  <c r="J1716"/>
  <c r="J3102"/>
  <c r="J2490"/>
  <c r="J1810"/>
  <c r="J2098"/>
  <c r="J2089"/>
  <c r="J724"/>
  <c r="J3618"/>
  <c r="J1424"/>
  <c r="J2366"/>
  <c r="J2902"/>
  <c r="J778"/>
  <c r="J713"/>
  <c r="J217"/>
  <c r="J3954"/>
  <c r="J3994"/>
  <c r="J4189"/>
  <c r="J3508"/>
  <c r="J1254"/>
  <c r="J1150"/>
  <c r="J3937"/>
  <c r="J1856"/>
  <c r="J4141"/>
  <c r="J2812"/>
  <c r="J1414"/>
  <c r="J1792"/>
  <c r="J493"/>
  <c r="J4216"/>
  <c r="J1893"/>
  <c r="J1009"/>
  <c r="J1671"/>
  <c r="J3638"/>
  <c r="J4134"/>
  <c r="J2561"/>
  <c r="J4142"/>
  <c r="J1238"/>
  <c r="J1908"/>
  <c r="J1663"/>
  <c r="J518"/>
  <c r="J1486"/>
  <c r="J3696"/>
  <c r="J3123"/>
  <c r="J1549"/>
  <c r="J1286"/>
  <c r="J4146"/>
  <c r="J2247"/>
  <c r="J1871"/>
  <c r="J3240"/>
  <c r="J3130"/>
  <c r="J3950"/>
  <c r="J3095"/>
  <c r="J3895"/>
  <c r="J3080"/>
  <c r="J4175"/>
  <c r="J2617"/>
  <c r="J2417"/>
  <c r="J2300"/>
  <c r="J3633"/>
  <c r="J4190"/>
  <c r="J2578"/>
  <c r="J3485"/>
  <c r="J3742"/>
  <c r="J3933"/>
  <c r="J4076"/>
  <c r="J977"/>
  <c r="J3185"/>
  <c r="J2325"/>
  <c r="J2268"/>
  <c r="J1130"/>
  <c r="J2737"/>
  <c r="J3587"/>
  <c r="J1157"/>
  <c r="J2721"/>
  <c r="J2994"/>
  <c r="J3399"/>
  <c r="J334"/>
  <c r="J1925"/>
  <c r="J1852"/>
  <c r="J2655"/>
  <c r="J870"/>
  <c r="J2145"/>
  <c r="J1617"/>
  <c r="J2566"/>
  <c r="J1028"/>
  <c r="J2400"/>
  <c r="J628"/>
  <c r="J1848"/>
  <c r="J1702"/>
  <c r="J2697"/>
  <c r="J4160"/>
  <c r="J308"/>
  <c r="J2802"/>
  <c r="J4049"/>
  <c r="J4017"/>
  <c r="J2431"/>
  <c r="J2020"/>
  <c r="J3223"/>
  <c r="J758"/>
  <c r="J1659"/>
  <c r="J1396"/>
  <c r="J3054"/>
  <c r="J3947"/>
  <c r="J3942"/>
  <c r="J1770"/>
  <c r="J4114"/>
  <c r="J2866"/>
  <c r="J1392"/>
  <c r="J2560"/>
  <c r="J3339"/>
  <c r="J2226"/>
  <c r="J2342"/>
  <c r="J3713"/>
  <c r="J1525"/>
  <c r="J3466"/>
  <c r="J2694"/>
  <c r="J1536"/>
  <c r="J515"/>
  <c r="J1405"/>
  <c r="J2895"/>
  <c r="J3998"/>
  <c r="J1094"/>
  <c r="J3756"/>
  <c r="J3284"/>
  <c r="J3475"/>
  <c r="J393"/>
  <c r="J3818"/>
  <c r="J1456"/>
  <c r="J3251"/>
  <c r="J1626"/>
  <c r="J1576"/>
  <c r="J1224"/>
  <c r="J938"/>
  <c r="J2285"/>
  <c r="J2937"/>
  <c r="J313"/>
  <c r="J2008"/>
  <c r="J3712"/>
  <c r="J1827"/>
  <c r="J3857"/>
  <c r="J4182"/>
  <c r="J2904"/>
  <c r="J1136"/>
  <c r="J4105"/>
  <c r="J2269"/>
  <c r="J3029"/>
  <c r="J2705"/>
  <c r="J4197"/>
  <c r="J450"/>
  <c r="J3154"/>
  <c r="J4103"/>
  <c r="J4085"/>
  <c r="J2460"/>
  <c r="J3762"/>
  <c r="J2287"/>
  <c r="J3649"/>
  <c r="J3930"/>
  <c r="J1546"/>
  <c r="J4153"/>
  <c r="J342"/>
  <c r="J727"/>
  <c r="J824"/>
  <c r="J2005"/>
  <c r="J1233"/>
  <c r="J1395"/>
  <c r="J4127"/>
  <c r="J3805"/>
  <c r="J4072"/>
  <c r="J1640"/>
  <c r="J2265"/>
  <c r="J3922"/>
  <c r="J1998"/>
  <c r="J2521"/>
  <c r="J318"/>
  <c r="J4211"/>
  <c r="J715"/>
  <c r="J1749"/>
  <c r="J1413"/>
  <c r="J2442"/>
  <c r="J2992"/>
  <c r="J3553"/>
  <c r="J20"/>
  <c r="J3213"/>
  <c r="J3106"/>
  <c r="J2695"/>
  <c r="J2311"/>
  <c r="J3831"/>
  <c r="J2936"/>
  <c r="J3034"/>
  <c r="J3824"/>
  <c r="J887"/>
  <c r="J306"/>
  <c r="J2880"/>
  <c r="J3289"/>
  <c r="J4155"/>
  <c r="J1018"/>
  <c r="J2576"/>
  <c r="J2043"/>
  <c r="J1833"/>
  <c r="J3198"/>
  <c r="J1629"/>
  <c r="J3800"/>
  <c r="J971"/>
  <c r="J689"/>
  <c r="J1892"/>
  <c r="J3204"/>
  <c r="J3398"/>
  <c r="J807"/>
  <c r="J2663"/>
  <c r="J2456"/>
  <c r="J2308"/>
  <c r="J454"/>
  <c r="J969"/>
  <c r="J607"/>
  <c r="J3761"/>
  <c r="J389"/>
  <c r="J1381"/>
  <c r="J2711"/>
  <c r="J3924"/>
  <c r="J3500"/>
  <c r="J4117"/>
  <c r="J2928"/>
  <c r="J61"/>
  <c r="J2394"/>
  <c r="J1968"/>
  <c r="J2736"/>
  <c r="J4213"/>
  <c r="J1751"/>
  <c r="J886"/>
  <c r="J3369"/>
  <c r="J2822"/>
  <c r="J2313"/>
  <c r="J2804"/>
  <c r="J2739"/>
  <c r="J622"/>
  <c r="J4110"/>
  <c r="J1941"/>
  <c r="J4137"/>
  <c r="J1984"/>
  <c r="J3571"/>
  <c r="J2408"/>
  <c r="J3118"/>
  <c r="J560"/>
  <c r="J2708"/>
  <c r="J1680"/>
  <c r="J3807"/>
  <c r="J1726"/>
  <c r="J3603"/>
  <c r="J3361"/>
  <c r="J3836"/>
  <c r="J1453"/>
  <c r="J1639"/>
  <c r="J2093"/>
  <c r="J3556"/>
  <c r="J445"/>
  <c r="J2742"/>
  <c r="J3908"/>
  <c r="J3598"/>
  <c r="J2259"/>
  <c r="J149"/>
  <c r="J557"/>
  <c r="J1580"/>
  <c r="J347"/>
  <c r="J2276"/>
  <c r="J3573"/>
  <c r="J1787"/>
  <c r="J2029"/>
  <c r="J2373"/>
  <c r="J377"/>
  <c r="J2854"/>
  <c r="J2491"/>
  <c r="J373"/>
  <c r="J198"/>
  <c r="J699"/>
  <c r="J2015"/>
  <c r="J3329"/>
  <c r="J2989"/>
  <c r="J1932"/>
  <c r="J3497"/>
  <c r="J2919"/>
  <c r="J2469"/>
  <c r="J4041"/>
  <c r="J2795"/>
  <c r="J1440"/>
  <c r="J2479"/>
  <c r="J2201"/>
  <c r="J2722"/>
  <c r="J3264"/>
  <c r="J2485"/>
  <c r="J2054"/>
  <c r="J1198"/>
  <c r="J307"/>
  <c r="J766"/>
  <c r="J3517"/>
  <c r="J669"/>
  <c r="J2952"/>
  <c r="J2993"/>
  <c r="J1844"/>
  <c r="J2137"/>
  <c r="J3955"/>
  <c r="J1719"/>
  <c r="J3747"/>
  <c r="J1214"/>
  <c r="J1607"/>
  <c r="J1609"/>
  <c r="J2843"/>
  <c r="J4169"/>
  <c r="J1095"/>
  <c r="J3066"/>
  <c r="J3567"/>
  <c r="J3297"/>
  <c r="J3115"/>
  <c r="J2597"/>
  <c r="J3067"/>
  <c r="J2813"/>
  <c r="J3592"/>
  <c r="J2970"/>
  <c r="J380"/>
  <c r="J1408"/>
  <c r="J2386"/>
  <c r="J3820"/>
  <c r="J3303"/>
  <c r="J3121"/>
  <c r="J2863"/>
  <c r="J4000"/>
  <c r="J1482"/>
  <c r="J3588"/>
  <c r="J4024"/>
  <c r="J3125"/>
  <c r="J1870"/>
  <c r="J1620"/>
  <c r="J2683"/>
  <c r="J2423"/>
  <c r="J765"/>
  <c r="J4159"/>
  <c r="J3345"/>
  <c r="J3253"/>
  <c r="J2430"/>
  <c r="J764"/>
  <c r="J437"/>
  <c r="J3707"/>
  <c r="J245"/>
  <c r="J1823"/>
  <c r="J759"/>
  <c r="J3098"/>
  <c r="J3861"/>
  <c r="J2101"/>
  <c r="J3541"/>
  <c r="J3151"/>
  <c r="J283"/>
  <c r="J3152"/>
  <c r="J3779"/>
  <c r="J2859"/>
  <c r="J1565"/>
  <c r="J3311"/>
  <c r="J1586"/>
  <c r="J3600"/>
  <c r="J2940"/>
  <c r="J3589"/>
  <c r="J3173"/>
  <c r="J2670"/>
  <c r="J819"/>
  <c r="J4060"/>
  <c r="J1957"/>
  <c r="J2985"/>
  <c r="J3883"/>
  <c r="J1181"/>
  <c r="J193"/>
  <c r="J934"/>
  <c r="J3709"/>
  <c r="J1579"/>
  <c r="J3823"/>
  <c r="J3430"/>
  <c r="J3963"/>
  <c r="J2949"/>
  <c r="J2622"/>
  <c r="J1475"/>
  <c r="J2213"/>
  <c r="J1712"/>
  <c r="J3331"/>
  <c r="J2193"/>
  <c r="J1046"/>
  <c r="J2916"/>
  <c r="J1919"/>
  <c r="J2006"/>
  <c r="J3451"/>
  <c r="J4144"/>
  <c r="J3200"/>
  <c r="J2741"/>
  <c r="J1914"/>
  <c r="J3419"/>
  <c r="J2019"/>
  <c r="J1006"/>
  <c r="J3627"/>
  <c r="J4090"/>
  <c r="J3216"/>
  <c r="J4181"/>
  <c r="J3702"/>
  <c r="J3960"/>
  <c r="J3222"/>
  <c r="J2343"/>
  <c r="J3565"/>
  <c r="J2012"/>
  <c r="J3591"/>
  <c r="J2111"/>
  <c r="J3799"/>
  <c r="J746"/>
  <c r="J3376"/>
  <c r="J2744"/>
  <c r="J1284"/>
  <c r="J244"/>
  <c r="J3632"/>
  <c r="J3625"/>
  <c r="J2452"/>
  <c r="J1996"/>
  <c r="J1510"/>
  <c r="J2610"/>
  <c r="J2896"/>
  <c r="J1699"/>
  <c r="J228"/>
  <c r="J3157"/>
  <c r="J1724"/>
  <c r="J4174"/>
  <c r="J1260"/>
  <c r="J2520"/>
  <c r="J2496"/>
  <c r="J827"/>
  <c r="J2809"/>
  <c r="J795"/>
  <c r="J3900"/>
  <c r="J4113"/>
  <c r="J2619"/>
  <c r="J3231"/>
  <c r="J4027"/>
  <c r="J3873"/>
  <c r="J2113"/>
  <c r="J1995"/>
  <c r="J3332"/>
  <c r="J3843"/>
  <c r="J3073"/>
  <c r="J1991"/>
  <c r="J658"/>
  <c r="J617"/>
  <c r="J1460"/>
  <c r="J1047"/>
  <c r="J1656"/>
  <c r="J1054"/>
  <c r="J2140"/>
  <c r="J2601"/>
  <c r="J3473"/>
  <c r="J3505"/>
  <c r="J3741"/>
  <c r="J1419"/>
  <c r="J1316"/>
  <c r="J2249"/>
  <c r="J233"/>
  <c r="J2478"/>
  <c r="J3810"/>
  <c r="J2092"/>
  <c r="J1506"/>
  <c r="J3511"/>
  <c r="J260"/>
  <c r="J3999"/>
  <c r="J1492"/>
  <c r="J3036"/>
  <c r="J1930"/>
  <c r="J3484"/>
  <c r="J2720"/>
  <c r="J1983"/>
  <c r="J2164"/>
  <c r="J1132"/>
  <c r="J1031"/>
  <c r="J3189"/>
  <c r="J1822"/>
  <c r="J3812"/>
  <c r="J2018"/>
  <c r="J4081"/>
  <c r="J3167"/>
  <c r="J2682"/>
  <c r="J1969"/>
  <c r="J1256"/>
  <c r="J3521"/>
  <c r="J1074"/>
  <c r="J1435"/>
  <c r="J1541"/>
  <c r="J2305"/>
  <c r="J3140"/>
  <c r="J2297"/>
  <c r="J1296"/>
  <c r="J410"/>
  <c r="J2604"/>
  <c r="J322"/>
  <c r="J1030"/>
  <c r="J593"/>
  <c r="J2252"/>
  <c r="J1154"/>
  <c r="J2836"/>
  <c r="J3344"/>
  <c r="J1290"/>
  <c r="J802"/>
  <c r="J4043"/>
  <c r="J3184"/>
  <c r="J1567"/>
  <c r="J3640"/>
  <c r="J2964"/>
  <c r="J3770"/>
  <c r="J2955"/>
  <c r="J3826"/>
  <c r="J2383"/>
  <c r="J1388"/>
  <c r="J378"/>
  <c r="J2474"/>
  <c r="J3183"/>
  <c r="J3079"/>
  <c r="J590"/>
  <c r="J1447"/>
  <c r="J3597"/>
  <c r="J3850"/>
  <c r="J3243"/>
  <c r="J1783"/>
  <c r="J3379"/>
  <c r="J2706"/>
  <c r="J464"/>
  <c r="J1274"/>
  <c r="J3971"/>
  <c r="J1215"/>
  <c r="J3045"/>
  <c r="J706"/>
  <c r="J3746"/>
  <c r="J3893"/>
  <c r="J4066"/>
  <c r="J1040"/>
  <c r="J4120"/>
  <c r="J3845"/>
  <c r="J2983"/>
  <c r="J3395"/>
  <c r="J2789"/>
  <c r="J1490"/>
  <c r="J2874"/>
  <c r="J2692"/>
  <c r="J953"/>
  <c r="J337"/>
  <c r="J420"/>
  <c r="J2532"/>
  <c r="J624"/>
  <c r="J1784"/>
  <c r="J2263"/>
  <c r="J3510"/>
  <c r="J3580"/>
  <c r="J2731"/>
  <c r="J2273"/>
  <c r="J1273"/>
  <c r="J2846"/>
  <c r="J3192"/>
  <c r="J3359"/>
  <c r="J1949"/>
  <c r="J3446"/>
  <c r="J3042"/>
  <c r="J797"/>
  <c r="J3670"/>
  <c r="J1217"/>
  <c r="J3382"/>
  <c r="J3112"/>
  <c r="J3326"/>
  <c r="J1451"/>
  <c r="J4070"/>
  <c r="J259"/>
  <c r="J3393"/>
  <c r="J1638"/>
  <c r="J3568"/>
  <c r="J3885"/>
  <c r="J4184"/>
  <c r="J436"/>
  <c r="J3262"/>
  <c r="J3424"/>
  <c r="J3160"/>
  <c r="J391"/>
  <c r="J1160"/>
  <c r="J2365"/>
  <c r="J3558"/>
  <c r="J3012"/>
  <c r="J2393"/>
  <c r="J1364"/>
  <c r="J1519"/>
  <c r="J2851"/>
  <c r="J2686"/>
  <c r="J3050"/>
  <c r="J918"/>
  <c r="J4168"/>
  <c r="J806"/>
  <c r="J1167"/>
  <c r="J2238"/>
  <c r="J3328"/>
  <c r="J188"/>
  <c r="J3476"/>
  <c r="J2261"/>
  <c r="J1105"/>
  <c r="J2918"/>
  <c r="J2579"/>
  <c r="J1421"/>
  <c r="J4199"/>
  <c r="J1752"/>
  <c r="J1377"/>
  <c r="J1307"/>
  <c r="J3532"/>
  <c r="J531"/>
  <c r="J1684"/>
  <c r="J2184"/>
  <c r="J4165"/>
  <c r="J2322"/>
  <c r="J1236"/>
  <c r="J2674"/>
  <c r="J3751"/>
  <c r="J1727"/>
  <c r="J616"/>
  <c r="J3737"/>
  <c r="J1483"/>
  <c r="J3353"/>
  <c r="J928"/>
  <c r="J221"/>
  <c r="J841"/>
  <c r="J1643"/>
  <c r="J3304"/>
  <c r="J3599"/>
  <c r="J3211"/>
  <c r="J3549"/>
  <c r="J1887"/>
  <c r="J4111"/>
  <c r="J3525"/>
  <c r="J3539"/>
  <c r="J605"/>
  <c r="J2857"/>
  <c r="J2120"/>
  <c r="J1081"/>
  <c r="J546"/>
  <c r="J2144"/>
  <c r="J3560"/>
  <c r="J3789"/>
  <c r="J1239"/>
  <c r="J3366"/>
  <c r="J2892"/>
  <c r="J2926"/>
  <c r="J1942"/>
  <c r="J4145"/>
  <c r="J1237"/>
  <c r="J1531"/>
  <c r="J3091"/>
  <c r="J2826"/>
  <c r="J3542"/>
  <c r="J1809"/>
  <c r="J2484"/>
  <c r="J1302"/>
  <c r="J2953"/>
  <c r="J3422"/>
  <c r="J2894"/>
  <c r="J1676"/>
  <c r="J3884"/>
  <c r="J2661"/>
  <c r="J2884"/>
  <c r="J263"/>
  <c r="J2151"/>
  <c r="J931"/>
  <c r="J319"/>
  <c r="J1118"/>
  <c r="J2865"/>
  <c r="J4128"/>
  <c r="J1271"/>
  <c r="J964"/>
  <c r="J2340"/>
  <c r="J3195"/>
  <c r="J3703"/>
  <c r="J1933"/>
  <c r="J4078"/>
  <c r="J3679"/>
  <c r="J2455"/>
  <c r="J801"/>
  <c r="J1112"/>
  <c r="J370"/>
  <c r="J1007"/>
  <c r="J1128"/>
  <c r="J3964"/>
  <c r="J3911"/>
  <c r="J2004"/>
  <c r="J4123"/>
  <c r="J3601"/>
  <c r="J3837"/>
  <c r="J3085"/>
  <c r="J530"/>
  <c r="J1048"/>
  <c r="J2281"/>
  <c r="J4073"/>
  <c r="J3052"/>
  <c r="J1731"/>
  <c r="J519"/>
  <c r="J885"/>
  <c r="J2328"/>
  <c r="J3156"/>
  <c r="J1839"/>
  <c r="J3902"/>
  <c r="J3765"/>
  <c r="J875"/>
  <c r="J3464"/>
  <c r="J2278"/>
  <c r="J4136"/>
  <c r="J3997"/>
  <c r="J3101"/>
  <c r="J1343"/>
  <c r="J2082"/>
  <c r="J3396"/>
  <c r="J251"/>
  <c r="J2388"/>
  <c r="J2825"/>
  <c r="J905"/>
  <c r="J514"/>
  <c r="J944"/>
  <c r="J1601"/>
  <c r="J3489"/>
  <c r="J3631"/>
  <c r="J1945"/>
  <c r="J1777"/>
  <c r="J3768"/>
  <c r="J2685"/>
  <c r="J2687"/>
  <c r="J2291"/>
  <c r="J3544"/>
  <c r="J4013"/>
  <c r="J3700"/>
  <c r="J4008"/>
  <c r="J1248"/>
  <c r="J3416"/>
  <c r="J2312"/>
  <c r="J3053"/>
  <c r="J1400"/>
  <c r="J2644"/>
  <c r="J2996"/>
  <c r="J1488"/>
  <c r="J1385"/>
  <c r="J3871"/>
  <c r="J2727"/>
  <c r="J2295"/>
  <c r="J2580"/>
  <c r="J4100"/>
  <c r="J3254"/>
  <c r="J1065"/>
  <c r="J2678"/>
  <c r="J521"/>
  <c r="J3720"/>
  <c r="J2202"/>
  <c r="J2944"/>
  <c r="J500"/>
  <c r="J3030"/>
  <c r="J1645"/>
  <c r="J674"/>
  <c r="J2437"/>
  <c r="J325"/>
  <c r="J3371"/>
  <c r="J3783"/>
  <c r="J4148"/>
  <c r="J1618"/>
  <c r="J520"/>
  <c r="J3041"/>
  <c r="J992"/>
  <c r="J3196"/>
  <c r="J1912"/>
  <c r="J1667"/>
  <c r="J3739"/>
  <c r="J3710"/>
  <c r="J1144"/>
  <c r="J256"/>
  <c r="J508"/>
  <c r="J3046"/>
  <c r="J3663"/>
  <c r="J3927"/>
  <c r="J3096"/>
  <c r="J3233"/>
  <c r="J4121"/>
  <c r="J3270"/>
  <c r="J3201"/>
  <c r="J3186"/>
  <c r="J1955"/>
  <c r="J2608"/>
  <c r="J1906"/>
  <c r="J2154"/>
  <c r="J551"/>
  <c r="J2380"/>
  <c r="J1905"/>
  <c r="J2294"/>
  <c r="J321"/>
  <c r="J2010"/>
  <c r="J3293"/>
  <c r="J3531"/>
  <c r="J745"/>
  <c r="J300"/>
  <c r="J837"/>
  <c r="J1874"/>
  <c r="J4034"/>
  <c r="J532"/>
  <c r="J2187"/>
  <c r="J782"/>
  <c r="J1450"/>
  <c r="J2853"/>
  <c r="J1137"/>
  <c r="J3146"/>
  <c r="J3296"/>
  <c r="J2289"/>
  <c r="J2316"/>
  <c r="J1164"/>
  <c r="J479"/>
  <c r="J1252"/>
  <c r="J2800"/>
  <c r="J3988"/>
  <c r="J2165"/>
  <c r="J3465"/>
  <c r="J1943"/>
  <c r="J3760"/>
  <c r="J1503"/>
  <c r="J4082"/>
  <c r="J3313"/>
  <c r="J314"/>
  <c r="J3242"/>
  <c r="J3238"/>
  <c r="J398"/>
  <c r="J1269"/>
  <c r="J582"/>
  <c r="J1831"/>
  <c r="J4091"/>
  <c r="J4173"/>
  <c r="J2205"/>
  <c r="J4186"/>
  <c r="J820"/>
  <c r="J3273"/>
  <c r="J2885"/>
  <c r="J3914"/>
  <c r="J4097"/>
  <c r="J1979"/>
  <c r="J3207"/>
  <c r="J3786"/>
  <c r="J2274"/>
  <c r="J1402"/>
  <c r="J3002"/>
  <c r="J1901"/>
  <c r="J3595"/>
  <c r="J3651"/>
  <c r="J1218"/>
  <c r="J2699"/>
  <c r="J441"/>
  <c r="J2901"/>
  <c r="J2190"/>
  <c r="J867"/>
  <c r="J3965"/>
  <c r="J3307"/>
  <c r="J2799"/>
  <c r="J4214"/>
  <c r="J580"/>
  <c r="J1988"/>
  <c r="J1782"/>
  <c r="J3354"/>
  <c r="J4122"/>
  <c r="J993"/>
  <c r="J3662"/>
  <c r="J1121"/>
  <c r="J2075"/>
  <c r="J3486"/>
  <c r="J2118"/>
  <c r="J3239"/>
  <c r="J2856"/>
  <c r="J234"/>
  <c r="J3258"/>
  <c r="J1197"/>
  <c r="J278"/>
  <c r="J829"/>
  <c r="J988"/>
  <c r="J914"/>
  <c r="J3394"/>
  <c r="J1537"/>
  <c r="J1004"/>
  <c r="J3158"/>
  <c r="J3261"/>
  <c r="J735"/>
  <c r="J1736"/>
  <c r="J3496"/>
  <c r="J3692"/>
  <c r="J3516"/>
  <c r="J3461"/>
  <c r="J1173"/>
  <c r="J1459"/>
  <c r="J2242"/>
  <c r="J2065"/>
  <c r="J3126"/>
  <c r="J1051"/>
  <c r="J1796"/>
  <c r="J2220"/>
  <c r="J3168"/>
  <c r="J792"/>
  <c r="J222"/>
  <c r="J3736"/>
  <c r="J2453"/>
  <c r="J422"/>
  <c r="J3910"/>
  <c r="J3913"/>
  <c r="J3677"/>
  <c r="J1114"/>
  <c r="J2171"/>
  <c r="J3265"/>
  <c r="J1718"/>
  <c r="J4010"/>
  <c r="J3212"/>
  <c r="J3193"/>
  <c r="J1476"/>
  <c r="J495"/>
  <c r="J2399"/>
  <c r="J2260"/>
  <c r="J4132"/>
  <c r="J2595"/>
  <c r="J310"/>
  <c r="J2980"/>
  <c r="J2573"/>
  <c r="J2841"/>
  <c r="J2878"/>
  <c r="J2547"/>
  <c r="J3144"/>
  <c r="J1126"/>
  <c r="J2988"/>
  <c r="J2091"/>
  <c r="J1088"/>
  <c r="J2730"/>
  <c r="J3372"/>
  <c r="J3460"/>
  <c r="J3384"/>
  <c r="J3092"/>
  <c r="J2253"/>
  <c r="J3072"/>
  <c r="J695"/>
  <c r="J773"/>
  <c r="J2251"/>
  <c r="J3896"/>
  <c r="J1308"/>
  <c r="J261"/>
  <c r="J3526"/>
  <c r="J3425"/>
  <c r="J3469"/>
  <c r="J2553"/>
  <c r="J3077"/>
  <c r="J943"/>
  <c r="J4218"/>
  <c r="J2443"/>
  <c r="J3816"/>
  <c r="J1427"/>
  <c r="J426"/>
  <c r="J4002"/>
  <c r="J527"/>
  <c r="J3562"/>
  <c r="J3318"/>
  <c r="J4052"/>
  <c r="J2002"/>
  <c r="J3825"/>
  <c r="J3043"/>
  <c r="J3582"/>
  <c r="J3490"/>
  <c r="J2798"/>
  <c r="J2590"/>
  <c r="J1808"/>
  <c r="J2568"/>
  <c r="J3708"/>
  <c r="J932"/>
  <c r="J3421"/>
  <c r="J939"/>
  <c r="J1378"/>
  <c r="J856"/>
  <c r="J1611"/>
  <c r="J434"/>
  <c r="J2724"/>
  <c r="J2502"/>
  <c r="J501"/>
  <c r="J3471"/>
  <c r="J1999"/>
  <c r="J2624"/>
  <c r="J3453"/>
  <c r="J3083"/>
  <c r="J2872"/>
  <c r="J3060"/>
  <c r="J1582"/>
  <c r="J2180"/>
  <c r="J3017"/>
  <c r="J3926"/>
  <c r="J1203"/>
  <c r="J2441"/>
  <c r="J1708"/>
  <c r="J565"/>
  <c r="J266"/>
  <c r="J4007"/>
  <c r="J2255"/>
  <c r="J2449"/>
  <c r="J576"/>
  <c r="J1085"/>
  <c r="J1637"/>
  <c r="J2266"/>
  <c r="J3316"/>
  <c r="J4209"/>
  <c r="J3076"/>
  <c r="J2052"/>
  <c r="J3367"/>
  <c r="J4021"/>
  <c r="J442"/>
  <c r="J2009"/>
  <c r="J683"/>
  <c r="J3136"/>
  <c r="J2411"/>
  <c r="J3685"/>
  <c r="J1867"/>
  <c r="J3336"/>
  <c r="J3628"/>
  <c r="J2636"/>
  <c r="J2125"/>
  <c r="J771"/>
  <c r="J2910"/>
  <c r="J1880"/>
  <c r="J1830"/>
  <c r="J2299"/>
  <c r="J2306"/>
  <c r="J3771"/>
  <c r="J349"/>
  <c r="J4224"/>
  <c r="J889"/>
  <c r="J1022"/>
  <c r="J2681"/>
  <c r="J4046"/>
  <c r="J1220"/>
  <c r="J3520"/>
  <c r="J326"/>
  <c r="J2963"/>
  <c r="J4047"/>
  <c r="J3763"/>
  <c r="J924"/>
  <c r="J1657"/>
  <c r="J3108"/>
  <c r="J1283"/>
  <c r="J1165"/>
  <c r="J975"/>
  <c r="J3024"/>
  <c r="J1072"/>
  <c r="J676"/>
  <c r="J954"/>
  <c r="J1990"/>
  <c r="J403"/>
  <c r="J3666"/>
  <c r="J1515"/>
  <c r="J2923"/>
  <c r="J3536"/>
  <c r="J1550"/>
  <c r="J1466"/>
  <c r="J1469"/>
  <c r="J341"/>
  <c r="J1139"/>
  <c r="J2228"/>
  <c r="J2271"/>
  <c r="J1918"/>
  <c r="J3044"/>
  <c r="J1325"/>
  <c r="J3407"/>
  <c r="J3535"/>
  <c r="J2620"/>
  <c r="J2500"/>
  <c r="J3891"/>
  <c r="J1370"/>
  <c r="J317"/>
  <c r="J292"/>
  <c r="J3381"/>
  <c r="J1694"/>
  <c r="J1216"/>
  <c r="J2395"/>
  <c r="J3340"/>
  <c r="J3409"/>
  <c r="J3408"/>
  <c r="J1155"/>
  <c r="J3174"/>
  <c r="J2743"/>
  <c r="J3839"/>
  <c r="J2240"/>
  <c r="J2740"/>
  <c r="J1790"/>
  <c r="J3390"/>
  <c r="J4147"/>
  <c r="J2115"/>
  <c r="J3835"/>
  <c r="J4003"/>
  <c r="J4040"/>
  <c r="J4065"/>
  <c r="J578"/>
  <c r="J3774"/>
  <c r="J4031"/>
  <c r="J1265"/>
  <c r="J3179"/>
  <c r="J2367"/>
  <c r="J857"/>
  <c r="J477"/>
  <c r="J507"/>
  <c r="J974"/>
  <c r="J1313"/>
  <c r="J2613"/>
  <c r="J3577"/>
  <c r="J476"/>
  <c r="J3480"/>
  <c r="J4087"/>
  <c r="J3026"/>
  <c r="J1522"/>
  <c r="J4064"/>
  <c r="J2364"/>
  <c r="J3275"/>
  <c r="J3057"/>
  <c r="J4079"/>
  <c r="J941"/>
  <c r="J279"/>
  <c r="J287"/>
  <c r="J1336"/>
  <c r="J877"/>
  <c r="J2675"/>
  <c r="J363"/>
  <c r="J3882"/>
  <c r="J2971"/>
  <c r="J618"/>
  <c r="J2362"/>
  <c r="J1939"/>
  <c r="J1650"/>
  <c r="J1597"/>
  <c r="J4152"/>
  <c r="J1753"/>
  <c r="J2908"/>
  <c r="J4198"/>
  <c r="J2014"/>
  <c r="J1791"/>
  <c r="J2421"/>
  <c r="J2704"/>
  <c r="J3241"/>
  <c r="J4035"/>
  <c r="J526"/>
  <c r="J2057"/>
  <c r="J1043"/>
  <c r="J1593"/>
  <c r="J1211"/>
  <c r="J2262"/>
  <c r="J861"/>
  <c r="J3596"/>
  <c r="J1485"/>
  <c r="J1842"/>
  <c r="J2024"/>
  <c r="J3870"/>
  <c r="J3980"/>
  <c r="J2307"/>
  <c r="J2210"/>
  <c r="J502"/>
  <c r="J2823"/>
  <c r="J880"/>
  <c r="J2401"/>
  <c r="J1723"/>
  <c r="J1275"/>
  <c r="J2390"/>
  <c r="J4020"/>
  <c r="J270"/>
  <c r="J1551"/>
  <c r="J3334"/>
  <c r="J1924"/>
  <c r="J3377"/>
  <c r="J4183"/>
  <c r="J1107"/>
  <c r="J1463"/>
  <c r="J1950"/>
  <c r="J2679"/>
  <c r="J1426"/>
  <c r="J855"/>
  <c r="J1800"/>
  <c r="J1568"/>
  <c r="J1698"/>
  <c r="J513"/>
  <c r="J2377"/>
  <c r="J2468"/>
  <c r="J865"/>
  <c r="J2572"/>
  <c r="J3639"/>
  <c r="J3365"/>
  <c r="J3373"/>
  <c r="J3403"/>
  <c r="J2581"/>
  <c r="J1489"/>
  <c r="J2369"/>
  <c r="J1895"/>
  <c r="J3219"/>
  <c r="J3928"/>
  <c r="J1091"/>
  <c r="J425"/>
  <c r="J286"/>
  <c r="J675"/>
  <c r="J1563"/>
  <c r="J976"/>
  <c r="J482"/>
  <c r="J2241"/>
  <c r="J2957"/>
  <c r="J3981"/>
  <c r="J2810"/>
  <c r="J671"/>
  <c r="J4203"/>
  <c r="J2172"/>
  <c r="J2336"/>
  <c r="J3237"/>
  <c r="J4019"/>
  <c r="J1432"/>
  <c r="J3180"/>
  <c r="J2155"/>
  <c r="J3338"/>
  <c r="J1441"/>
  <c r="J848"/>
  <c r="J1397"/>
  <c r="J3623"/>
  <c r="J2489"/>
  <c r="J1673"/>
  <c r="J2090"/>
  <c r="J1785"/>
  <c r="J3150"/>
  <c r="J2044"/>
  <c r="J2934"/>
  <c r="J2358"/>
  <c r="J927"/>
  <c r="J1027"/>
  <c r="J3784"/>
  <c r="J3880"/>
  <c r="J3176"/>
  <c r="J4059"/>
  <c r="J3320"/>
  <c r="J1192"/>
  <c r="J3027"/>
  <c r="J2948"/>
  <c r="J1174"/>
  <c r="J2429"/>
  <c r="J3892"/>
  <c r="J3758"/>
  <c r="J3581"/>
  <c r="J3886"/>
  <c r="J648"/>
  <c r="J463"/>
  <c r="J3250"/>
  <c r="J3833"/>
  <c r="J1744"/>
  <c r="J1110"/>
  <c r="J579"/>
  <c r="J296"/>
  <c r="J2591"/>
  <c r="J3225"/>
  <c r="J1661"/>
  <c r="J2146"/>
  <c r="J2585"/>
  <c r="J3804"/>
  <c r="J4086"/>
  <c r="J1904"/>
  <c r="J3236"/>
  <c r="J763"/>
  <c r="J2083"/>
  <c r="J2368"/>
  <c r="J2189"/>
  <c r="J2424"/>
  <c r="J3819"/>
  <c r="J930"/>
  <c r="J2084"/>
  <c r="J1295"/>
  <c r="J2459"/>
  <c r="J907"/>
  <c r="J2160"/>
  <c r="J1954"/>
  <c r="J4096"/>
  <c r="J3844"/>
  <c r="J2900"/>
  <c r="J2667"/>
  <c r="J3272"/>
  <c r="J1176"/>
  <c r="J862"/>
  <c r="J1964"/>
  <c r="J3058"/>
  <c r="J2845"/>
  <c r="J2458"/>
  <c r="J3347"/>
  <c r="J3533"/>
  <c r="J3674"/>
  <c r="J1280"/>
  <c r="J3604"/>
  <c r="J1518"/>
  <c r="J1866"/>
  <c r="J3221"/>
  <c r="J333"/>
  <c r="J2344"/>
  <c r="J979"/>
  <c r="J3842"/>
  <c r="J3796"/>
  <c r="J1002"/>
  <c r="J312"/>
  <c r="J2288"/>
  <c r="J3977"/>
  <c r="J2867"/>
  <c r="J1543"/>
  <c r="J1473"/>
  <c r="J3165"/>
  <c r="J3170"/>
  <c r="J3230"/>
  <c r="J3133"/>
  <c r="J3483"/>
  <c r="J3428"/>
  <c r="J1461"/>
  <c r="J1001"/>
  <c r="J1439"/>
  <c r="J2829"/>
  <c r="J2920"/>
  <c r="J3876"/>
  <c r="J2645"/>
  <c r="J1864"/>
  <c r="J1049"/>
  <c r="J955"/>
  <c r="J2337"/>
  <c r="J2623"/>
  <c r="J3863"/>
  <c r="J1845"/>
  <c r="J3386"/>
  <c r="J1997"/>
  <c r="J4053"/>
  <c r="J2495"/>
  <c r="J3037"/>
  <c r="J3352"/>
  <c r="J1786"/>
  <c r="J2488"/>
  <c r="J516"/>
  <c r="J2143"/>
  <c r="J1978"/>
  <c r="J4107"/>
  <c r="J2976"/>
  <c r="J2700"/>
  <c r="J1053"/>
  <c r="J2803"/>
  <c r="J2931"/>
  <c r="J2049"/>
  <c r="J2666"/>
  <c r="J1344"/>
  <c r="J191"/>
  <c r="J359"/>
  <c r="J1416"/>
  <c r="J1994"/>
  <c r="J967"/>
  <c r="J2038"/>
  <c r="J630"/>
  <c r="J2501"/>
  <c r="J3750"/>
  <c r="J3063"/>
  <c r="J1947"/>
  <c r="J2451"/>
  <c r="J3248"/>
  <c r="J1300"/>
  <c r="J3780"/>
  <c r="J651"/>
  <c r="J180"/>
  <c r="J492"/>
  <c r="J523"/>
  <c r="J3658"/>
  <c r="J3177"/>
  <c r="J459"/>
  <c r="J3948"/>
  <c r="J3023"/>
  <c r="J1052"/>
  <c r="J2869"/>
  <c r="J3660"/>
  <c r="J3681"/>
  <c r="J1547"/>
  <c r="J1436"/>
  <c r="J1636"/>
  <c r="J4162"/>
  <c r="J1071"/>
  <c r="J504"/>
  <c r="J1632"/>
  <c r="J1938"/>
  <c r="J1976"/>
  <c r="J2462"/>
  <c r="J3035"/>
  <c r="J858"/>
  <c r="J187"/>
  <c r="J2167"/>
  <c r="J3454"/>
  <c r="J1987"/>
  <c r="J3504"/>
  <c r="J2883"/>
  <c r="J2085"/>
  <c r="J1234"/>
  <c r="J1672"/>
  <c r="J4015"/>
  <c r="J4118"/>
  <c r="J3590"/>
  <c r="J2128"/>
  <c r="J3711"/>
  <c r="J898"/>
  <c r="J4080"/>
  <c r="J3961"/>
  <c r="J677"/>
  <c r="J3688"/>
  <c r="J3563"/>
  <c r="J1491"/>
  <c r="J1383"/>
  <c r="J1133"/>
  <c r="J984"/>
  <c r="J2138"/>
  <c r="J2239"/>
  <c r="J3013"/>
  <c r="J1116"/>
  <c r="J2461"/>
  <c r="J3411"/>
  <c r="J1247"/>
  <c r="J273"/>
  <c r="J421"/>
  <c r="J3757"/>
  <c r="J3493"/>
  <c r="J1590"/>
  <c r="J2734"/>
  <c r="J4112"/>
  <c r="J1520"/>
  <c r="J439"/>
  <c r="J1956"/>
  <c r="J462"/>
  <c r="J1575"/>
  <c r="J1741"/>
  <c r="J3350"/>
  <c r="J2630"/>
  <c r="J2088"/>
  <c r="J1940"/>
  <c r="J2930"/>
  <c r="J4185"/>
  <c r="J1952"/>
  <c r="J3110"/>
  <c r="J3889"/>
  <c r="J303"/>
  <c r="J761"/>
  <c r="J4011"/>
  <c r="J1843"/>
  <c r="J241"/>
  <c r="J1886"/>
  <c r="J2668"/>
  <c r="J3427"/>
  <c r="J2473"/>
  <c r="J1894"/>
  <c r="J2725"/>
  <c r="J3109"/>
  <c r="J386"/>
  <c r="J1992"/>
  <c r="J3686"/>
  <c r="J3538"/>
  <c r="J3299"/>
  <c r="J3117"/>
  <c r="J1301"/>
  <c r="J2947"/>
  <c r="J2418"/>
  <c r="J3414"/>
  <c r="J3993"/>
  <c r="J1078"/>
  <c r="J3918"/>
  <c r="J936"/>
  <c r="J4150"/>
  <c r="J3735"/>
  <c r="J3181"/>
  <c r="J3643"/>
  <c r="J2775"/>
  <c r="J2034"/>
  <c r="J3830"/>
  <c r="J3769"/>
  <c r="J2562"/>
  <c r="J4108"/>
  <c r="J804"/>
  <c r="J3028"/>
  <c r="J2935"/>
  <c r="J3569"/>
  <c r="J3283"/>
  <c r="J3047"/>
  <c r="J211"/>
  <c r="J3748"/>
  <c r="J3995"/>
  <c r="J2499"/>
  <c r="J2981"/>
  <c r="J3294"/>
  <c r="J473"/>
  <c r="J3094"/>
  <c r="J737"/>
  <c r="J1542"/>
  <c r="J2209"/>
  <c r="J1087"/>
  <c r="J4044"/>
  <c r="J2634"/>
  <c r="J1083"/>
  <c r="J2907"/>
  <c r="J2596"/>
  <c r="J2954"/>
  <c r="J4074"/>
  <c r="J419"/>
  <c r="J3114"/>
  <c r="J994"/>
  <c r="J3295"/>
  <c r="J2641"/>
  <c r="J3187"/>
  <c r="J2680"/>
  <c r="J353"/>
  <c r="J2318"/>
  <c r="J2361"/>
  <c r="J417"/>
  <c r="J2633"/>
  <c r="J3695"/>
  <c r="J1321"/>
  <c r="J3137"/>
  <c r="J1294"/>
  <c r="J3078"/>
  <c r="J3479"/>
  <c r="J3120"/>
  <c r="J4202"/>
  <c r="J2972"/>
  <c r="J4171"/>
  <c r="J3226"/>
  <c r="J3973"/>
  <c r="J3795"/>
  <c r="J3675"/>
  <c r="J1067"/>
  <c r="J3348"/>
  <c r="J3578"/>
  <c r="J3847"/>
  <c r="J1888"/>
  <c r="J2917"/>
  <c r="J935"/>
  <c r="J3049"/>
  <c r="J1812"/>
  <c r="J4139"/>
  <c r="J3214"/>
  <c r="J632"/>
  <c r="J1399"/>
  <c r="J2714"/>
  <c r="J3481"/>
  <c r="J1507"/>
  <c r="J3648"/>
  <c r="J2564"/>
  <c r="J1532"/>
  <c r="J3388"/>
  <c r="J3267"/>
  <c r="J268"/>
  <c r="J3776"/>
  <c r="J1158"/>
  <c r="J3671"/>
  <c r="J585"/>
  <c r="J411"/>
  <c r="J2064"/>
  <c r="J328"/>
  <c r="J1201"/>
  <c r="J2999"/>
  <c r="J2835"/>
  <c r="J3936"/>
  <c r="J3921"/>
  <c r="J1092"/>
  <c r="J1171"/>
  <c r="J828"/>
  <c r="J506"/>
  <c r="J1241"/>
  <c r="J3566"/>
  <c r="J1113"/>
  <c r="J1928"/>
  <c r="J1921"/>
  <c r="J1960"/>
  <c r="J3854"/>
  <c r="J3986"/>
  <c r="J2323"/>
  <c r="J3905"/>
  <c r="J1231"/>
  <c r="J2945"/>
  <c r="J2217"/>
  <c r="J2653"/>
  <c r="J3113"/>
  <c r="J3917"/>
  <c r="J1778"/>
  <c r="J1438"/>
  <c r="J751"/>
  <c r="J430"/>
  <c r="J2087"/>
  <c r="J3985"/>
  <c r="J4179"/>
  <c r="J2432"/>
  <c r="J4038"/>
  <c r="J3507"/>
  <c r="J933"/>
  <c r="J2968"/>
  <c r="J3337"/>
  <c r="J1187"/>
  <c r="J4050"/>
  <c r="J2391"/>
  <c r="J2497"/>
  <c r="J1730"/>
  <c r="J517"/>
  <c r="J1008"/>
  <c r="J3141"/>
  <c r="J176"/>
  <c r="J1058"/>
  <c r="J499"/>
  <c r="J2425"/>
  <c r="J705"/>
  <c r="J3139"/>
  <c r="J1194"/>
  <c r="J3011"/>
  <c r="J3227"/>
  <c r="J1774"/>
  <c r="J472"/>
  <c r="J3468"/>
  <c r="J3840"/>
  <c r="J3594"/>
  <c r="J1023"/>
  <c r="J412"/>
  <c r="J3155"/>
  <c r="J3147"/>
  <c r="J3263"/>
  <c r="J3834"/>
  <c r="J1935"/>
  <c r="J1148"/>
  <c r="J2776"/>
  <c r="J652"/>
  <c r="J4125"/>
  <c r="J3793"/>
  <c r="J2875"/>
  <c r="J3744"/>
  <c r="J3659"/>
  <c r="J1951"/>
  <c r="J2439"/>
  <c r="J1206"/>
  <c r="J3210"/>
  <c r="J3874"/>
  <c r="J1975"/>
  <c r="J1739"/>
  <c r="J1962"/>
  <c r="J592"/>
  <c r="J3822"/>
  <c r="J3455"/>
  <c r="J362"/>
  <c r="J3019"/>
  <c r="J1168"/>
  <c r="J2607"/>
  <c r="J2345"/>
  <c r="J2157"/>
  <c r="J3234"/>
  <c r="J3145"/>
  <c r="J2974"/>
  <c r="J1927"/>
  <c r="J539"/>
  <c r="J3224"/>
  <c r="J3734"/>
  <c r="J3134"/>
  <c r="J2412"/>
  <c r="J1669"/>
  <c r="J3654"/>
  <c r="J2559"/>
  <c r="J2658"/>
  <c r="J2647"/>
  <c r="J3941"/>
  <c r="J1100"/>
  <c r="J2153"/>
  <c r="J3790"/>
  <c r="J3890"/>
  <c r="J3327"/>
  <c r="J366"/>
  <c r="J4193"/>
  <c r="J2654"/>
  <c r="J2925"/>
  <c r="J3859"/>
  <c r="J3197"/>
  <c r="J3153"/>
  <c r="J2036"/>
  <c r="J2733"/>
  <c r="J1769"/>
  <c r="J561"/>
  <c r="J2370"/>
  <c r="J4130"/>
  <c r="J1191"/>
  <c r="J2237"/>
  <c r="J2072"/>
  <c r="J730"/>
  <c r="J1151"/>
  <c r="J2011"/>
  <c r="J3952"/>
  <c r="J3487"/>
  <c r="J3629"/>
  <c r="J2440"/>
  <c r="J3872"/>
  <c r="J665"/>
  <c r="J2643"/>
  <c r="J2986"/>
  <c r="J3319"/>
  <c r="J3697"/>
  <c r="J1161"/>
  <c r="J3086"/>
  <c r="J2911"/>
  <c r="J619"/>
  <c r="J536"/>
  <c r="J346"/>
  <c r="J3855"/>
  <c r="J3528"/>
  <c r="J2638"/>
  <c r="J2732"/>
  <c r="J1592"/>
  <c r="J4177"/>
  <c r="J631"/>
  <c r="J2807"/>
  <c r="J2723"/>
  <c r="J343"/>
  <c r="J3680"/>
  <c r="J627"/>
  <c r="J1358"/>
  <c r="J175"/>
  <c r="J59"/>
  <c r="J86"/>
  <c r="J31"/>
  <c r="J123"/>
  <c r="J148"/>
  <c r="J44"/>
  <c r="J63"/>
  <c r="J151"/>
  <c r="J18"/>
  <c r="J9"/>
  <c r="J58"/>
  <c r="J111"/>
  <c r="J140"/>
  <c r="J158"/>
  <c r="J98"/>
  <c r="J174"/>
  <c r="J6"/>
  <c r="J171"/>
  <c r="J69"/>
  <c r="J177"/>
  <c r="J43"/>
  <c r="J160"/>
  <c r="J19"/>
  <c r="J93"/>
  <c r="J102"/>
  <c r="J138"/>
  <c r="J164"/>
  <c r="J36"/>
  <c r="J41"/>
  <c r="J181"/>
  <c r="J37"/>
  <c r="J28"/>
  <c r="J2850"/>
  <c r="J107"/>
  <c r="J156"/>
  <c r="J104"/>
  <c r="J38"/>
  <c r="J147"/>
  <c r="J54"/>
  <c r="J7"/>
  <c r="J109"/>
  <c r="J168"/>
  <c r="J108"/>
  <c r="J161"/>
  <c r="J3667"/>
  <c r="J169"/>
  <c r="J113"/>
  <c r="J110"/>
  <c r="J22"/>
  <c r="J21"/>
  <c r="J128"/>
  <c r="J154"/>
  <c r="J8"/>
  <c r="J170"/>
  <c r="J121"/>
  <c r="J84"/>
  <c r="J167"/>
  <c r="J12"/>
  <c r="J10"/>
  <c r="J51"/>
  <c r="J159"/>
  <c r="J4048"/>
  <c r="J15"/>
  <c r="J103"/>
  <c r="J11"/>
  <c r="J55"/>
  <c r="J14"/>
  <c r="J172"/>
  <c r="J165"/>
  <c r="J66"/>
  <c r="J62"/>
  <c r="J3323"/>
  <c r="J152"/>
  <c r="J33"/>
  <c r="J139"/>
  <c r="J117"/>
  <c r="J34"/>
  <c r="J45"/>
  <c r="J29"/>
  <c r="J64"/>
  <c r="J91"/>
  <c r="J70"/>
  <c r="J25"/>
  <c r="J42"/>
  <c r="J73"/>
  <c r="J78"/>
  <c r="J3626"/>
  <c r="J3715"/>
  <c r="J3003"/>
  <c r="J1103"/>
  <c r="J17"/>
  <c r="J97"/>
  <c r="J65"/>
  <c r="J3726"/>
  <c r="J74"/>
  <c r="J118"/>
  <c r="J141"/>
  <c r="J3"/>
  <c r="J134"/>
  <c r="J105"/>
  <c r="J35"/>
  <c r="J23"/>
  <c r="J124"/>
  <c r="J46"/>
  <c r="J129"/>
  <c r="J1813"/>
  <c r="J2966"/>
  <c r="J2523"/>
  <c r="J145"/>
  <c r="J88"/>
  <c r="J16"/>
  <c r="J49"/>
  <c r="J127"/>
  <c r="J90"/>
  <c r="J143"/>
  <c r="J173"/>
  <c r="J96"/>
  <c r="J13"/>
  <c r="J2611"/>
  <c r="J142"/>
  <c r="J50"/>
  <c r="J76"/>
  <c r="J99"/>
  <c r="J106"/>
  <c r="J153"/>
  <c r="J53"/>
  <c r="J4"/>
  <c r="J791"/>
  <c r="J92"/>
  <c r="J116"/>
  <c r="J85"/>
  <c r="J80"/>
  <c r="J27"/>
  <c r="J131"/>
  <c r="J125"/>
  <c r="J157"/>
  <c r="J94"/>
  <c r="J81"/>
  <c r="J119"/>
  <c r="J132"/>
  <c r="J135"/>
  <c r="J162"/>
  <c r="J68"/>
  <c r="J39"/>
  <c r="J32"/>
  <c r="J77"/>
  <c r="J60"/>
  <c r="J47"/>
  <c r="J56"/>
  <c r="J87"/>
  <c r="J2544"/>
  <c r="J95"/>
  <c r="J3609"/>
  <c r="J67"/>
  <c r="J155"/>
  <c r="J146"/>
  <c r="J100"/>
  <c r="J75"/>
  <c r="J112"/>
  <c r="J122"/>
  <c r="J166"/>
  <c r="J83"/>
  <c r="J120"/>
  <c r="J52"/>
  <c r="J3557"/>
  <c r="J24"/>
  <c r="J130"/>
  <c r="J72"/>
  <c r="J79"/>
  <c r="J2517"/>
  <c r="J101"/>
  <c r="J115"/>
  <c r="J150"/>
  <c r="J5"/>
  <c r="J89"/>
  <c r="J137"/>
  <c r="J26"/>
  <c r="J136"/>
  <c r="J352"/>
  <c r="J2849"/>
  <c r="J133"/>
  <c r="J71"/>
  <c r="J179"/>
  <c r="J48"/>
  <c r="J1688"/>
  <c r="J144"/>
  <c r="J57"/>
  <c r="J30"/>
  <c r="J2467"/>
  <c r="J2466"/>
  <c r="J82"/>
  <c r="J1146"/>
  <c r="J1102"/>
  <c r="J2858"/>
  <c r="J1977"/>
  <c r="J3899"/>
  <c r="J3766"/>
  <c r="J549"/>
  <c r="J548"/>
  <c r="J547"/>
  <c r="K2466" l="1"/>
  <c r="C2466" s="1"/>
  <c r="K2467"/>
  <c r="C2467" s="1"/>
  <c r="K30"/>
  <c r="C30" s="1"/>
  <c r="K57"/>
  <c r="C57" s="1"/>
  <c r="K144"/>
  <c r="C144" s="1"/>
  <c r="K1688"/>
  <c r="C1688" s="1"/>
  <c r="K48"/>
  <c r="C48" s="1"/>
  <c r="K179"/>
  <c r="C179" s="1"/>
  <c r="K71"/>
  <c r="C71" s="1"/>
  <c r="K133"/>
  <c r="C133" s="1"/>
  <c r="K2849"/>
  <c r="C2849" s="1"/>
  <c r="K352"/>
  <c r="C352" s="1"/>
  <c r="K136"/>
  <c r="C136" s="1"/>
  <c r="K26"/>
  <c r="C26" s="1"/>
  <c r="K137"/>
  <c r="C137" s="1"/>
  <c r="K89"/>
  <c r="C89" s="1"/>
  <c r="K5"/>
  <c r="C5" s="1"/>
  <c r="K150"/>
  <c r="C150" s="1"/>
  <c r="K115"/>
  <c r="C115" s="1"/>
  <c r="K101"/>
  <c r="C101" s="1"/>
  <c r="K2517"/>
  <c r="C2517" s="1"/>
  <c r="K79"/>
  <c r="C79" s="1"/>
  <c r="K72"/>
  <c r="C72" s="1"/>
  <c r="K130"/>
  <c r="C130" s="1"/>
  <c r="K24"/>
  <c r="C24" s="1"/>
  <c r="K3557"/>
  <c r="C3557" s="1"/>
  <c r="K52"/>
  <c r="C52" s="1"/>
  <c r="K120"/>
  <c r="C120" s="1"/>
  <c r="K83"/>
  <c r="C83" s="1"/>
  <c r="K166"/>
  <c r="C166" s="1"/>
  <c r="K122"/>
  <c r="C122" s="1"/>
  <c r="K112"/>
  <c r="C112" s="1"/>
  <c r="K75"/>
  <c r="C75" s="1"/>
  <c r="K100"/>
  <c r="C100" s="1"/>
  <c r="K146"/>
  <c r="C146" s="1"/>
  <c r="K155"/>
  <c r="C155" s="1"/>
  <c r="K67"/>
  <c r="C67" s="1"/>
  <c r="K3609"/>
  <c r="C3609" s="1"/>
  <c r="K95"/>
  <c r="C95" s="1"/>
  <c r="K2544"/>
  <c r="C2544" s="1"/>
  <c r="K87"/>
  <c r="C87" s="1"/>
  <c r="K56"/>
  <c r="C56" s="1"/>
  <c r="K47"/>
  <c r="C47" s="1"/>
  <c r="K60"/>
  <c r="C60" s="1"/>
  <c r="K77"/>
  <c r="C77" s="1"/>
  <c r="K32"/>
  <c r="C32" s="1"/>
  <c r="K39"/>
  <c r="C39" s="1"/>
  <c r="K68"/>
  <c r="C68" s="1"/>
  <c r="K162"/>
  <c r="C162" s="1"/>
  <c r="K135"/>
  <c r="C135" s="1"/>
  <c r="K132"/>
  <c r="C132" s="1"/>
  <c r="K119"/>
  <c r="C119" s="1"/>
  <c r="K81"/>
  <c r="C81" s="1"/>
  <c r="K94"/>
  <c r="C94" s="1"/>
  <c r="K157"/>
  <c r="C157" s="1"/>
  <c r="K125"/>
  <c r="C125" s="1"/>
  <c r="K131"/>
  <c r="C131" s="1"/>
  <c r="K27"/>
  <c r="C27" s="1"/>
  <c r="K80"/>
  <c r="C80" s="1"/>
  <c r="K82"/>
  <c r="C82" s="1"/>
  <c r="K85"/>
  <c r="C85" s="1"/>
  <c r="K116"/>
  <c r="C116" s="1"/>
  <c r="K92"/>
  <c r="C92" s="1"/>
  <c r="K791"/>
  <c r="C791" s="1"/>
  <c r="K4"/>
  <c r="C4" s="1"/>
  <c r="K53"/>
  <c r="C53" s="1"/>
  <c r="K153"/>
  <c r="C153" s="1"/>
  <c r="K106"/>
  <c r="C106" s="1"/>
  <c r="K99"/>
  <c r="C99" s="1"/>
  <c r="K76"/>
  <c r="C76" s="1"/>
  <c r="K50"/>
  <c r="C50" s="1"/>
  <c r="K142"/>
  <c r="C142" s="1"/>
  <c r="K2611"/>
  <c r="C2611" s="1"/>
  <c r="K13"/>
  <c r="C13" s="1"/>
  <c r="K96"/>
  <c r="C96" s="1"/>
  <c r="K173"/>
  <c r="C173" s="1"/>
  <c r="K1102"/>
  <c r="C1102" s="1"/>
  <c r="K143"/>
  <c r="C143" s="1"/>
  <c r="K90"/>
  <c r="C90" s="1"/>
  <c r="K127"/>
  <c r="C127" s="1"/>
  <c r="K49"/>
  <c r="C49" s="1"/>
  <c r="K16"/>
  <c r="C16" s="1"/>
  <c r="K88"/>
  <c r="C88" s="1"/>
  <c r="K145"/>
  <c r="C145" s="1"/>
  <c r="K2523"/>
  <c r="C2523" s="1"/>
  <c r="K2966"/>
  <c r="C2966" s="1"/>
  <c r="K1813"/>
  <c r="C1813" s="1"/>
  <c r="K129"/>
  <c r="C129" s="1"/>
  <c r="K46"/>
  <c r="C46" s="1"/>
  <c r="K124"/>
  <c r="C124" s="1"/>
  <c r="K23"/>
  <c r="C23" s="1"/>
  <c r="K35"/>
  <c r="C35" s="1"/>
  <c r="K105"/>
  <c r="C105" s="1"/>
  <c r="K134"/>
  <c r="C134" s="1"/>
  <c r="K3"/>
  <c r="C3" s="1"/>
  <c r="K141"/>
  <c r="C141" s="1"/>
  <c r="K118"/>
  <c r="C118" s="1"/>
  <c r="K74"/>
  <c r="C74" s="1"/>
  <c r="K3726"/>
  <c r="C3726" s="1"/>
  <c r="K65"/>
  <c r="C65" s="1"/>
  <c r="K97"/>
  <c r="C97" s="1"/>
  <c r="K17"/>
  <c r="C17" s="1"/>
  <c r="K1103"/>
  <c r="C1103" s="1"/>
  <c r="K3003"/>
  <c r="C3003" s="1"/>
  <c r="K3715"/>
  <c r="C3715" s="1"/>
  <c r="K3626"/>
  <c r="C3626" s="1"/>
  <c r="K78"/>
  <c r="C78" s="1"/>
  <c r="K73"/>
  <c r="C73" s="1"/>
  <c r="K42"/>
  <c r="C42" s="1"/>
  <c r="K25"/>
  <c r="C25" s="1"/>
  <c r="K70"/>
  <c r="C70" s="1"/>
  <c r="K91"/>
  <c r="C91" s="1"/>
  <c r="K64"/>
  <c r="C64" s="1"/>
  <c r="K29"/>
  <c r="C29" s="1"/>
  <c r="K45"/>
  <c r="C45" s="1"/>
  <c r="K34"/>
  <c r="C34" s="1"/>
  <c r="K117"/>
  <c r="C117" s="1"/>
  <c r="K139"/>
  <c r="C139" s="1"/>
  <c r="K33"/>
  <c r="C33" s="1"/>
  <c r="K152"/>
  <c r="C152" s="1"/>
  <c r="K3323"/>
  <c r="C3323" s="1"/>
  <c r="K62"/>
  <c r="C62" s="1"/>
  <c r="K66"/>
  <c r="C66" s="1"/>
  <c r="K165"/>
  <c r="C165" s="1"/>
  <c r="K172"/>
  <c r="C172" s="1"/>
  <c r="K14"/>
  <c r="C14" s="1"/>
  <c r="K55"/>
  <c r="C55" s="1"/>
  <c r="K11"/>
  <c r="C11" s="1"/>
  <c r="K103"/>
  <c r="C103" s="1"/>
  <c r="K15"/>
  <c r="C15" s="1"/>
  <c r="K4048"/>
  <c r="C4048" s="1"/>
  <c r="K159"/>
  <c r="C159" s="1"/>
  <c r="K51"/>
  <c r="C51" s="1"/>
  <c r="K10"/>
  <c r="C10" s="1"/>
  <c r="K12"/>
  <c r="C12" s="1"/>
  <c r="K167"/>
  <c r="C167" s="1"/>
  <c r="K84"/>
  <c r="C84" s="1"/>
  <c r="K121"/>
  <c r="C121" s="1"/>
  <c r="K170"/>
  <c r="C170" s="1"/>
  <c r="K8"/>
  <c r="C8" s="1"/>
  <c r="K154"/>
  <c r="C154" s="1"/>
  <c r="K128"/>
  <c r="C128" s="1"/>
  <c r="K21"/>
  <c r="C21" s="1"/>
  <c r="K22"/>
  <c r="C22" s="1"/>
  <c r="K110"/>
  <c r="C110" s="1"/>
  <c r="K113"/>
  <c r="C113" s="1"/>
  <c r="K169"/>
  <c r="C169" s="1"/>
  <c r="K3667"/>
  <c r="C3667" s="1"/>
  <c r="K161"/>
  <c r="C161" s="1"/>
  <c r="K108"/>
  <c r="C108" s="1"/>
  <c r="K168"/>
  <c r="C168" s="1"/>
  <c r="K109"/>
  <c r="C109" s="1"/>
  <c r="K7"/>
  <c r="C7" s="1"/>
  <c r="K54"/>
  <c r="C54" s="1"/>
  <c r="K147"/>
  <c r="C147" s="1"/>
  <c r="K3766"/>
  <c r="C3766" s="1"/>
  <c r="K38"/>
  <c r="C38" s="1"/>
  <c r="K104"/>
  <c r="C104" s="1"/>
  <c r="K156"/>
  <c r="C156" s="1"/>
  <c r="K107"/>
  <c r="C107" s="1"/>
  <c r="K2850"/>
  <c r="C2850" s="1"/>
  <c r="K28"/>
  <c r="C28" s="1"/>
  <c r="K37"/>
  <c r="C37" s="1"/>
  <c r="K181"/>
  <c r="C181" s="1"/>
  <c r="K41"/>
  <c r="C41" s="1"/>
  <c r="K36"/>
  <c r="C36" s="1"/>
  <c r="K164"/>
  <c r="C164" s="1"/>
  <c r="K138"/>
  <c r="C138" s="1"/>
  <c r="K102"/>
  <c r="C102" s="1"/>
  <c r="K93"/>
  <c r="C93" s="1"/>
  <c r="K19"/>
  <c r="C19" s="1"/>
  <c r="K160"/>
  <c r="C160" s="1"/>
  <c r="K43"/>
  <c r="C43" s="1"/>
  <c r="K177"/>
  <c r="C177" s="1"/>
  <c r="K69"/>
  <c r="C69" s="1"/>
  <c r="K171"/>
  <c r="C171" s="1"/>
  <c r="K6"/>
  <c r="C6" s="1"/>
  <c r="K174"/>
  <c r="C174" s="1"/>
  <c r="K98"/>
  <c r="C98" s="1"/>
  <c r="K158"/>
  <c r="C158" s="1"/>
  <c r="K140"/>
  <c r="C140" s="1"/>
  <c r="K111"/>
  <c r="C111" s="1"/>
  <c r="K58"/>
  <c r="C58" s="1"/>
  <c r="K9"/>
  <c r="C9" s="1"/>
  <c r="K18"/>
  <c r="C18" s="1"/>
  <c r="K151"/>
  <c r="C151" s="1"/>
  <c r="K63"/>
  <c r="C63" s="1"/>
  <c r="K44"/>
  <c r="C44" s="1"/>
  <c r="K148"/>
  <c r="C148" s="1"/>
  <c r="K123"/>
  <c r="C123" s="1"/>
  <c r="K31"/>
  <c r="C31" s="1"/>
  <c r="K86"/>
  <c r="C86" s="1"/>
  <c r="K59"/>
  <c r="C59" s="1"/>
  <c r="K175"/>
  <c r="C175" s="1"/>
  <c r="K1358"/>
  <c r="C1358" s="1"/>
  <c r="K627"/>
  <c r="C627" s="1"/>
  <c r="K3680"/>
  <c r="C3680" s="1"/>
  <c r="K343"/>
  <c r="C343" s="1"/>
  <c r="K2723"/>
  <c r="C2723" s="1"/>
  <c r="K2807"/>
  <c r="C2807" s="1"/>
  <c r="K631"/>
  <c r="C631" s="1"/>
  <c r="K4177"/>
  <c r="C4177" s="1"/>
  <c r="K1592"/>
  <c r="C1592" s="1"/>
  <c r="K2732"/>
  <c r="C2732" s="1"/>
  <c r="K2638"/>
  <c r="C2638" s="1"/>
  <c r="K3528"/>
  <c r="C3528" s="1"/>
  <c r="K3855"/>
  <c r="C3855" s="1"/>
  <c r="K346"/>
  <c r="C346" s="1"/>
  <c r="K536"/>
  <c r="C536" s="1"/>
  <c r="K619"/>
  <c r="C619" s="1"/>
  <c r="K2911"/>
  <c r="C2911" s="1"/>
  <c r="K3086"/>
  <c r="C3086" s="1"/>
  <c r="K1161"/>
  <c r="C1161" s="1"/>
  <c r="K3697"/>
  <c r="C3697" s="1"/>
  <c r="K3319"/>
  <c r="C3319" s="1"/>
  <c r="K2986"/>
  <c r="C2986" s="1"/>
  <c r="K2643"/>
  <c r="C2643" s="1"/>
  <c r="K665"/>
  <c r="C665" s="1"/>
  <c r="K3872"/>
  <c r="C3872" s="1"/>
  <c r="K2440"/>
  <c r="C2440" s="1"/>
  <c r="K3629"/>
  <c r="C3629" s="1"/>
  <c r="K3487"/>
  <c r="C3487" s="1"/>
  <c r="K3952"/>
  <c r="C3952" s="1"/>
  <c r="K2011"/>
  <c r="C2011" s="1"/>
  <c r="K1151"/>
  <c r="C1151" s="1"/>
  <c r="K730"/>
  <c r="C730" s="1"/>
  <c r="K2072"/>
  <c r="C2072" s="1"/>
  <c r="K2237"/>
  <c r="C2237" s="1"/>
  <c r="K1191"/>
  <c r="C1191" s="1"/>
  <c r="K4130"/>
  <c r="C4130" s="1"/>
  <c r="K2370"/>
  <c r="C2370" s="1"/>
  <c r="K561"/>
  <c r="C561" s="1"/>
  <c r="K1769"/>
  <c r="C1769" s="1"/>
  <c r="K2733"/>
  <c r="C2733" s="1"/>
  <c r="K2036"/>
  <c r="C2036" s="1"/>
  <c r="K3153"/>
  <c r="C3153" s="1"/>
  <c r="K3197"/>
  <c r="C3197" s="1"/>
  <c r="K3859"/>
  <c r="C3859" s="1"/>
  <c r="K2925"/>
  <c r="C2925" s="1"/>
  <c r="K2654"/>
  <c r="C2654" s="1"/>
  <c r="K4193"/>
  <c r="C4193" s="1"/>
  <c r="K366"/>
  <c r="C366" s="1"/>
  <c r="K3327"/>
  <c r="C3327" s="1"/>
  <c r="K3890"/>
  <c r="C3890" s="1"/>
  <c r="K3790"/>
  <c r="C3790" s="1"/>
  <c r="K2153"/>
  <c r="C2153" s="1"/>
  <c r="K1100"/>
  <c r="C1100" s="1"/>
  <c r="K3941"/>
  <c r="C3941" s="1"/>
  <c r="K2647"/>
  <c r="C2647" s="1"/>
  <c r="K2658"/>
  <c r="C2658" s="1"/>
  <c r="K2559"/>
  <c r="C2559" s="1"/>
  <c r="K3654"/>
  <c r="C3654" s="1"/>
  <c r="K1669"/>
  <c r="C1669" s="1"/>
  <c r="K2412"/>
  <c r="C2412" s="1"/>
  <c r="K3134"/>
  <c r="C3134" s="1"/>
  <c r="K3734"/>
  <c r="C3734" s="1"/>
  <c r="K3224"/>
  <c r="C3224" s="1"/>
  <c r="K539"/>
  <c r="C539" s="1"/>
  <c r="K1927"/>
  <c r="C1927" s="1"/>
  <c r="K2974"/>
  <c r="C2974" s="1"/>
  <c r="K3145"/>
  <c r="C3145" s="1"/>
  <c r="K3234"/>
  <c r="C3234" s="1"/>
  <c r="K2157"/>
  <c r="C2157" s="1"/>
  <c r="K2345"/>
  <c r="C2345" s="1"/>
  <c r="K2607"/>
  <c r="C2607" s="1"/>
  <c r="K1168"/>
  <c r="C1168" s="1"/>
  <c r="K3019"/>
  <c r="C3019" s="1"/>
  <c r="K362"/>
  <c r="C362" s="1"/>
  <c r="K3455"/>
  <c r="C3455" s="1"/>
  <c r="K3822"/>
  <c r="C3822" s="1"/>
  <c r="K592"/>
  <c r="C592" s="1"/>
  <c r="K1962"/>
  <c r="C1962" s="1"/>
  <c r="K1739"/>
  <c r="C1739" s="1"/>
  <c r="K1975"/>
  <c r="C1975" s="1"/>
  <c r="K3874"/>
  <c r="C3874" s="1"/>
  <c r="K3210"/>
  <c r="C3210" s="1"/>
  <c r="K1206"/>
  <c r="C1206" s="1"/>
  <c r="K2439"/>
  <c r="C2439" s="1"/>
  <c r="K1951"/>
  <c r="C1951" s="1"/>
  <c r="K3659"/>
  <c r="C3659" s="1"/>
  <c r="K3744"/>
  <c r="C3744" s="1"/>
  <c r="K2875"/>
  <c r="C2875" s="1"/>
  <c r="K3793"/>
  <c r="C3793" s="1"/>
  <c r="K4125"/>
  <c r="C4125" s="1"/>
  <c r="K652"/>
  <c r="C652" s="1"/>
  <c r="K2776"/>
  <c r="C2776" s="1"/>
  <c r="K1148"/>
  <c r="C1148" s="1"/>
  <c r="K1935"/>
  <c r="C1935" s="1"/>
  <c r="K3834"/>
  <c r="C3834" s="1"/>
  <c r="K3263"/>
  <c r="C3263" s="1"/>
  <c r="K3147"/>
  <c r="C3147" s="1"/>
  <c r="K3155"/>
  <c r="C3155" s="1"/>
  <c r="K412"/>
  <c r="C412" s="1"/>
  <c r="K1023"/>
  <c r="C1023" s="1"/>
  <c r="K3594"/>
  <c r="C3594" s="1"/>
  <c r="K3840"/>
  <c r="C3840" s="1"/>
  <c r="K3468"/>
  <c r="C3468" s="1"/>
  <c r="K472"/>
  <c r="C472" s="1"/>
  <c r="K1774"/>
  <c r="C1774" s="1"/>
  <c r="K3227"/>
  <c r="C3227" s="1"/>
  <c r="K3011"/>
  <c r="C3011" s="1"/>
  <c r="K1194"/>
  <c r="C1194" s="1"/>
  <c r="K3139"/>
  <c r="C3139" s="1"/>
  <c r="K705"/>
  <c r="C705" s="1"/>
  <c r="K2425"/>
  <c r="C2425" s="1"/>
  <c r="K499"/>
  <c r="C499" s="1"/>
  <c r="K1058"/>
  <c r="C1058" s="1"/>
  <c r="K176"/>
  <c r="C176" s="1"/>
  <c r="K3141"/>
  <c r="C3141" s="1"/>
  <c r="K1008"/>
  <c r="C1008" s="1"/>
  <c r="K517"/>
  <c r="C517" s="1"/>
  <c r="K1730"/>
  <c r="C1730" s="1"/>
  <c r="K2497"/>
  <c r="C2497" s="1"/>
  <c r="K2391"/>
  <c r="C2391" s="1"/>
  <c r="K4050"/>
  <c r="C4050" s="1"/>
  <c r="K1187"/>
  <c r="C1187" s="1"/>
  <c r="K3337"/>
  <c r="C3337" s="1"/>
  <c r="K2968"/>
  <c r="C2968" s="1"/>
  <c r="K933"/>
  <c r="C933" s="1"/>
  <c r="K3507"/>
  <c r="C3507" s="1"/>
  <c r="K4038"/>
  <c r="C4038" s="1"/>
  <c r="K2432"/>
  <c r="C2432" s="1"/>
  <c r="K4179"/>
  <c r="C4179" s="1"/>
  <c r="K3985"/>
  <c r="C3985" s="1"/>
  <c r="K2087"/>
  <c r="C2087" s="1"/>
  <c r="K430"/>
  <c r="C430" s="1"/>
  <c r="K751"/>
  <c r="C751" s="1"/>
  <c r="K1438"/>
  <c r="C1438" s="1"/>
  <c r="K1778"/>
  <c r="C1778" s="1"/>
  <c r="K3917"/>
  <c r="C3917" s="1"/>
  <c r="K3113"/>
  <c r="C3113" s="1"/>
  <c r="K2653"/>
  <c r="C2653" s="1"/>
  <c r="K2217"/>
  <c r="C2217" s="1"/>
  <c r="K2945"/>
  <c r="C2945" s="1"/>
  <c r="K1231"/>
  <c r="C1231" s="1"/>
  <c r="K3905"/>
  <c r="C3905" s="1"/>
  <c r="K2323"/>
  <c r="C2323" s="1"/>
  <c r="K3986"/>
  <c r="C3986" s="1"/>
  <c r="K3854"/>
  <c r="C3854" s="1"/>
  <c r="K1960"/>
  <c r="C1960" s="1"/>
  <c r="K1921"/>
  <c r="C1921" s="1"/>
  <c r="K1928"/>
  <c r="C1928" s="1"/>
  <c r="K1113"/>
  <c r="C1113" s="1"/>
  <c r="K3566"/>
  <c r="C3566" s="1"/>
  <c r="K1241"/>
  <c r="C1241" s="1"/>
  <c r="K506"/>
  <c r="C506" s="1"/>
  <c r="K828"/>
  <c r="C828" s="1"/>
  <c r="K1171"/>
  <c r="C1171" s="1"/>
  <c r="K1092"/>
  <c r="C1092" s="1"/>
  <c r="K3921"/>
  <c r="C3921" s="1"/>
  <c r="K3936"/>
  <c r="C3936" s="1"/>
  <c r="K2835"/>
  <c r="C2835" s="1"/>
  <c r="K2999"/>
  <c r="C2999" s="1"/>
  <c r="K1201"/>
  <c r="C1201" s="1"/>
  <c r="K328"/>
  <c r="C328" s="1"/>
  <c r="K2064"/>
  <c r="C2064" s="1"/>
  <c r="K411"/>
  <c r="C411" s="1"/>
  <c r="K585"/>
  <c r="C585" s="1"/>
  <c r="K3671"/>
  <c r="C3671" s="1"/>
  <c r="K1158"/>
  <c r="C1158" s="1"/>
  <c r="K3776"/>
  <c r="C3776" s="1"/>
  <c r="K268"/>
  <c r="C268" s="1"/>
  <c r="K3267"/>
  <c r="C3267" s="1"/>
  <c r="K3388"/>
  <c r="C3388" s="1"/>
  <c r="K1532"/>
  <c r="C1532" s="1"/>
  <c r="K2564"/>
  <c r="C2564" s="1"/>
  <c r="K3648"/>
  <c r="C3648" s="1"/>
  <c r="K1507"/>
  <c r="C1507" s="1"/>
  <c r="K3481"/>
  <c r="C3481" s="1"/>
  <c r="K2714"/>
  <c r="C2714" s="1"/>
  <c r="K1399"/>
  <c r="C1399" s="1"/>
  <c r="K632"/>
  <c r="C632" s="1"/>
  <c r="K3214"/>
  <c r="C3214" s="1"/>
  <c r="K4139"/>
  <c r="C4139" s="1"/>
  <c r="K1812"/>
  <c r="C1812" s="1"/>
  <c r="K3049"/>
  <c r="C3049" s="1"/>
  <c r="K935"/>
  <c r="C935" s="1"/>
  <c r="K2917"/>
  <c r="C2917" s="1"/>
  <c r="K1888"/>
  <c r="C1888" s="1"/>
  <c r="K3847"/>
  <c r="C3847" s="1"/>
  <c r="K3578"/>
  <c r="C3578" s="1"/>
  <c r="K3348"/>
  <c r="C3348" s="1"/>
  <c r="K1067"/>
  <c r="C1067" s="1"/>
  <c r="K3675"/>
  <c r="C3675" s="1"/>
  <c r="K3795"/>
  <c r="C3795" s="1"/>
  <c r="K3973"/>
  <c r="C3973" s="1"/>
  <c r="K3226"/>
  <c r="C3226" s="1"/>
  <c r="K4171"/>
  <c r="C4171" s="1"/>
  <c r="K2972"/>
  <c r="C2972" s="1"/>
  <c r="K4202"/>
  <c r="C4202" s="1"/>
  <c r="K3120"/>
  <c r="C3120" s="1"/>
  <c r="K3479"/>
  <c r="C3479" s="1"/>
  <c r="K3078"/>
  <c r="C3078" s="1"/>
  <c r="K1294"/>
  <c r="C1294" s="1"/>
  <c r="K3137"/>
  <c r="C3137" s="1"/>
  <c r="K1321"/>
  <c r="C1321" s="1"/>
  <c r="K3695"/>
  <c r="C3695" s="1"/>
  <c r="K2633"/>
  <c r="C2633" s="1"/>
  <c r="K417"/>
  <c r="C417" s="1"/>
  <c r="K2361"/>
  <c r="C2361" s="1"/>
  <c r="K2318"/>
  <c r="C2318" s="1"/>
  <c r="K353"/>
  <c r="C353" s="1"/>
  <c r="K2680"/>
  <c r="C2680" s="1"/>
  <c r="K3187"/>
  <c r="C3187" s="1"/>
  <c r="K2641"/>
  <c r="C2641" s="1"/>
  <c r="K3295"/>
  <c r="C3295" s="1"/>
  <c r="K994"/>
  <c r="C994" s="1"/>
  <c r="K3114"/>
  <c r="C3114" s="1"/>
  <c r="K419"/>
  <c r="C419" s="1"/>
  <c r="K4074"/>
  <c r="C4074" s="1"/>
  <c r="K2954"/>
  <c r="C2954" s="1"/>
  <c r="K2596"/>
  <c r="C2596" s="1"/>
  <c r="K2907"/>
  <c r="C2907" s="1"/>
  <c r="K1083"/>
  <c r="C1083" s="1"/>
  <c r="K2634"/>
  <c r="C2634" s="1"/>
  <c r="K4044"/>
  <c r="C4044" s="1"/>
  <c r="K1087"/>
  <c r="C1087" s="1"/>
  <c r="K2209"/>
  <c r="C2209" s="1"/>
  <c r="K1542"/>
  <c r="C1542" s="1"/>
  <c r="K737"/>
  <c r="C737" s="1"/>
  <c r="K3094"/>
  <c r="C3094" s="1"/>
  <c r="K473"/>
  <c r="C473" s="1"/>
  <c r="K3294"/>
  <c r="C3294" s="1"/>
  <c r="K2981"/>
  <c r="C2981" s="1"/>
  <c r="K2499"/>
  <c r="C2499" s="1"/>
  <c r="K3995"/>
  <c r="C3995" s="1"/>
  <c r="K3748"/>
  <c r="C3748" s="1"/>
  <c r="K211"/>
  <c r="C211" s="1"/>
  <c r="K3047"/>
  <c r="C3047" s="1"/>
  <c r="K3283"/>
  <c r="C3283" s="1"/>
  <c r="K3569"/>
  <c r="C3569" s="1"/>
  <c r="K2935"/>
  <c r="C2935" s="1"/>
  <c r="K3028"/>
  <c r="C3028" s="1"/>
  <c r="K804"/>
  <c r="C804" s="1"/>
  <c r="K4108"/>
  <c r="C4108" s="1"/>
  <c r="K2562"/>
  <c r="C2562" s="1"/>
  <c r="K3769"/>
  <c r="C3769" s="1"/>
  <c r="K3830"/>
  <c r="C3830" s="1"/>
  <c r="K2034"/>
  <c r="C2034" s="1"/>
  <c r="K2775"/>
  <c r="C2775" s="1"/>
  <c r="K3643"/>
  <c r="C3643" s="1"/>
  <c r="K3181"/>
  <c r="C3181" s="1"/>
  <c r="K3735"/>
  <c r="C3735" s="1"/>
  <c r="K4150"/>
  <c r="C4150" s="1"/>
  <c r="K936"/>
  <c r="C936" s="1"/>
  <c r="K3918"/>
  <c r="C3918" s="1"/>
  <c r="K1078"/>
  <c r="C1078" s="1"/>
  <c r="K3993"/>
  <c r="C3993" s="1"/>
  <c r="K3414"/>
  <c r="C3414" s="1"/>
  <c r="K2418"/>
  <c r="C2418" s="1"/>
  <c r="K2947"/>
  <c r="C2947" s="1"/>
  <c r="K1301"/>
  <c r="C1301" s="1"/>
  <c r="K3117"/>
  <c r="C3117" s="1"/>
  <c r="K3299"/>
  <c r="C3299" s="1"/>
  <c r="K3538"/>
  <c r="C3538" s="1"/>
  <c r="K3686"/>
  <c r="C3686" s="1"/>
  <c r="K1992"/>
  <c r="C1992" s="1"/>
  <c r="K386"/>
  <c r="C386" s="1"/>
  <c r="K3109"/>
  <c r="C3109" s="1"/>
  <c r="K2725"/>
  <c r="C2725" s="1"/>
  <c r="K1894"/>
  <c r="C1894" s="1"/>
  <c r="K2473"/>
  <c r="C2473" s="1"/>
  <c r="K3427"/>
  <c r="C3427" s="1"/>
  <c r="K2668"/>
  <c r="C2668" s="1"/>
  <c r="K1886"/>
  <c r="C1886" s="1"/>
  <c r="K241"/>
  <c r="C241" s="1"/>
  <c r="K1843"/>
  <c r="C1843" s="1"/>
  <c r="K4011"/>
  <c r="C4011" s="1"/>
  <c r="K761"/>
  <c r="C761" s="1"/>
  <c r="K303"/>
  <c r="C303" s="1"/>
  <c r="K3889"/>
  <c r="C3889" s="1"/>
  <c r="K3110"/>
  <c r="C3110" s="1"/>
  <c r="K1952"/>
  <c r="C1952" s="1"/>
  <c r="K4185"/>
  <c r="C4185" s="1"/>
  <c r="K2930"/>
  <c r="C2930" s="1"/>
  <c r="K1940"/>
  <c r="C1940" s="1"/>
  <c r="K2088"/>
  <c r="C2088" s="1"/>
  <c r="K2630"/>
  <c r="C2630" s="1"/>
  <c r="K3350"/>
  <c r="C3350" s="1"/>
  <c r="K1741"/>
  <c r="C1741" s="1"/>
  <c r="K1575"/>
  <c r="C1575" s="1"/>
  <c r="K462"/>
  <c r="C462" s="1"/>
  <c r="K1956"/>
  <c r="C1956" s="1"/>
  <c r="K439"/>
  <c r="C439" s="1"/>
  <c r="K1520"/>
  <c r="C1520" s="1"/>
  <c r="K4112"/>
  <c r="C4112" s="1"/>
  <c r="K2734"/>
  <c r="C2734" s="1"/>
  <c r="K1590"/>
  <c r="C1590" s="1"/>
  <c r="K3493"/>
  <c r="C3493" s="1"/>
  <c r="K3757"/>
  <c r="C3757" s="1"/>
  <c r="K421"/>
  <c r="C421" s="1"/>
  <c r="K273"/>
  <c r="C273" s="1"/>
  <c r="K1247"/>
  <c r="C1247" s="1"/>
  <c r="K3411"/>
  <c r="C3411" s="1"/>
  <c r="K2461"/>
  <c r="C2461" s="1"/>
  <c r="K1116"/>
  <c r="C1116" s="1"/>
  <c r="K3013"/>
  <c r="C3013" s="1"/>
  <c r="K2239"/>
  <c r="C2239" s="1"/>
  <c r="K2138"/>
  <c r="C2138" s="1"/>
  <c r="K984"/>
  <c r="C984" s="1"/>
  <c r="K1133"/>
  <c r="C1133" s="1"/>
  <c r="K1383"/>
  <c r="C1383" s="1"/>
  <c r="K1491"/>
  <c r="C1491" s="1"/>
  <c r="K3563"/>
  <c r="C3563" s="1"/>
  <c r="K3688"/>
  <c r="C3688" s="1"/>
  <c r="K677"/>
  <c r="C677" s="1"/>
  <c r="K3961"/>
  <c r="C3961" s="1"/>
  <c r="K4080"/>
  <c r="C4080" s="1"/>
  <c r="K898"/>
  <c r="C898" s="1"/>
  <c r="K3711"/>
  <c r="C3711" s="1"/>
  <c r="K2128"/>
  <c r="C2128" s="1"/>
  <c r="K3590"/>
  <c r="C3590" s="1"/>
  <c r="K4118"/>
  <c r="C4118" s="1"/>
  <c r="K4015"/>
  <c r="C4015" s="1"/>
  <c r="K1672"/>
  <c r="C1672" s="1"/>
  <c r="K1234"/>
  <c r="C1234" s="1"/>
  <c r="K2085"/>
  <c r="C2085" s="1"/>
  <c r="K2883"/>
  <c r="C2883" s="1"/>
  <c r="K3504"/>
  <c r="C3504" s="1"/>
  <c r="K1987"/>
  <c r="C1987" s="1"/>
  <c r="K3454"/>
  <c r="C3454" s="1"/>
  <c r="K2167"/>
  <c r="C2167" s="1"/>
  <c r="K187"/>
  <c r="C187" s="1"/>
  <c r="K858"/>
  <c r="C858" s="1"/>
  <c r="K3035"/>
  <c r="C3035" s="1"/>
  <c r="K2462"/>
  <c r="C2462" s="1"/>
  <c r="K1976"/>
  <c r="C1976" s="1"/>
  <c r="K1938"/>
  <c r="C1938" s="1"/>
  <c r="K1632"/>
  <c r="C1632" s="1"/>
  <c r="K504"/>
  <c r="C504" s="1"/>
  <c r="K1071"/>
  <c r="C1071" s="1"/>
  <c r="K4162"/>
  <c r="C4162" s="1"/>
  <c r="K1636"/>
  <c r="C1636" s="1"/>
  <c r="K1436"/>
  <c r="C1436" s="1"/>
  <c r="K1547"/>
  <c r="C1547" s="1"/>
  <c r="K3681"/>
  <c r="C3681" s="1"/>
  <c r="K3660"/>
  <c r="C3660" s="1"/>
  <c r="K2869"/>
  <c r="C2869" s="1"/>
  <c r="K1052"/>
  <c r="C1052" s="1"/>
  <c r="K3023"/>
  <c r="C3023" s="1"/>
  <c r="K3948"/>
  <c r="C3948" s="1"/>
  <c r="K459"/>
  <c r="C459" s="1"/>
  <c r="K3177"/>
  <c r="C3177" s="1"/>
  <c r="K3658"/>
  <c r="C3658" s="1"/>
  <c r="K523"/>
  <c r="C523" s="1"/>
  <c r="K492"/>
  <c r="C492" s="1"/>
  <c r="K180"/>
  <c r="C180" s="1"/>
  <c r="K651"/>
  <c r="C651" s="1"/>
  <c r="K3780"/>
  <c r="C3780" s="1"/>
  <c r="K1300"/>
  <c r="C1300" s="1"/>
  <c r="K3248"/>
  <c r="C3248" s="1"/>
  <c r="K2451"/>
  <c r="C2451" s="1"/>
  <c r="K1947"/>
  <c r="C1947" s="1"/>
  <c r="K3063"/>
  <c r="C3063" s="1"/>
  <c r="K3750"/>
  <c r="C3750" s="1"/>
  <c r="K2501"/>
  <c r="C2501" s="1"/>
  <c r="K630"/>
  <c r="C630" s="1"/>
  <c r="K2038"/>
  <c r="C2038" s="1"/>
  <c r="K967"/>
  <c r="C967" s="1"/>
  <c r="K1994"/>
  <c r="C1994" s="1"/>
  <c r="K1416"/>
  <c r="C1416" s="1"/>
  <c r="K359"/>
  <c r="C359" s="1"/>
  <c r="K191"/>
  <c r="C191" s="1"/>
  <c r="K1344"/>
  <c r="C1344" s="1"/>
  <c r="K2666"/>
  <c r="C2666" s="1"/>
  <c r="K2049"/>
  <c r="C2049" s="1"/>
  <c r="K2931"/>
  <c r="C2931" s="1"/>
  <c r="K2803"/>
  <c r="C2803" s="1"/>
  <c r="K1053"/>
  <c r="C1053" s="1"/>
  <c r="K2700"/>
  <c r="C2700" s="1"/>
  <c r="K2976"/>
  <c r="C2976" s="1"/>
  <c r="K4107"/>
  <c r="C4107" s="1"/>
  <c r="K1978"/>
  <c r="C1978" s="1"/>
  <c r="K2143"/>
  <c r="C2143" s="1"/>
  <c r="K516"/>
  <c r="C516" s="1"/>
  <c r="K2488"/>
  <c r="C2488" s="1"/>
  <c r="K1786"/>
  <c r="C1786" s="1"/>
  <c r="K3352"/>
  <c r="C3352" s="1"/>
  <c r="K3037"/>
  <c r="C3037" s="1"/>
  <c r="K2495"/>
  <c r="C2495" s="1"/>
  <c r="K4053"/>
  <c r="C4053" s="1"/>
  <c r="K1997"/>
  <c r="C1997" s="1"/>
  <c r="K3386"/>
  <c r="C3386" s="1"/>
  <c r="K1845"/>
  <c r="C1845" s="1"/>
  <c r="K3863"/>
  <c r="C3863" s="1"/>
  <c r="K2623"/>
  <c r="C2623" s="1"/>
  <c r="K2337"/>
  <c r="C2337" s="1"/>
  <c r="K955"/>
  <c r="C955" s="1"/>
  <c r="K1049"/>
  <c r="C1049" s="1"/>
  <c r="K1864"/>
  <c r="C1864" s="1"/>
  <c r="K2645"/>
  <c r="C2645" s="1"/>
  <c r="K3876"/>
  <c r="C3876" s="1"/>
  <c r="K2920"/>
  <c r="C2920" s="1"/>
  <c r="K2829"/>
  <c r="C2829" s="1"/>
  <c r="K1439"/>
  <c r="C1439" s="1"/>
  <c r="K1001"/>
  <c r="C1001" s="1"/>
  <c r="K1461"/>
  <c r="C1461" s="1"/>
  <c r="K3428"/>
  <c r="C3428" s="1"/>
  <c r="K3483"/>
  <c r="C3483" s="1"/>
  <c r="K3133"/>
  <c r="C3133" s="1"/>
  <c r="K3230"/>
  <c r="C3230" s="1"/>
  <c r="K3170"/>
  <c r="C3170" s="1"/>
  <c r="K3165"/>
  <c r="C3165" s="1"/>
  <c r="K1473"/>
  <c r="C1473" s="1"/>
  <c r="K1543"/>
  <c r="C1543" s="1"/>
  <c r="K2867"/>
  <c r="C2867" s="1"/>
  <c r="K3977"/>
  <c r="C3977" s="1"/>
  <c r="K2288"/>
  <c r="C2288" s="1"/>
  <c r="K312"/>
  <c r="C312" s="1"/>
  <c r="K1002"/>
  <c r="C1002" s="1"/>
  <c r="K3796"/>
  <c r="C3796" s="1"/>
  <c r="K3842"/>
  <c r="C3842" s="1"/>
  <c r="K979"/>
  <c r="C979" s="1"/>
  <c r="K2344"/>
  <c r="C2344" s="1"/>
  <c r="K333"/>
  <c r="C333" s="1"/>
  <c r="K3221"/>
  <c r="C3221" s="1"/>
  <c r="K1866"/>
  <c r="C1866" s="1"/>
  <c r="K1518"/>
  <c r="C1518" s="1"/>
  <c r="K3604"/>
  <c r="C3604" s="1"/>
  <c r="K1280"/>
  <c r="C1280" s="1"/>
  <c r="K3674"/>
  <c r="C3674" s="1"/>
  <c r="K3533"/>
  <c r="C3533" s="1"/>
  <c r="K3347"/>
  <c r="C3347" s="1"/>
  <c r="K2458"/>
  <c r="C2458" s="1"/>
  <c r="K2845"/>
  <c r="C2845" s="1"/>
  <c r="K3058"/>
  <c r="C3058" s="1"/>
  <c r="K1964"/>
  <c r="C1964" s="1"/>
  <c r="K862"/>
  <c r="C862" s="1"/>
  <c r="K1176"/>
  <c r="C1176" s="1"/>
  <c r="K3272"/>
  <c r="C3272" s="1"/>
  <c r="K2667"/>
  <c r="C2667" s="1"/>
  <c r="K2900"/>
  <c r="C2900" s="1"/>
  <c r="K3844"/>
  <c r="C3844" s="1"/>
  <c r="K4096"/>
  <c r="C4096" s="1"/>
  <c r="K1954"/>
  <c r="C1954" s="1"/>
  <c r="K2160"/>
  <c r="C2160" s="1"/>
  <c r="K907"/>
  <c r="C907" s="1"/>
  <c r="K2459"/>
  <c r="C2459" s="1"/>
  <c r="K1295"/>
  <c r="C1295" s="1"/>
  <c r="K2084"/>
  <c r="C2084" s="1"/>
  <c r="K930"/>
  <c r="C930" s="1"/>
  <c r="K3819"/>
  <c r="C3819" s="1"/>
  <c r="K2424"/>
  <c r="C2424" s="1"/>
  <c r="K2189"/>
  <c r="C2189" s="1"/>
  <c r="K2368"/>
  <c r="C2368" s="1"/>
  <c r="K2083"/>
  <c r="C2083" s="1"/>
  <c r="K763"/>
  <c r="C763" s="1"/>
  <c r="K3236"/>
  <c r="C3236" s="1"/>
  <c r="K1904"/>
  <c r="C1904" s="1"/>
  <c r="K4086"/>
  <c r="C4086" s="1"/>
  <c r="K3804"/>
  <c r="C3804" s="1"/>
  <c r="K2585"/>
  <c r="C2585" s="1"/>
  <c r="K2146"/>
  <c r="C2146" s="1"/>
  <c r="K1661"/>
  <c r="C1661" s="1"/>
  <c r="K3225"/>
  <c r="C3225" s="1"/>
  <c r="K2591"/>
  <c r="C2591" s="1"/>
  <c r="K296"/>
  <c r="C296" s="1"/>
  <c r="K579"/>
  <c r="C579" s="1"/>
  <c r="K1110"/>
  <c r="C1110" s="1"/>
  <c r="K1744"/>
  <c r="C1744" s="1"/>
  <c r="K3833"/>
  <c r="C3833" s="1"/>
  <c r="K3250"/>
  <c r="C3250" s="1"/>
  <c r="K463"/>
  <c r="C463" s="1"/>
  <c r="K648"/>
  <c r="C648" s="1"/>
  <c r="K3886"/>
  <c r="C3886" s="1"/>
  <c r="K3581"/>
  <c r="C3581" s="1"/>
  <c r="K3758"/>
  <c r="C3758" s="1"/>
  <c r="K3892"/>
  <c r="C3892" s="1"/>
  <c r="K2429"/>
  <c r="C2429" s="1"/>
  <c r="K1174"/>
  <c r="C1174" s="1"/>
  <c r="K2948"/>
  <c r="C2948" s="1"/>
  <c r="K3027"/>
  <c r="C3027" s="1"/>
  <c r="K1192"/>
  <c r="C1192" s="1"/>
  <c r="K3320"/>
  <c r="C3320" s="1"/>
  <c r="K4059"/>
  <c r="C4059" s="1"/>
  <c r="K3176"/>
  <c r="C3176" s="1"/>
  <c r="K3880"/>
  <c r="C3880" s="1"/>
  <c r="K3784"/>
  <c r="C3784" s="1"/>
  <c r="K1027"/>
  <c r="C1027" s="1"/>
  <c r="K927"/>
  <c r="C927" s="1"/>
  <c r="K2358"/>
  <c r="C2358" s="1"/>
  <c r="K2934"/>
  <c r="C2934" s="1"/>
  <c r="K2044"/>
  <c r="C2044" s="1"/>
  <c r="K3150"/>
  <c r="C3150" s="1"/>
  <c r="K1785"/>
  <c r="C1785" s="1"/>
  <c r="K2090"/>
  <c r="C2090" s="1"/>
  <c r="K1673"/>
  <c r="C1673" s="1"/>
  <c r="K2489"/>
  <c r="C2489" s="1"/>
  <c r="K3623"/>
  <c r="C3623" s="1"/>
  <c r="K1397"/>
  <c r="C1397" s="1"/>
  <c r="K848"/>
  <c r="C848" s="1"/>
  <c r="K1441"/>
  <c r="C1441" s="1"/>
  <c r="K3338"/>
  <c r="C3338" s="1"/>
  <c r="K2155"/>
  <c r="C2155" s="1"/>
  <c r="K3180"/>
  <c r="C3180" s="1"/>
  <c r="K1432"/>
  <c r="C1432" s="1"/>
  <c r="K4019"/>
  <c r="C4019" s="1"/>
  <c r="K3237"/>
  <c r="C3237" s="1"/>
  <c r="K2336"/>
  <c r="C2336" s="1"/>
  <c r="K2172"/>
  <c r="C2172" s="1"/>
  <c r="K4203"/>
  <c r="C4203" s="1"/>
  <c r="K671"/>
  <c r="C671" s="1"/>
  <c r="K2810"/>
  <c r="C2810" s="1"/>
  <c r="K3981"/>
  <c r="C3981" s="1"/>
  <c r="K2957"/>
  <c r="C2957" s="1"/>
  <c r="K2241"/>
  <c r="C2241" s="1"/>
  <c r="K482"/>
  <c r="C482" s="1"/>
  <c r="K976"/>
  <c r="C976" s="1"/>
  <c r="K1563"/>
  <c r="C1563" s="1"/>
  <c r="K675"/>
  <c r="C675" s="1"/>
  <c r="K286"/>
  <c r="C286" s="1"/>
  <c r="K425"/>
  <c r="C425" s="1"/>
  <c r="K1091"/>
  <c r="C1091" s="1"/>
  <c r="K3928"/>
  <c r="C3928" s="1"/>
  <c r="K3219"/>
  <c r="C3219" s="1"/>
  <c r="K1895"/>
  <c r="C1895" s="1"/>
  <c r="K2369"/>
  <c r="C2369" s="1"/>
  <c r="K1489"/>
  <c r="C1489" s="1"/>
  <c r="K2581"/>
  <c r="C2581" s="1"/>
  <c r="K3403"/>
  <c r="C3403" s="1"/>
  <c r="K3373"/>
  <c r="C3373" s="1"/>
  <c r="K3365"/>
  <c r="C3365" s="1"/>
  <c r="K3639"/>
  <c r="C3639" s="1"/>
  <c r="K2572"/>
  <c r="C2572" s="1"/>
  <c r="K865"/>
  <c r="C865" s="1"/>
  <c r="K2468"/>
  <c r="C2468" s="1"/>
  <c r="K2377"/>
  <c r="C2377" s="1"/>
  <c r="K513"/>
  <c r="C513" s="1"/>
  <c r="K1698"/>
  <c r="C1698" s="1"/>
  <c r="K1568"/>
  <c r="C1568" s="1"/>
  <c r="K1800"/>
  <c r="C1800" s="1"/>
  <c r="K855"/>
  <c r="C855" s="1"/>
  <c r="K1426"/>
  <c r="C1426" s="1"/>
  <c r="K2679"/>
  <c r="C2679" s="1"/>
  <c r="K1950"/>
  <c r="C1950" s="1"/>
  <c r="K1463"/>
  <c r="C1463" s="1"/>
  <c r="K1107"/>
  <c r="C1107" s="1"/>
  <c r="K4183"/>
  <c r="C4183" s="1"/>
  <c r="K3377"/>
  <c r="C3377" s="1"/>
  <c r="K1924"/>
  <c r="C1924" s="1"/>
  <c r="K3334"/>
  <c r="C3334" s="1"/>
  <c r="K1551"/>
  <c r="C1551" s="1"/>
  <c r="K270"/>
  <c r="C270" s="1"/>
  <c r="K4020"/>
  <c r="C4020" s="1"/>
  <c r="K2390"/>
  <c r="C2390" s="1"/>
  <c r="K1275"/>
  <c r="C1275" s="1"/>
  <c r="K1723"/>
  <c r="C1723" s="1"/>
  <c r="K2401"/>
  <c r="C2401" s="1"/>
  <c r="K880"/>
  <c r="C880" s="1"/>
  <c r="K2823"/>
  <c r="C2823" s="1"/>
  <c r="K502"/>
  <c r="C502" s="1"/>
  <c r="K2210"/>
  <c r="C2210" s="1"/>
  <c r="K2307"/>
  <c r="C2307" s="1"/>
  <c r="K3980"/>
  <c r="C3980" s="1"/>
  <c r="K3870"/>
  <c r="C3870" s="1"/>
  <c r="K2024"/>
  <c r="C2024" s="1"/>
  <c r="K1842"/>
  <c r="C1842" s="1"/>
  <c r="K1485"/>
  <c r="C1485" s="1"/>
  <c r="K3596"/>
  <c r="C3596" s="1"/>
  <c r="K861"/>
  <c r="C861" s="1"/>
  <c r="K2262"/>
  <c r="C2262" s="1"/>
  <c r="K1211"/>
  <c r="C1211" s="1"/>
  <c r="K1593"/>
  <c r="C1593" s="1"/>
  <c r="K1043"/>
  <c r="C1043" s="1"/>
  <c r="K2057"/>
  <c r="C2057" s="1"/>
  <c r="K526"/>
  <c r="C526" s="1"/>
  <c r="K4035"/>
  <c r="C4035" s="1"/>
  <c r="K3241"/>
  <c r="C3241" s="1"/>
  <c r="K2704"/>
  <c r="C2704" s="1"/>
  <c r="K2421"/>
  <c r="C2421" s="1"/>
  <c r="K1791"/>
  <c r="C1791" s="1"/>
  <c r="K2014"/>
  <c r="C2014" s="1"/>
  <c r="K4198"/>
  <c r="C4198" s="1"/>
  <c r="K2908"/>
  <c r="C2908" s="1"/>
  <c r="K1753"/>
  <c r="C1753" s="1"/>
  <c r="K4152"/>
  <c r="C4152" s="1"/>
  <c r="K1597"/>
  <c r="C1597" s="1"/>
  <c r="K1650"/>
  <c r="C1650" s="1"/>
  <c r="K1939"/>
  <c r="C1939" s="1"/>
  <c r="K2362"/>
  <c r="C2362" s="1"/>
  <c r="K618"/>
  <c r="C618" s="1"/>
  <c r="K2971"/>
  <c r="C2971" s="1"/>
  <c r="K3882"/>
  <c r="C3882" s="1"/>
  <c r="K363"/>
  <c r="C363" s="1"/>
  <c r="K2675"/>
  <c r="C2675" s="1"/>
  <c r="K877"/>
  <c r="C877" s="1"/>
  <c r="K1336"/>
  <c r="C1336" s="1"/>
  <c r="K287"/>
  <c r="C287" s="1"/>
  <c r="K279"/>
  <c r="C279" s="1"/>
  <c r="K941"/>
  <c r="C941" s="1"/>
  <c r="K4079"/>
  <c r="C4079" s="1"/>
  <c r="K3057"/>
  <c r="C3057" s="1"/>
  <c r="K3275"/>
  <c r="C3275" s="1"/>
  <c r="K2364"/>
  <c r="C2364" s="1"/>
  <c r="K4064"/>
  <c r="C4064" s="1"/>
  <c r="K1522"/>
  <c r="C1522" s="1"/>
  <c r="K3026"/>
  <c r="C3026" s="1"/>
  <c r="K4087"/>
  <c r="C4087" s="1"/>
  <c r="K3480"/>
  <c r="C3480" s="1"/>
  <c r="K476"/>
  <c r="C476" s="1"/>
  <c r="K3577"/>
  <c r="C3577" s="1"/>
  <c r="K2613"/>
  <c r="C2613" s="1"/>
  <c r="K1313"/>
  <c r="C1313" s="1"/>
  <c r="K974"/>
  <c r="C974" s="1"/>
  <c r="K507"/>
  <c r="C507" s="1"/>
  <c r="K477"/>
  <c r="C477" s="1"/>
  <c r="K857"/>
  <c r="C857" s="1"/>
  <c r="K2367"/>
  <c r="C2367" s="1"/>
  <c r="K3179"/>
  <c r="C3179" s="1"/>
  <c r="K1265"/>
  <c r="C1265" s="1"/>
  <c r="K4031"/>
  <c r="C4031" s="1"/>
  <c r="K3774"/>
  <c r="C3774" s="1"/>
  <c r="K578"/>
  <c r="C578" s="1"/>
  <c r="K4065"/>
  <c r="C4065" s="1"/>
  <c r="K4040"/>
  <c r="C4040" s="1"/>
  <c r="K4003"/>
  <c r="C4003" s="1"/>
  <c r="K3835"/>
  <c r="C3835" s="1"/>
  <c r="K2115"/>
  <c r="C2115" s="1"/>
  <c r="K4147"/>
  <c r="C4147" s="1"/>
  <c r="K3390"/>
  <c r="C3390" s="1"/>
  <c r="K1790"/>
  <c r="C1790" s="1"/>
  <c r="K2740"/>
  <c r="C2740" s="1"/>
  <c r="K2240"/>
  <c r="C2240" s="1"/>
  <c r="K3839"/>
  <c r="C3839" s="1"/>
  <c r="K2743"/>
  <c r="C2743" s="1"/>
  <c r="K3174"/>
  <c r="C3174" s="1"/>
  <c r="K1155"/>
  <c r="C1155" s="1"/>
  <c r="K3408"/>
  <c r="C3408" s="1"/>
  <c r="K3409"/>
  <c r="C3409" s="1"/>
  <c r="K3340"/>
  <c r="C3340" s="1"/>
  <c r="K2395"/>
  <c r="C2395" s="1"/>
  <c r="K1216"/>
  <c r="C1216" s="1"/>
  <c r="K1694"/>
  <c r="C1694" s="1"/>
  <c r="K3381"/>
  <c r="C3381" s="1"/>
  <c r="K292"/>
  <c r="C292" s="1"/>
  <c r="K317"/>
  <c r="C317" s="1"/>
  <c r="K1370"/>
  <c r="C1370" s="1"/>
  <c r="K3891"/>
  <c r="C3891" s="1"/>
  <c r="K2500"/>
  <c r="C2500" s="1"/>
  <c r="K2620"/>
  <c r="C2620" s="1"/>
  <c r="K3535"/>
  <c r="C3535" s="1"/>
  <c r="K3407"/>
  <c r="C3407" s="1"/>
  <c r="K1325"/>
  <c r="C1325" s="1"/>
  <c r="K3044"/>
  <c r="C3044" s="1"/>
  <c r="K1918"/>
  <c r="C1918" s="1"/>
  <c r="K2271"/>
  <c r="C2271" s="1"/>
  <c r="K2228"/>
  <c r="C2228" s="1"/>
  <c r="K1139"/>
  <c r="C1139" s="1"/>
  <c r="K341"/>
  <c r="C341" s="1"/>
  <c r="K1469"/>
  <c r="C1469" s="1"/>
  <c r="K1466"/>
  <c r="C1466" s="1"/>
  <c r="K1550"/>
  <c r="C1550" s="1"/>
  <c r="K3536"/>
  <c r="C3536" s="1"/>
  <c r="K2923"/>
  <c r="C2923" s="1"/>
  <c r="K1515"/>
  <c r="C1515" s="1"/>
  <c r="K3666"/>
  <c r="C3666" s="1"/>
  <c r="K403"/>
  <c r="C403" s="1"/>
  <c r="K1990"/>
  <c r="C1990" s="1"/>
  <c r="K954"/>
  <c r="C954" s="1"/>
  <c r="K676"/>
  <c r="C676" s="1"/>
  <c r="K1072"/>
  <c r="C1072" s="1"/>
  <c r="K3024"/>
  <c r="C3024" s="1"/>
  <c r="K975"/>
  <c r="C975" s="1"/>
  <c r="K1165"/>
  <c r="C1165" s="1"/>
  <c r="K1283"/>
  <c r="C1283" s="1"/>
  <c r="K3108"/>
  <c r="C3108" s="1"/>
  <c r="K1657"/>
  <c r="C1657" s="1"/>
  <c r="K924"/>
  <c r="C924" s="1"/>
  <c r="K3763"/>
  <c r="C3763" s="1"/>
  <c r="K4047"/>
  <c r="C4047" s="1"/>
  <c r="K2963"/>
  <c r="C2963" s="1"/>
  <c r="K326"/>
  <c r="C326" s="1"/>
  <c r="K3520"/>
  <c r="C3520" s="1"/>
  <c r="K1220"/>
  <c r="C1220" s="1"/>
  <c r="K4046"/>
  <c r="C4046" s="1"/>
  <c r="K2681"/>
  <c r="C2681" s="1"/>
  <c r="K1022"/>
  <c r="C1022" s="1"/>
  <c r="K889"/>
  <c r="C889" s="1"/>
  <c r="K4224"/>
  <c r="C4224" s="1"/>
  <c r="K349"/>
  <c r="C349" s="1"/>
  <c r="K3771"/>
  <c r="C3771" s="1"/>
  <c r="K2306"/>
  <c r="C2306" s="1"/>
  <c r="K2299"/>
  <c r="C2299" s="1"/>
  <c r="K1830"/>
  <c r="C1830" s="1"/>
  <c r="K1880"/>
  <c r="C1880" s="1"/>
  <c r="K2910"/>
  <c r="C2910" s="1"/>
  <c r="K771"/>
  <c r="C771" s="1"/>
  <c r="K2125"/>
  <c r="C2125" s="1"/>
  <c r="K2636"/>
  <c r="C2636" s="1"/>
  <c r="K3628"/>
  <c r="C3628" s="1"/>
  <c r="K3336"/>
  <c r="C3336" s="1"/>
  <c r="K1867"/>
  <c r="C1867" s="1"/>
  <c r="K3685"/>
  <c r="C3685" s="1"/>
  <c r="K2411"/>
  <c r="C2411" s="1"/>
  <c r="K3136"/>
  <c r="C3136" s="1"/>
  <c r="K683"/>
  <c r="C683" s="1"/>
  <c r="K2009"/>
  <c r="C2009" s="1"/>
  <c r="K442"/>
  <c r="C442" s="1"/>
  <c r="K4021"/>
  <c r="C4021" s="1"/>
  <c r="K3367"/>
  <c r="C3367" s="1"/>
  <c r="K2052"/>
  <c r="C2052" s="1"/>
  <c r="K3076"/>
  <c r="C3076" s="1"/>
  <c r="K4209"/>
  <c r="C4209" s="1"/>
  <c r="K3316"/>
  <c r="C3316" s="1"/>
  <c r="K2266"/>
  <c r="C2266" s="1"/>
  <c r="K1637"/>
  <c r="C1637" s="1"/>
  <c r="K1085"/>
  <c r="C1085" s="1"/>
  <c r="K576"/>
  <c r="C576" s="1"/>
  <c r="K2449"/>
  <c r="C2449" s="1"/>
  <c r="K2255"/>
  <c r="C2255" s="1"/>
  <c r="K4007"/>
  <c r="C4007" s="1"/>
  <c r="K266"/>
  <c r="C266" s="1"/>
  <c r="K565"/>
  <c r="C565" s="1"/>
  <c r="K1708"/>
  <c r="C1708" s="1"/>
  <c r="K2441"/>
  <c r="C2441" s="1"/>
  <c r="K1203"/>
  <c r="C1203" s="1"/>
  <c r="K3926"/>
  <c r="C3926" s="1"/>
  <c r="K3017"/>
  <c r="C3017" s="1"/>
  <c r="K2180"/>
  <c r="C2180" s="1"/>
  <c r="K1582"/>
  <c r="C1582" s="1"/>
  <c r="K3060"/>
  <c r="C3060" s="1"/>
  <c r="K2872"/>
  <c r="C2872" s="1"/>
  <c r="K3083"/>
  <c r="C3083" s="1"/>
  <c r="K3453"/>
  <c r="C3453" s="1"/>
  <c r="K2624"/>
  <c r="C2624" s="1"/>
  <c r="K1999"/>
  <c r="C1999" s="1"/>
  <c r="K3471"/>
  <c r="C3471" s="1"/>
  <c r="K501"/>
  <c r="C501" s="1"/>
  <c r="K2502"/>
  <c r="C2502" s="1"/>
  <c r="K2724"/>
  <c r="C2724" s="1"/>
  <c r="K434"/>
  <c r="C434" s="1"/>
  <c r="K1611"/>
  <c r="C1611" s="1"/>
  <c r="K856"/>
  <c r="C856" s="1"/>
  <c r="K1378"/>
  <c r="C1378" s="1"/>
  <c r="K939"/>
  <c r="C939" s="1"/>
  <c r="K3421"/>
  <c r="C3421" s="1"/>
  <c r="K932"/>
  <c r="C932" s="1"/>
  <c r="K3708"/>
  <c r="C3708" s="1"/>
  <c r="K2568"/>
  <c r="C2568" s="1"/>
  <c r="K1808"/>
  <c r="C1808" s="1"/>
  <c r="K2590"/>
  <c r="C2590" s="1"/>
  <c r="K2798"/>
  <c r="C2798" s="1"/>
  <c r="K3490"/>
  <c r="C3490" s="1"/>
  <c r="K3582"/>
  <c r="C3582" s="1"/>
  <c r="K3043"/>
  <c r="C3043" s="1"/>
  <c r="K3825"/>
  <c r="C3825" s="1"/>
  <c r="K2002"/>
  <c r="C2002" s="1"/>
  <c r="K4052"/>
  <c r="C4052" s="1"/>
  <c r="K3318"/>
  <c r="C3318" s="1"/>
  <c r="K3562"/>
  <c r="C3562" s="1"/>
  <c r="K527"/>
  <c r="C527" s="1"/>
  <c r="K4002"/>
  <c r="C4002" s="1"/>
  <c r="K426"/>
  <c r="C426" s="1"/>
  <c r="K1427"/>
  <c r="C1427" s="1"/>
  <c r="K3816"/>
  <c r="C3816" s="1"/>
  <c r="K2443"/>
  <c r="C2443" s="1"/>
  <c r="K4218"/>
  <c r="C4218" s="1"/>
  <c r="K943"/>
  <c r="C943" s="1"/>
  <c r="K3077"/>
  <c r="C3077" s="1"/>
  <c r="K2553"/>
  <c r="C2553" s="1"/>
  <c r="K3469"/>
  <c r="C3469" s="1"/>
  <c r="K3425"/>
  <c r="C3425" s="1"/>
  <c r="K3526"/>
  <c r="C3526" s="1"/>
  <c r="K261"/>
  <c r="C261" s="1"/>
  <c r="K1308"/>
  <c r="C1308" s="1"/>
  <c r="K3896"/>
  <c r="C3896" s="1"/>
  <c r="K2251"/>
  <c r="C2251" s="1"/>
  <c r="K773"/>
  <c r="C773" s="1"/>
  <c r="K695"/>
  <c r="C695" s="1"/>
  <c r="K3072"/>
  <c r="C3072" s="1"/>
  <c r="K2253"/>
  <c r="C2253" s="1"/>
  <c r="K3092"/>
  <c r="C3092" s="1"/>
  <c r="K3384"/>
  <c r="C3384" s="1"/>
  <c r="K3460"/>
  <c r="C3460" s="1"/>
  <c r="K3372"/>
  <c r="C3372" s="1"/>
  <c r="K2730"/>
  <c r="C2730" s="1"/>
  <c r="K1088"/>
  <c r="C1088" s="1"/>
  <c r="K2091"/>
  <c r="C2091" s="1"/>
  <c r="K2988"/>
  <c r="C2988" s="1"/>
  <c r="K1126"/>
  <c r="C1126" s="1"/>
  <c r="K3144"/>
  <c r="C3144" s="1"/>
  <c r="K2547"/>
  <c r="C2547" s="1"/>
  <c r="K2878"/>
  <c r="C2878" s="1"/>
  <c r="K2841"/>
  <c r="C2841" s="1"/>
  <c r="K2573"/>
  <c r="C2573" s="1"/>
  <c r="K2980"/>
  <c r="C2980" s="1"/>
  <c r="K1977"/>
  <c r="C1977" s="1"/>
  <c r="K310"/>
  <c r="C310" s="1"/>
  <c r="K2595"/>
  <c r="C2595" s="1"/>
  <c r="K4132"/>
  <c r="C4132" s="1"/>
  <c r="K2260"/>
  <c r="C2260" s="1"/>
  <c r="K2399"/>
  <c r="C2399" s="1"/>
  <c r="K495"/>
  <c r="C495" s="1"/>
  <c r="K1476"/>
  <c r="C1476" s="1"/>
  <c r="K3193"/>
  <c r="C3193" s="1"/>
  <c r="K3212"/>
  <c r="C3212" s="1"/>
  <c r="K4010"/>
  <c r="C4010" s="1"/>
  <c r="K1718"/>
  <c r="C1718" s="1"/>
  <c r="K3265"/>
  <c r="C3265" s="1"/>
  <c r="K2171"/>
  <c r="C2171" s="1"/>
  <c r="K1114"/>
  <c r="C1114" s="1"/>
  <c r="K3677"/>
  <c r="C3677" s="1"/>
  <c r="K3913"/>
  <c r="C3913" s="1"/>
  <c r="K3910"/>
  <c r="C3910" s="1"/>
  <c r="K422"/>
  <c r="C422" s="1"/>
  <c r="K2453"/>
  <c r="C2453" s="1"/>
  <c r="K3736"/>
  <c r="C3736" s="1"/>
  <c r="K222"/>
  <c r="C222" s="1"/>
  <c r="K792"/>
  <c r="C792" s="1"/>
  <c r="K3168"/>
  <c r="C3168" s="1"/>
  <c r="K2220"/>
  <c r="C2220" s="1"/>
  <c r="K1796"/>
  <c r="C1796" s="1"/>
  <c r="K1051"/>
  <c r="C1051" s="1"/>
  <c r="K3126"/>
  <c r="C3126" s="1"/>
  <c r="K2065"/>
  <c r="C2065" s="1"/>
  <c r="K2242"/>
  <c r="C2242" s="1"/>
  <c r="K1459"/>
  <c r="C1459" s="1"/>
  <c r="K1173"/>
  <c r="C1173" s="1"/>
  <c r="K3461"/>
  <c r="C3461" s="1"/>
  <c r="K3516"/>
  <c r="C3516" s="1"/>
  <c r="K3692"/>
  <c r="C3692" s="1"/>
  <c r="K3496"/>
  <c r="C3496" s="1"/>
  <c r="K1736"/>
  <c r="C1736" s="1"/>
  <c r="K735"/>
  <c r="C735" s="1"/>
  <c r="K3261"/>
  <c r="C3261" s="1"/>
  <c r="K3158"/>
  <c r="C3158" s="1"/>
  <c r="K1004"/>
  <c r="C1004" s="1"/>
  <c r="K1537"/>
  <c r="C1537" s="1"/>
  <c r="K3394"/>
  <c r="C3394" s="1"/>
  <c r="K914"/>
  <c r="C914" s="1"/>
  <c r="K988"/>
  <c r="C988" s="1"/>
  <c r="K829"/>
  <c r="C829" s="1"/>
  <c r="K278"/>
  <c r="C278" s="1"/>
  <c r="K1197"/>
  <c r="C1197" s="1"/>
  <c r="K3258"/>
  <c r="C3258" s="1"/>
  <c r="K234"/>
  <c r="C234" s="1"/>
  <c r="K2856"/>
  <c r="C2856" s="1"/>
  <c r="K3239"/>
  <c r="C3239" s="1"/>
  <c r="K2118"/>
  <c r="C2118" s="1"/>
  <c r="K3486"/>
  <c r="C3486" s="1"/>
  <c r="K2075"/>
  <c r="C2075" s="1"/>
  <c r="K1121"/>
  <c r="C1121" s="1"/>
  <c r="K3662"/>
  <c r="C3662" s="1"/>
  <c r="K993"/>
  <c r="C993" s="1"/>
  <c r="K4122"/>
  <c r="C4122" s="1"/>
  <c r="K3354"/>
  <c r="C3354" s="1"/>
  <c r="K1782"/>
  <c r="C1782" s="1"/>
  <c r="K1988"/>
  <c r="C1988" s="1"/>
  <c r="K580"/>
  <c r="C580" s="1"/>
  <c r="K4214"/>
  <c r="C4214" s="1"/>
  <c r="K2799"/>
  <c r="C2799" s="1"/>
  <c r="K3307"/>
  <c r="C3307" s="1"/>
  <c r="K3965"/>
  <c r="C3965" s="1"/>
  <c r="K867"/>
  <c r="C867" s="1"/>
  <c r="K2190"/>
  <c r="C2190" s="1"/>
  <c r="K2901"/>
  <c r="C2901" s="1"/>
  <c r="K441"/>
  <c r="C441" s="1"/>
  <c r="K2699"/>
  <c r="C2699" s="1"/>
  <c r="K1218"/>
  <c r="C1218" s="1"/>
  <c r="K3651"/>
  <c r="C3651" s="1"/>
  <c r="K3595"/>
  <c r="C3595" s="1"/>
  <c r="K1901"/>
  <c r="C1901" s="1"/>
  <c r="K3002"/>
  <c r="C3002" s="1"/>
  <c r="K1402"/>
  <c r="C1402" s="1"/>
  <c r="K2274"/>
  <c r="C2274" s="1"/>
  <c r="K3786"/>
  <c r="C3786" s="1"/>
  <c r="K3207"/>
  <c r="C3207" s="1"/>
  <c r="K1979"/>
  <c r="C1979" s="1"/>
  <c r="K4097"/>
  <c r="C4097" s="1"/>
  <c r="K3914"/>
  <c r="C3914" s="1"/>
  <c r="K2885"/>
  <c r="C2885" s="1"/>
  <c r="K3273"/>
  <c r="C3273" s="1"/>
  <c r="K820"/>
  <c r="C820" s="1"/>
  <c r="K4186"/>
  <c r="C4186" s="1"/>
  <c r="K2205"/>
  <c r="C2205" s="1"/>
  <c r="K4173"/>
  <c r="C4173" s="1"/>
  <c r="K4091"/>
  <c r="C4091" s="1"/>
  <c r="K1831"/>
  <c r="C1831" s="1"/>
  <c r="K582"/>
  <c r="C582" s="1"/>
  <c r="K1269"/>
  <c r="C1269" s="1"/>
  <c r="K398"/>
  <c r="C398" s="1"/>
  <c r="K3238"/>
  <c r="C3238" s="1"/>
  <c r="K3242"/>
  <c r="C3242" s="1"/>
  <c r="K314"/>
  <c r="C314" s="1"/>
  <c r="K3313"/>
  <c r="C3313" s="1"/>
  <c r="K4082"/>
  <c r="C4082" s="1"/>
  <c r="K1503"/>
  <c r="C1503" s="1"/>
  <c r="K3760"/>
  <c r="C3760" s="1"/>
  <c r="K1943"/>
  <c r="C1943" s="1"/>
  <c r="K3465"/>
  <c r="C3465" s="1"/>
  <c r="K2165"/>
  <c r="C2165" s="1"/>
  <c r="K3988"/>
  <c r="C3988" s="1"/>
  <c r="K2800"/>
  <c r="C2800" s="1"/>
  <c r="K1252"/>
  <c r="C1252" s="1"/>
  <c r="K479"/>
  <c r="C479" s="1"/>
  <c r="K1164"/>
  <c r="C1164" s="1"/>
  <c r="K2316"/>
  <c r="C2316" s="1"/>
  <c r="K2289"/>
  <c r="C2289" s="1"/>
  <c r="K3296"/>
  <c r="C3296" s="1"/>
  <c r="K3146"/>
  <c r="C3146" s="1"/>
  <c r="K1137"/>
  <c r="C1137" s="1"/>
  <c r="K2853"/>
  <c r="C2853" s="1"/>
  <c r="K1450"/>
  <c r="C1450" s="1"/>
  <c r="K782"/>
  <c r="C782" s="1"/>
  <c r="K2187"/>
  <c r="C2187" s="1"/>
  <c r="K532"/>
  <c r="C532" s="1"/>
  <c r="K4034"/>
  <c r="C4034" s="1"/>
  <c r="K1874"/>
  <c r="C1874" s="1"/>
  <c r="K837"/>
  <c r="C837" s="1"/>
  <c r="K300"/>
  <c r="C300" s="1"/>
  <c r="K745"/>
  <c r="C745" s="1"/>
  <c r="K3531"/>
  <c r="C3531" s="1"/>
  <c r="K3293"/>
  <c r="C3293" s="1"/>
  <c r="K2010"/>
  <c r="C2010" s="1"/>
  <c r="K321"/>
  <c r="C321" s="1"/>
  <c r="K2294"/>
  <c r="C2294" s="1"/>
  <c r="K1905"/>
  <c r="C1905" s="1"/>
  <c r="K2380"/>
  <c r="C2380" s="1"/>
  <c r="K551"/>
  <c r="C551" s="1"/>
  <c r="K2154"/>
  <c r="C2154" s="1"/>
  <c r="K1906"/>
  <c r="C1906" s="1"/>
  <c r="K2608"/>
  <c r="C2608" s="1"/>
  <c r="K1955"/>
  <c r="C1955" s="1"/>
  <c r="K3186"/>
  <c r="C3186" s="1"/>
  <c r="K3201"/>
  <c r="C3201" s="1"/>
  <c r="K3270"/>
  <c r="C3270" s="1"/>
  <c r="K4121"/>
  <c r="C4121" s="1"/>
  <c r="K3233"/>
  <c r="C3233" s="1"/>
  <c r="K3096"/>
  <c r="C3096" s="1"/>
  <c r="K3927"/>
  <c r="C3927" s="1"/>
  <c r="K3663"/>
  <c r="C3663" s="1"/>
  <c r="K3046"/>
  <c r="C3046" s="1"/>
  <c r="K508"/>
  <c r="C508" s="1"/>
  <c r="K256"/>
  <c r="C256" s="1"/>
  <c r="K1144"/>
  <c r="C1144" s="1"/>
  <c r="K3710"/>
  <c r="C3710" s="1"/>
  <c r="K3739"/>
  <c r="C3739" s="1"/>
  <c r="K1667"/>
  <c r="C1667" s="1"/>
  <c r="K1912"/>
  <c r="C1912" s="1"/>
  <c r="K3196"/>
  <c r="C3196" s="1"/>
  <c r="K992"/>
  <c r="C992" s="1"/>
  <c r="K3041"/>
  <c r="C3041" s="1"/>
  <c r="K520"/>
  <c r="C520" s="1"/>
  <c r="K1618"/>
  <c r="C1618" s="1"/>
  <c r="K4148"/>
  <c r="C4148" s="1"/>
  <c r="K3783"/>
  <c r="C3783" s="1"/>
  <c r="K3371"/>
  <c r="C3371" s="1"/>
  <c r="K325"/>
  <c r="C325" s="1"/>
  <c r="K2437"/>
  <c r="C2437" s="1"/>
  <c r="K674"/>
  <c r="C674" s="1"/>
  <c r="K1645"/>
  <c r="C1645" s="1"/>
  <c r="K3030"/>
  <c r="C3030" s="1"/>
  <c r="K500"/>
  <c r="C500" s="1"/>
  <c r="K2944"/>
  <c r="C2944" s="1"/>
  <c r="K2202"/>
  <c r="C2202" s="1"/>
  <c r="K3720"/>
  <c r="C3720" s="1"/>
  <c r="K521"/>
  <c r="C521" s="1"/>
  <c r="K2678"/>
  <c r="C2678" s="1"/>
  <c r="K1065"/>
  <c r="C1065" s="1"/>
  <c r="K3254"/>
  <c r="C3254" s="1"/>
  <c r="K4100"/>
  <c r="C4100" s="1"/>
  <c r="K2580"/>
  <c r="C2580" s="1"/>
  <c r="K2295"/>
  <c r="C2295" s="1"/>
  <c r="K2727"/>
  <c r="C2727" s="1"/>
  <c r="K3871"/>
  <c r="C3871" s="1"/>
  <c r="K1385"/>
  <c r="C1385" s="1"/>
  <c r="K1488"/>
  <c r="C1488" s="1"/>
  <c r="K2996"/>
  <c r="C2996" s="1"/>
  <c r="K2644"/>
  <c r="C2644" s="1"/>
  <c r="K1400"/>
  <c r="C1400" s="1"/>
  <c r="K3053"/>
  <c r="C3053" s="1"/>
  <c r="K2312"/>
  <c r="C2312" s="1"/>
  <c r="K3416"/>
  <c r="C3416" s="1"/>
  <c r="K1248"/>
  <c r="C1248" s="1"/>
  <c r="K4008"/>
  <c r="C4008" s="1"/>
  <c r="K3700"/>
  <c r="C3700" s="1"/>
  <c r="K4013"/>
  <c r="C4013" s="1"/>
  <c r="K3544"/>
  <c r="C3544" s="1"/>
  <c r="K2291"/>
  <c r="C2291" s="1"/>
  <c r="K2687"/>
  <c r="C2687" s="1"/>
  <c r="K2685"/>
  <c r="C2685" s="1"/>
  <c r="K3768"/>
  <c r="C3768" s="1"/>
  <c r="K1777"/>
  <c r="C1777" s="1"/>
  <c r="K1945"/>
  <c r="C1945" s="1"/>
  <c r="K3631"/>
  <c r="C3631" s="1"/>
  <c r="K3489"/>
  <c r="C3489" s="1"/>
  <c r="K1601"/>
  <c r="C1601" s="1"/>
  <c r="K944"/>
  <c r="C944" s="1"/>
  <c r="K514"/>
  <c r="C514" s="1"/>
  <c r="K905"/>
  <c r="C905" s="1"/>
  <c r="K2825"/>
  <c r="C2825" s="1"/>
  <c r="K2388"/>
  <c r="C2388" s="1"/>
  <c r="K251"/>
  <c r="C251" s="1"/>
  <c r="K3396"/>
  <c r="C3396" s="1"/>
  <c r="K2082"/>
  <c r="C2082" s="1"/>
  <c r="K1343"/>
  <c r="C1343" s="1"/>
  <c r="K3101"/>
  <c r="C3101" s="1"/>
  <c r="K3997"/>
  <c r="C3997" s="1"/>
  <c r="K4136"/>
  <c r="C4136" s="1"/>
  <c r="K2278"/>
  <c r="C2278" s="1"/>
  <c r="K3464"/>
  <c r="C3464" s="1"/>
  <c r="K875"/>
  <c r="C875" s="1"/>
  <c r="K3765"/>
  <c r="C3765" s="1"/>
  <c r="K3902"/>
  <c r="C3902" s="1"/>
  <c r="K1839"/>
  <c r="C1839" s="1"/>
  <c r="K3156"/>
  <c r="C3156" s="1"/>
  <c r="K2328"/>
  <c r="C2328" s="1"/>
  <c r="K885"/>
  <c r="C885" s="1"/>
  <c r="K519"/>
  <c r="C519" s="1"/>
  <c r="K1731"/>
  <c r="C1731" s="1"/>
  <c r="K3052"/>
  <c r="C3052" s="1"/>
  <c r="K4073"/>
  <c r="C4073" s="1"/>
  <c r="K2281"/>
  <c r="C2281" s="1"/>
  <c r="K1048"/>
  <c r="C1048" s="1"/>
  <c r="K530"/>
  <c r="C530" s="1"/>
  <c r="K3085"/>
  <c r="C3085" s="1"/>
  <c r="K3837"/>
  <c r="C3837" s="1"/>
  <c r="K3601"/>
  <c r="C3601" s="1"/>
  <c r="K4123"/>
  <c r="C4123" s="1"/>
  <c r="K2004"/>
  <c r="C2004" s="1"/>
  <c r="K3911"/>
  <c r="C3911" s="1"/>
  <c r="K3964"/>
  <c r="C3964" s="1"/>
  <c r="K1128"/>
  <c r="C1128" s="1"/>
  <c r="K1007"/>
  <c r="C1007" s="1"/>
  <c r="K370"/>
  <c r="C370" s="1"/>
  <c r="K1112"/>
  <c r="C1112" s="1"/>
  <c r="K801"/>
  <c r="C801" s="1"/>
  <c r="K2455"/>
  <c r="C2455" s="1"/>
  <c r="K3679"/>
  <c r="C3679" s="1"/>
  <c r="K4078"/>
  <c r="C4078" s="1"/>
  <c r="K1933"/>
  <c r="C1933" s="1"/>
  <c r="K3703"/>
  <c r="C3703" s="1"/>
  <c r="K3195"/>
  <c r="C3195" s="1"/>
  <c r="K2340"/>
  <c r="C2340" s="1"/>
  <c r="K964"/>
  <c r="C964" s="1"/>
  <c r="K1271"/>
  <c r="C1271" s="1"/>
  <c r="K4128"/>
  <c r="C4128" s="1"/>
  <c r="K2865"/>
  <c r="C2865" s="1"/>
  <c r="K1118"/>
  <c r="C1118" s="1"/>
  <c r="K319"/>
  <c r="C319" s="1"/>
  <c r="K931"/>
  <c r="C931" s="1"/>
  <c r="K2151"/>
  <c r="C2151" s="1"/>
  <c r="K263"/>
  <c r="C263" s="1"/>
  <c r="K2884"/>
  <c r="C2884" s="1"/>
  <c r="K2661"/>
  <c r="C2661" s="1"/>
  <c r="K3884"/>
  <c r="C3884" s="1"/>
  <c r="K1676"/>
  <c r="C1676" s="1"/>
  <c r="K2894"/>
  <c r="C2894" s="1"/>
  <c r="K3422"/>
  <c r="C3422" s="1"/>
  <c r="K2953"/>
  <c r="C2953" s="1"/>
  <c r="K1302"/>
  <c r="C1302" s="1"/>
  <c r="K2484"/>
  <c r="C2484" s="1"/>
  <c r="K1809"/>
  <c r="C1809" s="1"/>
  <c r="K3542"/>
  <c r="C3542" s="1"/>
  <c r="K2826"/>
  <c r="C2826" s="1"/>
  <c r="K3091"/>
  <c r="C3091" s="1"/>
  <c r="K1531"/>
  <c r="C1531" s="1"/>
  <c r="K1237"/>
  <c r="C1237" s="1"/>
  <c r="K4145"/>
  <c r="C4145" s="1"/>
  <c r="K1942"/>
  <c r="C1942" s="1"/>
  <c r="K2926"/>
  <c r="C2926" s="1"/>
  <c r="K2892"/>
  <c r="C2892" s="1"/>
  <c r="K3366"/>
  <c r="C3366" s="1"/>
  <c r="K1239"/>
  <c r="C1239" s="1"/>
  <c r="K3789"/>
  <c r="C3789" s="1"/>
  <c r="K3560"/>
  <c r="C3560" s="1"/>
  <c r="K2144"/>
  <c r="C2144" s="1"/>
  <c r="K546"/>
  <c r="C546" s="1"/>
  <c r="K1081"/>
  <c r="C1081" s="1"/>
  <c r="K2120"/>
  <c r="C2120" s="1"/>
  <c r="K2857"/>
  <c r="C2857" s="1"/>
  <c r="K605"/>
  <c r="C605" s="1"/>
  <c r="K3539"/>
  <c r="C3539" s="1"/>
  <c r="K3525"/>
  <c r="C3525" s="1"/>
  <c r="K4111"/>
  <c r="C4111" s="1"/>
  <c r="K1887"/>
  <c r="C1887" s="1"/>
  <c r="K3549"/>
  <c r="C3549" s="1"/>
  <c r="K3211"/>
  <c r="C3211" s="1"/>
  <c r="K3599"/>
  <c r="C3599" s="1"/>
  <c r="K3304"/>
  <c r="C3304" s="1"/>
  <c r="K1643"/>
  <c r="C1643" s="1"/>
  <c r="K841"/>
  <c r="C841" s="1"/>
  <c r="K221"/>
  <c r="C221" s="1"/>
  <c r="K928"/>
  <c r="C928" s="1"/>
  <c r="K3353"/>
  <c r="C3353" s="1"/>
  <c r="K1483"/>
  <c r="C1483" s="1"/>
  <c r="K3737"/>
  <c r="C3737" s="1"/>
  <c r="K616"/>
  <c r="C616" s="1"/>
  <c r="K1727"/>
  <c r="C1727" s="1"/>
  <c r="K3751"/>
  <c r="C3751" s="1"/>
  <c r="K2674"/>
  <c r="C2674" s="1"/>
  <c r="K1236"/>
  <c r="C1236" s="1"/>
  <c r="K2322"/>
  <c r="C2322" s="1"/>
  <c r="K4165"/>
  <c r="C4165" s="1"/>
  <c r="K2184"/>
  <c r="C2184" s="1"/>
  <c r="K1684"/>
  <c r="C1684" s="1"/>
  <c r="K531"/>
  <c r="C531" s="1"/>
  <c r="K3532"/>
  <c r="C3532" s="1"/>
  <c r="K1307"/>
  <c r="C1307" s="1"/>
  <c r="K1377"/>
  <c r="C1377" s="1"/>
  <c r="K1752"/>
  <c r="C1752" s="1"/>
  <c r="K4199"/>
  <c r="C4199" s="1"/>
  <c r="K1421"/>
  <c r="C1421" s="1"/>
  <c r="K2579"/>
  <c r="C2579" s="1"/>
  <c r="K2918"/>
  <c r="C2918" s="1"/>
  <c r="K1105"/>
  <c r="C1105" s="1"/>
  <c r="K2261"/>
  <c r="C2261" s="1"/>
  <c r="K3476"/>
  <c r="C3476" s="1"/>
  <c r="K188"/>
  <c r="C188" s="1"/>
  <c r="K3328"/>
  <c r="C3328" s="1"/>
  <c r="K2238"/>
  <c r="C2238" s="1"/>
  <c r="K1167"/>
  <c r="C1167" s="1"/>
  <c r="K806"/>
  <c r="C806" s="1"/>
  <c r="K4168"/>
  <c r="C4168" s="1"/>
  <c r="K918"/>
  <c r="C918" s="1"/>
  <c r="K3050"/>
  <c r="C3050" s="1"/>
  <c r="K2686"/>
  <c r="C2686" s="1"/>
  <c r="K2851"/>
  <c r="C2851" s="1"/>
  <c r="K1519"/>
  <c r="C1519" s="1"/>
  <c r="K1364"/>
  <c r="C1364" s="1"/>
  <c r="K2393"/>
  <c r="C2393" s="1"/>
  <c r="K3012"/>
  <c r="C3012" s="1"/>
  <c r="K3558"/>
  <c r="C3558" s="1"/>
  <c r="K2365"/>
  <c r="C2365" s="1"/>
  <c r="K1160"/>
  <c r="C1160" s="1"/>
  <c r="K391"/>
  <c r="C391" s="1"/>
  <c r="K3160"/>
  <c r="C3160" s="1"/>
  <c r="K3424"/>
  <c r="C3424" s="1"/>
  <c r="K3262"/>
  <c r="C3262" s="1"/>
  <c r="K436"/>
  <c r="C436" s="1"/>
  <c r="K4184"/>
  <c r="C4184" s="1"/>
  <c r="K3885"/>
  <c r="C3885" s="1"/>
  <c r="K3568"/>
  <c r="C3568" s="1"/>
  <c r="K1638"/>
  <c r="C1638" s="1"/>
  <c r="K3393"/>
  <c r="C3393" s="1"/>
  <c r="K259"/>
  <c r="C259" s="1"/>
  <c r="K4070"/>
  <c r="C4070" s="1"/>
  <c r="K1451"/>
  <c r="C1451" s="1"/>
  <c r="K3326"/>
  <c r="C3326" s="1"/>
  <c r="K3112"/>
  <c r="C3112" s="1"/>
  <c r="K3382"/>
  <c r="C3382" s="1"/>
  <c r="K1217"/>
  <c r="C1217" s="1"/>
  <c r="K3670"/>
  <c r="C3670" s="1"/>
  <c r="K797"/>
  <c r="C797" s="1"/>
  <c r="K3042"/>
  <c r="C3042" s="1"/>
  <c r="K3446"/>
  <c r="C3446" s="1"/>
  <c r="K1949"/>
  <c r="C1949" s="1"/>
  <c r="K3359"/>
  <c r="C3359" s="1"/>
  <c r="K3192"/>
  <c r="C3192" s="1"/>
  <c r="K2846"/>
  <c r="C2846" s="1"/>
  <c r="K1273"/>
  <c r="C1273" s="1"/>
  <c r="K2273"/>
  <c r="C2273" s="1"/>
  <c r="K2731"/>
  <c r="C2731" s="1"/>
  <c r="K3580"/>
  <c r="C3580" s="1"/>
  <c r="K3510"/>
  <c r="C3510" s="1"/>
  <c r="K2263"/>
  <c r="C2263" s="1"/>
  <c r="K1784"/>
  <c r="C1784" s="1"/>
  <c r="K624"/>
  <c r="C624" s="1"/>
  <c r="K2532"/>
  <c r="C2532" s="1"/>
  <c r="K420"/>
  <c r="C420" s="1"/>
  <c r="K337"/>
  <c r="C337" s="1"/>
  <c r="K953"/>
  <c r="C953" s="1"/>
  <c r="K2692"/>
  <c r="C2692" s="1"/>
  <c r="K2874"/>
  <c r="C2874" s="1"/>
  <c r="K1490"/>
  <c r="C1490" s="1"/>
  <c r="K2789"/>
  <c r="C2789" s="1"/>
  <c r="K3395"/>
  <c r="C3395" s="1"/>
  <c r="K2983"/>
  <c r="C2983" s="1"/>
  <c r="K3845"/>
  <c r="C3845" s="1"/>
  <c r="K4120"/>
  <c r="C4120" s="1"/>
  <c r="K1040"/>
  <c r="C1040" s="1"/>
  <c r="K4066"/>
  <c r="C4066" s="1"/>
  <c r="K3893"/>
  <c r="C3893" s="1"/>
  <c r="K3746"/>
  <c r="C3746" s="1"/>
  <c r="K706"/>
  <c r="C706" s="1"/>
  <c r="K3045"/>
  <c r="C3045" s="1"/>
  <c r="K1215"/>
  <c r="C1215" s="1"/>
  <c r="K3971"/>
  <c r="C3971" s="1"/>
  <c r="K1274"/>
  <c r="C1274" s="1"/>
  <c r="K464"/>
  <c r="C464" s="1"/>
  <c r="K2706"/>
  <c r="C2706" s="1"/>
  <c r="K3379"/>
  <c r="C3379" s="1"/>
  <c r="K1783"/>
  <c r="C1783" s="1"/>
  <c r="K3243"/>
  <c r="C3243" s="1"/>
  <c r="K3850"/>
  <c r="C3850" s="1"/>
  <c r="K3597"/>
  <c r="C3597" s="1"/>
  <c r="K1447"/>
  <c r="C1447" s="1"/>
  <c r="K590"/>
  <c r="C590" s="1"/>
  <c r="K3079"/>
  <c r="C3079" s="1"/>
  <c r="K3183"/>
  <c r="C3183" s="1"/>
  <c r="K2474"/>
  <c r="C2474" s="1"/>
  <c r="K378"/>
  <c r="C378" s="1"/>
  <c r="K1388"/>
  <c r="C1388" s="1"/>
  <c r="K2383"/>
  <c r="C2383" s="1"/>
  <c r="K3826"/>
  <c r="C3826" s="1"/>
  <c r="K2955"/>
  <c r="C2955" s="1"/>
  <c r="K3770"/>
  <c r="C3770" s="1"/>
  <c r="K2964"/>
  <c r="C2964" s="1"/>
  <c r="K3640"/>
  <c r="C3640" s="1"/>
  <c r="K1567"/>
  <c r="C1567" s="1"/>
  <c r="K3184"/>
  <c r="C3184" s="1"/>
  <c r="K4043"/>
  <c r="C4043" s="1"/>
  <c r="K802"/>
  <c r="C802" s="1"/>
  <c r="K1290"/>
  <c r="C1290" s="1"/>
  <c r="K3344"/>
  <c r="C3344" s="1"/>
  <c r="K2836"/>
  <c r="C2836" s="1"/>
  <c r="K1154"/>
  <c r="C1154" s="1"/>
  <c r="K2252"/>
  <c r="C2252" s="1"/>
  <c r="K593"/>
  <c r="C593" s="1"/>
  <c r="K1030"/>
  <c r="C1030" s="1"/>
  <c r="K322"/>
  <c r="C322" s="1"/>
  <c r="K2604"/>
  <c r="C2604" s="1"/>
  <c r="K410"/>
  <c r="C410" s="1"/>
  <c r="K1296"/>
  <c r="C1296" s="1"/>
  <c r="K2297"/>
  <c r="C2297" s="1"/>
  <c r="K3140"/>
  <c r="C3140" s="1"/>
  <c r="K2305"/>
  <c r="C2305" s="1"/>
  <c r="K1541"/>
  <c r="C1541" s="1"/>
  <c r="K1435"/>
  <c r="C1435" s="1"/>
  <c r="K1074"/>
  <c r="C1074" s="1"/>
  <c r="K3521"/>
  <c r="C3521" s="1"/>
  <c r="K1256"/>
  <c r="C1256" s="1"/>
  <c r="K1969"/>
  <c r="C1969" s="1"/>
  <c r="K2682"/>
  <c r="C2682" s="1"/>
  <c r="K3167"/>
  <c r="C3167" s="1"/>
  <c r="K4081"/>
  <c r="C4081" s="1"/>
  <c r="K2018"/>
  <c r="C2018" s="1"/>
  <c r="K3812"/>
  <c r="C3812" s="1"/>
  <c r="K1822"/>
  <c r="C1822" s="1"/>
  <c r="K3189"/>
  <c r="C3189" s="1"/>
  <c r="K1031"/>
  <c r="C1031" s="1"/>
  <c r="K1132"/>
  <c r="C1132" s="1"/>
  <c r="K2164"/>
  <c r="C2164" s="1"/>
  <c r="K1983"/>
  <c r="C1983" s="1"/>
  <c r="K2720"/>
  <c r="C2720" s="1"/>
  <c r="K3484"/>
  <c r="C3484" s="1"/>
  <c r="K1930"/>
  <c r="C1930" s="1"/>
  <c r="K3036"/>
  <c r="C3036" s="1"/>
  <c r="K1492"/>
  <c r="C1492" s="1"/>
  <c r="K3999"/>
  <c r="C3999" s="1"/>
  <c r="K260"/>
  <c r="C260" s="1"/>
  <c r="K3511"/>
  <c r="C3511" s="1"/>
  <c r="K1506"/>
  <c r="C1506" s="1"/>
  <c r="K2092"/>
  <c r="C2092" s="1"/>
  <c r="K3810"/>
  <c r="C3810" s="1"/>
  <c r="K2478"/>
  <c r="C2478" s="1"/>
  <c r="K233"/>
  <c r="C233" s="1"/>
  <c r="K2249"/>
  <c r="C2249" s="1"/>
  <c r="K1316"/>
  <c r="C1316" s="1"/>
  <c r="K1419"/>
  <c r="C1419" s="1"/>
  <c r="K3741"/>
  <c r="C3741" s="1"/>
  <c r="K3505"/>
  <c r="C3505" s="1"/>
  <c r="K3473"/>
  <c r="C3473" s="1"/>
  <c r="K2601"/>
  <c r="C2601" s="1"/>
  <c r="K2140"/>
  <c r="C2140" s="1"/>
  <c r="K1054"/>
  <c r="C1054" s="1"/>
  <c r="K1656"/>
  <c r="C1656" s="1"/>
  <c r="K1047"/>
  <c r="C1047" s="1"/>
  <c r="K1460"/>
  <c r="C1460" s="1"/>
  <c r="K617"/>
  <c r="C617" s="1"/>
  <c r="K658"/>
  <c r="C658" s="1"/>
  <c r="K1991"/>
  <c r="C1991" s="1"/>
  <c r="K3073"/>
  <c r="C3073" s="1"/>
  <c r="K3843"/>
  <c r="C3843" s="1"/>
  <c r="K3332"/>
  <c r="C3332" s="1"/>
  <c r="K1995"/>
  <c r="C1995" s="1"/>
  <c r="K2113"/>
  <c r="C2113" s="1"/>
  <c r="K3873"/>
  <c r="C3873" s="1"/>
  <c r="K4027"/>
  <c r="C4027" s="1"/>
  <c r="K3231"/>
  <c r="C3231" s="1"/>
  <c r="K2619"/>
  <c r="C2619" s="1"/>
  <c r="K4113"/>
  <c r="C4113" s="1"/>
  <c r="K3900"/>
  <c r="C3900" s="1"/>
  <c r="K795"/>
  <c r="C795" s="1"/>
  <c r="K2809"/>
  <c r="C2809" s="1"/>
  <c r="K827"/>
  <c r="C827" s="1"/>
  <c r="K2496"/>
  <c r="C2496" s="1"/>
  <c r="K2520"/>
  <c r="C2520" s="1"/>
  <c r="K1260"/>
  <c r="C1260" s="1"/>
  <c r="K4174"/>
  <c r="C4174" s="1"/>
  <c r="K1724"/>
  <c r="C1724" s="1"/>
  <c r="K3157"/>
  <c r="C3157" s="1"/>
  <c r="K228"/>
  <c r="C228" s="1"/>
  <c r="K1699"/>
  <c r="C1699" s="1"/>
  <c r="K2896"/>
  <c r="C2896" s="1"/>
  <c r="K2610"/>
  <c r="C2610" s="1"/>
  <c r="K1510"/>
  <c r="C1510" s="1"/>
  <c r="K1996"/>
  <c r="C1996" s="1"/>
  <c r="K2452"/>
  <c r="C2452" s="1"/>
  <c r="K3625"/>
  <c r="C3625" s="1"/>
  <c r="K3632"/>
  <c r="C3632" s="1"/>
  <c r="K244"/>
  <c r="C244" s="1"/>
  <c r="K1284"/>
  <c r="C1284" s="1"/>
  <c r="K2744"/>
  <c r="C2744" s="1"/>
  <c r="K3376"/>
  <c r="C3376" s="1"/>
  <c r="K746"/>
  <c r="C746" s="1"/>
  <c r="K3799"/>
  <c r="C3799" s="1"/>
  <c r="K2111"/>
  <c r="C2111" s="1"/>
  <c r="K3591"/>
  <c r="C3591" s="1"/>
  <c r="K2012"/>
  <c r="C2012" s="1"/>
  <c r="K3565"/>
  <c r="C3565" s="1"/>
  <c r="K2343"/>
  <c r="C2343" s="1"/>
  <c r="K3222"/>
  <c r="C3222" s="1"/>
  <c r="K3960"/>
  <c r="C3960" s="1"/>
  <c r="K3702"/>
  <c r="C3702" s="1"/>
  <c r="K4181"/>
  <c r="C4181" s="1"/>
  <c r="K3216"/>
  <c r="C3216" s="1"/>
  <c r="K4090"/>
  <c r="C4090" s="1"/>
  <c r="K3627"/>
  <c r="C3627" s="1"/>
  <c r="K1006"/>
  <c r="C1006" s="1"/>
  <c r="K2019"/>
  <c r="C2019" s="1"/>
  <c r="K3419"/>
  <c r="C3419" s="1"/>
  <c r="K1914"/>
  <c r="C1914" s="1"/>
  <c r="K2741"/>
  <c r="C2741" s="1"/>
  <c r="K3200"/>
  <c r="C3200" s="1"/>
  <c r="K4144"/>
  <c r="C4144" s="1"/>
  <c r="K3451"/>
  <c r="C3451" s="1"/>
  <c r="K2006"/>
  <c r="C2006" s="1"/>
  <c r="K1919"/>
  <c r="C1919" s="1"/>
  <c r="K2916"/>
  <c r="C2916" s="1"/>
  <c r="K1046"/>
  <c r="C1046" s="1"/>
  <c r="K2193"/>
  <c r="C2193" s="1"/>
  <c r="K3331"/>
  <c r="C3331" s="1"/>
  <c r="K1712"/>
  <c r="C1712" s="1"/>
  <c r="K2213"/>
  <c r="C2213" s="1"/>
  <c r="K1475"/>
  <c r="C1475" s="1"/>
  <c r="K2622"/>
  <c r="C2622" s="1"/>
  <c r="K2949"/>
  <c r="C2949" s="1"/>
  <c r="K3963"/>
  <c r="C3963" s="1"/>
  <c r="K3430"/>
  <c r="C3430" s="1"/>
  <c r="K3823"/>
  <c r="C3823" s="1"/>
  <c r="K1579"/>
  <c r="C1579" s="1"/>
  <c r="K3709"/>
  <c r="C3709" s="1"/>
  <c r="K934"/>
  <c r="C934" s="1"/>
  <c r="K193"/>
  <c r="C193" s="1"/>
  <c r="K1181"/>
  <c r="C1181" s="1"/>
  <c r="K3883"/>
  <c r="C3883" s="1"/>
  <c r="K2985"/>
  <c r="C2985" s="1"/>
  <c r="K1957"/>
  <c r="C1957" s="1"/>
  <c r="K4060"/>
  <c r="C4060" s="1"/>
  <c r="K819"/>
  <c r="C819" s="1"/>
  <c r="K2670"/>
  <c r="C2670" s="1"/>
  <c r="K3173"/>
  <c r="C3173" s="1"/>
  <c r="K3589"/>
  <c r="C3589" s="1"/>
  <c r="K2940"/>
  <c r="C2940" s="1"/>
  <c r="K3600"/>
  <c r="C3600" s="1"/>
  <c r="K1586"/>
  <c r="C1586" s="1"/>
  <c r="K3311"/>
  <c r="C3311" s="1"/>
  <c r="K1565"/>
  <c r="C1565" s="1"/>
  <c r="K2859"/>
  <c r="C2859" s="1"/>
  <c r="K3779"/>
  <c r="C3779" s="1"/>
  <c r="K3152"/>
  <c r="C3152" s="1"/>
  <c r="K283"/>
  <c r="C283" s="1"/>
  <c r="K3151"/>
  <c r="C3151" s="1"/>
  <c r="K3541"/>
  <c r="C3541" s="1"/>
  <c r="K2101"/>
  <c r="C2101" s="1"/>
  <c r="K3861"/>
  <c r="C3861" s="1"/>
  <c r="K3098"/>
  <c r="C3098" s="1"/>
  <c r="K759"/>
  <c r="C759" s="1"/>
  <c r="K1823"/>
  <c r="C1823" s="1"/>
  <c r="K1146"/>
  <c r="C1146" s="1"/>
  <c r="K245"/>
  <c r="C245" s="1"/>
  <c r="K3707"/>
  <c r="C3707" s="1"/>
  <c r="K437"/>
  <c r="C437" s="1"/>
  <c r="K764"/>
  <c r="C764" s="1"/>
  <c r="K2430"/>
  <c r="C2430" s="1"/>
  <c r="K3253"/>
  <c r="C3253" s="1"/>
  <c r="K3345"/>
  <c r="C3345" s="1"/>
  <c r="K4159"/>
  <c r="C4159" s="1"/>
  <c r="K765"/>
  <c r="C765" s="1"/>
  <c r="K2423"/>
  <c r="C2423" s="1"/>
  <c r="K2683"/>
  <c r="C2683" s="1"/>
  <c r="K1620"/>
  <c r="C1620" s="1"/>
  <c r="K1870"/>
  <c r="C1870" s="1"/>
  <c r="K3125"/>
  <c r="C3125" s="1"/>
  <c r="K4024"/>
  <c r="C4024" s="1"/>
  <c r="K3588"/>
  <c r="C3588" s="1"/>
  <c r="K1482"/>
  <c r="C1482" s="1"/>
  <c r="K4000"/>
  <c r="C4000" s="1"/>
  <c r="K2863"/>
  <c r="C2863" s="1"/>
  <c r="K3121"/>
  <c r="C3121" s="1"/>
  <c r="K3303"/>
  <c r="C3303" s="1"/>
  <c r="K3820"/>
  <c r="C3820" s="1"/>
  <c r="K2386"/>
  <c r="C2386" s="1"/>
  <c r="K1408"/>
  <c r="C1408" s="1"/>
  <c r="K380"/>
  <c r="C380" s="1"/>
  <c r="K2970"/>
  <c r="C2970" s="1"/>
  <c r="K3592"/>
  <c r="C3592" s="1"/>
  <c r="K2813"/>
  <c r="C2813" s="1"/>
  <c r="K3067"/>
  <c r="C3067" s="1"/>
  <c r="K2597"/>
  <c r="C2597" s="1"/>
  <c r="K3115"/>
  <c r="C3115" s="1"/>
  <c r="K3297"/>
  <c r="C3297" s="1"/>
  <c r="K3567"/>
  <c r="C3567" s="1"/>
  <c r="K3066"/>
  <c r="C3066" s="1"/>
  <c r="K1095"/>
  <c r="C1095" s="1"/>
  <c r="K4169"/>
  <c r="C4169" s="1"/>
  <c r="K2843"/>
  <c r="C2843" s="1"/>
  <c r="K1609"/>
  <c r="C1609" s="1"/>
  <c r="K1607"/>
  <c r="C1607" s="1"/>
  <c r="K1214"/>
  <c r="C1214" s="1"/>
  <c r="K3747"/>
  <c r="C3747" s="1"/>
  <c r="K1719"/>
  <c r="C1719" s="1"/>
  <c r="K3955"/>
  <c r="C3955" s="1"/>
  <c r="K2137"/>
  <c r="C2137" s="1"/>
  <c r="K1844"/>
  <c r="C1844" s="1"/>
  <c r="K2993"/>
  <c r="C2993" s="1"/>
  <c r="K2952"/>
  <c r="C2952" s="1"/>
  <c r="K669"/>
  <c r="C669" s="1"/>
  <c r="K3517"/>
  <c r="C3517" s="1"/>
  <c r="K766"/>
  <c r="C766" s="1"/>
  <c r="K307"/>
  <c r="C307" s="1"/>
  <c r="K1198"/>
  <c r="C1198" s="1"/>
  <c r="K2054"/>
  <c r="C2054" s="1"/>
  <c r="K2485"/>
  <c r="C2485" s="1"/>
  <c r="K3264"/>
  <c r="C3264" s="1"/>
  <c r="K2722"/>
  <c r="C2722" s="1"/>
  <c r="K2201"/>
  <c r="C2201" s="1"/>
  <c r="K2479"/>
  <c r="C2479" s="1"/>
  <c r="K1440"/>
  <c r="C1440" s="1"/>
  <c r="K2795"/>
  <c r="C2795" s="1"/>
  <c r="K4041"/>
  <c r="C4041" s="1"/>
  <c r="K2469"/>
  <c r="C2469" s="1"/>
  <c r="K2919"/>
  <c r="C2919" s="1"/>
  <c r="K3497"/>
  <c r="C3497" s="1"/>
  <c r="K1932"/>
  <c r="C1932" s="1"/>
  <c r="K2989"/>
  <c r="C2989" s="1"/>
  <c r="K3329"/>
  <c r="C3329" s="1"/>
  <c r="K2015"/>
  <c r="C2015" s="1"/>
  <c r="K699"/>
  <c r="C699" s="1"/>
  <c r="K198"/>
  <c r="C198" s="1"/>
  <c r="K373"/>
  <c r="C373" s="1"/>
  <c r="K2491"/>
  <c r="C2491" s="1"/>
  <c r="K2854"/>
  <c r="C2854" s="1"/>
  <c r="K377"/>
  <c r="C377" s="1"/>
  <c r="K2373"/>
  <c r="C2373" s="1"/>
  <c r="K2029"/>
  <c r="C2029" s="1"/>
  <c r="K1787"/>
  <c r="C1787" s="1"/>
  <c r="K3573"/>
  <c r="C3573" s="1"/>
  <c r="K2276"/>
  <c r="C2276" s="1"/>
  <c r="K347"/>
  <c r="C347" s="1"/>
  <c r="K1580"/>
  <c r="C1580" s="1"/>
  <c r="K557"/>
  <c r="C557" s="1"/>
  <c r="K149"/>
  <c r="C149" s="1"/>
  <c r="K2259"/>
  <c r="C2259" s="1"/>
  <c r="K3598"/>
  <c r="C3598" s="1"/>
  <c r="K3908"/>
  <c r="C3908" s="1"/>
  <c r="K2742"/>
  <c r="C2742" s="1"/>
  <c r="K445"/>
  <c r="C445" s="1"/>
  <c r="K3556"/>
  <c r="C3556" s="1"/>
  <c r="K2093"/>
  <c r="C2093" s="1"/>
  <c r="K1639"/>
  <c r="C1639" s="1"/>
  <c r="K1453"/>
  <c r="C1453" s="1"/>
  <c r="K3836"/>
  <c r="C3836" s="1"/>
  <c r="K3361"/>
  <c r="C3361" s="1"/>
  <c r="K3603"/>
  <c r="C3603" s="1"/>
  <c r="K1726"/>
  <c r="C1726" s="1"/>
  <c r="K3807"/>
  <c r="C3807" s="1"/>
  <c r="K1680"/>
  <c r="C1680" s="1"/>
  <c r="K2708"/>
  <c r="C2708" s="1"/>
  <c r="K560"/>
  <c r="C560" s="1"/>
  <c r="K3118"/>
  <c r="C3118" s="1"/>
  <c r="K2408"/>
  <c r="C2408" s="1"/>
  <c r="K3571"/>
  <c r="C3571" s="1"/>
  <c r="K1984"/>
  <c r="C1984" s="1"/>
  <c r="K4137"/>
  <c r="C4137" s="1"/>
  <c r="K1941"/>
  <c r="C1941" s="1"/>
  <c r="K4110"/>
  <c r="C4110" s="1"/>
  <c r="K622"/>
  <c r="C622" s="1"/>
  <c r="K2739"/>
  <c r="C2739" s="1"/>
  <c r="K2804"/>
  <c r="C2804" s="1"/>
  <c r="K2313"/>
  <c r="C2313" s="1"/>
  <c r="K2822"/>
  <c r="C2822" s="1"/>
  <c r="K3369"/>
  <c r="C3369" s="1"/>
  <c r="K886"/>
  <c r="C886" s="1"/>
  <c r="K1751"/>
  <c r="C1751" s="1"/>
  <c r="K4213"/>
  <c r="C4213" s="1"/>
  <c r="K2736"/>
  <c r="C2736" s="1"/>
  <c r="K1968"/>
  <c r="C1968" s="1"/>
  <c r="K2394"/>
  <c r="C2394" s="1"/>
  <c r="K61"/>
  <c r="C61" s="1"/>
  <c r="K2928"/>
  <c r="C2928" s="1"/>
  <c r="K4117"/>
  <c r="C4117" s="1"/>
  <c r="K3500"/>
  <c r="C3500" s="1"/>
  <c r="K3924"/>
  <c r="C3924" s="1"/>
  <c r="K2711"/>
  <c r="C2711" s="1"/>
  <c r="K1381"/>
  <c r="C1381" s="1"/>
  <c r="K389"/>
  <c r="C389" s="1"/>
  <c r="K3761"/>
  <c r="C3761" s="1"/>
  <c r="K607"/>
  <c r="C607" s="1"/>
  <c r="K969"/>
  <c r="C969" s="1"/>
  <c r="K454"/>
  <c r="C454" s="1"/>
  <c r="K2308"/>
  <c r="C2308" s="1"/>
  <c r="K2456"/>
  <c r="C2456" s="1"/>
  <c r="K2663"/>
  <c r="C2663" s="1"/>
  <c r="K807"/>
  <c r="C807" s="1"/>
  <c r="K3398"/>
  <c r="C3398" s="1"/>
  <c r="K3204"/>
  <c r="C3204" s="1"/>
  <c r="K1892"/>
  <c r="C1892" s="1"/>
  <c r="K689"/>
  <c r="C689" s="1"/>
  <c r="K971"/>
  <c r="C971" s="1"/>
  <c r="K3800"/>
  <c r="C3800" s="1"/>
  <c r="K1629"/>
  <c r="C1629" s="1"/>
  <c r="K3198"/>
  <c r="C3198" s="1"/>
  <c r="K1833"/>
  <c r="C1833" s="1"/>
  <c r="K2043"/>
  <c r="C2043" s="1"/>
  <c r="K2576"/>
  <c r="C2576" s="1"/>
  <c r="K1018"/>
  <c r="C1018" s="1"/>
  <c r="K4155"/>
  <c r="C4155" s="1"/>
  <c r="K3289"/>
  <c r="C3289" s="1"/>
  <c r="K2880"/>
  <c r="C2880" s="1"/>
  <c r="K306"/>
  <c r="C306" s="1"/>
  <c r="K887"/>
  <c r="C887" s="1"/>
  <c r="K3824"/>
  <c r="C3824" s="1"/>
  <c r="K3034"/>
  <c r="C3034" s="1"/>
  <c r="K2936"/>
  <c r="C2936" s="1"/>
  <c r="K3831"/>
  <c r="C3831" s="1"/>
  <c r="K2311"/>
  <c r="C2311" s="1"/>
  <c r="K2695"/>
  <c r="C2695" s="1"/>
  <c r="K3106"/>
  <c r="C3106" s="1"/>
  <c r="K3213"/>
  <c r="C3213" s="1"/>
  <c r="K20"/>
  <c r="C20" s="1"/>
  <c r="K3553"/>
  <c r="C3553" s="1"/>
  <c r="K2992"/>
  <c r="C2992" s="1"/>
  <c r="K2442"/>
  <c r="C2442" s="1"/>
  <c r="K1413"/>
  <c r="C1413" s="1"/>
  <c r="K1749"/>
  <c r="C1749" s="1"/>
  <c r="K715"/>
  <c r="C715" s="1"/>
  <c r="K4211"/>
  <c r="C4211" s="1"/>
  <c r="K318"/>
  <c r="C318" s="1"/>
  <c r="K2521"/>
  <c r="C2521" s="1"/>
  <c r="K1998"/>
  <c r="C1998" s="1"/>
  <c r="K3922"/>
  <c r="C3922" s="1"/>
  <c r="K2265"/>
  <c r="C2265" s="1"/>
  <c r="K1640"/>
  <c r="C1640" s="1"/>
  <c r="K4072"/>
  <c r="C4072" s="1"/>
  <c r="K3805"/>
  <c r="C3805" s="1"/>
  <c r="K4127"/>
  <c r="C4127" s="1"/>
  <c r="K1395"/>
  <c r="C1395" s="1"/>
  <c r="K1233"/>
  <c r="C1233" s="1"/>
  <c r="K2005"/>
  <c r="C2005" s="1"/>
  <c r="K824"/>
  <c r="C824" s="1"/>
  <c r="K727"/>
  <c r="C727" s="1"/>
  <c r="K342"/>
  <c r="C342" s="1"/>
  <c r="K4153"/>
  <c r="C4153" s="1"/>
  <c r="K1546"/>
  <c r="C1546" s="1"/>
  <c r="K3930"/>
  <c r="C3930" s="1"/>
  <c r="K3649"/>
  <c r="C3649" s="1"/>
  <c r="K2287"/>
  <c r="C2287" s="1"/>
  <c r="K3762"/>
  <c r="C3762" s="1"/>
  <c r="K2460"/>
  <c r="C2460" s="1"/>
  <c r="K4085"/>
  <c r="C4085" s="1"/>
  <c r="K4103"/>
  <c r="C4103" s="1"/>
  <c r="K3154"/>
  <c r="C3154" s="1"/>
  <c r="K450"/>
  <c r="C450" s="1"/>
  <c r="K4197"/>
  <c r="C4197" s="1"/>
  <c r="K2705"/>
  <c r="C2705" s="1"/>
  <c r="K3029"/>
  <c r="C3029" s="1"/>
  <c r="K2269"/>
  <c r="C2269" s="1"/>
  <c r="K4105"/>
  <c r="C4105" s="1"/>
  <c r="K1136"/>
  <c r="C1136" s="1"/>
  <c r="K2904"/>
  <c r="C2904" s="1"/>
  <c r="K4182"/>
  <c r="C4182" s="1"/>
  <c r="K3857"/>
  <c r="C3857" s="1"/>
  <c r="K1827"/>
  <c r="C1827" s="1"/>
  <c r="K3712"/>
  <c r="C3712" s="1"/>
  <c r="K2008"/>
  <c r="C2008" s="1"/>
  <c r="K313"/>
  <c r="C313" s="1"/>
  <c r="K2937"/>
  <c r="C2937" s="1"/>
  <c r="K2285"/>
  <c r="C2285" s="1"/>
  <c r="K938"/>
  <c r="C938" s="1"/>
  <c r="K1224"/>
  <c r="C1224" s="1"/>
  <c r="K1576"/>
  <c r="C1576" s="1"/>
  <c r="K1626"/>
  <c r="C1626" s="1"/>
  <c r="K3251"/>
  <c r="C3251" s="1"/>
  <c r="K1456"/>
  <c r="C1456" s="1"/>
  <c r="K3818"/>
  <c r="C3818" s="1"/>
  <c r="K393"/>
  <c r="C393" s="1"/>
  <c r="K3475"/>
  <c r="C3475" s="1"/>
  <c r="K3284"/>
  <c r="C3284" s="1"/>
  <c r="K3756"/>
  <c r="C3756" s="1"/>
  <c r="K1094"/>
  <c r="C1094" s="1"/>
  <c r="K3998"/>
  <c r="C3998" s="1"/>
  <c r="K2895"/>
  <c r="C2895" s="1"/>
  <c r="K1405"/>
  <c r="C1405" s="1"/>
  <c r="K515"/>
  <c r="C515" s="1"/>
  <c r="K1536"/>
  <c r="C1536" s="1"/>
  <c r="K2694"/>
  <c r="C2694" s="1"/>
  <c r="K3466"/>
  <c r="C3466" s="1"/>
  <c r="K1525"/>
  <c r="C1525" s="1"/>
  <c r="K3713"/>
  <c r="C3713" s="1"/>
  <c r="K2342"/>
  <c r="C2342" s="1"/>
  <c r="K2226"/>
  <c r="C2226" s="1"/>
  <c r="K3339"/>
  <c r="C3339" s="1"/>
  <c r="K2560"/>
  <c r="C2560" s="1"/>
  <c r="K1392"/>
  <c r="C1392" s="1"/>
  <c r="K2866"/>
  <c r="C2866" s="1"/>
  <c r="K4114"/>
  <c r="C4114" s="1"/>
  <c r="K1770"/>
  <c r="C1770" s="1"/>
  <c r="K3942"/>
  <c r="C3942" s="1"/>
  <c r="K3947"/>
  <c r="C3947" s="1"/>
  <c r="K3054"/>
  <c r="C3054" s="1"/>
  <c r="K1396"/>
  <c r="C1396" s="1"/>
  <c r="K1659"/>
  <c r="C1659" s="1"/>
  <c r="K758"/>
  <c r="C758" s="1"/>
  <c r="K3223"/>
  <c r="C3223" s="1"/>
  <c r="K2020"/>
  <c r="C2020" s="1"/>
  <c r="K2431"/>
  <c r="C2431" s="1"/>
  <c r="K4017"/>
  <c r="C4017" s="1"/>
  <c r="K4049"/>
  <c r="C4049" s="1"/>
  <c r="K2802"/>
  <c r="C2802" s="1"/>
  <c r="K308"/>
  <c r="C308" s="1"/>
  <c r="K4160"/>
  <c r="C4160" s="1"/>
  <c r="K2697"/>
  <c r="C2697" s="1"/>
  <c r="K1702"/>
  <c r="C1702" s="1"/>
  <c r="K1848"/>
  <c r="C1848" s="1"/>
  <c r="K628"/>
  <c r="C628" s="1"/>
  <c r="K2400"/>
  <c r="C2400" s="1"/>
  <c r="K1028"/>
  <c r="C1028" s="1"/>
  <c r="K2566"/>
  <c r="C2566" s="1"/>
  <c r="K1617"/>
  <c r="C1617" s="1"/>
  <c r="K2145"/>
  <c r="C2145" s="1"/>
  <c r="K870"/>
  <c r="C870" s="1"/>
  <c r="K2655"/>
  <c r="C2655" s="1"/>
  <c r="K1852"/>
  <c r="C1852" s="1"/>
  <c r="K1925"/>
  <c r="C1925" s="1"/>
  <c r="K334"/>
  <c r="C334" s="1"/>
  <c r="K3399"/>
  <c r="C3399" s="1"/>
  <c r="K2994"/>
  <c r="C2994" s="1"/>
  <c r="K2721"/>
  <c r="C2721" s="1"/>
  <c r="K1157"/>
  <c r="C1157" s="1"/>
  <c r="K3587"/>
  <c r="C3587" s="1"/>
  <c r="K2737"/>
  <c r="C2737" s="1"/>
  <c r="K1130"/>
  <c r="C1130" s="1"/>
  <c r="K2268"/>
  <c r="C2268" s="1"/>
  <c r="K2325"/>
  <c r="C2325" s="1"/>
  <c r="K3185"/>
  <c r="C3185" s="1"/>
  <c r="K977"/>
  <c r="C977" s="1"/>
  <c r="K4076"/>
  <c r="C4076" s="1"/>
  <c r="K3933"/>
  <c r="C3933" s="1"/>
  <c r="K3742"/>
  <c r="C3742" s="1"/>
  <c r="K3485"/>
  <c r="C3485" s="1"/>
  <c r="K2578"/>
  <c r="C2578" s="1"/>
  <c r="K4190"/>
  <c r="C4190" s="1"/>
  <c r="K3633"/>
  <c r="C3633" s="1"/>
  <c r="K2300"/>
  <c r="C2300" s="1"/>
  <c r="K2417"/>
  <c r="C2417" s="1"/>
  <c r="K2617"/>
  <c r="C2617" s="1"/>
  <c r="K4175"/>
  <c r="C4175" s="1"/>
  <c r="K3080"/>
  <c r="C3080" s="1"/>
  <c r="K3895"/>
  <c r="C3895" s="1"/>
  <c r="K3095"/>
  <c r="C3095" s="1"/>
  <c r="K3950"/>
  <c r="C3950" s="1"/>
  <c r="K3130"/>
  <c r="C3130" s="1"/>
  <c r="K3240"/>
  <c r="C3240" s="1"/>
  <c r="K1871"/>
  <c r="C1871" s="1"/>
  <c r="K2247"/>
  <c r="C2247" s="1"/>
  <c r="K4146"/>
  <c r="C4146" s="1"/>
  <c r="K1286"/>
  <c r="C1286" s="1"/>
  <c r="K1549"/>
  <c r="C1549" s="1"/>
  <c r="K3123"/>
  <c r="C3123" s="1"/>
  <c r="K3696"/>
  <c r="C3696" s="1"/>
  <c r="K1486"/>
  <c r="C1486" s="1"/>
  <c r="K518"/>
  <c r="C518" s="1"/>
  <c r="K1663"/>
  <c r="C1663" s="1"/>
  <c r="K1908"/>
  <c r="C1908" s="1"/>
  <c r="K1238"/>
  <c r="C1238" s="1"/>
  <c r="K4142"/>
  <c r="C4142" s="1"/>
  <c r="K2561"/>
  <c r="C2561" s="1"/>
  <c r="K4134"/>
  <c r="C4134" s="1"/>
  <c r="K3638"/>
  <c r="C3638" s="1"/>
  <c r="K1671"/>
  <c r="C1671" s="1"/>
  <c r="K1009"/>
  <c r="C1009" s="1"/>
  <c r="K1893"/>
  <c r="C1893" s="1"/>
  <c r="K4216"/>
  <c r="C4216" s="1"/>
  <c r="K493"/>
  <c r="C493" s="1"/>
  <c r="K1792"/>
  <c r="C1792" s="1"/>
  <c r="K1414"/>
  <c r="C1414" s="1"/>
  <c r="K2812"/>
  <c r="C2812" s="1"/>
  <c r="K4141"/>
  <c r="C4141" s="1"/>
  <c r="K1856"/>
  <c r="C1856" s="1"/>
  <c r="K3937"/>
  <c r="C3937" s="1"/>
  <c r="K1150"/>
  <c r="C1150" s="1"/>
  <c r="K1254"/>
  <c r="C1254" s="1"/>
  <c r="K3508"/>
  <c r="C3508" s="1"/>
  <c r="K4189"/>
  <c r="C4189" s="1"/>
  <c r="K3994"/>
  <c r="C3994" s="1"/>
  <c r="K3954"/>
  <c r="C3954" s="1"/>
  <c r="K217"/>
  <c r="C217" s="1"/>
  <c r="K713"/>
  <c r="C713" s="1"/>
  <c r="K778"/>
  <c r="C778" s="1"/>
  <c r="K2902"/>
  <c r="C2902" s="1"/>
  <c r="K2366"/>
  <c r="C2366" s="1"/>
  <c r="K1424"/>
  <c r="C1424" s="1"/>
  <c r="K3618"/>
  <c r="C3618" s="1"/>
  <c r="K724"/>
  <c r="C724" s="1"/>
  <c r="K2089"/>
  <c r="C2089" s="1"/>
  <c r="K2098"/>
  <c r="C2098" s="1"/>
  <c r="K1810"/>
  <c r="C1810" s="1"/>
  <c r="K2490"/>
  <c r="C2490" s="1"/>
  <c r="K3102"/>
  <c r="C3102" s="1"/>
  <c r="K1716"/>
  <c r="C1716" s="1"/>
  <c r="K4194"/>
  <c r="C4194" s="1"/>
  <c r="K1501"/>
  <c r="C1501" s="1"/>
  <c r="K1902"/>
  <c r="C1902" s="1"/>
  <c r="K3260"/>
  <c r="C3260" s="1"/>
  <c r="K2230"/>
  <c r="C2230" s="1"/>
  <c r="K1857"/>
  <c r="C1857" s="1"/>
  <c r="K1715"/>
  <c r="C1715" s="1"/>
  <c r="K3524"/>
  <c r="C3524" s="1"/>
  <c r="K2958"/>
  <c r="C2958" s="1"/>
  <c r="K892"/>
  <c r="C892" s="1"/>
  <c r="K716"/>
  <c r="C716" s="1"/>
  <c r="K2586"/>
  <c r="C2586" s="1"/>
  <c r="K3718"/>
  <c r="C3718" s="1"/>
  <c r="K3513"/>
  <c r="C3513" s="1"/>
  <c r="K3678"/>
  <c r="C3678" s="1"/>
  <c r="K2713"/>
  <c r="C2713" s="1"/>
  <c r="K2405"/>
  <c r="C2405" s="1"/>
  <c r="K1526"/>
  <c r="C1526" s="1"/>
  <c r="K871"/>
  <c r="C871" s="1"/>
  <c r="K1277"/>
  <c r="C1277" s="1"/>
  <c r="K3978"/>
  <c r="C3978" s="1"/>
  <c r="K3317"/>
  <c r="C3317" s="1"/>
  <c r="K1860"/>
  <c r="C1860" s="1"/>
  <c r="K1789"/>
  <c r="C1789" s="1"/>
  <c r="K3915"/>
  <c r="C3915" s="1"/>
  <c r="K2837"/>
  <c r="C2837" s="1"/>
  <c r="K2236"/>
  <c r="C2236" s="1"/>
  <c r="K3879"/>
  <c r="C3879" s="1"/>
  <c r="K2975"/>
  <c r="C2975" s="1"/>
  <c r="K1722"/>
  <c r="C1722" s="1"/>
  <c r="K1452"/>
  <c r="C1452" s="1"/>
  <c r="K418"/>
  <c r="C418" s="1"/>
  <c r="K2868"/>
  <c r="C2868" s="1"/>
  <c r="K2876"/>
  <c r="C2876" s="1"/>
  <c r="K3802"/>
  <c r="C3802" s="1"/>
  <c r="K2710"/>
  <c r="C2710" s="1"/>
  <c r="K1825"/>
  <c r="C1825" s="1"/>
  <c r="K608"/>
  <c r="C608" s="1"/>
  <c r="K3452"/>
  <c r="C3452" s="1"/>
  <c r="K1859"/>
  <c r="C1859" s="1"/>
  <c r="K1862"/>
  <c r="C1862" s="1"/>
  <c r="K510"/>
  <c r="C510" s="1"/>
  <c r="K3727"/>
  <c r="C3727" s="1"/>
  <c r="K2771"/>
  <c r="C2771" s="1"/>
  <c r="K2982"/>
  <c r="C2982" s="1"/>
  <c r="K2652"/>
  <c r="C2652" s="1"/>
  <c r="K2887"/>
  <c r="C2887" s="1"/>
  <c r="K3235"/>
  <c r="C3235" s="1"/>
  <c r="K2381"/>
  <c r="C2381" s="1"/>
  <c r="K1462"/>
  <c r="C1462" s="1"/>
  <c r="K385"/>
  <c r="C385" s="1"/>
  <c r="K2897"/>
  <c r="C2897" s="1"/>
  <c r="K3432"/>
  <c r="C3432" s="1"/>
  <c r="K1445"/>
  <c r="C1445" s="1"/>
  <c r="K2256"/>
  <c r="C2256" s="1"/>
  <c r="K3518"/>
  <c r="C3518" s="1"/>
  <c r="K3358"/>
  <c r="C3358" s="1"/>
  <c r="K1591"/>
  <c r="C1591" s="1"/>
  <c r="K840"/>
  <c r="C840" s="1"/>
  <c r="K4012"/>
  <c r="C4012" s="1"/>
  <c r="K2463"/>
  <c r="C2463" s="1"/>
  <c r="K1709"/>
  <c r="C1709" s="1"/>
  <c r="K262"/>
  <c r="C262" s="1"/>
  <c r="K304"/>
  <c r="C304" s="1"/>
  <c r="K1208"/>
  <c r="C1208" s="1"/>
  <c r="K3315"/>
  <c r="C3315" s="1"/>
  <c r="K2382"/>
  <c r="C2382" s="1"/>
  <c r="K4101"/>
  <c r="C4101" s="1"/>
  <c r="K2321"/>
  <c r="C2321" s="1"/>
  <c r="K3006"/>
  <c r="C3006" s="1"/>
  <c r="K2292"/>
  <c r="C2292" s="1"/>
  <c r="K4068"/>
  <c r="C4068" s="1"/>
  <c r="K2114"/>
  <c r="C2114" s="1"/>
  <c r="K1929"/>
  <c r="C1929" s="1"/>
  <c r="K909"/>
  <c r="C909" s="1"/>
  <c r="K3022"/>
  <c r="C3022" s="1"/>
  <c r="K2022"/>
  <c r="C2022" s="1"/>
  <c r="K2903"/>
  <c r="C2903" s="1"/>
  <c r="K4115"/>
  <c r="C4115" s="1"/>
  <c r="K878"/>
  <c r="C878" s="1"/>
  <c r="K1972"/>
  <c r="C1972" s="1"/>
  <c r="K542"/>
  <c r="C542" s="1"/>
  <c r="K4009"/>
  <c r="C4009" s="1"/>
  <c r="K3401"/>
  <c r="C3401" s="1"/>
  <c r="K2616"/>
  <c r="C2616" s="1"/>
  <c r="K2493"/>
  <c r="C2493" s="1"/>
  <c r="K2688"/>
  <c r="C2688" s="1"/>
  <c r="K2818"/>
  <c r="C2818" s="1"/>
  <c r="K1573"/>
  <c r="C1573" s="1"/>
  <c r="K2879"/>
  <c r="C2879" s="1"/>
  <c r="K2870"/>
  <c r="C2870" s="1"/>
  <c r="K1406"/>
  <c r="C1406" s="1"/>
  <c r="K3088"/>
  <c r="C3088" s="1"/>
  <c r="K1493"/>
  <c r="C1493" s="1"/>
  <c r="K2303"/>
  <c r="C2303" s="1"/>
  <c r="K584"/>
  <c r="C584" s="1"/>
  <c r="K3940"/>
  <c r="C3940" s="1"/>
  <c r="K339"/>
  <c r="C339" s="1"/>
  <c r="K3457"/>
  <c r="C3457" s="1"/>
  <c r="K3084"/>
  <c r="C3084" s="1"/>
  <c r="K3957"/>
  <c r="C3957" s="1"/>
  <c r="K3673"/>
  <c r="C3673" s="1"/>
  <c r="K2718"/>
  <c r="C2718" s="1"/>
  <c r="K3559"/>
  <c r="C3559" s="1"/>
  <c r="K4032"/>
  <c r="C4032" s="1"/>
  <c r="K350"/>
  <c r="C350" s="1"/>
  <c r="K3745"/>
  <c r="C3745" s="1"/>
  <c r="K1059"/>
  <c r="C1059" s="1"/>
  <c r="K2487"/>
  <c r="C2487" s="1"/>
  <c r="K3867"/>
  <c r="C3867" s="1"/>
  <c r="K2207"/>
  <c r="C2207" s="1"/>
  <c r="K1258"/>
  <c r="C1258" s="1"/>
  <c r="K1779"/>
  <c r="C1779" s="1"/>
  <c r="K2621"/>
  <c r="C2621" s="1"/>
  <c r="K3443"/>
  <c r="C3443" s="1"/>
  <c r="K1873"/>
  <c r="C1873" s="1"/>
  <c r="K4104"/>
  <c r="C4104" s="1"/>
  <c r="K854"/>
  <c r="C854" s="1"/>
  <c r="K1517"/>
  <c r="C1517" s="1"/>
  <c r="K3548"/>
  <c r="C3548" s="1"/>
  <c r="K3669"/>
  <c r="C3669" s="1"/>
  <c r="K3249"/>
  <c r="C3249" s="1"/>
  <c r="K3929"/>
  <c r="C3929" s="1"/>
  <c r="K3503"/>
  <c r="C3503" s="1"/>
  <c r="K589"/>
  <c r="C589" s="1"/>
  <c r="K2806"/>
  <c r="C2806" s="1"/>
  <c r="K126"/>
  <c r="C126" s="1"/>
  <c r="K2628"/>
  <c r="C2628" s="1"/>
  <c r="K3093"/>
  <c r="C3093" s="1"/>
  <c r="K2635"/>
  <c r="C2635" s="1"/>
  <c r="K3754"/>
  <c r="C3754" s="1"/>
  <c r="K470"/>
  <c r="C470" s="1"/>
  <c r="K2231"/>
  <c r="C2231" s="1"/>
  <c r="K535"/>
  <c r="C535" s="1"/>
  <c r="K1666"/>
  <c r="C1666" s="1"/>
  <c r="K295"/>
  <c r="C295" s="1"/>
  <c r="K2571"/>
  <c r="C2571" s="1"/>
  <c r="K1223"/>
  <c r="C1223" s="1"/>
  <c r="K629"/>
  <c r="C629" s="1"/>
  <c r="K4062"/>
  <c r="C4062" s="1"/>
  <c r="K3815"/>
  <c r="C3815" s="1"/>
  <c r="K882"/>
  <c r="C882" s="1"/>
  <c r="K3959"/>
  <c r="C3959" s="1"/>
  <c r="K1980"/>
  <c r="C1980" s="1"/>
  <c r="K3945"/>
  <c r="C3945" s="1"/>
  <c r="K1700"/>
  <c r="C1700" s="1"/>
  <c r="K3440"/>
  <c r="C3440" s="1"/>
  <c r="K575"/>
  <c r="C575" s="1"/>
  <c r="K242"/>
  <c r="C242" s="1"/>
  <c r="K3636"/>
  <c r="C3636" s="1"/>
  <c r="K1417"/>
  <c r="C1417" s="1"/>
  <c r="K1242"/>
  <c r="C1242" s="1"/>
  <c r="K3014"/>
  <c r="C3014" s="1"/>
  <c r="K2378"/>
  <c r="C2378" s="1"/>
  <c r="K1250"/>
  <c r="C1250" s="1"/>
  <c r="K3172"/>
  <c r="C3172" s="1"/>
  <c r="K4200"/>
  <c r="C4200" s="1"/>
  <c r="K1089"/>
  <c r="C1089" s="1"/>
  <c r="K3976"/>
  <c r="C3976" s="1"/>
  <c r="K3687"/>
  <c r="C3687" s="1"/>
  <c r="K3901"/>
  <c r="C3901" s="1"/>
  <c r="K1465"/>
  <c r="C1465" s="1"/>
  <c r="K3853"/>
  <c r="C3853" s="1"/>
  <c r="K3405"/>
  <c r="C3405" s="1"/>
  <c r="K2735"/>
  <c r="C2735" s="1"/>
  <c r="K3656"/>
  <c r="C3656" s="1"/>
  <c r="K2402"/>
  <c r="C2402" s="1"/>
  <c r="K2842"/>
  <c r="C2842" s="1"/>
  <c r="K3502"/>
  <c r="C3502" s="1"/>
  <c r="K2068"/>
  <c r="C2068" s="1"/>
  <c r="K1468"/>
  <c r="C1468" s="1"/>
  <c r="K1834"/>
  <c r="C1834" s="1"/>
  <c r="K2409"/>
  <c r="C2409" s="1"/>
  <c r="K1323"/>
  <c r="C1323" s="1"/>
  <c r="K2003"/>
  <c r="C2003" s="1"/>
  <c r="K2969"/>
  <c r="C2969" s="1"/>
  <c r="K3410"/>
  <c r="C3410" s="1"/>
  <c r="K825"/>
  <c r="C825" s="1"/>
  <c r="K2657"/>
  <c r="C2657" s="1"/>
  <c r="K4167"/>
  <c r="C4167" s="1"/>
  <c r="K2404"/>
  <c r="C2404" s="1"/>
  <c r="K2375"/>
  <c r="C2375" s="1"/>
  <c r="K3514"/>
  <c r="C3514" s="1"/>
  <c r="K3478"/>
  <c r="C3478" s="1"/>
  <c r="K2216"/>
  <c r="C2216" s="1"/>
  <c r="K1170"/>
  <c r="C1170" s="1"/>
  <c r="K1920"/>
  <c r="C1920" s="1"/>
  <c r="K1974"/>
  <c r="C1974" s="1"/>
  <c r="K475"/>
  <c r="C475" s="1"/>
  <c r="K1619"/>
  <c r="C1619" s="1"/>
  <c r="K4054"/>
  <c r="C4054" s="1"/>
  <c r="K208"/>
  <c r="C208" s="1"/>
  <c r="K3698"/>
  <c r="C3698" s="1"/>
  <c r="K3458"/>
  <c r="C3458" s="1"/>
  <c r="K1387"/>
  <c r="C1387" s="1"/>
  <c r="K1850"/>
  <c r="C1850" s="1"/>
  <c r="K3363"/>
  <c r="C3363" s="1"/>
  <c r="K2625"/>
  <c r="C2625" s="1"/>
  <c r="K1437"/>
  <c r="C1437" s="1"/>
  <c r="K1685"/>
  <c r="C1685" s="1"/>
  <c r="K2858"/>
  <c r="C2858" s="1"/>
  <c r="K2554"/>
  <c r="C2554" s="1"/>
  <c r="K1588"/>
  <c r="C1588" s="1"/>
  <c r="K3512"/>
  <c r="C3512" s="1"/>
  <c r="K3982"/>
  <c r="C3982" s="1"/>
  <c r="K401"/>
  <c r="C401" s="1"/>
  <c r="K2175"/>
  <c r="C2175" s="1"/>
  <c r="K4201"/>
  <c r="C4201" s="1"/>
  <c r="K2001"/>
  <c r="C2001" s="1"/>
  <c r="K3312"/>
  <c r="C3312" s="1"/>
  <c r="K2840"/>
  <c r="C2840" s="1"/>
  <c r="K3259"/>
  <c r="C3259" s="1"/>
  <c r="K1829"/>
  <c r="C1829" s="1"/>
  <c r="K2296"/>
  <c r="C2296" s="1"/>
  <c r="K1555"/>
  <c r="C1555" s="1"/>
  <c r="K666"/>
  <c r="C666" s="1"/>
  <c r="K2243"/>
  <c r="C2243" s="1"/>
  <c r="K2922"/>
  <c r="C2922" s="1"/>
  <c r="K3657"/>
  <c r="C3657" s="1"/>
  <c r="K3622"/>
  <c r="C3622" s="1"/>
  <c r="K185"/>
  <c r="C185" s="1"/>
  <c r="K3450"/>
  <c r="C3450" s="1"/>
  <c r="K3813"/>
  <c r="C3813" s="1"/>
  <c r="K544"/>
  <c r="C544" s="1"/>
  <c r="K452"/>
  <c r="C452" s="1"/>
  <c r="K1298"/>
  <c r="C1298" s="1"/>
  <c r="K3992"/>
  <c r="C3992" s="1"/>
  <c r="K3256"/>
  <c r="C3256" s="1"/>
  <c r="K1849"/>
  <c r="C1849" s="1"/>
  <c r="K3519"/>
  <c r="C3519" s="1"/>
  <c r="K1524"/>
  <c r="C1524" s="1"/>
  <c r="K405"/>
  <c r="C405" s="1"/>
  <c r="K3406"/>
  <c r="C3406" s="1"/>
  <c r="K3456"/>
  <c r="C3456" s="1"/>
  <c r="K1443"/>
  <c r="C1443" s="1"/>
  <c r="K2324"/>
  <c r="C2324" s="1"/>
  <c r="K2642"/>
  <c r="C2642" s="1"/>
  <c r="K2107"/>
  <c r="C2107" s="1"/>
  <c r="K3099"/>
  <c r="C3099" s="1"/>
  <c r="K696"/>
  <c r="C696" s="1"/>
  <c r="K1145"/>
  <c r="C1145" s="1"/>
  <c r="K485"/>
  <c r="C485" s="1"/>
  <c r="K1193"/>
  <c r="C1193" s="1"/>
  <c r="K1578"/>
  <c r="C1578" s="1"/>
  <c r="K3949"/>
  <c r="C3949" s="1"/>
  <c r="K200"/>
  <c r="C200" s="1"/>
  <c r="K404"/>
  <c r="C404" s="1"/>
  <c r="K1075"/>
  <c r="C1075" s="1"/>
  <c r="K4058"/>
  <c r="C4058" s="1"/>
  <c r="K1535"/>
  <c r="C1535" s="1"/>
  <c r="K3436"/>
  <c r="C3436" s="1"/>
  <c r="K4158"/>
  <c r="C4158" s="1"/>
  <c r="K1668"/>
  <c r="C1668" s="1"/>
  <c r="K3866"/>
  <c r="C3866" s="1"/>
  <c r="K2646"/>
  <c r="C2646" s="1"/>
  <c r="K3435"/>
  <c r="C3435" s="1"/>
  <c r="K3246"/>
  <c r="C3246" s="1"/>
  <c r="K2602"/>
  <c r="C2602" s="1"/>
  <c r="K684"/>
  <c r="C684" s="1"/>
  <c r="K599"/>
  <c r="C599" s="1"/>
  <c r="K1772"/>
  <c r="C1772" s="1"/>
  <c r="K1985"/>
  <c r="C1985" s="1"/>
  <c r="K3635"/>
  <c r="C3635" s="1"/>
  <c r="K1390"/>
  <c r="C1390" s="1"/>
  <c r="K1204"/>
  <c r="C1204" s="1"/>
  <c r="K494"/>
  <c r="C494" s="1"/>
  <c r="K1897"/>
  <c r="C1897" s="1"/>
  <c r="K3310"/>
  <c r="C3310" s="1"/>
  <c r="K3056"/>
  <c r="C3056" s="1"/>
  <c r="K1824"/>
  <c r="C1824" s="1"/>
  <c r="K1122"/>
  <c r="C1122" s="1"/>
  <c r="K2486"/>
  <c r="C2486" s="1"/>
  <c r="K2905"/>
  <c r="C2905" s="1"/>
  <c r="K2631"/>
  <c r="C2631" s="1"/>
  <c r="K3290"/>
  <c r="C3290" s="1"/>
  <c r="K3828"/>
  <c r="C3828" s="1"/>
  <c r="K1177"/>
  <c r="C1177" s="1"/>
  <c r="K1665"/>
  <c r="C1665" s="1"/>
  <c r="K1179"/>
  <c r="C1179" s="1"/>
  <c r="K3135"/>
  <c r="C3135" s="1"/>
  <c r="K688"/>
  <c r="C688" s="1"/>
  <c r="K3431"/>
  <c r="C3431" s="1"/>
  <c r="K2124"/>
  <c r="C2124" s="1"/>
  <c r="K3794"/>
  <c r="C3794" s="1"/>
  <c r="K3032"/>
  <c r="C3032" s="1"/>
  <c r="K3069"/>
  <c r="C3069" s="1"/>
  <c r="K1293"/>
  <c r="C1293" s="1"/>
  <c r="K4188"/>
  <c r="C4188" s="1"/>
  <c r="K1020"/>
  <c r="C1020" s="1"/>
  <c r="K881"/>
  <c r="C881" s="1"/>
  <c r="K2174"/>
  <c r="C2174" s="1"/>
  <c r="K3792"/>
  <c r="C3792" s="1"/>
  <c r="K3782"/>
  <c r="C3782" s="1"/>
  <c r="K4205"/>
  <c r="C4205" s="1"/>
  <c r="K3300"/>
  <c r="C3300" s="1"/>
  <c r="K1982"/>
  <c r="C1982" s="1"/>
  <c r="K3202"/>
  <c r="C3202" s="1"/>
  <c r="K4180"/>
  <c r="C4180" s="1"/>
  <c r="K3749"/>
  <c r="C3749" s="1"/>
  <c r="K4030"/>
  <c r="C4030" s="1"/>
  <c r="K2354"/>
  <c r="C2354" s="1"/>
  <c r="K2995"/>
  <c r="C2995" s="1"/>
  <c r="K2225"/>
  <c r="C2225" s="1"/>
  <c r="K3161"/>
  <c r="C3161" s="1"/>
  <c r="K1005"/>
  <c r="C1005" s="1"/>
  <c r="K2188"/>
  <c r="C2188" s="1"/>
  <c r="K2791"/>
  <c r="C2791" s="1"/>
  <c r="K195"/>
  <c r="C195" s="1"/>
  <c r="K1033"/>
  <c r="C1033" s="1"/>
  <c r="K2932"/>
  <c r="C2932" s="1"/>
  <c r="K564"/>
  <c r="C564" s="1"/>
  <c r="K2615"/>
  <c r="C2615" s="1"/>
  <c r="K4124"/>
  <c r="C4124" s="1"/>
  <c r="K4170"/>
  <c r="C4170" s="1"/>
  <c r="K3888"/>
  <c r="C3888" s="1"/>
  <c r="K1732"/>
  <c r="C1732" s="1"/>
  <c r="K2448"/>
  <c r="C2448" s="1"/>
  <c r="K1403"/>
  <c r="C1403" s="1"/>
  <c r="K3387"/>
  <c r="C3387" s="1"/>
  <c r="K3899"/>
  <c r="C3899" s="1"/>
  <c r="K2805"/>
  <c r="C2805" s="1"/>
  <c r="K3923"/>
  <c r="C3923" s="1"/>
  <c r="K731"/>
  <c r="C731" s="1"/>
  <c r="K2246"/>
  <c r="C2246" s="1"/>
  <c r="K2808"/>
  <c r="C2808" s="1"/>
  <c r="K2787"/>
  <c r="C2787" s="1"/>
  <c r="K1246"/>
  <c r="C1246" s="1"/>
  <c r="K1221"/>
  <c r="C1221" s="1"/>
  <c r="K4138"/>
  <c r="C4138" s="1"/>
  <c r="K3798"/>
  <c r="C3798" s="1"/>
  <c r="K995"/>
  <c r="C995" s="1"/>
  <c r="K1608"/>
  <c r="C1608" s="1"/>
  <c r="K2136"/>
  <c r="C2136" s="1"/>
  <c r="K446"/>
  <c r="C446" s="1"/>
  <c r="K1457"/>
  <c r="C1457" s="1"/>
  <c r="K3717"/>
  <c r="C3717" s="1"/>
  <c r="K2606"/>
  <c r="C2606" s="1"/>
  <c r="K2309"/>
  <c r="C2309" s="1"/>
  <c r="K547"/>
  <c r="C547" s="1"/>
  <c r="K2967"/>
  <c r="C2967" s="1"/>
  <c r="K4022"/>
  <c r="C4022" s="1"/>
  <c r="K1425"/>
  <c r="C1425" s="1"/>
  <c r="K290"/>
  <c r="C290" s="1"/>
  <c r="K3218"/>
  <c r="C3218" s="1"/>
  <c r="K3285"/>
  <c r="C3285" s="1"/>
  <c r="K3074"/>
  <c r="C3074" s="1"/>
  <c r="K2639"/>
  <c r="C2639" s="1"/>
  <c r="K2166"/>
  <c r="C2166" s="1"/>
  <c r="K3209"/>
  <c r="C3209" s="1"/>
  <c r="K1566"/>
  <c r="C1566" s="1"/>
  <c r="K891"/>
  <c r="C891" s="1"/>
  <c r="K3412"/>
  <c r="C3412" s="1"/>
  <c r="K2332"/>
  <c r="C2332" s="1"/>
  <c r="K3953"/>
  <c r="C3953" s="1"/>
  <c r="K3277"/>
  <c r="C3277" s="1"/>
  <c r="K3244"/>
  <c r="C3244" s="1"/>
  <c r="K1312"/>
  <c r="C1312" s="1"/>
  <c r="K2861"/>
  <c r="C2861" s="1"/>
  <c r="K4004"/>
  <c r="C4004" s="1"/>
  <c r="K1773"/>
  <c r="C1773" s="1"/>
  <c r="K1771"/>
  <c r="C1771" s="1"/>
  <c r="K926"/>
  <c r="C926" s="1"/>
  <c r="K1759"/>
  <c r="C1759" s="1"/>
  <c r="K1069"/>
  <c r="C1069" s="1"/>
  <c r="K1748"/>
  <c r="C1748" s="1"/>
  <c r="K1062"/>
  <c r="C1062" s="1"/>
  <c r="K2224"/>
  <c r="C2224" s="1"/>
  <c r="K277"/>
  <c r="C277" s="1"/>
  <c r="K644"/>
  <c r="C644" s="1"/>
  <c r="K1545"/>
  <c r="C1545" s="1"/>
  <c r="K3862"/>
  <c r="C3862" s="1"/>
  <c r="K3725"/>
  <c r="C3725" s="1"/>
  <c r="K3624"/>
  <c r="C3624" s="1"/>
  <c r="K1763"/>
  <c r="C1763" s="1"/>
  <c r="K3682"/>
  <c r="C3682" s="1"/>
  <c r="K1559"/>
  <c r="C1559" s="1"/>
  <c r="K2978"/>
  <c r="C2978" s="1"/>
  <c r="K3103"/>
  <c r="C3103" s="1"/>
  <c r="K3100"/>
  <c r="C3100" s="1"/>
  <c r="K3107"/>
  <c r="C3107" s="1"/>
  <c r="K2392"/>
  <c r="C2392" s="1"/>
  <c r="K2301"/>
  <c r="C2301" s="1"/>
  <c r="K3935"/>
  <c r="C3935" s="1"/>
  <c r="K3887"/>
  <c r="C3887" s="1"/>
  <c r="K3232"/>
  <c r="C3232" s="1"/>
  <c r="K2374"/>
  <c r="C2374" s="1"/>
  <c r="K1382"/>
  <c r="C1382" s="1"/>
  <c r="K4135"/>
  <c r="C4135" s="1"/>
  <c r="K1412"/>
  <c r="C1412" s="1"/>
  <c r="K1035"/>
  <c r="C1035" s="1"/>
  <c r="K2286"/>
  <c r="C2286" s="1"/>
  <c r="K424"/>
  <c r="C424" s="1"/>
  <c r="K1631"/>
  <c r="C1631" s="1"/>
  <c r="K555"/>
  <c r="C555" s="1"/>
  <c r="K1270"/>
  <c r="C1270" s="1"/>
  <c r="K2555"/>
  <c r="C2555" s="1"/>
  <c r="K186"/>
  <c r="C186" s="1"/>
  <c r="K1838"/>
  <c r="C1838" s="1"/>
  <c r="K2061"/>
  <c r="C2061" s="1"/>
  <c r="K2785"/>
  <c r="C2785" s="1"/>
  <c r="K293"/>
  <c r="C293" s="1"/>
  <c r="K1380"/>
  <c r="C1380" s="1"/>
  <c r="K1398"/>
  <c r="C1398" s="1"/>
  <c r="K3898"/>
  <c r="C3898" s="1"/>
  <c r="K3009"/>
  <c r="C3009" s="1"/>
  <c r="K1553"/>
  <c r="C1553" s="1"/>
  <c r="K2877"/>
  <c r="C2877" s="1"/>
  <c r="K2833"/>
  <c r="C2833" s="1"/>
  <c r="K2997"/>
  <c r="C2997" s="1"/>
  <c r="K3368"/>
  <c r="C3368" s="1"/>
  <c r="K3530"/>
  <c r="C3530" s="1"/>
  <c r="K248"/>
  <c r="C248" s="1"/>
  <c r="K1123"/>
  <c r="C1123" s="1"/>
  <c r="K247"/>
  <c r="C247" s="1"/>
  <c r="K2279"/>
  <c r="C2279" s="1"/>
  <c r="K3138"/>
  <c r="C3138" s="1"/>
  <c r="K2483"/>
  <c r="C2483" s="1"/>
  <c r="K1262"/>
  <c r="C1262" s="1"/>
  <c r="K2669"/>
  <c r="C2669" s="1"/>
  <c r="K2671"/>
  <c r="C2671" s="1"/>
  <c r="K3271"/>
  <c r="C3271" s="1"/>
  <c r="K3691"/>
  <c r="C3691" s="1"/>
  <c r="K3119"/>
  <c r="C3119" s="1"/>
  <c r="K3856"/>
  <c r="C3856" s="1"/>
  <c r="K2053"/>
  <c r="C2053" s="1"/>
  <c r="K1478"/>
  <c r="C1478" s="1"/>
  <c r="K3090"/>
  <c r="C3090" s="1"/>
  <c r="K957"/>
  <c r="C957" s="1"/>
  <c r="K3159"/>
  <c r="C3159" s="1"/>
  <c r="K1604"/>
  <c r="C1604" s="1"/>
  <c r="K4222"/>
  <c r="C4222" s="1"/>
  <c r="K2941"/>
  <c r="C2941" s="1"/>
  <c r="K1544"/>
  <c r="C1544" s="1"/>
  <c r="K2987"/>
  <c r="C2987" s="1"/>
  <c r="K416"/>
  <c r="C416" s="1"/>
  <c r="K3292"/>
  <c r="C3292" s="1"/>
  <c r="K3683"/>
  <c r="C3683" s="1"/>
  <c r="K3972"/>
  <c r="C3972" s="1"/>
  <c r="K1717"/>
  <c r="C1717" s="1"/>
  <c r="K2691"/>
  <c r="C2691" s="1"/>
  <c r="K2786"/>
  <c r="C2786" s="1"/>
  <c r="K2582"/>
  <c r="C2582" s="1"/>
  <c r="K3188"/>
  <c r="C3188" s="1"/>
  <c r="K3111"/>
  <c r="C3111" s="1"/>
  <c r="K1512"/>
  <c r="C1512" s="1"/>
  <c r="K212"/>
  <c r="C212" s="1"/>
  <c r="K230"/>
  <c r="C230" s="1"/>
  <c r="K381"/>
  <c r="C381" s="1"/>
  <c r="K429"/>
  <c r="C429" s="1"/>
  <c r="K1937"/>
  <c r="C1937" s="1"/>
  <c r="K289"/>
  <c r="C289" s="1"/>
  <c r="K1891"/>
  <c r="C1891" s="1"/>
  <c r="K3878"/>
  <c r="C3878" s="1"/>
  <c r="K2046"/>
  <c r="C2046" s="1"/>
  <c r="K3987"/>
  <c r="C3987" s="1"/>
  <c r="K609"/>
  <c r="C609" s="1"/>
  <c r="K816"/>
  <c r="C816" s="1"/>
  <c r="K2605"/>
  <c r="C2605" s="1"/>
  <c r="K3641"/>
  <c r="C3641" s="1"/>
  <c r="K2632"/>
  <c r="C2632" s="1"/>
  <c r="K1012"/>
  <c r="C1012" s="1"/>
  <c r="K2191"/>
  <c r="C2191" s="1"/>
  <c r="K1967"/>
  <c r="C1967" s="1"/>
  <c r="K2558"/>
  <c r="C2558" s="1"/>
  <c r="K3944"/>
  <c r="C3944" s="1"/>
  <c r="K2179"/>
  <c r="C2179" s="1"/>
  <c r="K3775"/>
  <c r="C3775" s="1"/>
  <c r="K2028"/>
  <c r="C2028" s="1"/>
  <c r="K2464"/>
  <c r="C2464" s="1"/>
  <c r="K2177"/>
  <c r="C2177" s="1"/>
  <c r="K2584"/>
  <c r="C2584" s="1"/>
  <c r="K4029"/>
  <c r="C4029" s="1"/>
  <c r="K1807"/>
  <c r="C1807" s="1"/>
  <c r="K3400"/>
  <c r="C3400" s="1"/>
  <c r="K2229"/>
  <c r="C2229" s="1"/>
  <c r="K2660"/>
  <c r="C2660" s="1"/>
  <c r="K2314"/>
  <c r="C2314" s="1"/>
  <c r="K1627"/>
  <c r="C1627" s="1"/>
  <c r="K3515"/>
  <c r="C3515" s="1"/>
  <c r="K1235"/>
  <c r="C1235" s="1"/>
  <c r="K1711"/>
  <c r="C1711" s="1"/>
  <c r="K698"/>
  <c r="C698" s="1"/>
  <c r="K2426"/>
  <c r="C2426" s="1"/>
  <c r="K1795"/>
  <c r="C1795" s="1"/>
  <c r="K2108"/>
  <c r="C2108" s="1"/>
  <c r="K3462"/>
  <c r="C3462" s="1"/>
  <c r="K1917"/>
  <c r="C1917" s="1"/>
  <c r="K945"/>
  <c r="C945" s="1"/>
  <c r="K1882"/>
  <c r="C1882" s="1"/>
  <c r="K2525"/>
  <c r="C2525" s="1"/>
  <c r="K2782"/>
  <c r="C2782" s="1"/>
  <c r="K2051"/>
  <c r="C2051" s="1"/>
  <c r="K663"/>
  <c r="C663" s="1"/>
  <c r="K490"/>
  <c r="C490" s="1"/>
  <c r="K899"/>
  <c r="C899" s="1"/>
  <c r="K2454"/>
  <c r="C2454" s="1"/>
  <c r="K2599"/>
  <c r="C2599" s="1"/>
  <c r="K2890"/>
  <c r="C2890" s="1"/>
  <c r="K645"/>
  <c r="C645" s="1"/>
  <c r="K3537"/>
  <c r="C3537" s="1"/>
  <c r="K3039"/>
  <c r="C3039" s="1"/>
  <c r="K1651"/>
  <c r="C1651" s="1"/>
  <c r="K3498"/>
  <c r="C3498" s="1"/>
  <c r="K2811"/>
  <c r="C2811" s="1"/>
  <c r="K3288"/>
  <c r="C3288" s="1"/>
  <c r="K2575"/>
  <c r="C2575" s="1"/>
  <c r="K2211"/>
  <c r="C2211" s="1"/>
  <c r="K2938"/>
  <c r="C2938" s="1"/>
  <c r="K4057"/>
  <c r="C4057" s="1"/>
  <c r="K1379"/>
  <c r="C1379" s="1"/>
  <c r="K1915"/>
  <c r="C1915" s="1"/>
  <c r="K2548"/>
  <c r="C2548" s="1"/>
  <c r="K2614"/>
  <c r="C2614" s="1"/>
  <c r="K3962"/>
  <c r="C3962" s="1"/>
  <c r="K3875"/>
  <c r="C3875" s="1"/>
  <c r="K3449"/>
  <c r="C3449" s="1"/>
  <c r="K1868"/>
  <c r="C1868" s="1"/>
  <c r="K2407"/>
  <c r="C2407" s="1"/>
  <c r="K3570"/>
  <c r="C3570" s="1"/>
  <c r="K552"/>
  <c r="C552" s="1"/>
  <c r="K407"/>
  <c r="C407" s="1"/>
  <c r="K2099"/>
  <c r="C2099" s="1"/>
  <c r="K1595"/>
  <c r="C1595" s="1"/>
  <c r="K2906"/>
  <c r="C2906" s="1"/>
  <c r="K3647"/>
  <c r="C3647" s="1"/>
  <c r="K2326"/>
  <c r="C2326" s="1"/>
  <c r="K3001"/>
  <c r="C3001" s="1"/>
  <c r="K2214"/>
  <c r="C2214" s="1"/>
  <c r="K2037"/>
  <c r="C2037" s="1"/>
  <c r="K940"/>
  <c r="C940" s="1"/>
  <c r="K3415"/>
  <c r="C3415" s="1"/>
  <c r="K2196"/>
  <c r="C2196" s="1"/>
  <c r="K3279"/>
  <c r="C3279" s="1"/>
  <c r="K2738"/>
  <c r="C2738" s="1"/>
  <c r="K613"/>
  <c r="C613" s="1"/>
  <c r="K2415"/>
  <c r="C2415" s="1"/>
  <c r="K925"/>
  <c r="C925" s="1"/>
  <c r="K2419"/>
  <c r="C2419" s="1"/>
  <c r="K1010"/>
  <c r="C1010" s="1"/>
  <c r="K1322"/>
  <c r="C1322" s="1"/>
  <c r="K2659"/>
  <c r="C2659" s="1"/>
  <c r="K423"/>
  <c r="C423" s="1"/>
  <c r="K465"/>
  <c r="C465" s="1"/>
  <c r="K1872"/>
  <c r="C1872" s="1"/>
  <c r="K3653"/>
  <c r="C3653" s="1"/>
  <c r="K1754"/>
  <c r="C1754" s="1"/>
  <c r="K901"/>
  <c r="C901" s="1"/>
  <c r="K4156"/>
  <c r="C4156" s="1"/>
  <c r="K1664"/>
  <c r="C1664" s="1"/>
  <c r="K3546"/>
  <c r="C3546" s="1"/>
  <c r="K1687"/>
  <c r="C1687" s="1"/>
  <c r="K2477"/>
  <c r="C2477" s="1"/>
  <c r="K474"/>
  <c r="C474" s="1"/>
  <c r="K4176"/>
  <c r="C4176" s="1"/>
  <c r="K2379"/>
  <c r="C2379" s="1"/>
  <c r="K4161"/>
  <c r="C4161" s="1"/>
  <c r="K3904"/>
  <c r="C3904" s="1"/>
  <c r="K2384"/>
  <c r="C2384" s="1"/>
  <c r="K2889"/>
  <c r="C2889" s="1"/>
  <c r="K4098"/>
  <c r="C4098" s="1"/>
  <c r="K2665"/>
  <c r="C2665" s="1"/>
  <c r="K2817"/>
  <c r="C2817" s="1"/>
  <c r="K1319"/>
  <c r="C1319" s="1"/>
  <c r="K2158"/>
  <c r="C2158" s="1"/>
  <c r="K3033"/>
  <c r="C3033" s="1"/>
  <c r="K1926"/>
  <c r="C1926" s="1"/>
  <c r="K3025"/>
  <c r="C3025" s="1"/>
  <c r="K1816"/>
  <c r="C1816" s="1"/>
  <c r="K2962"/>
  <c r="C2962" s="1"/>
  <c r="K361"/>
  <c r="C361" s="1"/>
  <c r="K3374"/>
  <c r="C3374" s="1"/>
  <c r="K3809"/>
  <c r="C3809" s="1"/>
  <c r="K3417"/>
  <c r="C3417" s="1"/>
  <c r="K376"/>
  <c r="C376" s="1"/>
  <c r="K2565"/>
  <c r="C2565" s="1"/>
  <c r="K3903"/>
  <c r="C3903" s="1"/>
  <c r="K3190"/>
  <c r="C3190" s="1"/>
  <c r="K3931"/>
  <c r="C3931" s="1"/>
  <c r="K3040"/>
  <c r="C3040" s="1"/>
  <c r="K664"/>
  <c r="C664" s="1"/>
  <c r="K2873"/>
  <c r="C2873" s="1"/>
  <c r="K3738"/>
  <c r="C3738" s="1"/>
  <c r="K4164"/>
  <c r="C4164" s="1"/>
  <c r="K2227"/>
  <c r="C2227" s="1"/>
  <c r="K4126"/>
  <c r="C4126" s="1"/>
  <c r="K2232"/>
  <c r="C2232" s="1"/>
  <c r="K3000"/>
  <c r="C3000" s="1"/>
  <c r="K4206"/>
  <c r="C4206" s="1"/>
  <c r="K2041"/>
  <c r="C2041" s="1"/>
  <c r="K3811"/>
  <c r="C3811" s="1"/>
  <c r="K3841"/>
  <c r="C3841" s="1"/>
  <c r="K3865"/>
  <c r="C3865" s="1"/>
  <c r="K3205"/>
  <c r="C3205" s="1"/>
  <c r="K723"/>
  <c r="C723" s="1"/>
  <c r="K2509"/>
  <c r="C2509" s="1"/>
  <c r="K774"/>
  <c r="C774" s="1"/>
  <c r="K4163"/>
  <c r="C4163" s="1"/>
  <c r="K1944"/>
  <c r="C1944" s="1"/>
  <c r="K332"/>
  <c r="C332" s="1"/>
  <c r="K2248"/>
  <c r="C2248" s="1"/>
  <c r="K3163"/>
  <c r="C3163" s="1"/>
  <c r="K2245"/>
  <c r="C2245" s="1"/>
  <c r="K2973"/>
  <c r="C2973" s="1"/>
  <c r="K3644"/>
  <c r="C3644" s="1"/>
  <c r="K2341"/>
  <c r="C2341" s="1"/>
  <c r="K756"/>
  <c r="C756" s="1"/>
  <c r="K3349"/>
  <c r="C3349" s="1"/>
  <c r="K2422"/>
  <c r="C2422" s="1"/>
  <c r="K3868"/>
  <c r="C3868" s="1"/>
  <c r="K1185"/>
  <c r="C1185" s="1"/>
  <c r="K512"/>
  <c r="C512" s="1"/>
  <c r="K3506"/>
  <c r="C3506" s="1"/>
  <c r="K2915"/>
  <c r="C2915" s="1"/>
  <c r="K3755"/>
  <c r="C3755" s="1"/>
  <c r="K1616"/>
  <c r="C1616" s="1"/>
  <c r="K4133"/>
  <c r="C4133" s="1"/>
  <c r="K3731"/>
  <c r="C3731" s="1"/>
  <c r="K2815"/>
  <c r="C2815" s="1"/>
  <c r="K859"/>
  <c r="C859" s="1"/>
  <c r="K4071"/>
  <c r="C4071" s="1"/>
  <c r="K291"/>
  <c r="C291" s="1"/>
  <c r="K1340"/>
  <c r="C1340" s="1"/>
  <c r="K345"/>
  <c r="C345" s="1"/>
  <c r="K3634"/>
  <c r="C3634" s="1"/>
  <c r="K214"/>
  <c r="C214" s="1"/>
  <c r="K205"/>
  <c r="C205" s="1"/>
  <c r="K1820"/>
  <c r="C1820" s="1"/>
  <c r="K1119"/>
  <c r="C1119" s="1"/>
  <c r="K413"/>
  <c r="C413" s="1"/>
  <c r="K1090"/>
  <c r="C1090" s="1"/>
  <c r="K1630"/>
  <c r="C1630" s="1"/>
  <c r="K1183"/>
  <c r="C1183" s="1"/>
  <c r="K1961"/>
  <c r="C1961" s="1"/>
  <c r="K4102"/>
  <c r="C4102" s="1"/>
  <c r="K3801"/>
  <c r="C3801" s="1"/>
  <c r="K1138"/>
  <c r="C1138" s="1"/>
  <c r="K1989"/>
  <c r="C1989" s="1"/>
  <c r="K2729"/>
  <c r="C2729" s="1"/>
  <c r="K3051"/>
  <c r="C3051" s="1"/>
  <c r="K2913"/>
  <c r="C2913" s="1"/>
  <c r="K2389"/>
  <c r="C2389" s="1"/>
  <c r="K3171"/>
  <c r="C3171" s="1"/>
  <c r="K1267"/>
  <c r="C1267" s="1"/>
  <c r="K3346"/>
  <c r="C3346" s="1"/>
  <c r="K3434"/>
  <c r="C3434" s="1"/>
  <c r="K3389"/>
  <c r="C3389" s="1"/>
  <c r="K3637"/>
  <c r="C3637" s="1"/>
  <c r="K2939"/>
  <c r="C2939" s="1"/>
  <c r="K2244"/>
  <c r="C2244" s="1"/>
  <c r="K2563"/>
  <c r="C2563" s="1"/>
  <c r="K1835"/>
  <c r="C1835" s="1"/>
  <c r="K2871"/>
  <c r="C2871" s="1"/>
  <c r="K3743"/>
  <c r="C3743" s="1"/>
  <c r="K2058"/>
  <c r="C2058" s="1"/>
  <c r="K3966"/>
  <c r="C3966" s="1"/>
  <c r="K1429"/>
  <c r="C1429" s="1"/>
  <c r="K3463"/>
  <c r="C3463" s="1"/>
  <c r="K2070"/>
  <c r="C2070" s="1"/>
  <c r="K1014"/>
  <c r="C1014" s="1"/>
  <c r="K1583"/>
  <c r="C1583" s="1"/>
  <c r="K1404"/>
  <c r="C1404" s="1"/>
  <c r="K2603"/>
  <c r="C2603" s="1"/>
  <c r="K3351"/>
  <c r="C3351" s="1"/>
  <c r="K4099"/>
  <c r="C4099" s="1"/>
  <c r="K3607"/>
  <c r="C3607" s="1"/>
  <c r="K2396"/>
  <c r="C2396" s="1"/>
  <c r="K603"/>
  <c r="C603" s="1"/>
  <c r="K2702"/>
  <c r="C2702" s="1"/>
  <c r="K2609"/>
  <c r="C2609" s="1"/>
  <c r="K3122"/>
  <c r="C3122" s="1"/>
  <c r="K183"/>
  <c r="C183" s="1"/>
  <c r="K4061"/>
  <c r="C4061" s="1"/>
  <c r="K402"/>
  <c r="C402" s="1"/>
  <c r="K2181"/>
  <c r="C2181" s="1"/>
  <c r="K566"/>
  <c r="C566" s="1"/>
  <c r="K701"/>
  <c r="C701" s="1"/>
  <c r="K298"/>
  <c r="C298" s="1"/>
  <c r="K219"/>
  <c r="C219" s="1"/>
  <c r="K3375"/>
  <c r="C3375" s="1"/>
  <c r="K777"/>
  <c r="C777" s="1"/>
  <c r="K1423"/>
  <c r="C1423" s="1"/>
  <c r="K4129"/>
  <c r="C4129" s="1"/>
  <c r="K2717"/>
  <c r="C2717" s="1"/>
  <c r="K1780"/>
  <c r="C1780" s="1"/>
  <c r="K3228"/>
  <c r="C3228" s="1"/>
  <c r="K3010"/>
  <c r="C3010" s="1"/>
  <c r="K844"/>
  <c r="C844" s="1"/>
  <c r="K1222"/>
  <c r="C1222" s="1"/>
  <c r="K2768"/>
  <c r="C2768" s="1"/>
  <c r="K3584"/>
  <c r="C3584" s="1"/>
  <c r="K558"/>
  <c r="C558" s="1"/>
  <c r="K3974"/>
  <c r="C3974" s="1"/>
  <c r="K849"/>
  <c r="C849" s="1"/>
  <c r="K3645"/>
  <c r="C3645" s="1"/>
  <c r="K2197"/>
  <c r="C2197" s="1"/>
  <c r="K588"/>
  <c r="C588" s="1"/>
  <c r="K4089"/>
  <c r="C4089" s="1"/>
  <c r="K4018"/>
  <c r="C4018" s="1"/>
  <c r="K2168"/>
  <c r="C2168" s="1"/>
  <c r="K1858"/>
  <c r="C1858" s="1"/>
  <c r="K3342"/>
  <c r="C3342" s="1"/>
  <c r="K2132"/>
  <c r="C2132" s="1"/>
  <c r="K680"/>
  <c r="C680" s="1"/>
  <c r="K2594"/>
  <c r="C2594" s="1"/>
  <c r="K1202"/>
  <c r="C1202" s="1"/>
  <c r="K1251"/>
  <c r="C1251" s="1"/>
  <c r="K184"/>
  <c r="C184" s="1"/>
  <c r="K3206"/>
  <c r="C3206" s="1"/>
  <c r="K3494"/>
  <c r="C3494" s="1"/>
  <c r="K3070"/>
  <c r="C3070" s="1"/>
  <c r="K3694"/>
  <c r="C3694" s="1"/>
  <c r="K586"/>
  <c r="C586" s="1"/>
  <c r="K2827"/>
  <c r="C2827" s="1"/>
  <c r="K4215"/>
  <c r="C4215" s="1"/>
  <c r="K2162"/>
  <c r="C2162" s="1"/>
  <c r="K2828"/>
  <c r="C2828" s="1"/>
  <c r="K2007"/>
  <c r="C2007" s="1"/>
  <c r="K497"/>
  <c r="C497" s="1"/>
  <c r="K2627"/>
  <c r="C2627" s="1"/>
  <c r="K3426"/>
  <c r="C3426" s="1"/>
  <c r="K4119"/>
  <c r="C4119" s="1"/>
  <c r="K1658"/>
  <c r="C1658" s="1"/>
  <c r="K2626"/>
  <c r="C2626" s="1"/>
  <c r="K397"/>
  <c r="C397" s="1"/>
  <c r="K3302"/>
  <c r="C3302" s="1"/>
  <c r="K2990"/>
  <c r="C2990" s="1"/>
  <c r="K1821"/>
  <c r="C1821" s="1"/>
  <c r="K985"/>
  <c r="C985" s="1"/>
  <c r="K1900"/>
  <c r="C1900" s="1"/>
  <c r="K427"/>
  <c r="C427" s="1"/>
  <c r="K990"/>
  <c r="C990" s="1"/>
  <c r="K3956"/>
  <c r="C3956" s="1"/>
  <c r="K3061"/>
  <c r="C3061" s="1"/>
  <c r="K620"/>
  <c r="C620" s="1"/>
  <c r="K1041"/>
  <c r="C1041" s="1"/>
  <c r="K1264"/>
  <c r="C1264" s="1"/>
  <c r="K2039"/>
  <c r="C2039" s="1"/>
  <c r="K3330"/>
  <c r="C3330" s="1"/>
  <c r="K2333"/>
  <c r="C2333" s="1"/>
  <c r="K3413"/>
  <c r="C3413" s="1"/>
  <c r="K3082"/>
  <c r="C3082" s="1"/>
  <c r="K1832"/>
  <c r="C1832" s="1"/>
  <c r="K1733"/>
  <c r="C1733" s="1"/>
  <c r="K708"/>
  <c r="C708" s="1"/>
  <c r="K3509"/>
  <c r="C3509" s="1"/>
  <c r="K3397"/>
  <c r="C3397" s="1"/>
  <c r="K2264"/>
  <c r="C2264" s="1"/>
  <c r="K1055"/>
  <c r="C1055" s="1"/>
  <c r="K1474"/>
  <c r="C1474" s="1"/>
  <c r="K202"/>
  <c r="C202" s="1"/>
  <c r="K2116"/>
  <c r="C2116" s="1"/>
  <c r="K1746"/>
  <c r="C1746" s="1"/>
  <c r="K1775"/>
  <c r="C1775" s="1"/>
  <c r="K3699"/>
  <c r="C3699" s="1"/>
  <c r="K860"/>
  <c r="C860" s="1"/>
  <c r="K3362"/>
  <c r="C3362" s="1"/>
  <c r="K2820"/>
  <c r="C2820" s="1"/>
  <c r="K559"/>
  <c r="C559" s="1"/>
  <c r="K2649"/>
  <c r="C2649" s="1"/>
  <c r="K1209"/>
  <c r="C1209" s="1"/>
  <c r="K265"/>
  <c r="C265" s="1"/>
  <c r="K3247"/>
  <c r="C3247" s="1"/>
  <c r="K390"/>
  <c r="C390" s="1"/>
  <c r="K3614"/>
  <c r="C3614" s="1"/>
  <c r="K522"/>
  <c r="C522" s="1"/>
  <c r="K1288"/>
  <c r="C1288" s="1"/>
  <c r="K2965"/>
  <c r="C2965" s="1"/>
  <c r="K3808"/>
  <c r="C3808" s="1"/>
  <c r="K1589"/>
  <c r="C1589" s="1"/>
  <c r="K2960"/>
  <c r="C2960" s="1"/>
  <c r="K3488"/>
  <c r="C3488" s="1"/>
  <c r="K478"/>
  <c r="C478" s="1"/>
  <c r="K2921"/>
  <c r="C2921" s="1"/>
  <c r="K2475"/>
  <c r="C2475" s="1"/>
  <c r="K3129"/>
  <c r="C3129" s="1"/>
  <c r="K3817"/>
  <c r="C3817" s="1"/>
  <c r="K3448"/>
  <c r="C3448" s="1"/>
  <c r="K1142"/>
  <c r="C1142" s="1"/>
  <c r="K2267"/>
  <c r="C2267" s="1"/>
  <c r="K4063"/>
  <c r="C4063" s="1"/>
  <c r="K726"/>
  <c r="C726" s="1"/>
  <c r="K2914"/>
  <c r="C2914" s="1"/>
  <c r="K553"/>
  <c r="C553" s="1"/>
  <c r="K3946"/>
  <c r="C3946" s="1"/>
  <c r="K3116"/>
  <c r="C3116" s="1"/>
  <c r="K1953"/>
  <c r="C1953" s="1"/>
  <c r="K3827"/>
  <c r="C3827" s="1"/>
  <c r="K3791"/>
  <c r="C3791" s="1"/>
  <c r="K3803"/>
  <c r="C3803" s="1"/>
  <c r="K2881"/>
  <c r="C2881" s="1"/>
  <c r="K275"/>
  <c r="C275" s="1"/>
  <c r="K3169"/>
  <c r="C3169" s="1"/>
  <c r="K707"/>
  <c r="C707" s="1"/>
  <c r="K1681"/>
  <c r="C1681" s="1"/>
  <c r="K1401"/>
  <c r="C1401" s="1"/>
  <c r="K2045"/>
  <c r="C2045" s="1"/>
  <c r="K1310"/>
  <c r="C1310" s="1"/>
  <c r="K457"/>
  <c r="C457" s="1"/>
  <c r="K2302"/>
  <c r="C2302" s="1"/>
  <c r="K2612"/>
  <c r="C2612" s="1"/>
  <c r="K4092"/>
  <c r="C4092" s="1"/>
  <c r="K449"/>
  <c r="C449" s="1"/>
  <c r="K2317"/>
  <c r="C2317" s="1"/>
  <c r="K952"/>
  <c r="C952" s="1"/>
  <c r="K1219"/>
  <c r="C1219" s="1"/>
  <c r="K1948"/>
  <c r="C1948" s="1"/>
  <c r="K3105"/>
  <c r="C3105" s="1"/>
  <c r="K2350"/>
  <c r="C2350" s="1"/>
  <c r="K3068"/>
  <c r="C3068" s="1"/>
  <c r="K2095"/>
  <c r="C2095" s="1"/>
  <c r="K4151"/>
  <c r="C4151" s="1"/>
  <c r="K1015"/>
  <c r="C1015" s="1"/>
  <c r="K1841"/>
  <c r="C1841" s="1"/>
  <c r="K236"/>
  <c r="C236" s="1"/>
  <c r="K653"/>
  <c r="C653" s="1"/>
  <c r="K1079"/>
  <c r="C1079" s="1"/>
  <c r="K3706"/>
  <c r="C3706" s="1"/>
  <c r="K571"/>
  <c r="C571" s="1"/>
  <c r="K600"/>
  <c r="C600" s="1"/>
  <c r="K3081"/>
  <c r="C3081" s="1"/>
  <c r="K1497"/>
  <c r="C1497" s="1"/>
  <c r="K3523"/>
  <c r="C3523" s="1"/>
  <c r="K2102"/>
  <c r="C2102" s="1"/>
  <c r="K604"/>
  <c r="C604" s="1"/>
  <c r="K981"/>
  <c r="C981" s="1"/>
  <c r="K1710"/>
  <c r="C1710" s="1"/>
  <c r="K2403"/>
  <c r="C2403" s="1"/>
  <c r="K3257"/>
  <c r="C3257" s="1"/>
  <c r="K3437"/>
  <c r="C3437" s="1"/>
  <c r="K2689"/>
  <c r="C2689" s="1"/>
  <c r="K4037"/>
  <c r="C4037" s="1"/>
  <c r="K2169"/>
  <c r="C2169" s="1"/>
  <c r="K1600"/>
  <c r="C1600" s="1"/>
  <c r="K3245"/>
  <c r="C3245" s="1"/>
  <c r="K3470"/>
  <c r="C3470" s="1"/>
  <c r="K3104"/>
  <c r="C3104" s="1"/>
  <c r="K4192"/>
  <c r="C4192" s="1"/>
  <c r="K3333"/>
  <c r="C3333" s="1"/>
  <c r="K2067"/>
  <c r="C2067" s="1"/>
  <c r="K2794"/>
  <c r="C2794" s="1"/>
  <c r="K1166"/>
  <c r="C1166" s="1"/>
  <c r="K3268"/>
  <c r="C3268" s="1"/>
  <c r="K3759"/>
  <c r="C3759" s="1"/>
  <c r="K1865"/>
  <c r="C1865" s="1"/>
  <c r="K4067"/>
  <c r="C4067" s="1"/>
  <c r="K3286"/>
  <c r="C3286" s="1"/>
  <c r="K2961"/>
  <c r="C2961" s="1"/>
  <c r="K428"/>
  <c r="C428" s="1"/>
  <c r="K3652"/>
  <c r="C3652" s="1"/>
  <c r="K2912"/>
  <c r="C2912" s="1"/>
  <c r="K2899"/>
  <c r="C2899" s="1"/>
  <c r="K2257"/>
  <c r="C2257" s="1"/>
  <c r="K3439"/>
  <c r="C3439" s="1"/>
  <c r="K1276"/>
  <c r="C1276" s="1"/>
  <c r="K2149"/>
  <c r="C2149" s="1"/>
  <c r="K3355"/>
  <c r="C3355" s="1"/>
  <c r="K768"/>
  <c r="C768" s="1"/>
  <c r="K4095"/>
  <c r="C4095" s="1"/>
  <c r="K554"/>
  <c r="C554" s="1"/>
  <c r="K3128"/>
  <c r="C3128" s="1"/>
  <c r="K1480"/>
  <c r="C1480" s="1"/>
  <c r="K2745"/>
  <c r="C2745" s="1"/>
  <c r="K3269"/>
  <c r="C3269" s="1"/>
  <c r="K1057"/>
  <c r="C1057" s="1"/>
  <c r="K753"/>
  <c r="C753" s="1"/>
  <c r="K192"/>
  <c r="C192" s="1"/>
  <c r="K4088"/>
  <c r="C4088" s="1"/>
  <c r="K3781"/>
  <c r="C3781" s="1"/>
  <c r="K3975"/>
  <c r="C3975" s="1"/>
  <c r="K3919"/>
  <c r="C3919" s="1"/>
  <c r="K1614"/>
  <c r="C1614" s="1"/>
  <c r="K863"/>
  <c r="C863" s="1"/>
  <c r="K3162"/>
  <c r="C3162" s="1"/>
  <c r="K2032"/>
  <c r="C2032" s="1"/>
  <c r="K2445"/>
  <c r="C2445" s="1"/>
  <c r="K1934"/>
  <c r="C1934" s="1"/>
  <c r="K691"/>
  <c r="C691" s="1"/>
  <c r="K3846"/>
  <c r="C3846" s="1"/>
  <c r="K1467"/>
  <c r="C1467" s="1"/>
  <c r="K2126"/>
  <c r="C2126" s="1"/>
  <c r="K2112"/>
  <c r="C2112" s="1"/>
  <c r="K1758"/>
  <c r="C1758" s="1"/>
  <c r="K1750"/>
  <c r="C1750" s="1"/>
  <c r="K1695"/>
  <c r="C1695" s="1"/>
  <c r="K2406"/>
  <c r="C2406" s="1"/>
  <c r="K3089"/>
  <c r="C3089" s="1"/>
  <c r="K838"/>
  <c r="C838" s="1"/>
  <c r="K3142"/>
  <c r="C3142" s="1"/>
  <c r="K1444"/>
  <c r="C1444" s="1"/>
  <c r="K3545"/>
  <c r="C3545" s="1"/>
  <c r="K2141"/>
  <c r="C2141" s="1"/>
  <c r="K1285"/>
  <c r="C1285" s="1"/>
  <c r="K3021"/>
  <c r="C3021" s="1"/>
  <c r="K2398"/>
  <c r="C2398" s="1"/>
  <c r="K1756"/>
  <c r="C1756" s="1"/>
  <c r="K2567"/>
  <c r="C2567" s="1"/>
  <c r="K2277"/>
  <c r="C2277" s="1"/>
  <c r="K1449"/>
  <c r="C1449" s="1"/>
  <c r="K1936"/>
  <c r="C1936" s="1"/>
  <c r="K3278"/>
  <c r="C3278" s="1"/>
  <c r="K114"/>
  <c r="C114" s="1"/>
  <c r="K2797"/>
  <c r="C2797" s="1"/>
  <c r="K3018"/>
  <c r="C3018" s="1"/>
  <c r="K2600"/>
  <c r="C2600" s="1"/>
  <c r="K2831"/>
  <c r="C2831" s="1"/>
  <c r="K4045"/>
  <c r="C4045" s="1"/>
  <c r="K3925"/>
  <c r="C3925" s="1"/>
  <c r="K1574"/>
  <c r="C1574" s="1"/>
  <c r="K3550"/>
  <c r="C3550" s="1"/>
  <c r="K3203"/>
  <c r="C3203" s="1"/>
  <c r="K2651"/>
  <c r="C2651" s="1"/>
  <c r="K3482"/>
  <c r="C3482" s="1"/>
  <c r="K3266"/>
  <c r="C3266" s="1"/>
  <c r="K4094"/>
  <c r="C4094" s="1"/>
  <c r="K904"/>
  <c r="C904" s="1"/>
  <c r="K2081"/>
  <c r="C2081" s="1"/>
  <c r="K1376"/>
  <c r="C1376" s="1"/>
  <c r="K2438"/>
  <c r="C2438" s="1"/>
  <c r="K1182"/>
  <c r="C1182" s="1"/>
  <c r="K2788"/>
  <c r="C2788" s="1"/>
  <c r="K1615"/>
  <c r="C1615" s="1"/>
  <c r="K996"/>
  <c r="C996" s="1"/>
  <c r="K1646"/>
  <c r="C1646" s="1"/>
  <c r="K2355"/>
  <c r="C2355" s="1"/>
  <c r="K1025"/>
  <c r="C1025" s="1"/>
  <c r="K1470"/>
  <c r="C1470" s="1"/>
  <c r="K1883"/>
  <c r="C1883" s="1"/>
  <c r="K835"/>
  <c r="C835" s="1"/>
  <c r="K374"/>
  <c r="C374" s="1"/>
  <c r="K1678"/>
  <c r="C1678" s="1"/>
  <c r="K1587"/>
  <c r="C1587" s="1"/>
  <c r="K2929"/>
  <c r="C2929" s="1"/>
  <c r="K3602"/>
  <c r="C3602" s="1"/>
  <c r="K1704"/>
  <c r="C1704" s="1"/>
  <c r="K872"/>
  <c r="C872" s="1"/>
  <c r="K4056"/>
  <c r="C4056" s="1"/>
  <c r="K387"/>
  <c r="C387" s="1"/>
  <c r="K1045"/>
  <c r="C1045" s="1"/>
  <c r="K3004"/>
  <c r="C3004" s="1"/>
  <c r="K1096"/>
  <c r="C1096" s="1"/>
  <c r="K537"/>
  <c r="C537" s="1"/>
  <c r="K2494"/>
  <c r="C2494" s="1"/>
  <c r="K2135"/>
  <c r="C2135" s="1"/>
  <c r="K299"/>
  <c r="C299" s="1"/>
  <c r="K2042"/>
  <c r="C2042" s="1"/>
  <c r="K1199"/>
  <c r="C1199" s="1"/>
  <c r="K2539"/>
  <c r="C2539" s="1"/>
  <c r="K178"/>
  <c r="C178" s="1"/>
  <c r="K3730"/>
  <c r="C3730" s="1"/>
  <c r="K3693"/>
  <c r="C3693" s="1"/>
  <c r="K2951"/>
  <c r="C2951" s="1"/>
  <c r="K3983"/>
  <c r="C3983" s="1"/>
  <c r="K285"/>
  <c r="C285" s="1"/>
  <c r="K3996"/>
  <c r="C3996" s="1"/>
  <c r="K1291"/>
  <c r="C1291" s="1"/>
  <c r="K2471"/>
  <c r="C2471" s="1"/>
  <c r="K3797"/>
  <c r="C3797" s="1"/>
  <c r="K1584"/>
  <c r="C1584" s="1"/>
  <c r="K668"/>
  <c r="C668" s="1"/>
  <c r="K311"/>
  <c r="C311" s="1"/>
  <c r="K1861"/>
  <c r="C1861" s="1"/>
  <c r="K2304"/>
  <c r="C2304" s="1"/>
  <c r="K1765"/>
  <c r="C1765" s="1"/>
  <c r="K2123"/>
  <c r="C2123" s="1"/>
  <c r="K2212"/>
  <c r="C2212" s="1"/>
  <c r="K1910"/>
  <c r="C1910" s="1"/>
  <c r="K1082"/>
  <c r="C1082" s="1"/>
  <c r="K3934"/>
  <c r="C3934" s="1"/>
  <c r="K2860"/>
  <c r="C2860" s="1"/>
  <c r="K3814"/>
  <c r="C3814" s="1"/>
  <c r="K3777"/>
  <c r="C3777" s="1"/>
  <c r="K569"/>
  <c r="C569" s="1"/>
  <c r="K762"/>
  <c r="C762" s="1"/>
  <c r="K2780"/>
  <c r="C2780" s="1"/>
  <c r="K1109"/>
  <c r="C1109" s="1"/>
  <c r="K2347"/>
  <c r="C2347" s="1"/>
  <c r="K1805"/>
  <c r="C1805" s="1"/>
  <c r="K1946"/>
  <c r="C1946" s="1"/>
  <c r="K1877"/>
  <c r="C1877" s="1"/>
  <c r="K302"/>
  <c r="C302" s="1"/>
  <c r="K528"/>
  <c r="C528" s="1"/>
  <c r="K414"/>
  <c r="C414" s="1"/>
  <c r="K3059"/>
  <c r="C3059" s="1"/>
  <c r="K3522"/>
  <c r="C3522" s="1"/>
  <c r="K3291"/>
  <c r="C3291" s="1"/>
  <c r="K2824"/>
  <c r="C2824" s="1"/>
  <c r="K3404"/>
  <c r="C3404" s="1"/>
  <c r="K685"/>
  <c r="C685" s="1"/>
  <c r="K1909"/>
  <c r="C1909" s="1"/>
  <c r="K264"/>
  <c r="C264" s="1"/>
  <c r="K368"/>
  <c r="C368" s="1"/>
  <c r="K3229"/>
  <c r="C3229" s="1"/>
  <c r="K922"/>
  <c r="C922" s="1"/>
  <c r="K3909"/>
  <c r="C3909" s="1"/>
  <c r="K1504"/>
  <c r="C1504" s="1"/>
  <c r="K1500"/>
  <c r="C1500" s="1"/>
  <c r="K1837"/>
  <c r="C1837" s="1"/>
  <c r="K2385"/>
  <c r="C2385" s="1"/>
  <c r="K2349"/>
  <c r="C2349" s="1"/>
  <c r="K678"/>
  <c r="C678" s="1"/>
  <c r="K1598"/>
  <c r="C1598" s="1"/>
  <c r="K581"/>
  <c r="C581" s="1"/>
  <c r="K384"/>
  <c r="C384" s="1"/>
  <c r="K1341"/>
  <c r="C1341" s="1"/>
  <c r="K3357"/>
  <c r="C3357" s="1"/>
  <c r="K3459"/>
  <c r="C3459" s="1"/>
  <c r="K2676"/>
  <c r="C2676" s="1"/>
  <c r="K3852"/>
  <c r="C3852" s="1"/>
  <c r="K2338"/>
  <c r="C2338" s="1"/>
  <c r="K846"/>
  <c r="C846" s="1"/>
  <c r="K2346"/>
  <c r="C2346" s="1"/>
  <c r="K2530"/>
  <c r="C2530" s="1"/>
  <c r="K199"/>
  <c r="C199" s="1"/>
  <c r="K2618"/>
  <c r="C2618" s="1"/>
  <c r="K1442"/>
  <c r="C1442" s="1"/>
  <c r="K2334"/>
  <c r="C2334" s="1"/>
  <c r="K2221"/>
  <c r="C2221" s="1"/>
  <c r="K970"/>
  <c r="C970" s="1"/>
  <c r="K2715"/>
  <c r="C2715" s="1"/>
  <c r="K2765"/>
  <c r="C2765" s="1"/>
  <c r="K1374"/>
  <c r="C1374" s="1"/>
  <c r="K733"/>
  <c r="C733" s="1"/>
  <c r="K1303"/>
  <c r="C1303" s="1"/>
  <c r="K1923"/>
  <c r="C1923" s="1"/>
  <c r="K910"/>
  <c r="C910" s="1"/>
  <c r="K1747"/>
  <c r="C1747" s="1"/>
  <c r="K1889"/>
  <c r="C1889" s="1"/>
  <c r="K1186"/>
  <c r="C1186" s="1"/>
  <c r="K1431"/>
  <c r="C1431" s="1"/>
  <c r="K3979"/>
  <c r="C3979" s="1"/>
  <c r="K3943"/>
  <c r="C3943" s="1"/>
  <c r="K1024"/>
  <c r="C1024" s="1"/>
  <c r="K2684"/>
  <c r="C2684" s="1"/>
  <c r="K2147"/>
  <c r="C2147" s="1"/>
  <c r="K4149"/>
  <c r="C4149" s="1"/>
  <c r="K4116"/>
  <c r="C4116" s="1"/>
  <c r="K182"/>
  <c r="C182" s="1"/>
  <c r="K1153"/>
  <c r="C1153" s="1"/>
  <c r="K2570"/>
  <c r="C2570" s="1"/>
  <c r="K2864"/>
  <c r="C2864" s="1"/>
  <c r="K1648"/>
  <c r="C1648" s="1"/>
  <c r="K2728"/>
  <c r="C2728" s="1"/>
  <c r="K2060"/>
  <c r="C2060" s="1"/>
  <c r="K1971"/>
  <c r="C1971" s="1"/>
  <c r="K1228"/>
  <c r="C1228" s="1"/>
  <c r="K1454"/>
  <c r="C1454" s="1"/>
  <c r="K3877"/>
  <c r="C3877" s="1"/>
  <c r="K2130"/>
  <c r="C2130" s="1"/>
  <c r="K2270"/>
  <c r="C2270" s="1"/>
  <c r="K237"/>
  <c r="C237" s="1"/>
  <c r="K1257"/>
  <c r="C1257" s="1"/>
  <c r="K1331"/>
  <c r="C1331" s="1"/>
  <c r="K2656"/>
  <c r="C2656" s="1"/>
  <c r="K4210"/>
  <c r="C4210" s="1"/>
  <c r="K2156"/>
  <c r="C2156" s="1"/>
  <c r="K545"/>
  <c r="C545" s="1"/>
  <c r="K1003"/>
  <c r="C1003" s="1"/>
  <c r="K2801"/>
  <c r="C2801" s="1"/>
  <c r="K3360"/>
  <c r="C3360" s="1"/>
  <c r="K1907"/>
  <c r="C1907" s="1"/>
  <c r="K3752"/>
  <c r="C3752" s="1"/>
  <c r="K2677"/>
  <c r="C2677" s="1"/>
  <c r="K2790"/>
  <c r="C2790" s="1"/>
  <c r="K787"/>
  <c r="C787" s="1"/>
  <c r="K1245"/>
  <c r="C1245" s="1"/>
  <c r="K789"/>
  <c r="C789" s="1"/>
  <c r="K375"/>
  <c r="C375" s="1"/>
  <c r="K3676"/>
  <c r="C3676" s="1"/>
  <c r="K4075"/>
  <c r="C4075" s="1"/>
  <c r="K3848"/>
  <c r="C3848" s="1"/>
  <c r="K1840"/>
  <c r="C1840" s="1"/>
  <c r="K895"/>
  <c r="C895" s="1"/>
  <c r="K529"/>
  <c r="C529" s="1"/>
  <c r="K799"/>
  <c r="C799" s="1"/>
  <c r="K1000"/>
  <c r="C1000" s="1"/>
  <c r="K3907"/>
  <c r="C3907" s="1"/>
  <c r="K2233"/>
  <c r="C2233" s="1"/>
  <c r="K1703"/>
  <c r="C1703" s="1"/>
  <c r="K3540"/>
  <c r="C3540" s="1"/>
  <c r="K3492"/>
  <c r="C3492" s="1"/>
  <c r="K1913"/>
  <c r="C1913" s="1"/>
  <c r="K2079"/>
  <c r="C2079" s="1"/>
  <c r="K3838"/>
  <c r="C3838" s="1"/>
  <c r="K3661"/>
  <c r="C3661" s="1"/>
  <c r="K3444"/>
  <c r="C3444" s="1"/>
  <c r="K3785"/>
  <c r="C3785" s="1"/>
  <c r="K2696"/>
  <c r="C2696" s="1"/>
  <c r="K3733"/>
  <c r="C3733" s="1"/>
  <c r="K1076"/>
  <c r="C1076" s="1"/>
  <c r="K1674"/>
  <c r="C1674" s="1"/>
  <c r="K1479"/>
  <c r="C1479" s="1"/>
  <c r="K435"/>
  <c r="C435" s="1"/>
  <c r="K2320"/>
  <c r="C2320" s="1"/>
  <c r="K3324"/>
  <c r="C3324" s="1"/>
  <c r="K4207"/>
  <c r="C4207" s="1"/>
  <c r="K3906"/>
  <c r="C3906" s="1"/>
  <c r="K902"/>
  <c r="C902" s="1"/>
  <c r="K2017"/>
  <c r="C2017" s="1"/>
  <c r="K890"/>
  <c r="C890" s="1"/>
  <c r="K2707"/>
  <c r="C2707" s="1"/>
  <c r="K1279"/>
  <c r="C1279" s="1"/>
  <c r="K1585"/>
  <c r="C1585" s="1"/>
  <c r="K649"/>
  <c r="C649" s="1"/>
  <c r="K1289"/>
  <c r="C1289" s="1"/>
  <c r="K3341"/>
  <c r="C3341" s="1"/>
  <c r="K883"/>
  <c r="C883" s="1"/>
  <c r="K2549"/>
  <c r="C2549" s="1"/>
  <c r="K2480"/>
  <c r="C2480" s="1"/>
  <c r="K2339"/>
  <c r="C2339" s="1"/>
  <c r="K2893"/>
  <c r="C2893" s="1"/>
  <c r="K4006"/>
  <c r="C4006" s="1"/>
  <c r="K1890"/>
  <c r="C1890" s="1"/>
  <c r="K2886"/>
  <c r="C2886" s="1"/>
  <c r="K3938"/>
  <c r="C3938" s="1"/>
  <c r="K1101"/>
  <c r="C1101" s="1"/>
  <c r="K2492"/>
  <c r="C2492" s="1"/>
  <c r="K3664"/>
  <c r="C3664" s="1"/>
  <c r="K2204"/>
  <c r="C2204" s="1"/>
  <c r="K3869"/>
  <c r="C3869" s="1"/>
  <c r="K524"/>
  <c r="C524" s="1"/>
  <c r="K1697"/>
  <c r="C1697" s="1"/>
  <c r="K2356"/>
  <c r="C2356" s="1"/>
  <c r="K833"/>
  <c r="C833" s="1"/>
  <c r="K3806"/>
  <c r="C3806" s="1"/>
  <c r="K2327"/>
  <c r="C2327" s="1"/>
  <c r="K2979"/>
  <c r="C2979" s="1"/>
  <c r="K2862"/>
  <c r="C2862" s="1"/>
  <c r="K973"/>
  <c r="C973" s="1"/>
  <c r="K3148"/>
  <c r="C3148" s="1"/>
  <c r="K687"/>
  <c r="C687" s="1"/>
  <c r="K1159"/>
  <c r="C1159" s="1"/>
  <c r="K1878"/>
  <c r="C1878" s="1"/>
  <c r="K4140"/>
  <c r="C4140" s="1"/>
  <c r="K2056"/>
  <c r="C2056" s="1"/>
  <c r="K372"/>
  <c r="C372" s="1"/>
  <c r="K1647"/>
  <c r="C1647" s="1"/>
  <c r="K340"/>
  <c r="C340" s="1"/>
  <c r="K785"/>
  <c r="C785" s="1"/>
  <c r="K2100"/>
  <c r="C2100" s="1"/>
  <c r="K884"/>
  <c r="C884" s="1"/>
  <c r="K3429"/>
  <c r="C3429" s="1"/>
  <c r="K2977"/>
  <c r="C2977" s="1"/>
  <c r="K743"/>
  <c r="C743" s="1"/>
  <c r="K2838"/>
  <c r="C2838" s="1"/>
  <c r="K750"/>
  <c r="C750" s="1"/>
  <c r="K3705"/>
  <c r="C3705" s="1"/>
  <c r="K3402"/>
  <c r="C3402" s="1"/>
  <c r="K788"/>
  <c r="C788" s="1"/>
  <c r="K2946"/>
  <c r="C2946" s="1"/>
  <c r="K2161"/>
  <c r="C2161" s="1"/>
  <c r="K2693"/>
  <c r="C2693" s="1"/>
  <c r="K748"/>
  <c r="C748" s="1"/>
  <c r="K3472"/>
  <c r="C3472" s="1"/>
  <c r="K3501"/>
  <c r="C3501" s="1"/>
  <c r="K1227"/>
  <c r="C1227" s="1"/>
  <c r="K3274"/>
  <c r="C3274" s="1"/>
  <c r="K3920"/>
  <c r="C3920" s="1"/>
  <c r="K2569"/>
  <c r="C2569" s="1"/>
  <c r="K1817"/>
  <c r="C1817" s="1"/>
  <c r="K2428"/>
  <c r="C2428" s="1"/>
  <c r="K1418"/>
  <c r="C1418" s="1"/>
  <c r="K371"/>
  <c r="C371" s="1"/>
  <c r="K1282"/>
  <c r="C1282" s="1"/>
  <c r="K3087"/>
  <c r="C3087" s="1"/>
  <c r="K1885"/>
  <c r="C1885" s="1"/>
  <c r="K968"/>
  <c r="C968" s="1"/>
  <c r="K223"/>
  <c r="C223" s="1"/>
  <c r="K2550"/>
  <c r="C2550" s="1"/>
  <c r="K2080"/>
  <c r="C2080" s="1"/>
  <c r="K440"/>
  <c r="C440" s="1"/>
  <c r="K3477"/>
  <c r="C3477" s="1"/>
  <c r="K1471"/>
  <c r="C1471" s="1"/>
  <c r="K1851"/>
  <c r="C1851" s="1"/>
  <c r="K469"/>
  <c r="C469" s="1"/>
  <c r="K2131"/>
  <c r="C2131" s="1"/>
  <c r="K951"/>
  <c r="C951" s="1"/>
  <c r="K2712"/>
  <c r="C2712" s="1"/>
  <c r="K3447"/>
  <c r="C3447" s="1"/>
  <c r="K1394"/>
  <c r="C1394" s="1"/>
  <c r="K3062"/>
  <c r="C3062" s="1"/>
  <c r="K956"/>
  <c r="C956" s="1"/>
  <c r="K3441"/>
  <c r="C3441" s="1"/>
  <c r="K297"/>
  <c r="C297" s="1"/>
  <c r="K2148"/>
  <c r="C2148" s="1"/>
  <c r="K3764"/>
  <c r="C3764" s="1"/>
  <c r="K3897"/>
  <c r="C3897" s="1"/>
  <c r="K3529"/>
  <c r="C3529" s="1"/>
  <c r="K2310"/>
  <c r="C2310" s="1"/>
  <c r="K3175"/>
  <c r="C3175" s="1"/>
  <c r="K3689"/>
  <c r="C3689" s="1"/>
  <c r="K456"/>
  <c r="C456" s="1"/>
  <c r="K357"/>
  <c r="C357" s="1"/>
  <c r="K1728"/>
  <c r="C1728" s="1"/>
  <c r="K1212"/>
  <c r="C1212" s="1"/>
  <c r="K1036"/>
  <c r="C1036" s="1"/>
  <c r="K647"/>
  <c r="C647" s="1"/>
  <c r="K3343"/>
  <c r="C3343" s="1"/>
  <c r="K2387"/>
  <c r="C2387" s="1"/>
  <c r="K3370"/>
  <c r="C3370" s="1"/>
  <c r="K2465"/>
  <c r="C2465" s="1"/>
  <c r="K851"/>
  <c r="C851" s="1"/>
  <c r="K1622"/>
  <c r="C1622" s="1"/>
  <c r="K3701"/>
  <c r="C3701" s="1"/>
  <c r="K197"/>
  <c r="C197" s="1"/>
  <c r="K3650"/>
  <c r="C3650" s="1"/>
  <c r="K3378"/>
  <c r="C3378" s="1"/>
  <c r="K2598"/>
  <c r="C2598" s="1"/>
  <c r="K3438"/>
  <c r="C3438" s="1"/>
  <c r="K4001"/>
  <c r="C4001" s="1"/>
  <c r="K3055"/>
  <c r="C3055" s="1"/>
  <c r="K3016"/>
  <c r="C3016" s="1"/>
  <c r="K1077"/>
  <c r="C1077" s="1"/>
  <c r="K1764"/>
  <c r="C1764" s="1"/>
  <c r="K498"/>
  <c r="C498" s="1"/>
  <c r="K1958"/>
  <c r="C1958" s="1"/>
  <c r="K1557"/>
  <c r="C1557" s="1"/>
  <c r="K3038"/>
  <c r="C3038" s="1"/>
  <c r="K917"/>
  <c r="C917" s="1"/>
  <c r="K4208"/>
  <c r="C4208" s="1"/>
  <c r="K779"/>
  <c r="C779" s="1"/>
  <c r="K3255"/>
  <c r="C3255" s="1"/>
  <c r="K4217"/>
  <c r="C4217" s="1"/>
  <c r="K2648"/>
  <c r="C2648" s="1"/>
  <c r="K1472"/>
  <c r="C1472" s="1"/>
  <c r="K4036"/>
  <c r="C4036" s="1"/>
  <c r="K4157"/>
  <c r="C4157" s="1"/>
  <c r="K4055"/>
  <c r="C4055" s="1"/>
  <c r="K2447"/>
  <c r="C2447" s="1"/>
  <c r="K1539"/>
  <c r="C1539" s="1"/>
  <c r="K2516"/>
  <c r="C2516" s="1"/>
  <c r="K392"/>
  <c r="C392" s="1"/>
  <c r="K1039"/>
  <c r="C1039" s="1"/>
  <c r="K4033"/>
  <c r="C4033" s="1"/>
  <c r="K1740"/>
  <c r="C1740" s="1"/>
  <c r="K2106"/>
  <c r="C2106" s="1"/>
  <c r="K1266"/>
  <c r="C1266" s="1"/>
  <c r="K3668"/>
  <c r="C3668" s="1"/>
  <c r="K2950"/>
  <c r="C2950" s="1"/>
  <c r="K3672"/>
  <c r="C3672" s="1"/>
  <c r="K2746"/>
  <c r="C2746" s="1"/>
  <c r="K3740"/>
  <c r="C3740" s="1"/>
  <c r="K1959"/>
  <c r="C1959" s="1"/>
  <c r="K4005"/>
  <c r="C4005" s="1"/>
  <c r="K2050"/>
  <c r="C2050" s="1"/>
  <c r="K3753"/>
  <c r="C3753" s="1"/>
  <c r="K3474"/>
  <c r="C3474" s="1"/>
  <c r="K1552"/>
  <c r="C1552" s="1"/>
  <c r="K1528"/>
  <c r="C1528" s="1"/>
  <c r="K1188"/>
  <c r="C1188" s="1"/>
  <c r="K1066"/>
  <c r="C1066" s="1"/>
  <c r="K3575"/>
  <c r="C3575" s="1"/>
  <c r="K1853"/>
  <c r="C1853" s="1"/>
  <c r="K3534"/>
  <c r="C3534" s="1"/>
  <c r="K1781"/>
  <c r="C1781" s="1"/>
  <c r="K2105"/>
  <c r="C2105" s="1"/>
  <c r="K2752"/>
  <c r="C2752" s="1"/>
  <c r="K888"/>
  <c r="C888" s="1"/>
  <c r="K1760"/>
  <c r="C1760" s="1"/>
  <c r="K634"/>
  <c r="C634" s="1"/>
  <c r="K2133"/>
  <c r="C2133" s="1"/>
  <c r="K769"/>
  <c r="C769" s="1"/>
  <c r="K2348"/>
  <c r="C2348" s="1"/>
  <c r="K1099"/>
  <c r="C1099" s="1"/>
  <c r="K1793"/>
  <c r="C1793" s="1"/>
  <c r="K2170"/>
  <c r="C2170" s="1"/>
  <c r="K1881"/>
  <c r="C1881" s="1"/>
  <c r="K1448"/>
  <c r="C1448" s="1"/>
  <c r="K3932"/>
  <c r="C3932" s="1"/>
  <c r="K3912"/>
  <c r="C3912" s="1"/>
  <c r="K3778"/>
  <c r="C3778" s="1"/>
  <c r="K3723"/>
  <c r="C3723" s="1"/>
  <c r="K747"/>
  <c r="C747" s="1"/>
  <c r="K986"/>
  <c r="C986" s="1"/>
  <c r="K2094"/>
  <c r="C2094" s="1"/>
  <c r="K2796"/>
  <c r="C2796" s="1"/>
  <c r="K3551"/>
  <c r="C3551" s="1"/>
  <c r="K3916"/>
  <c r="C3916" s="1"/>
  <c r="K3217"/>
  <c r="C3217" s="1"/>
  <c r="K1803"/>
  <c r="C1803" s="1"/>
  <c r="K3984"/>
  <c r="C3984" s="1"/>
  <c r="K839"/>
  <c r="C839" s="1"/>
  <c r="K4191"/>
  <c r="C4191" s="1"/>
  <c r="K2199"/>
  <c r="C2199" s="1"/>
  <c r="K3593"/>
  <c r="C3593" s="1"/>
  <c r="K2435"/>
  <c r="C2435" s="1"/>
  <c r="K915"/>
  <c r="C915" s="1"/>
  <c r="K3385"/>
  <c r="C3385" s="1"/>
  <c r="K1287"/>
  <c r="C1287" s="1"/>
  <c r="K1240"/>
  <c r="C1240" s="1"/>
  <c r="K742"/>
  <c r="C742" s="1"/>
  <c r="K982"/>
  <c r="C982" s="1"/>
  <c r="K3252"/>
  <c r="C3252" s="1"/>
  <c r="K1530"/>
  <c r="C1530" s="1"/>
  <c r="K2650"/>
  <c r="C2650" s="1"/>
  <c r="K3306"/>
  <c r="C3306" s="1"/>
  <c r="K659"/>
  <c r="C659" s="1"/>
  <c r="K3555"/>
  <c r="C3555" s="1"/>
  <c r="K3433"/>
  <c r="C3433" s="1"/>
  <c r="K3967"/>
  <c r="C3967" s="1"/>
  <c r="K3182"/>
  <c r="C3182" s="1"/>
  <c r="K842"/>
  <c r="C842" s="1"/>
  <c r="K1599"/>
  <c r="C1599" s="1"/>
  <c r="K2513"/>
  <c r="C2513" s="1"/>
  <c r="K3585"/>
  <c r="C3585" s="1"/>
  <c r="K1653"/>
  <c r="C1653" s="1"/>
  <c r="K562"/>
  <c r="C562" s="1"/>
  <c r="K1634"/>
  <c r="C1634" s="1"/>
  <c r="K355"/>
  <c r="C355" s="1"/>
  <c r="K693"/>
  <c r="C693" s="1"/>
  <c r="K1131"/>
  <c r="C1131" s="1"/>
  <c r="K722"/>
  <c r="C722" s="1"/>
  <c r="K1350"/>
  <c r="C1350" s="1"/>
  <c r="K2416"/>
  <c r="C2416" s="1"/>
  <c r="K3958"/>
  <c r="C3958" s="1"/>
  <c r="K3309"/>
  <c r="C3309" s="1"/>
  <c r="K1621"/>
  <c r="C1621" s="1"/>
  <c r="K1797"/>
  <c r="C1797" s="1"/>
  <c r="K253"/>
  <c r="C253" s="1"/>
  <c r="K601"/>
  <c r="C601" s="1"/>
  <c r="K1505"/>
  <c r="C1505" s="1"/>
  <c r="K4051"/>
  <c r="C4051" s="1"/>
  <c r="K2298"/>
  <c r="C2298" s="1"/>
  <c r="K1875"/>
  <c r="C1875" s="1"/>
  <c r="K3684"/>
  <c r="C3684" s="1"/>
  <c r="K1538"/>
  <c r="C1538" s="1"/>
  <c r="K2329"/>
  <c r="C2329" s="1"/>
  <c r="K812"/>
  <c r="C812" s="1"/>
  <c r="K382"/>
  <c r="C382" s="1"/>
  <c r="K2792"/>
  <c r="C2792" s="1"/>
  <c r="K1415"/>
  <c r="C1415" s="1"/>
  <c r="K563"/>
  <c r="C563" s="1"/>
  <c r="K3301"/>
  <c r="C3301" s="1"/>
  <c r="K2200"/>
  <c r="C2200" s="1"/>
  <c r="K1249"/>
  <c r="C1249" s="1"/>
  <c r="K1514"/>
  <c r="C1514" s="1"/>
  <c r="K1854"/>
  <c r="C1854" s="1"/>
  <c r="K1644"/>
  <c r="C1644" s="1"/>
  <c r="K1855"/>
  <c r="C1855" s="1"/>
  <c r="K1652"/>
  <c r="C1652" s="1"/>
  <c r="K3561"/>
  <c r="C3561" s="1"/>
  <c r="K1876"/>
  <c r="C1876" s="1"/>
  <c r="K1564"/>
  <c r="C1564" s="1"/>
  <c r="K3423"/>
  <c r="C3423" s="1"/>
  <c r="K3282"/>
  <c r="C3282" s="1"/>
  <c r="K3420"/>
  <c r="C3420" s="1"/>
  <c r="K365"/>
  <c r="C365" s="1"/>
  <c r="K673"/>
  <c r="C673" s="1"/>
  <c r="K3445"/>
  <c r="C3445" s="1"/>
  <c r="K2275"/>
  <c r="C2275" s="1"/>
  <c r="K2129"/>
  <c r="C2129" s="1"/>
  <c r="K3989"/>
  <c r="C3989" s="1"/>
  <c r="K3015"/>
  <c r="C3015" s="1"/>
  <c r="K1922"/>
  <c r="C1922" s="1"/>
  <c r="K831"/>
  <c r="C831" s="1"/>
  <c r="K1654"/>
  <c r="C1654" s="1"/>
  <c r="K818"/>
  <c r="C818" s="1"/>
  <c r="K2556"/>
  <c r="C2556" s="1"/>
  <c r="K4212"/>
  <c r="C4212" s="1"/>
  <c r="K3467"/>
  <c r="C3467" s="1"/>
  <c r="K1799"/>
  <c r="C1799" s="1"/>
  <c r="K3630"/>
  <c r="C3630" s="1"/>
  <c r="K2215"/>
  <c r="C2215" s="1"/>
  <c r="K1701"/>
  <c r="C1701" s="1"/>
  <c r="K316"/>
  <c r="C316" s="1"/>
  <c r="K1529"/>
  <c r="C1529" s="1"/>
  <c r="K1766"/>
  <c r="C1766" s="1"/>
  <c r="K1407"/>
  <c r="C1407" s="1"/>
  <c r="K894"/>
  <c r="C894" s="1"/>
  <c r="K3491"/>
  <c r="C3491" s="1"/>
  <c r="K1362"/>
  <c r="C1362" s="1"/>
  <c r="K3322"/>
  <c r="C3322" s="1"/>
  <c r="K760"/>
  <c r="C760" s="1"/>
  <c r="K1391"/>
  <c r="C1391" s="1"/>
  <c r="K2436"/>
  <c r="C2436" s="1"/>
  <c r="K911"/>
  <c r="C911" s="1"/>
  <c r="K1884"/>
  <c r="C1884" s="1"/>
  <c r="K906"/>
  <c r="C906" s="1"/>
  <c r="K2819"/>
  <c r="C2819" s="1"/>
  <c r="K505"/>
  <c r="C505" s="1"/>
  <c r="K754"/>
  <c r="C754" s="1"/>
  <c r="K1430"/>
  <c r="C1430" s="1"/>
  <c r="K1349"/>
  <c r="C1349" s="1"/>
  <c r="K1375"/>
  <c r="C1375" s="1"/>
  <c r="K1281"/>
  <c r="C1281" s="1"/>
  <c r="K2756"/>
  <c r="C2756" s="1"/>
  <c r="K947"/>
  <c r="C947" s="1"/>
  <c r="K3858"/>
  <c r="C3858" s="1"/>
  <c r="K1135"/>
  <c r="C1135" s="1"/>
  <c r="K1384"/>
  <c r="C1384" s="1"/>
  <c r="K921"/>
  <c r="C921" s="1"/>
  <c r="K4084"/>
  <c r="C4084" s="1"/>
  <c r="K3665"/>
  <c r="C3665" s="1"/>
  <c r="K455"/>
  <c r="C455" s="1"/>
  <c r="K2959"/>
  <c r="C2959" s="1"/>
  <c r="K1662"/>
  <c r="C1662" s="1"/>
  <c r="K2363"/>
  <c r="C2363" s="1"/>
  <c r="K1073"/>
  <c r="C1073" s="1"/>
  <c r="K929"/>
  <c r="C929" s="1"/>
  <c r="K2097"/>
  <c r="C2097" s="1"/>
  <c r="K1324"/>
  <c r="C1324" s="1"/>
  <c r="K697"/>
  <c r="C697" s="1"/>
  <c r="K1317"/>
  <c r="C1317" s="1"/>
  <c r="K218"/>
  <c r="C218" s="1"/>
  <c r="K1016"/>
  <c r="C1016" s="1"/>
  <c r="K3939"/>
  <c r="C3939" s="1"/>
  <c r="K3199"/>
  <c r="C3199" s="1"/>
  <c r="K3442"/>
  <c r="C3442" s="1"/>
  <c r="K2546"/>
  <c r="C2546" s="1"/>
  <c r="K808"/>
  <c r="C808" s="1"/>
  <c r="K409"/>
  <c r="C409" s="1"/>
  <c r="K503"/>
  <c r="C503" s="1"/>
  <c r="K1690"/>
  <c r="C1690" s="1"/>
  <c r="K249"/>
  <c r="C249" s="1"/>
  <c r="K220"/>
  <c r="C220" s="1"/>
  <c r="K2781"/>
  <c r="C2781" s="1"/>
  <c r="K1509"/>
  <c r="C1509" s="1"/>
  <c r="K1080"/>
  <c r="C1080" s="1"/>
  <c r="K1320"/>
  <c r="C1320" s="1"/>
  <c r="K2888"/>
  <c r="C2888" s="1"/>
  <c r="K2747"/>
  <c r="C2747" s="1"/>
  <c r="K1649"/>
  <c r="C1649" s="1"/>
  <c r="K2662"/>
  <c r="C2662" s="1"/>
  <c r="K908"/>
  <c r="C908" s="1"/>
  <c r="K207"/>
  <c r="C207" s="1"/>
  <c r="K3065"/>
  <c r="C3065" s="1"/>
  <c r="K1508"/>
  <c r="C1508" s="1"/>
  <c r="K1056"/>
  <c r="C1056" s="1"/>
  <c r="K725"/>
  <c r="C725" s="1"/>
  <c r="K1127"/>
  <c r="C1127" s="1"/>
  <c r="K942"/>
  <c r="C942" s="1"/>
  <c r="K679"/>
  <c r="C679" s="1"/>
  <c r="K2078"/>
  <c r="C2078" s="1"/>
  <c r="K3714"/>
  <c r="C3714" s="1"/>
  <c r="K189"/>
  <c r="C189" s="1"/>
  <c r="K1458"/>
  <c r="C1458" s="1"/>
  <c r="K2574"/>
  <c r="C2574" s="1"/>
  <c r="K399"/>
  <c r="C399" s="1"/>
  <c r="K3773"/>
  <c r="C3773" s="1"/>
  <c r="K2933"/>
  <c r="C2933" s="1"/>
  <c r="K2839"/>
  <c r="C2839" s="1"/>
  <c r="K1826"/>
  <c r="C1826" s="1"/>
  <c r="K2013"/>
  <c r="C2013" s="1"/>
  <c r="K1446"/>
  <c r="C1446" s="1"/>
  <c r="K960"/>
  <c r="C960" s="1"/>
  <c r="K2673"/>
  <c r="C2673" s="1"/>
  <c r="K3722"/>
  <c r="C3722" s="1"/>
  <c r="K274"/>
  <c r="C274" s="1"/>
  <c r="K2529"/>
  <c r="C2529" s="1"/>
  <c r="K2159"/>
  <c r="C2159" s="1"/>
  <c r="K2470"/>
  <c r="C2470" s="1"/>
  <c r="K2030"/>
  <c r="C2030" s="1"/>
  <c r="K3951"/>
  <c r="C3951" s="1"/>
  <c r="K2360"/>
  <c r="C2360" s="1"/>
  <c r="K1828"/>
  <c r="C1828" s="1"/>
  <c r="K540"/>
  <c r="C540" s="1"/>
  <c r="K2234"/>
  <c r="C2234" s="1"/>
  <c r="K1714"/>
  <c r="C1714" s="1"/>
  <c r="K1428"/>
  <c r="C1428" s="1"/>
  <c r="K1104"/>
  <c r="C1104" s="1"/>
  <c r="K1613"/>
  <c r="C1613" s="1"/>
  <c r="K2352"/>
  <c r="C2352" s="1"/>
  <c r="K2834"/>
  <c r="C2834" s="1"/>
  <c r="K3642"/>
  <c r="C3642" s="1"/>
  <c r="K796"/>
  <c r="C796" s="1"/>
  <c r="K961"/>
  <c r="C961" s="1"/>
  <c r="K965"/>
  <c r="C965" s="1"/>
  <c r="K814"/>
  <c r="C814" s="1"/>
  <c r="K3380"/>
  <c r="C3380" s="1"/>
  <c r="K2427"/>
  <c r="C2427" s="1"/>
  <c r="K1162"/>
  <c r="C1162" s="1"/>
  <c r="K1502"/>
  <c r="C1502" s="1"/>
  <c r="K3690"/>
  <c r="C3690" s="1"/>
  <c r="K3572"/>
  <c r="C3572" s="1"/>
  <c r="K823"/>
  <c r="C823" s="1"/>
  <c r="K1032"/>
  <c r="C1032" s="1"/>
  <c r="K3298"/>
  <c r="C3298" s="1"/>
  <c r="K2457"/>
  <c r="C2457" s="1"/>
  <c r="K2357"/>
  <c r="C2357" s="1"/>
  <c r="K3194"/>
  <c r="C3194" s="1"/>
  <c r="K3149"/>
  <c r="C3149" s="1"/>
  <c r="K3821"/>
  <c r="C3821" s="1"/>
  <c r="K853"/>
  <c r="C853" s="1"/>
  <c r="K2709"/>
  <c r="C2709" s="1"/>
  <c r="K2066"/>
  <c r="C2066" s="1"/>
  <c r="K3131"/>
  <c r="C3131" s="1"/>
  <c r="K2482"/>
  <c r="C2482" s="1"/>
  <c r="K2040"/>
  <c r="C2040" s="1"/>
  <c r="K3969"/>
  <c r="C3969" s="1"/>
  <c r="K3276"/>
  <c r="C3276" s="1"/>
  <c r="K2117"/>
  <c r="C2117" s="1"/>
  <c r="K1044"/>
  <c r="C1044" s="1"/>
  <c r="K4223"/>
  <c r="C4223" s="1"/>
  <c r="K2000"/>
  <c r="C2000" s="1"/>
  <c r="K2847"/>
  <c r="C2847" s="1"/>
  <c r="K1243"/>
  <c r="C1243" s="1"/>
  <c r="K2504"/>
  <c r="C2504" s="1"/>
  <c r="K1106"/>
  <c r="C1106" s="1"/>
  <c r="K3191"/>
  <c r="C3191" s="1"/>
  <c r="K1963"/>
  <c r="C1963" s="1"/>
  <c r="K2762"/>
  <c r="C2762" s="1"/>
  <c r="K1970"/>
  <c r="C1970" s="1"/>
  <c r="K4143"/>
  <c r="C4143" s="1"/>
  <c r="K2315"/>
  <c r="C2315" s="1"/>
  <c r="K3020"/>
  <c r="C3020" s="1"/>
  <c r="K358"/>
  <c r="C358" s="1"/>
  <c r="K843"/>
  <c r="C843" s="1"/>
  <c r="K3097"/>
  <c r="C3097" s="1"/>
  <c r="K1696"/>
  <c r="C1696" s="1"/>
  <c r="K267"/>
  <c r="C267" s="1"/>
  <c r="K752"/>
  <c r="C752" s="1"/>
  <c r="K1420"/>
  <c r="C1420" s="1"/>
  <c r="K1117"/>
  <c r="C1117" s="1"/>
  <c r="K2351"/>
  <c r="C2351" s="1"/>
  <c r="K2998"/>
  <c r="C2998" s="1"/>
  <c r="K281"/>
  <c r="C281" s="1"/>
  <c r="K2021"/>
  <c r="C2021" s="1"/>
  <c r="K239"/>
  <c r="C239" s="1"/>
  <c r="K4154"/>
  <c r="C4154" s="1"/>
  <c r="K2223"/>
  <c r="C2223" s="1"/>
  <c r="K959"/>
  <c r="C959" s="1"/>
  <c r="K4077"/>
  <c r="C4077" s="1"/>
  <c r="K3849"/>
  <c r="C3849" s="1"/>
  <c r="K3547"/>
  <c r="C3547" s="1"/>
  <c r="K2219"/>
  <c r="C2219" s="1"/>
  <c r="K2023"/>
  <c r="C2023" s="1"/>
  <c r="K897"/>
  <c r="C897" s="1"/>
  <c r="K3031"/>
  <c r="C3031" s="1"/>
  <c r="K923"/>
  <c r="C923" s="1"/>
  <c r="K595"/>
  <c r="C595" s="1"/>
  <c r="K1762"/>
  <c r="C1762" s="1"/>
  <c r="K3864"/>
  <c r="C3864" s="1"/>
  <c r="K989"/>
  <c r="C989" s="1"/>
  <c r="K379"/>
  <c r="C379" s="1"/>
  <c r="K323"/>
  <c r="C323" s="1"/>
  <c r="K443"/>
  <c r="C443" s="1"/>
  <c r="K1351"/>
  <c r="C1351" s="1"/>
  <c r="K3787"/>
  <c r="C3787" s="1"/>
  <c r="K686"/>
  <c r="C686" s="1"/>
  <c r="K1306"/>
  <c r="C1306" s="1"/>
  <c r="K1196"/>
  <c r="C1196" s="1"/>
  <c r="K1353"/>
  <c r="C1353" s="1"/>
  <c r="K3721"/>
  <c r="C3721" s="1"/>
  <c r="K534"/>
  <c r="C534" s="1"/>
  <c r="K2173"/>
  <c r="C2173" s="1"/>
  <c r="K4220"/>
  <c r="C4220" s="1"/>
  <c r="K3325"/>
  <c r="C3325" s="1"/>
  <c r="K2577"/>
  <c r="C2577" s="1"/>
  <c r="K2793"/>
  <c r="C2793" s="1"/>
  <c r="K1692"/>
  <c r="C1692" s="1"/>
  <c r="K4069"/>
  <c r="C4069" s="1"/>
  <c r="K2016"/>
  <c r="C2016" s="1"/>
  <c r="K830"/>
  <c r="C830" s="1"/>
  <c r="K3127"/>
  <c r="C3127" s="1"/>
  <c r="K1120"/>
  <c r="C1120" s="1"/>
  <c r="K998"/>
  <c r="C998" s="1"/>
  <c r="K1060"/>
  <c r="C1060" s="1"/>
  <c r="K2716"/>
  <c r="C2716" s="1"/>
  <c r="K1869"/>
  <c r="C1869" s="1"/>
  <c r="K1359"/>
  <c r="C1359" s="1"/>
  <c r="K210"/>
  <c r="C210" s="1"/>
  <c r="K646"/>
  <c r="C646" s="1"/>
  <c r="K2943"/>
  <c r="C2943" s="1"/>
  <c r="K740"/>
  <c r="C740" s="1"/>
  <c r="K4042"/>
  <c r="C4042" s="1"/>
  <c r="K3143"/>
  <c r="C3143" s="1"/>
  <c r="K916"/>
  <c r="C916" s="1"/>
  <c r="K1903"/>
  <c r="C1903" s="1"/>
  <c r="K4196"/>
  <c r="C4196" s="1"/>
  <c r="K1255"/>
  <c r="C1255" s="1"/>
  <c r="K1297"/>
  <c r="C1297" s="1"/>
  <c r="K1409"/>
  <c r="C1409" s="1"/>
  <c r="K229"/>
  <c r="C229" s="1"/>
  <c r="K2774"/>
  <c r="C2774" s="1"/>
  <c r="K2557"/>
  <c r="C2557" s="1"/>
  <c r="K4028"/>
  <c r="C4028" s="1"/>
  <c r="K448"/>
  <c r="C448" s="1"/>
  <c r="K1804"/>
  <c r="C1804" s="1"/>
  <c r="K444"/>
  <c r="C444" s="1"/>
  <c r="K4195"/>
  <c r="C4195" s="1"/>
  <c r="K1311"/>
  <c r="C1311" s="1"/>
  <c r="K1776"/>
  <c r="C1776" s="1"/>
  <c r="K1205"/>
  <c r="C1205" s="1"/>
  <c r="K2372"/>
  <c r="C2372" s="1"/>
  <c r="K1141"/>
  <c r="C1141" s="1"/>
  <c r="K2192"/>
  <c r="C2192" s="1"/>
  <c r="K1707"/>
  <c r="C1707" s="1"/>
  <c r="K845"/>
  <c r="C845" s="1"/>
  <c r="K3164"/>
  <c r="C3164" s="1"/>
  <c r="K1487"/>
  <c r="C1487" s="1"/>
  <c r="K1558"/>
  <c r="C1558" s="1"/>
  <c r="K1605"/>
  <c r="C1605" s="1"/>
  <c r="K2076"/>
  <c r="C2076" s="1"/>
  <c r="K3586"/>
  <c r="C3586" s="1"/>
  <c r="K431"/>
  <c r="C431" s="1"/>
  <c r="K3392"/>
  <c r="C3392" s="1"/>
  <c r="K1499"/>
  <c r="C1499" s="1"/>
  <c r="K2198"/>
  <c r="C2198" s="1"/>
  <c r="K3894"/>
  <c r="C3894" s="1"/>
  <c r="K3583"/>
  <c r="C3583" s="1"/>
  <c r="K2139"/>
  <c r="C2139" s="1"/>
  <c r="K4026"/>
  <c r="C4026" s="1"/>
  <c r="K1788"/>
  <c r="C1788" s="1"/>
  <c r="K3005"/>
  <c r="C3005" s="1"/>
  <c r="K301"/>
  <c r="C301" s="1"/>
  <c r="K209"/>
  <c r="C209" s="1"/>
  <c r="K1981"/>
  <c r="C1981" s="1"/>
  <c r="K1721"/>
  <c r="C1721" s="1"/>
  <c r="K2629"/>
  <c r="C2629" s="1"/>
  <c r="K2055"/>
  <c r="C2055" s="1"/>
  <c r="K3732"/>
  <c r="C3732" s="1"/>
  <c r="K1259"/>
  <c r="C1259" s="1"/>
  <c r="K3552"/>
  <c r="C3552" s="1"/>
  <c r="K598"/>
  <c r="C598" s="1"/>
  <c r="K1596"/>
  <c r="C1596" s="1"/>
  <c r="K2293"/>
  <c r="C2293" s="1"/>
  <c r="K602"/>
  <c r="C602" s="1"/>
  <c r="K2063"/>
  <c r="C2063" s="1"/>
  <c r="K1911"/>
  <c r="C1911" s="1"/>
  <c r="K2766"/>
  <c r="C2766" s="1"/>
  <c r="K2413"/>
  <c r="C2413" s="1"/>
  <c r="K3364"/>
  <c r="C3364" s="1"/>
  <c r="K4187"/>
  <c r="C4187" s="1"/>
  <c r="K1068"/>
  <c r="C1068" s="1"/>
  <c r="K1261"/>
  <c r="C1261" s="1"/>
  <c r="K2122"/>
  <c r="C2122" s="1"/>
  <c r="K798"/>
  <c r="C798" s="1"/>
  <c r="K1677"/>
  <c r="C1677" s="1"/>
  <c r="K4131"/>
  <c r="C4131" s="1"/>
  <c r="K594"/>
  <c r="C594" s="1"/>
  <c r="K224"/>
  <c r="C224" s="1"/>
  <c r="K257"/>
  <c r="C257" s="1"/>
  <c r="K1570"/>
  <c r="C1570" s="1"/>
  <c r="K1477"/>
  <c r="C1477" s="1"/>
  <c r="K1347"/>
  <c r="C1347" s="1"/>
  <c r="K1345"/>
  <c r="C1345" s="1"/>
  <c r="K1326"/>
  <c r="C1326" s="1"/>
  <c r="K2816"/>
  <c r="C2816" s="1"/>
  <c r="K1115"/>
  <c r="C1115" s="1"/>
  <c r="K794"/>
  <c r="C794" s="1"/>
  <c r="K3851"/>
  <c r="C3851" s="1"/>
  <c r="K4025"/>
  <c r="C4025" s="1"/>
  <c r="K2472"/>
  <c r="C2472" s="1"/>
  <c r="K2031"/>
  <c r="C2031" s="1"/>
  <c r="K1213"/>
  <c r="C1213" s="1"/>
  <c r="K2434"/>
  <c r="C2434" s="1"/>
  <c r="K4204"/>
  <c r="C4204" s="1"/>
  <c r="K3574"/>
  <c r="C3574" s="1"/>
  <c r="K3220"/>
  <c r="C3220" s="1"/>
  <c r="K4172"/>
  <c r="C4172" s="1"/>
  <c r="K2086"/>
  <c r="C2086" s="1"/>
  <c r="K1811"/>
  <c r="C1811" s="1"/>
  <c r="K702"/>
  <c r="C702" s="1"/>
  <c r="K1464"/>
  <c r="C1464" s="1"/>
  <c r="K1175"/>
  <c r="C1175" s="1"/>
  <c r="K3071"/>
  <c r="C3071" s="1"/>
  <c r="K400"/>
  <c r="C400" s="1"/>
  <c r="K2071"/>
  <c r="C2071" s="1"/>
  <c r="K718"/>
  <c r="C718" s="1"/>
  <c r="K2593"/>
  <c r="C2593" s="1"/>
  <c r="K1802"/>
  <c r="C1802" s="1"/>
  <c r="K879"/>
  <c r="C879" s="1"/>
  <c r="K2508"/>
  <c r="C2508" s="1"/>
  <c r="K2519"/>
  <c r="C2519" s="1"/>
  <c r="K694"/>
  <c r="C694" s="1"/>
  <c r="K775"/>
  <c r="C775" s="1"/>
  <c r="K1268"/>
  <c r="C1268" s="1"/>
  <c r="K950"/>
  <c r="C950" s="1"/>
  <c r="K3280"/>
  <c r="C3280" s="1"/>
  <c r="K2109"/>
  <c r="C2109" s="1"/>
  <c r="K231"/>
  <c r="C231" s="1"/>
  <c r="K1484"/>
  <c r="C1484" s="1"/>
  <c r="K2476"/>
  <c r="C2476" s="1"/>
  <c r="K690"/>
  <c r="C690" s="1"/>
  <c r="K2397"/>
  <c r="C2397" s="1"/>
  <c r="K4221"/>
  <c r="C4221" s="1"/>
  <c r="K3499"/>
  <c r="C3499" s="1"/>
  <c r="K1498"/>
  <c r="C1498" s="1"/>
  <c r="K467"/>
  <c r="C467" s="1"/>
  <c r="K3356"/>
  <c r="C3356" s="1"/>
  <c r="K471"/>
  <c r="C471" s="1"/>
  <c r="K2331"/>
  <c r="C2331" s="1"/>
  <c r="K3495"/>
  <c r="C3495" s="1"/>
  <c r="K913"/>
  <c r="C913" s="1"/>
  <c r="K433"/>
  <c r="C433" s="1"/>
  <c r="K1327"/>
  <c r="C1327" s="1"/>
  <c r="K1548"/>
  <c r="C1548" s="1"/>
  <c r="K4023"/>
  <c r="C4023" s="1"/>
  <c r="K2703"/>
  <c r="C2703" s="1"/>
  <c r="K2062"/>
  <c r="C2062" s="1"/>
  <c r="K1847"/>
  <c r="C1847" s="1"/>
  <c r="K1569"/>
  <c r="C1569" s="1"/>
  <c r="K2450"/>
  <c r="C2450" s="1"/>
  <c r="K2779"/>
  <c r="C2779" s="1"/>
  <c r="K567"/>
  <c r="C567" s="1"/>
  <c r="K1229"/>
  <c r="C1229" s="1"/>
  <c r="K1042"/>
  <c r="C1042" s="1"/>
  <c r="K810"/>
  <c r="C810" s="1"/>
  <c r="K201"/>
  <c r="C201" s="1"/>
  <c r="K2832"/>
  <c r="C2832" s="1"/>
  <c r="K3620"/>
  <c r="C3620" s="1"/>
  <c r="K1511"/>
  <c r="C1511" s="1"/>
  <c r="K3308"/>
  <c r="C3308" s="1"/>
  <c r="K4109"/>
  <c r="C4109" s="1"/>
  <c r="K2163"/>
  <c r="C2163" s="1"/>
  <c r="K3007"/>
  <c r="C3007" s="1"/>
  <c r="K344"/>
  <c r="C344" s="1"/>
  <c r="K710"/>
  <c r="C710" s="1"/>
  <c r="K3321"/>
  <c r="C3321" s="1"/>
  <c r="K3554"/>
  <c r="C3554" s="1"/>
  <c r="K2178"/>
  <c r="C2178" s="1"/>
  <c r="K2984"/>
  <c r="C2984" s="1"/>
  <c r="K1533"/>
  <c r="C1533" s="1"/>
  <c r="K2150"/>
  <c r="C2150" s="1"/>
  <c r="K744"/>
  <c r="C744" s="1"/>
  <c r="K1180"/>
  <c r="C1180" s="1"/>
  <c r="K3314"/>
  <c r="C3314" s="1"/>
  <c r="K2290"/>
  <c r="C2290" s="1"/>
  <c r="K847"/>
  <c r="C847" s="1"/>
  <c r="K194"/>
  <c r="C194" s="1"/>
  <c r="K1207"/>
  <c r="C1207" s="1"/>
  <c r="K1169"/>
  <c r="C1169" s="1"/>
  <c r="K1411"/>
  <c r="C1411" s="1"/>
  <c r="K4178"/>
  <c r="C4178" s="1"/>
  <c r="K3335"/>
  <c r="C3335" s="1"/>
  <c r="K3527"/>
  <c r="C3527" s="1"/>
  <c r="K1581"/>
  <c r="C1581" s="1"/>
  <c r="K2282"/>
  <c r="C2282" s="1"/>
  <c r="K3215"/>
  <c r="C3215" s="1"/>
  <c r="K1757"/>
  <c r="C1757" s="1"/>
  <c r="K2142"/>
  <c r="C2142" s="1"/>
  <c r="K2048"/>
  <c r="C2048" s="1"/>
  <c r="K2444"/>
  <c r="C2444" s="1"/>
  <c r="K1410"/>
  <c r="C1410" s="1"/>
  <c r="K2498"/>
  <c r="C2498" s="1"/>
  <c r="K3576"/>
  <c r="C3576" s="1"/>
  <c r="K1572"/>
  <c r="C1572" s="1"/>
  <c r="K776"/>
  <c r="C776" s="1"/>
  <c r="K3655"/>
  <c r="C3655" s="1"/>
  <c r="K949"/>
  <c r="C949" s="1"/>
  <c r="K2664"/>
  <c r="C2664" s="1"/>
  <c r="K2583"/>
  <c r="C2583" s="1"/>
  <c r="K670"/>
  <c r="C670" s="1"/>
  <c r="K1725"/>
  <c r="C1725" s="1"/>
  <c r="K1178"/>
  <c r="C1178" s="1"/>
  <c r="K1815"/>
  <c r="C1815" s="1"/>
  <c r="K2511"/>
  <c r="C2511" s="1"/>
  <c r="K2183"/>
  <c r="C2183" s="1"/>
  <c r="K1794"/>
  <c r="C1794" s="1"/>
  <c r="K3970"/>
  <c r="C3970" s="1"/>
  <c r="K784"/>
  <c r="C784" s="1"/>
  <c r="K874"/>
  <c r="C874" s="1"/>
  <c r="K1660"/>
  <c r="C1660" s="1"/>
  <c r="K556"/>
  <c r="C556" s="1"/>
  <c r="K729"/>
  <c r="C729" s="1"/>
  <c r="K3832"/>
  <c r="C3832" s="1"/>
  <c r="K243"/>
  <c r="C243" s="1"/>
  <c r="K2526"/>
  <c r="C2526" s="1"/>
  <c r="K1729"/>
  <c r="C1729" s="1"/>
  <c r="K720"/>
  <c r="C720" s="1"/>
  <c r="K2537"/>
  <c r="C2537" s="1"/>
  <c r="K772"/>
  <c r="C772" s="1"/>
  <c r="K246"/>
  <c r="C246" s="1"/>
  <c r="K1108"/>
  <c r="C1108" s="1"/>
  <c r="K2783"/>
  <c r="C2783" s="1"/>
  <c r="K1064"/>
  <c r="C1064" s="1"/>
  <c r="K2035"/>
  <c r="C2035" s="1"/>
  <c r="K3281"/>
  <c r="C3281" s="1"/>
  <c r="K3829"/>
  <c r="C3829" s="1"/>
  <c r="K1086"/>
  <c r="C1086" s="1"/>
  <c r="K3166"/>
  <c r="C3166" s="1"/>
  <c r="K276"/>
  <c r="C276" s="1"/>
  <c r="K1125"/>
  <c r="C1125" s="1"/>
  <c r="K2420"/>
  <c r="C2420" s="1"/>
  <c r="K2104"/>
  <c r="C2104" s="1"/>
  <c r="K980"/>
  <c r="C980" s="1"/>
  <c r="K538"/>
  <c r="C538" s="1"/>
  <c r="K4014"/>
  <c r="C4014" s="1"/>
  <c r="K1084"/>
  <c r="C1084" s="1"/>
  <c r="K610"/>
  <c r="C610" s="1"/>
  <c r="K2280"/>
  <c r="C2280" s="1"/>
  <c r="K487"/>
  <c r="C487" s="1"/>
  <c r="K1735"/>
  <c r="C1735" s="1"/>
  <c r="K822"/>
  <c r="C822" s="1"/>
  <c r="K962"/>
  <c r="C962" s="1"/>
  <c r="K2353"/>
  <c r="C2353" s="1"/>
  <c r="K2749"/>
  <c r="C2749" s="1"/>
  <c r="K1713"/>
  <c r="C1713" s="1"/>
  <c r="K1612"/>
  <c r="C1612" s="1"/>
  <c r="K1097"/>
  <c r="C1097" s="1"/>
  <c r="K1577"/>
  <c r="C1577" s="1"/>
  <c r="K2528"/>
  <c r="C2528" s="1"/>
  <c r="K1675"/>
  <c r="C1675" s="1"/>
  <c r="K460"/>
  <c r="C460" s="1"/>
  <c r="K826"/>
  <c r="C826" s="1"/>
  <c r="K1986"/>
  <c r="C1986" s="1"/>
  <c r="K2690"/>
  <c r="C2690" s="1"/>
  <c r="K3178"/>
  <c r="C3178" s="1"/>
  <c r="K614"/>
  <c r="C614" s="1"/>
  <c r="K280"/>
  <c r="C280" s="1"/>
  <c r="K660"/>
  <c r="C660" s="1"/>
  <c r="K2119"/>
  <c r="C2119" s="1"/>
  <c r="K1642"/>
  <c r="C1642" s="1"/>
  <c r="K2991"/>
  <c r="C2991" s="1"/>
  <c r="K3610"/>
  <c r="C3610" s="1"/>
  <c r="K269"/>
  <c r="C269" s="1"/>
  <c r="K483"/>
  <c r="C483" s="1"/>
  <c r="K272"/>
  <c r="C272" s="1"/>
  <c r="K1352"/>
  <c r="C1352" s="1"/>
  <c r="K1602"/>
  <c r="C1602" s="1"/>
  <c r="K1367"/>
  <c r="C1367" s="1"/>
  <c r="K327"/>
  <c r="C327" s="1"/>
  <c r="K1333"/>
  <c r="C1333" s="1"/>
  <c r="K2909"/>
  <c r="C2909" s="1"/>
  <c r="K1369"/>
  <c r="C1369" s="1"/>
  <c r="K360"/>
  <c r="C360" s="1"/>
  <c r="K294"/>
  <c r="C294" s="1"/>
  <c r="K315"/>
  <c r="C315" s="1"/>
  <c r="K2855"/>
  <c r="C2855" s="1"/>
  <c r="K3860"/>
  <c r="C3860" s="1"/>
  <c r="K1523"/>
  <c r="C1523" s="1"/>
  <c r="K1481"/>
  <c r="C1481" s="1"/>
  <c r="K206"/>
  <c r="C206" s="1"/>
  <c r="K453"/>
  <c r="C453" s="1"/>
  <c r="K987"/>
  <c r="C987" s="1"/>
  <c r="K1814"/>
  <c r="C1814" s="1"/>
  <c r="K2203"/>
  <c r="C2203" s="1"/>
  <c r="K1916"/>
  <c r="C1916" s="1"/>
  <c r="K511"/>
  <c r="C511" s="1"/>
  <c r="K1516"/>
  <c r="C1516" s="1"/>
  <c r="K2335"/>
  <c r="C2335" s="1"/>
  <c r="K2754"/>
  <c r="C2754" s="1"/>
  <c r="K583"/>
  <c r="C583" s="1"/>
  <c r="K3646"/>
  <c r="C3646" s="1"/>
  <c r="K2764"/>
  <c r="C2764" s="1"/>
  <c r="K3132"/>
  <c r="C3132" s="1"/>
  <c r="K2074"/>
  <c r="C2074" s="1"/>
  <c r="K216"/>
  <c r="C216" s="1"/>
  <c r="K1745"/>
  <c r="C1745" s="1"/>
  <c r="K681"/>
  <c r="C681" s="1"/>
  <c r="K1305"/>
  <c r="C1305" s="1"/>
  <c r="K369"/>
  <c r="C369" s="1"/>
  <c r="K3616"/>
  <c r="C3616" s="1"/>
  <c r="K2152"/>
  <c r="C2152" s="1"/>
  <c r="K3305"/>
  <c r="C3305" s="1"/>
  <c r="K2206"/>
  <c r="C2206" s="1"/>
  <c r="K672"/>
  <c r="C672" s="1"/>
  <c r="K866"/>
  <c r="C866" s="1"/>
  <c r="K712"/>
  <c r="C712" s="1"/>
  <c r="K351"/>
  <c r="C351" s="1"/>
  <c r="K1761"/>
  <c r="C1761" s="1"/>
  <c r="K383"/>
  <c r="C383" s="1"/>
  <c r="K3048"/>
  <c r="C3048" s="1"/>
  <c r="K486"/>
  <c r="C486" s="1"/>
  <c r="K1337"/>
  <c r="C1337" s="1"/>
  <c r="K739"/>
  <c r="C739" s="1"/>
  <c r="K2514"/>
  <c r="C2514" s="1"/>
  <c r="K591"/>
  <c r="C591" s="1"/>
  <c r="K2552"/>
  <c r="C2552" s="1"/>
  <c r="K1230"/>
  <c r="C1230" s="1"/>
  <c r="K1156"/>
  <c r="C1156" s="1"/>
  <c r="K1534"/>
  <c r="C1534" s="1"/>
  <c r="K611"/>
  <c r="C611" s="1"/>
  <c r="K2592"/>
  <c r="C2592" s="1"/>
  <c r="K1393"/>
  <c r="C1393" s="1"/>
  <c r="K356"/>
  <c r="C356" s="1"/>
  <c r="K596"/>
  <c r="C596" s="1"/>
  <c r="K1361"/>
  <c r="C1361" s="1"/>
  <c r="K3064"/>
  <c r="C3064" s="1"/>
  <c r="K2536"/>
  <c r="C2536" s="1"/>
  <c r="K749"/>
  <c r="C749" s="1"/>
  <c r="K3612"/>
  <c r="C3612" s="1"/>
  <c r="K3613"/>
  <c r="C3613" s="1"/>
  <c r="K991"/>
  <c r="C991" s="1"/>
  <c r="K3881"/>
  <c r="C3881" s="1"/>
  <c r="K2551"/>
  <c r="C2551" s="1"/>
  <c r="K282"/>
  <c r="C282" s="1"/>
  <c r="K1386"/>
  <c r="C1386" s="1"/>
  <c r="K1836"/>
  <c r="C1836" s="1"/>
  <c r="K1172"/>
  <c r="C1172" s="1"/>
  <c r="K2272"/>
  <c r="C2272" s="1"/>
  <c r="K2319"/>
  <c r="C2319" s="1"/>
  <c r="K1571"/>
  <c r="C1571" s="1"/>
  <c r="K2194"/>
  <c r="C2194" s="1"/>
  <c r="K633"/>
  <c r="C633" s="1"/>
  <c r="K1691"/>
  <c r="C1691" s="1"/>
  <c r="K461"/>
  <c r="C461" s="1"/>
  <c r="K2588"/>
  <c r="C2588" s="1"/>
  <c r="K438"/>
  <c r="C438" s="1"/>
  <c r="K700"/>
  <c r="C700" s="1"/>
  <c r="K1314"/>
  <c r="C1314" s="1"/>
  <c r="K2750"/>
  <c r="C2750" s="1"/>
  <c r="K3724"/>
  <c r="C3724" s="1"/>
  <c r="K2073"/>
  <c r="C2073" s="1"/>
  <c r="K2121"/>
  <c r="C2121" s="1"/>
  <c r="K1360"/>
  <c r="C1360" s="1"/>
  <c r="K834"/>
  <c r="C834" s="1"/>
  <c r="K1011"/>
  <c r="C1011" s="1"/>
  <c r="K2284"/>
  <c r="C2284" s="1"/>
  <c r="K800"/>
  <c r="C800" s="1"/>
  <c r="K869"/>
  <c r="C869" s="1"/>
  <c r="K1070"/>
  <c r="C1070" s="1"/>
  <c r="K2755"/>
  <c r="C2755" s="1"/>
  <c r="K821"/>
  <c r="C821" s="1"/>
  <c r="K1124"/>
  <c r="C1124" s="1"/>
  <c r="K1705"/>
  <c r="C1705" s="1"/>
  <c r="K3418"/>
  <c r="C3418" s="1"/>
  <c r="K525"/>
  <c r="C525" s="1"/>
  <c r="K2777"/>
  <c r="C2777" s="1"/>
  <c r="K999"/>
  <c r="C999" s="1"/>
  <c r="K2758"/>
  <c r="C2758" s="1"/>
  <c r="K1633"/>
  <c r="C1633" s="1"/>
  <c r="K232"/>
  <c r="C232" s="1"/>
  <c r="K1037"/>
  <c r="C1037" s="1"/>
  <c r="K983"/>
  <c r="C983" s="1"/>
  <c r="K714"/>
  <c r="C714" s="1"/>
  <c r="K3383"/>
  <c r="C3383" s="1"/>
  <c r="K919"/>
  <c r="C919" s="1"/>
  <c r="K1184"/>
  <c r="C1184" s="1"/>
  <c r="K395"/>
  <c r="C395" s="1"/>
  <c r="K963"/>
  <c r="C963" s="1"/>
  <c r="K1606"/>
  <c r="C1606" s="1"/>
  <c r="K2503"/>
  <c r="C2503" s="1"/>
  <c r="K1655"/>
  <c r="C1655" s="1"/>
  <c r="K2814"/>
  <c r="C2814" s="1"/>
  <c r="K1610"/>
  <c r="C1610" s="1"/>
  <c r="K330"/>
  <c r="C330" s="1"/>
  <c r="K550"/>
  <c r="C550" s="1"/>
  <c r="K2027"/>
  <c r="C2027" s="1"/>
  <c r="K2751"/>
  <c r="C2751" s="1"/>
  <c r="K163"/>
  <c r="C163" s="1"/>
  <c r="K1210"/>
  <c r="C1210" s="1"/>
  <c r="K2534"/>
  <c r="C2534" s="1"/>
  <c r="K394"/>
  <c r="C394" s="1"/>
  <c r="K852"/>
  <c r="C852" s="1"/>
  <c r="K1738"/>
  <c r="C1738" s="1"/>
  <c r="K1993"/>
  <c r="C1993" s="1"/>
  <c r="K1879"/>
  <c r="C1879" s="1"/>
  <c r="K2759"/>
  <c r="C2759" s="1"/>
  <c r="K203"/>
  <c r="C203" s="1"/>
  <c r="K2047"/>
  <c r="C2047" s="1"/>
  <c r="K2376"/>
  <c r="C2376" s="1"/>
  <c r="K1513"/>
  <c r="C1513" s="1"/>
  <c r="K2538"/>
  <c r="C2538" s="1"/>
  <c r="K2077"/>
  <c r="C2077" s="1"/>
  <c r="K997"/>
  <c r="C997" s="1"/>
  <c r="K2589"/>
  <c r="C2589" s="1"/>
  <c r="K1594"/>
  <c r="C1594" s="1"/>
  <c r="K2637"/>
  <c r="C2637" s="1"/>
  <c r="K1562"/>
  <c r="C1562" s="1"/>
  <c r="K3579"/>
  <c r="C3579" s="1"/>
  <c r="K1143"/>
  <c r="C1143" s="1"/>
  <c r="K1720"/>
  <c r="C1720" s="1"/>
  <c r="K1304"/>
  <c r="C1304" s="1"/>
  <c r="K1152"/>
  <c r="C1152" s="1"/>
  <c r="K2512"/>
  <c r="C2512" s="1"/>
  <c r="K4106"/>
  <c r="C4106" s="1"/>
  <c r="K1232"/>
  <c r="C1232" s="1"/>
  <c r="K1263"/>
  <c r="C1263" s="1"/>
  <c r="K2507"/>
  <c r="C2507" s="1"/>
  <c r="K432"/>
  <c r="C432" s="1"/>
  <c r="K2543"/>
  <c r="C2543" s="1"/>
  <c r="K1318"/>
  <c r="C1318" s="1"/>
  <c r="K226"/>
  <c r="C226" s="1"/>
  <c r="K2672"/>
  <c r="C2672" s="1"/>
  <c r="K643"/>
  <c r="C643" s="1"/>
  <c r="K1371"/>
  <c r="C1371" s="1"/>
  <c r="K1038"/>
  <c r="C1038" s="1"/>
  <c r="K1315"/>
  <c r="C1315" s="1"/>
  <c r="K533"/>
  <c r="C533" s="1"/>
  <c r="K1129"/>
  <c r="C1129" s="1"/>
  <c r="K3008"/>
  <c r="C3008" s="1"/>
  <c r="K415"/>
  <c r="C415" s="1"/>
  <c r="K1163"/>
  <c r="C1163" s="1"/>
  <c r="K2182"/>
  <c r="C2182" s="1"/>
  <c r="K271"/>
  <c r="C271" s="1"/>
  <c r="K1846"/>
  <c r="C1846" s="1"/>
  <c r="K1686"/>
  <c r="C1686" s="1"/>
  <c r="K458"/>
  <c r="C458" s="1"/>
  <c r="K570"/>
  <c r="C570" s="1"/>
  <c r="K1801"/>
  <c r="C1801" s="1"/>
  <c r="K864"/>
  <c r="C864" s="1"/>
  <c r="K1026"/>
  <c r="C1026" s="1"/>
  <c r="K1554"/>
  <c r="C1554" s="1"/>
  <c r="K1034"/>
  <c r="C1034" s="1"/>
  <c r="K966"/>
  <c r="C966" s="1"/>
  <c r="K2033"/>
  <c r="C2033" s="1"/>
  <c r="K1342"/>
  <c r="C1342" s="1"/>
  <c r="K896"/>
  <c r="C896" s="1"/>
  <c r="K1354"/>
  <c r="C1354" s="1"/>
  <c r="K1670"/>
  <c r="C1670" s="1"/>
  <c r="K1346"/>
  <c r="C1346" s="1"/>
  <c r="K4039"/>
  <c r="C4039" s="1"/>
  <c r="K1017"/>
  <c r="C1017" s="1"/>
  <c r="K367"/>
  <c r="C367" s="1"/>
  <c r="K3608"/>
  <c r="C3608" s="1"/>
  <c r="K2898"/>
  <c r="C2898" s="1"/>
  <c r="K606"/>
  <c r="C606" s="1"/>
  <c r="K920"/>
  <c r="C920" s="1"/>
  <c r="K2882"/>
  <c r="C2882" s="1"/>
  <c r="K577"/>
  <c r="C577" s="1"/>
  <c r="K642"/>
  <c r="C642" s="1"/>
  <c r="K1111"/>
  <c r="C1111" s="1"/>
  <c r="K3606"/>
  <c r="C3606" s="1"/>
  <c r="K336"/>
  <c r="C336" s="1"/>
  <c r="K755"/>
  <c r="C755" s="1"/>
  <c r="K2852"/>
  <c r="C2852" s="1"/>
  <c r="K1098"/>
  <c r="C1098" s="1"/>
  <c r="K1063"/>
  <c r="C1063" s="1"/>
  <c r="K3124"/>
  <c r="C3124" s="1"/>
  <c r="K1556"/>
  <c r="C1556" s="1"/>
  <c r="K1767"/>
  <c r="C1767" s="1"/>
  <c r="K811"/>
  <c r="C811" s="1"/>
  <c r="K447"/>
  <c r="C447" s="1"/>
  <c r="K252"/>
  <c r="C252" s="1"/>
  <c r="K2541"/>
  <c r="C2541" s="1"/>
  <c r="K1561"/>
  <c r="C1561" s="1"/>
  <c r="K2587"/>
  <c r="C2587" s="1"/>
  <c r="K1226"/>
  <c r="C1226" s="1"/>
  <c r="K258"/>
  <c r="C258" s="1"/>
  <c r="K1623"/>
  <c r="C1623" s="1"/>
  <c r="K805"/>
  <c r="C805" s="1"/>
  <c r="K736"/>
  <c r="C736" s="1"/>
  <c r="K1140"/>
  <c r="C1140" s="1"/>
  <c r="K2371"/>
  <c r="C2371" s="1"/>
  <c r="K2924"/>
  <c r="C2924" s="1"/>
  <c r="K623"/>
  <c r="C623" s="1"/>
  <c r="K640"/>
  <c r="C640" s="1"/>
  <c r="K2510"/>
  <c r="C2510" s="1"/>
  <c r="K2235"/>
  <c r="C2235" s="1"/>
  <c r="K2218"/>
  <c r="C2218" s="1"/>
  <c r="K655"/>
  <c r="C655" s="1"/>
  <c r="K1455"/>
  <c r="C1455" s="1"/>
  <c r="K2283"/>
  <c r="C2283" s="1"/>
  <c r="K978"/>
  <c r="C978" s="1"/>
  <c r="K1495"/>
  <c r="C1495" s="1"/>
  <c r="K657"/>
  <c r="C657" s="1"/>
  <c r="K250"/>
  <c r="C250" s="1"/>
  <c r="K2433"/>
  <c r="C2433" s="1"/>
  <c r="K1013"/>
  <c r="C1013" s="1"/>
  <c r="K1357"/>
  <c r="C1357" s="1"/>
  <c r="K1334"/>
  <c r="C1334" s="1"/>
  <c r="K1706"/>
  <c r="C1706" s="1"/>
  <c r="K3075"/>
  <c r="C3075" s="1"/>
  <c r="K1244"/>
  <c r="C1244" s="1"/>
  <c r="K948"/>
  <c r="C948" s="1"/>
  <c r="K803"/>
  <c r="C803" s="1"/>
  <c r="K2542"/>
  <c r="C2542" s="1"/>
  <c r="K4219"/>
  <c r="C4219" s="1"/>
  <c r="K240"/>
  <c r="C240" s="1"/>
  <c r="K320"/>
  <c r="C320" s="1"/>
  <c r="K1339"/>
  <c r="C1339" s="1"/>
  <c r="K2830"/>
  <c r="C2830" s="1"/>
  <c r="K813"/>
  <c r="C813" s="1"/>
  <c r="K703"/>
  <c r="C703" s="1"/>
  <c r="K738"/>
  <c r="C738" s="1"/>
  <c r="K3619"/>
  <c r="C3619" s="1"/>
  <c r="K1635"/>
  <c r="C1635" s="1"/>
  <c r="K329"/>
  <c r="C329" s="1"/>
  <c r="K1898"/>
  <c r="C1898" s="1"/>
  <c r="K288"/>
  <c r="C288" s="1"/>
  <c r="K3621"/>
  <c r="C3621" s="1"/>
  <c r="K3208"/>
  <c r="C3208" s="1"/>
  <c r="K388"/>
  <c r="C388" s="1"/>
  <c r="K1819"/>
  <c r="C1819" s="1"/>
  <c r="K1021"/>
  <c r="C1021" s="1"/>
  <c r="K1899"/>
  <c r="C1899" s="1"/>
  <c r="K1434"/>
  <c r="C1434" s="1"/>
  <c r="K1931"/>
  <c r="C1931" s="1"/>
  <c r="K4166"/>
  <c r="C4166" s="1"/>
  <c r="K1965"/>
  <c r="C1965" s="1"/>
  <c r="K2026"/>
  <c r="C2026" s="1"/>
  <c r="K661"/>
  <c r="C661" s="1"/>
  <c r="K466"/>
  <c r="C466" s="1"/>
  <c r="K354"/>
  <c r="C354" s="1"/>
  <c r="K1328"/>
  <c r="C1328" s="1"/>
  <c r="K1363"/>
  <c r="C1363" s="1"/>
  <c r="K204"/>
  <c r="C204" s="1"/>
  <c r="K790"/>
  <c r="C790" s="1"/>
  <c r="K484"/>
  <c r="C484" s="1"/>
  <c r="K1029"/>
  <c r="C1029" s="1"/>
  <c r="K2359"/>
  <c r="C2359" s="1"/>
  <c r="K213"/>
  <c r="C213" s="1"/>
  <c r="K656"/>
  <c r="C656" s="1"/>
  <c r="K2254"/>
  <c r="C2254" s="1"/>
  <c r="K615"/>
  <c r="C615" s="1"/>
  <c r="K912"/>
  <c r="C912" s="1"/>
  <c r="K692"/>
  <c r="C692" s="1"/>
  <c r="K2763"/>
  <c r="C2763" s="1"/>
  <c r="K568"/>
  <c r="C568" s="1"/>
  <c r="K587"/>
  <c r="C587" s="1"/>
  <c r="K3719"/>
  <c r="C3719" s="1"/>
  <c r="K1682"/>
  <c r="C1682" s="1"/>
  <c r="K2748"/>
  <c r="C2748" s="1"/>
  <c r="K4016"/>
  <c r="C4016" s="1"/>
  <c r="K3990"/>
  <c r="C3990" s="1"/>
  <c r="K2640"/>
  <c r="C2640" s="1"/>
  <c r="K1560"/>
  <c r="C1560" s="1"/>
  <c r="K972"/>
  <c r="C972" s="1"/>
  <c r="K2414"/>
  <c r="C2414" s="1"/>
  <c r="K225"/>
  <c r="C225" s="1"/>
  <c r="K190"/>
  <c r="C190" s="1"/>
  <c r="K767"/>
  <c r="C767" s="1"/>
  <c r="K728"/>
  <c r="C728" s="1"/>
  <c r="K2778"/>
  <c r="C2778" s="1"/>
  <c r="K903"/>
  <c r="C903" s="1"/>
  <c r="K1818"/>
  <c r="C1818" s="1"/>
  <c r="K1299"/>
  <c r="C1299" s="1"/>
  <c r="K335"/>
  <c r="C335" s="1"/>
  <c r="K2025"/>
  <c r="C2025" s="1"/>
  <c r="K541"/>
  <c r="C541" s="1"/>
  <c r="K215"/>
  <c r="C215" s="1"/>
  <c r="K1019"/>
  <c r="C1019" s="1"/>
  <c r="K2258"/>
  <c r="C2258" s="1"/>
  <c r="K2533"/>
  <c r="C2533" s="1"/>
  <c r="K636"/>
  <c r="C636" s="1"/>
  <c r="K1863"/>
  <c r="C1863" s="1"/>
  <c r="K574"/>
  <c r="C574" s="1"/>
  <c r="K1190"/>
  <c r="C1190" s="1"/>
  <c r="K2506"/>
  <c r="C2506" s="1"/>
  <c r="K667"/>
  <c r="C667" s="1"/>
  <c r="K1494"/>
  <c r="C1494" s="1"/>
  <c r="K1742"/>
  <c r="C1742" s="1"/>
  <c r="K2250"/>
  <c r="C2250" s="1"/>
  <c r="K2185"/>
  <c r="C2185" s="1"/>
  <c r="K1372"/>
  <c r="C1372" s="1"/>
  <c r="K3391"/>
  <c r="C3391" s="1"/>
  <c r="K1693"/>
  <c r="C1693" s="1"/>
  <c r="K3611"/>
  <c r="C3611" s="1"/>
  <c r="K757"/>
  <c r="C757" s="1"/>
  <c r="K451"/>
  <c r="C451" s="1"/>
  <c r="K1278"/>
  <c r="C1278" s="1"/>
  <c r="K1147"/>
  <c r="C1147" s="1"/>
  <c r="K324"/>
  <c r="C324" s="1"/>
  <c r="K255"/>
  <c r="C255" s="1"/>
  <c r="K719"/>
  <c r="C719" s="1"/>
  <c r="K2844"/>
  <c r="C2844" s="1"/>
  <c r="K704"/>
  <c r="C704" s="1"/>
  <c r="K408"/>
  <c r="C408" s="1"/>
  <c r="K481"/>
  <c r="C481" s="1"/>
  <c r="K783"/>
  <c r="C783" s="1"/>
  <c r="K1734"/>
  <c r="C1734" s="1"/>
  <c r="K1366"/>
  <c r="C1366" s="1"/>
  <c r="K1966"/>
  <c r="C1966" s="1"/>
  <c r="K3287"/>
  <c r="C3287" s="1"/>
  <c r="K946"/>
  <c r="C946" s="1"/>
  <c r="K2096"/>
  <c r="C2096" s="1"/>
  <c r="K1365"/>
  <c r="C1365" s="1"/>
  <c r="K786"/>
  <c r="C786" s="1"/>
  <c r="K1624"/>
  <c r="C1624" s="1"/>
  <c r="K1625"/>
  <c r="C1625" s="1"/>
  <c r="K2760"/>
  <c r="C2760" s="1"/>
  <c r="K711"/>
  <c r="C711" s="1"/>
  <c r="K1134"/>
  <c r="C1134" s="1"/>
  <c r="K2757"/>
  <c r="C2757" s="1"/>
  <c r="K3704"/>
  <c r="C3704" s="1"/>
  <c r="K709"/>
  <c r="C709" s="1"/>
  <c r="K626"/>
  <c r="C626" s="1"/>
  <c r="K1093"/>
  <c r="C1093" s="1"/>
  <c r="K480"/>
  <c r="C480" s="1"/>
  <c r="K832"/>
  <c r="C832" s="1"/>
  <c r="K489"/>
  <c r="C489" s="1"/>
  <c r="K284"/>
  <c r="C284" s="1"/>
  <c r="K2726"/>
  <c r="C2726" s="1"/>
  <c r="K873"/>
  <c r="C873" s="1"/>
  <c r="K958"/>
  <c r="C958" s="1"/>
  <c r="K780"/>
  <c r="C780" s="1"/>
  <c r="K2761"/>
  <c r="C2761" s="1"/>
  <c r="K781"/>
  <c r="C781" s="1"/>
  <c r="K196"/>
  <c r="C196" s="1"/>
  <c r="K2518"/>
  <c r="C2518" s="1"/>
  <c r="K2103"/>
  <c r="C2103" s="1"/>
  <c r="K548"/>
  <c r="C548" s="1"/>
  <c r="K1373"/>
  <c r="C1373" s="1"/>
  <c r="K850"/>
  <c r="C850" s="1"/>
  <c r="K734"/>
  <c r="C734" s="1"/>
  <c r="K305"/>
  <c r="C305" s="1"/>
  <c r="K650"/>
  <c r="C650" s="1"/>
  <c r="K2535"/>
  <c r="C2535" s="1"/>
  <c r="K2956"/>
  <c r="C2956" s="1"/>
  <c r="K331"/>
  <c r="C331" s="1"/>
  <c r="K2753"/>
  <c r="C2753" s="1"/>
  <c r="K2527"/>
  <c r="C2527" s="1"/>
  <c r="K635"/>
  <c r="C635" s="1"/>
  <c r="K1355"/>
  <c r="C1355" s="1"/>
  <c r="K1806"/>
  <c r="C1806" s="1"/>
  <c r="K1540"/>
  <c r="C1540" s="1"/>
  <c r="K2176"/>
  <c r="C2176" s="1"/>
  <c r="K1356"/>
  <c r="C1356" s="1"/>
  <c r="K809"/>
  <c r="C809" s="1"/>
  <c r="K1200"/>
  <c r="C1200" s="1"/>
  <c r="K2719"/>
  <c r="C2719" s="1"/>
  <c r="K2059"/>
  <c r="C2059" s="1"/>
  <c r="K1330"/>
  <c r="C1330" s="1"/>
  <c r="K2208"/>
  <c r="C2208" s="1"/>
  <c r="K1743"/>
  <c r="C1743" s="1"/>
  <c r="K2134"/>
  <c r="C2134" s="1"/>
  <c r="K488"/>
  <c r="C488" s="1"/>
  <c r="K227"/>
  <c r="C227" s="1"/>
  <c r="K1433"/>
  <c r="C1433" s="1"/>
  <c r="K1389"/>
  <c r="C1389" s="1"/>
  <c r="K1332"/>
  <c r="C1332" s="1"/>
  <c r="K4083"/>
  <c r="C4083" s="1"/>
  <c r="K2222"/>
  <c r="C2222" s="1"/>
  <c r="K1603"/>
  <c r="C1603" s="1"/>
  <c r="K3991"/>
  <c r="C3991" s="1"/>
  <c r="K1061"/>
  <c r="C1061" s="1"/>
  <c r="K496"/>
  <c r="C496" s="1"/>
  <c r="K639"/>
  <c r="C639" s="1"/>
  <c r="K2540"/>
  <c r="C2540" s="1"/>
  <c r="K597"/>
  <c r="C597" s="1"/>
  <c r="K309"/>
  <c r="C309" s="1"/>
  <c r="K1149"/>
  <c r="C1149" s="1"/>
  <c r="K1683"/>
  <c r="C1683" s="1"/>
  <c r="K3543"/>
  <c r="C3543" s="1"/>
  <c r="K3605"/>
  <c r="C3605" s="1"/>
  <c r="K770"/>
  <c r="C770" s="1"/>
  <c r="K817"/>
  <c r="C817" s="1"/>
  <c r="K1292"/>
  <c r="C1292" s="1"/>
  <c r="K2110"/>
  <c r="C2110" s="1"/>
  <c r="K1973"/>
  <c r="C1973" s="1"/>
  <c r="K1679"/>
  <c r="C1679" s="1"/>
  <c r="K491"/>
  <c r="C491" s="1"/>
  <c r="K637"/>
  <c r="C637" s="1"/>
  <c r="K543"/>
  <c r="C543" s="1"/>
  <c r="K3729"/>
  <c r="C3729" s="1"/>
  <c r="K3615"/>
  <c r="C3615" s="1"/>
  <c r="K2769"/>
  <c r="C2769" s="1"/>
  <c r="K682"/>
  <c r="C682" s="1"/>
  <c r="K2186"/>
  <c r="C2186" s="1"/>
  <c r="K1768"/>
  <c r="C1768" s="1"/>
  <c r="K254"/>
  <c r="C254" s="1"/>
  <c r="K4093"/>
  <c r="C4093" s="1"/>
  <c r="K235"/>
  <c r="C235" s="1"/>
  <c r="K406"/>
  <c r="C406" s="1"/>
  <c r="K2522"/>
  <c r="C2522" s="1"/>
  <c r="K2927"/>
  <c r="C2927" s="1"/>
  <c r="K732"/>
  <c r="C732" s="1"/>
  <c r="K1195"/>
  <c r="C1195" s="1"/>
  <c r="K3728"/>
  <c r="C3728" s="1"/>
  <c r="K3617"/>
  <c r="C3617" s="1"/>
  <c r="K2701"/>
  <c r="C2701" s="1"/>
  <c r="K2821"/>
  <c r="C2821" s="1"/>
  <c r="K876"/>
  <c r="C876" s="1"/>
  <c r="K2505"/>
  <c r="C2505" s="1"/>
  <c r="K1050"/>
  <c r="C1050" s="1"/>
  <c r="K937"/>
  <c r="C937" s="1"/>
  <c r="K2446"/>
  <c r="C2446" s="1"/>
  <c r="K1641"/>
  <c r="C1641" s="1"/>
  <c r="K2767"/>
  <c r="C2767" s="1"/>
  <c r="K2481"/>
  <c r="C2481" s="1"/>
  <c r="K3788"/>
  <c r="C3788" s="1"/>
  <c r="K654"/>
  <c r="C654" s="1"/>
  <c r="K1422"/>
  <c r="C1422" s="1"/>
  <c r="K2127"/>
  <c r="C2127" s="1"/>
  <c r="K893"/>
  <c r="C893" s="1"/>
  <c r="K612"/>
  <c r="C612" s="1"/>
  <c r="K836"/>
  <c r="C836" s="1"/>
  <c r="K721"/>
  <c r="C721" s="1"/>
  <c r="K509"/>
  <c r="C509" s="1"/>
  <c r="K2531"/>
  <c r="C2531" s="1"/>
  <c r="K348"/>
  <c r="C348" s="1"/>
  <c r="K625"/>
  <c r="C625" s="1"/>
  <c r="K2524"/>
  <c r="C2524" s="1"/>
  <c r="K364"/>
  <c r="C364" s="1"/>
  <c r="K2773"/>
  <c r="C2773" s="1"/>
  <c r="K1521"/>
  <c r="C1521" s="1"/>
  <c r="K1798"/>
  <c r="C1798" s="1"/>
  <c r="K2942"/>
  <c r="C2942" s="1"/>
  <c r="K572"/>
  <c r="C572" s="1"/>
  <c r="K549"/>
  <c r="C549" s="1"/>
  <c r="K338"/>
  <c r="C338" s="1"/>
  <c r="K1527"/>
  <c r="C1527" s="1"/>
  <c r="K868"/>
  <c r="C868" s="1"/>
  <c r="K2330"/>
  <c r="C2330" s="1"/>
  <c r="K741"/>
  <c r="C741" s="1"/>
  <c r="K1309"/>
  <c r="C1309" s="1"/>
  <c r="K621"/>
  <c r="C621" s="1"/>
  <c r="K2410"/>
  <c r="C2410" s="1"/>
  <c r="K573"/>
  <c r="C573" s="1"/>
  <c r="K1272"/>
  <c r="C1272" s="1"/>
  <c r="K1338"/>
  <c r="C1338" s="1"/>
  <c r="K3564"/>
  <c r="C3564" s="1"/>
  <c r="K1737"/>
  <c r="C1737" s="1"/>
  <c r="K2069"/>
  <c r="C2069" s="1"/>
  <c r="K662"/>
  <c r="C662" s="1"/>
  <c r="K1496"/>
  <c r="C1496" s="1"/>
  <c r="K1335"/>
  <c r="C1335" s="1"/>
  <c r="K2772"/>
  <c r="C2772" s="1"/>
  <c r="K1225"/>
  <c r="C1225" s="1"/>
  <c r="K638"/>
  <c r="C638" s="1"/>
  <c r="K396"/>
  <c r="C396" s="1"/>
  <c r="K1348"/>
  <c r="C1348" s="1"/>
  <c r="K1368"/>
  <c r="C1368" s="1"/>
  <c r="K1329"/>
  <c r="C1329" s="1"/>
  <c r="K1253"/>
  <c r="C1253" s="1"/>
  <c r="K2784"/>
  <c r="C2784" s="1"/>
  <c r="K238"/>
  <c r="C238" s="1"/>
  <c r="K717"/>
  <c r="C717" s="1"/>
  <c r="K641"/>
  <c r="C641" s="1"/>
  <c r="K900"/>
  <c r="C900" s="1"/>
  <c r="K2515"/>
  <c r="C2515" s="1"/>
  <c r="K468"/>
  <c r="C468" s="1"/>
  <c r="K1189"/>
  <c r="C1189" s="1"/>
  <c r="K1755"/>
  <c r="C1755" s="1"/>
  <c r="F21" i="4"/>
  <c r="S4" l="1"/>
  <c r="S7"/>
  <c r="U21" l="1"/>
  <c r="W21"/>
  <c r="X21"/>
  <c r="U27"/>
  <c r="V27"/>
  <c r="W27"/>
  <c r="X27"/>
  <c r="U45"/>
  <c r="V45"/>
  <c r="W45"/>
  <c r="X45"/>
  <c r="U51"/>
  <c r="V51"/>
  <c r="W51"/>
  <c r="X51"/>
  <c r="X52" l="1"/>
  <c r="X53"/>
  <c r="W52"/>
  <c r="W53"/>
  <c r="V52"/>
  <c r="V53"/>
  <c r="U52"/>
  <c r="U53"/>
  <c r="X46"/>
  <c r="X47"/>
  <c r="W46"/>
  <c r="W47"/>
  <c r="V46"/>
  <c r="V47"/>
  <c r="U46"/>
  <c r="U47"/>
  <c r="X28"/>
  <c r="X29"/>
  <c r="W28"/>
  <c r="W29"/>
  <c r="V28"/>
  <c r="V29"/>
  <c r="U28"/>
  <c r="U29"/>
  <c r="X22"/>
  <c r="X23"/>
  <c r="W22"/>
  <c r="W23"/>
  <c r="U22"/>
  <c r="U23"/>
  <c r="H2"/>
  <c r="X2" s="1"/>
  <c r="F13"/>
  <c r="T2" l="1"/>
  <c r="F32" s="1"/>
  <c r="V2"/>
  <c r="U2"/>
  <c r="W2"/>
  <c r="R2"/>
  <c r="S2"/>
  <c r="F22"/>
  <c r="F27"/>
  <c r="F17"/>
  <c r="F19"/>
  <c r="F14"/>
  <c r="F26"/>
  <c r="F15"/>
  <c r="F18"/>
  <c r="F20"/>
  <c r="F23"/>
  <c r="F12"/>
</calcChain>
</file>

<file path=xl/comments1.xml><?xml version="1.0" encoding="utf-8"?>
<comments xmlns="http://schemas.openxmlformats.org/spreadsheetml/2006/main">
  <authors>
    <author>Bidjan</author>
  </authors>
  <commentList>
    <comment ref="D1" authorId="0">
      <text>
        <r>
          <rPr>
            <b/>
            <sz val="9"/>
            <color indexed="81"/>
            <rFont val="Tahoma"/>
            <family val="2"/>
          </rPr>
          <t>Begriff wird ggf. abweichend von Transliterationsregeln in der angegebenen Sprache wie vorne angegeben verwendet</t>
        </r>
      </text>
    </comment>
  </commentList>
</comments>
</file>

<file path=xl/comments2.xml><?xml version="1.0" encoding="utf-8"?>
<comments xmlns="http://schemas.openxmlformats.org/spreadsheetml/2006/main">
  <authors>
    <author>Bidjan</author>
  </authors>
  <commentList>
    <comment ref="F1" authorId="0">
      <text>
        <r>
          <rPr>
            <b/>
            <sz val="9"/>
            <color indexed="81"/>
            <rFont val="Tahoma"/>
            <family val="2"/>
          </rPr>
          <t>Begriff wird ggf. abweichend von Transliterationsregeln in der angegebenen Sprache wie vorne angegeben verwendet</t>
        </r>
      </text>
    </comment>
  </commentList>
</comments>
</file>

<file path=xl/sharedStrings.xml><?xml version="1.0" encoding="utf-8"?>
<sst xmlns="http://schemas.openxmlformats.org/spreadsheetml/2006/main" count="14156" uniqueCount="9519">
  <si>
    <t>Definition</t>
  </si>
  <si>
    <t>Quddús</t>
  </si>
  <si>
    <t>Bahá’u’lláh</t>
  </si>
  <si>
    <t>language</t>
  </si>
  <si>
    <t>ʿAbdu’l-Bahá</t>
  </si>
  <si>
    <t>ʿAkká</t>
  </si>
  <si>
    <t>ʿAlí Paá</t>
  </si>
  <si>
    <t>Áirbáyján</t>
  </si>
  <si>
    <t>Báb</t>
  </si>
  <si>
    <t>Bábí</t>
  </si>
  <si>
    <t>Bahá’í</t>
  </si>
  <si>
    <t>Badád</t>
  </si>
  <si>
    <t>Badáder</t>
  </si>
  <si>
    <t>Búihr</t>
  </si>
  <si>
    <t>Derwisch</t>
  </si>
  <si>
    <t>Ḥáfiẓ</t>
  </si>
  <si>
    <t>Ḥijáz</t>
  </si>
  <si>
    <t>Írán</t>
  </si>
  <si>
    <t>ʿIráq</t>
  </si>
  <si>
    <t>Islám</t>
  </si>
  <si>
    <t>islámischen</t>
  </si>
  <si>
    <t>Karbilá</t>
  </si>
  <si>
    <t>Kurdistán</t>
  </si>
  <si>
    <t>Máh-Kú</t>
  </si>
  <si>
    <t>Mekka</t>
  </si>
  <si>
    <t>Mírzá Ḥusayn-ʿAlí</t>
  </si>
  <si>
    <t>Mírzá Yaḥyá</t>
  </si>
  <si>
    <t>Muḥammad</t>
  </si>
  <si>
    <t>Muḥammadaner</t>
  </si>
  <si>
    <t>Mullá Ḥusayn</t>
  </si>
  <si>
    <t>Mullá Muḥammad-i-Mamaqaní</t>
  </si>
  <si>
    <t>Muslim</t>
  </si>
  <si>
    <t>muslimischen</t>
  </si>
  <si>
    <t>Muslims</t>
  </si>
  <si>
    <t>Nabíl-i-Aʿẓam</t>
  </si>
  <si>
    <t>Náṣiri’d-Dín áh</t>
  </si>
  <si>
    <t>Nayríz</t>
  </si>
  <si>
    <t>Núr</t>
  </si>
  <si>
    <t>Qur’án</t>
  </si>
  <si>
    <t>Rúḥíyyih Rabbani</t>
  </si>
  <si>
    <t>Rúmí</t>
  </si>
  <si>
    <t>Shoghi Effendi</t>
  </si>
  <si>
    <t>Siyyid ʿAlí-Muḥammad</t>
  </si>
  <si>
    <t>Siyyid Mírzá Muḥammad Riza</t>
  </si>
  <si>
    <t>Siyyid</t>
  </si>
  <si>
    <t>Sulaymáníyyih</t>
  </si>
  <si>
    <t>Sulṭán</t>
  </si>
  <si>
    <t>Tabríz</t>
  </si>
  <si>
    <t>Ṭihrán</t>
  </si>
  <si>
    <t>Zanján</t>
  </si>
  <si>
    <t>ihríq</t>
  </si>
  <si>
    <t>áh</t>
  </si>
  <si>
    <t>amsí Big</t>
  </si>
  <si>
    <t>ay Aḥmad-i-Aḥsá’í</t>
  </si>
  <si>
    <t>ayí</t>
  </si>
  <si>
    <t>ayís</t>
  </si>
  <si>
    <t>ay-Ṭabarsí</t>
  </si>
  <si>
    <t>íráz</t>
  </si>
  <si>
    <t>Derwisch Muḥammad</t>
  </si>
  <si>
    <t>de</t>
  </si>
  <si>
    <t>Abhá</t>
  </si>
  <si>
    <t>Abú</t>
  </si>
  <si>
    <t>Abú-Jahl</t>
  </si>
  <si>
    <t>al-ʿAskarí</t>
  </si>
  <si>
    <t>al-Mahdí</t>
  </si>
  <si>
    <t>Díván</t>
  </si>
  <si>
    <t>Íqán</t>
  </si>
  <si>
    <t>Javáhir</t>
  </si>
  <si>
    <t>Kitáb-i-Íqán</t>
  </si>
  <si>
    <t>Mahdí</t>
  </si>
  <si>
    <t>Qá’im</t>
  </si>
  <si>
    <t>Dajjál</t>
  </si>
  <si>
    <t>Abí</t>
  </si>
  <si>
    <t>Jábulqá</t>
  </si>
  <si>
    <t>Jábulsá</t>
  </si>
  <si>
    <t>Javáhiru’l-Asrár</t>
  </si>
  <si>
    <t>Sámirí</t>
  </si>
  <si>
    <t>lt. Bahman Solouki</t>
  </si>
  <si>
    <t>Ḥasan</t>
  </si>
  <si>
    <t>Nimrod</t>
  </si>
  <si>
    <t>ʿAbbás</t>
  </si>
  <si>
    <t>ʿAbdu’l-Ḥamíd</t>
  </si>
  <si>
    <t>ʿAlí</t>
  </si>
  <si>
    <t>Alláh</t>
  </si>
  <si>
    <t>Badíʿ</t>
  </si>
  <si>
    <t>Kitáb-i-Aqdas</t>
  </si>
  <si>
    <t>Mírzá Badíʿ urásání</t>
  </si>
  <si>
    <t>urásán</t>
  </si>
  <si>
    <t>Sitárih</t>
  </si>
  <si>
    <t>Yá-Bahá’u’l-Abhá</t>
  </si>
  <si>
    <t>ʿAbdu’lláh</t>
  </si>
  <si>
    <t>Abú-Ṭálib</t>
  </si>
  <si>
    <t>Aqdas</t>
  </si>
  <si>
    <t>Fárs</t>
  </si>
  <si>
    <t>Furqán</t>
  </si>
  <si>
    <t>Haykal</t>
  </si>
  <si>
    <t>Imám</t>
  </si>
  <si>
    <t>Jamál-i-Mubárak</t>
  </si>
  <si>
    <t>Kalif</t>
  </si>
  <si>
    <t>Kirmánáh</t>
  </si>
  <si>
    <t>Kitáb-i-ʿAhd</t>
  </si>
  <si>
    <t>Medina</t>
  </si>
  <si>
    <t>Mihdí</t>
  </si>
  <si>
    <t>Muḥsin</t>
  </si>
  <si>
    <t>Mullá</t>
  </si>
  <si>
    <t>Munír</t>
  </si>
  <si>
    <t>Munírih</t>
  </si>
  <si>
    <t>Najaf</t>
  </si>
  <si>
    <t>Najrán</t>
  </si>
  <si>
    <t>Núri’d-Dín</t>
  </si>
  <si>
    <t>Riḍván</t>
  </si>
  <si>
    <t>Rúḥu’lláh</t>
  </si>
  <si>
    <t>Ṣúfí</t>
  </si>
  <si>
    <t>Súratu’l-Haykal</t>
  </si>
  <si>
    <t>Súrih</t>
  </si>
  <si>
    <t>ʿUlamá</t>
  </si>
  <si>
    <t>Umayyaden</t>
  </si>
  <si>
    <t>Varaqat-Ibn-Nawfal</t>
  </si>
  <si>
    <t>Yaḥyá</t>
  </si>
  <si>
    <t>Zaqqúm</t>
  </si>
  <si>
    <t>adíjih</t>
  </si>
  <si>
    <t>ʿAbdu’l-ʿAzíz</t>
  </si>
  <si>
    <t>Abú-Sufyán</t>
  </si>
  <si>
    <t>ʿAmru</t>
  </si>
  <si>
    <t>Baytu’l-ʿAdl</t>
  </si>
  <si>
    <t>Baní-Tamín</t>
  </si>
  <si>
    <t>Baní-Umayyih</t>
  </si>
  <si>
    <t>Emir</t>
  </si>
  <si>
    <t>Mírzá Hádí</t>
  </si>
  <si>
    <t>Hádí</t>
  </si>
  <si>
    <t>Ismáʿíl</t>
  </si>
  <si>
    <t>Ismáʿíliten</t>
  </si>
  <si>
    <t>Jamál-i-Qidam</t>
  </si>
  <si>
    <t>Manádí</t>
  </si>
  <si>
    <t>Masíḥ</t>
  </si>
  <si>
    <t>Mirván</t>
  </si>
  <si>
    <t>Mutawakkil</t>
  </si>
  <si>
    <t>Siyyid Dávúd</t>
  </si>
  <si>
    <t>Siyyid Manádí</t>
  </si>
  <si>
    <t>Ṣubḥ-i-Azal</t>
  </si>
  <si>
    <t>ʿUmar</t>
  </si>
  <si>
    <t>Valíd</t>
  </si>
  <si>
    <t>Yazíd</t>
  </si>
  <si>
    <t>Zayd</t>
  </si>
  <si>
    <t>Uyún al-Anbá fí Ṭabagát al-Aṭibbá</t>
  </si>
  <si>
    <t>Ḥaẓíratu’l-Quds</t>
  </si>
  <si>
    <t>Ḥuqúqu’lláh</t>
  </si>
  <si>
    <t>Mariqu’l-Akár</t>
  </si>
  <si>
    <t>ʿAbdu’lláh Búní</t>
  </si>
  <si>
    <t>MDC-DE, 1. Auflage</t>
  </si>
  <si>
    <t>Abí-afráy-i-Tá’í</t>
  </si>
  <si>
    <t>Abu’l</t>
  </si>
  <si>
    <t>Abu’l-Fidá</t>
  </si>
  <si>
    <t>Abu’l-Faḍl</t>
  </si>
  <si>
    <t>Kalbit</t>
  </si>
  <si>
    <t>= arab. "wissen"</t>
  </si>
  <si>
    <t>ʿAlí-Muḥammad</t>
  </si>
  <si>
    <t>aybán</t>
  </si>
  <si>
    <t>Awtád</t>
  </si>
  <si>
    <t>Bahman</t>
  </si>
  <si>
    <t>Baní-Kinánih</t>
  </si>
  <si>
    <t>Baní-Qurayzih</t>
  </si>
  <si>
    <t>Baní-Qahtán</t>
  </si>
  <si>
    <t>u’l-Awtád</t>
  </si>
  <si>
    <t>Firaydún</t>
  </si>
  <si>
    <t>Gulistán</t>
  </si>
  <si>
    <t>Gul</t>
  </si>
  <si>
    <t>Ḥájí Mírzá Áqásí</t>
  </si>
  <si>
    <t>Ḥanzalá</t>
  </si>
  <si>
    <t>Ḥírih</t>
  </si>
  <si>
    <t>Imám ʿAlí</t>
  </si>
  <si>
    <t>Jáhilíyyih</t>
  </si>
  <si>
    <t>Jalál-i-Dín</t>
  </si>
  <si>
    <t>álid</t>
  </si>
  <si>
    <t>Lamiten</t>
  </si>
  <si>
    <t>Maḥmúd</t>
  </si>
  <si>
    <t>Miqál</t>
  </si>
  <si>
    <t>Mujtahid</t>
  </si>
  <si>
    <t>ʿUmar ayyám</t>
  </si>
  <si>
    <t>Qábús</t>
  </si>
  <si>
    <t>Qarád</t>
  </si>
  <si>
    <t>Qurayíten</t>
  </si>
  <si>
    <t>Quray</t>
  </si>
  <si>
    <t>Salmán</t>
  </si>
  <si>
    <t>Síyáh-ál</t>
  </si>
  <si>
    <t>Yarib</t>
  </si>
  <si>
    <t>ʿAmr-ibn-Qays-ibn-aybán</t>
  </si>
  <si>
    <t>ʿAṭṭár</t>
  </si>
  <si>
    <t>Gulpáygán</t>
  </si>
  <si>
    <t>Isfandíyár</t>
  </si>
  <si>
    <t>Masʿúd-Kaldih</t>
  </si>
  <si>
    <t>Manaví</t>
  </si>
  <si>
    <t>Mudallil</t>
  </si>
  <si>
    <t>Munir</t>
  </si>
  <si>
    <t>Nuʿmán</t>
  </si>
  <si>
    <t>Rubáʿyyát</t>
  </si>
  <si>
    <t>harík</t>
  </si>
  <si>
    <t>Saná’í</t>
  </si>
  <si>
    <t>Ṭayy</t>
  </si>
  <si>
    <t>ʿAbbásiden</t>
  </si>
  <si>
    <t>Original</t>
  </si>
  <si>
    <t>اب</t>
  </si>
  <si>
    <t>Father</t>
  </si>
  <si>
    <t>آب</t>
  </si>
  <si>
    <t>“water”</t>
  </si>
  <si>
    <t>ابا</t>
  </si>
  <si>
    <t>Father of</t>
  </si>
  <si>
    <t>عبا</t>
  </si>
  <si>
    <t>Cloak or mantle</t>
  </si>
  <si>
    <t>ابا بصیر</t>
  </si>
  <si>
    <t>ابد</t>
  </si>
  <si>
    <t>آباد</t>
  </si>
  <si>
    <t xml:space="preserve">“Developed, inhabited” </t>
  </si>
  <si>
    <t>آبادان</t>
  </si>
  <si>
    <t>آباده</t>
  </si>
  <si>
    <t>ابرغو</t>
  </si>
  <si>
    <t>Abargoo—a place between Yazd and Iṣfahán</t>
  </si>
  <si>
    <t>ابسی</t>
  </si>
  <si>
    <t>عبّاد</t>
  </si>
  <si>
    <t>آبادانی</t>
  </si>
  <si>
    <t>عبّاس</t>
  </si>
  <si>
    <t>عبّاس آباد</t>
  </si>
  <si>
    <t>عبّاسعلی</t>
  </si>
  <si>
    <t>عبّاسی</t>
  </si>
  <si>
    <t>عبّاس نوری</t>
  </si>
  <si>
    <t>عبّاسیان</t>
  </si>
  <si>
    <t>عبّاسیّه</t>
  </si>
  <si>
    <t>A school</t>
  </si>
  <si>
    <t>عبّاسقلی</t>
  </si>
  <si>
    <t>عبّاسقلی لاریجانی</t>
  </si>
  <si>
    <t>عبّود</t>
  </si>
  <si>
    <t xml:space="preserve"> Ilyás. Christian merchant of `Akká</t>
  </si>
  <si>
    <t>عبّودی</t>
  </si>
  <si>
    <t>عبد</t>
  </si>
  <si>
    <t>عبد حاضر</t>
  </si>
  <si>
    <t xml:space="preserve">“servant in Attendance” </t>
  </si>
  <si>
    <t>عبد منف</t>
  </si>
  <si>
    <t>عبد مناف</t>
  </si>
  <si>
    <t>عبدالذّکر</t>
  </si>
  <si>
    <t>عبدالاحد زنجانی</t>
  </si>
  <si>
    <t>عبدالعلی</t>
  </si>
  <si>
    <t>عبدالعلی هراتی</t>
  </si>
  <si>
    <t>عبدالعظیم</t>
  </si>
  <si>
    <t>عبد العظیم خوئی</t>
  </si>
  <si>
    <t>عبدالعزیز</t>
  </si>
  <si>
    <t>عبدالبهاء</t>
  </si>
  <si>
    <t>Servant of Bahá</t>
  </si>
  <si>
    <t>عبدالباقر</t>
  </si>
  <si>
    <t>عبدالفتّاح</t>
  </si>
  <si>
    <t>عبدالغفّار</t>
  </si>
  <si>
    <t>عبدالغنی</t>
  </si>
  <si>
    <t>عبدالهادی</t>
  </si>
  <si>
    <t>عبدالحمید</t>
  </si>
  <si>
    <t>عبدالحقّ</t>
  </si>
  <si>
    <t>عبدالحسین</t>
  </si>
  <si>
    <t>عبدالحسین آواره</t>
  </si>
  <si>
    <t>عبدالحسین شوشتری</t>
  </si>
  <si>
    <t>عبدالجلیل</t>
  </si>
  <si>
    <t>عبدالجواد</t>
  </si>
  <si>
    <t>عبدالکریم</t>
  </si>
  <si>
    <t>عبدالکریم ایروانی</t>
  </si>
  <si>
    <t>عبدالکریم قزوینی</t>
  </si>
  <si>
    <t>عبدالکریم طهرانی</t>
  </si>
  <si>
    <t>عبدالخالق</t>
  </si>
  <si>
    <t>عبدالخالق اصفهانی</t>
  </si>
  <si>
    <t>عبدالخالق یزدی</t>
  </si>
  <si>
    <t>عبدالله</t>
  </si>
  <si>
    <t>عبدالله غوغا</t>
  </si>
  <si>
    <t>عبدالله قزوینی</t>
  </si>
  <si>
    <t>عبدالله اُبیّ</t>
  </si>
  <si>
    <t>عبدالمجید</t>
  </si>
  <si>
    <t>عبدالمجید نیشاپوری</t>
  </si>
  <si>
    <t>عبدالمجید شیرازی</t>
  </si>
  <si>
    <t>عبدالملک</t>
  </si>
  <si>
    <t>Fifth Umayyad Caliph</t>
  </si>
  <si>
    <t>عبدالمسیح</t>
  </si>
  <si>
    <t>عبدالمحمّد</t>
  </si>
  <si>
    <t>عبدالمطّلب</t>
  </si>
  <si>
    <t>عبدالقادر</t>
  </si>
  <si>
    <t>عبدالرحیم</t>
  </si>
  <si>
    <t>عبدالوهاب</t>
  </si>
  <si>
    <t>عبدالوهاب قزوینی</t>
  </si>
  <si>
    <t>عبدالوهاب شیرازی</t>
  </si>
  <si>
    <t>عبدالوهاب ترشیزی</t>
  </si>
  <si>
    <t>عبدالواسع</t>
  </si>
  <si>
    <t>عبدالرحیم قنّاد</t>
  </si>
  <si>
    <t>عبدالرحیم یزدی</t>
  </si>
  <si>
    <t>عبدالرّحمن</t>
  </si>
  <si>
    <t>عبدالرّحمن کارکوتی</t>
  </si>
  <si>
    <t>عبدالرّسول</t>
  </si>
  <si>
    <t>عبدالرّسول قمی</t>
  </si>
  <si>
    <t>عبدالرّزّاق</t>
  </si>
  <si>
    <t>عبدالسّلام</t>
  </si>
  <si>
    <t>عبدالشّمس</t>
  </si>
  <si>
    <t>عبدالصّالح</t>
  </si>
  <si>
    <t>عبدالصّمد</t>
  </si>
  <si>
    <t>عبدالصّمد همدانی</t>
  </si>
  <si>
    <t>آبگوشت</t>
  </si>
  <si>
    <t>a stew of vegetables and lamb</t>
  </si>
  <si>
    <t>ابهی</t>
  </si>
  <si>
    <t>Most Gloriouos</t>
  </si>
  <si>
    <t>ابی</t>
  </si>
  <si>
    <t>آبی</t>
  </si>
  <si>
    <t>ابی عبدالله</t>
  </si>
  <si>
    <t xml:space="preserve">Arabic term used in reference to Imám Ja`far Sádiq </t>
  </si>
  <si>
    <t>عابد</t>
  </si>
  <si>
    <t xml:space="preserve">“worshipper” </t>
  </si>
  <si>
    <t>عابدین</t>
  </si>
  <si>
    <t>pl.</t>
  </si>
  <si>
    <t>ابی غفرای تائی</t>
  </si>
  <si>
    <t>عبیرآمیز</t>
  </si>
  <si>
    <t>آبیورد</t>
  </si>
  <si>
    <t>ابیانه</t>
  </si>
  <si>
    <t>ابو</t>
  </si>
  <si>
    <t>ابو عبدالله</t>
  </si>
  <si>
    <t>ابو علی</t>
  </si>
  <si>
    <t>ابو امیر</t>
  </si>
  <si>
    <t>ابوعامر</t>
  </si>
  <si>
    <t>ابوبکر</t>
  </si>
  <si>
    <t>ابوبکرالصّدیق ابن ابی قحافه</t>
  </si>
  <si>
    <t>ابو ذر</t>
  </si>
  <si>
    <t>ابوحنیفه</t>
  </si>
  <si>
    <t>ابو جعفر</t>
  </si>
  <si>
    <t>ابو جعفر طوسی</t>
  </si>
  <si>
    <t>follower of Imám Sádiq who handed down his traditions</t>
  </si>
  <si>
    <t>ابو جهل</t>
  </si>
  <si>
    <t>ابولهب</t>
  </si>
  <si>
    <t>ابوالبشر</t>
  </si>
  <si>
    <t>ابوالفضائل</t>
  </si>
  <si>
    <t>ابوالفضل</t>
  </si>
  <si>
    <t>ابوالفضل گلپایگانی</t>
  </si>
  <si>
    <t>ابوالفتح</t>
  </si>
  <si>
    <t>ابوالفتح شهرستانی</t>
  </si>
  <si>
    <t>ابوالفدا</t>
  </si>
  <si>
    <t>ابوالفتوح</t>
  </si>
  <si>
    <t>“the Father of Victories” —name given to Enoch Olinga by Shoghi Effendi</t>
  </si>
  <si>
    <t>ابوالحسن</t>
  </si>
  <si>
    <t>ابوالحسنعلی</t>
  </si>
  <si>
    <t>ابوالحسن امین</t>
  </si>
  <si>
    <t>ابوالحسن اردکانی</t>
  </si>
  <si>
    <t>ابوالحسن بزّاز</t>
  </si>
  <si>
    <t>ابوالحسن شیرازی</t>
  </si>
  <si>
    <t>ابوالهدی</t>
  </si>
  <si>
    <t>ابوالکریم</t>
  </si>
  <si>
    <t>ابوالقاسم</t>
  </si>
  <si>
    <t>ابوالقاسم علاقه بند اصفهانی</t>
  </si>
  <si>
    <t>Abu’l-Qásim-i-ʿAláqih-Band-i-Iṣfahání</t>
  </si>
  <si>
    <t>ابوالقاسم ابن حاجی زینا</t>
  </si>
  <si>
    <t>ابوالقاسم همدانی</t>
  </si>
  <si>
    <t>ابوالقاسم کاشی</t>
  </si>
  <si>
    <t>ابوالقاسم خراسانی</t>
  </si>
  <si>
    <t>ابوالقاسم مزکانی</t>
  </si>
  <si>
    <t>ابوالقاسم قائم مقام</t>
  </si>
  <si>
    <t>ابوالقاسم شیرازی</t>
  </si>
  <si>
    <t>ابو محمّد</t>
  </si>
  <si>
    <t>ابو مسلم</t>
  </si>
  <si>
    <t>ابو نصر</t>
  </si>
  <si>
    <t>ابوقیر</t>
  </si>
  <si>
    <t>ابو رحیم</t>
  </si>
  <si>
    <t>ابوالشّرور</t>
  </si>
  <si>
    <t xml:space="preserve">“the father of iniquities” </t>
  </si>
  <si>
    <t>ابوسنان</t>
  </si>
  <si>
    <t>ابوطالب</t>
  </si>
  <si>
    <t xml:space="preserve">Mullá Abú-Tálib </t>
  </si>
  <si>
    <t>ابوطالب سنگسری</t>
  </si>
  <si>
    <t>ابوطالب شهمیرزادی</t>
  </si>
  <si>
    <t>ابو تراب</t>
  </si>
  <si>
    <t>ابو تراب قزوینی</t>
  </si>
  <si>
    <t>ابو عمرعثمان</t>
  </si>
  <si>
    <t>ابواب</t>
  </si>
  <si>
    <t>pl. of Báb</t>
  </si>
  <si>
    <t>ابواب اربعه</t>
  </si>
  <si>
    <t>“the Four Gates”</t>
  </si>
  <si>
    <t>عاد</t>
  </si>
  <si>
    <t>ادبیّات</t>
  </si>
  <si>
    <t>عدسیّه</t>
  </si>
  <si>
    <t>الضریر</t>
  </si>
  <si>
    <t>الدّرالبهیّه</t>
  </si>
  <si>
    <t>اذان</t>
  </si>
  <si>
    <t>Muslim call to prayer</t>
  </si>
  <si>
    <t>آذربایجان</t>
  </si>
  <si>
    <t>Persian pronunciation</t>
  </si>
  <si>
    <t>الذّاتیه</t>
  </si>
  <si>
    <t>اذکار</t>
  </si>
  <si>
    <t>ادیب</t>
  </si>
  <si>
    <t>literally ›the learned‹</t>
  </si>
  <si>
    <t>ادیب الهی</t>
  </si>
  <si>
    <t>a Hand of the Cause</t>
  </si>
  <si>
    <t>ادیب العلما</t>
  </si>
  <si>
    <t>ادعیّه</t>
  </si>
  <si>
    <t>ادجا</t>
  </si>
  <si>
    <t>ادجاع</t>
  </si>
  <si>
    <t>عدل</t>
  </si>
  <si>
    <t>عضدالدّوله</t>
  </si>
  <si>
    <t>(AD 978–983)</t>
  </si>
  <si>
    <t>عضدالدّوالملک</t>
  </si>
  <si>
    <t>افاقی</t>
  </si>
  <si>
    <t>افچه</t>
  </si>
  <si>
    <t>افضل الاملک</t>
  </si>
  <si>
    <t>افغان</t>
  </si>
  <si>
    <t>افغانی</t>
  </si>
  <si>
    <t>افغانستان</t>
  </si>
  <si>
    <t>افنان</t>
  </si>
  <si>
    <t>literally ›twigs‹. Denotes the relations of the Báb.</t>
  </si>
  <si>
    <t>افنان کبیر</t>
  </si>
  <si>
    <t>افراسیاب</t>
  </si>
  <si>
    <t>افروخته</t>
  </si>
  <si>
    <t>افشار</t>
  </si>
  <si>
    <t>افشین</t>
  </si>
  <si>
    <t>آفتاب</t>
  </si>
  <si>
    <t>آفتابه</t>
  </si>
  <si>
    <t>افطحه</t>
  </si>
  <si>
    <t>افوس</t>
  </si>
  <si>
    <t>آگاه الله</t>
  </si>
  <si>
    <t>آغ</t>
  </si>
  <si>
    <t>آغا</t>
  </si>
  <si>
    <t>آغاسی</t>
  </si>
  <si>
    <t>اغصان</t>
  </si>
  <si>
    <t>literally ›branches‹. Denotes sons and male descendants of Bahá’u’lláh.</t>
  </si>
  <si>
    <t>احد</t>
  </si>
  <si>
    <t>احدأ</t>
  </si>
  <si>
    <t>احادیث</t>
  </si>
  <si>
    <t>آهنگ</t>
  </si>
  <si>
    <t>آهنگ بدیع</t>
  </si>
  <si>
    <t>عهد</t>
  </si>
  <si>
    <t>Covenant</t>
  </si>
  <si>
    <t>احکام</t>
  </si>
  <si>
    <t>احکام عدل آن</t>
  </si>
  <si>
    <t>اهل بهاء</t>
  </si>
  <si>
    <t>people of Bahá</t>
  </si>
  <si>
    <t>اهل بیان</t>
  </si>
  <si>
    <t xml:space="preserve">“People of the Bayán” </t>
  </si>
  <si>
    <t>اهل کتاب</t>
  </si>
  <si>
    <t>people of the Book</t>
  </si>
  <si>
    <t>احمد</t>
  </si>
  <si>
    <t>احمدی</t>
  </si>
  <si>
    <t>احمد احسائی</t>
  </si>
  <si>
    <t>احمد علّاف</t>
  </si>
  <si>
    <t>احمد ازغندی</t>
  </si>
  <si>
    <t>احمد بحرینی</t>
  </si>
  <si>
    <t>احمد ابن ابی طالب طبرسی</t>
  </si>
  <si>
    <t xml:space="preserve">احمد ابن زین الدّین ابن ابراهیم ابن سخر ابن ابراهیم ابن زاهر ابن ظاهر ابن رمضان ابن رشید ابن دهیم ابن شمرخ ابن سله  </t>
  </si>
  <si>
    <t>احمد ابدال</t>
  </si>
  <si>
    <t>احمد ابدال مراغه ای</t>
  </si>
  <si>
    <t>احمد کاشانی</t>
  </si>
  <si>
    <t>احمد کاتب</t>
  </si>
  <si>
    <t>احمد خراسانی</t>
  </si>
  <si>
    <t>احمد کرمانی</t>
  </si>
  <si>
    <t>احمد موعود</t>
  </si>
  <si>
    <t>The promised Aḥmad</t>
  </si>
  <si>
    <t>احمد معلّم</t>
  </si>
  <si>
    <t>احمد نخود بریز</t>
  </si>
  <si>
    <t>احمد پیوندی</t>
  </si>
  <si>
    <t>احمد قزوینی</t>
  </si>
  <si>
    <t>احمد روحی</t>
  </si>
  <si>
    <t>احمد صفّار</t>
  </si>
  <si>
    <t>احمد یزدی</t>
  </si>
  <si>
    <t>احمدیّه</t>
  </si>
  <si>
    <t>احمر</t>
  </si>
  <si>
    <t>احمدآباد</t>
  </si>
  <si>
    <t>احراری</t>
  </si>
  <si>
    <t>اهریمن</t>
  </si>
  <si>
    <t>احسا</t>
  </si>
  <si>
    <t>place in northern Bahrain, birthplace of Shaykh Aḥmad, and district in north-east of Arabian peninsula</t>
  </si>
  <si>
    <t>احسائی</t>
  </si>
  <si>
    <t>احسن</t>
  </si>
  <si>
    <t>احسن القصص</t>
  </si>
  <si>
    <t>One of the commentaries on the Qur’án revealed by the Báb, on the Súrih of Joseph, translated by Ṭáhirih.</t>
  </si>
  <si>
    <t>آهو</t>
  </si>
  <si>
    <t>“gazelle, deer, antelope”</t>
  </si>
  <si>
    <t>اهواز</t>
  </si>
  <si>
    <t>عائیشه</t>
  </si>
  <si>
    <t>wife of Muḥammad and daughter of Abú-Bakr</t>
  </si>
  <si>
    <t>عجب</t>
  </si>
  <si>
    <t>اجل</t>
  </si>
  <si>
    <t>term or duration</t>
  </si>
  <si>
    <t>آجودانباشی</t>
  </si>
  <si>
    <t xml:space="preserve">Chief Adjutant </t>
  </si>
  <si>
    <t>اجوبة المسائل</t>
  </si>
  <si>
    <t>اکبر</t>
  </si>
  <si>
    <t>›Greater‹, ›greatest‹. (See ›Kabír‹.)</t>
  </si>
  <si>
    <t>اکبر ابن عابد</t>
  </si>
  <si>
    <t>اکبر میلانی</t>
  </si>
  <si>
    <t>اخوان صفا</t>
  </si>
  <si>
    <t>اخباری</t>
  </si>
  <si>
    <t xml:space="preserve">School founded by Mullá Muḥammad-Amír of Astarábád. </t>
  </si>
  <si>
    <t>آخره</t>
  </si>
  <si>
    <t>اخلاق</t>
  </si>
  <si>
    <t xml:space="preserve">“ethics” </t>
  </si>
  <si>
    <t>اخلاقی</t>
  </si>
  <si>
    <t>اختر</t>
  </si>
  <si>
    <t>اختران تابان</t>
  </si>
  <si>
    <t>اخترخاوری</t>
  </si>
  <si>
    <t>آخوند</t>
  </si>
  <si>
    <t>akhond—Muslim priest</t>
  </si>
  <si>
    <t>عاکفان</t>
  </si>
  <si>
    <t xml:space="preserve">devoted “inmates” </t>
  </si>
  <si>
    <t>عکّا</t>
  </si>
  <si>
    <t>آل</t>
  </si>
  <si>
    <t>اعلی ، اعلآ</t>
  </si>
  <si>
    <t>الابهی</t>
  </si>
  <si>
    <t>›The Most Glorious‹.</t>
  </si>
  <si>
    <t>العابدین</t>
  </si>
  <si>
    <t>الافغانی</t>
  </si>
  <si>
    <t>الافطح</t>
  </si>
  <si>
    <t>al = “the”</t>
  </si>
  <si>
    <t>الاحمر</t>
  </si>
  <si>
    <t>الاحسا</t>
  </si>
  <si>
    <t>الاحسائی</t>
  </si>
  <si>
    <t>علائی</t>
  </si>
  <si>
    <t>الاعلی</t>
  </si>
  <si>
    <t>آلام</t>
  </si>
  <si>
    <t xml:space="preserve">pl. of Alam: “pain, ache, suffering, agony” </t>
  </si>
  <si>
    <t>علم</t>
  </si>
  <si>
    <t xml:space="preserve">“sign, token” </t>
  </si>
  <si>
    <t>عالم</t>
  </si>
  <si>
    <t>“world”</t>
  </si>
  <si>
    <t>علّامه</t>
  </si>
  <si>
    <t xml:space="preserve">“standard, flay, banner” </t>
  </si>
  <si>
    <t>عالم الامر</t>
  </si>
  <si>
    <t>عالم الحقّ</t>
  </si>
  <si>
    <t>عالم الخلق</t>
  </si>
  <si>
    <t xml:space="preserve">“kingdom of creation” </t>
  </si>
  <si>
    <t>الموت</t>
  </si>
  <si>
    <t>الانبیاء</t>
  </si>
  <si>
    <t>الانور</t>
  </si>
  <si>
    <t>العاقب</t>
  </si>
  <si>
    <t>“Final”, as in Muḥammad is the final Messenger</t>
  </si>
  <si>
    <t>العقلیّه</t>
  </si>
  <si>
    <t>العقل الاوّل</t>
  </si>
  <si>
    <t>العشری</t>
  </si>
  <si>
    <t>العسکر</t>
  </si>
  <si>
    <t>العسکری</t>
  </si>
  <si>
    <t>الاسرار</t>
  </si>
  <si>
    <t>الاطبّا</t>
  </si>
  <si>
    <t>علاءالدّوله</t>
  </si>
  <si>
    <t>علاالملک</t>
  </si>
  <si>
    <t>علاءالسّلطنه</t>
  </si>
  <si>
    <t>علویان</t>
  </si>
  <si>
    <t>Buzurg</t>
  </si>
  <si>
    <t>الأوسط</t>
  </si>
  <si>
    <t>العوام</t>
  </si>
  <si>
    <t>الاعیان</t>
  </si>
  <si>
    <t>الاعظم</t>
  </si>
  <si>
    <t>البابیّون</t>
  </si>
  <si>
    <t>البغدادی</t>
  </si>
  <si>
    <t>البهاء</t>
  </si>
  <si>
    <t>البحرانی</t>
  </si>
  <si>
    <t>البلاغه</t>
  </si>
  <si>
    <t>الباقی</t>
  </si>
  <si>
    <t>البسری</t>
  </si>
  <si>
    <t>البطحا</t>
  </si>
  <si>
    <t>البثا</t>
  </si>
  <si>
    <t>الباطل</t>
  </si>
  <si>
    <t>الباطن</t>
  </si>
  <si>
    <t>البیان</t>
  </si>
  <si>
    <t>البشارت</t>
  </si>
  <si>
    <t>البرز</t>
  </si>
  <si>
    <t>الدجّال</t>
  </si>
  <si>
    <t>الدّین</t>
  </si>
  <si>
    <t>الفضل</t>
  </si>
  <si>
    <t>الفاعل</t>
  </si>
  <si>
    <t>الفارابی</t>
  </si>
  <si>
    <t>the Paraclete</t>
  </si>
  <si>
    <t>الفاسقون</t>
  </si>
  <si>
    <t>الفاتحه</t>
  </si>
  <si>
    <t>الفیّاض</t>
  </si>
  <si>
    <t>الفطر</t>
  </si>
  <si>
    <t>الفقها</t>
  </si>
  <si>
    <t>الفتوحات</t>
  </si>
  <si>
    <t>الغاشیات</t>
  </si>
  <si>
    <t xml:space="preserve">“day that shall overshadow” </t>
  </si>
  <si>
    <t>الغوث</t>
  </si>
  <si>
    <t xml:space="preserve">“succorer” </t>
  </si>
  <si>
    <t>الغیبه</t>
  </si>
  <si>
    <t>الهادی</t>
  </si>
  <si>
    <t>الحاعرون</t>
  </si>
  <si>
    <t>الحجّاج</t>
  </si>
  <si>
    <t>الحَکَم</t>
  </si>
  <si>
    <t>الحکیم</t>
  </si>
  <si>
    <t>الحلبی</t>
  </si>
  <si>
    <t>الحلّاج</t>
  </si>
  <si>
    <t>الحمد</t>
  </si>
  <si>
    <t>الحمدالله</t>
  </si>
  <si>
    <t>“the Red Palace”, the Alhambra</t>
  </si>
  <si>
    <t>الحنفیّه</t>
  </si>
  <si>
    <t>الحقّ</t>
  </si>
  <si>
    <t>الحسن</t>
  </si>
  <si>
    <t>الهاشر</t>
  </si>
  <si>
    <t xml:space="preserve">“Gatherer or collector” </t>
  </si>
  <si>
    <t>الحشر</t>
  </si>
  <si>
    <t>الحوادث</t>
  </si>
  <si>
    <t>الحیّ</t>
  </si>
  <si>
    <t>الحلّی</t>
  </si>
  <si>
    <t>الحمیری</t>
  </si>
  <si>
    <t>الهدی</t>
  </si>
  <si>
    <t>الحجه</t>
  </si>
  <si>
    <t>الحرّ</t>
  </si>
  <si>
    <t>علی</t>
  </si>
  <si>
    <t>The first Imám, the rightful successor of Muḥammad; also the fourth Caliph.</t>
  </si>
  <si>
    <t>عالی</t>
  </si>
  <si>
    <t>علی آباد</t>
  </si>
  <si>
    <t>علی احمد</t>
  </si>
  <si>
    <t>علی اکبر</t>
  </si>
  <si>
    <t>علی اکبر اردستانی</t>
  </si>
  <si>
    <t>علی اکبر مزگانی</t>
  </si>
  <si>
    <t>علی اکبر مازگانی</t>
  </si>
  <si>
    <t>علی اکبر نجّار</t>
  </si>
  <si>
    <t>علی اکبر نراقی</t>
  </si>
  <si>
    <t>علی اکبر قوچانی</t>
  </si>
  <si>
    <t>علی اکبر شهمیرزادی</t>
  </si>
  <si>
    <t>علی اصغر</t>
  </si>
  <si>
    <t>علی اشرف</t>
  </si>
  <si>
    <t>NDW &lt;choice&gt;&lt;orig n="ndw"&gt;&amp;#8216;Al&amp;iacute;-Ashraf&lt;/orig&gt;&lt;reg n="dw"&gt;&amp;#8216;Al&amp;iacute;-A&amp;sh_unsc;raf&lt;/reg&gt;&lt;/choice&gt;</t>
  </si>
  <si>
    <t>علی اشرفِ</t>
  </si>
  <si>
    <t>علی عسکر</t>
  </si>
  <si>
    <t>علی عسکر تبریزی</t>
  </si>
  <si>
    <t>علی بابا</t>
  </si>
  <si>
    <t>آل بویه</t>
  </si>
  <si>
    <t>الف</t>
  </si>
  <si>
    <t>علی حمزه</t>
  </si>
  <si>
    <t>علی ابن ابیطالب</t>
  </si>
  <si>
    <t>Cousin and son-in-law of Muḥammad</t>
  </si>
  <si>
    <t>علی ابن ابوطالب</t>
  </si>
  <si>
    <t>علی ابن محمّد</t>
  </si>
  <si>
    <t>علی ابن موسی الرّضا</t>
  </si>
  <si>
    <t>علی جان</t>
  </si>
  <si>
    <t>الاجتهاد</t>
  </si>
  <si>
    <t>الانتجاب</t>
  </si>
  <si>
    <t>علی خان</t>
  </si>
  <si>
    <t xml:space="preserve">“One who possess knowledge” </t>
  </si>
  <si>
    <t>علیمه</t>
  </si>
  <si>
    <t>علی مردان</t>
  </si>
  <si>
    <t>الامّت الکبری</t>
  </si>
  <si>
    <t xml:space="preserve">“most Great Name” </t>
  </si>
  <si>
    <t>علی میرزای شیرازی</t>
  </si>
  <si>
    <t>علی محمّد</t>
  </si>
  <si>
    <t>علی محمّد سراج</t>
  </si>
  <si>
    <t>علی مراد</t>
  </si>
  <si>
    <t>علی نقی</t>
  </si>
  <si>
    <t>الانسان</t>
  </si>
  <si>
    <t>علی پاشا</t>
  </si>
  <si>
    <t>Muḥammad Amín</t>
  </si>
  <si>
    <t>علی قبل محمّد</t>
  </si>
  <si>
    <t>علیقلی</t>
  </si>
  <si>
    <t>علیقلی خان</t>
  </si>
  <si>
    <t>علیرضا</t>
  </si>
  <si>
    <t>علیرضا مستوفی</t>
  </si>
  <si>
    <t>علی شوکت</t>
  </si>
  <si>
    <t>الاسلام</t>
  </si>
  <si>
    <t>العصمت الکبری</t>
  </si>
  <si>
    <t>الاستبصار</t>
  </si>
  <si>
    <t>الاستقامه</t>
  </si>
  <si>
    <t>علی برقانی</t>
  </si>
  <si>
    <t>علی بارفروشی</t>
  </si>
  <si>
    <t>علی بسطامی</t>
  </si>
  <si>
    <t xml:space="preserve">Mullá—a Letter of the Living </t>
  </si>
  <si>
    <t>علی کانی</t>
  </si>
  <si>
    <t>علی کرمانشاهی</t>
  </si>
  <si>
    <t>علی میری</t>
  </si>
  <si>
    <t>علی مذهّب</t>
  </si>
  <si>
    <t>علی قزوینی</t>
  </si>
  <si>
    <t>علی سبزواری</t>
  </si>
  <si>
    <t>علی سلمانی</t>
  </si>
  <si>
    <t>علی سردار</t>
  </si>
  <si>
    <t>علی سیّاح مراغه ای</t>
  </si>
  <si>
    <t>علی طبیب زنجانی</t>
  </si>
  <si>
    <t>علی تبریزی</t>
  </si>
  <si>
    <t>علی تفرشی</t>
  </si>
  <si>
    <t>علی ترشیزی</t>
  </si>
  <si>
    <t>علی زنجانی</t>
  </si>
  <si>
    <t>علی زرگر</t>
  </si>
  <si>
    <t>علی اللهی</t>
  </si>
  <si>
    <t>علی الاعلی</t>
  </si>
  <si>
    <t>علی زاده</t>
  </si>
  <si>
    <t>Maqṣúd `Alízádih</t>
  </si>
  <si>
    <t>العزّ</t>
  </si>
  <si>
    <t>الجامعه</t>
  </si>
  <si>
    <t>الجنّت</t>
  </si>
  <si>
    <t>الجاریّه</t>
  </si>
  <si>
    <t>الجارشی</t>
  </si>
  <si>
    <t>الجمهوریّه</t>
  </si>
  <si>
    <t>الکافرون</t>
  </si>
  <si>
    <t xml:space="preserve">“unbelievers” </t>
  </si>
  <si>
    <t>الکامل</t>
  </si>
  <si>
    <t>الکتاب</t>
  </si>
  <si>
    <t>الکوثر</t>
  </si>
  <si>
    <t>الکاظم</t>
  </si>
  <si>
    <t>الخالص</t>
  </si>
  <si>
    <t>الخاصّ</t>
  </si>
  <si>
    <t>الخاصّه</t>
  </si>
  <si>
    <t>الخوارزمی</t>
  </si>
  <si>
    <t>الخلد</t>
  </si>
  <si>
    <t>الخلّاص</t>
  </si>
  <si>
    <t>الخطبه</t>
  </si>
  <si>
    <t>الخطبات</t>
  </si>
  <si>
    <t>الکبری</t>
  </si>
  <si>
    <t>الله</t>
  </si>
  <si>
    <t>›God‹.</t>
  </si>
  <si>
    <t>الله آباد</t>
  </si>
  <si>
    <t>الله ابهی</t>
  </si>
  <si>
    <t>›God is All-Glorious‹. The Greatest Name, adopted during the period of Bahá’u’lláh's exile in Adrianople as a greeting among Bahá’ís.</t>
  </si>
  <si>
    <t>الله اجمل</t>
  </si>
  <si>
    <t>الله اکبر</t>
  </si>
  <si>
    <t>›God is the Most Great‹. Superseeded by ›Alláh-u-Abhá‹ during the Adrianople period.</t>
  </si>
  <si>
    <t>الله اعظم</t>
  </si>
  <si>
    <t>الله المستغاث</t>
  </si>
  <si>
    <t>اللهم</t>
  </si>
  <si>
    <t>الله وردی</t>
  </si>
  <si>
    <t>الله یار</t>
  </si>
  <si>
    <t>علّام</t>
  </si>
  <si>
    <t xml:space="preserve">“knowing thoroughly” </t>
  </si>
  <si>
    <t>علّامه حلّی</t>
  </si>
  <si>
    <t>“the very erudite Doctor”, a title of the famed Shi’íh theologian, Jamálu’d-Dín Ḥasan ibn-i-Yúsuf ibn-i-`Alí of Hilla, AD 1250–1325</t>
  </si>
  <si>
    <t>علّامه نوری</t>
  </si>
  <si>
    <t>اللمراسکی</t>
  </si>
  <si>
    <t>اللوح</t>
  </si>
  <si>
    <t>المعاصر</t>
  </si>
  <si>
    <t>المئبث</t>
  </si>
  <si>
    <t>المدینه</t>
  </si>
  <si>
    <t>The city to which Muḥammad migrated. (See ›A.H.‹)</t>
  </si>
  <si>
    <t>المفضول</t>
  </si>
  <si>
    <t>المهدی</t>
  </si>
  <si>
    <t>المحفوظ</t>
  </si>
  <si>
    <t>الماحی</t>
  </si>
  <si>
    <t xml:space="preserve">“Obliterator” </t>
  </si>
  <si>
    <t>المختوم</t>
  </si>
  <si>
    <t>المأمون</t>
  </si>
  <si>
    <t>المنصور</t>
  </si>
  <si>
    <t>المسیح</t>
  </si>
  <si>
    <t>المظهرالله</t>
  </si>
  <si>
    <t>المنافقون</t>
  </si>
  <si>
    <t>المنفعل</t>
  </si>
  <si>
    <t>المنفعلین</t>
  </si>
  <si>
    <t>المنتظر</t>
  </si>
  <si>
    <t>المشرکون</t>
  </si>
  <si>
    <t>المستعین</t>
  </si>
  <si>
    <t>المعتصم</t>
  </si>
  <si>
    <t>الندیم</t>
  </si>
  <si>
    <t>النعمین</t>
  </si>
  <si>
    <t>النجفی</t>
  </si>
  <si>
    <t>الناصب</t>
  </si>
  <si>
    <t>النور</t>
  </si>
  <si>
    <t>القادر</t>
  </si>
  <si>
    <t>القارعت</t>
  </si>
  <si>
    <t xml:space="preserve">“terrors” </t>
  </si>
  <si>
    <t>القتیل</t>
  </si>
  <si>
    <t>القیامت</t>
  </si>
  <si>
    <t>a chapter in the Qur’án</t>
  </si>
  <si>
    <t>القران</t>
  </si>
  <si>
    <t>الربوبیّه</t>
  </si>
  <si>
    <t>الرکن الارابع</t>
  </si>
  <si>
    <t>الصادق</t>
  </si>
  <si>
    <t>السفاء</t>
  </si>
  <si>
    <t>الصفّ</t>
  </si>
  <si>
    <t>الصفی</t>
  </si>
  <si>
    <t>السلمه</t>
  </si>
  <si>
    <t>السلطنه</t>
  </si>
  <si>
    <t>الصبح</t>
  </si>
  <si>
    <t>التاج</t>
  </si>
  <si>
    <t>الطالبین</t>
  </si>
  <si>
    <t>التقلید</t>
  </si>
  <si>
    <t>التسبیح</t>
  </si>
  <si>
    <t>التوارخ</t>
  </si>
  <si>
    <t>الثقیب</t>
  </si>
  <si>
    <t>العلما</t>
  </si>
  <si>
    <t>العلوم</t>
  </si>
  <si>
    <t>العمدان</t>
  </si>
  <si>
    <t>العمومی</t>
  </si>
  <si>
    <t>العروه الاوثقی</t>
  </si>
  <si>
    <t>title: “The Indissoluble Link”</t>
  </si>
  <si>
    <t>آلوسی</t>
  </si>
  <si>
    <t>العظمی</t>
  </si>
  <si>
    <t>الواح</t>
  </si>
  <si>
    <t>الواح لیلة القدس</t>
  </si>
  <si>
    <t>Tablet of Bahá’u’lláh</t>
  </si>
  <si>
    <t>الواح سلاطین</t>
  </si>
  <si>
    <t>الواح وصایا</t>
  </si>
  <si>
    <t>Tablet of `Abdu’l-Bahá</t>
  </si>
  <si>
    <t>الواح تبلیغی امریکا</t>
  </si>
  <si>
    <t>الولی</t>
  </si>
  <si>
    <t>الولید</t>
  </si>
  <si>
    <t>6th and 11th Umayyad Caliphs</t>
  </si>
  <si>
    <t>الواقعت</t>
  </si>
  <si>
    <t xml:space="preserve">“inevitable event” </t>
  </si>
  <si>
    <t>الورقائیّه</t>
  </si>
  <si>
    <t>Tablet: Ode of the Dove</t>
  </si>
  <si>
    <t>الوسواس</t>
  </si>
  <si>
    <t>الولایه</t>
  </si>
  <si>
    <t>الیقین</t>
  </si>
  <si>
    <t>الیزدادی</t>
  </si>
  <si>
    <t>الزوراء</t>
  </si>
  <si>
    <t>الزیارت</t>
  </si>
  <si>
    <t>الظنون</t>
  </si>
  <si>
    <t>عما</t>
  </si>
  <si>
    <t xml:space="preserve">“A light cloud”, “a cloud of light” —symbolizes the “First Invisible Substance”, the station of “The Hidden Treasure” </t>
  </si>
  <si>
    <t>آمدم</t>
  </si>
  <si>
    <t>آمدید</t>
  </si>
  <si>
    <t>امانت</t>
  </si>
  <si>
    <t>امان الله</t>
  </si>
  <si>
    <t>امة البهاء</t>
  </si>
  <si>
    <t>امة الله</t>
  </si>
  <si>
    <t>امین الاطبّاء</t>
  </si>
  <si>
    <t>عاملی</t>
  </si>
  <si>
    <t>امین</t>
  </si>
  <si>
    <t>literally ›the trusted‹. Trustee.</t>
  </si>
  <si>
    <t>امینی</t>
  </si>
  <si>
    <t>امین حلبی</t>
  </si>
  <si>
    <t>[Shaykh Amín Ḥalabi]</t>
  </si>
  <si>
    <t>امین الهی</t>
  </si>
  <si>
    <t>امین الدّوله</t>
  </si>
  <si>
    <t>امین البیان</t>
  </si>
  <si>
    <t>امین الله</t>
  </si>
  <si>
    <t>امین العلما</t>
  </si>
  <si>
    <t>امین السّلطان</t>
  </si>
  <si>
    <t xml:space="preserve"> 1997 ed.</t>
  </si>
  <si>
    <t>امیر</t>
  </si>
  <si>
    <t>›Prince‹, ›ruler‹, ›commander‹, ›govenor‹.</t>
  </si>
  <si>
    <t>عامیر</t>
  </si>
  <si>
    <t>عامر</t>
  </si>
  <si>
    <t>“inhabited”</t>
  </si>
  <si>
    <t>امیر المؤمنین</t>
  </si>
  <si>
    <t xml:space="preserve">“Commander of the Faithful” </t>
  </si>
  <si>
    <t>امیر دیوان</t>
  </si>
  <si>
    <t>امیر کبیر</t>
  </si>
  <si>
    <t>امیر کیا</t>
  </si>
  <si>
    <t>امیر نظام</t>
  </si>
  <si>
    <t>امیر تومان</t>
  </si>
  <si>
    <t>امیر الاسلام</t>
  </si>
  <si>
    <t>امیر الشعرا</t>
  </si>
  <si>
    <t xml:space="preserve">“The Emir of Poets” </t>
  </si>
  <si>
    <t>امیرزاده</t>
  </si>
  <si>
    <t>عمّان</t>
  </si>
  <si>
    <t>عمر</t>
  </si>
  <si>
    <t>امر ابدع</t>
  </si>
  <si>
    <t xml:space="preserve">“the Most Wondrous New Cause” </t>
  </si>
  <si>
    <t>امر بدیع</t>
  </si>
  <si>
    <t xml:space="preserve">“the Wondrous New Cause” </t>
  </si>
  <si>
    <t>امر الله</t>
  </si>
  <si>
    <t>عمو</t>
  </si>
  <si>
    <t>عمود</t>
  </si>
  <si>
    <t>عمو جان</t>
  </si>
  <si>
    <t>آمل</t>
  </si>
  <si>
    <t>اناب</t>
  </si>
  <si>
    <t>انبا</t>
  </si>
  <si>
    <t>al-anbá</t>
  </si>
  <si>
    <t>اندلیب</t>
  </si>
  <si>
    <t>عندلیب</t>
  </si>
  <si>
    <t>اندرون</t>
  </si>
  <si>
    <t>اندرونی</t>
  </si>
  <si>
    <t xml:space="preserve">“inner apartments” </t>
  </si>
  <si>
    <t>انگور</t>
  </si>
  <si>
    <t>آنی</t>
  </si>
  <si>
    <t>النّاصر</t>
  </si>
  <si>
    <t>النّور</t>
  </si>
  <si>
    <t>انصار</t>
  </si>
  <si>
    <t xml:space="preserve">“helpers” ; the Medinites who rallied around Muḥammad after His migration from Mecca to Medina were called the Ansár </t>
  </si>
  <si>
    <t>انصاری</t>
  </si>
  <si>
    <t>دجّال</t>
  </si>
  <si>
    <t>انطون</t>
  </si>
  <si>
    <t>known in the West as Anton</t>
  </si>
  <si>
    <t>انوشیروان</t>
  </si>
  <si>
    <t>انور</t>
  </si>
  <si>
    <t>انوری</t>
  </si>
  <si>
    <t>انوار</t>
  </si>
  <si>
    <t>انزلی</t>
  </si>
  <si>
    <t>آقا</t>
  </si>
  <si>
    <t>›Master‹. Title given by Bahá’u’lláh to ʿAbdu’l-Bahá. Also ›Mister‹ when preceding a name.</t>
  </si>
  <si>
    <t>آقا بابا</t>
  </si>
  <si>
    <t>عقائد</t>
  </si>
  <si>
    <t>آقاجان</t>
  </si>
  <si>
    <t>one of the Azalís murdered at `Akká, an artillery man</t>
  </si>
  <si>
    <t>آقاسی</t>
  </si>
  <si>
    <t>آقای کلیم</t>
  </si>
  <si>
    <t>آقای منیر</t>
  </si>
  <si>
    <t>آقای رکاب ساز</t>
  </si>
  <si>
    <t>آقای تبریزی</t>
  </si>
  <si>
    <t>اقدس</t>
  </si>
  <si>
    <t>›The Most Holy‹.</t>
  </si>
  <si>
    <t>عقل</t>
  </si>
  <si>
    <t xml:space="preserve">“intellect, reason and wisdom” </t>
  </si>
  <si>
    <t>عربی</t>
  </si>
  <si>
    <t>عربیّه</t>
  </si>
  <si>
    <t>عربستان</t>
  </si>
  <si>
    <t>عرفات</t>
  </si>
  <si>
    <t>عارفه</t>
  </si>
  <si>
    <t>اراک</t>
  </si>
  <si>
    <t>عراق</t>
  </si>
  <si>
    <t>distilled from raisins, stronger than whiskey or gin</t>
  </si>
  <si>
    <t>ارستو</t>
  </si>
  <si>
    <t>ارباب</t>
  </si>
  <si>
    <t>Dr. Farzam</t>
  </si>
  <si>
    <t>اربعین</t>
  </si>
  <si>
    <t>اربیل</t>
  </si>
  <si>
    <t>اردا</t>
  </si>
  <si>
    <t>اردبیل</t>
  </si>
  <si>
    <t>اردکان</t>
  </si>
  <si>
    <t>also Ardikán</t>
  </si>
  <si>
    <t>اردکانی</t>
  </si>
  <si>
    <t>ارض اعلی</t>
  </si>
  <si>
    <t>“The Exalted Spot”</t>
  </si>
  <si>
    <t>اردبیلی</t>
  </si>
  <si>
    <t>ارض جنّت</t>
  </si>
  <si>
    <t>اردشیر</t>
  </si>
  <si>
    <t>اردستان</t>
  </si>
  <si>
    <t>ارفع</t>
  </si>
  <si>
    <t>عریض</t>
  </si>
  <si>
    <t>عارف</t>
  </si>
  <si>
    <t xml:space="preserve">Gnostic, “mystic or adept” </t>
  </si>
  <si>
    <t>الرّاضی</t>
  </si>
  <si>
    <t>الرّشید</t>
  </si>
  <si>
    <t>الرّشیدین</t>
  </si>
  <si>
    <t>الرّوم</t>
  </si>
  <si>
    <t>عرشیّه</t>
  </si>
  <si>
    <t>ارسلان</t>
  </si>
  <si>
    <t>اسدالله</t>
  </si>
  <si>
    <t>اسدالله اصفهانی</t>
  </si>
  <si>
    <t>اسدالله مازندرانی</t>
  </si>
  <si>
    <t>اسدالله صبّاغ</t>
  </si>
  <si>
    <t>اسداللهیِ</t>
  </si>
  <si>
    <t>اسدالله زاده</t>
  </si>
  <si>
    <t>Ḥusayn</t>
  </si>
  <si>
    <t>اسدیاری</t>
  </si>
  <si>
    <t>آصف الدّولة</t>
  </si>
  <si>
    <t>اصبح</t>
  </si>
  <si>
    <t>اصبحی</t>
  </si>
  <si>
    <t>اصدقی</t>
  </si>
  <si>
    <t>اسفار</t>
  </si>
  <si>
    <t>اصغر</t>
  </si>
  <si>
    <t>“minor, smaller, younger” [Comparative form of ṣaghíra (to belittle)]</t>
  </si>
  <si>
    <t>اصغرزاده</t>
  </si>
  <si>
    <t>اشعار پراکنده</t>
  </si>
  <si>
    <t>عشره</t>
  </si>
  <si>
    <t>اشعری</t>
  </si>
  <si>
    <t>اشعار نعیم</t>
  </si>
  <si>
    <t>اشعریه</t>
  </si>
  <si>
    <t>اشعث</t>
  </si>
  <si>
    <t>اشهد انّ لا اله الاالله</t>
  </si>
  <si>
    <t>اشهد انّ محمّد رسول الله</t>
  </si>
  <si>
    <t>آش کشک</t>
  </si>
  <si>
    <t>عشایر</t>
  </si>
  <si>
    <t>اشجاری</t>
  </si>
  <si>
    <t>اشرف</t>
  </si>
  <si>
    <t>اشرف زنجانی</t>
  </si>
  <si>
    <t>الشهرستانی</t>
  </si>
  <si>
    <t>الشیئی</t>
  </si>
  <si>
    <t>عاشورا</t>
  </si>
  <si>
    <t>عاصف الدّوله</t>
  </si>
  <si>
    <t>آسمان</t>
  </si>
  <si>
    <t>آسیا</t>
  </si>
  <si>
    <t>آسیائی</t>
  </si>
  <si>
    <t>آسیه</t>
  </si>
  <si>
    <t>عسکر</t>
  </si>
  <si>
    <t xml:space="preserve">“army” </t>
  </si>
  <si>
    <t>عسکری</t>
  </si>
  <si>
    <t>اصل کلّ الخیر</t>
  </si>
  <si>
    <t>“Words of Wisdom” by Bahá’u’lláh</t>
  </si>
  <si>
    <t>اسماء</t>
  </si>
  <si>
    <t>آسمانی</t>
  </si>
  <si>
    <t>اسرار شهادت امام</t>
  </si>
  <si>
    <t>عصر</t>
  </si>
  <si>
    <t>الصباح</t>
  </si>
  <si>
    <t>اسد</t>
  </si>
  <si>
    <t>الصّادق</t>
  </si>
  <si>
    <t>الصّغیر</t>
  </si>
  <si>
    <t>الصّحیح</t>
  </si>
  <si>
    <t xml:space="preserve">“genuine” </t>
  </si>
  <si>
    <t>السّخت</t>
  </si>
  <si>
    <t xml:space="preserve">“stunning trumpet blast” </t>
  </si>
  <si>
    <t>السّلام</t>
  </si>
  <si>
    <t>الصّامت</t>
  </si>
  <si>
    <t>الصّیرفی</t>
  </si>
  <si>
    <t>آستانی</t>
  </si>
  <si>
    <t>Yadu’lláh</t>
  </si>
  <si>
    <t>استرآباد</t>
  </si>
  <si>
    <t>اتابک</t>
  </si>
  <si>
    <t>prime minister</t>
  </si>
  <si>
    <t>اتابک اعظم</t>
  </si>
  <si>
    <t>عتبات</t>
  </si>
  <si>
    <t xml:space="preserve">“threshold” </t>
  </si>
  <si>
    <t>عتبات عالیات</t>
  </si>
  <si>
    <t>“supreme Shrines” —Káimayn, Najaf and Karbilá, and Bahá’í Shrines of Báb and Bahá’u’lláh</t>
  </si>
  <si>
    <t>عطاالله</t>
  </si>
  <si>
    <t>آثار</t>
  </si>
  <si>
    <t>آثاری</t>
  </si>
  <si>
    <t>آثار قلم اعلی</t>
  </si>
  <si>
    <t>آثم</t>
  </si>
  <si>
    <t>الثّابته</t>
  </si>
  <si>
    <t>اطبّا</t>
  </si>
  <si>
    <t>عاطفی</t>
  </si>
  <si>
    <t>آتش</t>
  </si>
  <si>
    <t>“fire”</t>
  </si>
  <si>
    <t>عطری</t>
  </si>
  <si>
    <t xml:space="preserve">“distiller of `Aṭṭár” </t>
  </si>
  <si>
    <t>الطّبری</t>
  </si>
  <si>
    <t>الطّبرسی</t>
  </si>
  <si>
    <t>الطّباطبائی</t>
  </si>
  <si>
    <t>الطّائر</t>
  </si>
  <si>
    <t>عطّار</t>
  </si>
  <si>
    <t>التّوحید</t>
  </si>
  <si>
    <t>عوالم</t>
  </si>
  <si>
    <t>عوامید</t>
  </si>
  <si>
    <t xml:space="preserve">“pillars” </t>
  </si>
  <si>
    <t>آوارگان</t>
  </si>
  <si>
    <t>“wanderers”</t>
  </si>
  <si>
    <t>آواره</t>
  </si>
  <si>
    <t xml:space="preserve">“wanderer” </t>
  </si>
  <si>
    <t>عواشق</t>
  </si>
  <si>
    <t>آوه</t>
  </si>
  <si>
    <t>اوجی</t>
  </si>
  <si>
    <t>اوراق ناریّه</t>
  </si>
  <si>
    <t xml:space="preserve">“the Infernal Letters” </t>
  </si>
  <si>
    <t>اوتاد</t>
  </si>
  <si>
    <t>ایادی</t>
  </si>
  <si>
    <t>ایادی امرالله</t>
  </si>
  <si>
    <t>ایّام بطون</t>
  </si>
  <si>
    <t>آیت</t>
  </si>
  <si>
    <t>“signs, miracles, verses” [Singular: áyáh]</t>
  </si>
  <si>
    <t>آیات الهی</t>
  </si>
  <si>
    <t>آیت الکرسی</t>
  </si>
  <si>
    <t>آیت الله</t>
  </si>
  <si>
    <t>آیت الله خراسانی</t>
  </si>
  <si>
    <t>عین</t>
  </si>
  <si>
    <t>عین العین</t>
  </si>
  <si>
    <t xml:space="preserve">equals “`Abdu’l-Bahá `Abbás” </t>
  </si>
  <si>
    <t>عین البقار</t>
  </si>
  <si>
    <t>“the spring of the cow” —an ancient spring in `Akká</t>
  </si>
  <si>
    <t>ایّام ها</t>
  </si>
  <si>
    <t>(See Há).</t>
  </si>
  <si>
    <t>ایّام شداد</t>
  </si>
  <si>
    <t>ایّام تسئه</t>
  </si>
  <si>
    <t>ایّام الله</t>
  </si>
  <si>
    <t>ایّوب</t>
  </si>
  <si>
    <t>آزادی</t>
  </si>
  <si>
    <t>ازل</t>
  </si>
  <si>
    <t>ازلی</t>
  </si>
  <si>
    <t>اعظم</t>
  </si>
  <si>
    <t>›The greatest‹.</t>
  </si>
  <si>
    <t>عظمت</t>
  </si>
  <si>
    <t>›Grandeur‹. Fourth month of the Badíʿ calendar.</t>
  </si>
  <si>
    <t>اعظمی</t>
  </si>
  <si>
    <t>از باغ الهی</t>
  </si>
  <si>
    <t>“From the Garden of Holiness” by Bahá’u’lláh</t>
  </si>
  <si>
    <t>ازغند</t>
  </si>
  <si>
    <t>اظهری</t>
  </si>
  <si>
    <t>عظیم</t>
  </si>
  <si>
    <t>“the Great One” [Superlative form of azuma—“to make great”]</t>
  </si>
  <si>
    <t>عظیم خوئی</t>
  </si>
  <si>
    <t>عظیم تفریشی</t>
  </si>
  <si>
    <t>عزیز</t>
  </si>
  <si>
    <t>عزیزی</t>
  </si>
  <si>
    <t>عزیزالله</t>
  </si>
  <si>
    <t>الظّالمون</t>
  </si>
  <si>
    <t>با</t>
  </si>
  <si>
    <t>باب</t>
  </si>
  <si>
    <t>›Gate‹. Title assumed by Mírzá ʿAlí-Muḥammad, after the declaration of His Mission in íráz in May 1844 A.D.</t>
  </si>
  <si>
    <t>بابا</t>
  </si>
  <si>
    <t>بهائی</t>
  </si>
  <si>
    <t>بابا اسکی</t>
  </si>
  <si>
    <t>باباکوهی</t>
  </si>
  <si>
    <t>بابازاده</t>
  </si>
  <si>
    <t xml:space="preserve">“the Bábí Faith” ; “an adherent of the Báb’s Faith” </t>
  </si>
  <si>
    <t>بابی</t>
  </si>
  <si>
    <t>Follower of the Báb.</t>
  </si>
  <si>
    <t>باب علی</t>
  </si>
  <si>
    <t>designation of the seat of power in Constantinople</t>
  </si>
  <si>
    <t>باب امین</t>
  </si>
  <si>
    <t>a door on the Shrine of the Báb</t>
  </si>
  <si>
    <t>باب اشرف</t>
  </si>
  <si>
    <t>بابی - بهائی</t>
  </si>
  <si>
    <t>باب بالا</t>
  </si>
  <si>
    <t>بابی دختران</t>
  </si>
  <si>
    <t>باب فضل</t>
  </si>
  <si>
    <t>باب کریم</t>
  </si>
  <si>
    <t>باب البواب</t>
  </si>
  <si>
    <t>باب ماکسول</t>
  </si>
  <si>
    <t>باب قصّابچی</t>
  </si>
  <si>
    <t>بابیّت</t>
  </si>
  <si>
    <t>بابیّه</t>
  </si>
  <si>
    <t>باب الدّین</t>
  </si>
  <si>
    <t>باب الباب</t>
  </si>
  <si>
    <t>›The Gate of the Gate‹. Title of Mullá Ḥusayn, the first Letter of the Living.</t>
  </si>
  <si>
    <t>باب الله</t>
  </si>
  <si>
    <t>بدخشان</t>
  </si>
  <si>
    <t>بدشت</t>
  </si>
  <si>
    <t>بدایع آلاثار</t>
  </si>
  <si>
    <t>diary of Mírzá Mamúd-i-Zarqání</t>
  </si>
  <si>
    <t>بدیع</t>
  </si>
  <si>
    <t>literally ›the wonderful‹.</t>
  </si>
  <si>
    <t>بدیعه</t>
  </si>
  <si>
    <t>بادنجان</t>
  </si>
  <si>
    <t>بدیع الحیات</t>
  </si>
  <si>
    <t>“wondrous Life” —name give by Bahá’u’lláh to Mírzá Ja`far</t>
  </si>
  <si>
    <t>بدیع الله</t>
  </si>
  <si>
    <t>بدری</t>
  </si>
  <si>
    <t>بدرالدّین</t>
  </si>
  <si>
    <t>باغ</t>
  </si>
  <si>
    <t xml:space="preserve">“Garden” </t>
  </si>
  <si>
    <t>باغبان باشی</t>
  </si>
  <si>
    <t>بغداد</t>
  </si>
  <si>
    <t>بغدادی</t>
  </si>
  <si>
    <t>بغی</t>
  </si>
  <si>
    <t>باغ فردوس</t>
  </si>
  <si>
    <t>باغ الهی</t>
  </si>
  <si>
    <t>باغ جنّت</t>
  </si>
  <si>
    <t xml:space="preserve">“garden of Paradise” </t>
  </si>
  <si>
    <t>باغ تخت</t>
  </si>
  <si>
    <t>باغ پنبه</t>
  </si>
  <si>
    <t>بقیّه الله</t>
  </si>
  <si>
    <t>بهاء</t>
  </si>
  <si>
    <t>›Glory‹, ›splendour‹, ›light‹. Title by which Bahá’u’lláh (Mírzá Ḥusayn-ʿAlí) is designated. First month of the Badíʿ calendar.</t>
  </si>
  <si>
    <t>بهادر</t>
  </si>
  <si>
    <t>Follower of Bahá’u’lláh.</t>
  </si>
  <si>
    <t>بهائی - ازلی</t>
  </si>
  <si>
    <t>جامعه بهائی</t>
  </si>
  <si>
    <t>تعالیم بهائی</t>
  </si>
  <si>
    <t>آئین بهائی</t>
  </si>
  <si>
    <t>مؤسسّه نشر آثار بهائی</t>
  </si>
  <si>
    <t>نظم بهائی</t>
  </si>
  <si>
    <t>poor use of term ‘Gemeindeordnungʼ or ‘Ordnung der Gemeindeʼ “the order of the community”</t>
  </si>
  <si>
    <t>بهائیّه</t>
  </si>
  <si>
    <t>“Radiant” or “Full of Glory”, a derivative of Bahá</t>
  </si>
  <si>
    <t>بهار</t>
  </si>
  <si>
    <t>بهارستان</t>
  </si>
  <si>
    <t>بهاءالابهی</t>
  </si>
  <si>
    <t>›The Glory of the Most Glorious‹.</t>
  </si>
  <si>
    <t>بهاءالله</t>
  </si>
  <si>
    <t>›The Glory of God‹. Title of Mírzá Ḥusayn-ʿAlí; born Ṭihrán, Persia, 12 Nov. 1817; ascended Bahjí, Palestine (now Israel), 29 May 1892.</t>
  </si>
  <si>
    <t>بهاءالله الابهی</t>
  </si>
  <si>
    <t>بهّاج</t>
  </si>
  <si>
    <t>باهری</t>
  </si>
  <si>
    <t>بهیّه</t>
  </si>
  <si>
    <t>بهجی</t>
  </si>
  <si>
    <t>literally ›delight‹. Denotes that part of the Plain of ʿAkká (Israel) where the Shrine and the Mansion of Bahá’u’lláh are situated.</t>
  </si>
  <si>
    <t>بهمن</t>
  </si>
  <si>
    <t>بهنمیر</t>
  </si>
  <si>
    <t>بهرام</t>
  </si>
  <si>
    <t>بهرامی</t>
  </si>
  <si>
    <t>بهرامشاهی</t>
  </si>
  <si>
    <t>بحرین</t>
  </si>
  <si>
    <t>Islands in the southern Persian Gulf</t>
  </si>
  <si>
    <t>بحرالعلوم</t>
  </si>
  <si>
    <t xml:space="preserve">“searching, seeking” </t>
  </si>
  <si>
    <t>بحث</t>
  </si>
  <si>
    <t>بحثی</t>
  </si>
  <si>
    <t>بیت العدل</t>
  </si>
  <si>
    <t>باجی</t>
  </si>
  <si>
    <t>بجستانی</t>
  </si>
  <si>
    <t>بخت</t>
  </si>
  <si>
    <t>بخشعلی</t>
  </si>
  <si>
    <t>بخت آور</t>
  </si>
  <si>
    <t>بختیار</t>
  </si>
  <si>
    <t>بختیاری</t>
  </si>
  <si>
    <t>باکو</t>
  </si>
  <si>
    <t>بالا</t>
  </si>
  <si>
    <t xml:space="preserve">“up, above” </t>
  </si>
  <si>
    <t>بالا خانه</t>
  </si>
  <si>
    <t>بالاخیابان</t>
  </si>
  <si>
    <t>بلال</t>
  </si>
  <si>
    <t>بالارستاق</t>
  </si>
  <si>
    <t>بالاساری</t>
  </si>
  <si>
    <t>بالاتر</t>
  </si>
  <si>
    <t>بلوچ</t>
  </si>
  <si>
    <t>بلوچستان</t>
  </si>
  <si>
    <t>بنادک</t>
  </si>
  <si>
    <t>بنانی</t>
  </si>
  <si>
    <t>بندرعبّاس</t>
  </si>
  <si>
    <t>بندرجز</t>
  </si>
  <si>
    <t>بنده باب بهاء</t>
  </si>
  <si>
    <t>بنده خدا</t>
  </si>
  <si>
    <t>بنی</t>
  </si>
  <si>
    <t>بنی هاشم</t>
  </si>
  <si>
    <t>The family from which Muḥammad was descended.</t>
  </si>
  <si>
    <t>بنی امیّه</t>
  </si>
  <si>
    <t>بقا</t>
  </si>
  <si>
    <t>باقی</t>
  </si>
  <si>
    <t>بقیع</t>
  </si>
  <si>
    <t xml:space="preserve">place </t>
  </si>
  <si>
    <t>باقر</t>
  </si>
  <si>
    <t>باقر بسطامی</t>
  </si>
  <si>
    <t>باقر کفش دوز</t>
  </si>
  <si>
    <t>باقر کندی</t>
  </si>
  <si>
    <t>باقر کاشانی</t>
  </si>
  <si>
    <t>باقر قائنی</t>
  </si>
  <si>
    <t>باقر رشتی</t>
  </si>
  <si>
    <t>باقر سبّاغ</t>
  </si>
  <si>
    <t>باقر شیرازی</t>
  </si>
  <si>
    <t>باقر تبریزی</t>
  </si>
  <si>
    <t>بقیّه</t>
  </si>
  <si>
    <t>بقیّۃ الله</t>
  </si>
  <si>
    <t>›Remnant of God‹; title applied both to the Báb and to Bahá’u’lláh.</t>
  </si>
  <si>
    <t>باقلوا</t>
  </si>
  <si>
    <t>a sweetmeat</t>
  </si>
  <si>
    <t>برافروخته</t>
  </si>
  <si>
    <t>برغانی</t>
  </si>
  <si>
    <t>برانی</t>
  </si>
  <si>
    <t>برگانی</t>
  </si>
  <si>
    <t>براثا</t>
  </si>
  <si>
    <t>بارفروش</t>
  </si>
  <si>
    <t>بارفروشی</t>
  </si>
  <si>
    <t>برکی</t>
  </si>
  <si>
    <t>بشیر</t>
  </si>
  <si>
    <t>بشیرالهی</t>
  </si>
  <si>
    <t>بشنه</t>
  </si>
  <si>
    <t>بصیر</t>
  </si>
  <si>
    <t xml:space="preserve">“most insightful, discerning, endowed with insight, seeing”. Superlative form of Basár, “sight” </t>
  </si>
  <si>
    <t>باصر</t>
  </si>
  <si>
    <t>بصیرهندی</t>
  </si>
  <si>
    <t>بصری</t>
  </si>
  <si>
    <t>بصره</t>
  </si>
  <si>
    <t>بسطام</t>
  </si>
  <si>
    <t>بسطامی</t>
  </si>
  <si>
    <t>بثا</t>
  </si>
  <si>
    <t>باطل</t>
  </si>
  <si>
    <t xml:space="preserve">“falsehood” </t>
  </si>
  <si>
    <t>باطن</t>
  </si>
  <si>
    <t>باطنی</t>
  </si>
  <si>
    <t>باطنیّه</t>
  </si>
  <si>
    <t>باطوم</t>
  </si>
  <si>
    <t>بوانت</t>
  </si>
  <si>
    <t>بوانات</t>
  </si>
  <si>
    <t>بوانات فارس</t>
  </si>
  <si>
    <t>باوند</t>
  </si>
  <si>
    <t>باید</t>
  </si>
  <si>
    <t>بیان</t>
  </si>
  <si>
    <t>›Exposition‹, ›explanation‹. Title given by the Báb to His Revelation, and to two of His Writings, one in Persian the other in Arabic.</t>
  </si>
  <si>
    <t>بیان فارسی</t>
  </si>
  <si>
    <t>The Persian Bayán</t>
  </si>
  <si>
    <t>بایزید</t>
  </si>
  <si>
    <t>بیضاوی</t>
  </si>
  <si>
    <t>بیضون</t>
  </si>
  <si>
    <t>بیت</t>
  </si>
  <si>
    <t>بیت اعظم</t>
  </si>
  <si>
    <t xml:space="preserve">“the Most Great House”. House of Bahá’u’lláh in Baghdád </t>
  </si>
  <si>
    <t>بیت العدل اعظم</t>
  </si>
  <si>
    <t>The Universal House of Justice</t>
  </si>
  <si>
    <t>بیت العدل خصوصی</t>
  </si>
  <si>
    <t>بیت العدل محلّی</t>
  </si>
  <si>
    <t xml:space="preserve">بیت العدل مرکزی </t>
  </si>
  <si>
    <t>بیت العدل ملّی</t>
  </si>
  <si>
    <t>بیت العدل عمومی</t>
  </si>
  <si>
    <t>بیت الله</t>
  </si>
  <si>
    <t>“the House of God” —the Ka’bah</t>
  </si>
  <si>
    <t>بیت المعمور</t>
  </si>
  <si>
    <t>“Frequented Fane” —in Islám, the Ka’bah or its archetype in heaven</t>
  </si>
  <si>
    <t>بازار</t>
  </si>
  <si>
    <t>بزّاز</t>
  </si>
  <si>
    <t xml:space="preserve">“the mercer” </t>
  </si>
  <si>
    <t>بی بی جان جان بگم</t>
  </si>
  <si>
    <t>بی بی زهرا بگم</t>
  </si>
  <si>
    <t>بفرمائید</t>
  </si>
  <si>
    <t>بگ سنندجی</t>
  </si>
  <si>
    <t>بگوم</t>
  </si>
  <si>
    <t>بحار</t>
  </si>
  <si>
    <t>بحار النوار</t>
  </si>
  <si>
    <t>بهبهانی</t>
  </si>
  <si>
    <t>بهشت</t>
  </si>
  <si>
    <t>بهستون</t>
  </si>
  <si>
    <t>بهجت السّلطنه</t>
  </si>
  <si>
    <t>بهمردی</t>
  </si>
  <si>
    <t>بهزاد</t>
  </si>
  <si>
    <t>a maker of popular and valuable miniatures</t>
  </si>
  <si>
    <t>بی مناسبت</t>
  </si>
  <si>
    <t>بنشینید</t>
  </si>
  <si>
    <t>بنیامین</t>
  </si>
  <si>
    <t>Benjamin</t>
  </si>
  <si>
    <t>بقاع</t>
  </si>
  <si>
    <t>بیرجند</t>
  </si>
  <si>
    <t>برجیس</t>
  </si>
  <si>
    <t>برکاس</t>
  </si>
  <si>
    <t>بیرونی</t>
  </si>
  <si>
    <t xml:space="preserve">“Outer apartments” or “men’s quarter” </t>
  </si>
  <si>
    <t>بشارات</t>
  </si>
  <si>
    <t>literally ›Glad tidings‹. Title of one of the Tablets of Bahá’u’lláh.</t>
  </si>
  <si>
    <t>بشاش</t>
  </si>
  <si>
    <t>“pee”</t>
  </si>
  <si>
    <t>بسم الله</t>
  </si>
  <si>
    <t>بسم الله الامنع الاقدس</t>
  </si>
  <si>
    <t>“in the Name of God, the Most Unapproachable, the Most Holy” —Báb</t>
  </si>
  <si>
    <t>بسم الله الابهی الابهی</t>
  </si>
  <si>
    <t xml:space="preserve">“in the name of God, the Glorious, the Most Glorious” </t>
  </si>
  <si>
    <t>بسم الله الرّحمن الرّحیم</t>
  </si>
  <si>
    <t>“in the Name of the Merciful, Compassionate God” —first verse of the Qur’án</t>
  </si>
  <si>
    <t>بیست</t>
  </si>
  <si>
    <t>بیستون</t>
  </si>
  <si>
    <t>“pillarless”</t>
  </si>
  <si>
    <t>بگو</t>
  </si>
  <si>
    <t>“say”</t>
  </si>
  <si>
    <t>بجنورد</t>
  </si>
  <si>
    <t>بخارا</t>
  </si>
  <si>
    <t>بخاری</t>
  </si>
  <si>
    <t>بلبل</t>
  </si>
  <si>
    <t>“Nightingale”</t>
  </si>
  <si>
    <t>بلوک</t>
  </si>
  <si>
    <t xml:space="preserve">“district” </t>
  </si>
  <si>
    <t>بقعه الحمراء</t>
  </si>
  <si>
    <t>“Crimson Spot” --A hill called Samaríyyih near Bahjí where red flowers grew in abundance in the time of Bahá’u’lláh</t>
  </si>
  <si>
    <t>بقعه الخضراء</t>
  </si>
  <si>
    <t>The Verdant Spot</t>
  </si>
  <si>
    <t>برهان الدّین</t>
  </si>
  <si>
    <t>برهان لامع</t>
  </si>
  <si>
    <t>برقعی</t>
  </si>
  <si>
    <t>بروجرد</t>
  </si>
  <si>
    <t>بوشهر</t>
  </si>
  <si>
    <t>بشروئی</t>
  </si>
  <si>
    <t>بشرویه</t>
  </si>
  <si>
    <t>بستانی</t>
  </si>
  <si>
    <t>بطلان</t>
  </si>
  <si>
    <t>بویه</t>
  </si>
  <si>
    <t>بویوک</t>
  </si>
  <si>
    <t>بویوک آقا</t>
  </si>
  <si>
    <t>بویوک چکمه چی</t>
  </si>
  <si>
    <t>a place</t>
  </si>
  <si>
    <t>بزرگ</t>
  </si>
  <si>
    <t>بزرگ بنّا</t>
  </si>
  <si>
    <t>بزرگداشت صدمین</t>
  </si>
  <si>
    <t>بزرگ نوری</t>
  </si>
  <si>
    <t>بزرگ وزیر</t>
  </si>
  <si>
    <t>بزرگ مهر</t>
  </si>
  <si>
    <t>چادر</t>
  </si>
  <si>
    <t xml:space="preserve">“tent” </t>
  </si>
  <si>
    <t>چهار</t>
  </si>
  <si>
    <t>چاه ویژن</t>
  </si>
  <si>
    <t>چاه گیلان</t>
  </si>
  <si>
    <t>چائی</t>
  </si>
  <si>
    <t>“tea”</t>
  </si>
  <si>
    <t>چال</t>
  </si>
  <si>
    <t>چنگیز</t>
  </si>
  <si>
    <t>چاپارچی</t>
  </si>
  <si>
    <t>چاق</t>
  </si>
  <si>
    <t xml:space="preserve">“plump”, or “sound” </t>
  </si>
  <si>
    <t>چشم</t>
  </si>
  <si>
    <t>چشمه علی</t>
  </si>
  <si>
    <t>چهار وادی</t>
  </si>
  <si>
    <t>The Four Valleys by Bahá’u’lláh</t>
  </si>
  <si>
    <t>چهریق</t>
  </si>
  <si>
    <t>چنار</t>
  </si>
  <si>
    <t>چنارسوخته</t>
  </si>
  <si>
    <t>چوخ</t>
  </si>
  <si>
    <t>چوپان</t>
  </si>
  <si>
    <t>کورش</t>
  </si>
  <si>
    <t>ض</t>
  </si>
  <si>
    <t>دبیر مٶیّد</t>
  </si>
  <si>
    <t>دبستان المذاهب</t>
  </si>
  <si>
    <t>دادستان</t>
  </si>
  <si>
    <t>دافور</t>
  </si>
  <si>
    <t>دهر</t>
  </si>
  <si>
    <t xml:space="preserve">“caller, one who calls, missionary” </t>
  </si>
  <si>
    <t>دائی الکبیر</t>
  </si>
  <si>
    <t>دریای نور</t>
  </si>
  <si>
    <t>the Ocean of Light—Shrine of Bahá’u’lláh</t>
  </si>
  <si>
    <t>دجله</t>
  </si>
  <si>
    <t>دخیل</t>
  </si>
  <si>
    <t>دخیلی</t>
  </si>
  <si>
    <t>دلائل</t>
  </si>
  <si>
    <t>دلائل سبعه</t>
  </si>
  <si>
    <t>دلائل العرفان</t>
  </si>
  <si>
    <t>دلالت</t>
  </si>
  <si>
    <t>دلیل تقریر</t>
  </si>
  <si>
    <t>دلیل المتحیّرین</t>
  </si>
  <si>
    <t>دالوند</t>
  </si>
  <si>
    <t>دماغ</t>
  </si>
  <si>
    <t>دماوند</t>
  </si>
  <si>
    <t>دامغان</t>
  </si>
  <si>
    <t>دانش</t>
  </si>
  <si>
    <t>دانیال</t>
  </si>
  <si>
    <t>در</t>
  </si>
  <si>
    <t>دار</t>
  </si>
  <si>
    <t xml:space="preserve">“house” </t>
  </si>
  <si>
    <t>دارا</t>
  </si>
  <si>
    <t>داراب</t>
  </si>
  <si>
    <t>A town in Fárs, southern Persia, home of Vahíd’s ancestors</t>
  </si>
  <si>
    <t>داری</t>
  </si>
  <si>
    <t>دارکلا</t>
  </si>
  <si>
    <t>A village in Núr in Mázindarán, a second ancestral home of Mírzá Husayn-`Alí</t>
  </si>
  <si>
    <t>درس اخلاق</t>
  </si>
  <si>
    <t>A series of moral lessons</t>
  </si>
  <si>
    <t>داروغه</t>
  </si>
  <si>
    <t>›High Constable‹.</t>
  </si>
  <si>
    <t>دارآلاثار</t>
  </si>
  <si>
    <t xml:space="preserve">“Archives” </t>
  </si>
  <si>
    <t>دارالفنون</t>
  </si>
  <si>
    <t>Centre for arts and sciences. The first technical college of Írán, Teheran founded by Prime Minister Mírzá Taqí Khán</t>
  </si>
  <si>
    <t>دارالتبلیغ</t>
  </si>
  <si>
    <t>Teaching or Propagation Centre, for the Hands</t>
  </si>
  <si>
    <t>دار الترویج</t>
  </si>
  <si>
    <t>another word for Teaching or Propagation Centre, for the Hands</t>
  </si>
  <si>
    <t>دارالتشریع</t>
  </si>
  <si>
    <t>“House of Legislation”, Universal House of Justice</t>
  </si>
  <si>
    <t>دارالشّفای مسجد شاه</t>
  </si>
  <si>
    <t>دارالسّلام</t>
  </si>
  <si>
    <t>دارالسرور</t>
  </si>
  <si>
    <t>درویش</t>
  </si>
  <si>
    <t>درویش صلاح</t>
  </si>
  <si>
    <t>دریای خزر</t>
  </si>
  <si>
    <t>داریون</t>
  </si>
  <si>
    <t>village near Iṣfahán</t>
  </si>
  <si>
    <t>درزی</t>
  </si>
  <si>
    <t>corrupted ‘Druse’</t>
  </si>
  <si>
    <t>دستان</t>
  </si>
  <si>
    <t>دستغیب</t>
  </si>
  <si>
    <t>دستمال گره زن</t>
  </si>
  <si>
    <t>دستور</t>
  </si>
  <si>
    <t>A Pársí priest</t>
  </si>
  <si>
    <t>داود</t>
  </si>
  <si>
    <t>داودی</t>
  </si>
  <si>
    <t>دعوا</t>
  </si>
  <si>
    <t>دولت آباد</t>
  </si>
  <si>
    <t>دولت آبادی</t>
  </si>
  <si>
    <t>دولت شاه</t>
  </si>
  <si>
    <t>دوله</t>
  </si>
  <si>
    <t>›State‹, ›government‹.</t>
  </si>
  <si>
    <t>دور بهائی</t>
  </si>
  <si>
    <t>The Dispensation of Bahá’u’lláh by Shoghi Effendi</t>
  </si>
  <si>
    <t>دایانا</t>
  </si>
  <si>
    <t>دیلمی</t>
  </si>
  <si>
    <t>دیلمستان</t>
  </si>
  <si>
    <t>دیّان</t>
  </si>
  <si>
    <t>ذبیح</t>
  </si>
  <si>
    <t>ذبیحیان</t>
  </si>
  <si>
    <t>ذبیح الله</t>
  </si>
  <si>
    <t>ذهابی</t>
  </si>
  <si>
    <t>ذکی</t>
  </si>
  <si>
    <t>ذات</t>
  </si>
  <si>
    <t>ذئب</t>
  </si>
  <si>
    <t>›The Wolf‹, an appellation applied by Bahá’u’lláh to ay Muḥammad-Báqir.</t>
  </si>
  <si>
    <t>ذبح</t>
  </si>
  <si>
    <t>“sacrificial victim”</t>
  </si>
  <si>
    <t>ذکر</t>
  </si>
  <si>
    <t>›Remembrance‹, ›commemoration‹, ›mention‹; praise or glorification of God; recital of His Names; religious exercise or ceremony; (plural akár).</t>
  </si>
  <si>
    <t>ذکریّه</t>
  </si>
  <si>
    <t>ذکرالله</t>
  </si>
  <si>
    <t>ذکرالله اعظم</t>
  </si>
  <si>
    <t>ذي الجوشن</t>
  </si>
  <si>
    <t>ذي القاعده</t>
  </si>
  <si>
    <t>ذراع</t>
  </si>
  <si>
    <t>ذالاوتاد</t>
  </si>
  <si>
    <t>ذالفقار</t>
  </si>
  <si>
    <t>ذوالجناحین</t>
  </si>
  <si>
    <t>ذوالقرنین</t>
  </si>
  <si>
    <t>ضیائیّه</t>
  </si>
  <si>
    <t>ضیاءالله</t>
  </si>
  <si>
    <t>دیدم</t>
  </si>
  <si>
    <t>ده بالا</t>
  </si>
  <si>
    <t>ده چاه</t>
  </si>
  <si>
    <t>ده معبدی</t>
  </si>
  <si>
    <t>دهقانی</t>
  </si>
  <si>
    <t>دلداری</t>
  </si>
  <si>
    <t>دلگشا</t>
  </si>
  <si>
    <t>“where the heart rejoices”, or “heart’s delight”, a garden</t>
  </si>
  <si>
    <t>دین</t>
  </si>
  <si>
    <t>دینا</t>
  </si>
  <si>
    <t>دینار</t>
  </si>
  <si>
    <t>دین محمّد</t>
  </si>
  <si>
    <t>دین محمّد وزیر</t>
  </si>
  <si>
    <t>ذی قعده</t>
  </si>
  <si>
    <t>درخشان</t>
  </si>
  <si>
    <t>دیوان</t>
  </si>
  <si>
    <t>ضیا</t>
  </si>
  <si>
    <t>ضیائی</t>
  </si>
  <si>
    <t>دیاربکر</t>
  </si>
  <si>
    <t>دیار خطّ</t>
  </si>
  <si>
    <t>ضیاءالدّین</t>
  </si>
  <si>
    <t>دیزوا</t>
  </si>
  <si>
    <t>دعا</t>
  </si>
  <si>
    <t>A supplication “call out to God”–one of the second greatest acts of worship</t>
  </si>
  <si>
    <t>دعای سحر</t>
  </si>
  <si>
    <t>One of two prayers in which the name of Bahá can be found</t>
  </si>
  <si>
    <t>دعای امّ داود</t>
  </si>
  <si>
    <t>دوغ آباد</t>
  </si>
  <si>
    <t>دنباوند</t>
  </si>
  <si>
    <t>دور</t>
  </si>
  <si>
    <t>“houses, abodes”</t>
  </si>
  <si>
    <t>دوست محمّد</t>
  </si>
  <si>
    <t>دزداب</t>
  </si>
  <si>
    <t>فضائل</t>
  </si>
  <si>
    <t xml:space="preserve">“virtues” </t>
  </si>
  <si>
    <t>فاضل</t>
  </si>
  <si>
    <t>[Fazel] “grace”. Name given to Tuesday in Badí` calendar</t>
  </si>
  <si>
    <t>فاضل مازندرانی</t>
  </si>
  <si>
    <t>فاضل قائنی</t>
  </si>
  <si>
    <t>the Learned One of Qá`in, a district in the province of Khurásán</t>
  </si>
  <si>
    <t>فضل</t>
  </si>
  <si>
    <t>“grace”, confirmed by World Centre Publications</t>
  </si>
  <si>
    <t>فضلان</t>
  </si>
  <si>
    <t>فضل الله</t>
  </si>
  <si>
    <t>فهندژ</t>
  </si>
  <si>
    <t>فائق</t>
  </si>
  <si>
    <t>an Armenian</t>
  </si>
  <si>
    <t>فائزه</t>
  </si>
  <si>
    <t xml:space="preserve">“she who has attained” </t>
  </si>
  <si>
    <t>فخری</t>
  </si>
  <si>
    <t>فخرالدّوله</t>
  </si>
  <si>
    <t>فخرالدّین</t>
  </si>
  <si>
    <t>Fakr ed Din</t>
  </si>
  <si>
    <t>فخرالملک</t>
  </si>
  <si>
    <t>فخرالشّهدا</t>
  </si>
  <si>
    <t>فقیه</t>
  </si>
  <si>
    <t>A Muslim jurist</t>
  </si>
  <si>
    <t>فقیر</t>
  </si>
  <si>
    <t xml:space="preserve">“poor one” </t>
  </si>
  <si>
    <t>فارابی</t>
  </si>
  <si>
    <t>4th century AH Persian philosopher and writer</t>
  </si>
  <si>
    <t>فرح آباد</t>
  </si>
  <si>
    <t>a Palace</t>
  </si>
  <si>
    <t>فرح آبادی</t>
  </si>
  <si>
    <t>فراهان</t>
  </si>
  <si>
    <t>فراهانی</t>
  </si>
  <si>
    <t>فرائد</t>
  </si>
  <si>
    <t>فرج</t>
  </si>
  <si>
    <t>فرج الله</t>
  </si>
  <si>
    <t>فرامرز</t>
  </si>
  <si>
    <t>فراموش خانه</t>
  </si>
  <si>
    <t>“house of oblivion”</t>
  </si>
  <si>
    <t>فاران</t>
  </si>
  <si>
    <t>فرنگی</t>
  </si>
  <si>
    <t>“European”, derived from the days of the Franks</t>
  </si>
  <si>
    <t>فارقلیط</t>
  </si>
  <si>
    <t>فراشاه</t>
  </si>
  <si>
    <t>فردا</t>
  </si>
  <si>
    <t>فرهاد</t>
  </si>
  <si>
    <t>فریبرز</t>
  </si>
  <si>
    <t>فرید</t>
  </si>
  <si>
    <t>فریدانی</t>
  </si>
  <si>
    <t>فریدالدّین</t>
  </si>
  <si>
    <t>فارِس</t>
  </si>
  <si>
    <t>فرخنده</t>
  </si>
  <si>
    <t>فرمان</t>
  </si>
  <si>
    <t>›Order‹, ›command‹, ›royal decree‹.</t>
  </si>
  <si>
    <t>فرماندهان</t>
  </si>
  <si>
    <t>فرمانفرما</t>
  </si>
  <si>
    <t>فرمانیّه</t>
  </si>
  <si>
    <t>فرنوش</t>
  </si>
  <si>
    <t>فرّاش</t>
  </si>
  <si>
    <t>›Footman‹, ›lictor‹, ›attendant‹.</t>
  </si>
  <si>
    <t>فرّاشباشی</t>
  </si>
  <si>
    <t>The head-farrá.</t>
  </si>
  <si>
    <t>فرّاشون</t>
  </si>
  <si>
    <t>فرّخ</t>
  </si>
  <si>
    <t>فرّخان</t>
  </si>
  <si>
    <t>فارس</t>
  </si>
  <si>
    <t>فرسخ</t>
  </si>
  <si>
    <t>Unit of measurement. Approximately three miles or five kilometres.</t>
  </si>
  <si>
    <t>فرسنگ</t>
  </si>
  <si>
    <t>فارسنامه</t>
  </si>
  <si>
    <t>فرزانه مٶیّد</t>
  </si>
  <si>
    <t>فسا</t>
  </si>
  <si>
    <t>فاسقون</t>
  </si>
  <si>
    <t xml:space="preserve">al- “sinners” </t>
  </si>
  <si>
    <t>فصل</t>
  </si>
  <si>
    <t>فصل الخطاب</t>
  </si>
  <si>
    <t>“sound or unmistakable judgement”. Fassl-ul-Khitáb, Conclusive Proof by Mírzá Abu’l-Faḍl</t>
  </si>
  <si>
    <t>فتا</t>
  </si>
  <si>
    <t>فطحیّه</t>
  </si>
  <si>
    <t>فتح</t>
  </si>
  <si>
    <t>فتحعلی</t>
  </si>
  <si>
    <t>فتح الله</t>
  </si>
  <si>
    <t xml:space="preserve">“victory of God” </t>
  </si>
  <si>
    <t>فتح الله حکّاک</t>
  </si>
  <si>
    <t>فتح الله حکّاک قمی</t>
  </si>
  <si>
    <t>فتح الله قمی</t>
  </si>
  <si>
    <t>فاطمه</t>
  </si>
  <si>
    <t>فاطمه بگم</t>
  </si>
  <si>
    <t>فاطمه معصومه</t>
  </si>
  <si>
    <t>فطّاح</t>
  </si>
  <si>
    <t>1997 ed.</t>
  </si>
  <si>
    <t>فتوی</t>
  </si>
  <si>
    <t>Sentence or judgement by Muslim muftí.</t>
  </si>
  <si>
    <t>فیض بخش</t>
  </si>
  <si>
    <t>فیضی</t>
  </si>
  <si>
    <t>Afnán</t>
  </si>
  <si>
    <t>فیض اقدس</t>
  </si>
  <si>
    <t>“holy outpouring”, Signifies revelation in the realm of absolute divine unity itself</t>
  </si>
  <si>
    <t>فیض مقدّس</t>
  </si>
  <si>
    <t xml:space="preserve">“holy outpouring” and “most holy outpouring” </t>
  </si>
  <si>
    <t>فیضیّه</t>
  </si>
  <si>
    <t>فیض الله</t>
  </si>
  <si>
    <t>فیحاء</t>
  </si>
  <si>
    <t>فزل</t>
  </si>
  <si>
    <t>فریدون</t>
  </si>
  <si>
    <t>فی</t>
  </si>
  <si>
    <t>فدایِ</t>
  </si>
  <si>
    <t>فیکم</t>
  </si>
  <si>
    <t>فین</t>
  </si>
  <si>
    <t>فندیک</t>
  </si>
  <si>
    <t>فردوس</t>
  </si>
  <si>
    <t>فردوسی</t>
  </si>
  <si>
    <t>فردوس اعلی</t>
  </si>
  <si>
    <t>فرشته</t>
  </si>
  <si>
    <t>فیروز</t>
  </si>
  <si>
    <t>فیروز کوه</t>
  </si>
  <si>
    <t>فشار قبر</t>
  </si>
  <si>
    <t>constriction in the grave</t>
  </si>
  <si>
    <t>فطر</t>
  </si>
  <si>
    <t>فیزان</t>
  </si>
  <si>
    <t>in Tripolitania</t>
  </si>
  <si>
    <t>فواد</t>
  </si>
  <si>
    <t>فنون</t>
  </si>
  <si>
    <t>Arts and technology, pl. of fan</t>
  </si>
  <si>
    <t>فور</t>
  </si>
  <si>
    <t>فرقان</t>
  </si>
  <si>
    <t>فروع</t>
  </si>
  <si>
    <t>فروغ</t>
  </si>
  <si>
    <t xml:space="preserve">“Splendour, Light” </t>
  </si>
  <si>
    <t>فروغی</t>
  </si>
  <si>
    <t>فروغیّه</t>
  </si>
  <si>
    <t>فروتن</t>
  </si>
  <si>
    <t>فتوحات مکّیّه</t>
  </si>
  <si>
    <t>گچ</t>
  </si>
  <si>
    <t>گاف</t>
  </si>
  <si>
    <t>گلین</t>
  </si>
  <si>
    <t>گندم پاک کن</t>
  </si>
  <si>
    <t>گنجه</t>
  </si>
  <si>
    <t>گنجینه حدود و احکام</t>
  </si>
  <si>
    <t>گرم سیر</t>
  </si>
  <si>
    <t>گرم سیری</t>
  </si>
  <si>
    <t>گرّوس</t>
  </si>
  <si>
    <t>گاوگان</t>
  </si>
  <si>
    <t>گوهر</t>
  </si>
  <si>
    <t>گوهرشاد</t>
  </si>
  <si>
    <t>قدم</t>
  </si>
  <si>
    <t>a person who brings good fortune, welcome news, good omen</t>
  </si>
  <si>
    <t>غدیر خمّ</t>
  </si>
  <si>
    <t>غفّاری</t>
  </si>
  <si>
    <t>غنی</t>
  </si>
  <si>
    <t>غرسی</t>
  </si>
  <si>
    <t>غراسه</t>
  </si>
  <si>
    <t>غریق</t>
  </si>
  <si>
    <t>غرس</t>
  </si>
  <si>
    <t>غور</t>
  </si>
  <si>
    <t>غوسیّه</t>
  </si>
  <si>
    <t>غیب</t>
  </si>
  <si>
    <t xml:space="preserve">“invisible realm” </t>
  </si>
  <si>
    <t>غیبت</t>
  </si>
  <si>
    <t>غیبت کبری</t>
  </si>
  <si>
    <t>غیبت صغری</t>
  </si>
  <si>
    <t>Minor Occultation</t>
  </si>
  <si>
    <t>غیب بقا</t>
  </si>
  <si>
    <t>غین</t>
  </si>
  <si>
    <t>غزال</t>
  </si>
  <si>
    <t>غزنا</t>
  </si>
  <si>
    <t>غزنوی</t>
  </si>
  <si>
    <t>غنا</t>
  </si>
  <si>
    <t>term normally used to denote music and the human chanting voice</t>
  </si>
  <si>
    <t>غطا</t>
  </si>
  <si>
    <t>غیاث</t>
  </si>
  <si>
    <t>غفرانی</t>
  </si>
  <si>
    <t>غلام</t>
  </si>
  <si>
    <t>غلامعلی</t>
  </si>
  <si>
    <t>غلامحسین</t>
  </si>
  <si>
    <t>غلامحسین شوشتری</t>
  </si>
  <si>
    <t>غلامرضا</t>
  </si>
  <si>
    <t>غلامرضای کوچک</t>
  </si>
  <si>
    <t>غلامرضای یزدی</t>
  </si>
  <si>
    <t>غلام الله</t>
  </si>
  <si>
    <t>son of Javád-i-Qazvíní</t>
  </si>
  <si>
    <t>غرور</t>
  </si>
  <si>
    <t>“pride”</t>
  </si>
  <si>
    <t>غصن</t>
  </si>
  <si>
    <t>غصن اکبر</t>
  </si>
  <si>
    <t>غصن انور</t>
  </si>
  <si>
    <t>“The most luminous branch” NDW &lt;choice&gt;&lt;orig n="ndw"&gt;Ghu&amp;sn_udot;-i-Anvar&lt;/orig&gt;&lt;reg n="dw"&gt;&amp;Gh_unsc;u&amp;s_udot;n-i-Anvar&lt;/reg&gt;&lt;/choice&gt;</t>
  </si>
  <si>
    <t>غصن اطهر</t>
  </si>
  <si>
    <t>غصن اعظم</t>
  </si>
  <si>
    <t xml:space="preserve">“Greatest Branch” </t>
  </si>
  <si>
    <t>غصن ممتاز</t>
  </si>
  <si>
    <t>“The Chosen Branch”, Shoghi Effendi</t>
  </si>
  <si>
    <t>غصن الله آلاثار</t>
  </si>
  <si>
    <t xml:space="preserve">“The Greatest Branch of God” </t>
  </si>
  <si>
    <t>غصن الله اعظم</t>
  </si>
  <si>
    <t xml:space="preserve">“The Purest Branch of God” </t>
  </si>
  <si>
    <t>گیلان</t>
  </si>
  <si>
    <t>گیلانی</t>
  </si>
  <si>
    <t>گلدی</t>
  </si>
  <si>
    <t>گرد</t>
  </si>
  <si>
    <t xml:space="preserve">“round, circular” </t>
  </si>
  <si>
    <t>گل</t>
  </si>
  <si>
    <t>گلستان</t>
  </si>
  <si>
    <t>گلمحمّد</t>
  </si>
  <si>
    <t>گلمحمّدی</t>
  </si>
  <si>
    <t>گلپایگان</t>
  </si>
  <si>
    <t xml:space="preserve">“directly-quoted text” </t>
  </si>
  <si>
    <t>گلصبا</t>
  </si>
  <si>
    <t>گلشن حقایق</t>
  </si>
  <si>
    <t>book: “Rose Garden of Truths”</t>
  </si>
  <si>
    <t>گلزار نعیم</t>
  </si>
  <si>
    <t>گنجشگ</t>
  </si>
  <si>
    <t>گرگان</t>
  </si>
  <si>
    <t>گرگین</t>
  </si>
  <si>
    <t>گشتاسب</t>
  </si>
  <si>
    <t>گزل</t>
  </si>
  <si>
    <t>the Pass, Ádí-Guzal, Sayyáh, the messenger</t>
  </si>
  <si>
    <t>ها</t>
  </si>
  <si>
    <t>(Days of): Ayyám-i-Há. The Intercalary Days, so named by Bahá’u’lláh in the Kitáb-i-Aqdas, where He also ordained that they should immediately precede the month of ʿAlá’, i.e. the month of fasting which closes the Bahá’í year. Every fourth year the number of the Intercalary Days is raised from four to five.</t>
  </si>
  <si>
    <t>حبیب</t>
  </si>
  <si>
    <t>حبیبه</t>
  </si>
  <si>
    <t>حبیب شیرازی</t>
  </si>
  <si>
    <t>حبیب الله</t>
  </si>
  <si>
    <t>حبیب الله اصفهانی</t>
  </si>
  <si>
    <t>حبل الا متین</t>
  </si>
  <si>
    <t>حبداء</t>
  </si>
  <si>
    <t>حدّاد</t>
  </si>
  <si>
    <t>هادی</t>
  </si>
  <si>
    <t>حدیقه الرحمان</t>
  </si>
  <si>
    <t xml:space="preserve">“the Orchard of the Merciful” </t>
  </si>
  <si>
    <t>حدیث</t>
  </si>
  <si>
    <t>Tradition. The whole body of the sacred tradition of the Muslims is called the ḥadí. (Plural aḥádí.)</t>
  </si>
  <si>
    <t>حدیث جابر</t>
  </si>
  <si>
    <t>هادی دولت آبادی</t>
  </si>
  <si>
    <t>هادی فرهادی</t>
  </si>
  <si>
    <t>هادی نهری</t>
  </si>
  <si>
    <t>هادی قزوینی</t>
  </si>
  <si>
    <t>حضرت</t>
  </si>
  <si>
    <t>literally ›threshold‹. Courtesy title sometimes translated as ›His Holiness‹.</t>
  </si>
  <si>
    <t>حضرت اعلی</t>
  </si>
  <si>
    <t>حضرت بهاء الله</t>
  </si>
  <si>
    <t>حضرت مباشر</t>
  </si>
  <si>
    <t xml:space="preserve">“the Herald” </t>
  </si>
  <si>
    <t>حضرت نقطه بیان</t>
  </si>
  <si>
    <t>حضرت قدّوس</t>
  </si>
  <si>
    <t>حافظ</t>
  </si>
  <si>
    <t>حافظی</t>
  </si>
  <si>
    <t>حافظ الصحّه</t>
  </si>
  <si>
    <t>هفت وادی</t>
  </si>
  <si>
    <t>The Seven Valleys by Bahá’u’lláh</t>
  </si>
  <si>
    <t>هاهوت</t>
  </si>
  <si>
    <t>realm of the “absolute Unknown”, where God’s essence has been hidden from time immemorial and will continue to remain so for eternity. See Láhút, Jabarút, Malakút, and Násút</t>
  </si>
  <si>
    <t>حاج</t>
  </si>
  <si>
    <t>حاجاج</t>
  </si>
  <si>
    <t>حاجی</t>
  </si>
  <si>
    <t>A Muslim who has performed the pilgrimage to Mecca.</t>
  </si>
  <si>
    <t>حاجب الدّوله</t>
  </si>
  <si>
    <t>حجّ</t>
  </si>
  <si>
    <t xml:space="preserve">“pilgrimage” </t>
  </si>
  <si>
    <t>حجّی</t>
  </si>
  <si>
    <t>حکیم</t>
  </si>
  <si>
    <t>حکیمان</t>
  </si>
  <si>
    <t>حکیم باشی</t>
  </si>
  <si>
    <t>حلبی</t>
  </si>
  <si>
    <t>حلال</t>
  </si>
  <si>
    <t xml:space="preserve">“permitted” </t>
  </si>
  <si>
    <t>حالات</t>
  </si>
  <si>
    <t>states, fleeting and ephemeral, of the Ṣúfí spiritual journey</t>
  </si>
  <si>
    <t>هله هله یا بشارت</t>
  </si>
  <si>
    <t>“Hallelujah, Hallelujah, O Glad-Tidings” Tablet of Bahá’u’lláh</t>
  </si>
  <si>
    <t>حلّاج</t>
  </si>
  <si>
    <t>هلوی</t>
  </si>
  <si>
    <t>هما</t>
  </si>
  <si>
    <t>همدان</t>
  </si>
  <si>
    <t>همدانی</t>
  </si>
  <si>
    <t>همان</t>
  </si>
  <si>
    <t>همث</t>
  </si>
  <si>
    <t>حمید</t>
  </si>
  <si>
    <t>حمّال</t>
  </si>
  <si>
    <t>“porter”</t>
  </si>
  <si>
    <t>حمّام</t>
  </si>
  <si>
    <t xml:space="preserve">“Turkish (public) baths” </t>
  </si>
  <si>
    <t>حمراء</t>
  </si>
  <si>
    <t xml:space="preserve">“the Red Palace” </t>
  </si>
  <si>
    <t>حمزه</t>
  </si>
  <si>
    <t>حنبلی</t>
  </si>
  <si>
    <t>a system of Sunní jurisprudence</t>
  </si>
  <si>
    <t>حنفی</t>
  </si>
  <si>
    <t>حنفیّه</t>
  </si>
  <si>
    <t>حنا ساب</t>
  </si>
  <si>
    <t>حنبل</t>
  </si>
  <si>
    <t>هنزا</t>
  </si>
  <si>
    <t>حنزلا</t>
  </si>
  <si>
    <t>حقیقت</t>
  </si>
  <si>
    <t xml:space="preserve">“Truth” —the object of the mystic searcher. Ṣúfí </t>
  </si>
  <si>
    <t>حقّ</t>
  </si>
  <si>
    <t>حقّی</t>
  </si>
  <si>
    <t>حقّ رأی</t>
  </si>
  <si>
    <t>حقّ الله</t>
  </si>
  <si>
    <t>حرکت</t>
  </si>
  <si>
    <t>حرم</t>
  </si>
  <si>
    <t>حرم اقدس</t>
  </si>
  <si>
    <t>The Most Holy Sanctuary, a designation given by the Guardian to the north-western quadrant of the garden surrounding the Shrine of Bahá’u’lláh.</t>
  </si>
  <si>
    <t>حرم معصومه</t>
  </si>
  <si>
    <t>هراتی</t>
  </si>
  <si>
    <t>حرف بقا</t>
  </si>
  <si>
    <t xml:space="preserve">“letter of Eternity” </t>
  </si>
  <si>
    <t>هارون</t>
  </si>
  <si>
    <t>Aaron</t>
  </si>
  <si>
    <t>هارون الرّشید</t>
  </si>
  <si>
    <t>حسا</t>
  </si>
  <si>
    <t>a region of eastern Arabia</t>
  </si>
  <si>
    <t>حسن</t>
  </si>
  <si>
    <t>حسنعلی</t>
  </si>
  <si>
    <t>حسن عمو</t>
  </si>
  <si>
    <t>حسن عسکری</t>
  </si>
  <si>
    <t>حسن بجستانی</t>
  </si>
  <si>
    <t>حسن گوهر</t>
  </si>
  <si>
    <t>حسن حکیم باشی</t>
  </si>
  <si>
    <t>حسن خراسانی</t>
  </si>
  <si>
    <t>حسن مازندرانی</t>
  </si>
  <si>
    <t>حسن نیکو</t>
  </si>
  <si>
    <t>حسن نوری</t>
  </si>
  <si>
    <t>حسن رشتی</t>
  </si>
  <si>
    <t>حسن صبّاح</t>
  </si>
  <si>
    <t>Founder of the secret order of assassins, 1090 in Írán</t>
  </si>
  <si>
    <t>حسن صفا</t>
  </si>
  <si>
    <t>حسن شعرباف</t>
  </si>
  <si>
    <t>حسن شعرباف یزدی</t>
  </si>
  <si>
    <t>حسن وزیر</t>
  </si>
  <si>
    <t>حسن زنوزی</t>
  </si>
  <si>
    <t>حسن زاده شاکری</t>
  </si>
  <si>
    <t>هاشم</t>
  </si>
  <si>
    <t>هاشمی زاده</t>
  </si>
  <si>
    <t>حشیش</t>
  </si>
  <si>
    <t>حشمت الله</t>
  </si>
  <si>
    <t>هشترودی</t>
  </si>
  <si>
    <t>حاتمی</t>
  </si>
  <si>
    <t>هیاکل</t>
  </si>
  <si>
    <t>حیات</t>
  </si>
  <si>
    <t xml:space="preserve">“Life, existence” </t>
  </si>
  <si>
    <t>حیات باغ</t>
  </si>
  <si>
    <t>حیاتقلی</t>
  </si>
  <si>
    <t>حیدر</t>
  </si>
  <si>
    <t>حیدرعلی</t>
  </si>
  <si>
    <t>حیدرعلی اردستانی</t>
  </si>
  <si>
    <t>هیکل</t>
  </si>
  <si>
    <t>هیکل التّوحید</t>
  </si>
  <si>
    <t xml:space="preserve">“posture of unity” or cross-legged </t>
  </si>
  <si>
    <t>هیولا</t>
  </si>
  <si>
    <t xml:space="preserve">“material matter” </t>
  </si>
  <si>
    <t>حیّ</t>
  </si>
  <si>
    <t xml:space="preserve">“living” </t>
  </si>
  <si>
    <t>حضیرﺓ القدس</t>
  </si>
  <si>
    <t>›The Sacred Fold‹, official title designating headquarters of Bahá’í administrative activity.</t>
  </si>
  <si>
    <t>هدایت</t>
  </si>
  <si>
    <t>هدایت طالبین</t>
  </si>
  <si>
    <t>حجاز</t>
  </si>
  <si>
    <t>هجرت</t>
  </si>
  <si>
    <t>literally ›Migration‹. The basis of Islamic chronology. The date of Muḥammad’s migration from Mecca to Medina.</t>
  </si>
  <si>
    <t>حکایت دل</t>
  </si>
  <si>
    <t>حلمی</t>
  </si>
  <si>
    <t>حمار</t>
  </si>
  <si>
    <t xml:space="preserve">“the ass” </t>
  </si>
  <si>
    <t>حمیاری</t>
  </si>
  <si>
    <t>حین</t>
  </si>
  <si>
    <t>value of 68</t>
  </si>
  <si>
    <t>هندیان</t>
  </si>
  <si>
    <t>هندیّه</t>
  </si>
  <si>
    <t>هرات</t>
  </si>
  <si>
    <t>هربود</t>
  </si>
  <si>
    <t>mystics and holy people</t>
  </si>
  <si>
    <t>حیره</t>
  </si>
  <si>
    <t>a city</t>
  </si>
  <si>
    <t>حسام  دین</t>
  </si>
  <si>
    <t>حسام الملک</t>
  </si>
  <si>
    <t>حسام السلطنه</t>
  </si>
  <si>
    <t>“sword of the sovereign”. Title of Prince Sulṭán Murad Mírzá, son of `Abbás Mírzá and grandson of Fatḥ-`Alí Sháh</t>
  </si>
  <si>
    <t>حصار</t>
  </si>
  <si>
    <t>حصاری</t>
  </si>
  <si>
    <t>هشام</t>
  </si>
  <si>
    <t>حشمت</t>
  </si>
  <si>
    <t>حشمت الدّوله</t>
  </si>
  <si>
    <t>هزار</t>
  </si>
  <si>
    <t>هزاره</t>
  </si>
  <si>
    <t>حزقیل</t>
  </si>
  <si>
    <t>Ezekiel</t>
  </si>
  <si>
    <t>هرمز</t>
  </si>
  <si>
    <t>حبّ الله</t>
  </si>
  <si>
    <t>هبور</t>
  </si>
  <si>
    <t>هود</t>
  </si>
  <si>
    <t>هدی</t>
  </si>
  <si>
    <t>حدود العلام</t>
  </si>
  <si>
    <t>حجّت</t>
  </si>
  <si>
    <t>حجّت زنجانی</t>
  </si>
  <si>
    <t>حجّت الاسلام</t>
  </si>
  <si>
    <t>حجّت الله</t>
  </si>
  <si>
    <t>“The Proof of God”, the last Imám</t>
  </si>
  <si>
    <t>حجّیّت آیات</t>
  </si>
  <si>
    <t>“Proof” based on Verses</t>
  </si>
  <si>
    <t>حجر</t>
  </si>
  <si>
    <t>حکم</t>
  </si>
  <si>
    <t>حلول</t>
  </si>
  <si>
    <t xml:space="preserve">“incarnation” </t>
  </si>
  <si>
    <t>حقوق</t>
  </si>
  <si>
    <t>حقوق الله</t>
  </si>
  <si>
    <t>›Right of God‹; payment by believers instituted in the Kitáb-i-Aqdas.</t>
  </si>
  <si>
    <t>حور</t>
  </si>
  <si>
    <t>حوری</t>
  </si>
  <si>
    <t>حور عجاب</t>
  </si>
  <si>
    <t xml:space="preserve">“The Wondrous Maiden” </t>
  </si>
  <si>
    <t>حرّ</t>
  </si>
  <si>
    <t>حروف</t>
  </si>
  <si>
    <t>حروفات عالین</t>
  </si>
  <si>
    <t>حروف حیّ</t>
  </si>
  <si>
    <t>Letters of the Living</t>
  </si>
  <si>
    <t>حسین</t>
  </si>
  <si>
    <t>حسین آباد</t>
  </si>
  <si>
    <t>حسینعلی</t>
  </si>
  <si>
    <t>حسینعلی اصفهانی</t>
  </si>
  <si>
    <t>حسینعلی جهرمی</t>
  </si>
  <si>
    <t>حسینعلی نوری</t>
  </si>
  <si>
    <t>حسین آقا</t>
  </si>
  <si>
    <t>حسین آقای تبریزی</t>
  </si>
  <si>
    <t>حسین عرب</t>
  </si>
  <si>
    <t>حسین ازغندی</t>
  </si>
  <si>
    <t>حسین عزیز</t>
  </si>
  <si>
    <t>حسین ابن روح</t>
  </si>
  <si>
    <t>حسین بشروئی</t>
  </si>
  <si>
    <t>حسین کاشانی</t>
  </si>
  <si>
    <t>حسین کاشی</t>
  </si>
  <si>
    <t>حسین کاشی ساز</t>
  </si>
  <si>
    <t>حسین کلاه دوز</t>
  </si>
  <si>
    <t>حسین مسگر</t>
  </si>
  <si>
    <t>حسین متولّی</t>
  </si>
  <si>
    <t>حسین قنّاد</t>
  </si>
  <si>
    <t>حسین قطب</t>
  </si>
  <si>
    <t>حسین شیرازی خرطومی</t>
  </si>
  <si>
    <t>حسین ترشیزی</t>
  </si>
  <si>
    <t>حسین یزدی</t>
  </si>
  <si>
    <t>حسینیّه</t>
  </si>
  <si>
    <t>Place where martyrdom of Ḥusayn is mourned, or where Muslim passion plays may be presented. Designation given by íʿahs to Bahá’u’lláh's Most Great House in Baghdád, forcibly occupied by them.</t>
  </si>
  <si>
    <t>حسین زنجانی</t>
  </si>
  <si>
    <t>حسین زواره ای</t>
  </si>
  <si>
    <t>حسین خان</t>
  </si>
  <si>
    <t>حسینقلی</t>
  </si>
  <si>
    <t>هوشنگ</t>
  </si>
  <si>
    <t xml:space="preserve">“the first emanation, intelligence” </t>
  </si>
  <si>
    <t>هوشمند</t>
  </si>
  <si>
    <t>حسنیّه</t>
  </si>
  <si>
    <t>هو الله الاحد</t>
  </si>
  <si>
    <t>هویّت</t>
  </si>
  <si>
    <t xml:space="preserve">“essence of Divinity” </t>
  </si>
  <si>
    <t>ابدال</t>
  </si>
  <si>
    <t>ابن</t>
  </si>
  <si>
    <t>ابن ابهر</t>
  </si>
  <si>
    <t>ابن علی</t>
  </si>
  <si>
    <t>ابن آلوسی</t>
  </si>
  <si>
    <t>ابن اصدق</t>
  </si>
  <si>
    <t>ابن اشرف</t>
  </si>
  <si>
    <t>ابن ذئب</t>
  </si>
  <si>
    <t>ابن فرید</t>
  </si>
  <si>
    <t>ابن فارد</t>
  </si>
  <si>
    <t>ابن فارض</t>
  </si>
  <si>
    <t>ابن هجیب</t>
  </si>
  <si>
    <t>ابن خلدون</t>
  </si>
  <si>
    <t>ابن مالک</t>
  </si>
  <si>
    <t>ابن مسعود</t>
  </si>
  <si>
    <t>ابن مهریار</t>
  </si>
  <si>
    <t>ابن ملجم</t>
  </si>
  <si>
    <t>ابن راهب</t>
  </si>
  <si>
    <t>ابن سعد</t>
  </si>
  <si>
    <t>ابن سعید</t>
  </si>
  <si>
    <t>ابن صوریا</t>
  </si>
  <si>
    <t>ابن ولید</t>
  </si>
  <si>
    <t>ابن یوسف</t>
  </si>
  <si>
    <t>ابن العربی</t>
  </si>
  <si>
    <t>ابن الله</t>
  </si>
  <si>
    <t>ابراهیم</t>
  </si>
  <si>
    <t>ابراهیم گلپایگانی</t>
  </si>
  <si>
    <t>ابراهیم اصفهانی</t>
  </si>
  <si>
    <t>ابراهیم خلیل</t>
  </si>
  <si>
    <t>ابرهیم خیرالله</t>
  </si>
  <si>
    <t>ابراهیم محلّاتی</t>
  </si>
  <si>
    <t>ابراهیم قزوینی</t>
  </si>
  <si>
    <t>ابراهیم شیرازی</t>
  </si>
  <si>
    <t>ابرانی</t>
  </si>
  <si>
    <t>ابتهاج</t>
  </si>
  <si>
    <t>ابتهاج الملک</t>
  </si>
  <si>
    <t>عید</t>
  </si>
  <si>
    <t>عضاد</t>
  </si>
  <si>
    <t>عضادی</t>
  </si>
  <si>
    <t>عیدال</t>
  </si>
  <si>
    <t xml:space="preserve">“Justice” </t>
  </si>
  <si>
    <t>اذا</t>
  </si>
  <si>
    <t>اذن</t>
  </si>
  <si>
    <t>Permission</t>
  </si>
  <si>
    <t>ادریس</t>
  </si>
  <si>
    <t>احسان</t>
  </si>
  <si>
    <t>احسان الله</t>
  </si>
  <si>
    <t>احترق المخلصون</t>
  </si>
  <si>
    <t>Tablet of “Indeed the hearts of the sincere are consumed”</t>
  </si>
  <si>
    <t>احتشام</t>
  </si>
  <si>
    <t>احتشام الدّوله</t>
  </si>
  <si>
    <t>احتیاج</t>
  </si>
  <si>
    <t>احتیاج است</t>
  </si>
  <si>
    <t>اعجاز</t>
  </si>
  <si>
    <t>اجازه</t>
  </si>
  <si>
    <t>اجماع</t>
  </si>
  <si>
    <t>اجتهاد</t>
  </si>
  <si>
    <t>اخلاص</t>
  </si>
  <si>
    <t>اختصاص</t>
  </si>
  <si>
    <t>اکلیل</t>
  </si>
  <si>
    <t>ایل</t>
  </si>
  <si>
    <t>›Clan‹.</t>
  </si>
  <si>
    <t>اله / الاه</t>
  </si>
  <si>
    <t>الها</t>
  </si>
  <si>
    <t>اله الالله</t>
  </si>
  <si>
    <t>آلازار</t>
  </si>
  <si>
    <t>الچک</t>
  </si>
  <si>
    <t>ایلدیریم</t>
  </si>
  <si>
    <t>ایلخان</t>
  </si>
  <si>
    <t>ایلخانی</t>
  </si>
  <si>
    <t>الا</t>
  </si>
  <si>
    <t>الا لله</t>
  </si>
  <si>
    <t>الیاهو</t>
  </si>
  <si>
    <t>الیاس</t>
  </si>
  <si>
    <t>الزام</t>
  </si>
  <si>
    <t>عماد</t>
  </si>
  <si>
    <t xml:space="preserve">Mír, famous calligrapher </t>
  </si>
  <si>
    <t>عماد الدّوله</t>
  </si>
  <si>
    <t>عماد الدّین</t>
  </si>
  <si>
    <t>امام</t>
  </si>
  <si>
    <t>Title of the twelve íʿah successors of Muḥammad. Also applied to Muslim religious leaders.</t>
  </si>
  <si>
    <t>امامت</t>
  </si>
  <si>
    <t>امام حسین</t>
  </si>
  <si>
    <t>امام جمعه</t>
  </si>
  <si>
    <t>Chief of the mullás, who recites the Friday prayer for the sovereign.</t>
  </si>
  <si>
    <t>امام مهدی</t>
  </si>
  <si>
    <t>امامقلی</t>
  </si>
  <si>
    <t>امام وردی</t>
  </si>
  <si>
    <t>امام زاده</t>
  </si>
  <si>
    <t>Descendant of an Imám or his shrine.</t>
  </si>
  <si>
    <t>امام زاده حسن</t>
  </si>
  <si>
    <t>ایمان</t>
  </si>
  <si>
    <t>عمارت خورشید</t>
  </si>
  <si>
    <t>امۃ الکبری</t>
  </si>
  <si>
    <t xml:space="preserve">“Most Great Name” </t>
  </si>
  <si>
    <t>عمران</t>
  </si>
  <si>
    <t>امریکا</t>
  </si>
  <si>
    <t>امرٶالقیس</t>
  </si>
  <si>
    <t>a Persian poet</t>
  </si>
  <si>
    <t>امتیاز</t>
  </si>
  <si>
    <t>این</t>
  </si>
  <si>
    <t>انجیل</t>
  </si>
  <si>
    <t xml:space="preserve">“the True Gospel” </t>
  </si>
  <si>
    <t>انشاءالله</t>
  </si>
  <si>
    <t>ایقان</t>
  </si>
  <si>
    <t>literally ›certitude‹. The title of Bahá’u’lláh's Epistle to one of the uncles of the Báb.</t>
  </si>
  <si>
    <t>اقبال الدّوله</t>
  </si>
  <si>
    <t>اقتباس</t>
  </si>
  <si>
    <t>اعراد</t>
  </si>
  <si>
    <t>اراده</t>
  </si>
  <si>
    <t xml:space="preserve">“determination” </t>
  </si>
  <si>
    <t>ایرج</t>
  </si>
  <si>
    <t>ایران</t>
  </si>
  <si>
    <t>ایرانی</t>
  </si>
  <si>
    <t>ایرانیان</t>
  </si>
  <si>
    <t>عراقی</t>
  </si>
  <si>
    <t>عراق عجم</t>
  </si>
  <si>
    <t>عراق عجمی</t>
  </si>
  <si>
    <t>عراق عرب</t>
  </si>
  <si>
    <t>عراق اعظم</t>
  </si>
  <si>
    <t>ایروان</t>
  </si>
  <si>
    <t>عرفان</t>
  </si>
  <si>
    <t xml:space="preserve">literally, “knowing” </t>
  </si>
  <si>
    <t>ارشاد</t>
  </si>
  <si>
    <t>ارشادی</t>
  </si>
  <si>
    <t>ارشاد العوام</t>
  </si>
  <si>
    <t>ارتباط</t>
  </si>
  <si>
    <t>ارتداد</t>
  </si>
  <si>
    <t>عیسی</t>
  </si>
  <si>
    <t xml:space="preserve">Jesus </t>
  </si>
  <si>
    <t>اصفهان</t>
  </si>
  <si>
    <t>اصفهانی</t>
  </si>
  <si>
    <t>اسفندآباد</t>
  </si>
  <si>
    <t>اسفندیار</t>
  </si>
  <si>
    <t>اسحاق</t>
  </si>
  <si>
    <t>Isaac</t>
  </si>
  <si>
    <t>عشق آباد</t>
  </si>
  <si>
    <t>عشقی</t>
  </si>
  <si>
    <t>“belonging to love”</t>
  </si>
  <si>
    <t>عشقی قرن بیستم</t>
  </si>
  <si>
    <t>اشراق</t>
  </si>
  <si>
    <t>اشراقات</t>
  </si>
  <si>
    <t>literally ›splendours‹|. Title of one of the Tablets of Bahá’u’lláh.</t>
  </si>
  <si>
    <t>اشراقیّه</t>
  </si>
  <si>
    <t>اشراق خاوری</t>
  </si>
  <si>
    <t>اشتعال</t>
  </si>
  <si>
    <t>اشتهارد</t>
  </si>
  <si>
    <t>اسکندر</t>
  </si>
  <si>
    <t>اسکندرون</t>
  </si>
  <si>
    <t>اسکی شهر</t>
  </si>
  <si>
    <t>اسلام</t>
  </si>
  <si>
    <t>عصما</t>
  </si>
  <si>
    <t xml:space="preserve">“immunity from sin and error” </t>
  </si>
  <si>
    <t>اسماعیل</t>
  </si>
  <si>
    <t>اسماعیلی</t>
  </si>
  <si>
    <t>اسماعیل ذبیح</t>
  </si>
  <si>
    <t>اسماعیل فراهانانی</t>
  </si>
  <si>
    <t>اسماعیل کاشانی</t>
  </si>
  <si>
    <t>اسماعیل کاشی</t>
  </si>
  <si>
    <t>اسماعیل قمی</t>
  </si>
  <si>
    <t>اسماعیلیّه</t>
  </si>
  <si>
    <t>عصمت کبری</t>
  </si>
  <si>
    <t>اسم اعظم</t>
  </si>
  <si>
    <t>اسم الازل</t>
  </si>
  <si>
    <t>اسم الله</t>
  </si>
  <si>
    <t>اسم الله الاجود</t>
  </si>
  <si>
    <t>اسم الله آلاخر</t>
  </si>
  <si>
    <t xml:space="preserve">“The Last name of God” —title given by the Báb to Quddús </t>
  </si>
  <si>
    <t>اسم الله الاسد</t>
  </si>
  <si>
    <t>اسم الله الاصدق</t>
  </si>
  <si>
    <t>اسم الله الاجواد</t>
  </si>
  <si>
    <t>اسم الله المهدی</t>
  </si>
  <si>
    <t>Mihdíy-i-Dahají</t>
  </si>
  <si>
    <t>اسم الله المیم</t>
  </si>
  <si>
    <t xml:space="preserve">“the Name of God, the Patron” </t>
  </si>
  <si>
    <t>اسرافیل</t>
  </si>
  <si>
    <t>The angel whose function is to sound the trumpet on the Day of Judgement.</t>
  </si>
  <si>
    <t>اصطهبانات</t>
  </si>
  <si>
    <t>استدلالیّه</t>
  </si>
  <si>
    <t>استجلال</t>
  </si>
  <si>
    <t>استیلای ظاهری</t>
  </si>
  <si>
    <t>اتابک چوپان</t>
  </si>
  <si>
    <t>اثنا</t>
  </si>
  <si>
    <t>اثنا عشری</t>
  </si>
  <si>
    <t>اثنا عشریّه</t>
  </si>
  <si>
    <t>اعتداد السلطنه</t>
  </si>
  <si>
    <t>اعتدال</t>
  </si>
  <si>
    <t>اعتداف</t>
  </si>
  <si>
    <t>اعتماد</t>
  </si>
  <si>
    <t>اعتماد الدّوله</t>
  </si>
  <si>
    <t>اعتماد التجّار</t>
  </si>
  <si>
    <t>اعتماد مخصوصی</t>
  </si>
  <si>
    <t>اطمینان قلب</t>
  </si>
  <si>
    <t>اعتراف</t>
  </si>
  <si>
    <t>“mantle”</t>
  </si>
  <si>
    <t>اتّحاد</t>
  </si>
  <si>
    <t>ایزدی</t>
  </si>
  <si>
    <t>ازدواج</t>
  </si>
  <si>
    <t>ازدواج است</t>
  </si>
  <si>
    <t>عزرائیل</t>
  </si>
  <si>
    <t>عزّت</t>
  </si>
  <si>
    <t>›Might‹. Tenth month of the Badíʿ calendar.</t>
  </si>
  <si>
    <t>عزّت آقا</t>
  </si>
  <si>
    <t>عزّت الله</t>
  </si>
  <si>
    <t>عزّالدّوله</t>
  </si>
  <si>
    <t>جبال بسیط</t>
  </si>
  <si>
    <t>“the Open Mountain” —Máh-Kú</t>
  </si>
  <si>
    <t>جبال شدید</t>
  </si>
  <si>
    <t>جبروت</t>
  </si>
  <si>
    <t>جبّانی</t>
  </si>
  <si>
    <t>جابر</t>
  </si>
  <si>
    <t>“one who uses coercion, despotic ” —name of a follower of Imám Ṣádiq who handed down his traditions</t>
  </si>
  <si>
    <t>جابلقا</t>
  </si>
  <si>
    <t>جابلسا</t>
  </si>
  <si>
    <t>جدّه</t>
  </si>
  <si>
    <t>جذبیّه</t>
  </si>
  <si>
    <t xml:space="preserve">“Attraction” </t>
  </si>
  <si>
    <t>جدیدالله</t>
  </si>
  <si>
    <t>جعفر</t>
  </si>
  <si>
    <t>the sixth Imám</t>
  </si>
  <si>
    <t>جعفرآباد</t>
  </si>
  <si>
    <t>Town five miles north of Tehran</t>
  </si>
  <si>
    <t>جعفراسترآبادی</t>
  </si>
  <si>
    <t>جعفر مذهّب</t>
  </si>
  <si>
    <t>جعفر نراقی</t>
  </si>
  <si>
    <t>جعفرقلی</t>
  </si>
  <si>
    <t>جعفرصادق</t>
  </si>
  <si>
    <t>جعفر تبریزی</t>
  </si>
  <si>
    <t>جعفر طیّار</t>
  </si>
  <si>
    <t>جعفر واعظ قزوینی</t>
  </si>
  <si>
    <t>جعفر یزدی</t>
  </si>
  <si>
    <t>جعفریّه</t>
  </si>
  <si>
    <t>جعفرقلی خان</t>
  </si>
  <si>
    <t>جهان</t>
  </si>
  <si>
    <t xml:space="preserve">“a verse” </t>
  </si>
  <si>
    <t>جهانگیر</t>
  </si>
  <si>
    <t>جاهلیّه</t>
  </si>
  <si>
    <t>The dark age of ignorance among the Arabs before the appearance of Muḥammad.</t>
  </si>
  <si>
    <t>جهرم</t>
  </si>
  <si>
    <t>جلال</t>
  </si>
  <si>
    <t>›Glory‹. Second month of the Badíʿ calendar.</t>
  </si>
  <si>
    <t>جلال الدّوله</t>
  </si>
  <si>
    <t>جلال الدّین</t>
  </si>
  <si>
    <t>جلیل</t>
  </si>
  <si>
    <t>جلیل خوئی</t>
  </si>
  <si>
    <t>جلیل تبریزی</t>
  </si>
  <si>
    <t>جلیل ارومی</t>
  </si>
  <si>
    <t>جام</t>
  </si>
  <si>
    <t>جمادی</t>
  </si>
  <si>
    <t>جمادی الاوّل</t>
  </si>
  <si>
    <t>جمادی الاولی</t>
  </si>
  <si>
    <t>جمادی الثّانی</t>
  </si>
  <si>
    <t>جمال</t>
  </si>
  <si>
    <t>›Beauty‹. Third month of the Badíʿ calendar.</t>
  </si>
  <si>
    <t>جمال بروجردی</t>
  </si>
  <si>
    <t>جمال الدّین</t>
  </si>
  <si>
    <t>جمال مبارک</t>
  </si>
  <si>
    <t>literally ›the Blessed Beauty‹, applied to Bahá’u’lláh.</t>
  </si>
  <si>
    <t>جمال قدم</t>
  </si>
  <si>
    <t>literally ›the Ancient Beauty‹, applied to Bahá’u’lláh.</t>
  </si>
  <si>
    <t>جمال الدّین افغانی</t>
  </si>
  <si>
    <t>جامع</t>
  </si>
  <si>
    <t>جمیعه الکبیره</t>
  </si>
  <si>
    <t>جامه</t>
  </si>
  <si>
    <t>جمشید</t>
  </si>
  <si>
    <t>جمشید گرجی</t>
  </si>
  <si>
    <t>جان</t>
  </si>
  <si>
    <t>جانی</t>
  </si>
  <si>
    <t>جانب</t>
  </si>
  <si>
    <t>جان کج کلاه</t>
  </si>
  <si>
    <t>جان خمسه</t>
  </si>
  <si>
    <t>جانی بزرگ</t>
  </si>
  <si>
    <t>جانی کاشانی</t>
  </si>
  <si>
    <t>جانی ترک</t>
  </si>
  <si>
    <t>جنّت</t>
  </si>
  <si>
    <t>جنّت ابهی</t>
  </si>
  <si>
    <t>جریب</t>
  </si>
  <si>
    <t>10,000 sq metres</t>
  </si>
  <si>
    <t>جاروب کش جهنّمی</t>
  </si>
  <si>
    <t>جاسب</t>
  </si>
  <si>
    <t>جشن اعظم</t>
  </si>
  <si>
    <t>جواب بسیار</t>
  </si>
  <si>
    <t>جواد</t>
  </si>
  <si>
    <t>جواد برغانی</t>
  </si>
  <si>
    <t>جواد کربلائی</t>
  </si>
  <si>
    <t>جواد کرمانی</t>
  </si>
  <si>
    <t>جواد قزوینی</t>
  </si>
  <si>
    <t>جواد طباطبائی</t>
  </si>
  <si>
    <t>جواهر الاسرار</t>
  </si>
  <si>
    <t>جوانمرد</t>
  </si>
  <si>
    <t>جاودان</t>
  </si>
  <si>
    <t>جیهون</t>
  </si>
  <si>
    <t>جزیره خضری</t>
  </si>
  <si>
    <t xml:space="preserve">“Verdant Isle” </t>
  </si>
  <si>
    <t>جزّار</t>
  </si>
  <si>
    <t xml:space="preserve">“Butcher” </t>
  </si>
  <si>
    <t>جبرائیل</t>
  </si>
  <si>
    <t>Gabriel</t>
  </si>
  <si>
    <t>جهاد</t>
  </si>
  <si>
    <t>Holy war, as specified in Qur’án.</t>
  </si>
  <si>
    <t>جیم</t>
  </si>
  <si>
    <t>جناب</t>
  </si>
  <si>
    <t>Courtesy title sometimes translated ›His Honour‹.</t>
  </si>
  <si>
    <t>جنابی</t>
  </si>
  <si>
    <t>جناب عادله</t>
  </si>
  <si>
    <t>one of the venerable Bahá’í teachers in Tehran</t>
  </si>
  <si>
    <t>جناب علی اکبر</t>
  </si>
  <si>
    <t>جناب امین</t>
  </si>
  <si>
    <t>جناب آقا</t>
  </si>
  <si>
    <t>جناب آواره</t>
  </si>
  <si>
    <t>جناب عظیم</t>
  </si>
  <si>
    <t>جناب باب الباب</t>
  </si>
  <si>
    <t>جناب بابا</t>
  </si>
  <si>
    <t>جناب ذبیح</t>
  </si>
  <si>
    <t>چناب فاضل</t>
  </si>
  <si>
    <t>جناب فاضل مازندرانی</t>
  </si>
  <si>
    <t>جناب فیضی</t>
  </si>
  <si>
    <t>جناب فروغی</t>
  </si>
  <si>
    <t>جناب حاجی</t>
  </si>
  <si>
    <t>جناب حسین</t>
  </si>
  <si>
    <t>جناب ابن ابهر</t>
  </si>
  <si>
    <t>جناب اسم الله</t>
  </si>
  <si>
    <t>جناب اسم الله اصدق</t>
  </si>
  <si>
    <t>جناب کلیم</t>
  </si>
  <si>
    <t>جناب خان</t>
  </si>
  <si>
    <t>جناب میرزا</t>
  </si>
  <si>
    <t>جناب مشکین</t>
  </si>
  <si>
    <t>جناب مبلّغ</t>
  </si>
  <si>
    <t>جناب محمّد تقی</t>
  </si>
  <si>
    <t>جناب ملّا</t>
  </si>
  <si>
    <t>جناب منیب</t>
  </si>
  <si>
    <t>جناب منیر</t>
  </si>
  <si>
    <t>جناب نبیل اکبر</t>
  </si>
  <si>
    <t>جناب قدّوس</t>
  </si>
  <si>
    <t>جناب سمندر</t>
  </si>
  <si>
    <t>جناب سمندری</t>
  </si>
  <si>
    <t>جناب سیّاح</t>
  </si>
  <si>
    <t>جناب شیخ</t>
  </si>
  <si>
    <t>جناب سیّد</t>
  </si>
  <si>
    <t>جناب طاهره</t>
  </si>
  <si>
    <t>جناب ورقا</t>
  </si>
  <si>
    <t>جناب زین</t>
  </si>
  <si>
    <t>جناب زین المقرّبین</t>
  </si>
  <si>
    <t>جوب</t>
  </si>
  <si>
    <t>“brook”</t>
  </si>
  <si>
    <t>جبّه</t>
  </si>
  <si>
    <t>An outer coat.</t>
  </si>
  <si>
    <t>جود</t>
  </si>
  <si>
    <t>جدا</t>
  </si>
  <si>
    <t>جوجه</t>
  </si>
  <si>
    <t>جوک</t>
  </si>
  <si>
    <t>جلفا</t>
  </si>
  <si>
    <t>جمهور</t>
  </si>
  <si>
    <t xml:space="preserve">“republic” </t>
  </si>
  <si>
    <t>جمعه</t>
  </si>
  <si>
    <t>جمعه بازار</t>
  </si>
  <si>
    <t>جرجی</t>
  </si>
  <si>
    <t>کعب</t>
  </si>
  <si>
    <t>کعب ابن اشرف</t>
  </si>
  <si>
    <t>کعبه</t>
  </si>
  <si>
    <t>Ancient shrine at Mecca. Now recognized as the most holy shrine of Islám.</t>
  </si>
  <si>
    <t>کبیر</t>
  </si>
  <si>
    <t>literally ›great‹. (See ›Akbar‹.)</t>
  </si>
  <si>
    <t>کابل</t>
  </si>
  <si>
    <t>کدخدا</t>
  </si>
  <si>
    <t>کاف</t>
  </si>
  <si>
    <t>کافی</t>
  </si>
  <si>
    <t>کافر</t>
  </si>
  <si>
    <t xml:space="preserve">“Infidel, unbeliever” </t>
  </si>
  <si>
    <t>کافرون</t>
  </si>
  <si>
    <t>کافیه</t>
  </si>
  <si>
    <t>کفلن کوه</t>
  </si>
  <si>
    <t>کافور</t>
  </si>
  <si>
    <t>a fountain intended to be drunk by the true and firm believers</t>
  </si>
  <si>
    <t>کاهن</t>
  </si>
  <si>
    <t>کهربائی</t>
  </si>
  <si>
    <t>کجاوه</t>
  </si>
  <si>
    <t>A type of pannier, howdah or litter</t>
  </si>
  <si>
    <t>کلام</t>
  </si>
  <si>
    <t>کلانتر</t>
  </si>
  <si>
    <t>›Major‹.</t>
  </si>
  <si>
    <t>کلب علی</t>
  </si>
  <si>
    <t>کلباسی</t>
  </si>
  <si>
    <t>کلیم</t>
  </si>
  <si>
    <t>›One who discoursed‹.</t>
  </si>
  <si>
    <t>کلمات</t>
  </si>
  <si>
    <t>›Words‹. Seventh month of the Badíʿ calendar.</t>
  </si>
  <si>
    <t>کلمات فردوسیّه</t>
  </si>
  <si>
    <t>“The Words of Paradise” by Bahá’u’lláh</t>
  </si>
  <si>
    <t>کلمات مکنونه</t>
  </si>
  <si>
    <t>“The Hidden Words” by Bahá’u’lláh</t>
  </si>
  <si>
    <t>کلیم الله</t>
  </si>
  <si>
    <t>›One Who converses with God‹. Title given to Moses in the Islamic dispensation.</t>
  </si>
  <si>
    <t>کمال</t>
  </si>
  <si>
    <t>›Perfection‹. Eighth month of the Badíʿ calendar.</t>
  </si>
  <si>
    <t>کمال الدّین</t>
  </si>
  <si>
    <t>کمال الدّین نراقی</t>
  </si>
  <si>
    <t>کامل</t>
  </si>
  <si>
    <t xml:space="preserve">“perfect” </t>
  </si>
  <si>
    <t>کامل مقدّم</t>
  </si>
  <si>
    <t>کامران</t>
  </si>
  <si>
    <t>کنگاور</t>
  </si>
  <si>
    <t>کنی</t>
  </si>
  <si>
    <t>کرباغ</t>
  </si>
  <si>
    <t>کراچی</t>
  </si>
  <si>
    <t>کرند</t>
  </si>
  <si>
    <t>کربلا</t>
  </si>
  <si>
    <t>کربلائی</t>
  </si>
  <si>
    <t>A Muslim who has performed the pilgrimage to Karbilá.</t>
  </si>
  <si>
    <t>کریم</t>
  </si>
  <si>
    <t>کریمی</t>
  </si>
  <si>
    <t>کرخ</t>
  </si>
  <si>
    <t>کرکوک</t>
  </si>
  <si>
    <t>کرّوس</t>
  </si>
  <si>
    <t>کرّوسی</t>
  </si>
  <si>
    <t>کرّوسه</t>
  </si>
  <si>
    <t>a carriage from Italy - carrozza</t>
  </si>
  <si>
    <t>کاروانسرای</t>
  </si>
  <si>
    <t>Caravanserai, caravan house</t>
  </si>
  <si>
    <t>کاشان</t>
  </si>
  <si>
    <t>کاشانی</t>
  </si>
  <si>
    <t>کاشانه</t>
  </si>
  <si>
    <t>کشف</t>
  </si>
  <si>
    <t>کشفی</t>
  </si>
  <si>
    <t>کشف الغطاع</t>
  </si>
  <si>
    <t>کاشغار</t>
  </si>
  <si>
    <t>part of Sinkiang, China</t>
  </si>
  <si>
    <t>کشکول</t>
  </si>
  <si>
    <t>کشمیر</t>
  </si>
  <si>
    <t>کثیری</t>
  </si>
  <si>
    <t>کاتب</t>
  </si>
  <si>
    <t>کاتب پور شهیدی</t>
  </si>
  <si>
    <t>کوثر</t>
  </si>
  <si>
    <t>A river in Paradise, whence all the other rivers derive their source.</t>
  </si>
  <si>
    <t>کیخسرو</t>
  </si>
  <si>
    <t>کاظم</t>
  </si>
  <si>
    <t>کاظمین</t>
  </si>
  <si>
    <t>کاظم رشتی</t>
  </si>
  <si>
    <t>کاظم زنجانی</t>
  </si>
  <si>
    <t>کرمانشاه</t>
  </si>
  <si>
    <t>خا</t>
  </si>
  <si>
    <t>خبردار</t>
  </si>
  <si>
    <t>خبیرالملک</t>
  </si>
  <si>
    <t>خدیجه</t>
  </si>
  <si>
    <t>خدیجه بگم</t>
  </si>
  <si>
    <t>Wife of the Báb</t>
  </si>
  <si>
    <t>خدیجه سلطان</t>
  </si>
  <si>
    <t>خادم</t>
  </si>
  <si>
    <t xml:space="preserve">“servant” </t>
  </si>
  <si>
    <t>خادم الله</t>
  </si>
  <si>
    <t>“servant of God” —title given to Mírzá Áqá Ján, personal attendant of Bahá’u’lláh, later His amanuensis</t>
  </si>
  <si>
    <t>خفی</t>
  </si>
  <si>
    <t xml:space="preserve">“quietly and privately” </t>
  </si>
  <si>
    <t>خواجه</t>
  </si>
  <si>
    <t>خلعت</t>
  </si>
  <si>
    <t>خال اکبر</t>
  </si>
  <si>
    <t>خال اصغر</t>
  </si>
  <si>
    <t xml:space="preserve">“Younger or Junior Uncle” </t>
  </si>
  <si>
    <t>خال اعظم</t>
  </si>
  <si>
    <t xml:space="preserve">“the Most Great Uncle” </t>
  </si>
  <si>
    <t>خالد</t>
  </si>
  <si>
    <t>خالدیّه</t>
  </si>
  <si>
    <t>خلیف</t>
  </si>
  <si>
    <t>خلیفه</t>
  </si>
  <si>
    <t>خلیل</t>
  </si>
  <si>
    <t>خلیل خویی</t>
  </si>
  <si>
    <t>خلیل خوئی</t>
  </si>
  <si>
    <t>خلیل الله</t>
  </si>
  <si>
    <t xml:space="preserve">“the Friend of God” </t>
  </si>
  <si>
    <t>خالق</t>
  </si>
  <si>
    <t xml:space="preserve">“the Creator”.  As a name, preceded by `Abd—“servant of the Creator” </t>
  </si>
  <si>
    <t>خلخال</t>
  </si>
  <si>
    <t>خالخالی</t>
  </si>
  <si>
    <t>خلق</t>
  </si>
  <si>
    <t>خمّار</t>
  </si>
  <si>
    <t>خمسه</t>
  </si>
  <si>
    <t>خان</t>
  </si>
  <si>
    <t>›Prince‹, ›lord‹, ›nobleman‹, ›chieftain‹.</t>
  </si>
  <si>
    <t>خان باغی</t>
  </si>
  <si>
    <t>a village</t>
  </si>
  <si>
    <t>خان افغان</t>
  </si>
  <si>
    <t>خان افروخته</t>
  </si>
  <si>
    <t>خان افشار</t>
  </si>
  <si>
    <t>خان افشار شهریاری</t>
  </si>
  <si>
    <t>خان عرب</t>
  </si>
  <si>
    <t>خان اشرفی</t>
  </si>
  <si>
    <t>خان عوامید</t>
  </si>
  <si>
    <t>خان بندبی</t>
  </si>
  <si>
    <t>خان دو دونگ ئی</t>
  </si>
  <si>
    <t>خان فراهانی</t>
  </si>
  <si>
    <t>خانه گرد</t>
  </si>
  <si>
    <t>خان نوری</t>
  </si>
  <si>
    <t>خان ایروانی</t>
  </si>
  <si>
    <t>خان اصفهانی</t>
  </si>
  <si>
    <t>خان اسمائیلی</t>
  </si>
  <si>
    <t>خان کلانتر</t>
  </si>
  <si>
    <t>خان کرولی</t>
  </si>
  <si>
    <t>خان کرّوسی</t>
  </si>
  <si>
    <t>خان کاشی</t>
  </si>
  <si>
    <t>خان خمسه</t>
  </si>
  <si>
    <t>خان کرمانی</t>
  </si>
  <si>
    <t>خان کرد</t>
  </si>
  <si>
    <t>خان لاله باشی</t>
  </si>
  <si>
    <t>خان لاریجانی</t>
  </si>
  <si>
    <t>خان ماکو</t>
  </si>
  <si>
    <t>خان ماکوئی</t>
  </si>
  <si>
    <t>خان مراغه ای</t>
  </si>
  <si>
    <t>خان میلانی</t>
  </si>
  <si>
    <t>خان مکری</t>
  </si>
  <si>
    <t>خان نامدار</t>
  </si>
  <si>
    <t>خان قاجارکرمانی</t>
  </si>
  <si>
    <t>خانقین</t>
  </si>
  <si>
    <t>خان قزوینی</t>
  </si>
  <si>
    <t>خان سردار</t>
  </si>
  <si>
    <t>خان سود کوهی</t>
  </si>
  <si>
    <t>خان شاه سون</t>
  </si>
  <si>
    <t>خان شاه وردی</t>
  </si>
  <si>
    <t>خان سرخ کرّئی</t>
  </si>
  <si>
    <t>خان تنوک آبانی</t>
  </si>
  <si>
    <t>خان ترکمن</t>
  </si>
  <si>
    <t>خانلن</t>
  </si>
  <si>
    <t>خانلار</t>
  </si>
  <si>
    <t>خانلق</t>
  </si>
  <si>
    <t>خان محمّد توپچی</t>
  </si>
  <si>
    <t>خانم</t>
  </si>
  <si>
    <t>خر</t>
  </si>
  <si>
    <t>“donkey”</t>
  </si>
  <si>
    <t>خرج</t>
  </si>
  <si>
    <t>a tax</t>
  </si>
  <si>
    <t>خری</t>
  </si>
  <si>
    <t xml:space="preserve">“donkey” </t>
  </si>
  <si>
    <t>خارق العادت</t>
  </si>
  <si>
    <t>خارپوت</t>
  </si>
  <si>
    <t>خرّاز</t>
  </si>
  <si>
    <t xml:space="preserve">“the haberdasher” </t>
  </si>
  <si>
    <t>خرطوم</t>
  </si>
  <si>
    <t>خصائل سبعه</t>
  </si>
  <si>
    <t>خطا</t>
  </si>
  <si>
    <t>خطاب</t>
  </si>
  <si>
    <t>خاتم</t>
  </si>
  <si>
    <t>“Signet ring”, Stone placed on a ring; official mark or seal placed on a document</t>
  </si>
  <si>
    <t>ختم</t>
  </si>
  <si>
    <t xml:space="preserve">“one who ends or terminates an action or process” </t>
  </si>
  <si>
    <t>خاطرات حبیب</t>
  </si>
  <si>
    <t>خاطرات نه ساله</t>
  </si>
  <si>
    <t>خاتون</t>
  </si>
  <si>
    <t xml:space="preserve">“Lady, matron” </t>
  </si>
  <si>
    <t>خاتون جان</t>
  </si>
  <si>
    <t>خاور</t>
  </si>
  <si>
    <t>خاوری</t>
  </si>
  <si>
    <t>خاوه ولشتر</t>
  </si>
  <si>
    <t>خوّام</t>
  </si>
  <si>
    <t>خوارج</t>
  </si>
  <si>
    <t xml:space="preserve">“Outsiders, seceders” </t>
  </si>
  <si>
    <t>خوف</t>
  </si>
  <si>
    <t>“fear” ; the mystical station of fear of the wrath and displeasure of God</t>
  </si>
  <si>
    <t>خیّام</t>
  </si>
  <si>
    <t>خیبر</t>
  </si>
  <si>
    <t>خیلی</t>
  </si>
  <si>
    <t>خیری</t>
  </si>
  <si>
    <t>خیرالله</t>
  </si>
  <si>
    <t>خیّامی</t>
  </si>
  <si>
    <t>خیّاط</t>
  </si>
  <si>
    <t xml:space="preserve">“Tailor” </t>
  </si>
  <si>
    <t>خیّاط باشی</t>
  </si>
  <si>
    <t>خازه</t>
  </si>
  <si>
    <t>خدیو</t>
  </si>
  <si>
    <t>خضر</t>
  </si>
  <si>
    <t>literally ›The Green One‹. Said to have lived at the time of Abraham, drank from the fountain of life, and is called ist custodian. He is also said to symbolize the true guide. His name does not occur in the Qur’án, but some commentators identify him with the mysterious personage referred to in Qur’án 18:59-81.</t>
  </si>
  <si>
    <t>خلافت</t>
  </si>
  <si>
    <t>خرغن</t>
  </si>
  <si>
    <t>خرغه شریف</t>
  </si>
  <si>
    <t xml:space="preserve">“public address, speech, oration or letter” </t>
  </si>
  <si>
    <t>خطابات</t>
  </si>
  <si>
    <t>خیابان بالا</t>
  </si>
  <si>
    <t>خداداد</t>
  </si>
  <si>
    <t>خدارحم</t>
  </si>
  <si>
    <t>خرد</t>
  </si>
  <si>
    <t>خوب</t>
  </si>
  <si>
    <t>خدا</t>
  </si>
  <si>
    <t>خدابخش قوچانی</t>
  </si>
  <si>
    <t>خدامراد</t>
  </si>
  <si>
    <t>خوئی</t>
  </si>
  <si>
    <t>خوکند</t>
  </si>
  <si>
    <t>a place in Írán</t>
  </si>
  <si>
    <t>خل</t>
  </si>
  <si>
    <t>خلفا</t>
  </si>
  <si>
    <t>خمس</t>
  </si>
  <si>
    <t>خون بها</t>
  </si>
  <si>
    <t>خراسان</t>
  </si>
  <si>
    <t>خراسانی</t>
  </si>
  <si>
    <t>خرداد</t>
  </si>
  <si>
    <t>خرمائی</t>
  </si>
  <si>
    <t>خرّم آباد</t>
  </si>
  <si>
    <t>خرّم دینی</t>
  </si>
  <si>
    <t>خورشید</t>
  </si>
  <si>
    <t>خورشید خاور</t>
  </si>
  <si>
    <t>خروج</t>
  </si>
  <si>
    <t>خوش</t>
  </si>
  <si>
    <t>خوش آمدید</t>
  </si>
  <si>
    <t>خوش خو</t>
  </si>
  <si>
    <t>“good-natured”</t>
  </si>
  <si>
    <t>خسرو</t>
  </si>
  <si>
    <t>خسرو قاضی کلائی</t>
  </si>
  <si>
    <t>خسروی</t>
  </si>
  <si>
    <t>ختن</t>
  </si>
  <si>
    <t>خطبه</t>
  </si>
  <si>
    <t>Sermon delivered on Fridays at noon in Islamic religion.</t>
  </si>
  <si>
    <t>خطبه قهریّه</t>
  </si>
  <si>
    <t>خوی</t>
  </si>
  <si>
    <t xml:space="preserve">“that which hangs crooked”, two large, open boxes or panniers, roped together and placed to either side over the back of a mule
</t>
  </si>
  <si>
    <t>کنایه</t>
  </si>
  <si>
    <t>کنارگرد</t>
  </si>
  <si>
    <t>کرامت</t>
  </si>
  <si>
    <t xml:space="preserve">“liberality” </t>
  </si>
  <si>
    <t>کرمان</t>
  </si>
  <si>
    <t>کرمانی</t>
  </si>
  <si>
    <t>کرمانشاهان</t>
  </si>
  <si>
    <t>کرمانشان</t>
  </si>
  <si>
    <t>کسری</t>
  </si>
  <si>
    <t>Chosroes</t>
  </si>
  <si>
    <t>کتاب</t>
  </si>
  <si>
    <t>›Book‹.</t>
  </si>
  <si>
    <t>کتابی</t>
  </si>
  <si>
    <t>کتاب عهد</t>
  </si>
  <si>
    <t>کتاب عهدی</t>
  </si>
  <si>
    <t>کتاب اقدس</t>
  </si>
  <si>
    <t>literally ›The Most Holy Book‹. Title of Bahá’u’lláh’s Book of Laws.</t>
  </si>
  <si>
    <t>کتاب اسماء</t>
  </si>
  <si>
    <t>کتاب بدایع آلاثار</t>
  </si>
  <si>
    <t>کتاب بدیع</t>
  </si>
  <si>
    <t>کتاب بین الحرمین</t>
  </si>
  <si>
    <t>کتاب هیکل</t>
  </si>
  <si>
    <t>کتاب ایقان</t>
  </si>
  <si>
    <t>کتاب مجلسی</t>
  </si>
  <si>
    <t>کتاب مبین</t>
  </si>
  <si>
    <t>کتاب ناطق</t>
  </si>
  <si>
    <t xml:space="preserve">“the Speaking Book” </t>
  </si>
  <si>
    <t>کتاب پنج شأن</t>
  </si>
  <si>
    <t>کتاب صامت</t>
  </si>
  <si>
    <t>“The Silent Book”</t>
  </si>
  <si>
    <t>کتاب سلطان</t>
  </si>
  <si>
    <t>کتاب الفرائد</t>
  </si>
  <si>
    <t>کتاب الحرمین</t>
  </si>
  <si>
    <t>کتاب الرّوح</t>
  </si>
  <si>
    <t>by the Báb</t>
  </si>
  <si>
    <t>کتمان</t>
  </si>
  <si>
    <t>کیان</t>
  </si>
  <si>
    <t xml:space="preserve">“Dynasty” </t>
  </si>
  <si>
    <t>کو</t>
  </si>
  <si>
    <t>کوچک چکمه</t>
  </si>
  <si>
    <t>کفّارحربی</t>
  </si>
  <si>
    <t>کوفه</t>
  </si>
  <si>
    <t>کوه نور</t>
  </si>
  <si>
    <t xml:space="preserve">“Mountain of Light” </t>
  </si>
  <si>
    <t>کوه رود</t>
  </si>
  <si>
    <t>a river</t>
  </si>
  <si>
    <t>کوه یار</t>
  </si>
  <si>
    <t>کجور</t>
  </si>
  <si>
    <t>کوکب</t>
  </si>
  <si>
    <t xml:space="preserve">“star” </t>
  </si>
  <si>
    <t>کلاه</t>
  </si>
  <si>
    <t>The Persian lambskin hat worn by government employees and civilians.</t>
  </si>
  <si>
    <t>کلاه فرنگی</t>
  </si>
  <si>
    <t>کلین</t>
  </si>
  <si>
    <t>کلّ شي</t>
  </si>
  <si>
    <t>کلّ الاطعام</t>
  </si>
  <si>
    <t xml:space="preserve">“Tablet of All Food” by Bahá’u’lláh </t>
  </si>
  <si>
    <t>کلثوم</t>
  </si>
  <si>
    <t xml:space="preserve">“plump-faced, chubby, good looking” </t>
  </si>
  <si>
    <t>کمیل</t>
  </si>
  <si>
    <t>کمیل ابن زید</t>
  </si>
  <si>
    <t>کور</t>
  </si>
  <si>
    <t>کرد</t>
  </si>
  <si>
    <t>کردی</t>
  </si>
  <si>
    <t>کردستان</t>
  </si>
  <si>
    <t>کرسی</t>
  </si>
  <si>
    <t>کویت</t>
  </si>
  <si>
    <t>لا</t>
  </si>
  <si>
    <t>لبّاده</t>
  </si>
  <si>
    <t>a long robe with sleeves</t>
  </si>
  <si>
    <t>لبو</t>
  </si>
  <si>
    <t>لاهیجان</t>
  </si>
  <si>
    <t>لاهیجانی</t>
  </si>
  <si>
    <t>لاهوت</t>
  </si>
  <si>
    <t>world of the Heavenly Court—realm of being</t>
  </si>
  <si>
    <t>لاله</t>
  </si>
  <si>
    <t>a sort of bodyguard-tutor-servant</t>
  </si>
  <si>
    <t>للۂ باشی</t>
  </si>
  <si>
    <t>لالزار</t>
  </si>
  <si>
    <t>a famous avenue in Teheran</t>
  </si>
  <si>
    <t>لام</t>
  </si>
  <si>
    <t>لمیعه</t>
  </si>
  <si>
    <t>لار</t>
  </si>
  <si>
    <t>لاریجان</t>
  </si>
  <si>
    <t>لاریجانی</t>
  </si>
  <si>
    <t>لواسان</t>
  </si>
  <si>
    <t>لوح</t>
  </si>
  <si>
    <t>لوح عبد العزیز</t>
  </si>
  <si>
    <t>NDW &lt;choice&gt;&lt;orig n="ndw"&gt;Law&amp;h_udot;-i-&amp;#8216;Abdu&amp;#8217;l-azíz&lt;/orig&gt;&lt;reg n="dw"&gt;Law&amp;h_udot;-i-&amp;#8216;Abdu&amp;#8217;l-&amp;#8216;Azíz&lt;w&gt;&lt;/reg&gt;&lt;/choice&gt;</t>
  </si>
  <si>
    <t>لوح عبد العزیز و وکلا</t>
  </si>
  <si>
    <t>لوح عبد الوهّاب</t>
  </si>
  <si>
    <t>“Tablet to -`Abdu’l-Vahháb” by Bahá’u’lláh</t>
  </si>
  <si>
    <t>لوح عبد الرزّاق</t>
  </si>
  <si>
    <t>لوح افلاکیّه</t>
  </si>
  <si>
    <t>“Tablet of the universe” by `Abdu’l-Bahá</t>
  </si>
  <si>
    <t>لوح احباب</t>
  </si>
  <si>
    <t>“Tablet for the Friends” by Bahá’u’lláh</t>
  </si>
  <si>
    <t>لوح عهد</t>
  </si>
  <si>
    <t>لوح احمد</t>
  </si>
  <si>
    <t>“Tablet of Aḥmad” by Bahá’u’lláh</t>
  </si>
  <si>
    <t>لوح عمّه</t>
  </si>
  <si>
    <t>by `Abdu’l-Bahá</t>
  </si>
  <si>
    <t>لوح امر</t>
  </si>
  <si>
    <t>“Tablet of the Command” by Bahá’u’lláh</t>
  </si>
  <si>
    <t>لوح امواج</t>
  </si>
  <si>
    <t>“Tablet of the Waves” by Bahá’u’lláh</t>
  </si>
  <si>
    <t>لوح انت الکافی</t>
  </si>
  <si>
    <t>“Tablet of ‘Thou the Sufficingʼ, known as the long healing prayer, Tablet of protection” by Bahá’u’lláh</t>
  </si>
  <si>
    <t>لوح اقدس</t>
  </si>
  <si>
    <t>لوح ارض با</t>
  </si>
  <si>
    <t>“Tablet of the Land of Bá”—Beirut by Bahá’u’lláh</t>
  </si>
  <si>
    <t>لوح عاشق و معشوق</t>
  </si>
  <si>
    <t xml:space="preserve">“The Tablet of the Lover and the Beloved” by Bahá’u’lláh </t>
  </si>
  <si>
    <t>لوح اشرف</t>
  </si>
  <si>
    <t>“Tablet for Ashraf (the Noble)” by Bahá’u’lláh</t>
  </si>
  <si>
    <t>لوح آیه نور</t>
  </si>
  <si>
    <t>“Tablet of the Verse of Light” by Bahá’u’lláh</t>
  </si>
  <si>
    <t>لوح ایّوب</t>
  </si>
  <si>
    <t>لوح بهاء</t>
  </si>
  <si>
    <t>“Tablet of Glory” by Bahá’u’lláh</t>
  </si>
  <si>
    <t>لوح بقا</t>
  </si>
  <si>
    <t>“Tablet of Eternity” by Bahá’u’lláh</t>
  </si>
  <si>
    <t>لوح بسیط الحقیقه</t>
  </si>
  <si>
    <t>“Tablet of the Uncompounded Reality, of the Ground of Being” by Bahá’u’lláh</t>
  </si>
  <si>
    <t>لوح بسمله</t>
  </si>
  <si>
    <t>“Tablet of ‘In the Name of God’” by Bahá’u’lláh</t>
  </si>
  <si>
    <t>لوح بلبل الفراق</t>
  </si>
  <si>
    <t>“Tablet of the Nightingale of Bereavement” by Bahá’u’lláh</t>
  </si>
  <si>
    <t>لوح برهان</t>
  </si>
  <si>
    <t>لوح دنیا</t>
  </si>
  <si>
    <t>لوح فتنه</t>
  </si>
  <si>
    <t>“Tablet of the Test” by Bahá’u’lláh</t>
  </si>
  <si>
    <t>لوح فۇاد</t>
  </si>
  <si>
    <t>لوح غلام الخلد</t>
  </si>
  <si>
    <t>“Tablet of the Deathless Youth, Eternal Youth, Youth of Paradise” by Bahá’u’lláh</t>
  </si>
  <si>
    <t>لوح حبیب</t>
  </si>
  <si>
    <t>لوح هفت</t>
  </si>
  <si>
    <t>لوح هفت پرسش</t>
  </si>
  <si>
    <t>“Tablet of Seven Questions” by Bahá’u’lláh</t>
  </si>
  <si>
    <t>لوح هله</t>
  </si>
  <si>
    <t>لوح حقّ</t>
  </si>
  <si>
    <t>لوح هوداج</t>
  </si>
  <si>
    <t>لوح هیکل</t>
  </si>
  <si>
    <t>لوح حکمت</t>
  </si>
  <si>
    <t xml:space="preserve">“Tablet of Wisdom” by Bahá’u’lláh </t>
  </si>
  <si>
    <t>لوح هرتیک</t>
  </si>
  <si>
    <t>“Tablet to Georg David Hardegg” by Bahá’u’lláh</t>
  </si>
  <si>
    <t>لوح هزار</t>
  </si>
  <si>
    <t>Tablet by `Abdu’l-Bahá</t>
  </si>
  <si>
    <t>لوح حریّه</t>
  </si>
  <si>
    <t>“Tablet of the Maiden” by Bahá’u’lláh</t>
  </si>
  <si>
    <t>لوح حروفات</t>
  </si>
  <si>
    <t xml:space="preserve">“Tablet of the Letters” by the Báb </t>
  </si>
  <si>
    <t>لوح حسین</t>
  </si>
  <si>
    <t>لوح ابن ذئب</t>
  </si>
  <si>
    <t>“The Epistle to the Son of the Wolf” by Bahá’u’lláh</t>
  </si>
  <si>
    <t>لوح اتّحاد</t>
  </si>
  <si>
    <t>“Tablet of Unity” by Bahá’u’lláh</t>
  </si>
  <si>
    <t>لوح جمال</t>
  </si>
  <si>
    <t>Tablet to Áqá Jamál-i-Burújirdi, “Tablet of Beauty” by Bahá’u’lláh</t>
  </si>
  <si>
    <t>لوح کریم</t>
  </si>
  <si>
    <t>“Tablet for Karím (the Noble)” by Bahá’u’lláh</t>
  </si>
  <si>
    <t>لوح کرمل</t>
  </si>
  <si>
    <t>لوح خلیل</t>
  </si>
  <si>
    <t>Tablet to the Friend</t>
  </si>
  <si>
    <t>لوح خراسان</t>
  </si>
  <si>
    <t>لوح کلّ الطعام</t>
  </si>
  <si>
    <t>“Tablet of All Food” by Bahá’u’lláh</t>
  </si>
  <si>
    <t>لوح لاهه</t>
  </si>
  <si>
    <t>لوح لیله القدس</t>
  </si>
  <si>
    <t>“Tablet of the Holy (Sacred) Night” by Bahá’u’lláh</t>
  </si>
  <si>
    <t>لوح مدینه الرّضا</t>
  </si>
  <si>
    <t>“Tablet of The City of Radiant Acquiescence” by Bahá’u’lláh</t>
  </si>
  <si>
    <t>لوح مدینه التوحید</t>
  </si>
  <si>
    <t>“Tablet of the City of Unity” by Bahá’u’lláh</t>
  </si>
  <si>
    <t>لوح محفل شور</t>
  </si>
  <si>
    <t>لوح محفوظ</t>
  </si>
  <si>
    <t>لوح ملکه</t>
  </si>
  <si>
    <t>“Tablet to Queen Victoria” by Bahá’u’lláh</t>
  </si>
  <si>
    <t>لوح ملک روس</t>
  </si>
  <si>
    <t>لوح ملّاح القدس</t>
  </si>
  <si>
    <t>“Tablet of the Holy Mariner” by Bahá’u’lláh</t>
  </si>
  <si>
    <t>لوح مانکچی</t>
  </si>
  <si>
    <t>لوح مانکچی صاحب</t>
  </si>
  <si>
    <t>لوح مقصود</t>
  </si>
  <si>
    <t>لوح مریم</t>
  </si>
  <si>
    <t>لوح مولود</t>
  </si>
  <si>
    <t>لوح مزّاح</t>
  </si>
  <si>
    <t>“Tablet of the Humorist” by Bahá’u’lláh</t>
  </si>
  <si>
    <t>لوح مباهله</t>
  </si>
  <si>
    <t>لوح مبارک</t>
  </si>
  <si>
    <t>لوح محبّت</t>
  </si>
  <si>
    <t>لوح ناپلیون</t>
  </si>
  <si>
    <t>1st “Tablet to Napoleon III” by Bahá’u’lláh</t>
  </si>
  <si>
    <t>لوح ناقوس</t>
  </si>
  <si>
    <t>لوح ناصر</t>
  </si>
  <si>
    <t>لوح نوروز</t>
  </si>
  <si>
    <t>لوح نقطه</t>
  </si>
  <si>
    <t xml:space="preserve">“Tablet of the Point” by Bahá’u’lláh </t>
  </si>
  <si>
    <t>لوح پاپ</t>
  </si>
  <si>
    <t>لوح پسرعمّ</t>
  </si>
  <si>
    <t>لوح قد</t>
  </si>
  <si>
    <t>لوح قناع</t>
  </si>
  <si>
    <t>“Tablet of the Veil” by Bahá’u’lláh</t>
  </si>
  <si>
    <t>لوح قدس</t>
  </si>
  <si>
    <t>“Tablet of Holiness” by Bahá’u’lláh</t>
  </si>
  <si>
    <t>لوح رفیع</t>
  </si>
  <si>
    <t>لوح رئیس</t>
  </si>
  <si>
    <t>لوح رقشاء</t>
  </si>
  <si>
    <t>“Tablet to She-Serpent” by Bahá’u’lláh</t>
  </si>
  <si>
    <t>لوح رسول</t>
  </si>
  <si>
    <t>لوح روح</t>
  </si>
  <si>
    <t>“Tablet of the Spirit” by Bahá’u’lláh</t>
  </si>
  <si>
    <t>لوح رۇیا</t>
  </si>
  <si>
    <t>لوح سحاب</t>
  </si>
  <si>
    <t>“Tablet of the Cloud” by Bahá’u’lláh</t>
  </si>
  <si>
    <t>لوح صلات</t>
  </si>
  <si>
    <t>Obligatory Prayers</t>
  </si>
  <si>
    <t>لوح سلمان</t>
  </si>
  <si>
    <t>لوح سامسون</t>
  </si>
  <si>
    <t>لوح سیّاح</t>
  </si>
  <si>
    <t>لوح سیّد</t>
  </si>
  <si>
    <t>لوح شیخ باقر</t>
  </si>
  <si>
    <t>لوح شبخ فانی</t>
  </si>
  <si>
    <t>لوح سراج</t>
  </si>
  <si>
    <t>لوح سیّد مهدی دهجی</t>
  </si>
  <si>
    <t>لوح سلطان</t>
  </si>
  <si>
    <t>لوح تنزیح</t>
  </si>
  <si>
    <t>لوح تربیت</t>
  </si>
  <si>
    <t>لوح توحید</t>
  </si>
  <si>
    <t>لوح طبّ</t>
  </si>
  <si>
    <t>“Tablet of Medicine” by Bahá’u’lláh</t>
  </si>
  <si>
    <t>لوح تقی</t>
  </si>
  <si>
    <t>“Tablet of Virtue” by Bahá’u’lláh</t>
  </si>
  <si>
    <t>لوح یوسف</t>
  </si>
  <si>
    <t>“Tablet of Joseph” by Bahá’u’lláh</t>
  </si>
  <si>
    <t>لوح زین المقرّبین</t>
  </si>
  <si>
    <t>لوح زیاره</t>
  </si>
  <si>
    <t>“Tablet of Visitation” by Bahá’u’lláh</t>
  </si>
  <si>
    <t>لوح رضوان</t>
  </si>
  <si>
    <t>لوح الرّوح</t>
  </si>
  <si>
    <t>“Tablet of Spirit” by Bahá’u’lláh</t>
  </si>
  <si>
    <t>لوح التّقی</t>
  </si>
  <si>
    <t xml:space="preserve">“The Tablet of Piety or the Fear of God” by Bahá’u’lláh </t>
  </si>
  <si>
    <t>لیلی</t>
  </si>
  <si>
    <t>لباس</t>
  </si>
  <si>
    <t>لله</t>
  </si>
  <si>
    <t>“for God” —numerical value of 95</t>
  </si>
  <si>
    <t>لمجی</t>
  </si>
  <si>
    <t>لقاءالله</t>
  </si>
  <si>
    <t>لسان حضور</t>
  </si>
  <si>
    <t>لسان العرب</t>
  </si>
  <si>
    <t>لسان الملک</t>
  </si>
  <si>
    <t>لوا</t>
  </si>
  <si>
    <t>لغت</t>
  </si>
  <si>
    <t>لقمان</t>
  </si>
  <si>
    <t>لقمۃ القاضی</t>
  </si>
  <si>
    <t>“choice morsel for a judge”, a sort of bribery</t>
  </si>
  <si>
    <t>لرستان</t>
  </si>
  <si>
    <t>لطفعلی</t>
  </si>
  <si>
    <t>لطف الله</t>
  </si>
  <si>
    <t>لوطی</t>
  </si>
  <si>
    <t>مصطفی</t>
  </si>
  <si>
    <t>ما</t>
  </si>
  <si>
    <t>معاد</t>
  </si>
  <si>
    <t xml:space="preserve">The Day of Resurrection—literally, “the time of return” </t>
  </si>
  <si>
    <t>معانی</t>
  </si>
  <si>
    <t>مداخل</t>
  </si>
  <si>
    <t xml:space="preserve">“commission, perquisite, douceur, consideration, pickings and stealings, profit” </t>
  </si>
  <si>
    <t>معدن</t>
  </si>
  <si>
    <t>مدنیّه</t>
  </si>
  <si>
    <t>مادّیّه اثیریّه</t>
  </si>
  <si>
    <t>Ethereal substance</t>
  </si>
  <si>
    <t>مدفن الاحبّا</t>
  </si>
  <si>
    <t xml:space="preserve">“burial places of the Friends” </t>
  </si>
  <si>
    <t>مدفن الاشهدا</t>
  </si>
  <si>
    <t xml:space="preserve">“burial places of the Martyrs” </t>
  </si>
  <si>
    <t>مذاهب</t>
  </si>
  <si>
    <t>Schools of law</t>
  </si>
  <si>
    <t>مذهب</t>
  </si>
  <si>
    <t>مذهب اثنی عشریّه</t>
  </si>
  <si>
    <t>مدینۃ الرّضا</t>
  </si>
  <si>
    <t>مدینۃ التوحید</t>
  </si>
  <si>
    <t>مدرس</t>
  </si>
  <si>
    <t>مدرسه</t>
  </si>
  <si>
    <t>›Seminary‹, ›school‹, ›religious college‹.</t>
  </si>
  <si>
    <t>مدرسه دار الاشفای مسجد شاه</t>
  </si>
  <si>
    <t>مدرسه دار الاشفا</t>
  </si>
  <si>
    <t>مدرسه صدر</t>
  </si>
  <si>
    <t>مدرسه مادرشاه</t>
  </si>
  <si>
    <t>مدرسه میرزا صالح</t>
  </si>
  <si>
    <t>مغفرت</t>
  </si>
  <si>
    <t>مهاباد</t>
  </si>
  <si>
    <t>محل</t>
  </si>
  <si>
    <t>محلّاتی</t>
  </si>
  <si>
    <t>محلّه</t>
  </si>
  <si>
    <t xml:space="preserve">Garden of Murgh-Maḥallih, “place of birds or chickens” </t>
  </si>
  <si>
    <t>محبوب</t>
  </si>
  <si>
    <t xml:space="preserve">“beloved” </t>
  </si>
  <si>
    <t>محبوب عالم</t>
  </si>
  <si>
    <t>محبوبه</t>
  </si>
  <si>
    <t>محبوبیان</t>
  </si>
  <si>
    <t>محبوب الشهدا</t>
  </si>
  <si>
    <t>مهدویّت</t>
  </si>
  <si>
    <t>-hood or -ship—state of being, quality or condition</t>
  </si>
  <si>
    <t>مهدی</t>
  </si>
  <si>
    <t xml:space="preserve">“the rightly guided one” </t>
  </si>
  <si>
    <t>مهد علیا</t>
  </si>
  <si>
    <t>محفل روحانی</t>
  </si>
  <si>
    <t xml:space="preserve">literally, “spiritual gathering, Spiritual Assembly” </t>
  </si>
  <si>
    <t>مهین</t>
  </si>
  <si>
    <t>مهین بانو</t>
  </si>
  <si>
    <t>مهجوری</t>
  </si>
  <si>
    <t>ماه کو</t>
  </si>
  <si>
    <t>محمود</t>
  </si>
  <si>
    <t>محمودی</t>
  </si>
  <si>
    <t>محمود آلوری</t>
  </si>
  <si>
    <t>محمود آلوسی</t>
  </si>
  <si>
    <t>محمود مقارئی</t>
  </si>
  <si>
    <t>محمود قمصاری</t>
  </si>
  <si>
    <t>محمود نژاد</t>
  </si>
  <si>
    <t>ماه پاره</t>
  </si>
  <si>
    <t>مهریّه</t>
  </si>
  <si>
    <t>مهشید</t>
  </si>
  <si>
    <t>مهتابی</t>
  </si>
  <si>
    <t>a long terrace</t>
  </si>
  <si>
    <t>محو</t>
  </si>
  <si>
    <t xml:space="preserve">“effacement, negation or annihilation” </t>
  </si>
  <si>
    <t>مأئده آسمانی</t>
  </si>
  <si>
    <t>مجذوب</t>
  </si>
  <si>
    <t>مجد الدّین</t>
  </si>
  <si>
    <t>مجد الدّوله</t>
  </si>
  <si>
    <t>مجدالاشرف</t>
  </si>
  <si>
    <t>مجید</t>
  </si>
  <si>
    <t>مجلسی</t>
  </si>
  <si>
    <t>مجمع ابرار</t>
  </si>
  <si>
    <t>“the gathering place of the righteous” —the House of Justice</t>
  </si>
  <si>
    <t>مجمع عرفان</t>
  </si>
  <si>
    <t>Irfán Colloquium</t>
  </si>
  <si>
    <t>مجمع الافصحا</t>
  </si>
  <si>
    <t>مجموعه</t>
  </si>
  <si>
    <t>مجنون</t>
  </si>
  <si>
    <t>ماجوج</t>
  </si>
  <si>
    <t>مکان</t>
  </si>
  <si>
    <t>مکاتیب عبد البهاء</t>
  </si>
  <si>
    <t>مخفیأ</t>
  </si>
  <si>
    <t>مخزون</t>
  </si>
  <si>
    <t>ماکوئی</t>
  </si>
  <si>
    <t>ملکوت</t>
  </si>
  <si>
    <t>ملکوت پدر</t>
  </si>
  <si>
    <t>ملایر</t>
  </si>
  <si>
    <t>ملک</t>
  </si>
  <si>
    <t>مالکی</t>
  </si>
  <si>
    <t>“proprietary” ; Malikite—member of a Sunní sect; a system of Sunní jurisprudence)</t>
  </si>
  <si>
    <t>مالک القلم</t>
  </si>
  <si>
    <t>ملک التّجار</t>
  </si>
  <si>
    <t>مالمیری</t>
  </si>
  <si>
    <t>ملعون</t>
  </si>
  <si>
    <t>ممقان</t>
  </si>
  <si>
    <t>مأمون</t>
  </si>
  <si>
    <t>منبع</t>
  </si>
  <si>
    <t>مندلیج</t>
  </si>
  <si>
    <t>مانی</t>
  </si>
  <si>
    <t>مالکچی</t>
  </si>
  <si>
    <t>منقول</t>
  </si>
  <si>
    <t>منشاد</t>
  </si>
  <si>
    <t>منشادی</t>
  </si>
  <si>
    <t>منشیّه</t>
  </si>
  <si>
    <t>منصور</t>
  </si>
  <si>
    <t>“Victorious”</t>
  </si>
  <si>
    <t>منصوری</t>
  </si>
  <si>
    <t>منصوریّه</t>
  </si>
  <si>
    <t>منوچهر</t>
  </si>
  <si>
    <t>منوچهری</t>
  </si>
  <si>
    <t>من یظهرالله</t>
  </si>
  <si>
    <t>›He, Whom God will make manifest‹. The title given by the Báb to the Promised One.</t>
  </si>
  <si>
    <t>مقاله</t>
  </si>
  <si>
    <t>مقاله سیّاح</t>
  </si>
  <si>
    <t>مقام</t>
  </si>
  <si>
    <t>مقامات</t>
  </si>
  <si>
    <t>Ṣúfí spiritual stations</t>
  </si>
  <si>
    <t>مقامی</t>
  </si>
  <si>
    <t>مقام خضر</t>
  </si>
  <si>
    <t>The Lower Cave of Elijah</t>
  </si>
  <si>
    <t>مقام محمود</t>
  </si>
  <si>
    <t>مقصود</t>
  </si>
  <si>
    <t xml:space="preserve">“Intended One” </t>
  </si>
  <si>
    <t>معقول</t>
  </si>
  <si>
    <t xml:space="preserve">ex-cogitated </t>
  </si>
  <si>
    <t>مراغه</t>
  </si>
  <si>
    <t>مراغه ای</t>
  </si>
  <si>
    <t>مراجع التّقلید</t>
  </si>
  <si>
    <t>مردان</t>
  </si>
  <si>
    <t>مردانعلی</t>
  </si>
  <si>
    <t>مردین</t>
  </si>
  <si>
    <t>مرضیّه</t>
  </si>
  <si>
    <t>Ṭáhirih’s sister</t>
  </si>
  <si>
    <t>مرحبا</t>
  </si>
  <si>
    <t>›Bravo! Well done!‹</t>
  </si>
  <si>
    <t>مرجع</t>
  </si>
  <si>
    <t>مرجع التّقلید</t>
  </si>
  <si>
    <t>مرجعیّت</t>
  </si>
  <si>
    <t>مرکزی</t>
  </si>
  <si>
    <t>مرکز آثار</t>
  </si>
  <si>
    <t>“the centre of relics” —the Archives</t>
  </si>
  <si>
    <t>مرثیه</t>
  </si>
  <si>
    <t xml:space="preserve">“songs of praise” </t>
  </si>
  <si>
    <t>مرو</t>
  </si>
  <si>
    <t>مروان</t>
  </si>
  <si>
    <t>مریم</t>
  </si>
  <si>
    <t>مصابیح هدایت</t>
  </si>
  <si>
    <t>book: “Lamps of Guidance”</t>
  </si>
  <si>
    <t>مسائل</t>
  </si>
  <si>
    <t>›Questions‹. Fifteenth month of the Badíʿ calendar.</t>
  </si>
  <si>
    <t>مصدر امر</t>
  </si>
  <si>
    <t>مشهد</t>
  </si>
  <si>
    <t>مشهدی</t>
  </si>
  <si>
    <t>A Muslim who has performed the pilgrimage to Mahad</t>
  </si>
  <si>
    <t>مشیّت</t>
  </si>
  <si>
    <t>›Will‹. Eleventh month of the Badíʿ calendar.</t>
  </si>
  <si>
    <t>مشرق الاذکار</t>
  </si>
  <si>
    <t>literally ›the dawning place of the praise of God‹. Title designating Bahá’í Houses of Worship.</t>
  </si>
  <si>
    <t>مسیح</t>
  </si>
  <si>
    <t xml:space="preserve">“the Messiah, the Anointed” </t>
  </si>
  <si>
    <t>مسیح نوری</t>
  </si>
  <si>
    <t>مسیخ</t>
  </si>
  <si>
    <t>مسجد</t>
  </si>
  <si>
    <t>Mosque; Muslim place of worship.</t>
  </si>
  <si>
    <t>مسجد علی</t>
  </si>
  <si>
    <t>مسجد برثا</t>
  </si>
  <si>
    <t>مسجد ایلخانی</t>
  </si>
  <si>
    <t>مسجد امام حسن</t>
  </si>
  <si>
    <t>مسجد جامع</t>
  </si>
  <si>
    <t>مسجد جمعه</t>
  </si>
  <si>
    <t>مسجد کاظم بگ</t>
  </si>
  <si>
    <t>مسجد کوفه</t>
  </si>
  <si>
    <t>مسجد مشاءالله</t>
  </si>
  <si>
    <t>مسجد نو</t>
  </si>
  <si>
    <t>مسجد شاه</t>
  </si>
  <si>
    <t>مسجد وکیل</t>
  </si>
  <si>
    <t>مسقات</t>
  </si>
  <si>
    <t>مسرور</t>
  </si>
  <si>
    <t>مسعود</t>
  </si>
  <si>
    <t>مسعودی</t>
  </si>
  <si>
    <t>مسعود خلده</t>
  </si>
  <si>
    <t>معصوم</t>
  </si>
  <si>
    <t>معصوم طبیب</t>
  </si>
  <si>
    <t>مثانی</t>
  </si>
  <si>
    <t>مثنوی</t>
  </si>
  <si>
    <t>مثنوی مبارک</t>
  </si>
  <si>
    <t>“The Great Poem”</t>
  </si>
  <si>
    <t>متین</t>
  </si>
  <si>
    <t>مطلع انوار</t>
  </si>
  <si>
    <t>مولانا</t>
  </si>
  <si>
    <t>مولا قلی آقا داداش</t>
  </si>
  <si>
    <t>مولوی</t>
  </si>
  <si>
    <t>میدان</t>
  </si>
  <si>
    <t>A square or open place.</t>
  </si>
  <si>
    <t>میدان خان</t>
  </si>
  <si>
    <t>میدان شاه</t>
  </si>
  <si>
    <t>مظاهر</t>
  </si>
  <si>
    <t>مزدکی</t>
  </si>
  <si>
    <t>مزدایسنیان</t>
  </si>
  <si>
    <t>مازگان</t>
  </si>
  <si>
    <t>مظهر</t>
  </si>
  <si>
    <t>مظهر الهی</t>
  </si>
  <si>
    <t>مازندران</t>
  </si>
  <si>
    <t>مازندرانی</t>
  </si>
  <si>
    <t>مزرعه</t>
  </si>
  <si>
    <t xml:space="preserve">Lit. “farm” </t>
  </si>
  <si>
    <t>مزرعه وشّاش</t>
  </si>
  <si>
    <t>مازیار</t>
  </si>
  <si>
    <t>مزّاح</t>
  </si>
  <si>
    <t xml:space="preserve">“humorist or playful” </t>
  </si>
  <si>
    <t>مهرابخانی</t>
  </si>
  <si>
    <t>مهرانگیز</t>
  </si>
  <si>
    <t>Title of the Manifestation expected by Muslims.</t>
  </si>
  <si>
    <t>مهدیقلی</t>
  </si>
  <si>
    <t>مهدی آباد</t>
  </si>
  <si>
    <t xml:space="preserve">a village near the city of Yazd </t>
  </si>
  <si>
    <t>مهدی استرآبادی</t>
  </si>
  <si>
    <t>مهدی عطری</t>
  </si>
  <si>
    <t>a distiller of `Aṭṭár</t>
  </si>
  <si>
    <t>مهدی دهجی</t>
  </si>
  <si>
    <t>مهدی گیلانی</t>
  </si>
  <si>
    <t>مهدی کندی</t>
  </si>
  <si>
    <t>مهدی کاشانی</t>
  </si>
  <si>
    <t>مهدی خوئی</t>
  </si>
  <si>
    <t>مهدی رشتی</t>
  </si>
  <si>
    <t>مهدی یزدی</t>
  </si>
  <si>
    <t>مهدی زاده</t>
  </si>
  <si>
    <t>محراب</t>
  </si>
  <si>
    <t>The principal place in a mosque where the Imám prays with his face turned towards Mecca.</t>
  </si>
  <si>
    <t>مهرگان</t>
  </si>
  <si>
    <t>مهرعلی</t>
  </si>
  <si>
    <t>مهرعلی حدّاد</t>
  </si>
  <si>
    <t>مهریار</t>
  </si>
  <si>
    <t>مهریز</t>
  </si>
  <si>
    <t>میلان</t>
  </si>
  <si>
    <t>میلانی</t>
  </si>
  <si>
    <t>میم</t>
  </si>
  <si>
    <t>مناهج الاحکام</t>
  </si>
  <si>
    <t>مقدادی</t>
  </si>
  <si>
    <t>میر</t>
  </si>
  <si>
    <t>معراج</t>
  </si>
  <si>
    <t>›Ascent‹. Used with reference to Muḥammad’s ascension to heaven.</t>
  </si>
  <si>
    <t>میراسدالله</t>
  </si>
  <si>
    <t>مرأت</t>
  </si>
  <si>
    <t xml:space="preserve">“mirror” </t>
  </si>
  <si>
    <t>مرأت الازلیّه</t>
  </si>
  <si>
    <t xml:space="preserve">“everlasting mirror” </t>
  </si>
  <si>
    <t>میرپنج</t>
  </si>
  <si>
    <t>میرزا</t>
  </si>
  <si>
    <t>A contraction of ›Amír-Zádih‹, meaning son of Amír. When affixed to a name it signifies prince; when prefixed, simply mister.</t>
  </si>
  <si>
    <t>میرزای حلبی ساز</t>
  </si>
  <si>
    <t>مشک</t>
  </si>
  <si>
    <t>مشکات الدّوله</t>
  </si>
  <si>
    <t>مشکین</t>
  </si>
  <si>
    <t>مشکین قلم</t>
  </si>
  <si>
    <t>literally ›the musk-scented pen‹. Title applied to a famed Bahá’í calligraphist.</t>
  </si>
  <si>
    <t>میثاق</t>
  </si>
  <si>
    <t>میثاقی</t>
  </si>
  <si>
    <t>میثاقیان</t>
  </si>
  <si>
    <t>مثقال</t>
  </si>
  <si>
    <t>میترا</t>
  </si>
  <si>
    <t>میامی</t>
  </si>
  <si>
    <t>میاناج</t>
  </si>
  <si>
    <t>میاندواب</t>
  </si>
  <si>
    <t>مۇذّن</t>
  </si>
  <si>
    <t>The one who sounds the Aán, the Muslim call to prayer.</t>
  </si>
  <si>
    <t>معلّقه</t>
  </si>
  <si>
    <t>معلّم</t>
  </si>
  <si>
    <t>A teacher or tutor</t>
  </si>
  <si>
    <t>معلّمی</t>
  </si>
  <si>
    <t>معاشرت</t>
  </si>
  <si>
    <t>معطّر</t>
  </si>
  <si>
    <t xml:space="preserve">“fragrant” </t>
  </si>
  <si>
    <t>معاویه</t>
  </si>
  <si>
    <t>مۇیّد</t>
  </si>
  <si>
    <t>مۇیّدالدّوله</t>
  </si>
  <si>
    <t>مباهله</t>
  </si>
  <si>
    <t>a public confrontation</t>
  </si>
  <si>
    <t>مبلّغین</t>
  </si>
  <si>
    <t>especially designated teachers</t>
  </si>
  <si>
    <t>مبارک</t>
  </si>
  <si>
    <t>“one blessed” or “happy” —a Title of Bahá’u’lláh: Jamál-i-Mubárak</t>
  </si>
  <si>
    <t>مبشّر</t>
  </si>
  <si>
    <t>مبیّن کتاب</t>
  </si>
  <si>
    <t>مبین</t>
  </si>
  <si>
    <t>مدلّل</t>
  </si>
  <si>
    <t>مدرّسون</t>
  </si>
  <si>
    <t>professors</t>
  </si>
  <si>
    <t>مفصّل</t>
  </si>
  <si>
    <t>مفضّل</t>
  </si>
  <si>
    <t>devoted follower of Imám Ṣádiq</t>
  </si>
  <si>
    <t>مفخّم الدّوله</t>
  </si>
  <si>
    <t>مفاوضات</t>
  </si>
  <si>
    <t>مفتی</t>
  </si>
  <si>
    <t>Expounder of Muslim law; gives a fatvá or sentence on a point of religious jurisprudence.</t>
  </si>
  <si>
    <t>محبّتانه</t>
  </si>
  <si>
    <t>محاضرات</t>
  </si>
  <si>
    <t>مهاجر</t>
  </si>
  <si>
    <t>مهاجرین</t>
  </si>
  <si>
    <t xml:space="preserve">“immigrants” </t>
  </si>
  <si>
    <t>محمّد</t>
  </si>
  <si>
    <t>محمّدعبدالله</t>
  </si>
  <si>
    <t>محمّدعلی</t>
  </si>
  <si>
    <t>محمّدعلی دلّاک</t>
  </si>
  <si>
    <t>محمّدعلی زنوزی</t>
  </si>
  <si>
    <t>محمّدعلی خان</t>
  </si>
  <si>
    <t>محمّدعلی اردستانی</t>
  </si>
  <si>
    <t>محمّدعلی عطّار</t>
  </si>
  <si>
    <t>محمّدعلی بارفروشی</t>
  </si>
  <si>
    <t>محمّدعلی حمزه</t>
  </si>
  <si>
    <t>محمّدعلی اصفهانی</t>
  </si>
  <si>
    <t>محمّدعلی نهری</t>
  </si>
  <si>
    <t>محمّدعلی قزوینی</t>
  </si>
  <si>
    <t>محمّدعلی سلمانی</t>
  </si>
  <si>
    <t>محمّدعلی طبیب</t>
  </si>
  <si>
    <t>محمّدعلی طبیب زنجانی</t>
  </si>
  <si>
    <t>محمّدعلی تنباکوفروش</t>
  </si>
  <si>
    <t>محمّدعلی زنجانی</t>
  </si>
  <si>
    <t>محمّد امین</t>
  </si>
  <si>
    <t xml:space="preserve">محمّد عطّار </t>
  </si>
  <si>
    <t>محمّد باقر</t>
  </si>
  <si>
    <t>محمّد باقرخراسانی قائنی</t>
  </si>
  <si>
    <t>محمّد باقرمحلّاتی</t>
  </si>
  <si>
    <t>محمّد باقرقائنی</t>
  </si>
  <si>
    <t>محمّد باقررشتی</t>
  </si>
  <si>
    <t>محمّد باقرنقش</t>
  </si>
  <si>
    <t>محمّد هادی</t>
  </si>
  <si>
    <t>محمّد هادی فرهادی</t>
  </si>
  <si>
    <t>محمّد هادی صحّاف</t>
  </si>
  <si>
    <t xml:space="preserve">محمّدحسن </t>
  </si>
  <si>
    <t>محمّدحسن چیت ساز</t>
  </si>
  <si>
    <t>محمّدحسن نجفی</t>
  </si>
  <si>
    <t>محمّدحسن قزوینی</t>
  </si>
  <si>
    <t>محمّدحسین</t>
  </si>
  <si>
    <t>محمّدحسین عطّار</t>
  </si>
  <si>
    <t>محمّدحسین حکمی کرمانی</t>
  </si>
  <si>
    <t>محمّدحسین کاشانی</t>
  </si>
  <si>
    <t>محمّدحسین کرمانی</t>
  </si>
  <si>
    <t>محمّدحسین مراغه ای</t>
  </si>
  <si>
    <t>محمّد آدربایجانی</t>
  </si>
  <si>
    <t>محمّد ابهری</t>
  </si>
  <si>
    <t>محمّد آشور</t>
  </si>
  <si>
    <t>محمّد بلعمی</t>
  </si>
  <si>
    <t>محمّد بنّا</t>
  </si>
  <si>
    <t>محمّد بایگانی</t>
  </si>
  <si>
    <t>محمّد ابن محسن</t>
  </si>
  <si>
    <t>محمّد ابن ملّا</t>
  </si>
  <si>
    <t>محمّد ابن شبل العراقی</t>
  </si>
  <si>
    <t>محمّد ابن عثمان</t>
  </si>
  <si>
    <t>محمّد ابن یعقوب</t>
  </si>
  <si>
    <t>محمّد ابراهیم</t>
  </si>
  <si>
    <t>محمّد ابراهیم کلباسی</t>
  </si>
  <si>
    <t>محمّد ابراهیم تبریزی</t>
  </si>
  <si>
    <t>محمّد فروغی</t>
  </si>
  <si>
    <t>محمّد گلپایگانی</t>
  </si>
  <si>
    <t>محمّد حمزه</t>
  </si>
  <si>
    <t>محمّد حنا ساب</t>
  </si>
  <si>
    <t>محمّد حسین</t>
  </si>
  <si>
    <t>محمّد اصفهانی</t>
  </si>
  <si>
    <t>محمّد کرّادی</t>
  </si>
  <si>
    <t>محمّد خراسانی</t>
  </si>
  <si>
    <t>محمّد ممقانی</t>
  </si>
  <si>
    <t>محمّد منشادی</t>
  </si>
  <si>
    <t>محمّد مازندرانی</t>
  </si>
  <si>
    <t>محمّد معلّم نوری</t>
  </si>
  <si>
    <t>محمّد مکاری</t>
  </si>
  <si>
    <t>محمّد مصطفی بغدادی</t>
  </si>
  <si>
    <t>محمّد نوری</t>
  </si>
  <si>
    <t>محمّد قائنی</t>
  </si>
  <si>
    <t>محمّد قزوینی</t>
  </si>
  <si>
    <t>محمّد صرّاف</t>
  </si>
  <si>
    <t>محمّد اسمائیل</t>
  </si>
  <si>
    <t>محمّد ذبیح</t>
  </si>
  <si>
    <t>محمّد تبریزی</t>
  </si>
  <si>
    <t>محمّد توپچی</t>
  </si>
  <si>
    <t>محمّد وکیل</t>
  </si>
  <si>
    <t>محمّدیّه</t>
  </si>
  <si>
    <t>محمّد زرندی</t>
  </si>
  <si>
    <t>محمّد زارع</t>
  </si>
  <si>
    <t>محمّد جعفر</t>
  </si>
  <si>
    <t>محمّد آباده ای</t>
  </si>
  <si>
    <t>محمّد جان</t>
  </si>
  <si>
    <t>محمّد جواد</t>
  </si>
  <si>
    <t>محمّد جواد فرهادی</t>
  </si>
  <si>
    <t>محمّد کمال</t>
  </si>
  <si>
    <t>محمّد کریم</t>
  </si>
  <si>
    <t>محمّد کریم عطّار</t>
  </si>
  <si>
    <t>محمّد کاظم</t>
  </si>
  <si>
    <t>محمّد مهولتی دوغ آبادی</t>
  </si>
  <si>
    <t>محمّد مهدی</t>
  </si>
  <si>
    <t>محمّد مهدی کندی</t>
  </si>
  <si>
    <t>محمّد موسی</t>
  </si>
  <si>
    <t>محمّد مصطفی</t>
  </si>
  <si>
    <t>محمّد قلی</t>
  </si>
  <si>
    <t>محمّد رحیم</t>
  </si>
  <si>
    <t>محمّد رضا</t>
  </si>
  <si>
    <t>محمّد رضا اصفهانی</t>
  </si>
  <si>
    <t>محمّد رضا منشادی</t>
  </si>
  <si>
    <t>محمّد رضا پا قلعه ای</t>
  </si>
  <si>
    <t>محمّد رضا قنّاد شیرازی</t>
  </si>
  <si>
    <t>محمّد رضا شیرازی</t>
  </si>
  <si>
    <t>محمّد رضا یزدی</t>
  </si>
  <si>
    <t>محمّد صادق</t>
  </si>
  <si>
    <t>محمّد صادق خراسانی</t>
  </si>
  <si>
    <t>محمّد صادق مقدّس</t>
  </si>
  <si>
    <t>محمّد سعید</t>
  </si>
  <si>
    <t>محمّد سلطان</t>
  </si>
  <si>
    <t>محمّد تقی</t>
  </si>
  <si>
    <t>محمّد تقی هروی</t>
  </si>
  <si>
    <t>محمّد تقی هراتی</t>
  </si>
  <si>
    <t>محمّد تقی جوینی</t>
  </si>
  <si>
    <t>محمّد تقی جوینی سبزواری</t>
  </si>
  <si>
    <t>محمّد تقی کرمانی</t>
  </si>
  <si>
    <t>محمّد تقی میلانی</t>
  </si>
  <si>
    <t>محمّد تقی نجفی</t>
  </si>
  <si>
    <t>محمّد تقی نوری</t>
  </si>
  <si>
    <t>محمّد تقی قرخلی</t>
  </si>
  <si>
    <t>محمّد یوسف</t>
  </si>
  <si>
    <t>محمّره</t>
  </si>
  <si>
    <t>مهندسی</t>
  </si>
  <si>
    <t>مهندس الممالک</t>
  </si>
  <si>
    <t>محقّق</t>
  </si>
  <si>
    <t>محقّقین</t>
  </si>
  <si>
    <t>محرّم</t>
  </si>
  <si>
    <t>First month of the Muslim year, the first ten days of which are observed by íʿahs as a part of their mourning period for the Imáms. The tenth day, ›Áúrá‹, is the day of the martyrdom of Ḥusayn.</t>
  </si>
  <si>
    <t>محبّ السّلطان</t>
  </si>
  <si>
    <t>محیط</t>
  </si>
  <si>
    <t>محیط کرمانی</t>
  </si>
  <si>
    <t>محیط شاعر کرمانی</t>
  </si>
  <si>
    <t>محمود زرقانی</t>
  </si>
  <si>
    <t>محرق القلوب</t>
  </si>
  <si>
    <t>محسن</t>
  </si>
  <si>
    <t>محسن کاظمی</t>
  </si>
  <si>
    <t>محی الدّین</t>
  </si>
  <si>
    <t>محی الدّین عربی</t>
  </si>
  <si>
    <t>معینا</t>
  </si>
  <si>
    <t>معین خلوت</t>
  </si>
  <si>
    <t>معین الدّین</t>
  </si>
  <si>
    <t>معین الملک</t>
  </si>
  <si>
    <t>معین السّلطنه</t>
  </si>
  <si>
    <t>معجزه</t>
  </si>
  <si>
    <t xml:space="preserve">“miracles” </t>
  </si>
  <si>
    <t>مجتهد</t>
  </si>
  <si>
    <t>Muslim doctor-of-law. Most of the mujtahids of persia have received their diplomas from the most eminent jurists of Karbilá and Najaf.</t>
  </si>
  <si>
    <t>مخدّره</t>
  </si>
  <si>
    <t xml:space="preserve">“veiled” </t>
  </si>
  <si>
    <t>مخبر الدّوله</t>
  </si>
  <si>
    <t>مخلصون</t>
  </si>
  <si>
    <t>مختاری</t>
  </si>
  <si>
    <t>›Dominion‹. Eighteenth month of the Badíʿ calendar.</t>
  </si>
  <si>
    <t>ملّا</t>
  </si>
  <si>
    <t>Muslim priest.</t>
  </si>
  <si>
    <t>ملّا باقر</t>
  </si>
  <si>
    <t>ملّا باشی</t>
  </si>
  <si>
    <t>ممتازی</t>
  </si>
  <si>
    <t>منا</t>
  </si>
  <si>
    <t>مناد</t>
  </si>
  <si>
    <t>منادی</t>
  </si>
  <si>
    <t>منادی عهد</t>
  </si>
  <si>
    <t>“Herald of the Covenant” —title given to ??</t>
  </si>
  <si>
    <t>منافقون</t>
  </si>
  <si>
    <t xml:space="preserve">“dissemblers” </t>
  </si>
  <si>
    <t>مناجات</t>
  </si>
  <si>
    <t>مناجات های صیام</t>
  </si>
  <si>
    <t>Tabletof Prayers for Fasting by Bahá’u’lláh</t>
  </si>
  <si>
    <t>مناظرات دینیّه</t>
  </si>
  <si>
    <t>منذر</t>
  </si>
  <si>
    <t>منیب</t>
  </si>
  <si>
    <t>منیر</t>
  </si>
  <si>
    <t>منیره</t>
  </si>
  <si>
    <t>منتظر</t>
  </si>
  <si>
    <t>منتظری</t>
  </si>
  <si>
    <t>مقدّس</t>
  </si>
  <si>
    <t>مقرّبی</t>
  </si>
  <si>
    <t>مقیمی</t>
  </si>
  <si>
    <t>مقیمی آباده</t>
  </si>
  <si>
    <t>مراد</t>
  </si>
  <si>
    <t>مرادیّه</t>
  </si>
  <si>
    <t>مراسلات</t>
  </si>
  <si>
    <t>مروّه السلطنه</t>
  </si>
  <si>
    <t xml:space="preserve">“He Who Gives the Kingdom Life” </t>
  </si>
  <si>
    <t>مورچه</t>
  </si>
  <si>
    <t>“ant”</t>
  </si>
  <si>
    <t>مورچه خار</t>
  </si>
  <si>
    <t>place in the Shimírán district</t>
  </si>
  <si>
    <t>مرغ محلّه</t>
  </si>
  <si>
    <t>موره</t>
  </si>
  <si>
    <t>مرشد</t>
  </si>
  <si>
    <t>Ṣúfí spiritual guide</t>
  </si>
  <si>
    <t>مرتضی</t>
  </si>
  <si>
    <t>مرتضی قلی</t>
  </si>
  <si>
    <t>مرتضی انصاری</t>
  </si>
  <si>
    <t>موسی</t>
  </si>
  <si>
    <t>مصافحه</t>
  </si>
  <si>
    <t>The Arabic form of greeting, later adopted by the Persians, of embracing and touching the right cheek, then the left cheek</t>
  </si>
  <si>
    <t>مسافر</t>
  </si>
  <si>
    <t>مسافرید</t>
  </si>
  <si>
    <t>موسی کاظم</t>
  </si>
  <si>
    <t>مسخّرین</t>
  </si>
  <si>
    <t xml:space="preserve">“spirit-subduers” </t>
  </si>
  <si>
    <t>مصلّا</t>
  </si>
  <si>
    <t xml:space="preserve">“the Oratory” </t>
  </si>
  <si>
    <t>موسی الرّضا</t>
  </si>
  <si>
    <t>مساوات</t>
  </si>
  <si>
    <t xml:space="preserve">“equality” </t>
  </si>
  <si>
    <t>موسی بحرینی</t>
  </si>
  <si>
    <t>موسی کلیم</t>
  </si>
  <si>
    <t>موسی قمی</t>
  </si>
  <si>
    <t>مشاعره</t>
  </si>
  <si>
    <t>a poetry match</t>
  </si>
  <si>
    <t>مشعشع</t>
  </si>
  <si>
    <t>مشاور</t>
  </si>
  <si>
    <t>مشاورالممالک</t>
  </si>
  <si>
    <t>موشه</t>
  </si>
  <si>
    <t>مشیر</t>
  </si>
  <si>
    <t>مشیرالدّوله</t>
  </si>
  <si>
    <t>مشکان</t>
  </si>
  <si>
    <t>مشرکون</t>
  </si>
  <si>
    <t>مشتعل اسکوئی</t>
  </si>
  <si>
    <t>مصیبت حروفات عالیات</t>
  </si>
  <si>
    <t>مصلح الدّین</t>
  </si>
  <si>
    <t>مسلم</t>
  </si>
  <si>
    <t>مصطفی قلی</t>
  </si>
  <si>
    <t>مستغاث</t>
  </si>
  <si>
    <t>›He Who is invoked‹, the numerical value of which has been assigned by the Báb as the limit of the time fixed for the advent of the promised Manifestation.</t>
  </si>
  <si>
    <t>مستقیم</t>
  </si>
  <si>
    <t>مستوفی</t>
  </si>
  <si>
    <t>مستوفی الممالک</t>
  </si>
  <si>
    <t>مستوفی الممالک آشتیانی</t>
  </si>
  <si>
    <t>مستیقظ</t>
  </si>
  <si>
    <t>“sleeper Awakened”</t>
  </si>
  <si>
    <t>مسلمان</t>
  </si>
  <si>
    <t>متعالیّه</t>
  </si>
  <si>
    <t>مطّهر</t>
  </si>
  <si>
    <t>مطّهری</t>
  </si>
  <si>
    <t>معتمدی</t>
  </si>
  <si>
    <t>معتمد</t>
  </si>
  <si>
    <t>معتمدالدّوله</t>
  </si>
  <si>
    <t>معتمدالسّلطنه</t>
  </si>
  <si>
    <t>متشرّف</t>
  </si>
  <si>
    <t xml:space="preserve">Governor, under the Válí </t>
  </si>
  <si>
    <t>متشابه</t>
  </si>
  <si>
    <t xml:space="preserve">“equivocal and allegorical” </t>
  </si>
  <si>
    <t>متشابهات</t>
  </si>
  <si>
    <t>pl. of mutashábih</t>
  </si>
  <si>
    <t>متشرّیع</t>
  </si>
  <si>
    <t>معتصم</t>
  </si>
  <si>
    <t>معتصم بالله</t>
  </si>
  <si>
    <t>متولّی</t>
  </si>
  <si>
    <t xml:space="preserve">“custodians” </t>
  </si>
  <si>
    <t>متوکّلون</t>
  </si>
  <si>
    <t>متصرّف</t>
  </si>
  <si>
    <t xml:space="preserve">“mayor” </t>
  </si>
  <si>
    <t>مطلق</t>
  </si>
  <si>
    <t>مطّلب</t>
  </si>
  <si>
    <t>موحّد</t>
  </si>
  <si>
    <t>مورّخ</t>
  </si>
  <si>
    <t>مواسات</t>
  </si>
  <si>
    <t>sacrifice own needs for the sake of others</t>
  </si>
  <si>
    <t>مظفّرالدّین</t>
  </si>
  <si>
    <t>مظفّرالملک</t>
  </si>
  <si>
    <t>نبی</t>
  </si>
  <si>
    <t>نبیل</t>
  </si>
  <si>
    <t>›Learned‹, ›noble‹.</t>
  </si>
  <si>
    <t>نبیل اکبر</t>
  </si>
  <si>
    <t>نبیل اعظم</t>
  </si>
  <si>
    <t>نبیل قائنی</t>
  </si>
  <si>
    <t>نبیل زرندی</t>
  </si>
  <si>
    <t>نبیل الدّوله</t>
  </si>
  <si>
    <t>نبیل زاده</t>
  </si>
  <si>
    <t>نبی الله</t>
  </si>
  <si>
    <t>نادعلی</t>
  </si>
  <si>
    <t>نادعلی متولّی</t>
  </si>
  <si>
    <t>نادر</t>
  </si>
  <si>
    <t>نادری</t>
  </si>
  <si>
    <t>نضرابن حارث</t>
  </si>
  <si>
    <t>نفس</t>
  </si>
  <si>
    <t>نهاوندی</t>
  </si>
  <si>
    <t>ناهید</t>
  </si>
  <si>
    <t>نهری</t>
  </si>
  <si>
    <t>نحوی</t>
  </si>
  <si>
    <t>نائب</t>
  </si>
  <si>
    <t xml:space="preserve">“heir, representative, deputy” </t>
  </si>
  <si>
    <t>نائب خاصّ</t>
  </si>
  <si>
    <t>نائب الایاله</t>
  </si>
  <si>
    <t>نائب السلطنه</t>
  </si>
  <si>
    <t>نعیم</t>
  </si>
  <si>
    <t xml:space="preserve">“blissful” </t>
  </si>
  <si>
    <t>نعیمی</t>
  </si>
  <si>
    <t>نعیمیان</t>
  </si>
  <si>
    <t>نائین</t>
  </si>
  <si>
    <t>نجف</t>
  </si>
  <si>
    <t>نجف آباد</t>
  </si>
  <si>
    <t>نجف آبادی</t>
  </si>
  <si>
    <t>نجفعلی</t>
  </si>
  <si>
    <t>نجفعلی زنجانی</t>
  </si>
  <si>
    <t>نجفی</t>
  </si>
  <si>
    <t>نجاح</t>
  </si>
  <si>
    <t>نجاسات</t>
  </si>
  <si>
    <t>نجی</t>
  </si>
  <si>
    <t>نجیب</t>
  </si>
  <si>
    <t>نجیبیّه</t>
  </si>
  <si>
    <t>نجم آبادی</t>
  </si>
  <si>
    <t>نیران</t>
  </si>
  <si>
    <t>نخجوانی</t>
  </si>
  <si>
    <t>ناخود</t>
  </si>
  <si>
    <t>نخود</t>
  </si>
  <si>
    <t>نام</t>
  </si>
  <si>
    <t>نمایند</t>
  </si>
  <si>
    <t>نعمین</t>
  </si>
  <si>
    <t>نمازخانه</t>
  </si>
  <si>
    <t>نامه</t>
  </si>
  <si>
    <t>نامق</t>
  </si>
  <si>
    <t>نامق پاشا</t>
  </si>
  <si>
    <t>نامی دانشوران</t>
  </si>
  <si>
    <t>نان</t>
  </si>
  <si>
    <t>“bread”</t>
  </si>
  <si>
    <t>نقض</t>
  </si>
  <si>
    <t>نقی</t>
  </si>
  <si>
    <t>نقیب</t>
  </si>
  <si>
    <t>ناقض</t>
  </si>
  <si>
    <t>ناقضین</t>
  </si>
  <si>
    <t>ناقض المیثاق</t>
  </si>
  <si>
    <t xml:space="preserve">“breaker of the Covenant” </t>
  </si>
  <si>
    <t>نقّاش باشی</t>
  </si>
  <si>
    <t>نقشبندی</t>
  </si>
  <si>
    <t>نقشبندیّه</t>
  </si>
  <si>
    <t>نقش فیل</t>
  </si>
  <si>
    <t>Engraving on Stone</t>
  </si>
  <si>
    <t>نار</t>
  </si>
  <si>
    <t>نراق</t>
  </si>
  <si>
    <t>نراقی</t>
  </si>
  <si>
    <t>نرگس خاتون</t>
  </si>
  <si>
    <t>نریمان</t>
  </si>
  <si>
    <t>نرین</t>
  </si>
  <si>
    <t>نارس</t>
  </si>
  <si>
    <t>ناصی</t>
  </si>
  <si>
    <t xml:space="preserve">“superceder of Histories” </t>
  </si>
  <si>
    <t>ناصحات</t>
  </si>
  <si>
    <t>ناسخ</t>
  </si>
  <si>
    <t>ناسخ التّواریخ</t>
  </si>
  <si>
    <t>نصیر</t>
  </si>
  <si>
    <t>ناصر</t>
  </si>
  <si>
    <t>نصیرآبادی</t>
  </si>
  <si>
    <t>ناصری</t>
  </si>
  <si>
    <t>ناصرالدّین</t>
  </si>
  <si>
    <t>ناصرالدّین طوسی</t>
  </si>
  <si>
    <t>ناصرالدّین قزوینی</t>
  </si>
  <si>
    <t>ناصر کبیر</t>
  </si>
  <si>
    <t>ناصر قزوینی</t>
  </si>
  <si>
    <t>ناصرقلی</t>
  </si>
  <si>
    <t>نصر</t>
  </si>
  <si>
    <t>نصرالله</t>
  </si>
  <si>
    <t>نصرالملک</t>
  </si>
  <si>
    <t>نصّ</t>
  </si>
  <si>
    <t>نستعلیق</t>
  </si>
  <si>
    <t>a form of writing</t>
  </si>
  <si>
    <t>ناسوت</t>
  </si>
  <si>
    <t>ناطقه</t>
  </si>
  <si>
    <t xml:space="preserve">“speaker or gifted with speech” </t>
  </si>
  <si>
    <t>نوید</t>
  </si>
  <si>
    <t>نوّاب</t>
  </si>
  <si>
    <t>نوّاب رضوی</t>
  </si>
  <si>
    <t>نو</t>
  </si>
  <si>
    <t>نوبختی</t>
  </si>
  <si>
    <t>نورا</t>
  </si>
  <si>
    <t>نوروز</t>
  </si>
  <si>
    <t>›New Day‹. Name applied to the Bahá’í New Year’s Day; according to the Persian calendar the day on which the sun enters Aries.</t>
  </si>
  <si>
    <t>نوروزعلی</t>
  </si>
  <si>
    <t>نوروزی ایرانزاد</t>
  </si>
  <si>
    <t>نایب السّلطنه</t>
  </si>
  <si>
    <t>نیریز</t>
  </si>
  <si>
    <t>نیریزی</t>
  </si>
  <si>
    <t>نیّری اصفهانی</t>
  </si>
  <si>
    <t>نظر</t>
  </si>
  <si>
    <t xml:space="preserve">“sight” </t>
  </si>
  <si>
    <t>نظرعلی</t>
  </si>
  <si>
    <t>ناظم</t>
  </si>
  <si>
    <t>نظیر</t>
  </si>
  <si>
    <t>نیک</t>
  </si>
  <si>
    <t>نعمت الله</t>
  </si>
  <si>
    <t>نعمت اللهی</t>
  </si>
  <si>
    <t>نعمت الله آملی</t>
  </si>
  <si>
    <t>نعمت الله بافروشی</t>
  </si>
  <si>
    <t>نعمت الله مازندرانی</t>
  </si>
  <si>
    <t>نیم آورد</t>
  </si>
  <si>
    <t>نیرومند</t>
  </si>
  <si>
    <t>نساء</t>
  </si>
  <si>
    <t xml:space="preserve">“woman” </t>
  </si>
  <si>
    <t>نصاب</t>
  </si>
  <si>
    <t>نیسان</t>
  </si>
  <si>
    <t>نصف جهان</t>
  </si>
  <si>
    <t>نیشاپور</t>
  </si>
  <si>
    <t>نیشاپوری</t>
  </si>
  <si>
    <t>نصیبین</t>
  </si>
  <si>
    <t>نسّا</t>
  </si>
  <si>
    <t>نیست</t>
  </si>
  <si>
    <t>نیست پول</t>
  </si>
  <si>
    <t>نوشته</t>
  </si>
  <si>
    <t>نیابی</t>
  </si>
  <si>
    <t xml:space="preserve">“presentational” </t>
  </si>
  <si>
    <t>نیاکان</t>
  </si>
  <si>
    <t>نیالا</t>
  </si>
  <si>
    <t>نیاوران</t>
  </si>
  <si>
    <t>نیاز بغدادی</t>
  </si>
  <si>
    <t>نظام</t>
  </si>
  <si>
    <t xml:space="preserve">“order, system” </t>
  </si>
  <si>
    <t>نظامی</t>
  </si>
  <si>
    <t>نظام الدّین</t>
  </si>
  <si>
    <t>نظام دین</t>
  </si>
  <si>
    <t>نظامی گنجوی</t>
  </si>
  <si>
    <t>6th century of Islám philosopher</t>
  </si>
  <si>
    <t>نظام الدّوله</t>
  </si>
  <si>
    <t>نظام الملک</t>
  </si>
  <si>
    <t>نظام العلما</t>
  </si>
  <si>
    <t>نورین نیّرین</t>
  </si>
  <si>
    <t>نبوّت خاصّه</t>
  </si>
  <si>
    <t>ندبه</t>
  </si>
  <si>
    <t>نجبا</t>
  </si>
  <si>
    <t>نوک</t>
  </si>
  <si>
    <t>نعمان</t>
  </si>
  <si>
    <t>نون</t>
  </si>
  <si>
    <t>نقبا</t>
  </si>
  <si>
    <t>نقطه</t>
  </si>
  <si>
    <t>نقطۃ الاوّلیّه</t>
  </si>
  <si>
    <t>نقطۃ الکاف</t>
  </si>
  <si>
    <t>The Point of Káf</t>
  </si>
  <si>
    <t>نقطه بیان</t>
  </si>
  <si>
    <t>نقطه اخری</t>
  </si>
  <si>
    <t>نقطه اولی</t>
  </si>
  <si>
    <t>نور</t>
  </si>
  <si>
    <t>›Light‹. Fifth month of the Badíʿ calendar.</t>
  </si>
  <si>
    <t>نورعلی</t>
  </si>
  <si>
    <t>نورانی</t>
  </si>
  <si>
    <t>نوری</t>
  </si>
  <si>
    <t>نورالدّین</t>
  </si>
  <si>
    <t xml:space="preserve">“the Light of Faith” </t>
  </si>
  <si>
    <t>نورالدّین زین</t>
  </si>
  <si>
    <t>نور محمّد</t>
  </si>
  <si>
    <t>نورالله</t>
  </si>
  <si>
    <t>نُصیر</t>
  </si>
  <si>
    <t xml:space="preserve">“victory” </t>
  </si>
  <si>
    <t>نُصیری</t>
  </si>
  <si>
    <t>نُصیریّه</t>
  </si>
  <si>
    <t>نوش جان</t>
  </si>
  <si>
    <t xml:space="preserve">“May the food prolong your life” </t>
  </si>
  <si>
    <t>انوشیروان عادل</t>
  </si>
  <si>
    <t>نصرت</t>
  </si>
  <si>
    <t xml:space="preserve">“assisting, proclaiming, serving” </t>
  </si>
  <si>
    <t>نصرت الدّوله</t>
  </si>
  <si>
    <t>نصرت الدّین</t>
  </si>
  <si>
    <t>پادشاه</t>
  </si>
  <si>
    <t>پهلوان</t>
  </si>
  <si>
    <t>›Athlete‹, ›champion‹; term applied to brave and muscular men.</t>
  </si>
  <si>
    <t>پهلوی</t>
  </si>
  <si>
    <t>پاکستان</t>
  </si>
  <si>
    <t>پاکستانی</t>
  </si>
  <si>
    <t>پنجه سیاه</t>
  </si>
  <si>
    <t>پنج معادن</t>
  </si>
  <si>
    <t>پنجشنبه بازار</t>
  </si>
  <si>
    <t>پر</t>
  </si>
  <si>
    <t>پاران</t>
  </si>
  <si>
    <t>پرش</t>
  </si>
  <si>
    <t>پریشان</t>
  </si>
  <si>
    <t>“one lost in an ecstacy of love”</t>
  </si>
  <si>
    <t>پاریزی</t>
  </si>
  <si>
    <t>پرپا</t>
  </si>
  <si>
    <t>پارسی</t>
  </si>
  <si>
    <t>پروین</t>
  </si>
  <si>
    <t>پرویز</t>
  </si>
  <si>
    <t>پاشا</t>
  </si>
  <si>
    <t>Honorary title formerly given to officers of high rank in Turkey.</t>
  </si>
  <si>
    <t>پاشای قبرسی</t>
  </si>
  <si>
    <t>پیامبر</t>
  </si>
  <si>
    <t>پای منار</t>
  </si>
  <si>
    <t>پیمان</t>
  </si>
  <si>
    <t>پیروی</t>
  </si>
  <si>
    <t>پیچان</t>
  </si>
  <si>
    <t xml:space="preserve">“twisting” </t>
  </si>
  <si>
    <t>پیچه</t>
  </si>
  <si>
    <t xml:space="preserve">square sewed to a band tied around the head
</t>
  </si>
  <si>
    <t>پدرجان</t>
  </si>
  <si>
    <t>پیر</t>
  </si>
  <si>
    <t xml:space="preserve">master </t>
  </si>
  <si>
    <t>پیرمرد</t>
  </si>
  <si>
    <t>پیشادیان</t>
  </si>
  <si>
    <t>پیشکش</t>
  </si>
  <si>
    <t>›Present‹, ›tip‹, ›douceur‹.</t>
  </si>
  <si>
    <t>پیش نماز</t>
  </si>
  <si>
    <t>پیش پیش</t>
  </si>
  <si>
    <t>Persian term to mean “scat”</t>
  </si>
  <si>
    <t>پول</t>
  </si>
  <si>
    <t>پرسش</t>
  </si>
  <si>
    <t>پور استادکار</t>
  </si>
  <si>
    <t>پوستچی</t>
  </si>
  <si>
    <t>قبا</t>
  </si>
  <si>
    <t>قبل اکبر</t>
  </si>
  <si>
    <t>قابوس</t>
  </si>
  <si>
    <t>قابوس نامه</t>
  </si>
  <si>
    <t>قضی</t>
  </si>
  <si>
    <t xml:space="preserve">divine “decree” </t>
  </si>
  <si>
    <t>قاضی</t>
  </si>
  <si>
    <t>›Judge‹; civil, criminal and ecclesiastical.</t>
  </si>
  <si>
    <t>قد احترق المخلصون</t>
  </si>
  <si>
    <t>قاضی کلا</t>
  </si>
  <si>
    <t>قدیم</t>
  </si>
  <si>
    <t>قدیمی</t>
  </si>
  <si>
    <t>قدیر</t>
  </si>
  <si>
    <t>“almighty” or “omnipotent” —abjad 144</t>
  </si>
  <si>
    <t>قادر</t>
  </si>
  <si>
    <t xml:space="preserve">“possessing power and strength” </t>
  </si>
  <si>
    <t>قادری</t>
  </si>
  <si>
    <t>قادریّه</t>
  </si>
  <si>
    <t>قادیان</t>
  </si>
  <si>
    <t>قادیانی</t>
  </si>
  <si>
    <t>قاف</t>
  </si>
  <si>
    <t>قاهره</t>
  </si>
  <si>
    <t>“the All-Victorious” ), city now known as Cairo</t>
  </si>
  <si>
    <t>قهرالله</t>
  </si>
  <si>
    <t xml:space="preserve">“The Wrath of God” </t>
  </si>
  <si>
    <t>قهتان</t>
  </si>
  <si>
    <t>قهوه چی</t>
  </si>
  <si>
    <t>قهوه اولیا</t>
  </si>
  <si>
    <t>قهوه خانگی</t>
  </si>
  <si>
    <t xml:space="preserve">“coffee” </t>
  </si>
  <si>
    <t>قائم</t>
  </si>
  <si>
    <t>›He Who shall arise‹. Title designating the Promised One of Islám.</t>
  </si>
  <si>
    <t>قائم علی محمّد</t>
  </si>
  <si>
    <t>قائمیّت</t>
  </si>
  <si>
    <t>قائم مقام</t>
  </si>
  <si>
    <t>قائن</t>
  </si>
  <si>
    <t>قائنی</t>
  </si>
  <si>
    <t>قاجار</t>
  </si>
  <si>
    <t>قاجاریّه</t>
  </si>
  <si>
    <t>قلمدان</t>
  </si>
  <si>
    <t xml:space="preserve">“pencil-box” </t>
  </si>
  <si>
    <t>قلندر</t>
  </si>
  <si>
    <t>قلعه</t>
  </si>
  <si>
    <t>قلعه آتش پرستان</t>
  </si>
  <si>
    <t>قلیان</t>
  </si>
  <si>
    <t>A pipe for smoking through water.</t>
  </si>
  <si>
    <t>قنبرعلی</t>
  </si>
  <si>
    <t>قنبرکلش</t>
  </si>
  <si>
    <t>قمصار</t>
  </si>
  <si>
    <t>قنات</t>
  </si>
  <si>
    <t xml:space="preserve">“reed, canal”, uncovered, unmarked, deep shafts for drawing up water from underground aqueducts
</t>
  </si>
  <si>
    <t>قنّاد</t>
  </si>
  <si>
    <t>قانون آن</t>
  </si>
  <si>
    <t>قرابت</t>
  </si>
  <si>
    <t>“relationship, proximity, nearness or kinship” See Súrih of Qarábat by the Báb</t>
  </si>
  <si>
    <t>قراد</t>
  </si>
  <si>
    <t>قرَغوزلو</t>
  </si>
  <si>
    <t>a family in Persia who owned more than 100 villages</t>
  </si>
  <si>
    <t>قرَ گوهر</t>
  </si>
  <si>
    <t>قارن</t>
  </si>
  <si>
    <t>قرَسو</t>
  </si>
  <si>
    <t>“black water”</t>
  </si>
  <si>
    <t>قارچ</t>
  </si>
  <si>
    <t>قارون</t>
  </si>
  <si>
    <t>the Croesus of Islam</t>
  </si>
  <si>
    <t>قاشن</t>
  </si>
  <si>
    <t>قصیده</t>
  </si>
  <si>
    <t>قصیده تائیّه</t>
  </si>
  <si>
    <t>قصیده ورقائیّه</t>
  </si>
  <si>
    <t>قاسم</t>
  </si>
  <si>
    <t>قاسم نیریزی</t>
  </si>
  <si>
    <t>قصر</t>
  </si>
  <si>
    <t xml:space="preserve">“palace” </t>
  </si>
  <si>
    <t>قصرشیرین</t>
  </si>
  <si>
    <t>قصّابچی</t>
  </si>
  <si>
    <t>قطر</t>
  </si>
  <si>
    <t>قطعیّه</t>
  </si>
  <si>
    <t>قوام الملک</t>
  </si>
  <si>
    <t>قول</t>
  </si>
  <si>
    <t>›Speech‹. Fourteenth month of the Badíʿ calendar.</t>
  </si>
  <si>
    <t>قیصر</t>
  </si>
  <si>
    <t>قیّوم</t>
  </si>
  <si>
    <t>قیّوم الاسماء</t>
  </si>
  <si>
    <t>قزوین</t>
  </si>
  <si>
    <t>قزوینی</t>
  </si>
  <si>
    <t>قبله</t>
  </si>
  <si>
    <t>›Point of Adoration‹; prayer-direction toward which the faithful turn in prayer. The Most Holy Tomb of Bahá’u’lláh at Bahjí is ›the Heart and Quiblih of the Bahá’í world‹.</t>
  </si>
  <si>
    <t>قبله عالم</t>
  </si>
  <si>
    <t xml:space="preserve">“Centre of the Universe” </t>
  </si>
  <si>
    <t>قران</t>
  </si>
  <si>
    <t>قصاص</t>
  </si>
  <si>
    <t>قصاص العلما</t>
  </si>
  <si>
    <t>قشلاق</t>
  </si>
  <si>
    <t xml:space="preserve">a place in Núr </t>
  </si>
  <si>
    <t>قیامت</t>
  </si>
  <si>
    <t>قیاس</t>
  </si>
  <si>
    <t>قوا</t>
  </si>
  <si>
    <t>قبّۃ الصّخره</t>
  </si>
  <si>
    <t>Dome of the Rock</t>
  </si>
  <si>
    <t>قوچان</t>
  </si>
  <si>
    <t>قوچ حصار</t>
  </si>
  <si>
    <t>“fence or border”, a village in the vicinity of Ṭihrán</t>
  </si>
  <si>
    <t>قدّوس</t>
  </si>
  <si>
    <t>قدرت</t>
  </si>
  <si>
    <t>›Power‹. Thirteenth month of the Badíʿ calendar.</t>
  </si>
  <si>
    <t>قدرت الله</t>
  </si>
  <si>
    <t>قدسی</t>
  </si>
  <si>
    <t>قدسیّه</t>
  </si>
  <si>
    <t>قلی</t>
  </si>
  <si>
    <t>قلی خان</t>
  </si>
  <si>
    <t>قلی سبزواری</t>
  </si>
  <si>
    <t>قلوب</t>
  </si>
  <si>
    <t>قم</t>
  </si>
  <si>
    <t>قمی</t>
  </si>
  <si>
    <t>قمرود</t>
  </si>
  <si>
    <t>›The Reading ‹; ›that which ought to be read‹. The Book revealed to Muḥammad.</t>
  </si>
  <si>
    <t>قریش</t>
  </si>
  <si>
    <t>قربان</t>
  </si>
  <si>
    <t>›Sacrifice‹.</t>
  </si>
  <si>
    <t>قربان علی</t>
  </si>
  <si>
    <t>قربان علی بنّا</t>
  </si>
  <si>
    <t>قربان پور</t>
  </si>
  <si>
    <t>قرۃ العین</t>
  </si>
  <si>
    <t>قطب</t>
  </si>
  <si>
    <t>قطب الدّین</t>
  </si>
  <si>
    <t>را</t>
  </si>
  <si>
    <t>ربّ</t>
  </si>
  <si>
    <t>ربّانی</t>
  </si>
  <si>
    <t>ربّی</t>
  </si>
  <si>
    <t>ربّ اعلی</t>
  </si>
  <si>
    <t>ربّی الابهاء</t>
  </si>
  <si>
    <t>ربیع</t>
  </si>
  <si>
    <t>رابعه</t>
  </si>
  <si>
    <t>ربیع الاوّل</t>
  </si>
  <si>
    <t>Third month in Islamic calendar</t>
  </si>
  <si>
    <t>ربیع الثّانی</t>
  </si>
  <si>
    <t>Fourth month in Islamic calendar</t>
  </si>
  <si>
    <t>ربقا</t>
  </si>
  <si>
    <t>رضی الرّوح</t>
  </si>
  <si>
    <t>name given to Mullá Muḥammad-Riḍá by Bahá’u’lláh</t>
  </si>
  <si>
    <t>رضوی</t>
  </si>
  <si>
    <t>رضی الدّین</t>
  </si>
  <si>
    <t>رشید</t>
  </si>
  <si>
    <t>راضیّه</t>
  </si>
  <si>
    <t>رفائل</t>
  </si>
  <si>
    <t>رفیع</t>
  </si>
  <si>
    <t>رافع</t>
  </si>
  <si>
    <t xml:space="preserve">“bearer, crane, hoist” </t>
  </si>
  <si>
    <t>رافضی</t>
  </si>
  <si>
    <t>رفیع خیّاط</t>
  </si>
  <si>
    <t>رفسنجان</t>
  </si>
  <si>
    <t>رفوعا</t>
  </si>
  <si>
    <t>راحل</t>
  </si>
  <si>
    <t>رحیم</t>
  </si>
  <si>
    <t>رحیم خبّاز</t>
  </si>
  <si>
    <t>رحیمیان</t>
  </si>
  <si>
    <t>رحیم زنجانی</t>
  </si>
  <si>
    <t>رحیم خان</t>
  </si>
  <si>
    <t>رحیم پور</t>
  </si>
  <si>
    <t>رحیق مختوم</t>
  </si>
  <si>
    <t>رحمان</t>
  </si>
  <si>
    <t>رحمانی</t>
  </si>
  <si>
    <t>رحمت</t>
  </si>
  <si>
    <t>›Mercy‹. Sixth month of the Badíʿ calendar.</t>
  </si>
  <si>
    <t>رحمت الله</t>
  </si>
  <si>
    <t>رئیس</t>
  </si>
  <si>
    <t>›President‹, ›head‹. Lawḥ-i-Ra’ís, a Tablet addressed to the Prime Minister of Turkey by Bahá’u’lláh.</t>
  </si>
  <si>
    <t>رجب</t>
  </si>
  <si>
    <t>رجبعلی</t>
  </si>
  <si>
    <t>رجب حدّاد</t>
  </si>
  <si>
    <t>راجس</t>
  </si>
  <si>
    <t>the fine English Roger knife</t>
  </si>
  <si>
    <t>رخش</t>
  </si>
  <si>
    <t xml:space="preserve">“Lightning” </t>
  </si>
  <si>
    <t>رمضان</t>
  </si>
  <si>
    <t>رامین</t>
  </si>
  <si>
    <t>رقشا</t>
  </si>
  <si>
    <t>رقشاء</t>
  </si>
  <si>
    <t>“She-Serpent” —Imám-Jumʼih of Iṣfahán, Mír Muḥammad-Ḥusayn</t>
  </si>
  <si>
    <t>رسائل</t>
  </si>
  <si>
    <t>رشح عما</t>
  </si>
  <si>
    <t>“sprinklings from an effulgent light”, First poem written by Bahá’u’lláh after His release from the Black Pit</t>
  </si>
  <si>
    <t>رشید السّلطان</t>
  </si>
  <si>
    <t>رشت</t>
  </si>
  <si>
    <t>رشتی</t>
  </si>
  <si>
    <t>راسخ</t>
  </si>
  <si>
    <t>رستاق</t>
  </si>
  <si>
    <t>رسول</t>
  </si>
  <si>
    <t xml:space="preserve">Term for a figure of salvation—“messenger” </t>
  </si>
  <si>
    <t>رسول بهنمیری</t>
  </si>
  <si>
    <t>رسول الله</t>
  </si>
  <si>
    <t>روضه</t>
  </si>
  <si>
    <t>روضه خوان</t>
  </si>
  <si>
    <t>روضت</t>
  </si>
  <si>
    <t>روضۃ الصّفا</t>
  </si>
  <si>
    <t>روضه خوانی</t>
  </si>
  <si>
    <t>روضه خوان یزدی</t>
  </si>
  <si>
    <t>روضه کافی</t>
  </si>
  <si>
    <t>روح</t>
  </si>
  <si>
    <t>روحانی</t>
  </si>
  <si>
    <t>روشنی</t>
  </si>
  <si>
    <t>رٶیا</t>
  </si>
  <si>
    <t>ریحان</t>
  </si>
  <si>
    <t>رزّاق</t>
  </si>
  <si>
    <t>رضا</t>
  </si>
  <si>
    <t>رضائیّه</t>
  </si>
  <si>
    <t>رضاقلی</t>
  </si>
  <si>
    <t>رضاقلی تفرشی</t>
  </si>
  <si>
    <t>رضای عرب</t>
  </si>
  <si>
    <t>رضای خراسانی</t>
  </si>
  <si>
    <t>رضای قنّاد</t>
  </si>
  <si>
    <t>رضای صفّار</t>
  </si>
  <si>
    <t>رضای سردار</t>
  </si>
  <si>
    <t>رضا شاه</t>
  </si>
  <si>
    <t>رضوان</t>
  </si>
  <si>
    <t>›Paradise‹; also the name of the custodian of Paradise. The holiest and most significant of all Bahá’í festivals commemorating Bahá’u’lláhs Declaration of His Mission to His companions in 1863, a twelve-day period beginning on 21 April and celebrated annually.</t>
  </si>
  <si>
    <t>رضوانی</t>
  </si>
  <si>
    <t>رضوانیّه</t>
  </si>
  <si>
    <t>رضوان العدل</t>
  </si>
  <si>
    <t>رضوان العدلیّه</t>
  </si>
  <si>
    <t>رضوان الله</t>
  </si>
  <si>
    <t>رجال</t>
  </si>
  <si>
    <t>رجعت</t>
  </si>
  <si>
    <t>Return of individuals or types in successive cycles</t>
  </si>
  <si>
    <t>رکاب ساز</t>
  </si>
  <si>
    <t>رکعت</t>
  </si>
  <si>
    <t>رکعات</t>
  </si>
  <si>
    <t>Prostration in prayer</t>
  </si>
  <si>
    <t>رینو</t>
  </si>
  <si>
    <t>رسالت</t>
  </si>
  <si>
    <t>رساله عدلیّه</t>
  </si>
  <si>
    <t xml:space="preserve">Tablet of the Báb </t>
  </si>
  <si>
    <t>رساله عامّه</t>
  </si>
  <si>
    <t>رساله امریّه</t>
  </si>
  <si>
    <t>رساله ایّام تسعه</t>
  </si>
  <si>
    <t>رساله ذهبیّه</t>
  </si>
  <si>
    <t>Tablet of the Báb</t>
  </si>
  <si>
    <t>رساله فقهیّه</t>
  </si>
  <si>
    <t>رساله فروع عدلیّه</t>
  </si>
  <si>
    <t>رساله اسکندریّه</t>
  </si>
  <si>
    <t>رساله خاقانیّه</t>
  </si>
  <si>
    <t>رساله مدنیّه</t>
  </si>
  <si>
    <t>رساله سلطانیّه</t>
  </si>
  <si>
    <t>ریش سفید</t>
  </si>
  <si>
    <t>ریز آب</t>
  </si>
  <si>
    <t>رباعیّات</t>
  </si>
  <si>
    <t>Quatrains</t>
  </si>
  <si>
    <t>رباط کریم</t>
  </si>
  <si>
    <t>روبین</t>
  </si>
  <si>
    <t>رود</t>
  </si>
  <si>
    <t xml:space="preserve">“river” </t>
  </si>
  <si>
    <t>رودکی</t>
  </si>
  <si>
    <t>رودبار</t>
  </si>
  <si>
    <t>روحا</t>
  </si>
  <si>
    <t>روح انگیز</t>
  </si>
  <si>
    <t xml:space="preserve">“spiritual” </t>
  </si>
  <si>
    <t>روحانیّت</t>
  </si>
  <si>
    <t>روحانیّه</t>
  </si>
  <si>
    <t>روحی</t>
  </si>
  <si>
    <t>روحیّه</t>
  </si>
  <si>
    <t>روح الله</t>
  </si>
  <si>
    <t>روح المعانی</t>
  </si>
  <si>
    <t>رکن رابع</t>
  </si>
  <si>
    <t>Fourth Pillar or Support</t>
  </si>
  <si>
    <t>رکن الدّوله</t>
  </si>
  <si>
    <t>روم</t>
  </si>
  <si>
    <t>رومی</t>
  </si>
  <si>
    <t>رونیز</t>
  </si>
  <si>
    <t>رشدی</t>
  </si>
  <si>
    <t>رستم</t>
  </si>
  <si>
    <t>رستم علی</t>
  </si>
  <si>
    <t>روز</t>
  </si>
  <si>
    <t>روزبه</t>
  </si>
  <si>
    <t>ریاض</t>
  </si>
  <si>
    <t>سعادت</t>
  </si>
  <si>
    <t xml:space="preserve">“prosperity” </t>
  </si>
  <si>
    <t>سعادت آباد</t>
  </si>
  <si>
    <t xml:space="preserve">“a developed place of prosperity” </t>
  </si>
  <si>
    <t>صبّاغ</t>
  </si>
  <si>
    <t xml:space="preserve">“dyer” </t>
  </si>
  <si>
    <t>صبّح</t>
  </si>
  <si>
    <t>صبّاق</t>
  </si>
  <si>
    <t>سبّث</t>
  </si>
  <si>
    <t>سابقون</t>
  </si>
  <si>
    <t>صابران</t>
  </si>
  <si>
    <t>صابری</t>
  </si>
  <si>
    <t>صابریان</t>
  </si>
  <si>
    <t>صبر</t>
  </si>
  <si>
    <t>“patience”, mystical station of acceptance of suffering</t>
  </si>
  <si>
    <t>صبری</t>
  </si>
  <si>
    <t>سبکتکین</t>
  </si>
  <si>
    <t>سبزه میدان</t>
  </si>
  <si>
    <t>سبزوار</t>
  </si>
  <si>
    <t>سبزواری</t>
  </si>
  <si>
    <t>صاد</t>
  </si>
  <si>
    <t xml:space="preserve">the letter “S” </t>
  </si>
  <si>
    <t>سعد</t>
  </si>
  <si>
    <t>“happy, fortunate, good luck or fortune“</t>
  </si>
  <si>
    <t>سادات</t>
  </si>
  <si>
    <t>سادات خمسی</t>
  </si>
  <si>
    <t>“five Siyyids“</t>
  </si>
  <si>
    <t>صدّام</t>
  </si>
  <si>
    <t>سعدی</t>
  </si>
  <si>
    <t>ساده</t>
  </si>
  <si>
    <t>صاد اصفهانی</t>
  </si>
  <si>
    <t>سعد معاذ</t>
  </si>
  <si>
    <t xml:space="preserve">“act of taking refuge or a place of refuge, sanctuary” </t>
  </si>
  <si>
    <t>صادق</t>
  </si>
  <si>
    <t>صادقی</t>
  </si>
  <si>
    <t>صادق خراسانی</t>
  </si>
  <si>
    <t>صادق مقدّس</t>
  </si>
  <si>
    <t>صادق طباطبائی</t>
  </si>
  <si>
    <t>صادق نبریزی</t>
  </si>
  <si>
    <t>صادق یزدی</t>
  </si>
  <si>
    <t>صادق پور</t>
  </si>
  <si>
    <t>صادق زاده</t>
  </si>
  <si>
    <t>صدر</t>
  </si>
  <si>
    <t>صدرا</t>
  </si>
  <si>
    <t>صد راه</t>
  </si>
  <si>
    <t>سدرﺓ</t>
  </si>
  <si>
    <t>سدرۃ المنتهی</t>
  </si>
  <si>
    <t>The Divine Lote Tree; the Tree beyond which there is no passing.</t>
  </si>
  <si>
    <t>صدری</t>
  </si>
  <si>
    <t>صدر اردبیلی</t>
  </si>
  <si>
    <t>صدر اعظم</t>
  </si>
  <si>
    <t>›Prime Minister‹.</t>
  </si>
  <si>
    <t>سدره</t>
  </si>
  <si>
    <t>صدر اطاق</t>
  </si>
  <si>
    <t>seat of honor</t>
  </si>
  <si>
    <t>صدرالدّوله</t>
  </si>
  <si>
    <t>صدرالاشرف</t>
  </si>
  <si>
    <t>صدرالعلما</t>
  </si>
  <si>
    <t>صدرالصدور</t>
  </si>
  <si>
    <t>سعد الله</t>
  </si>
  <si>
    <t>صفا</t>
  </si>
  <si>
    <t>صفاد</t>
  </si>
  <si>
    <t>صفائی</t>
  </si>
  <si>
    <t>سفر</t>
  </si>
  <si>
    <t>صفر</t>
  </si>
  <si>
    <t>صفرعلی</t>
  </si>
  <si>
    <t>صفوی</t>
  </si>
  <si>
    <t>صفویّه</t>
  </si>
  <si>
    <t>صفی</t>
  </si>
  <si>
    <t>صفی علی</t>
  </si>
  <si>
    <t>سفیه العلما</t>
  </si>
  <si>
    <t>صفی قلی</t>
  </si>
  <si>
    <t>سفیر</t>
  </si>
  <si>
    <t xml:space="preserve">“Ambassador” </t>
  </si>
  <si>
    <t>صفی الدّین</t>
  </si>
  <si>
    <t>سگ ارمنی</t>
  </si>
  <si>
    <t>سگ شمر</t>
  </si>
  <si>
    <t>سگ شمر ابلق</t>
  </si>
  <si>
    <t>Dog-Tyrant, the Piebald</t>
  </si>
  <si>
    <t>صهبا</t>
  </si>
  <si>
    <t>صاحب</t>
  </si>
  <si>
    <t>صاحب دیوان</t>
  </si>
  <si>
    <t>صاحبِ دیوان</t>
  </si>
  <si>
    <t>صاحب اختیار</t>
  </si>
  <si>
    <t>صاحب قرانیّه</t>
  </si>
  <si>
    <t>صاحب الزمان</t>
  </si>
  <si>
    <t>›Lord of the Age‹; one of the titles of the promised Qá’im.</t>
  </si>
  <si>
    <t>صحیفه</t>
  </si>
  <si>
    <t>صحیفۃ الحرمین</t>
  </si>
  <si>
    <t>صحیفۃ عدلیّه</t>
  </si>
  <si>
    <t>Book of Justice by the Báb</t>
  </si>
  <si>
    <t>صحیفۃ بین الحرمین</t>
  </si>
  <si>
    <t>“The Epistle between the Two Shrines” by the Báb</t>
  </si>
  <si>
    <t>صحیفه جعفریّه</t>
  </si>
  <si>
    <t xml:space="preserve">by the Báb </t>
  </si>
  <si>
    <t>صحیفه رضویّه</t>
  </si>
  <si>
    <t>صحیفه شطّیّه</t>
  </si>
  <si>
    <t>Book of the River by Bahá’u’lláh</t>
  </si>
  <si>
    <t>صحیح</t>
  </si>
  <si>
    <t>صحنه</t>
  </si>
  <si>
    <t>صحو</t>
  </si>
  <si>
    <t>“sobriety” [affirmation]</t>
  </si>
  <si>
    <t>سعید</t>
  </si>
  <si>
    <t>سعیده</t>
  </si>
  <si>
    <t>سعید بارفروشی</t>
  </si>
  <si>
    <t>سعید هندی</t>
  </si>
  <si>
    <t>سعید جبّاوی</t>
  </si>
  <si>
    <t>سعید زره کناری</t>
  </si>
  <si>
    <t>سعید العلما</t>
  </si>
  <si>
    <t>Chief Divine</t>
  </si>
  <si>
    <t>صائن</t>
  </si>
  <si>
    <t>“Preserver”</t>
  </si>
  <si>
    <t>صائن الدّین</t>
  </si>
  <si>
    <t>“Preserver of Religion”</t>
  </si>
  <si>
    <t>سجستان</t>
  </si>
  <si>
    <t>سجّاد</t>
  </si>
  <si>
    <t>سجّادیّه</t>
  </si>
  <si>
    <t>صلاح الدّین ایّوبی</t>
  </si>
  <si>
    <t>صلاح الدّین</t>
  </si>
  <si>
    <t>سالک</t>
  </si>
  <si>
    <t>a face-boil that can last a year</t>
  </si>
  <si>
    <t>سلام</t>
  </si>
  <si>
    <t>›Peace‹, ›salutation‹. Muslim greeting. Word used to end a thesis.</t>
  </si>
  <si>
    <t>سالار</t>
  </si>
  <si>
    <t>سالار الدّوله</t>
  </si>
  <si>
    <t>سالار السّلطنه</t>
  </si>
  <si>
    <t>سلاسل</t>
  </si>
  <si>
    <t>صلات</t>
  </si>
  <si>
    <t xml:space="preserve">daily obligatory prayers </t>
  </si>
  <si>
    <t>صلات میّت</t>
  </si>
  <si>
    <t>Prayer for the Dead by Bahá’u’lláh</t>
  </si>
  <si>
    <t>صالح</t>
  </si>
  <si>
    <t>صالح برقانی</t>
  </si>
  <si>
    <t>صالح کریمی</t>
  </si>
  <si>
    <t>صالح قزوینی</t>
  </si>
  <si>
    <t>صالحیّه</t>
  </si>
  <si>
    <t>سلیم</t>
  </si>
  <si>
    <t>سلجوق</t>
  </si>
  <si>
    <t>سلما</t>
  </si>
  <si>
    <t>a town</t>
  </si>
  <si>
    <t>سلمان</t>
  </si>
  <si>
    <t>سلمانی</t>
  </si>
  <si>
    <t>سلماس</t>
  </si>
  <si>
    <t>سلسبیل</t>
  </si>
  <si>
    <t>سلطنت</t>
  </si>
  <si>
    <t>سلطنه</t>
  </si>
  <si>
    <t xml:space="preserve">“sovereignty” </t>
  </si>
  <si>
    <t>سلوان</t>
  </si>
  <si>
    <t>سلواری</t>
  </si>
  <si>
    <t>سام</t>
  </si>
  <si>
    <t>سما</t>
  </si>
  <si>
    <t>صمد</t>
  </si>
  <si>
    <t xml:space="preserve">“eternal and absolute” </t>
  </si>
  <si>
    <t>سمندر</t>
  </si>
  <si>
    <t>literally ›the phoenix‹.</t>
  </si>
  <si>
    <t>سمندری</t>
  </si>
  <si>
    <t>سمنو</t>
  </si>
  <si>
    <t>malt and flour candy</t>
  </si>
  <si>
    <t>سمریّه</t>
  </si>
  <si>
    <t>a hill near Bahjí</t>
  </si>
  <si>
    <t>سمرقند</t>
  </si>
  <si>
    <t>سمیهه</t>
  </si>
  <si>
    <t>سمیحه</t>
  </si>
  <si>
    <t>صمیمی</t>
  </si>
  <si>
    <t>صمیمی قمسری</t>
  </si>
  <si>
    <t>سمیری</t>
  </si>
  <si>
    <t>سامری</t>
  </si>
  <si>
    <t>صامت</t>
  </si>
  <si>
    <t>سامسون</t>
  </si>
  <si>
    <t xml:space="preserve">“port” </t>
  </si>
  <si>
    <t>سنائی</t>
  </si>
  <si>
    <t>سنندج</t>
  </si>
  <si>
    <t>سناءالله</t>
  </si>
  <si>
    <t>سنوی</t>
  </si>
  <si>
    <t>صندوق دار</t>
  </si>
  <si>
    <t>“Treasurer of the Savings”</t>
  </si>
  <si>
    <t>سنگسر</t>
  </si>
  <si>
    <t>سنتور</t>
  </si>
  <si>
    <t>a steel-stringed instrument</t>
  </si>
  <si>
    <t>ساقی از غیب بقا</t>
  </si>
  <si>
    <t>صقیل</t>
  </si>
  <si>
    <t>سقّا</t>
  </si>
  <si>
    <t>سقّا خانه</t>
  </si>
  <si>
    <t>سقسین</t>
  </si>
  <si>
    <t>سارا</t>
  </si>
  <si>
    <t>سراج الحکما</t>
  </si>
  <si>
    <t>سرچاه</t>
  </si>
  <si>
    <t>سرچشمه</t>
  </si>
  <si>
    <t>سردار</t>
  </si>
  <si>
    <t>سردار گلو</t>
  </si>
  <si>
    <t>a mountain near Sulaymáníyyih, in `Iráqí Kurdistán</t>
  </si>
  <si>
    <t>سردار کلّ</t>
  </si>
  <si>
    <t>سردار لاریجانی</t>
  </si>
  <si>
    <t>سرگلو</t>
  </si>
  <si>
    <t>سری</t>
  </si>
  <si>
    <t>ساری</t>
  </si>
  <si>
    <t>ساره</t>
  </si>
  <si>
    <t>Sarah</t>
  </si>
  <si>
    <t>سرکارآقا</t>
  </si>
  <si>
    <t>literally ›The Honourable Master‹, applied to ʿAbdu’l-Bahá.</t>
  </si>
  <si>
    <t>سرمد</t>
  </si>
  <si>
    <t>صرّاف</t>
  </si>
  <si>
    <t xml:space="preserve">“money-changer” </t>
  </si>
  <si>
    <t>سرتیپ</t>
  </si>
  <si>
    <t>سرور شهدا</t>
  </si>
  <si>
    <t>سروستان</t>
  </si>
  <si>
    <t>ساسانیان</t>
  </si>
  <si>
    <t>ستّار</t>
  </si>
  <si>
    <t>سعود</t>
  </si>
  <si>
    <t>سعودی</t>
  </si>
  <si>
    <t>سوادکوه</t>
  </si>
  <si>
    <t>سوهان</t>
  </si>
  <si>
    <t>a disc-shaped candy</t>
  </si>
  <si>
    <t>صوم</t>
  </si>
  <si>
    <t>fasting during Ramadán</t>
  </si>
  <si>
    <t>سیدان</t>
  </si>
  <si>
    <t>سیف الدّوله</t>
  </si>
  <si>
    <t>سیف الدّین</t>
  </si>
  <si>
    <t>سیسان</t>
  </si>
  <si>
    <t>سیّاح</t>
  </si>
  <si>
    <t xml:space="preserve">“the traveller” </t>
  </si>
  <si>
    <t>سیّدی</t>
  </si>
  <si>
    <t>شعبان</t>
  </si>
  <si>
    <t>شدید</t>
  </si>
  <si>
    <t>NDW &lt;choice&gt;&lt;orig n="ndw"&gt;Shadid&lt;/orig&gt;&lt;reg n="dw"&gt;&amp;Sh_unsc;adíd&lt;/reg&gt;&lt;/choice&gt;</t>
  </si>
  <si>
    <t>شافی</t>
  </si>
  <si>
    <t>شفیع</t>
  </si>
  <si>
    <t>afíʿ</t>
  </si>
  <si>
    <t xml:space="preserve">“one who intercedes” </t>
  </si>
  <si>
    <t>شفیعی</t>
  </si>
  <si>
    <t>afíʿí</t>
  </si>
  <si>
    <t>شفیع نیریزی</t>
  </si>
  <si>
    <t>شاغل</t>
  </si>
  <si>
    <t>شاه</t>
  </si>
  <si>
    <t>›King‹, especially of Persia.</t>
  </si>
  <si>
    <t>شاه عبّاس</t>
  </si>
  <si>
    <t>شاه عبدالعظیم</t>
  </si>
  <si>
    <t>شهادت</t>
  </si>
  <si>
    <t xml:space="preserve">“testifying” </t>
  </si>
  <si>
    <t>شاهنشاه</t>
  </si>
  <si>
    <t>شاه بهرام</t>
  </si>
  <si>
    <t>World Saviour and Promised One of the Zoroastrians. Fulfilled by Bahá’u’lláh.</t>
  </si>
  <si>
    <t>شهبر</t>
  </si>
  <si>
    <t>شاه چراغ</t>
  </si>
  <si>
    <t>شهید</t>
  </si>
  <si>
    <t>›Martyr‹. Plural of martyr is ›uhadá‹.</t>
  </si>
  <si>
    <t>شهید مزکان</t>
  </si>
  <si>
    <t>شهید ثالث</t>
  </si>
  <si>
    <t>شهین</t>
  </si>
  <si>
    <t>شاه صاحب عالم</t>
  </si>
  <si>
    <t>شهمیرزاد</t>
  </si>
  <si>
    <t>شهمیرزادی</t>
  </si>
  <si>
    <t>&lt;choice&gt;&lt;orig n="ndw"&gt;&amp;Sh_unsc;ahmmírzádí&lt;/orig&gt;&lt;reg n="dw"&gt;&amp;Sh_unsc;áhmmírzádí&lt;/reg&gt;&lt;/choice&gt;</t>
  </si>
  <si>
    <t>شاه محمّد</t>
  </si>
  <si>
    <t>شاه محمّد امین</t>
  </si>
  <si>
    <t>شهناز</t>
  </si>
  <si>
    <t>شهربانو</t>
  </si>
  <si>
    <t>شهرستان</t>
  </si>
  <si>
    <t>شهریور</t>
  </si>
  <si>
    <t>شهر خواستان</t>
  </si>
  <si>
    <t>شاهرود</t>
  </si>
  <si>
    <t>شاهرخ</t>
  </si>
  <si>
    <t>شاهزاده</t>
  </si>
  <si>
    <t>شخصی</t>
  </si>
  <si>
    <t>شلوار</t>
  </si>
  <si>
    <t>“trousers”</t>
  </si>
  <si>
    <t>شام</t>
  </si>
  <si>
    <t>Damascus</t>
  </si>
  <si>
    <t>شمس</t>
  </si>
  <si>
    <t>شمسی</t>
  </si>
  <si>
    <t>شمس الضّحی</t>
  </si>
  <si>
    <t>شمس جهان</t>
  </si>
  <si>
    <t xml:space="preserve">“sun of the World” </t>
  </si>
  <si>
    <t>شمس تبریز</t>
  </si>
  <si>
    <t>شمس الدّین</t>
  </si>
  <si>
    <t>شمس الدّین مالکی دوز</t>
  </si>
  <si>
    <t>شمس الدّین محمّد</t>
  </si>
  <si>
    <t>شمس العماره</t>
  </si>
  <si>
    <t>شمس المئالی</t>
  </si>
  <si>
    <t>شمایل</t>
  </si>
  <si>
    <t>Samuel</t>
  </si>
  <si>
    <t>شأن</t>
  </si>
  <si>
    <t>شان تپّه</t>
  </si>
  <si>
    <t>شاپور</t>
  </si>
  <si>
    <t>شرع</t>
  </si>
  <si>
    <t>شرف</t>
  </si>
  <si>
    <t>›Honour‹. Sixteenth month of the Badíʿ calendar.</t>
  </si>
  <si>
    <t>شعراوی</t>
  </si>
  <si>
    <t>شربت</t>
  </si>
  <si>
    <t>a Persian delicacy</t>
  </si>
  <si>
    <t>شرح</t>
  </si>
  <si>
    <t>شرحی</t>
  </si>
  <si>
    <t>an account of the texts, giving dates</t>
  </si>
  <si>
    <t>شرح  فصّ نگین اسم اعظم</t>
  </si>
  <si>
    <t>شرح حال رجال ایران</t>
  </si>
  <si>
    <t>book/tablet title</t>
  </si>
  <si>
    <t>شرح خطبه</t>
  </si>
  <si>
    <t>شرح خطبه توتونیّه</t>
  </si>
  <si>
    <t>شرح قصیده</t>
  </si>
  <si>
    <t>شرح قصیده لامیّه</t>
  </si>
  <si>
    <t>شرح الزیاره</t>
  </si>
  <si>
    <t>شریعت</t>
  </si>
  <si>
    <t>Muslim canonical law. The law.</t>
  </si>
  <si>
    <t>شریعتی</t>
  </si>
  <si>
    <t>شریعتمدار</t>
  </si>
  <si>
    <t>شریف</t>
  </si>
  <si>
    <t>شریف العلما</t>
  </si>
  <si>
    <t>شریف العلما مازندرانی</t>
  </si>
  <si>
    <t>شریک</t>
  </si>
  <si>
    <t>شرق</t>
  </si>
  <si>
    <t>شرح الفوائد</t>
  </si>
  <si>
    <t>شروین</t>
  </si>
  <si>
    <t>شاش</t>
  </si>
  <si>
    <t>شاطرباشی</t>
  </si>
  <si>
    <t>شاطر حسن</t>
  </si>
  <si>
    <t>شطرنج</t>
  </si>
  <si>
    <t>chess</t>
  </si>
  <si>
    <t>شطّ العرب</t>
  </si>
  <si>
    <t>شواهد ربوبیّه</t>
  </si>
  <si>
    <t>شوّال</t>
  </si>
  <si>
    <t xml:space="preserve">Tenth month in Islamic calendar </t>
  </si>
  <si>
    <t>شوکت</t>
  </si>
  <si>
    <t>شوق</t>
  </si>
  <si>
    <t>“zeal, eagerness, yearning”</t>
  </si>
  <si>
    <t>شێ</t>
  </si>
  <si>
    <t>شیبان</t>
  </si>
  <si>
    <t>شیبانی</t>
  </si>
  <si>
    <t>شیخ</t>
  </si>
  <si>
    <t>Venerable old man; man of authority; elder, chief, professor, superior of a dervish order, etc.</t>
  </si>
  <si>
    <t>شیخ شیوه کش</t>
  </si>
  <si>
    <t>شیخی</t>
  </si>
  <si>
    <t>School founded by ay-Aḥmad-i-Aḥsá’í. Among his doctrines, in addition to the imminent dual Advent, was that the Prophet Muḥammad’s material body did not ascend on the night of the Míʿráj.</t>
  </si>
  <si>
    <t>شیخ احسائی</t>
  </si>
  <si>
    <t>شیخ کلینی</t>
  </si>
  <si>
    <t>شیخ مزگانی</t>
  </si>
  <si>
    <t>شیخ معلّم</t>
  </si>
  <si>
    <t>شیخیّه</t>
  </si>
  <si>
    <t>شیخ صالح</t>
  </si>
  <si>
    <t>شیخ طبرسی</t>
  </si>
  <si>
    <t>شیخ الاسلام</t>
  </si>
  <si>
    <t>Head of religious court, appointed to every large city by the áh.</t>
  </si>
  <si>
    <t>شیخ الرّئیس</t>
  </si>
  <si>
    <t>شیخ الطّایفه</t>
  </si>
  <si>
    <t>شیطان</t>
  </si>
  <si>
    <t>Satan</t>
  </si>
  <si>
    <t>شبل</t>
  </si>
  <si>
    <t>شید</t>
  </si>
  <si>
    <t>شداد</t>
  </si>
  <si>
    <t>“stress”, numerical value of 309</t>
  </si>
  <si>
    <t>شیدرخ</t>
  </si>
  <si>
    <t>شقاقی</t>
  </si>
  <si>
    <t>شیعه</t>
  </si>
  <si>
    <t>Party (of ʿAlí). Partisan of ʿAlí and of his descendants as the sole lawful ›Vicars of the Prophet‹. The íʿahs reject the first three Caliphs, believing that the successorship in Islám belonged rightfully to ʿAlí (first Imám and fourth Caliph) and to his descendants by divine right. Originally, the successorship was the vital point of difference, and Islám was divided because Muḥammad’s (albeit verbal) appointment of ʿAlí was disregarded.</t>
  </si>
  <si>
    <t>شیعه کامل</t>
  </si>
  <si>
    <t>شکسته</t>
  </si>
  <si>
    <t>شکسته نستعلیق</t>
  </si>
  <si>
    <t>شکّر شکن شوند</t>
  </si>
  <si>
    <t>شمیران</t>
  </si>
  <si>
    <t>شمر</t>
  </si>
  <si>
    <t>شمرانات</t>
  </si>
  <si>
    <t>شمر کاشی</t>
  </si>
  <si>
    <t>شین</t>
  </si>
  <si>
    <t>شیرعلی</t>
  </si>
  <si>
    <t>شیروان</t>
  </si>
  <si>
    <t>شیراز</t>
  </si>
  <si>
    <t>شیرازی</t>
  </si>
  <si>
    <t>شیرگاه</t>
  </si>
  <si>
    <t>شیرین</t>
  </si>
  <si>
    <t>شرک</t>
  </si>
  <si>
    <t>associating partners with God</t>
  </si>
  <si>
    <t>شرکت نونهالان</t>
  </si>
  <si>
    <t>شیرویه</t>
  </si>
  <si>
    <t>شیشوان</t>
  </si>
  <si>
    <t>شش هزار</t>
  </si>
  <si>
    <t>شیشمان</t>
  </si>
  <si>
    <t>شیوا</t>
  </si>
  <si>
    <t>شویریم</t>
  </si>
  <si>
    <t>شعاع</t>
  </si>
  <si>
    <t>شعاع الله</t>
  </si>
  <si>
    <t>شعیب</t>
  </si>
  <si>
    <t>شهدا</t>
  </si>
  <si>
    <t>شهدای خمسه</t>
  </si>
  <si>
    <t xml:space="preserve">Five Martyrs </t>
  </si>
  <si>
    <t>شهود</t>
  </si>
  <si>
    <t xml:space="preserve">“visible realm” </t>
  </si>
  <si>
    <t>شجاع الدّوله</t>
  </si>
  <si>
    <t>شجاع الملک</t>
  </si>
  <si>
    <t>شکرالله</t>
  </si>
  <si>
    <t xml:space="preserve">“thanks to God, praise of God” </t>
  </si>
  <si>
    <t>شکرالله نوری</t>
  </si>
  <si>
    <t>شوشتر</t>
  </si>
  <si>
    <t>شتر</t>
  </si>
  <si>
    <t>an ignorant attendant who acts as a burden-bearer</t>
  </si>
  <si>
    <t>شیان</t>
  </si>
  <si>
    <t>سی</t>
  </si>
  <si>
    <t>صدق</t>
  </si>
  <si>
    <t>صدق علی</t>
  </si>
  <si>
    <t>صفاتیّه</t>
  </si>
  <si>
    <t>صفّین</t>
  </si>
  <si>
    <t>صیغه</t>
  </si>
  <si>
    <t>صیغه خانه</t>
  </si>
  <si>
    <t>سلاخوری</t>
  </si>
  <si>
    <t>سمری</t>
  </si>
  <si>
    <t>سیمین</t>
  </si>
  <si>
    <t>سمنان</t>
  </si>
  <si>
    <t>سین</t>
  </si>
  <si>
    <t>سینا</t>
  </si>
  <si>
    <t>سنان</t>
  </si>
  <si>
    <t>سپه سالار</t>
  </si>
  <si>
    <t>سپهر</t>
  </si>
  <si>
    <t>شپهر ارفع</t>
  </si>
  <si>
    <t>سیراف</t>
  </si>
  <si>
    <t>صراط</t>
  </si>
  <si>
    <t>سیرجان</t>
  </si>
  <si>
    <t>سرّالله</t>
  </si>
  <si>
    <t>سرّالوجود</t>
  </si>
  <si>
    <t>سیروس</t>
  </si>
  <si>
    <t>سیستان</t>
  </si>
  <si>
    <t>سه تار</t>
  </si>
  <si>
    <t>three-stringed Persian guitar</t>
  </si>
  <si>
    <t>ستاره</t>
  </si>
  <si>
    <t>ستوده</t>
  </si>
  <si>
    <t xml:space="preserve">“celebrated” </t>
  </si>
  <si>
    <t>سیواس</t>
  </si>
  <si>
    <t>سیاه</t>
  </si>
  <si>
    <t>سیاه چال</t>
  </si>
  <si>
    <t>Black Pit in Ṭihrán where, in August 1852, Bahá’u’lláh was chained in the darkness three flights of stairs underground, with some 150 thieves and assassins. Here He received the first intimations of His world Mission. Holiest place in Persia’s capital.</t>
  </si>
  <si>
    <t>سیاه دهان</t>
  </si>
  <si>
    <t>سیاسیّه</t>
  </si>
  <si>
    <t>سیاوشی</t>
  </si>
  <si>
    <t>سیّد</t>
  </si>
  <si>
    <t>Descendant of the Prophet Muḥammad.</t>
  </si>
  <si>
    <t>سیّد حسین</t>
  </si>
  <si>
    <t>سیّد باب</t>
  </si>
  <si>
    <t>سیّد ذکر</t>
  </si>
  <si>
    <t>سیّد خالدار</t>
  </si>
  <si>
    <t>سیّد نهری</t>
  </si>
  <si>
    <t>سیّد نور</t>
  </si>
  <si>
    <t>سیّد قمی</t>
  </si>
  <si>
    <t>سیّد شش پری</t>
  </si>
  <si>
    <t>سیّد علوّ</t>
  </si>
  <si>
    <t>سیّدیّه</t>
  </si>
  <si>
    <t>سیّد الشّهدا</t>
  </si>
  <si>
    <t>سهراب</t>
  </si>
  <si>
    <t>سئۏال</t>
  </si>
  <si>
    <t>سبحان</t>
  </si>
  <si>
    <t>سبحانک یا هو</t>
  </si>
  <si>
    <t>سبحان ربّی الاعلی</t>
  </si>
  <si>
    <t>سبحانی</t>
  </si>
  <si>
    <t>صبحی</t>
  </si>
  <si>
    <t>صبح ازل</t>
  </si>
  <si>
    <t>“morning of Eternity” —title of Yaḥyá, the half-brother of Bahá’u’lláh</t>
  </si>
  <si>
    <t>سودان</t>
  </si>
  <si>
    <t>صدور</t>
  </si>
  <si>
    <t>سفرا</t>
  </si>
  <si>
    <t>Ambassadors</t>
  </si>
  <si>
    <t>صوفی</t>
  </si>
  <si>
    <t>Mystics or mystical doctrine in Islám.</t>
  </si>
  <si>
    <t>سفیان</t>
  </si>
  <si>
    <t>سفیانی</t>
  </si>
  <si>
    <t>صغری</t>
  </si>
  <si>
    <t xml:space="preserve">“lesser, minor, smaller” </t>
  </si>
  <si>
    <t>صحبت لاری</t>
  </si>
  <si>
    <t>Mullá Muḥammad-Báqir, was a nineteenth-century Iranian poet and scholar</t>
  </si>
  <si>
    <t>سکوتیّون</t>
  </si>
  <si>
    <t xml:space="preserve">The Society of Sokoutyyoun or the “silent Ones” </t>
  </si>
  <si>
    <t>سلیمان</t>
  </si>
  <si>
    <t>سلیمانی</t>
  </si>
  <si>
    <t>سلیمان غنّام</t>
  </si>
  <si>
    <t>سلیمان خاطب</t>
  </si>
  <si>
    <t>سلیمان نوری</t>
  </si>
  <si>
    <t>سلیمانیّه</t>
  </si>
  <si>
    <t>سلیمان قلی</t>
  </si>
  <si>
    <t>سلطان</t>
  </si>
  <si>
    <t>›Sovereignty‹. Seventeenth month of the Badíʿ calendar.</t>
  </si>
  <si>
    <t>سلطان آباد</t>
  </si>
  <si>
    <t>سلطان عرب</t>
  </si>
  <si>
    <t>سلطان کربلائی</t>
  </si>
  <si>
    <t>سلطانیّه</t>
  </si>
  <si>
    <t>سلطان العلما</t>
  </si>
  <si>
    <t>سلطان الشّهدا</t>
  </si>
  <si>
    <t xml:space="preserve">“King of Martyrs” </t>
  </si>
  <si>
    <t>سلوک</t>
  </si>
  <si>
    <t>سماق</t>
  </si>
  <si>
    <t>سنّی</t>
  </si>
  <si>
    <t>From ›Sunna‹ (the Way or Practice of the Prophet, as reported in the ḥadí.) By far the largest sect of Islám, this includes the four so-called orthodox sects: Hanabalites, Hanafites, Malikites, Shafiites.</t>
  </si>
  <si>
    <t>سوره</t>
  </si>
  <si>
    <t>صورت</t>
  </si>
  <si>
    <t>سورۃ الهیکل</t>
  </si>
  <si>
    <t>سورۃ الکوثر</t>
  </si>
  <si>
    <t>سورۃ الله</t>
  </si>
  <si>
    <t>سورۃ الملک</t>
  </si>
  <si>
    <t>سورۃ الشمس</t>
  </si>
  <si>
    <t>“Tablet of the Sun” by Bahá’u’lláh</t>
  </si>
  <si>
    <t>سورۃ الصبر</t>
  </si>
  <si>
    <t>سورۃ التوحید</t>
  </si>
  <si>
    <t>Name of the chapters of the Qur’án.</t>
  </si>
  <si>
    <t>سوره احزان</t>
  </si>
  <si>
    <t>“Surah of Sorrows” by Bahá’u’lláh</t>
  </si>
  <si>
    <t>سوره امین</t>
  </si>
  <si>
    <t>“Tablet of the Trustee” by Bahá’u’lláh</t>
  </si>
  <si>
    <t>سوره امر</t>
  </si>
  <si>
    <t>سوره اعراب</t>
  </si>
  <si>
    <t>Tablet “Vowel Points” by Bahá’u’lláh</t>
  </si>
  <si>
    <t>سوره اصحاب</t>
  </si>
  <si>
    <t xml:space="preserve">“Surah of Companions” by Bahá’u’lláh </t>
  </si>
  <si>
    <t>سوره اسما</t>
  </si>
  <si>
    <t>“Tablet of Names” by Bahá’u’lláh</t>
  </si>
  <si>
    <t>سوره ایّوب</t>
  </si>
  <si>
    <t>سوره بیان</t>
  </si>
  <si>
    <t>“Tablet of the Utterance, of the Exposition” by Bahá’u’lláh</t>
  </si>
  <si>
    <t>سوره برهان</t>
  </si>
  <si>
    <t>Tablet of Bahá’u’lláh, same as Lawḥ-i-Burhán</t>
  </si>
  <si>
    <t>سوره دمّ</t>
  </si>
  <si>
    <t>سوره ذبیح</t>
  </si>
  <si>
    <t>“Tablet of the Sacrifice” by Bahá’u’lláh</t>
  </si>
  <si>
    <t>سوره ذکر</t>
  </si>
  <si>
    <t>“Tablet of Remembrance” by Bahá’u’lláh</t>
  </si>
  <si>
    <t>سوره فضل</t>
  </si>
  <si>
    <t>“Surah of the Divine Bounty or Tablet of Mercy” by Bahá’u’lláh</t>
  </si>
  <si>
    <t>سوره فتح</t>
  </si>
  <si>
    <t>Tablet of Conquest” by Bahá’u’lláh</t>
  </si>
  <si>
    <t>سوره فۏاد</t>
  </si>
  <si>
    <t>“Tablet to Fu‘ád Páshá” by Bahá’u’lláh</t>
  </si>
  <si>
    <t>سوره غصن</t>
  </si>
  <si>
    <t>سوره حجّ</t>
  </si>
  <si>
    <t>“Tablet of Pilgrimage” I and II by Bahá’u’lláh</t>
  </si>
  <si>
    <t>سوره هیکل</t>
  </si>
  <si>
    <t>سوره حفظ</t>
  </si>
  <si>
    <t>“Tablet of Protection, Guardianship?” by Bahá’u’lláh</t>
  </si>
  <si>
    <t>سوره هجر</t>
  </si>
  <si>
    <t>“Tablet of Separation” by Bahá’u’lláh</t>
  </si>
  <si>
    <t>سوره عباد</t>
  </si>
  <si>
    <t>“Tablet of the Servants” by Bahá’u’lláh</t>
  </si>
  <si>
    <t>سوره اسم</t>
  </si>
  <si>
    <t>“Tablet of the Name” by Bahá’u’lláh</t>
  </si>
  <si>
    <t>سوره اسݥ المرسل</t>
  </si>
  <si>
    <t>“Tablet of ‘Our Name, the Messenger’” by Bahá’u’lláh</t>
  </si>
  <si>
    <t>سوره جواد</t>
  </si>
  <si>
    <t>سوره خطاب</t>
  </si>
  <si>
    <t>“Tablet of the Sermon” by Bahá’u’lláh</t>
  </si>
  <si>
    <t>سوره معانی</t>
  </si>
  <si>
    <t>“Tablet of Meanings” by Bahá’u’lláh</t>
  </si>
  <si>
    <t>سوره منع</t>
  </si>
  <si>
    <t>“Tablet of Prohibition” by Bahá’u’lláh</t>
  </si>
  <si>
    <t>سوره ملوک</t>
  </si>
  <si>
    <t>›Súrih of Kings‹; Tablet revealed by Bahá’u’lláh in Adrianople.</t>
  </si>
  <si>
    <t>سوره ندا</t>
  </si>
  <si>
    <t>“Tablet of Proclamation” by Bahá’u’lláh</t>
  </si>
  <si>
    <t>سوره نصح</t>
  </si>
  <si>
    <t>“Surah of the Counsel” by Bahá’u’lláh</t>
  </si>
  <si>
    <t>سوره قدیر</t>
  </si>
  <si>
    <t>“Súrih of the Omnipotent” by Bahá’u’lláh</t>
  </si>
  <si>
    <t>سوره قهیر</t>
  </si>
  <si>
    <t>“Tablet of the Wrathful One” by Bahá’u’lláh</t>
  </si>
  <si>
    <t>سوره قلم</t>
  </si>
  <si>
    <t>“Tablet of the Pen” by Bahá’u’lláh</t>
  </si>
  <si>
    <t>سوره قمیص</t>
  </si>
  <si>
    <t>“Surah of the Robe, of the Garment” by Bahá’u’lláh</t>
  </si>
  <si>
    <t>سوره رئیس</t>
  </si>
  <si>
    <t>سوره صبر</t>
  </si>
  <si>
    <t>سوره سلطان</t>
  </si>
  <si>
    <t>“Tablet for the Sultán-Ábád believers” by Bahá’u’lláh</t>
  </si>
  <si>
    <t>سوره توحید</t>
  </si>
  <si>
    <t>سوره وفا</t>
  </si>
  <si>
    <t>“Tablet to Vafá” (Muḥammad Ḥusayn—“fidelity” ) by Bahá’u’lláh</t>
  </si>
  <si>
    <t>سوره یوسف</t>
  </si>
  <si>
    <t>سوره زیارت</t>
  </si>
  <si>
    <t>form of “Tablet of Visitation” for the Báb by Bahá’u’lláh</t>
  </si>
  <si>
    <t>سوره زیاره</t>
  </si>
  <si>
    <t>“Tablet of Visitation” for the Báb by Bahá’u’lláh</t>
  </si>
  <si>
    <t>سوره ظهور</t>
  </si>
  <si>
    <t>صعود</t>
  </si>
  <si>
    <t>صور علمیّه</t>
  </si>
  <si>
    <t>سروطی</t>
  </si>
  <si>
    <t>تا</t>
  </si>
  <si>
    <t>طا</t>
  </si>
  <si>
    <t>Letter ›Ṭ‹ standing for Ṭihrán.</t>
  </si>
  <si>
    <t>طاعه</t>
  </si>
  <si>
    <t>تعارف</t>
  </si>
  <si>
    <t>تابنده</t>
  </si>
  <si>
    <t xml:space="preserve">“Light-giver” or “brilliant” </t>
  </si>
  <si>
    <t>طبقات</t>
  </si>
  <si>
    <t>طبری</t>
  </si>
  <si>
    <t>طبرستان</t>
  </si>
  <si>
    <t>طبرسی</t>
  </si>
  <si>
    <t>طبس</t>
  </si>
  <si>
    <t>طباطبا</t>
  </si>
  <si>
    <t>طباطبائی</t>
  </si>
  <si>
    <t>طبیب</t>
  </si>
  <si>
    <t xml:space="preserve">“a physician” </t>
  </si>
  <si>
    <t>تابستان</t>
  </si>
  <si>
    <t xml:space="preserve">“summer” </t>
  </si>
  <si>
    <t>تبلیغ</t>
  </si>
  <si>
    <t>تبلیغات اسلامی</t>
  </si>
  <si>
    <t>تبریز</t>
  </si>
  <si>
    <t>تبریزی</t>
  </si>
  <si>
    <t>تابور</t>
  </si>
  <si>
    <t>تبیین</t>
  </si>
  <si>
    <t>تذکرۃ</t>
  </si>
  <si>
    <t>تذکرۃ الوفا</t>
  </si>
  <si>
    <t>تفاسیر</t>
  </si>
  <si>
    <t>commentary or sermon</t>
  </si>
  <si>
    <t>طفّ</t>
  </si>
  <si>
    <t>تفریش</t>
  </si>
  <si>
    <t>تفریشی</t>
  </si>
  <si>
    <t>تفسیر</t>
  </si>
  <si>
    <t>تفسیر بسم الله الرحمن الرحیم</t>
  </si>
  <si>
    <t>تفسره</t>
  </si>
  <si>
    <t>تفسیر هو</t>
  </si>
  <si>
    <t>تفسیر حروفات مقطّعه</t>
  </si>
  <si>
    <t xml:space="preserve">“Interpretation of the Isolated Letters” by Bahá’u’lláh </t>
  </si>
  <si>
    <t>تفسیر کنتُ</t>
  </si>
  <si>
    <t>تفسیر نبوّت خاصّه</t>
  </si>
  <si>
    <t>تفسیر سوره والشمس</t>
  </si>
  <si>
    <t xml:space="preserve">“Commentary on the Súrah of the Sun”, Tablet to Shaykh Mahmúd by Bahá’u’lláh </t>
  </si>
  <si>
    <t>تفتی</t>
  </si>
  <si>
    <t>تفویض</t>
  </si>
  <si>
    <t>طاغوت</t>
  </si>
  <si>
    <t>طاهر</t>
  </si>
  <si>
    <t>طاهری</t>
  </si>
  <si>
    <t>طاهره</t>
  </si>
  <si>
    <t>طاهر شیرازی</t>
  </si>
  <si>
    <t>طاهرزاده</t>
  </si>
  <si>
    <t xml:space="preserve">“son of the pure one” </t>
  </si>
  <si>
    <t>طهماسب</t>
  </si>
  <si>
    <t>طهماسب میرزا</t>
  </si>
  <si>
    <t>تحقیقی</t>
  </si>
  <si>
    <t>تحریف</t>
  </si>
  <si>
    <t>تحریری ها</t>
  </si>
  <si>
    <t>طائف</t>
  </si>
  <si>
    <t>طائر</t>
  </si>
  <si>
    <t xml:space="preserve">“The Flyer” </t>
  </si>
  <si>
    <t>تاج</t>
  </si>
  <si>
    <t>literally ›crown‹; tall felt headdress adopted by Bahá’u’lláh in 1863, on the day of His departure from His Most Holy House.</t>
  </si>
  <si>
    <t>تاج آباد</t>
  </si>
  <si>
    <t>تجلیّات</t>
  </si>
  <si>
    <t>literally ›effulgences‹. Title of one of the Tablets of Bahá’u’lláh.</t>
  </si>
  <si>
    <t>تاجیک</t>
  </si>
  <si>
    <t>تاج وهّاج</t>
  </si>
  <si>
    <t>تجریش</t>
  </si>
  <si>
    <t>تاج الدّین</t>
  </si>
  <si>
    <t>تخلّص</t>
  </si>
  <si>
    <t>an author's “pen name”</t>
  </si>
  <si>
    <t>تخت</t>
  </si>
  <si>
    <t>تخت روان</t>
  </si>
  <si>
    <t xml:space="preserve">a “going throne”—a small, wooden house with door and windows, mounted on two long, horizontal shafts, with one mule between the shafts and one behind
</t>
  </si>
  <si>
    <t>تاکر</t>
  </si>
  <si>
    <t>تکیه</t>
  </si>
  <si>
    <t>Religious establishment; usual place of observance of the martyrdom of Imám Ḥusayn.</t>
  </si>
  <si>
    <t>تکیه مولانا</t>
  </si>
  <si>
    <t>تکیه مولوی</t>
  </si>
  <si>
    <t>طلائی</t>
  </si>
  <si>
    <t>طلاق</t>
  </si>
  <si>
    <t>طلعات اعلی</t>
  </si>
  <si>
    <t xml:space="preserve">“most Exalted Countenance” </t>
  </si>
  <si>
    <t>طالب</t>
  </si>
  <si>
    <t xml:space="preserve">“a seeker”, student </t>
  </si>
  <si>
    <t>طالبان</t>
  </si>
  <si>
    <t xml:space="preserve">“seekers” </t>
  </si>
  <si>
    <t>تعلیم</t>
  </si>
  <si>
    <t>طالقان</t>
  </si>
  <si>
    <t>تلیش</t>
  </si>
  <si>
    <t>تمدّن الملک</t>
  </si>
  <si>
    <t>تماشا</t>
  </si>
  <si>
    <t>تناسخ</t>
  </si>
  <si>
    <t>ardinal doctrines, chiefly Metempsychosis</t>
  </si>
  <si>
    <t>تنگ قاجار</t>
  </si>
  <si>
    <t>تقدیس</t>
  </si>
  <si>
    <t>تقی</t>
  </si>
  <si>
    <t>تقی بقّال</t>
  </si>
  <si>
    <t>تقی برقانی</t>
  </si>
  <si>
    <t>اقی هراتی</t>
  </si>
  <si>
    <t>تقی کاشانی</t>
  </si>
  <si>
    <t>تقی نجفی</t>
  </si>
  <si>
    <t>تقی نوری</t>
  </si>
  <si>
    <t>تقی قزوینی</t>
  </si>
  <si>
    <t>تقی یزدی</t>
  </si>
  <si>
    <t>تقیّه</t>
  </si>
  <si>
    <t>تقلید</t>
  </si>
  <si>
    <t>تقوی</t>
  </si>
  <si>
    <t>تار</t>
  </si>
  <si>
    <t>ترانه</t>
  </si>
  <si>
    <t>تراز</t>
  </si>
  <si>
    <t>طراز</t>
  </si>
  <si>
    <t xml:space="preserve">“wonderful clothes” and “a well-known city” </t>
  </si>
  <si>
    <t>طرازات</t>
  </si>
  <si>
    <t>literally ›ornaments‹. Title of one of the Tablets of Bahá’u’lláh.</t>
  </si>
  <si>
    <t>طراز الله</t>
  </si>
  <si>
    <t>تربیت</t>
  </si>
  <si>
    <t>تاریخ جدید</t>
  </si>
  <si>
    <t>تاریخ ناصری</t>
  </si>
  <si>
    <t>تاریخ ظهور الحق</t>
  </si>
  <si>
    <t>طریقت</t>
  </si>
  <si>
    <t>تاشکند</t>
  </si>
  <si>
    <t>تشخیص</t>
  </si>
  <si>
    <t>capable of distinguishing</t>
  </si>
  <si>
    <t>تسلیم</t>
  </si>
  <si>
    <t>submission to the will of God or the valley of knowledge in The Seven Valleys</t>
  </si>
  <si>
    <t>تسلیمی</t>
  </si>
  <si>
    <t>توانگر</t>
  </si>
  <si>
    <t xml:space="preserve">“opulent, mighty” </t>
  </si>
  <si>
    <t>تواریخ</t>
  </si>
  <si>
    <t>طاوس</t>
  </si>
  <si>
    <t>توفیق</t>
  </si>
  <si>
    <t>توحید</t>
  </si>
  <si>
    <t>توحید شهودی</t>
  </si>
  <si>
    <t xml:space="preserve">“unity of vision” </t>
  </si>
  <si>
    <t>توحید وجودی</t>
  </si>
  <si>
    <t xml:space="preserve">“unity of existence” </t>
  </si>
  <si>
    <t>توقیعات مبارکه</t>
  </si>
  <si>
    <t>“Blessed Letters”, Iranian Bahá’í Publishing Trust</t>
  </si>
  <si>
    <t>تأئید</t>
  </si>
  <si>
    <t>تیموری</t>
  </si>
  <si>
    <t>طیّ</t>
  </si>
  <si>
    <t xml:space="preserve">“land of” </t>
  </si>
  <si>
    <t>طیّب</t>
  </si>
  <si>
    <t>تازه</t>
  </si>
  <si>
    <t>تعزیه</t>
  </si>
  <si>
    <t>ثا</t>
  </si>
  <si>
    <t>ثابت</t>
  </si>
  <si>
    <t>ثابت راسخ</t>
  </si>
  <si>
    <t>ثابت سروستانی</t>
  </si>
  <si>
    <t>ثمرۃ ازلیّه</t>
  </si>
  <si>
    <t>ثمره</t>
  </si>
  <si>
    <t xml:space="preserve">“fruit” </t>
  </si>
  <si>
    <t>ثمود</t>
  </si>
  <si>
    <t>ثامود</t>
  </si>
  <si>
    <t>ثریّا</t>
  </si>
  <si>
    <t>تبیانیان</t>
  </si>
  <si>
    <t>تفلیس</t>
  </si>
  <si>
    <t>modern Tbilisi</t>
  </si>
  <si>
    <t>طهران</t>
  </si>
  <si>
    <t>طهرانی</t>
  </si>
  <si>
    <t>تمثال</t>
  </si>
  <si>
    <t>تین</t>
  </si>
  <si>
    <t xml:space="preserve">“fig” </t>
  </si>
  <si>
    <t>تینا</t>
  </si>
  <si>
    <t>تیر</t>
  </si>
  <si>
    <t>طیّ الارض</t>
  </si>
  <si>
    <t>تیزفهم</t>
  </si>
  <si>
    <t>طوبی</t>
  </si>
  <si>
    <t>تبّاع</t>
  </si>
  <si>
    <t>طلّاب</t>
  </si>
  <si>
    <t xml:space="preserve">“pupils” </t>
  </si>
  <si>
    <t>طولون</t>
  </si>
  <si>
    <t>تومان</t>
  </si>
  <si>
    <t>Unit of Iranian currency.</t>
  </si>
  <si>
    <t>تونس</t>
  </si>
  <si>
    <t>تنکابنی</t>
  </si>
  <si>
    <t>توپچی</t>
  </si>
  <si>
    <t>توپ ظهر</t>
  </si>
  <si>
    <t>“noonday gun”</t>
  </si>
  <si>
    <t>طور</t>
  </si>
  <si>
    <t>Mt.</t>
  </si>
  <si>
    <t>تراب</t>
  </si>
  <si>
    <t>“dust”</t>
  </si>
  <si>
    <t>تراب اشتهاردی</t>
  </si>
  <si>
    <t>توران</t>
  </si>
  <si>
    <t>توران شاه</t>
  </si>
  <si>
    <t>تربت</t>
  </si>
  <si>
    <t>تربت حیدریّه</t>
  </si>
  <si>
    <t>ترک</t>
  </si>
  <si>
    <t>ترکمن</t>
  </si>
  <si>
    <t>ترکمنستان</t>
  </si>
  <si>
    <t>ترکستان</t>
  </si>
  <si>
    <t>ترشیز</t>
  </si>
  <si>
    <t>ترشیزی</t>
  </si>
  <si>
    <t>NDW &lt;choice&gt;&lt;orig n="ndw"&gt;Turshízí&lt;/orig&gt;&lt;reg n="dw"&gt;Tur&amp;sh_unsc;ízí&lt;/reg&gt;&lt;/choice.</t>
  </si>
  <si>
    <t>طوس</t>
  </si>
  <si>
    <t>طوسی</t>
  </si>
  <si>
    <t>او</t>
  </si>
  <si>
    <t>عودی</t>
  </si>
  <si>
    <t>اوغلی</t>
  </si>
  <si>
    <t>عکاظ</t>
  </si>
  <si>
    <t>اخت</t>
  </si>
  <si>
    <t xml:space="preserve">“sister” </t>
  </si>
  <si>
    <t>علما</t>
  </si>
  <si>
    <t>Plural of ›one who knows‹; ›learned‹, ›a scholar‹.</t>
  </si>
  <si>
    <t>علیا</t>
  </si>
  <si>
    <t>اصول اربعه</t>
  </si>
  <si>
    <t>امنا</t>
  </si>
  <si>
    <t>عمر ابن خطّاب</t>
  </si>
  <si>
    <t>امیّه</t>
  </si>
  <si>
    <t>امیدواران</t>
  </si>
  <si>
    <t>امیدواره کوه</t>
  </si>
  <si>
    <t>امّ الذکات</t>
  </si>
  <si>
    <t>امّ عبدالله</t>
  </si>
  <si>
    <t>امّ اشرف</t>
  </si>
  <si>
    <t>امّ سلمه</t>
  </si>
  <si>
    <t>امّ الکتاب</t>
  </si>
  <si>
    <t xml:space="preserve">“Mother Book” </t>
  </si>
  <si>
    <t>عقاب</t>
  </si>
  <si>
    <t>“eagle”</t>
  </si>
  <si>
    <t>اردوباد</t>
  </si>
  <si>
    <t>اردوبادی</t>
  </si>
  <si>
    <t>عرف</t>
  </si>
  <si>
    <t>ارومی</t>
  </si>
  <si>
    <t>ارومیّه</t>
  </si>
  <si>
    <t>اروپا</t>
  </si>
  <si>
    <t>اروان</t>
  </si>
  <si>
    <t>عروۃ الوثقا</t>
  </si>
  <si>
    <t>عریان</t>
  </si>
  <si>
    <t>اسنلو</t>
  </si>
  <si>
    <t>اوشیدرماه</t>
  </si>
  <si>
    <t>اشکر</t>
  </si>
  <si>
    <t>استاد</t>
  </si>
  <si>
    <t>استان</t>
  </si>
  <si>
    <t>Equivalent for “provinces”</t>
  </si>
  <si>
    <t>اصول</t>
  </si>
  <si>
    <t>اصولی</t>
  </si>
  <si>
    <t>اصول کافی</t>
  </si>
  <si>
    <t>اتاقه</t>
  </si>
  <si>
    <t>عثمان</t>
  </si>
  <si>
    <t>عثمان ابن عفّان</t>
  </si>
  <si>
    <t>عثمانیّه</t>
  </si>
  <si>
    <t>اطرش</t>
  </si>
  <si>
    <t>عتّاب</t>
  </si>
  <si>
    <t>عتّابی</t>
  </si>
  <si>
    <t>ازبکستان</t>
  </si>
  <si>
    <t>عزوم</t>
  </si>
  <si>
    <t xml:space="preserve">“grape” </t>
  </si>
  <si>
    <t>عزّا</t>
  </si>
  <si>
    <t>وادی</t>
  </si>
  <si>
    <t>وفا</t>
  </si>
  <si>
    <t>وفائی</t>
  </si>
  <si>
    <t>وفی</t>
  </si>
  <si>
    <t>وحدت</t>
  </si>
  <si>
    <t>وحدت بشر</t>
  </si>
  <si>
    <t>وحدت حقّ</t>
  </si>
  <si>
    <t>وحدت وجود</t>
  </si>
  <si>
    <t>وحدت الشّهود</t>
  </si>
  <si>
    <t>وهّاب</t>
  </si>
  <si>
    <t>وهّاب خراسانی</t>
  </si>
  <si>
    <t>وحید</t>
  </si>
  <si>
    <t>›Unique‹.</t>
  </si>
  <si>
    <t>واحد</t>
  </si>
  <si>
    <t>1) A ›unityỵ or section of the Bayán. The Persian Bayán consists of nine Váḥids of ninteen chapters each, except the last, which has only ten chapters. 2) The eighteen Letters of the Living (constituting the Báb’s first disciples) and the Báb Himself. 3) Each cycle of ninteen years in the Badíʿ calendar. The word, signifying unity, symbolizes the unity of God. The numerical values of the letters of this word total ninteen.</t>
  </si>
  <si>
    <t>وحی</t>
  </si>
  <si>
    <t xml:space="preserve">“revelation” </t>
  </si>
  <si>
    <t>وکیل</t>
  </si>
  <si>
    <t>وکیل الدّوله</t>
  </si>
  <si>
    <t>ولی</t>
  </si>
  <si>
    <t>›Guardian‹.</t>
  </si>
  <si>
    <t>والی</t>
  </si>
  <si>
    <t xml:space="preserve">“Governor” </t>
  </si>
  <si>
    <t>ولی عهد</t>
  </si>
  <si>
    <t>›heir to the throne‹.</t>
  </si>
  <si>
    <t>ولی امرالله</t>
  </si>
  <si>
    <t>ولی عطّار</t>
  </si>
  <si>
    <t>ولید</t>
  </si>
  <si>
    <t>ولی محمّد</t>
  </si>
  <si>
    <t>ولیِ امرالله</t>
  </si>
  <si>
    <t>NDW &lt;choice&gt;&lt;orig n="ndw"&gt;Valí-i-Amru&amp;#8217;llá&lt;/orig&gt;&lt;reg n="dw"&gt;Valíy-i-&amp;#8216;Amru&amp;#8217;lláh&lt;/reg&gt;&lt;/choice&gt;</t>
  </si>
  <si>
    <t>ولی الله</t>
  </si>
  <si>
    <t>والیّه</t>
  </si>
  <si>
    <t>وقایع اتّفاقیّه</t>
  </si>
  <si>
    <t>ورع</t>
  </si>
  <si>
    <t>“abstinence” —mystical station of abstinence from unworthy tendencies</t>
  </si>
  <si>
    <t>ورقۃ الفردوس</t>
  </si>
  <si>
    <t>ورقۃ علیا</t>
  </si>
  <si>
    <t xml:space="preserve">“the Most Exalted Leaf” </t>
  </si>
  <si>
    <t>ورقۃ رضوان</t>
  </si>
  <si>
    <t>ورقه علیا</t>
  </si>
  <si>
    <t>literally ›the Most Exalted Leaf‹, applied to Bahá’íyyih (Bahíyyih) ánum, sister of ʿAbdu’l-Bahá.</t>
  </si>
  <si>
    <t>ورجانوندی</t>
  </si>
  <si>
    <t>ورقا</t>
  </si>
  <si>
    <t>literally ›the dove‹.</t>
  </si>
  <si>
    <t>ورقائیّه</t>
  </si>
  <si>
    <t>“Nightingale Song”. Bahá’u’lláh wrote a poem by this title</t>
  </si>
  <si>
    <t>وصی</t>
  </si>
  <si>
    <t>وسیع</t>
  </si>
  <si>
    <t xml:space="preserve">“wide, vast, spacious” </t>
  </si>
  <si>
    <t>واسکاس</t>
  </si>
  <si>
    <t>واو</t>
  </si>
  <si>
    <t>وزیر</t>
  </si>
  <si>
    <t>Minister of State, Grand Vazír; Prime Minister.</t>
  </si>
  <si>
    <t>وزیر مکرّم</t>
  </si>
  <si>
    <t xml:space="preserve">“generous minister” </t>
  </si>
  <si>
    <t>وزیر یالرودی</t>
  </si>
  <si>
    <t>وزیر نظام</t>
  </si>
  <si>
    <t>ولایت</t>
  </si>
  <si>
    <t xml:space="preserve">“vicegerency”, “guardianship”, “protectorship”, “successorship” </t>
  </si>
  <si>
    <t>ولایت ایشان</t>
  </si>
  <si>
    <t>ونا</t>
  </si>
  <si>
    <t>ویسی</t>
  </si>
  <si>
    <t>وعّاظ</t>
  </si>
  <si>
    <t xml:space="preserve">“preachers” </t>
  </si>
  <si>
    <t>وجدان</t>
  </si>
  <si>
    <t>وجدانی</t>
  </si>
  <si>
    <t>وکلا</t>
  </si>
  <si>
    <t>وسطی</t>
  </si>
  <si>
    <t>یا</t>
  </si>
  <si>
    <t>›O‹ - e.g. Yá Bahá’u’l-Abhá (O Thou the Glory of the Most Glorious!)</t>
  </si>
  <si>
    <t>یا علیّ الاعلی</t>
  </si>
  <si>
    <t>invocation addressing the Báb</t>
  </si>
  <si>
    <t>یا بهاء الابهی</t>
  </si>
  <si>
    <t>یادگار</t>
  </si>
  <si>
    <t>یدالله</t>
  </si>
  <si>
    <t>یافت آباد</t>
  </si>
  <si>
    <t>یاهوتی</t>
  </si>
  <si>
    <t xml:space="preserve">“jewish” </t>
  </si>
  <si>
    <t>یحیی</t>
  </si>
  <si>
    <t>یحیائی</t>
  </si>
  <si>
    <t>Azalí, Yaḥyáyí, a follower of Azal</t>
  </si>
  <si>
    <t>یحیی دارابی</t>
  </si>
  <si>
    <t>یحیای دارابی</t>
  </si>
  <si>
    <t>یاجوج</t>
  </si>
  <si>
    <t>یلدائی</t>
  </si>
  <si>
    <t>یالرود</t>
  </si>
  <si>
    <t>ینبوع</t>
  </si>
  <si>
    <t>ینگی امام</t>
  </si>
  <si>
    <t>a post-house near Qazvín</t>
  </si>
  <si>
    <t>یقتین</t>
  </si>
  <si>
    <t>“gourd”</t>
  </si>
  <si>
    <t>یعقوب</t>
  </si>
  <si>
    <t>یعقوب متحّده</t>
  </si>
  <si>
    <t>یعقوبیّه</t>
  </si>
  <si>
    <t>یاقوت</t>
  </si>
  <si>
    <t>یار محمّد</t>
  </si>
  <si>
    <t>یساع</t>
  </si>
  <si>
    <t>یثرب</t>
  </si>
  <si>
    <t>یاور</t>
  </si>
  <si>
    <t>یوم الاتّحاد</t>
  </si>
  <si>
    <t>یوم الست</t>
  </si>
  <si>
    <t>یوم اتّحاد</t>
  </si>
  <si>
    <t>یوم البعث</t>
  </si>
  <si>
    <t xml:space="preserve">“day of rising” </t>
  </si>
  <si>
    <t>یوم الجمع</t>
  </si>
  <si>
    <t xml:space="preserve">“day of ingathering” </t>
  </si>
  <si>
    <t>یوم الله</t>
  </si>
  <si>
    <t xml:space="preserve">“Day of God” </t>
  </si>
  <si>
    <t>یوم المیعاد</t>
  </si>
  <si>
    <t xml:space="preserve">“day of promise” </t>
  </si>
  <si>
    <t>یوم القیامت</t>
  </si>
  <si>
    <t xml:space="preserve">“day of resurrection” </t>
  </si>
  <si>
    <t>یوم التغابن</t>
  </si>
  <si>
    <t xml:space="preserve">“day of mutual deceit” </t>
  </si>
  <si>
    <t>یوم الطلاق</t>
  </si>
  <si>
    <t xml:space="preserve">“day of encounter” </t>
  </si>
  <si>
    <t>یوم الوعید</t>
  </si>
  <si>
    <t xml:space="preserve">“day of warning” </t>
  </si>
  <si>
    <t>یزد</t>
  </si>
  <si>
    <t>یزدانی</t>
  </si>
  <si>
    <t>یزدی</t>
  </si>
  <si>
    <t>یزدگرد</t>
  </si>
  <si>
    <t>یزید</t>
  </si>
  <si>
    <t>یعاشر</t>
  </si>
  <si>
    <t>یذکّرکم</t>
  </si>
  <si>
    <t>یونس</t>
  </si>
  <si>
    <t>Jonah</t>
  </si>
  <si>
    <t>یوسف</t>
  </si>
  <si>
    <t>یوسف اردبیلی</t>
  </si>
  <si>
    <t>یوسف سه دهی</t>
  </si>
  <si>
    <t>یوز باشی</t>
  </si>
  <si>
    <t>زا</t>
  </si>
  <si>
    <t>زاده</t>
  </si>
  <si>
    <t>›Son‹.</t>
  </si>
  <si>
    <t>زعفران</t>
  </si>
  <si>
    <t>زاغ</t>
  </si>
  <si>
    <t>Tablet of (the Raven and the Nightingale)</t>
  </si>
  <si>
    <t>زاهد</t>
  </si>
  <si>
    <t xml:space="preserve">“the Ascetic” </t>
  </si>
  <si>
    <t>زاهدان</t>
  </si>
  <si>
    <t>a provincial town in Iran</t>
  </si>
  <si>
    <t>ظاهر</t>
  </si>
  <si>
    <t>ظاهری</t>
  </si>
  <si>
    <t xml:space="preserve">“literalist” </t>
  </si>
  <si>
    <t>ظاهر الدّوله</t>
  </si>
  <si>
    <t>Prince, a son-in-law of Násiri’d-Din</t>
  </si>
  <si>
    <t>زهرا</t>
  </si>
  <si>
    <t>زهرائی</t>
  </si>
  <si>
    <t>شهرکوفه</t>
  </si>
  <si>
    <t>زعیم الدّوله</t>
  </si>
  <si>
    <t>زائرپور</t>
  </si>
  <si>
    <t>زکریّای قاضی کلائی</t>
  </si>
  <si>
    <t>زکات</t>
  </si>
  <si>
    <t>زکی</t>
  </si>
  <si>
    <t>زکیّه</t>
  </si>
  <si>
    <t>زال</t>
  </si>
  <si>
    <t>زمان</t>
  </si>
  <si>
    <t>زمانی</t>
  </si>
  <si>
    <t>زمزم</t>
  </si>
  <si>
    <t>Sacred well within the precincts of the Great Mosque at Mecca. Though salty, ist water is much esteemed for pious uses, such as ablutions, and drinking after a fast.</t>
  </si>
  <si>
    <t>زنجان</t>
  </si>
  <si>
    <t>زنجانی</t>
  </si>
  <si>
    <t>زقّوم</t>
  </si>
  <si>
    <t>زرند</t>
  </si>
  <si>
    <t>زردستان</t>
  </si>
  <si>
    <t>زر دوزی</t>
  </si>
  <si>
    <t>embroidery of gold and silver wire, bangles or pearls on bands of velvet or satin</t>
  </si>
  <si>
    <t>زرکناد</t>
  </si>
  <si>
    <t>زرکنده</t>
  </si>
  <si>
    <t>زرقانی</t>
  </si>
  <si>
    <t>زرّابی</t>
  </si>
  <si>
    <t>زرّین</t>
  </si>
  <si>
    <t>زرّین تاج</t>
  </si>
  <si>
    <t>زوال</t>
  </si>
  <si>
    <t xml:space="preserve">“noon or zenith” </t>
  </si>
  <si>
    <t>زواره</t>
  </si>
  <si>
    <t>زورا</t>
  </si>
  <si>
    <t>زاینده رود</t>
  </si>
  <si>
    <t>زید</t>
  </si>
  <si>
    <t>زیدان</t>
  </si>
  <si>
    <t>زیدی</t>
  </si>
  <si>
    <t>زین</t>
  </si>
  <si>
    <t>زینب</t>
  </si>
  <si>
    <t>زینیل</t>
  </si>
  <si>
    <t>son of Iskandar</t>
  </si>
  <si>
    <t>زین العابدین</t>
  </si>
  <si>
    <t>زین العابدین شهمیرزادی</t>
  </si>
  <si>
    <t>زین العابدین یزدی</t>
  </si>
  <si>
    <t>زین المقرّبین</t>
  </si>
  <si>
    <t>literally ›the Ornament of the favoured‹.</t>
  </si>
  <si>
    <t>زیتا</t>
  </si>
  <si>
    <t>زیتون</t>
  </si>
  <si>
    <t>زنده</t>
  </si>
  <si>
    <t>زهتاب</t>
  </si>
  <si>
    <t>ظل الله</t>
  </si>
  <si>
    <t xml:space="preserve">“Shadow of God” </t>
  </si>
  <si>
    <t>ظل السّلطان</t>
  </si>
  <si>
    <t xml:space="preserve">“Shadow of the King” </t>
  </si>
  <si>
    <t>زنا</t>
  </si>
  <si>
    <t>زندگانی</t>
  </si>
  <si>
    <t>زندگانی ابوالفضل گلپایگانی</t>
  </si>
  <si>
    <t>زیاد</t>
  </si>
  <si>
    <t>زیارت</t>
  </si>
  <si>
    <t>زیارت شاه عبدالعظیم</t>
  </si>
  <si>
    <t>زیارتنامه</t>
  </si>
  <si>
    <t>“Tablet of Visitation of the Báb and Bahá'u'lláh” by Bahá’u’lláh</t>
  </si>
  <si>
    <t>زیارتنامه اولیا</t>
  </si>
  <si>
    <t>“Tablet of Visitation of exalted ones” by Bahá’u’lláh</t>
  </si>
  <si>
    <t>زیارتنامه باب الباب</t>
  </si>
  <si>
    <t>“Tablet of Visitation of Mullá Husayn and Quddús” by  Bahá’u’lláh</t>
  </si>
  <si>
    <t>زیارتنامه بیت</t>
  </si>
  <si>
    <t>“Tablet of Visitation of the House” by Bahá’u’lláh</t>
  </si>
  <si>
    <t>زیارتنامه مریم</t>
  </si>
  <si>
    <t>“Tablet of Visitation of Maryam” by Bahá’u’lláh</t>
  </si>
  <si>
    <t>ظهور</t>
  </si>
  <si>
    <t>Founder of the Zoroastrian religion; known as Zarathustra</t>
  </si>
  <si>
    <t>ظهور الهی</t>
  </si>
  <si>
    <t xml:space="preserve">“Manifestation of God” </t>
  </si>
  <si>
    <t>زنوز</t>
  </si>
  <si>
    <t>capital of Marand</t>
  </si>
  <si>
    <t>زنوزی</t>
  </si>
  <si>
    <t>زور خانه</t>
  </si>
  <si>
    <t>House of Strength, where professional atheletes work out</t>
  </si>
  <si>
    <t>Abá</t>
  </si>
  <si>
    <t>ʿAbá</t>
  </si>
  <si>
    <t>Abá-Baṣír</t>
  </si>
  <si>
    <t>Abad</t>
  </si>
  <si>
    <t>Ab</t>
  </si>
  <si>
    <t>Ábád</t>
  </si>
  <si>
    <t>Ábádán</t>
  </si>
  <si>
    <t>Ábádih</t>
  </si>
  <si>
    <t>ʿAbbád</t>
  </si>
  <si>
    <t>Ábádání</t>
  </si>
  <si>
    <t>ʿAbbás-Ábád</t>
  </si>
  <si>
    <t>ʿAbbás-ʿAlí</t>
  </si>
  <si>
    <t>ʿAbbásí</t>
  </si>
  <si>
    <t>ʿAbbás-i-Núrí</t>
  </si>
  <si>
    <t>ʿAbbásíyán</t>
  </si>
  <si>
    <t>ʿAbbás-Qulí</t>
  </si>
  <si>
    <t>ʿAbbás-Qulí-i-Laríjání</t>
  </si>
  <si>
    <t>ʿAbbúd</t>
  </si>
  <si>
    <t>ʿAbd</t>
  </si>
  <si>
    <t>ʿAbd-i-Ḥáḍir</t>
  </si>
  <si>
    <t>ʿAbd-i-Manaf</t>
  </si>
  <si>
    <t>ʿAbd-i-Manáf</t>
  </si>
  <si>
    <t>ʿAbdu’-ikr</t>
  </si>
  <si>
    <t>ʿAbdu’l-Aḥad-i-Zanjání</t>
  </si>
  <si>
    <t>ʿAbdu’l-ʿAlí</t>
  </si>
  <si>
    <t>ʿAbdu’l-ʿAlíy-i-Harátí</t>
  </si>
  <si>
    <t>ʿAbdu’l-ʿAẓím</t>
  </si>
  <si>
    <t>ʿAbdu’l-ʿAẓím-i-u’í</t>
  </si>
  <si>
    <t>ʿAbdu’l-Báqir</t>
  </si>
  <si>
    <t>ʿAbdu’l-affár</t>
  </si>
  <si>
    <t>ʿAbdu’l-aní</t>
  </si>
  <si>
    <t>ʿAbdu’l-Hádí</t>
  </si>
  <si>
    <t>ʿAbdu’l-Ḥusayn</t>
  </si>
  <si>
    <t>ʿAbdu’l-Ḥusayn-i-Ávárih</t>
  </si>
  <si>
    <t>ʿAbdu’l-Jalíl</t>
  </si>
  <si>
    <t>ʿAbdu’l-Javád</t>
  </si>
  <si>
    <t>ʿAbdu’l-Karím</t>
  </si>
  <si>
    <t>ʿAbdu’l-Karím-i-Íravání</t>
  </si>
  <si>
    <t>ʿAbdu’l-Karím-i-Qazvíní</t>
  </si>
  <si>
    <t>ʿAbdu’l-Karím-i-Ṭihrání</t>
  </si>
  <si>
    <t>ʿAbdu’l-áliq</t>
  </si>
  <si>
    <t>ʿAbdu’l-áliq-i-Iṣfahání</t>
  </si>
  <si>
    <t>ʿAbdu’l-áliq-i-Yazdí</t>
  </si>
  <si>
    <t>ʿAbdu’lláh-i-awá</t>
  </si>
  <si>
    <t>ʿAbdu’lláh-i-Qazvíní</t>
  </si>
  <si>
    <t>ʿAbdu’lláh-i-Ubayy</t>
  </si>
  <si>
    <t>ʿAbdu’l-Majíd</t>
  </si>
  <si>
    <t>ʿAbdu’l-Majíd-i-írází</t>
  </si>
  <si>
    <t>ʿAbdu’l-Malik</t>
  </si>
  <si>
    <t>ʿAbdu’l-Masíḥ</t>
  </si>
  <si>
    <t>ʿAbdu’l-Muḥammad</t>
  </si>
  <si>
    <t>ʿAbdu’l-Muṭṭalib</t>
  </si>
  <si>
    <t>ʿAbdu’l-Qádir</t>
  </si>
  <si>
    <t>ʿAbdu’l-Raḥím</t>
  </si>
  <si>
    <t>ʿAbdu’l-Vahháb</t>
  </si>
  <si>
    <t>ʿAbdu’l-Vahháb-i-Qazvíní</t>
  </si>
  <si>
    <t>ʿAbdu’l-Vahháb-i-írází</t>
  </si>
  <si>
    <t>ʿAbdu’l-Vahháb-i-Turízí</t>
  </si>
  <si>
    <t>ʿAbdu’l-Vásiʿ</t>
  </si>
  <si>
    <t>ʿAbdu’r-Raḥím</t>
  </si>
  <si>
    <t>ʿAbdu’r-Raḥím-i-Qannád</t>
  </si>
  <si>
    <t>ʿAbdu’r-Raḥím-i-Yazdí</t>
  </si>
  <si>
    <t>ʿAbdu’r-Raḥmán</t>
  </si>
  <si>
    <t>ʿAbdu’r-Raḥmán-i-Kárkútí</t>
  </si>
  <si>
    <t>ʿAbdu’r-Rasúl</t>
  </si>
  <si>
    <t>ʿAbdu’r-Rasúl-i-Qumí</t>
  </si>
  <si>
    <t>ʿAbdu’r-Razzáq</t>
  </si>
  <si>
    <t>ʿAbdu’s-Salám</t>
  </si>
  <si>
    <t>ʿAbdu’-ams</t>
  </si>
  <si>
    <t>ʿAbdu’ṣ-Ṣáliḥ</t>
  </si>
  <si>
    <t>ʿAbdu’ṣ-Ṣamad</t>
  </si>
  <si>
    <t>ʿAbdu’ṣ -Ṣamad-i-Hamadání</t>
  </si>
  <si>
    <t>Ábgút</t>
  </si>
  <si>
    <t>Ábí</t>
  </si>
  <si>
    <t>Abí-ʿAbdu’lláh</t>
  </si>
  <si>
    <t>ʿÁbid</t>
  </si>
  <si>
    <t>Ábívard</t>
  </si>
  <si>
    <t>Abú-ʿAbdu’lláh</t>
  </si>
  <si>
    <t>Abú-ʿAlí</t>
  </si>
  <si>
    <t>Abú-Amír</t>
  </si>
  <si>
    <t>Abú-ʿÁmir</t>
  </si>
  <si>
    <t>Abú-Bakr</t>
  </si>
  <si>
    <t>Abú-Bakri’s-Siddíq-ibn-i-Abí-Qaḥáfih</t>
  </si>
  <si>
    <t>Abú-ar</t>
  </si>
  <si>
    <t>Abú-Ḥanífih</t>
  </si>
  <si>
    <t>Abú-Jaʿfar</t>
  </si>
  <si>
    <t>Abú-Jaʿfar-i-Ṭúsí</t>
  </si>
  <si>
    <t>Abú-Lahab</t>
  </si>
  <si>
    <t>Abu’l-Baar</t>
  </si>
  <si>
    <t>Abu’l-Fadá’il</t>
  </si>
  <si>
    <t>Abu’l-Faḍl-i-Gulpáygání</t>
  </si>
  <si>
    <t>Abu’l-Fatḥ</t>
  </si>
  <si>
    <t>Abu’l-Fatḥ-i-ahristání</t>
  </si>
  <si>
    <t>Abu’l-Futúḥ</t>
  </si>
  <si>
    <t>Abu’l-Ḥasan</t>
  </si>
  <si>
    <t>Abu’l-Ḥasan-ʿAlí</t>
  </si>
  <si>
    <t>Abu’l-Ḥasan-i-Amín</t>
  </si>
  <si>
    <t>Abu’l-Ḥasan-i-Ardikání</t>
  </si>
  <si>
    <t>Abu’l-Ḥasan-i-Bazzáz</t>
  </si>
  <si>
    <t>Abu’l-Ḥasan-i-írází</t>
  </si>
  <si>
    <t>Abu’l-Hudá</t>
  </si>
  <si>
    <t>Abu’l-Karím</t>
  </si>
  <si>
    <t>Abu’l-Qásim</t>
  </si>
  <si>
    <t>Abu’l-Qásim-ibn-i-Ḥájí-Zayná</t>
  </si>
  <si>
    <t>Abu’l-Qásim-i-Hamadání</t>
  </si>
  <si>
    <t>Abu’l-Qásim-i-Káí</t>
  </si>
  <si>
    <t>Abu’l-Qásim-i-urásání</t>
  </si>
  <si>
    <t>Abu’l-Qásim-i-Mazkání</t>
  </si>
  <si>
    <t>Abu’l-Qásim-i-Qá’im-Maqám</t>
  </si>
  <si>
    <t>Abu’l-Qásim-i-írází</t>
  </si>
  <si>
    <t>Abú-Muḥammad</t>
  </si>
  <si>
    <t>Abú-Muslim</t>
  </si>
  <si>
    <t>Abú-Naṣr</t>
  </si>
  <si>
    <t>Abúqír</t>
  </si>
  <si>
    <t>Abú-Raḥím</t>
  </si>
  <si>
    <t>Abú-Sinán</t>
  </si>
  <si>
    <t>Abú-Tálib-i-Sang-Sarí</t>
  </si>
  <si>
    <t>Abú-Ṭálib-i-ahmírzádí</t>
  </si>
  <si>
    <t>Abú-Turáb</t>
  </si>
  <si>
    <t>Abú-Turáb-i-Qazvíní</t>
  </si>
  <si>
    <t>Abú-ʿUmar-ʿUmán</t>
  </si>
  <si>
    <t>Abváb</t>
  </si>
  <si>
    <t>ʿÁd</t>
  </si>
  <si>
    <t>Adabíyyát</t>
  </si>
  <si>
    <t>ʿAdasíyyih</t>
  </si>
  <si>
    <t>aḍ-Ḍarír</t>
  </si>
  <si>
    <t>Aán</t>
  </si>
  <si>
    <t>Áarbáyján</t>
  </si>
  <si>
    <t>a-átíyyih</t>
  </si>
  <si>
    <t>Akár</t>
  </si>
  <si>
    <t>Adíb</t>
  </si>
  <si>
    <t>Adíb-i-Iláhí</t>
  </si>
  <si>
    <t>Adíbu’l-ʿUlamá</t>
  </si>
  <si>
    <t>Adʿíyyih</t>
  </si>
  <si>
    <t>ʿAḍudu’d-Dawlih</t>
  </si>
  <si>
    <t>Afáqí</t>
  </si>
  <si>
    <t>Afih</t>
  </si>
  <si>
    <t>Afḍalu’l-Mulk</t>
  </si>
  <si>
    <t>Afán</t>
  </si>
  <si>
    <t>Afání</t>
  </si>
  <si>
    <t>Afánistán</t>
  </si>
  <si>
    <t>Afnán-i-Kabír</t>
  </si>
  <si>
    <t>Afrútih</t>
  </si>
  <si>
    <t>Afár</t>
  </si>
  <si>
    <t>Afín</t>
  </si>
  <si>
    <t>Áftábih</t>
  </si>
  <si>
    <t>Afús</t>
  </si>
  <si>
    <t>Ágáhu’lláh</t>
  </si>
  <si>
    <t>Á</t>
  </si>
  <si>
    <t>Áá</t>
  </si>
  <si>
    <t>Aasí</t>
  </si>
  <si>
    <t>Aṣán</t>
  </si>
  <si>
    <t>Aḥad</t>
  </si>
  <si>
    <t>aḥadan</t>
  </si>
  <si>
    <t>Aḥádí</t>
  </si>
  <si>
    <t>Áhang</t>
  </si>
  <si>
    <t>Áhang-i-Badíʿ</t>
  </si>
  <si>
    <t>ʿAhd</t>
  </si>
  <si>
    <t>Aḥkám</t>
  </si>
  <si>
    <t>Aḥkám-i-ʿAdl-i-Án</t>
  </si>
  <si>
    <t>Ahl-i-Bahá</t>
  </si>
  <si>
    <t>Ahl-i-Bayán</t>
  </si>
  <si>
    <t>Ahlu’l-Kitáb</t>
  </si>
  <si>
    <t>Aḥmad</t>
  </si>
  <si>
    <t>Aḥmadí</t>
  </si>
  <si>
    <t>Aḥmad-i-Aḥsá’í</t>
  </si>
  <si>
    <t>Aḥmad-i-ʿAlláf</t>
  </si>
  <si>
    <t>Aḥmad-i-Azandí</t>
  </si>
  <si>
    <t>Aḥmad-i-Baḥrayní</t>
  </si>
  <si>
    <t>Aḥmad-ibn-i-Abí-Ṭálib-i-Ṭabarsí</t>
  </si>
  <si>
    <t>Aḥmad-ibn-i-Zaynu’d-Dín-ibn-i-Ibráhím-ibn-i-Sar-ibn-i-Ibráhím-ibn-i-Ẓáhir-ibn-i-Ramaḍan-ibn-i-Raíd-ibn-i-Dahím-ibn-i-imru-ibn-i-Súlih</t>
  </si>
  <si>
    <t>Aḥmad-i-Ibdál</t>
  </si>
  <si>
    <t>Aḥmad-i-Káání</t>
  </si>
  <si>
    <t>Aḥmad-i-Kátib</t>
  </si>
  <si>
    <t>Aḥmad-i-urásání</t>
  </si>
  <si>
    <t>Aḥmad-i-Kirmání</t>
  </si>
  <si>
    <t>Aḥmad-i-Mawʿúd</t>
  </si>
  <si>
    <t>Aḥmad-i-Muʿallim</t>
  </si>
  <si>
    <t>Aḥmad-i-Nuud-Biríz</t>
  </si>
  <si>
    <t>Aḥmad-i-Payvandí</t>
  </si>
  <si>
    <t>Aḥmad-i-Qazvíní</t>
  </si>
  <si>
    <t>Aḥmad-i-Rúḥí</t>
  </si>
  <si>
    <t>Aḥmad-i-Ṣaffár</t>
  </si>
  <si>
    <t>Aḥmad-i-Yazdí</t>
  </si>
  <si>
    <t>Aḥmadíyyih</t>
  </si>
  <si>
    <t>Aḥmar</t>
  </si>
  <si>
    <t>Aḥmadábád</t>
  </si>
  <si>
    <t>Aḥrárí</t>
  </si>
  <si>
    <t>Ahríman</t>
  </si>
  <si>
    <t>Aḥsá</t>
  </si>
  <si>
    <t>Aḥsá’í</t>
  </si>
  <si>
    <t>Aḥsan</t>
  </si>
  <si>
    <t>Ahváz</t>
  </si>
  <si>
    <t>ʿAjab</t>
  </si>
  <si>
    <t>Ajal</t>
  </si>
  <si>
    <t>Ájúdán-Báí</t>
  </si>
  <si>
    <t>Ajvibatu’l-Masá’il</t>
  </si>
  <si>
    <t>Akbar</t>
  </si>
  <si>
    <t>Akbar-ibn-i-ʿÁbid</t>
  </si>
  <si>
    <t>Akbar-i-Milání</t>
  </si>
  <si>
    <t>Aaván-i-Ṣafá</t>
  </si>
  <si>
    <t>Abárí</t>
  </si>
  <si>
    <t>Áirah</t>
  </si>
  <si>
    <t>Aláq</t>
  </si>
  <si>
    <t>Aláqí</t>
  </si>
  <si>
    <t>Atar</t>
  </si>
  <si>
    <t>Atarán-i-Tábán</t>
  </si>
  <si>
    <t>Atar-ávarí</t>
  </si>
  <si>
    <t>Áúnd</t>
  </si>
  <si>
    <t>ʿÁkifán</t>
  </si>
  <si>
    <t>Ál</t>
  </si>
  <si>
    <t>ʿAlá</t>
  </si>
  <si>
    <t>al-Abhá</t>
  </si>
  <si>
    <t>al-Afání</t>
  </si>
  <si>
    <t>al-Afṭaḥ</t>
  </si>
  <si>
    <t>al-Aḥmar</t>
  </si>
  <si>
    <t>al-Aḥsá</t>
  </si>
  <si>
    <t>al-Aḥsá’i</t>
  </si>
  <si>
    <t>ʿAlá’í</t>
  </si>
  <si>
    <t>al-ʿAlá</t>
  </si>
  <si>
    <t>Álám</t>
  </si>
  <si>
    <t>ʿAlam</t>
  </si>
  <si>
    <t>ʿÁlam</t>
  </si>
  <si>
    <t>ʿAllámah</t>
  </si>
  <si>
    <t>Alamút</t>
  </si>
  <si>
    <t>al-Anbiyá</t>
  </si>
  <si>
    <t>al-Anwár</t>
  </si>
  <si>
    <t>al-ʿÁqib</t>
  </si>
  <si>
    <t>al-ʿAqliyyah</t>
  </si>
  <si>
    <t>al-ʿAqlu’l-Awwal</t>
  </si>
  <si>
    <t>al-Aʿarí</t>
  </si>
  <si>
    <t>al-ʿAskar</t>
  </si>
  <si>
    <t>al-Asrár</t>
  </si>
  <si>
    <t>al-Aṭibbá</t>
  </si>
  <si>
    <t>ʿAlá’u’d-Dawlih</t>
  </si>
  <si>
    <t>ʿAláu’l-Mulk</t>
  </si>
  <si>
    <t>ʿAlá’u’s-Salṭanih</t>
  </si>
  <si>
    <t>ʿAlavíyán</t>
  </si>
  <si>
    <t>al-Awsaṭ</t>
  </si>
  <si>
    <t>al-ʿAwám</t>
  </si>
  <si>
    <t>al-Aʿyán</t>
  </si>
  <si>
    <t>al-Aʿẓam</t>
  </si>
  <si>
    <t>al-Bábíyyún</t>
  </si>
  <si>
    <t>al-Badádí</t>
  </si>
  <si>
    <t>al-Bahá</t>
  </si>
  <si>
    <t>al-Baḥrání</t>
  </si>
  <si>
    <t>al-Baláah</t>
  </si>
  <si>
    <t>al-Basrí</t>
  </si>
  <si>
    <t>al-Báṭil</t>
  </si>
  <si>
    <t>al-Báṭin</t>
  </si>
  <si>
    <t>al-Bayán</t>
  </si>
  <si>
    <t>al-Biárat</t>
  </si>
  <si>
    <t>Alburz</t>
  </si>
  <si>
    <t>al-Dajjál</t>
  </si>
  <si>
    <t>ad-Dín</t>
  </si>
  <si>
    <t>al-Faḍl</t>
  </si>
  <si>
    <t>al-Fáʿil</t>
  </si>
  <si>
    <t>al-Fáʿilayn</t>
  </si>
  <si>
    <t>al-Fásiqún</t>
  </si>
  <si>
    <t>al-Fátiḥah</t>
  </si>
  <si>
    <t>al-Fayyáḍ</t>
  </si>
  <si>
    <t>al-Fiṭr</t>
  </si>
  <si>
    <t>al-Fuqahá</t>
  </si>
  <si>
    <t>al-Futúḥát</t>
  </si>
  <si>
    <t>al-áíyat</t>
  </si>
  <si>
    <t>al-aw</t>
  </si>
  <si>
    <t>al-aybah</t>
  </si>
  <si>
    <t>al-Hádí</t>
  </si>
  <si>
    <t>al-Ḥáʿirún</t>
  </si>
  <si>
    <t>al-Ḥajjáj</t>
  </si>
  <si>
    <t>al-Ḥakam</t>
  </si>
  <si>
    <t>al-Ḥakím</t>
  </si>
  <si>
    <t>al-Ḥalabí</t>
  </si>
  <si>
    <t>al-Ḥalláj</t>
  </si>
  <si>
    <t>al-Ḥamd</t>
  </si>
  <si>
    <t>al-Ḥamduʼlláh</t>
  </si>
  <si>
    <t>al-Ḥanafíyyah</t>
  </si>
  <si>
    <t>al-Ḥaqq</t>
  </si>
  <si>
    <t>al-Ḥasan</t>
  </si>
  <si>
    <t>al-Ḥayy</t>
  </si>
  <si>
    <t>al-Ḥillí</t>
  </si>
  <si>
    <t>al-Ḥumayrí</t>
  </si>
  <si>
    <t>al-Hudá</t>
  </si>
  <si>
    <t>al-Ḥujjah</t>
  </si>
  <si>
    <t>al-Ḥurr</t>
  </si>
  <si>
    <t>ʿÁlí</t>
  </si>
  <si>
    <t>ʿAlí-Ábád</t>
  </si>
  <si>
    <t>ʿAlí-Aḥmad</t>
  </si>
  <si>
    <t>ʿAlí-Akbar</t>
  </si>
  <si>
    <t>ʿAlí-Akbar-i-Ardistání</t>
  </si>
  <si>
    <t>ʿAlí-Akbar-i-Mazgání</t>
  </si>
  <si>
    <t>ʿAlí-Akbar-i-Mázgání</t>
  </si>
  <si>
    <t>ʿAlí-Akbar-i-Najjár</t>
  </si>
  <si>
    <t>ʿAlí-Akbar-i-Naráqí</t>
  </si>
  <si>
    <t>ʿAlí-Akbar-i-ahmírzádí</t>
  </si>
  <si>
    <t>ʿAlí-Aṣar</t>
  </si>
  <si>
    <t>ʿAlí-Araf</t>
  </si>
  <si>
    <t>ʿAlí-Araf-i</t>
  </si>
  <si>
    <t>ʿAlí-ʿAskar</t>
  </si>
  <si>
    <t>ʿAlí-ʿAskar-i-Tabrízí</t>
  </si>
  <si>
    <t>ʿAlí-Bábá</t>
  </si>
  <si>
    <t>Ál-i-Búyih</t>
  </si>
  <si>
    <t>Alif</t>
  </si>
  <si>
    <t>ʿAlí-Ḥamzih</t>
  </si>
  <si>
    <t>ʿAlí-ibn-Abí-Ṭálib</t>
  </si>
  <si>
    <t>ʿAlí-Ibn-i-Abú-Ṭálib</t>
  </si>
  <si>
    <t>ʿAlí-ibn-i-Muḥammad</t>
  </si>
  <si>
    <t>ʿAlí-ibn-i-Musa’r-Riḍá</t>
  </si>
  <si>
    <t>ʿAlí-Ján</t>
  </si>
  <si>
    <t>al-Ijtináb</t>
  </si>
  <si>
    <t>ʿAlí-án</t>
  </si>
  <si>
    <t>ʿÁlim</t>
  </si>
  <si>
    <t>ʿAlímah</t>
  </si>
  <si>
    <t>ʿAlí-Mardán</t>
  </si>
  <si>
    <t>ʿAlí-Mírzáy-i-írází</t>
  </si>
  <si>
    <t>ʿAlí-Muḥammad-i-Siráj</t>
  </si>
  <si>
    <t>ʿAlímurád</t>
  </si>
  <si>
    <t>ʿAlí-Naqí</t>
  </si>
  <si>
    <t>al-Insán</t>
  </si>
  <si>
    <t>ʿAlí-Páá</t>
  </si>
  <si>
    <t>ʿAlí-Qabl-i-Muḥammad</t>
  </si>
  <si>
    <t>ʿAlí-Qulí</t>
  </si>
  <si>
    <t>ʿAlí-Qulí-án</t>
  </si>
  <si>
    <t>ʿAlí-Riḍá</t>
  </si>
  <si>
    <t>ʿAlí-Riḍáy-i-Mustawfí</t>
  </si>
  <si>
    <t>al-Islám</t>
  </si>
  <si>
    <t>al-ʿIṣmatu’l-Kubrá</t>
  </si>
  <si>
    <t>al-Istibṣár</t>
  </si>
  <si>
    <t>al-Istiqámah</t>
  </si>
  <si>
    <t>ʿAlíy-i-Baraqání</t>
  </si>
  <si>
    <t>ʿAlíy-i-Bárfurúí</t>
  </si>
  <si>
    <t>ʿAlíy-i-Basṭámí</t>
  </si>
  <si>
    <t>ʿAlíy-i-Kání</t>
  </si>
  <si>
    <t>ʿAlíy-i-Kirmánáhí</t>
  </si>
  <si>
    <t>ʿAlíy-i-Mírí</t>
  </si>
  <si>
    <t>ʿAlíy-i-Muahhib</t>
  </si>
  <si>
    <t>ʿAlíy-i-Qazvíní</t>
  </si>
  <si>
    <t>ʿAlíy-i-Sabzivárí</t>
  </si>
  <si>
    <t>ʿAlíy-i-Salmání</t>
  </si>
  <si>
    <t>ʿAlíy-i-Sardár</t>
  </si>
  <si>
    <t>ʿAlíy-i-Ṭabíb-i-Zanjání</t>
  </si>
  <si>
    <t>ʿAlíy-i-Tabrízí</t>
  </si>
  <si>
    <t>ʿAlíy-i-Tafríí</t>
  </si>
  <si>
    <t>ʿAlíy-i-Turízí</t>
  </si>
  <si>
    <t>ʿAlíy-i-Zanjání</t>
  </si>
  <si>
    <t>ʿAlíy-i-Zargar</t>
  </si>
  <si>
    <t>ʿAlíy-i-Zunúzí</t>
  </si>
  <si>
    <t>ʿAlíyyu’l-Aʿlá</t>
  </si>
  <si>
    <t>ʿAlízádih</t>
  </si>
  <si>
    <t>al-ʿIzz</t>
  </si>
  <si>
    <t>al-Jámiʿah</t>
  </si>
  <si>
    <t>al-Jumhúriyyah</t>
  </si>
  <si>
    <t>al-Káfirún</t>
  </si>
  <si>
    <t>al-Kámil</t>
  </si>
  <si>
    <t>al-Káṭib</t>
  </si>
  <si>
    <t>al-Kawar</t>
  </si>
  <si>
    <t>al-Káẓim</t>
  </si>
  <si>
    <t>al-áṣṣ</t>
  </si>
  <si>
    <t>al-áṣṣah</t>
  </si>
  <si>
    <t>al-uld</t>
  </si>
  <si>
    <t>al-ullaṣ</t>
  </si>
  <si>
    <t>al-uṭbah</t>
  </si>
  <si>
    <t>al-Kubrá</t>
  </si>
  <si>
    <t>Alláhábád</t>
  </si>
  <si>
    <t>Alláh-u-Abhá</t>
  </si>
  <si>
    <t>Alláh-u-Ajmal</t>
  </si>
  <si>
    <t>Alláh-u-Akbar</t>
  </si>
  <si>
    <t>Alláhu’l-Mustaá</t>
  </si>
  <si>
    <t>Alláhumma</t>
  </si>
  <si>
    <t>Alláh-Virdí</t>
  </si>
  <si>
    <t>Alláh-Yár</t>
  </si>
  <si>
    <t>ʿAllám</t>
  </si>
  <si>
    <t>ʿAllámiy-i-Ḥillí</t>
  </si>
  <si>
    <t>ʿAllámiy-i-Núrí</t>
  </si>
  <si>
    <t>al-Lamrásakí</t>
  </si>
  <si>
    <t>al-Lawḥ</t>
  </si>
  <si>
    <t>ʿAllíyu’lláhí</t>
  </si>
  <si>
    <t>al-Ma’ba</t>
  </si>
  <si>
    <t>Al-Madínah</t>
  </si>
  <si>
    <t>al-Mafḍúl</t>
  </si>
  <si>
    <t>al-Maḥfuẓ</t>
  </si>
  <si>
    <t>al-Máḥí</t>
  </si>
  <si>
    <t>al-Matúm</t>
  </si>
  <si>
    <t>Al-Ma’mún</t>
  </si>
  <si>
    <t>al-Manṣúr</t>
  </si>
  <si>
    <t>al-Masíḥ</t>
  </si>
  <si>
    <t>al-Maẓharu’lláh</t>
  </si>
  <si>
    <t>al-Munáfiqún</t>
  </si>
  <si>
    <t>al-Munfaʿil</t>
  </si>
  <si>
    <t>al-Munfaʿilayn</t>
  </si>
  <si>
    <t>al-Muntaẓar</t>
  </si>
  <si>
    <t>al-Murikún</t>
  </si>
  <si>
    <t>al-Mustaʿín</t>
  </si>
  <si>
    <t>al-Nadím</t>
  </si>
  <si>
    <t>al-Náʿimín</t>
  </si>
  <si>
    <t>al-Najafí</t>
  </si>
  <si>
    <t>al-Náṣib</t>
  </si>
  <si>
    <t>al-Núr</t>
  </si>
  <si>
    <t>al-Qádir</t>
  </si>
  <si>
    <t>al-Qáriʿat</t>
  </si>
  <si>
    <t>al-Qatíl</t>
  </si>
  <si>
    <t>Al-Qíyámat</t>
  </si>
  <si>
    <t>al-Qur’án</t>
  </si>
  <si>
    <t>al-Rukni’l-Rábiʿ</t>
  </si>
  <si>
    <t>al-Ṣádiq</t>
  </si>
  <si>
    <t>al-Safá’</t>
  </si>
  <si>
    <t>al-Ṣaff</t>
  </si>
  <si>
    <t>al-Salímah</t>
  </si>
  <si>
    <t>al-Salṭanah</t>
  </si>
  <si>
    <t>al-Ṣubḥ</t>
  </si>
  <si>
    <t>al-Táj</t>
  </si>
  <si>
    <t>al-Ṭálibín</t>
  </si>
  <si>
    <t>al-Taqlíd</t>
  </si>
  <si>
    <t>al-Tavári</t>
  </si>
  <si>
    <t>al-aqíb</t>
  </si>
  <si>
    <t>al-ʿUlamá</t>
  </si>
  <si>
    <t>al-ʿUlúm</t>
  </si>
  <si>
    <t>al-ʿUmdán</t>
  </si>
  <si>
    <t>al-ʿUmúmí</t>
  </si>
  <si>
    <t>al-ʿUrwahu’l-Wuqá</t>
  </si>
  <si>
    <t>Álúsí</t>
  </si>
  <si>
    <t>al-ʿUẓmá</t>
  </si>
  <si>
    <t>al-Yaqín</t>
  </si>
  <si>
    <t>al-Yazdádí</t>
  </si>
  <si>
    <t>al-Zíyárat</t>
  </si>
  <si>
    <t>al-Ẓunún</t>
  </si>
  <si>
    <t>ʿAmá</t>
  </si>
  <si>
    <t>ámadam</t>
  </si>
  <si>
    <t>ámadíd</t>
  </si>
  <si>
    <t>Amánat</t>
  </si>
  <si>
    <t>Amáni’lláh</t>
  </si>
  <si>
    <t>Amatu’l-Bahá</t>
  </si>
  <si>
    <t>Amatu’lláh</t>
  </si>
  <si>
    <t>ʿÁmilí</t>
  </si>
  <si>
    <t>Amín</t>
  </si>
  <si>
    <t>Amíní</t>
  </si>
  <si>
    <t>Amín-i-Ḥalabí</t>
  </si>
  <si>
    <t>Amín-i-Iláhí</t>
  </si>
  <si>
    <t>Amínu’d-Dawlih</t>
  </si>
  <si>
    <t>Amínu’l-Bayán</t>
  </si>
  <si>
    <t>Amínu’lláh</t>
  </si>
  <si>
    <t>Amínu’l-ʿUlamá</t>
  </si>
  <si>
    <t>Amínu’s-Sulṭán</t>
  </si>
  <si>
    <t>Amír</t>
  </si>
  <si>
    <t>ʿAmír</t>
  </si>
  <si>
    <t>ʿÁmir</t>
  </si>
  <si>
    <t>Amíra’l-Mu’minín</t>
  </si>
  <si>
    <t>Amír-Díván</t>
  </si>
  <si>
    <t>Amír-i-Kabír</t>
  </si>
  <si>
    <t>Amír-Kíyá</t>
  </si>
  <si>
    <t>Amír-Niẓám</t>
  </si>
  <si>
    <t>Amír-Túmán</t>
  </si>
  <si>
    <t>Amíru’l-Islám</t>
  </si>
  <si>
    <t>Amíru’-uʿará</t>
  </si>
  <si>
    <t>Amír-Zádih</t>
  </si>
  <si>
    <t>ʿAmmán</t>
  </si>
  <si>
    <t>Amr-i-Abdaʿ</t>
  </si>
  <si>
    <t>Amr-i-Badíʿ</t>
  </si>
  <si>
    <t>Amru’lláh</t>
  </si>
  <si>
    <t>ʿAmú</t>
  </si>
  <si>
    <t>ʿAmúd</t>
  </si>
  <si>
    <t>Amú-Ján</t>
  </si>
  <si>
    <t>Ámul</t>
  </si>
  <si>
    <t>Anáb</t>
  </si>
  <si>
    <t>Anbá</t>
  </si>
  <si>
    <t>Andalíb</t>
  </si>
  <si>
    <t>ʿAndalíb</t>
  </si>
  <si>
    <t>Andarún</t>
  </si>
  <si>
    <t>Andarúní</t>
  </si>
  <si>
    <t>Angúr</t>
  </si>
  <si>
    <t>Ání</t>
  </si>
  <si>
    <t>an-Náṣir</t>
  </si>
  <si>
    <t>Anṣár</t>
  </si>
  <si>
    <t>Ansárí</t>
  </si>
  <si>
    <t>Anṭún</t>
  </si>
  <si>
    <t>Anvar</t>
  </si>
  <si>
    <t>Anvarí</t>
  </si>
  <si>
    <t>Anvár</t>
  </si>
  <si>
    <t>Anzalí</t>
  </si>
  <si>
    <t>Áqá</t>
  </si>
  <si>
    <t>Áqá-Bábá</t>
  </si>
  <si>
    <t>Áqá-Ján</t>
  </si>
  <si>
    <t>Áqásí</t>
  </si>
  <si>
    <t>Áqáy-i-Kalím</t>
  </si>
  <si>
    <t>Áqáy-i-Munír</t>
  </si>
  <si>
    <t>Áqáy-i-Rikáb-Sáz</t>
  </si>
  <si>
    <t>Áqáy-i-Tabrízí</t>
  </si>
  <si>
    <t>ʿAql</t>
  </si>
  <si>
    <t>Aqsá</t>
  </si>
  <si>
    <t>ʿArabí</t>
  </si>
  <si>
    <t>ʿArabistán</t>
  </si>
  <si>
    <t>ʿArafát</t>
  </si>
  <si>
    <t>ʿÁrafih</t>
  </si>
  <si>
    <t>Arák</t>
  </si>
  <si>
    <t>ʿAráq</t>
  </si>
  <si>
    <t>Arastú</t>
  </si>
  <si>
    <t>Arbáb</t>
  </si>
  <si>
    <t>Arbaʿayn</t>
  </si>
  <si>
    <t>Arbíl</t>
  </si>
  <si>
    <t>Ardá</t>
  </si>
  <si>
    <t>Ardabíl</t>
  </si>
  <si>
    <t>Ardakán</t>
  </si>
  <si>
    <t>Ardakání</t>
  </si>
  <si>
    <t>Arḍ-i-Aʿlá</t>
  </si>
  <si>
    <t>Ardibíl</t>
  </si>
  <si>
    <t>Ardibílí</t>
  </si>
  <si>
    <t>Arḍ-i-Jannat</t>
  </si>
  <si>
    <t>Ardikán</t>
  </si>
  <si>
    <t>Ardikání</t>
  </si>
  <si>
    <t>Ardiír</t>
  </si>
  <si>
    <t>Ardistán</t>
  </si>
  <si>
    <t>Arfaʿ</t>
  </si>
  <si>
    <t>́ʿAríḍ</t>
  </si>
  <si>
    <t>ar-Ráḍí</t>
  </si>
  <si>
    <t>ar-Raíd</t>
  </si>
  <si>
    <t>ar-Rúm</t>
  </si>
  <si>
    <t>ʿAríyyih</t>
  </si>
  <si>
    <t>Arsalán</t>
  </si>
  <si>
    <t>Asadu’lláh</t>
  </si>
  <si>
    <t>Asadu’lláh-i-Iṣfahání</t>
  </si>
  <si>
    <t>Asadu’lláh-i-Mázindarání</t>
  </si>
  <si>
    <t>Asadu’lláh-i-Ṣabbá</t>
  </si>
  <si>
    <t>Asadu’lláhy-i</t>
  </si>
  <si>
    <t>Asadu’lláh-Zádih</t>
  </si>
  <si>
    <t>Asadyárí</t>
  </si>
  <si>
    <t>Aṣbaḥ</t>
  </si>
  <si>
    <t>Aṣbaḥí</t>
  </si>
  <si>
    <t>Aṣdaqí</t>
  </si>
  <si>
    <t>Asfár</t>
  </si>
  <si>
    <t>Aṣar</t>
  </si>
  <si>
    <t>Aṣarzádih</t>
  </si>
  <si>
    <t>Aʿár-i-Parákandih</t>
  </si>
  <si>
    <t>Aʿarí</t>
  </si>
  <si>
    <t>Aʿár-i-Naʿím</t>
  </si>
  <si>
    <t>Aʿaríyyah</t>
  </si>
  <si>
    <t>Aʿa</t>
  </si>
  <si>
    <t>Ahad-u-inna-Muḥammadan-Rasúlu’lláh</t>
  </si>
  <si>
    <t>Á-i-Kak</t>
  </si>
  <si>
    <t>ʿAáyir</t>
  </si>
  <si>
    <t>Ajárí</t>
  </si>
  <si>
    <t>Araf</t>
  </si>
  <si>
    <t>Araf-i-Zanjání</t>
  </si>
  <si>
    <t>a-ahristání</t>
  </si>
  <si>
    <t>Áṣifu’d-Dawlih</t>
  </si>
  <si>
    <t>Ásimán</t>
  </si>
  <si>
    <t>Ásíya</t>
  </si>
  <si>
    <t>Ásíyih</t>
  </si>
  <si>
    <t>ʿAskar</t>
  </si>
  <si>
    <t>ʿAskarí</t>
  </si>
  <si>
    <t>Aṣl-i-Kullu’l-ayr</t>
  </si>
  <si>
    <t>Asmá’</t>
  </si>
  <si>
    <t>Asimání</t>
  </si>
  <si>
    <t>Asrár-i-ihádat-i-Imám</t>
  </si>
  <si>
    <t>aṣ-Ṣabbáḥ</t>
  </si>
  <si>
    <t>Asad</t>
  </si>
  <si>
    <t>aṣ-Ṣádiq</t>
  </si>
  <si>
    <t>aṣ-Ṣaír</t>
  </si>
  <si>
    <t>aṣ-Ṣaḥíḥ</t>
  </si>
  <si>
    <t>as-Sáat</t>
  </si>
  <si>
    <t>as-Salám</t>
  </si>
  <si>
    <t>aṣ-Ṣámit</t>
  </si>
  <si>
    <t>aṣ-Ṣayrafí</t>
  </si>
  <si>
    <t>Ástání</t>
  </si>
  <si>
    <t>Astarábád</t>
  </si>
  <si>
    <t>Atábak</t>
  </si>
  <si>
    <t>Atábak-i-Aʿẓam</t>
  </si>
  <si>
    <t>ʿAtabát</t>
  </si>
  <si>
    <t>ʿAtabát-i-ʿÁlíyát</t>
  </si>
  <si>
    <t>Áár</t>
  </si>
  <si>
    <t>Áárí</t>
  </si>
  <si>
    <t>Áár-i-Qalam-i-Aʿlá</t>
  </si>
  <si>
    <t>Áim</t>
  </si>
  <si>
    <t>Aír</t>
  </si>
  <si>
    <t>a-ábitah</t>
  </si>
  <si>
    <t>Aṭibbá</t>
  </si>
  <si>
    <t>ʿÁṭifí</t>
  </si>
  <si>
    <t>Áti</t>
  </si>
  <si>
    <t>ʿAṭrí</t>
  </si>
  <si>
    <t>aṭ-Ṭabarí</t>
  </si>
  <si>
    <t>aṭ-Ṭabarsí</t>
  </si>
  <si>
    <t>aṭ-Ṭabáṭabá’í</t>
  </si>
  <si>
    <t>aṭ-Ṭáʿir</t>
  </si>
  <si>
    <t>at-Tawḥíd</t>
  </si>
  <si>
    <t>ʿAválim</t>
  </si>
  <si>
    <t>ʿAvámíd</t>
  </si>
  <si>
    <t>Ávárigán</t>
  </si>
  <si>
    <t>Ávárih</t>
  </si>
  <si>
    <t>ʿAváiq</t>
  </si>
  <si>
    <t>Ávih</t>
  </si>
  <si>
    <t>Awjí</t>
  </si>
  <si>
    <t>Awráq-i-Náríyyih</t>
  </si>
  <si>
    <t>Ayádí</t>
  </si>
  <si>
    <t>Ayádíyi-Amru’lláh</t>
  </si>
  <si>
    <t>Ayyám-i-Buṭún</t>
  </si>
  <si>
    <t>Áyát</t>
  </si>
  <si>
    <t>Áyatu’l-Kursí</t>
  </si>
  <si>
    <t>Áyatu’lláh</t>
  </si>
  <si>
    <t>Áyatu’lláh-i-urásání</t>
  </si>
  <si>
    <t>ʿAyn</t>
  </si>
  <si>
    <t>ʿAynuʼl-ʿAyn</t>
  </si>
  <si>
    <t>ʿAynu’l-Baqár</t>
  </si>
  <si>
    <t>Ayyám-i-Há</t>
  </si>
  <si>
    <t>Ayyám-i-idád</t>
  </si>
  <si>
    <t>Ayyám-i-Tisʿih</t>
  </si>
  <si>
    <t>Ayyámu’lláh</t>
  </si>
  <si>
    <t>Ayyúb</t>
  </si>
  <si>
    <t>Ázádí</t>
  </si>
  <si>
    <t>Azal</t>
  </si>
  <si>
    <t>Azalí</t>
  </si>
  <si>
    <t>Aʿẓam</t>
  </si>
  <si>
    <t>ʿAẓamat</t>
  </si>
  <si>
    <t>Aʿẓamí</t>
  </si>
  <si>
    <t>Azand</t>
  </si>
  <si>
    <t>Aẓharí</t>
  </si>
  <si>
    <t>ʿAẓím</t>
  </si>
  <si>
    <t>ʿAẓím-i-uy’í</t>
  </si>
  <si>
    <t>ʿAẓím-i-Tafríí</t>
  </si>
  <si>
    <t>ʿAzíz</t>
  </si>
  <si>
    <t>ʿAzízí</t>
  </si>
  <si>
    <t>ʿAzízu’lláh</t>
  </si>
  <si>
    <t>aẓ-Ẓálimún</t>
  </si>
  <si>
    <t>Bá</t>
  </si>
  <si>
    <t>Bábá</t>
  </si>
  <si>
    <t>Babá’í</t>
  </si>
  <si>
    <t>Bábá-Iskí</t>
  </si>
  <si>
    <t>Bábázádih</t>
  </si>
  <si>
    <t>Báb-i-ʿAlí</t>
  </si>
  <si>
    <t>Báb-i-Amín</t>
  </si>
  <si>
    <t>Báb-i-Araf</t>
  </si>
  <si>
    <t>Báb-i-Bálá</t>
  </si>
  <si>
    <t>Bábí-Dutarán</t>
  </si>
  <si>
    <t>Báb-i-Faḍl</t>
  </si>
  <si>
    <t>Báb-i-Karím</t>
  </si>
  <si>
    <t>Báb-i-Maxwell</t>
  </si>
  <si>
    <t>Báb-i-Qaṣṣábí</t>
  </si>
  <si>
    <t>Bábíyyat</t>
  </si>
  <si>
    <t>Bábíyyih</t>
  </si>
  <si>
    <t>Bábu’d-Dín</t>
  </si>
  <si>
    <t>Bábu’l-Báb</t>
  </si>
  <si>
    <t>Bábu’lláh</t>
  </si>
  <si>
    <t>Badaán</t>
  </si>
  <si>
    <t>Badat</t>
  </si>
  <si>
    <t>Badáyiʿu’l-Áár</t>
  </si>
  <si>
    <t>Badíʿih</t>
  </si>
  <si>
    <t>Bádinján</t>
  </si>
  <si>
    <t>Badíʿu’l-Ḥayát</t>
  </si>
  <si>
    <t>Badíʿu’lláh</t>
  </si>
  <si>
    <t>Badrí</t>
  </si>
  <si>
    <t>Badru’d-Dín</t>
  </si>
  <si>
    <t>Bá</t>
  </si>
  <si>
    <t>Bábán-Báí</t>
  </si>
  <si>
    <t>Badádí</t>
  </si>
  <si>
    <t>Baí</t>
  </si>
  <si>
    <t>Bá-i-Firdaws</t>
  </si>
  <si>
    <t>Bá-i-Iláhí</t>
  </si>
  <si>
    <t>Bá-i-Jannat</t>
  </si>
  <si>
    <t>Bá-i-Tat</t>
  </si>
  <si>
    <t>Bá-Panbih</t>
  </si>
  <si>
    <t>Bagíyyatu’lláh</t>
  </si>
  <si>
    <t>Bahádur</t>
  </si>
  <si>
    <t>Bahá’í-Gemeinde</t>
  </si>
  <si>
    <t>Bahá’í-Lehre</t>
  </si>
  <si>
    <t>Bahá’í-Religion</t>
  </si>
  <si>
    <t>Bahá’í-Verlag</t>
  </si>
  <si>
    <t>Bahá’í-Verwaltungsordnung</t>
  </si>
  <si>
    <t>Bahá’íyyih</t>
  </si>
  <si>
    <t>Bahár</t>
  </si>
  <si>
    <t>Baháristán</t>
  </si>
  <si>
    <t>Bahá’u’l-Abhá</t>
  </si>
  <si>
    <t>Bahá’u’lláhu’l-Abhá</t>
  </si>
  <si>
    <t>Bahháj</t>
  </si>
  <si>
    <t>Báhirí</t>
  </si>
  <si>
    <t>Bahíyyih</t>
  </si>
  <si>
    <t>Bahjí</t>
  </si>
  <si>
    <t>Bahnimír</t>
  </si>
  <si>
    <t>Bahrám</t>
  </si>
  <si>
    <t>Bahrámí</t>
  </si>
  <si>
    <t>Bahrámáhí</t>
  </si>
  <si>
    <t>Baḥrayn</t>
  </si>
  <si>
    <t>Baḥru’l-ʿUlúm</t>
  </si>
  <si>
    <t>Baḥ</t>
  </si>
  <si>
    <t>Baḥí</t>
  </si>
  <si>
    <t>Bájí</t>
  </si>
  <si>
    <t>Bajistání</t>
  </si>
  <si>
    <t>Bat</t>
  </si>
  <si>
    <t>Ba-ʿAlí</t>
  </si>
  <si>
    <t>Batávar</t>
  </si>
  <si>
    <t>Batíyár</t>
  </si>
  <si>
    <t>Batíyárí</t>
  </si>
  <si>
    <t>Bákú</t>
  </si>
  <si>
    <t>Bálá</t>
  </si>
  <si>
    <t>Bálá-ánih</t>
  </si>
  <si>
    <t>Bálá-íyábán</t>
  </si>
  <si>
    <t>Balál</t>
  </si>
  <si>
    <t>Bálá-Rastáq</t>
  </si>
  <si>
    <t>Bálá-Sárí</t>
  </si>
  <si>
    <t>bálátar</t>
  </si>
  <si>
    <t>Balú</t>
  </si>
  <si>
    <t>Balúistán</t>
  </si>
  <si>
    <t>Banáduk</t>
  </si>
  <si>
    <t>Banání</t>
  </si>
  <si>
    <t>Bandar-ʿAbbás</t>
  </si>
  <si>
    <t>Bandar-i-Jaz</t>
  </si>
  <si>
    <t>Bandiy-i-báb-i-Bahá</t>
  </si>
  <si>
    <t>Bandiy-i-udá</t>
  </si>
  <si>
    <t>Baní</t>
  </si>
  <si>
    <t>Baní-Háim</t>
  </si>
  <si>
    <t>Baqá</t>
  </si>
  <si>
    <t>Báqí</t>
  </si>
  <si>
    <t>Baqíʿ</t>
  </si>
  <si>
    <t>Báqir</t>
  </si>
  <si>
    <t>Báqir-i-Basṭámí</t>
  </si>
  <si>
    <t>Báqir-i-Kaf-Dúz</t>
  </si>
  <si>
    <t>Báqir-i-Kandí</t>
  </si>
  <si>
    <t>Báqir-i-Káání</t>
  </si>
  <si>
    <t>Báqir-i-Qá’iní</t>
  </si>
  <si>
    <t>Báqir-i-Ratí</t>
  </si>
  <si>
    <t>Báqir-i-Sabbá</t>
  </si>
  <si>
    <t>Báqir-i-írází</t>
  </si>
  <si>
    <t>Báqir-i-Tabrízí</t>
  </si>
  <si>
    <t>Baqíyyih</t>
  </si>
  <si>
    <t>Baqíyyatu’lláh</t>
  </si>
  <si>
    <t>Báqlavá</t>
  </si>
  <si>
    <t>Barafrútih</t>
  </si>
  <si>
    <t>Baraání</t>
  </si>
  <si>
    <t>Barání</t>
  </si>
  <si>
    <t>Baraqání</t>
  </si>
  <si>
    <t>Baráá</t>
  </si>
  <si>
    <t>Bárfurú</t>
  </si>
  <si>
    <t>Bárfurúí</t>
  </si>
  <si>
    <t>Barkí</t>
  </si>
  <si>
    <t>Baír</t>
  </si>
  <si>
    <t>Baír-i-Iláhí</t>
  </si>
  <si>
    <t>Banih</t>
  </si>
  <si>
    <t>Baṣír</t>
  </si>
  <si>
    <t>Báṣir</t>
  </si>
  <si>
    <t>Baṣír-i-Hindí</t>
  </si>
  <si>
    <t>Baṣrí</t>
  </si>
  <si>
    <t>Baṣrih</t>
  </si>
  <si>
    <t>Basṭám</t>
  </si>
  <si>
    <t>Basṭámí</t>
  </si>
  <si>
    <t>Baṭḥá</t>
  </si>
  <si>
    <t>Baá</t>
  </si>
  <si>
    <t>Báṭil</t>
  </si>
  <si>
    <t>Báṭiníyyih</t>
  </si>
  <si>
    <t>Báṭúm</t>
  </si>
  <si>
    <t>Bavánat</t>
  </si>
  <si>
    <t>Bavánát</t>
  </si>
  <si>
    <t>Bavánát-i-Fárs</t>
  </si>
  <si>
    <t>Bávand</t>
  </si>
  <si>
    <t>báyad</t>
  </si>
  <si>
    <t>Bayán</t>
  </si>
  <si>
    <t>Bayán-i-Farsí</t>
  </si>
  <si>
    <t>Báyazíd</t>
  </si>
  <si>
    <t>Bayḍáví</t>
  </si>
  <si>
    <t>Bayḍún</t>
  </si>
  <si>
    <t>Bayt</t>
  </si>
  <si>
    <t>Bayt-i-Aʿẓam</t>
  </si>
  <si>
    <t>Baytu’l-ʿAdl-i-Aʿẓam</t>
  </si>
  <si>
    <t>Baytu’l-ʿAdl-i-uṣúṣí</t>
  </si>
  <si>
    <t>Baytu’l-ʿAdl-i-Maḥallí</t>
  </si>
  <si>
    <t>Baytu’l-ʿAdl-i-Markazí</t>
  </si>
  <si>
    <t>Baytu’l-ʿAdl-i-Millí</t>
  </si>
  <si>
    <t>Baytu’l-ʿAdl-i-ʿUmúmí</t>
  </si>
  <si>
    <t>Baytu’lláh</t>
  </si>
  <si>
    <t>Baytu’l-Maʿmúr</t>
  </si>
  <si>
    <t>Bázár</t>
  </si>
  <si>
    <t>Bazzáz</t>
  </si>
  <si>
    <t>Bíbí-Ján-Ján-Bagum</t>
  </si>
  <si>
    <t>Bíbí-Zahrá-Bagum</t>
  </si>
  <si>
    <t>Big-i-Sanandají</t>
  </si>
  <si>
    <t>Bigúm</t>
  </si>
  <si>
    <t>Biḥár</t>
  </si>
  <si>
    <t>Biḥáru’l-Anvár</t>
  </si>
  <si>
    <t>Bihbahání</t>
  </si>
  <si>
    <t>Bihit</t>
  </si>
  <si>
    <t>Bihistún</t>
  </si>
  <si>
    <t>Bihjatu’ṣ-Salṭanih</t>
  </si>
  <si>
    <t>Bihmardí</t>
  </si>
  <si>
    <t>Bihzád</t>
  </si>
  <si>
    <t>Bimunásibat</t>
  </si>
  <si>
    <t>Binyámín</t>
  </si>
  <si>
    <t>Biqáʿ</t>
  </si>
  <si>
    <t>Bírjand</t>
  </si>
  <si>
    <t>Birjís</t>
  </si>
  <si>
    <t>Birkás</t>
  </si>
  <si>
    <t>Bírúní</t>
  </si>
  <si>
    <t>Biárát</t>
  </si>
  <si>
    <t>Bismi’lláh</t>
  </si>
  <si>
    <t>Bismi’lláhu’l-Amnaʿu’l-Aqdas</t>
  </si>
  <si>
    <t>Bismi’lláhu’l-Bahíyyu’l-Abhá</t>
  </si>
  <si>
    <t>Bismi’lláhu’r-Raḥmánu’r-Rahím</t>
  </si>
  <si>
    <t>Bísutún</t>
  </si>
  <si>
    <t>Bujnúrd</t>
  </si>
  <si>
    <t>Buárá</t>
  </si>
  <si>
    <t>Buárí</t>
  </si>
  <si>
    <t>Bulbul</t>
  </si>
  <si>
    <t>Bulúk</t>
  </si>
  <si>
    <t>Buqʿatu’l-Ḥamrá’</t>
  </si>
  <si>
    <t>Buqʿatu’l-aḍrá</t>
  </si>
  <si>
    <t>Burháni’d-Dín</t>
  </si>
  <si>
    <t>Burhán-i-Lámiʿ</t>
  </si>
  <si>
    <t>Burquʿí</t>
  </si>
  <si>
    <t>Burújird</t>
  </si>
  <si>
    <t>Burújirdí</t>
  </si>
  <si>
    <t>Burz-Ábád</t>
  </si>
  <si>
    <t>Burú’í</t>
  </si>
  <si>
    <t>Burúyih</t>
  </si>
  <si>
    <t>Bustání</t>
  </si>
  <si>
    <t>Buṭlán</t>
  </si>
  <si>
    <t>Búyih</t>
  </si>
  <si>
    <t>Búyúk</t>
  </si>
  <si>
    <t>Búyúk-Áqá</t>
  </si>
  <si>
    <t>Búyúk-akmah-í</t>
  </si>
  <si>
    <t>Buzurg-Banná</t>
  </si>
  <si>
    <t>Buzurgdát-i-Ṣadumín</t>
  </si>
  <si>
    <t>Buzurg-i-Núrí</t>
  </si>
  <si>
    <t>Buzurg-Vazír</t>
  </si>
  <si>
    <t>Buzurg-Mihr</t>
  </si>
  <si>
    <t>ádur</t>
  </si>
  <si>
    <t>ahár</t>
  </si>
  <si>
    <t>áh-i-Vían</t>
  </si>
  <si>
    <t>áh-Qílán</t>
  </si>
  <si>
    <t>á’í</t>
  </si>
  <si>
    <t>ál</t>
  </si>
  <si>
    <t>angíz</t>
  </si>
  <si>
    <t>ápárí</t>
  </si>
  <si>
    <t>áq</t>
  </si>
  <si>
    <t>am</t>
  </si>
  <si>
    <t>amih-i-ʿAlí</t>
  </si>
  <si>
    <t>ihár-Vádí</t>
  </si>
  <si>
    <t>inár</t>
  </si>
  <si>
    <t>inár-Sútih</t>
  </si>
  <si>
    <t>u</t>
  </si>
  <si>
    <t>úpán</t>
  </si>
  <si>
    <t>ḍ</t>
  </si>
  <si>
    <t>Dabír-Muʿayyid</t>
  </si>
  <si>
    <t>Dabistánu’l-Maáhib</t>
  </si>
  <si>
    <t>Dádistán</t>
  </si>
  <si>
    <t>Dáfúr</t>
  </si>
  <si>
    <t>Dahají</t>
  </si>
  <si>
    <t>dahr</t>
  </si>
  <si>
    <t>Dáʿí</t>
  </si>
  <si>
    <t>Dá’íu’l-Kabír</t>
  </si>
  <si>
    <t>Daryáy-i-Núr</t>
  </si>
  <si>
    <t>Dajlih</t>
  </si>
  <si>
    <t>Daíl</t>
  </si>
  <si>
    <t>Daílí</t>
  </si>
  <si>
    <t>Dalá’il</t>
  </si>
  <si>
    <t>Dalá’il-i-Sabʿih</t>
  </si>
  <si>
    <t>Dalá’ilu’l-ʿIrfán</t>
  </si>
  <si>
    <t xml:space="preserve">Dalálat </t>
  </si>
  <si>
    <t>Dalíl-i-Taqrír</t>
  </si>
  <si>
    <t>Dalílu’l-Mutaḥayyirín</t>
  </si>
  <si>
    <t>Dálvand</t>
  </si>
  <si>
    <t>Damá</t>
  </si>
  <si>
    <t>Damávand</t>
  </si>
  <si>
    <t>Dámán</t>
  </si>
  <si>
    <t>Dáni</t>
  </si>
  <si>
    <t>Dar</t>
  </si>
  <si>
    <t>Dár</t>
  </si>
  <si>
    <t>Dárá</t>
  </si>
  <si>
    <t>Dáráb</t>
  </si>
  <si>
    <t>dárí</t>
  </si>
  <si>
    <t>Dár-Kalá</t>
  </si>
  <si>
    <t>Dars-i-Aláq</t>
  </si>
  <si>
    <t>Dárúih</t>
  </si>
  <si>
    <t>Dáru’l-Áár</t>
  </si>
  <si>
    <t>Dáru’l-Funún</t>
  </si>
  <si>
    <t>Dáru’l-Tablí</t>
  </si>
  <si>
    <t>Dáru’l-Tarvíj</t>
  </si>
  <si>
    <t>Dáru’l-Taríʿ</t>
  </si>
  <si>
    <t>Dáru’-afáy-i-Masjid-i-áh</t>
  </si>
  <si>
    <t>Dáru’s-Salám</t>
  </si>
  <si>
    <t>Dáru’s-Surúr</t>
  </si>
  <si>
    <t>Darví</t>
  </si>
  <si>
    <t>Darví-Ṣaláḥ</t>
  </si>
  <si>
    <t>Daryáy-i-azar</t>
  </si>
  <si>
    <t>Dáryún</t>
  </si>
  <si>
    <t>Darzí</t>
  </si>
  <si>
    <t>Dastán</t>
  </si>
  <si>
    <t>Dastayb</t>
  </si>
  <si>
    <t>Dastmál-Girih-Zan</t>
  </si>
  <si>
    <t>Dastúr</t>
  </si>
  <si>
    <t>Dávúd</t>
  </si>
  <si>
    <t>Dávúdí</t>
  </si>
  <si>
    <t>Daʿvá</t>
  </si>
  <si>
    <t>Dawlat-Ábád</t>
  </si>
  <si>
    <t>Dawlat-Ábádí</t>
  </si>
  <si>
    <t>Dawlat-áh</t>
  </si>
  <si>
    <t>Dawlih</t>
  </si>
  <si>
    <t>Dawr-i-Bahá’í</t>
  </si>
  <si>
    <t>Dáyáná</t>
  </si>
  <si>
    <t>Daylamí</t>
  </si>
  <si>
    <t>Daylamistán</t>
  </si>
  <si>
    <t>Dayyán</t>
  </si>
  <si>
    <t>abíḥ</t>
  </si>
  <si>
    <t>abíhíyán</t>
  </si>
  <si>
    <t>abíḥu’lláh</t>
  </si>
  <si>
    <t>ahábí</t>
  </si>
  <si>
    <t>akí</t>
  </si>
  <si>
    <t>át</t>
  </si>
  <si>
    <t>i’b</t>
  </si>
  <si>
    <t>ibḥ</t>
  </si>
  <si>
    <t>ikr</t>
  </si>
  <si>
    <t>ikru’lláh</t>
  </si>
  <si>
    <t>ikru’lláh-i-Aʿẓam</t>
  </si>
  <si>
    <t>i’l-Jawan</t>
  </si>
  <si>
    <t>i’l-Qáʿidih</t>
  </si>
  <si>
    <t>iráʿ</t>
  </si>
  <si>
    <t>u’l-Faqár</t>
  </si>
  <si>
    <t>ú’l-Janáḥayn</t>
  </si>
  <si>
    <t>ú’l-Qaranayn</t>
  </si>
  <si>
    <t>Ḍíyá’íyyih</t>
  </si>
  <si>
    <t>Ḍíyá’u’lláh</t>
  </si>
  <si>
    <t>Dihqání</t>
  </si>
  <si>
    <t>Dildárí</t>
  </si>
  <si>
    <t>Dilguá</t>
  </si>
  <si>
    <t>Dín</t>
  </si>
  <si>
    <t>Díná</t>
  </si>
  <si>
    <t>dínár</t>
  </si>
  <si>
    <t>Dín-Muḥammad</t>
  </si>
  <si>
    <t>Dín-Muḥammad-Vazír</t>
  </si>
  <si>
    <t>Diraán</t>
  </si>
  <si>
    <t>Ḍíyá</t>
  </si>
  <si>
    <t>Ḍíyá’í</t>
  </si>
  <si>
    <t>Díyár-Bakr</t>
  </si>
  <si>
    <t>Díyár-i-aṭṭ</t>
  </si>
  <si>
    <t>Dízvá</t>
  </si>
  <si>
    <t>Duʿá</t>
  </si>
  <si>
    <t>Duʿáy-i-Saḥar</t>
  </si>
  <si>
    <t>Duʿáy-i-Umm-i-Dávúd</t>
  </si>
  <si>
    <t>Dú-Ábád</t>
  </si>
  <si>
    <t>Dunbáwand</t>
  </si>
  <si>
    <t>Dúr</t>
  </si>
  <si>
    <t>Dúst-Muḥammad</t>
  </si>
  <si>
    <t>Duzdáb</t>
  </si>
  <si>
    <t>Faḍá’il</t>
  </si>
  <si>
    <t>Fáḍil</t>
  </si>
  <si>
    <t>Fáḍil-i-Mázindarání</t>
  </si>
  <si>
    <t>Fáḍil-i-Qá’iní</t>
  </si>
  <si>
    <t>Faḍl</t>
  </si>
  <si>
    <t>Faḍlán</t>
  </si>
  <si>
    <t>Faḍlu’lláh</t>
  </si>
  <si>
    <t>Fahandi</t>
  </si>
  <si>
    <t>Fá’iq</t>
  </si>
  <si>
    <t>Fáʿizih</t>
  </si>
  <si>
    <t>Farí</t>
  </si>
  <si>
    <t>Faru’d-Dawlih</t>
  </si>
  <si>
    <t>Faru’d-Dín</t>
  </si>
  <si>
    <t>Faru’l-Mulk</t>
  </si>
  <si>
    <t>Faru’-uhadá’</t>
  </si>
  <si>
    <t>Faqíh</t>
  </si>
  <si>
    <t>Faqír</t>
  </si>
  <si>
    <t>Fárábí</t>
  </si>
  <si>
    <t>Faraḥ-Ábád</t>
  </si>
  <si>
    <t>Farahádí</t>
  </si>
  <si>
    <t>Faráhán</t>
  </si>
  <si>
    <t>Faráhání</t>
  </si>
  <si>
    <t>Fará’id</t>
  </si>
  <si>
    <t>Faraj</t>
  </si>
  <si>
    <t>Farámarz</t>
  </si>
  <si>
    <t>Fárán</t>
  </si>
  <si>
    <t>Farangí</t>
  </si>
  <si>
    <t>fáraqlíṭ</t>
  </si>
  <si>
    <t>Farááh</t>
  </si>
  <si>
    <t>fardá</t>
  </si>
  <si>
    <t>Farhád</t>
  </si>
  <si>
    <t>Faríbúrz</t>
  </si>
  <si>
    <t>Faríd</t>
  </si>
  <si>
    <t>Farídání</t>
  </si>
  <si>
    <t>Farídu’d-Dín</t>
  </si>
  <si>
    <t>Fáris</t>
  </si>
  <si>
    <t>Farundih</t>
  </si>
  <si>
    <t>Farmán</t>
  </si>
  <si>
    <t>Farmándihán</t>
  </si>
  <si>
    <t>Farmán-Farmá</t>
  </si>
  <si>
    <t>Farmáníyyih</t>
  </si>
  <si>
    <t>Farnú</t>
  </si>
  <si>
    <t>Farrá</t>
  </si>
  <si>
    <t>Farrá-Báí</t>
  </si>
  <si>
    <t>Farru</t>
  </si>
  <si>
    <t>Farruán</t>
  </si>
  <si>
    <t>Farsa</t>
  </si>
  <si>
    <t>Farsang</t>
  </si>
  <si>
    <t>Fárs-Námih</t>
  </si>
  <si>
    <t>Farzánih-Muʼayyid</t>
  </si>
  <si>
    <t>Fasá</t>
  </si>
  <si>
    <t>Fásiqún</t>
  </si>
  <si>
    <t>Faṣl</t>
  </si>
  <si>
    <t>Faṣlu’l-iṭáb</t>
  </si>
  <si>
    <t>Fatá</t>
  </si>
  <si>
    <t>Fatḥ</t>
  </si>
  <si>
    <t>Fatḥ-ʿAlí</t>
  </si>
  <si>
    <t>Fatḥu’lláh</t>
  </si>
  <si>
    <t>Fatḥu’lláh-i-Ḥakkák</t>
  </si>
  <si>
    <t>Fatḥu’lláh-i-Ḥakkák-i-Qumí</t>
  </si>
  <si>
    <t>Fatḥu’lláh-i-Qumí</t>
  </si>
  <si>
    <t>Fáṭimih</t>
  </si>
  <si>
    <t>Fáṭimih-Bagum</t>
  </si>
  <si>
    <t>Fátimihy-i-Maʿṣúmih</t>
  </si>
  <si>
    <t>Faṭṭáḥ</t>
  </si>
  <si>
    <t>Fatvá</t>
  </si>
  <si>
    <t>Fayḍba</t>
  </si>
  <si>
    <t>Fayḍí</t>
  </si>
  <si>
    <t>Fayḍíyyih</t>
  </si>
  <si>
    <t>Fayḍu’lláh</t>
  </si>
  <si>
    <t>Fayḥá’</t>
  </si>
  <si>
    <t>Fazl</t>
  </si>
  <si>
    <t>fí</t>
  </si>
  <si>
    <t>Fidáy-i-</t>
  </si>
  <si>
    <t>Fíkum</t>
  </si>
  <si>
    <t>Fín</t>
  </si>
  <si>
    <t>Findík</t>
  </si>
  <si>
    <t>Firdaws</t>
  </si>
  <si>
    <t>Firdawsí</t>
  </si>
  <si>
    <t>Firdaws-i-A’lá</t>
  </si>
  <si>
    <t>Firitih</t>
  </si>
  <si>
    <t>Fírúz</t>
  </si>
  <si>
    <t>Fírúz-Kúh</t>
  </si>
  <si>
    <t>Fiár-i-Qabr</t>
  </si>
  <si>
    <t>Fiṭr</t>
  </si>
  <si>
    <t>Fízán</t>
  </si>
  <si>
    <t>Fuád</t>
  </si>
  <si>
    <t>Funún</t>
  </si>
  <si>
    <t>Fúr</t>
  </si>
  <si>
    <t>Furúʿ</t>
  </si>
  <si>
    <t>Furú</t>
  </si>
  <si>
    <t>Furúí</t>
  </si>
  <si>
    <t>Furúíyyih</t>
  </si>
  <si>
    <t>Furútan</t>
  </si>
  <si>
    <t>Futúḥát-i-Makkíyyih</t>
  </si>
  <si>
    <t>Ga</t>
  </si>
  <si>
    <t>Gáf</t>
  </si>
  <si>
    <t>Galín</t>
  </si>
  <si>
    <t>Gandum-Pák-Kun</t>
  </si>
  <si>
    <t>Ganjih</t>
  </si>
  <si>
    <t>Ganjíniy-i-Ḥudúd-va-Aḥkám</t>
  </si>
  <si>
    <t>Garmsír</t>
  </si>
  <si>
    <t>Garmsírí</t>
  </si>
  <si>
    <t>Garrús</t>
  </si>
  <si>
    <t>Gáv-Gán</t>
  </si>
  <si>
    <t>Gawhar</t>
  </si>
  <si>
    <t>Gawhar-ád</t>
  </si>
  <si>
    <t>Qadam</t>
  </si>
  <si>
    <t>adír-i-umm</t>
  </si>
  <si>
    <t>affárí</t>
  </si>
  <si>
    <t>aní</t>
  </si>
  <si>
    <t>arasí</t>
  </si>
  <si>
    <t>arásih</t>
  </si>
  <si>
    <t>aríq</t>
  </si>
  <si>
    <t>ars</t>
  </si>
  <si>
    <t>awr</t>
  </si>
  <si>
    <t>awíyyih</t>
  </si>
  <si>
    <t>ayb</t>
  </si>
  <si>
    <t>aybat</t>
  </si>
  <si>
    <t>aybat-i-Kubrá</t>
  </si>
  <si>
    <t>aybat-i-Ṣurá</t>
  </si>
  <si>
    <t>ayb-i-Baqá</t>
  </si>
  <si>
    <t>ayn</t>
  </si>
  <si>
    <t>azál</t>
  </si>
  <si>
    <t>azná</t>
  </si>
  <si>
    <t>aznaví</t>
  </si>
  <si>
    <t>iná</t>
  </si>
  <si>
    <t>iṭá</t>
  </si>
  <si>
    <t>ufrání</t>
  </si>
  <si>
    <t>ulám</t>
  </si>
  <si>
    <t>ulám-ʿAlí</t>
  </si>
  <si>
    <t>ulám-Ḥusayn</t>
  </si>
  <si>
    <t>ulám-Ḥusayn-i-útarí</t>
  </si>
  <si>
    <t>ulám-Riḍá</t>
  </si>
  <si>
    <t>ulám-Riḍáy-i-Kúik</t>
  </si>
  <si>
    <t>ulám-Riḍáy-i-Yazdí</t>
  </si>
  <si>
    <t>ulámu’lláh</t>
  </si>
  <si>
    <t>urúr</t>
  </si>
  <si>
    <t>uṣn</t>
  </si>
  <si>
    <t>uṣn-i-Akbar</t>
  </si>
  <si>
    <t>Ghuṣn-i-Anvar</t>
  </si>
  <si>
    <t>Ghuṣn-i-Aṭhar</t>
  </si>
  <si>
    <t>uṣn-i-Aʿẓám</t>
  </si>
  <si>
    <t>uṣn-i-Mumtáz</t>
  </si>
  <si>
    <t>uṣnu’lláhu’l-Áár</t>
  </si>
  <si>
    <t>uṣnu’lláhu’l-Aʿẓám</t>
  </si>
  <si>
    <t>Gílán</t>
  </si>
  <si>
    <t>Gílání</t>
  </si>
  <si>
    <t>Gildí</t>
  </si>
  <si>
    <t>Gird</t>
  </si>
  <si>
    <t>Gul-Muḥammad</t>
  </si>
  <si>
    <t>Gulmuḥammadí</t>
  </si>
  <si>
    <t>Gul-Ṣabá</t>
  </si>
  <si>
    <t>Gulan-i-Ḥaqáyiq</t>
  </si>
  <si>
    <t>Gulzar-i-Naʿím</t>
  </si>
  <si>
    <t>Gunjik</t>
  </si>
  <si>
    <t>Gurgán</t>
  </si>
  <si>
    <t>Gurgín</t>
  </si>
  <si>
    <t>Gutásb</t>
  </si>
  <si>
    <t>Guzal</t>
  </si>
  <si>
    <t>Há</t>
  </si>
  <si>
    <t>Ḥabíb</t>
  </si>
  <si>
    <t>Ḥabíbih</t>
  </si>
  <si>
    <t>Ḥabíb-i-írází</t>
  </si>
  <si>
    <t>Ḥabíbu’lláh</t>
  </si>
  <si>
    <t>Ḥabíbu’lláh-i-Iṣfahání</t>
  </si>
  <si>
    <t>Ḥablu’l-Matín</t>
  </si>
  <si>
    <t>Ḥadbá’</t>
  </si>
  <si>
    <t>Ḥaddád</t>
  </si>
  <si>
    <t>Ḥadíqatu’r-Raḥmán</t>
  </si>
  <si>
    <t>Ḥadí</t>
  </si>
  <si>
    <t>Ḥadí-i-Jábir</t>
  </si>
  <si>
    <t>Hádíy-i-Dawlat-Ábádí</t>
  </si>
  <si>
    <t>Hádíy-i-Farhádí</t>
  </si>
  <si>
    <t>Hádíy-i-Nahrí</t>
  </si>
  <si>
    <t>Hádíy-i-Qazvíní</t>
  </si>
  <si>
    <t>Ḥaḍrat</t>
  </si>
  <si>
    <t>Ḥaḍrat-i-Aʿlá</t>
  </si>
  <si>
    <t>Ḥaḍrat-i-Bahá’u’lláh</t>
  </si>
  <si>
    <t>Ḥaḍrat-i-Mubair</t>
  </si>
  <si>
    <t>Ḥaḍrat-i-Nuqṭiy-i-Bayán</t>
  </si>
  <si>
    <t>Ḥaḍrat-i-Quddús</t>
  </si>
  <si>
    <t>Ḥáfiẓí</t>
  </si>
  <si>
    <t>Ḥáfiẓu’ṣ-Ṣiḥḥih</t>
  </si>
  <si>
    <t>Haft-Vádí</t>
  </si>
  <si>
    <t>Háhút</t>
  </si>
  <si>
    <t>Ḥáj</t>
  </si>
  <si>
    <t>Ḥájáz</t>
  </si>
  <si>
    <t>Ḥájí</t>
  </si>
  <si>
    <t>Ḥájíbu’d-Dawlih</t>
  </si>
  <si>
    <t>Ḥajj</t>
  </si>
  <si>
    <t>Ḥajji</t>
  </si>
  <si>
    <t>Ḥakím</t>
  </si>
  <si>
    <t>Ḥakímán</t>
  </si>
  <si>
    <t>Ḥakím-Báí</t>
  </si>
  <si>
    <t>Ḥalabí</t>
  </si>
  <si>
    <t>Ḥalál</t>
  </si>
  <si>
    <t>Ḥálát</t>
  </si>
  <si>
    <t>Halih-Halih-Yá-Biárat</t>
  </si>
  <si>
    <t>Ḥalláj</t>
  </si>
  <si>
    <t>Halaví</t>
  </si>
  <si>
    <t>Hamadán</t>
  </si>
  <si>
    <t>Hamadání</t>
  </si>
  <si>
    <t>Hamán</t>
  </si>
  <si>
    <t>Hama</t>
  </si>
  <si>
    <t>Ḥamíd</t>
  </si>
  <si>
    <t>Ḥammál</t>
  </si>
  <si>
    <t>Ḥammám</t>
  </si>
  <si>
    <t>Ḥamrá’</t>
  </si>
  <si>
    <t>Ḥamzih</t>
  </si>
  <si>
    <t>Ḥanabalí</t>
  </si>
  <si>
    <t>Ḥanafí</t>
  </si>
  <si>
    <t>Ḥanafiyyih</t>
  </si>
  <si>
    <t>Ḥaná-Sáb</t>
  </si>
  <si>
    <t>Ḥanbal</t>
  </si>
  <si>
    <t>Hanzá</t>
  </si>
  <si>
    <t>Ḥaqíqat</t>
  </si>
  <si>
    <t>Ḥaqq</t>
  </si>
  <si>
    <t>Ḥaqqí</t>
  </si>
  <si>
    <t>Ḥaqq-i-Ra’y</t>
  </si>
  <si>
    <t>Ḥaqqu’lláh</t>
  </si>
  <si>
    <t>Ḥarakat</t>
  </si>
  <si>
    <t>Ḥaram</t>
  </si>
  <si>
    <t>Ḥaram-i-Aqdas</t>
  </si>
  <si>
    <t>Ḥaram-i-Maʿṣúmih</t>
  </si>
  <si>
    <t>Ḥarf-i-Baqá</t>
  </si>
  <si>
    <t>Hárún</t>
  </si>
  <si>
    <t>Hárúnu’r-Raíd</t>
  </si>
  <si>
    <t>Ḥasá</t>
  </si>
  <si>
    <t>Ḥasan-ʿAlí</t>
  </si>
  <si>
    <t>Ḥasan-ʿAmú</t>
  </si>
  <si>
    <t>Ḥasan-i-Bajistání</t>
  </si>
  <si>
    <t>Ḥasan-i-Gawhar</t>
  </si>
  <si>
    <t>Ḥasan-i-Ḥakím-Báí</t>
  </si>
  <si>
    <t>Ḥasan-i-urásání</t>
  </si>
  <si>
    <t>Ḥasan-i-Mázindarání</t>
  </si>
  <si>
    <t>Ḥasan-i-Níkú</t>
  </si>
  <si>
    <t>Ḥasan-i-Núrí</t>
  </si>
  <si>
    <t>Ḥasan-i-Ratí</t>
  </si>
  <si>
    <t>Ḥasan-i-Ṣabbáḥ</t>
  </si>
  <si>
    <t>Ḥasan-i-Ṣafá</t>
  </si>
  <si>
    <t>Ḥasan-i-iͯʿͯͯr-Báf</t>
  </si>
  <si>
    <t>Ḥasan-i-iͯʿͯͯr-Báf-i-Yazdí</t>
  </si>
  <si>
    <t>Ḥasan-i-Vazír</t>
  </si>
  <si>
    <t>Ḥasan-i-Zunúzí</t>
  </si>
  <si>
    <t>Ḥasanzádih-ákirí</t>
  </si>
  <si>
    <t>Háim</t>
  </si>
  <si>
    <t>Háimízádih</t>
  </si>
  <si>
    <t>Ḥaí</t>
  </si>
  <si>
    <t>Ḥimatu’lláh</t>
  </si>
  <si>
    <t>Hatrúdí</t>
  </si>
  <si>
    <t>Ḥátamí</t>
  </si>
  <si>
    <t>Hayákil</t>
  </si>
  <si>
    <t>Ḥayát</t>
  </si>
  <si>
    <t>Ḥayát-i-Bá</t>
  </si>
  <si>
    <t>Ḥayát-Qulí</t>
  </si>
  <si>
    <t>Ḥaydar</t>
  </si>
  <si>
    <t>Ḥaydar-ʿAlí</t>
  </si>
  <si>
    <t>Ḥaydar-ʿAlíy-i-Ardistání</t>
  </si>
  <si>
    <t>Haykalu’t-Tawḥíd</t>
  </si>
  <si>
    <t>Hayúlá</t>
  </si>
  <si>
    <t>Ḥayy</t>
  </si>
  <si>
    <t>Hidáyat</t>
  </si>
  <si>
    <t>Hijrat</t>
  </si>
  <si>
    <t>Ḥikáyat-i-Dil</t>
  </si>
  <si>
    <t>Ḥilmí</t>
  </si>
  <si>
    <t>Ḥimár</t>
  </si>
  <si>
    <t>Ḥimyarí</t>
  </si>
  <si>
    <t>Ḥín</t>
  </si>
  <si>
    <t>Hindíyán</t>
  </si>
  <si>
    <t>Hindíyyih</t>
  </si>
  <si>
    <t>Hirát</t>
  </si>
  <si>
    <t>Hirbúd</t>
  </si>
  <si>
    <t>Ḥisám-i-Dín</t>
  </si>
  <si>
    <t>Ḥisámu’l-Mulk</t>
  </si>
  <si>
    <t>Ḥisámu’s-Salṭanih</t>
  </si>
  <si>
    <t>Ḥiṣár</t>
  </si>
  <si>
    <t>Hiám</t>
  </si>
  <si>
    <t>Ḥimat</t>
  </si>
  <si>
    <t>Ḥimatu’d-Dawlih</t>
  </si>
  <si>
    <t>Hizár</t>
  </si>
  <si>
    <t>Hizárih</t>
  </si>
  <si>
    <t>Ḥizqíl</t>
  </si>
  <si>
    <t>Hurmuz</t>
  </si>
  <si>
    <t>Ḥubbu’lláh</t>
  </si>
  <si>
    <t>Hubúr</t>
  </si>
  <si>
    <t>Húd</t>
  </si>
  <si>
    <t>Hudá</t>
  </si>
  <si>
    <t>Hudúdu’l-ʿAlám</t>
  </si>
  <si>
    <t>Ḥujjat</t>
  </si>
  <si>
    <t>Ḥujjat-i-Zanjání</t>
  </si>
  <si>
    <t>Ḥujjatu’l-Islám</t>
  </si>
  <si>
    <t>Ḥujjatu’lláh</t>
  </si>
  <si>
    <t>Ḥujjíyat-i-Áyát</t>
  </si>
  <si>
    <t>Ḥujr</t>
  </si>
  <si>
    <t>Ḥukm</t>
  </si>
  <si>
    <t>Ḥúlúl</t>
  </si>
  <si>
    <t>Humá</t>
  </si>
  <si>
    <t>Ḥuqúq</t>
  </si>
  <si>
    <t>Ḥúr</t>
  </si>
  <si>
    <t>Ḥúrí</t>
  </si>
  <si>
    <t>Ḥúr-i-ʿUjáb</t>
  </si>
  <si>
    <t>Ḥurr</t>
  </si>
  <si>
    <t>Ḥurúf</t>
  </si>
  <si>
    <t>Ḥurúf-i-Ḥayy</t>
  </si>
  <si>
    <t>Ḥusayn-Ábád</t>
  </si>
  <si>
    <t>Ḥusayn-ʿAlí</t>
  </si>
  <si>
    <t>Ḥusayn-ʿAlíy-i-Iṣfahání</t>
  </si>
  <si>
    <t>Ḥusayn-ʿAlíy-i-Jahrumí</t>
  </si>
  <si>
    <t>Ḥusayn-ʿAlíy-i-Núrí</t>
  </si>
  <si>
    <t>Ḥusayn-Áqá</t>
  </si>
  <si>
    <t>Ḥusayn-Áqáy-i-Tabrízí</t>
  </si>
  <si>
    <t>Ḥusayn-i-ʿArab</t>
  </si>
  <si>
    <t>Ḥusayn-i-Azandí</t>
  </si>
  <si>
    <t>Ḥusayn-i-ʿAzíz</t>
  </si>
  <si>
    <t>Ḥusayn-i-Burú’í</t>
  </si>
  <si>
    <t>Ḥusayn-i-Káání</t>
  </si>
  <si>
    <t>Ḥusayn-i-Káí</t>
  </si>
  <si>
    <t>Ḥusayn-i-Kái-Sáz</t>
  </si>
  <si>
    <t>Ḥusayn-i-Kuláh-Dúz</t>
  </si>
  <si>
    <t>Ḥusayn-i-Misgar</t>
  </si>
  <si>
    <t>Ḥusayn-i-Mutavallí</t>
  </si>
  <si>
    <t>Ḥusayn-i-Qannád</t>
  </si>
  <si>
    <t>Ḥusayn-i-Quṭb</t>
  </si>
  <si>
    <t>Ḥusayn-i-írázíy-i-urṭúmí</t>
  </si>
  <si>
    <t>Ḥusayn-i-Turízí</t>
  </si>
  <si>
    <t>Ḥusayn-i-Yazdí</t>
  </si>
  <si>
    <t>Ḥusayníyyih</t>
  </si>
  <si>
    <t>Ḥusayn-i-Zanjání</t>
  </si>
  <si>
    <t>Ḥusayn-án</t>
  </si>
  <si>
    <t>Ḥusayn-Qulí</t>
  </si>
  <si>
    <t>Húang</t>
  </si>
  <si>
    <t>Húmand</t>
  </si>
  <si>
    <t>Ḥusníyyih</t>
  </si>
  <si>
    <t>Huva’lláhu’l-Ahad</t>
  </si>
  <si>
    <t>Huvíyyat</t>
  </si>
  <si>
    <t>Ibdál</t>
  </si>
  <si>
    <t>Ibn-i-Abhar</t>
  </si>
  <si>
    <t>Ibn-i-Álúsí</t>
  </si>
  <si>
    <t>Ibn-i-Aṣdaq</t>
  </si>
  <si>
    <t>Ibn-i-Araf</t>
  </si>
  <si>
    <t>Ibn-i-i’b</t>
  </si>
  <si>
    <t>Ibn-i-Faríd</t>
  </si>
  <si>
    <t>Ibn-i-Fárid</t>
  </si>
  <si>
    <t>Ibn-i-Fáriḍ</t>
  </si>
  <si>
    <t>Ibn-i-Hajíb</t>
  </si>
  <si>
    <t>Ibn-i-aldún</t>
  </si>
  <si>
    <t>Ibn-i-Málik</t>
  </si>
  <si>
    <t>Ibn-i-Masʿúd</t>
  </si>
  <si>
    <t>Ibn-i-Mihríyár</t>
  </si>
  <si>
    <t>Ibn-i-Muljam</t>
  </si>
  <si>
    <t>Ibn-i-Ráhib</t>
  </si>
  <si>
    <t>Ibn-i-Saʿd</t>
  </si>
  <si>
    <t>Ibn-i-Saʿíd</t>
  </si>
  <si>
    <t>Ibn-i-Ṣúríyá</t>
  </si>
  <si>
    <t>Ibn-i-Valíd</t>
  </si>
  <si>
    <t>Ibn-i-Yúsuf</t>
  </si>
  <si>
    <t>Ibnu’l-ʿArabí</t>
  </si>
  <si>
    <t>Ibnu’lláh</t>
  </si>
  <si>
    <t>Ibráhím</t>
  </si>
  <si>
    <t>Ibráhím-i-Gulpáygání</t>
  </si>
  <si>
    <t>Ibráhím-i-Iṣfahání</t>
  </si>
  <si>
    <t>Ibráhím-i-alíl</t>
  </si>
  <si>
    <t>Ibráhím-i-ayru’lláh</t>
  </si>
  <si>
    <t>Ibráhím-i-Maḥallátí</t>
  </si>
  <si>
    <t>Ibráhím-i-Qazvíní</t>
  </si>
  <si>
    <t>Ibráhím-i-írází</t>
  </si>
  <si>
    <t>Ibrání</t>
  </si>
  <si>
    <t>Ibtiháj</t>
  </si>
  <si>
    <t>Ibtiháju’l-Mulk</t>
  </si>
  <si>
    <t>ʿIḍad</t>
  </si>
  <si>
    <t>ʿIḍadí</t>
  </si>
  <si>
    <t>iá</t>
  </si>
  <si>
    <t>in</t>
  </si>
  <si>
    <t>Idrís</t>
  </si>
  <si>
    <t>Iḥsán</t>
  </si>
  <si>
    <t>Iḥsánu’lláh</t>
  </si>
  <si>
    <t>Iḥtaraqa’l-Muliṣún</t>
  </si>
  <si>
    <t>Iḥtiám</t>
  </si>
  <si>
    <t>Iḥtiám-i-Dawlih</t>
  </si>
  <si>
    <t>Iḥtíyáj</t>
  </si>
  <si>
    <t>Iḥtíyáj ast</t>
  </si>
  <si>
    <t>Iʿjáz</t>
  </si>
  <si>
    <t>Ijázih</t>
  </si>
  <si>
    <t>Ijmáʿ</t>
  </si>
  <si>
    <t>Ijtihád</t>
  </si>
  <si>
    <t>Iláṣ</t>
  </si>
  <si>
    <t>Itiṣáṣ</t>
  </si>
  <si>
    <t>Iklíl</t>
  </si>
  <si>
    <t>Íl</t>
  </si>
  <si>
    <t>Iláh</t>
  </si>
  <si>
    <t>Iláhá</t>
  </si>
  <si>
    <t>Iláh-a-Illa’lláh</t>
  </si>
  <si>
    <t>Il-Ázár</t>
  </si>
  <si>
    <t>Il-ik</t>
  </si>
  <si>
    <t>Íldírím</t>
  </si>
  <si>
    <t>Íl-án</t>
  </si>
  <si>
    <t>Ílání</t>
  </si>
  <si>
    <t>Illá</t>
  </si>
  <si>
    <t>Illa’lláh</t>
  </si>
  <si>
    <t>ʿIlm</t>
  </si>
  <si>
    <t>Ilyáhú</t>
  </si>
  <si>
    <t>Ilyás</t>
  </si>
  <si>
    <t>Ilzám</t>
  </si>
  <si>
    <t>ʿImád</t>
  </si>
  <si>
    <t>ʿImádu’d-Dawlih</t>
  </si>
  <si>
    <t>Imáda’d-Dín</t>
  </si>
  <si>
    <t>Imámat</t>
  </si>
  <si>
    <t>Imám-Ḥusayn</t>
  </si>
  <si>
    <t>Imám-Jumʿih</t>
  </si>
  <si>
    <t>Imám-Mihdí</t>
  </si>
  <si>
    <t>Imám-Qulí</t>
  </si>
  <si>
    <t>Imám-Virdí</t>
  </si>
  <si>
    <t>Imám-Zádih</t>
  </si>
  <si>
    <t>Imám-Zádih-Ḥasan</t>
  </si>
  <si>
    <t>Ímán</t>
  </si>
  <si>
    <t>ʿImárat-i-uríd</t>
  </si>
  <si>
    <t>Imatu’l-Kubrá</t>
  </si>
  <si>
    <t>Imríká</t>
  </si>
  <si>
    <t>Imru’u’l-Qays</t>
  </si>
  <si>
    <t>Imtíyáz</t>
  </si>
  <si>
    <t>Ín</t>
  </si>
  <si>
    <t>Injíl</t>
  </si>
  <si>
    <t>Iná’lláh</t>
  </si>
  <si>
    <t>Iqbálu’d-Dawlih</t>
  </si>
  <si>
    <t>Iqtibás</t>
  </si>
  <si>
    <t>Iʿrád</t>
  </si>
  <si>
    <t>Irádih</t>
  </si>
  <si>
    <t>Íraj</t>
  </si>
  <si>
    <t>Írání</t>
  </si>
  <si>
    <t>Íráníán</t>
  </si>
  <si>
    <t>ʿIráqí</t>
  </si>
  <si>
    <t>ʿIráq-i-ʿAjam</t>
  </si>
  <si>
    <t>ʿIráq-i-ʿAjamí</t>
  </si>
  <si>
    <t>ʿIráq-i-ʿArab</t>
  </si>
  <si>
    <t>ʿIráq-i-Aʿẓam</t>
  </si>
  <si>
    <t>Íraván</t>
  </si>
  <si>
    <t>Irbíl</t>
  </si>
  <si>
    <t>Irád</t>
  </si>
  <si>
    <t>Irádí</t>
  </si>
  <si>
    <t>Irádu’l-ʿAvám</t>
  </si>
  <si>
    <t>ʿIrtibáṭ</t>
  </si>
  <si>
    <t>Irtidád</t>
  </si>
  <si>
    <t>ʿÍsá</t>
  </si>
  <si>
    <t>Iṣfahán</t>
  </si>
  <si>
    <t>Iṣfahání</t>
  </si>
  <si>
    <t>Isfand-Ábád</t>
  </si>
  <si>
    <t>Isḥáq</t>
  </si>
  <si>
    <t>ʿIqábád</t>
  </si>
  <si>
    <t>ʿIqí</t>
  </si>
  <si>
    <t>ʿIqíy-i-Qarn-i-Bístum</t>
  </si>
  <si>
    <t>Iráq</t>
  </si>
  <si>
    <t>Iráqát</t>
  </si>
  <si>
    <t>Iráqíyyih</t>
  </si>
  <si>
    <t>Iráq-ávarí</t>
  </si>
  <si>
    <t>Itiʿál</t>
  </si>
  <si>
    <t>Itihárd</t>
  </si>
  <si>
    <t>Iskandar</t>
  </si>
  <si>
    <t>Iskandarún</t>
  </si>
  <si>
    <t>Iski-ahr</t>
  </si>
  <si>
    <t>ʿIṣma</t>
  </si>
  <si>
    <t>Ismáʿílí</t>
  </si>
  <si>
    <t>Ismáʿíl-i-abíḥ</t>
  </si>
  <si>
    <t>Ismáʿíl-i-Faráhání</t>
  </si>
  <si>
    <t>Ismáʿíl-i-Kaaní</t>
  </si>
  <si>
    <t>Ismáʿíl-i-Káí</t>
  </si>
  <si>
    <t>Ismáʿíl-i-Qumí</t>
  </si>
  <si>
    <t>Ismáʿílíyyih</t>
  </si>
  <si>
    <t>ʿIṣmat-i-Kubrá</t>
  </si>
  <si>
    <t>Ism-i-Aʿẓam</t>
  </si>
  <si>
    <t>Ismu’l-Azal</t>
  </si>
  <si>
    <t>Ismu’lláh</t>
  </si>
  <si>
    <t>Ismu’lláhi’l-Júd</t>
  </si>
  <si>
    <t>Ismu’lláhu’l-Áar</t>
  </si>
  <si>
    <t>Ismu’lláhu’l-Asad</t>
  </si>
  <si>
    <t>Ismu’lláhu’l-Aṣdaq</t>
  </si>
  <si>
    <t>Ismu’lláhu’l-Javád</t>
  </si>
  <si>
    <t>Ismu’lláhu’l-Mihdí</t>
  </si>
  <si>
    <t>Ismu’lláhu’l-Mím</t>
  </si>
  <si>
    <t>Ismu’lláhu’l-Muníb</t>
  </si>
  <si>
    <t>Isráfíl</t>
  </si>
  <si>
    <t>Iṣṭahbánát</t>
  </si>
  <si>
    <t>Istidlálíyyih</t>
  </si>
  <si>
    <t>Istijlál</t>
  </si>
  <si>
    <t>Istíláyih-ẓáhirí</t>
  </si>
  <si>
    <t>Atábak-i-úpán</t>
  </si>
  <si>
    <t>Iná</t>
  </si>
  <si>
    <t>Iná-ʿAarí</t>
  </si>
  <si>
    <t>Iná-ʿAaríyyih</t>
  </si>
  <si>
    <t>Iʿtidádu’s-Salṭinih</t>
  </si>
  <si>
    <t>Iʿtidál</t>
  </si>
  <si>
    <t>I’tikáf</t>
  </si>
  <si>
    <t>Iʿtimád</t>
  </si>
  <si>
    <t>Iʿtimádu’d-Dawlih</t>
  </si>
  <si>
    <t>Iʿtimádu’t-Tujjár</t>
  </si>
  <si>
    <t>Iʿtiqád-i-maṣúṣi</t>
  </si>
  <si>
    <t>Iṭmínán-i-Qalb</t>
  </si>
  <si>
    <t>Iʿtrat</t>
  </si>
  <si>
    <t>Ittiḥád</t>
  </si>
  <si>
    <t>Izadí</t>
  </si>
  <si>
    <t>Izdiváj</t>
  </si>
  <si>
    <t>Izdiváj ast</t>
  </si>
  <si>
    <t>ʿIzrá’íl</t>
  </si>
  <si>
    <t>ʿIzzat</t>
  </si>
  <si>
    <t>ʿIzzat-Áqá</t>
  </si>
  <si>
    <t>ʿIzzatu’lláh</t>
  </si>
  <si>
    <t>ʿIzzu’d-Dawlih</t>
  </si>
  <si>
    <t>Jabál-i-Básiṭ</t>
  </si>
  <si>
    <t>Jabál-i-adíd</t>
  </si>
  <si>
    <t>Jabarút</t>
  </si>
  <si>
    <t>Jabbání</t>
  </si>
  <si>
    <t>Jábir</t>
  </si>
  <si>
    <t>Jaddih</t>
  </si>
  <si>
    <t>Jabíyyih</t>
  </si>
  <si>
    <t>Jadíduʼlláh</t>
  </si>
  <si>
    <t>Jaʿfar</t>
  </si>
  <si>
    <t>Jaʿfar-Ábád</t>
  </si>
  <si>
    <t>Jaʿfar-i-Astarábádí</t>
  </si>
  <si>
    <t>Jaʿfar-i-Muahhib</t>
  </si>
  <si>
    <t>Jaʿfar-i-Naráqí</t>
  </si>
  <si>
    <t>Jaʿfar-Qulí</t>
  </si>
  <si>
    <t>Jaʿfar-Ṣádiq</t>
  </si>
  <si>
    <t>Jaʿfar-i-Tabrízí</t>
  </si>
  <si>
    <t>Jaʿfar-i-Ṭayyár</t>
  </si>
  <si>
    <t>Jaʿfar-i-Váʿiẓ-i-Qazvíní</t>
  </si>
  <si>
    <t>Jaʿfar-i-Yazdí</t>
  </si>
  <si>
    <t>Jaʿfaríyyih</t>
  </si>
  <si>
    <t>Jaʿfar-Qulí-án</t>
  </si>
  <si>
    <t>Jahán</t>
  </si>
  <si>
    <t>Jahángír</t>
  </si>
  <si>
    <t>Jahrum</t>
  </si>
  <si>
    <t>Jalál</t>
  </si>
  <si>
    <t>Jalálu’d-Dawlih</t>
  </si>
  <si>
    <t>Jalálu’d-Dín</t>
  </si>
  <si>
    <t>Jalíl</t>
  </si>
  <si>
    <t>Jalíl-i-u’í</t>
  </si>
  <si>
    <t>Jalíl-i-Tabrízí</t>
  </si>
  <si>
    <t>Jalíl-i-Urúmí</t>
  </si>
  <si>
    <t>Jám</t>
  </si>
  <si>
    <t>Jamádíyu’l-Avval</t>
  </si>
  <si>
    <t>Jamádíyu’l-Uwla</t>
  </si>
  <si>
    <t>Jamádíyu’-ání</t>
  </si>
  <si>
    <t>Jamál</t>
  </si>
  <si>
    <t>Jamál-i-Burújirdí</t>
  </si>
  <si>
    <t>Jamáli’d-Dín</t>
  </si>
  <si>
    <t>Jamáli’d-Dín-i-Afání</t>
  </si>
  <si>
    <t>Jámiʿ</t>
  </si>
  <si>
    <t>Jamíʿatu’l-Kabírih</t>
  </si>
  <si>
    <t>jámih</t>
  </si>
  <si>
    <t>Jamíd</t>
  </si>
  <si>
    <t>Jamíd-i-Gurjí</t>
  </si>
  <si>
    <t>Ján</t>
  </si>
  <si>
    <t>Jání</t>
  </si>
  <si>
    <t>Jánib</t>
  </si>
  <si>
    <t>Ján-i-Kaj-Kuláh</t>
  </si>
  <si>
    <t>Ján-i-amsih</t>
  </si>
  <si>
    <t>Jáníy-i-Buzurg</t>
  </si>
  <si>
    <t>Jáníy-i-Káání</t>
  </si>
  <si>
    <t>Jáníy-i-Turk</t>
  </si>
  <si>
    <t>Jannat</t>
  </si>
  <si>
    <t>Jannat-i-Abhá</t>
  </si>
  <si>
    <t>Jaríb</t>
  </si>
  <si>
    <t>Járúb-Ki-i-Jahannamí</t>
  </si>
  <si>
    <t>Jásb</t>
  </si>
  <si>
    <t>Jan-i-Aʿẓam</t>
  </si>
  <si>
    <t>Javáb-i-bisyár</t>
  </si>
  <si>
    <t>Javád</t>
  </si>
  <si>
    <t>Javád-i-Baraání</t>
  </si>
  <si>
    <t>Javád-i-Karbilá’í</t>
  </si>
  <si>
    <t>Javád-i-Kirmání</t>
  </si>
  <si>
    <t>Javád-i-Qazvíní</t>
  </si>
  <si>
    <t>Javád-i-Ṭabáṭabá’í</t>
  </si>
  <si>
    <t>Javánmard</t>
  </si>
  <si>
    <t>Jávidán</t>
  </si>
  <si>
    <t>Jayhún</t>
  </si>
  <si>
    <t>Jazíriy-i-aḍrá</t>
  </si>
  <si>
    <t>Jazzár</t>
  </si>
  <si>
    <t>Jibrá’íl</t>
  </si>
  <si>
    <t>Jihád</t>
  </si>
  <si>
    <t>Jím</t>
  </si>
  <si>
    <t>Jináb</t>
  </si>
  <si>
    <t>Jinábí</t>
  </si>
  <si>
    <t>Jináb-i-ʿÁdilih</t>
  </si>
  <si>
    <t>Jináb-i-ʿAlí-Akbar</t>
  </si>
  <si>
    <t>Jináb-i-Amín</t>
  </si>
  <si>
    <t>Jináb-i-Áqá</t>
  </si>
  <si>
    <t>Jináb-i-Ávárih</t>
  </si>
  <si>
    <t>Jináb-i-ʿAẓím</t>
  </si>
  <si>
    <t>Jináb-i-Bábu’l-Báb</t>
  </si>
  <si>
    <t>Jináb-i-Báhá</t>
  </si>
  <si>
    <t>Jináb-i-abíḥ</t>
  </si>
  <si>
    <t>Jináb-i-Fáḍil</t>
  </si>
  <si>
    <t>Jináb-i-Fáḍil-i-Mázindarání</t>
  </si>
  <si>
    <t>Jináb-i-Faizi</t>
  </si>
  <si>
    <t>Jináb-i-Furúí</t>
  </si>
  <si>
    <t>Jináb-i-Ḥájí</t>
  </si>
  <si>
    <t>Jináb-i-Ḥusayn</t>
  </si>
  <si>
    <t>Jináb-i-Ibn-ʿAbhar</t>
  </si>
  <si>
    <t>Jináb-i-Ismu’lláh</t>
  </si>
  <si>
    <t>Jináb-i-Ismu’lláhu’l-Aṣdaq</t>
  </si>
  <si>
    <t>Jináb-i-Kalím</t>
  </si>
  <si>
    <t>Jináb-i-án</t>
  </si>
  <si>
    <t>Jináb-i-Mírzá</t>
  </si>
  <si>
    <t>Jináb-i-Mikín</t>
  </si>
  <si>
    <t>Jináb-i-Muballi</t>
  </si>
  <si>
    <t>Jináb-i-Muḥammad-Taqí</t>
  </si>
  <si>
    <t>Jináb-i-Mullá</t>
  </si>
  <si>
    <t>Jináb-i-Muníb</t>
  </si>
  <si>
    <t>Jináb-i-Munír</t>
  </si>
  <si>
    <t>Jináb-i-Nabíl-i-Akbar</t>
  </si>
  <si>
    <t>Jináb-i-Quddús</t>
  </si>
  <si>
    <t>Jináb-i-Samandar</t>
  </si>
  <si>
    <t>Jináb-i-Samandarí</t>
  </si>
  <si>
    <t>Jináb-i-Sayyáḥ</t>
  </si>
  <si>
    <t>Jináb-i-ay</t>
  </si>
  <si>
    <t>Jináb-i-Siyyid</t>
  </si>
  <si>
    <t>Jináb-i-Ṭáhirih</t>
  </si>
  <si>
    <t>Jináb-i-Varqá</t>
  </si>
  <si>
    <t>Jináb-i-Zayn</t>
  </si>
  <si>
    <t>Jináb-i-Zaynu’l-Muqarrabín</t>
  </si>
  <si>
    <t>Júb</t>
  </si>
  <si>
    <t>Jubbih</t>
  </si>
  <si>
    <t>Júd</t>
  </si>
  <si>
    <t>Judá</t>
  </si>
  <si>
    <t>Jújih</t>
  </si>
  <si>
    <t>Júk</t>
  </si>
  <si>
    <t>Julfá</t>
  </si>
  <si>
    <t>Jumhúr</t>
  </si>
  <si>
    <t>Jumʿih</t>
  </si>
  <si>
    <t>Jumʿih-Bázár</t>
  </si>
  <si>
    <t>Jurjí</t>
  </si>
  <si>
    <t>Kaʿb</t>
  </si>
  <si>
    <t>Kaʿb-ibn-i-Araf</t>
  </si>
  <si>
    <t>Kaʿbih</t>
  </si>
  <si>
    <t>Kabír</t>
  </si>
  <si>
    <t>Kábul</t>
  </si>
  <si>
    <t>Kad-udá</t>
  </si>
  <si>
    <t>Káf</t>
  </si>
  <si>
    <t>Káfí</t>
  </si>
  <si>
    <t>Káfir</t>
  </si>
  <si>
    <t>Káfirún</t>
  </si>
  <si>
    <t>Káfíyih</t>
  </si>
  <si>
    <t>Kaflan-Kúh</t>
  </si>
  <si>
    <t>Káfúr</t>
  </si>
  <si>
    <t>Káhin</t>
  </si>
  <si>
    <t>Kahrubá’í</t>
  </si>
  <si>
    <t>Kajávih</t>
  </si>
  <si>
    <t>Kalám</t>
  </si>
  <si>
    <t>Kalántar</t>
  </si>
  <si>
    <t>Kalb-ʿAlí</t>
  </si>
  <si>
    <t>Kalbásí</t>
  </si>
  <si>
    <t>Kalím</t>
  </si>
  <si>
    <t>Kalimát</t>
  </si>
  <si>
    <t>Kalimát-i-Firdawsíyyih</t>
  </si>
  <si>
    <t>Kalimát-i-Maknúnih</t>
  </si>
  <si>
    <t>Kalímu’lláh</t>
  </si>
  <si>
    <t>Kamál</t>
  </si>
  <si>
    <t>Kamálu’d-Dín</t>
  </si>
  <si>
    <t>Kamálu’d-Dín-i-Naráqí</t>
  </si>
  <si>
    <t>Kámil</t>
  </si>
  <si>
    <t>Kámil-Muqaddam</t>
  </si>
  <si>
    <t>Kámrán</t>
  </si>
  <si>
    <t>Kangávar</t>
  </si>
  <si>
    <t>Kaní</t>
  </si>
  <si>
    <t>Karabá</t>
  </si>
  <si>
    <t>Karáí</t>
  </si>
  <si>
    <t>Karand</t>
  </si>
  <si>
    <t>Karbilá’í</t>
  </si>
  <si>
    <t>Karím</t>
  </si>
  <si>
    <t>Karímí</t>
  </si>
  <si>
    <t>Kar</t>
  </si>
  <si>
    <t>Karkúk</t>
  </si>
  <si>
    <t>Karrús</t>
  </si>
  <si>
    <t>Karrúsí</t>
  </si>
  <si>
    <t>Karrúsih</t>
  </si>
  <si>
    <t>Kárván-Saráy</t>
  </si>
  <si>
    <t>Káán</t>
  </si>
  <si>
    <t>Káání</t>
  </si>
  <si>
    <t>Káánih</t>
  </si>
  <si>
    <t>Kaf</t>
  </si>
  <si>
    <t>Kafí</t>
  </si>
  <si>
    <t>Kafu’l-iṭáʿ</t>
  </si>
  <si>
    <t>Káar</t>
  </si>
  <si>
    <t>Kakúl</t>
  </si>
  <si>
    <t>Kamir</t>
  </si>
  <si>
    <t>Kaírí</t>
  </si>
  <si>
    <t>Kátib</t>
  </si>
  <si>
    <t>Kátibpúr-ahídí</t>
  </si>
  <si>
    <t>Kawar</t>
  </si>
  <si>
    <t>Kayusraw</t>
  </si>
  <si>
    <t>Káẓim</t>
  </si>
  <si>
    <t>Káẓimayn</t>
  </si>
  <si>
    <t>Káẓim-i-Ratí</t>
  </si>
  <si>
    <t>Káẓim-i-Zanjání</t>
  </si>
  <si>
    <t>Kermánáh</t>
  </si>
  <si>
    <t>á</t>
  </si>
  <si>
    <t>abardár</t>
  </si>
  <si>
    <t>abíru’l-Mulk</t>
  </si>
  <si>
    <t>adíjih-Bagum</t>
  </si>
  <si>
    <t>adíjih-Sulṭán</t>
  </si>
  <si>
    <t>ádim</t>
  </si>
  <si>
    <t>ádimu’lláh</t>
  </si>
  <si>
    <t>afí</t>
  </si>
  <si>
    <t>ájih</t>
  </si>
  <si>
    <t>alʿat</t>
  </si>
  <si>
    <t>ál-i-Akbar</t>
  </si>
  <si>
    <t>ál-i-Aṣar</t>
  </si>
  <si>
    <t>ál-i-Aʿẓam</t>
  </si>
  <si>
    <t>álidíyyih</t>
  </si>
  <si>
    <t>alíf</t>
  </si>
  <si>
    <t>alífih</t>
  </si>
  <si>
    <t>alíl</t>
  </si>
  <si>
    <t>alíl-i-uyí</t>
  </si>
  <si>
    <t>alíl-i-ú’í</t>
  </si>
  <si>
    <t>alílu’lláh</t>
  </si>
  <si>
    <t>áliq</t>
  </si>
  <si>
    <t>alál</t>
  </si>
  <si>
    <t>alálí</t>
  </si>
  <si>
    <t>alq</t>
  </si>
  <si>
    <t>ammár</t>
  </si>
  <si>
    <t>amsih</t>
  </si>
  <si>
    <t>án</t>
  </si>
  <si>
    <t>ánbáí</t>
  </si>
  <si>
    <t>án-i-Afán</t>
  </si>
  <si>
    <t>án-i-Afar</t>
  </si>
  <si>
    <t>án-i-Afar-i-ahríyárí</t>
  </si>
  <si>
    <t>án-i-ʿArab</t>
  </si>
  <si>
    <t>án-i-Arafí</t>
  </si>
  <si>
    <t>án-i-ʿAvámíd</t>
  </si>
  <si>
    <t>án-i-Bandibí</t>
  </si>
  <si>
    <t>án-i-Du-Dung’í</t>
  </si>
  <si>
    <t>án-i-Faráhání</t>
  </si>
  <si>
    <t>ánih-Gird</t>
  </si>
  <si>
    <t>án-i-Núrí</t>
  </si>
  <si>
    <t>án-i-Íravání</t>
  </si>
  <si>
    <t>án-i-Iṣfahání</t>
  </si>
  <si>
    <t>án-i-Isma’ílí</t>
  </si>
  <si>
    <t>án-i-Kalántar</t>
  </si>
  <si>
    <t>án-i-Karavulí</t>
  </si>
  <si>
    <t>án-i-Karrúsí</t>
  </si>
  <si>
    <t>án-i-Káí</t>
  </si>
  <si>
    <t>án-i-amsíh</t>
  </si>
  <si>
    <t>án-i-Kirmání</t>
  </si>
  <si>
    <t>án-i-Kurd</t>
  </si>
  <si>
    <t>án-i-Lálih-Báí</t>
  </si>
  <si>
    <t>án-i-Láríjání</t>
  </si>
  <si>
    <t>án-i-Máh-Kú</t>
  </si>
  <si>
    <t>án-i-Máh-Kú’í</t>
  </si>
  <si>
    <t>án-i-Maraih-í</t>
  </si>
  <si>
    <t>án-i-Mílání</t>
  </si>
  <si>
    <t>án-i-Mukrí</t>
  </si>
  <si>
    <t>án-i-Námdár</t>
  </si>
  <si>
    <t>án-i-Qájár-i-Kirmání</t>
  </si>
  <si>
    <t>ániqayn</t>
  </si>
  <si>
    <t>án-i-Qazvíní</t>
  </si>
  <si>
    <t>án-i-Sardár</t>
  </si>
  <si>
    <t>án-i-Savad-Kúhí</t>
  </si>
  <si>
    <t>án-i-áh-Suvan</t>
  </si>
  <si>
    <t>án-i-áh-Virdí</t>
  </si>
  <si>
    <t>án-i-Sur-Karri’í</t>
  </si>
  <si>
    <t>án-i-Tunúkábání</t>
  </si>
  <si>
    <t>án-i-Turkamán</t>
  </si>
  <si>
    <t>ánlan</t>
  </si>
  <si>
    <t>ánlar</t>
  </si>
  <si>
    <t>ánliq</t>
  </si>
  <si>
    <t>án-Muḥammad-i-Túpí</t>
  </si>
  <si>
    <t>ánum</t>
  </si>
  <si>
    <t>ar</t>
  </si>
  <si>
    <t>arj</t>
  </si>
  <si>
    <t>arí</t>
  </si>
  <si>
    <t>áriq-i-ʿÁdat</t>
  </si>
  <si>
    <t>árpút</t>
  </si>
  <si>
    <t>arráz</t>
  </si>
  <si>
    <t>urṭúm</t>
  </si>
  <si>
    <t>aṣá’il-i-Sabʿih</t>
  </si>
  <si>
    <t>aṭá</t>
  </si>
  <si>
    <t>aṭáb</t>
  </si>
  <si>
    <t>átam</t>
  </si>
  <si>
    <t>atim</t>
  </si>
  <si>
    <t>áṭirát-i-Ḥabíb</t>
  </si>
  <si>
    <t>Kháṭirát-i-Nuh-Sálih</t>
  </si>
  <si>
    <t>átún</t>
  </si>
  <si>
    <t>átún-Ján</t>
  </si>
  <si>
    <t>ávar</t>
  </si>
  <si>
    <t>ávarí</t>
  </si>
  <si>
    <t>ávih-Valitar</t>
  </si>
  <si>
    <t>avvám</t>
  </si>
  <si>
    <t>avárij</t>
  </si>
  <si>
    <t>awf</t>
  </si>
  <si>
    <t>ayyám</t>
  </si>
  <si>
    <t>aybar</t>
  </si>
  <si>
    <t>aylí</t>
  </si>
  <si>
    <t>ayrí</t>
  </si>
  <si>
    <t>ayru’lláh</t>
  </si>
  <si>
    <t>ayyámí</t>
  </si>
  <si>
    <t>ayyáṭ</t>
  </si>
  <si>
    <t>ayyátbáí</t>
  </si>
  <si>
    <t>ázih</t>
  </si>
  <si>
    <t>idív</t>
  </si>
  <si>
    <t>iḍr</t>
  </si>
  <si>
    <t>iláfat</t>
  </si>
  <si>
    <t>iran</t>
  </si>
  <si>
    <t>irqiy-i-aríf</t>
  </si>
  <si>
    <t>iṭáb</t>
  </si>
  <si>
    <t>iṭábát</t>
  </si>
  <si>
    <t>iyaban-Bala</t>
  </si>
  <si>
    <t>udádád</t>
  </si>
  <si>
    <t>udáraḥm</t>
  </si>
  <si>
    <t>irad</t>
  </si>
  <si>
    <t>úb</t>
  </si>
  <si>
    <t>udá</t>
  </si>
  <si>
    <t>udá-Ba-i-Qawání</t>
  </si>
  <si>
    <t>udá-Murád</t>
  </si>
  <si>
    <t>ú’í</t>
  </si>
  <si>
    <t>úkand</t>
  </si>
  <si>
    <t>ul</t>
  </si>
  <si>
    <t>ulafá</t>
  </si>
  <si>
    <t>ums</t>
  </si>
  <si>
    <t>ún-bahá</t>
  </si>
  <si>
    <t>urásání</t>
  </si>
  <si>
    <t>urdád</t>
  </si>
  <si>
    <t>urmáʼí</t>
  </si>
  <si>
    <t>urram-Ábád</t>
  </si>
  <si>
    <t>urramdíní</t>
  </si>
  <si>
    <t>uríd</t>
  </si>
  <si>
    <t>urshíd-i-ávar</t>
  </si>
  <si>
    <t>urúj</t>
  </si>
  <si>
    <t>u</t>
  </si>
  <si>
    <t>u ámadíd</t>
  </si>
  <si>
    <t>uú</t>
  </si>
  <si>
    <t>usraw</t>
  </si>
  <si>
    <t>usraw-i-Qáḍí-Kalá’í</t>
  </si>
  <si>
    <t>usrawví</t>
  </si>
  <si>
    <t>utan</t>
  </si>
  <si>
    <t>uṭbih</t>
  </si>
  <si>
    <t>uṭbiy-i-Qahríyyih</t>
  </si>
  <si>
    <t>uy</t>
  </si>
  <si>
    <t>úy</t>
  </si>
  <si>
    <t>Kijávih</t>
  </si>
  <si>
    <t>Kinánih</t>
  </si>
  <si>
    <t>Kinár-Gird</t>
  </si>
  <si>
    <t>Kiní</t>
  </si>
  <si>
    <t>Kirámat</t>
  </si>
  <si>
    <t>Kirmán</t>
  </si>
  <si>
    <t>Kirmání</t>
  </si>
  <si>
    <t>Kirmánáhán</t>
  </si>
  <si>
    <t>Kirmanán</t>
  </si>
  <si>
    <t>Kasrá</t>
  </si>
  <si>
    <t>Kitáb</t>
  </si>
  <si>
    <t>Kitábí</t>
  </si>
  <si>
    <t>Kitáb-i-ʿAhdí</t>
  </si>
  <si>
    <t>Kitáb-i-Asmá’</t>
  </si>
  <si>
    <t>Kitáb-i-Badáyiʿu’l-Áár</t>
  </si>
  <si>
    <t>Kitáb-i-Badíʿ</t>
  </si>
  <si>
    <t>Kitáb-i-Baynu’l-Ḥaramayn</t>
  </si>
  <si>
    <t>Kitáb-i-Haykal</t>
  </si>
  <si>
    <t>Kitáb-i-Majlisí</t>
  </si>
  <si>
    <t>Kitáb-i-Mubín</t>
  </si>
  <si>
    <t>Kitáb-i-Náṭiq</t>
  </si>
  <si>
    <t>Kitáb-i-Panj-a’n</t>
  </si>
  <si>
    <t>Kitáb-i-Ṣámit</t>
  </si>
  <si>
    <t>Kitáb-i-Sulṭán</t>
  </si>
  <si>
    <t>Kitábu’l-Fará’id</t>
  </si>
  <si>
    <t>Kitábu’l-Ḥaramayn</t>
  </si>
  <si>
    <t>Kitábu’r-Rúḥ</t>
  </si>
  <si>
    <t>Kitmán</t>
  </si>
  <si>
    <t>Kiyán</t>
  </si>
  <si>
    <t>kú</t>
  </si>
  <si>
    <t>Kúik-akmih</t>
  </si>
  <si>
    <t>Kuffár-i-Ḥarbí</t>
  </si>
  <si>
    <t>Kúfih</t>
  </si>
  <si>
    <t>Kúh-i-Núr</t>
  </si>
  <si>
    <t>Kúh-Rúd</t>
  </si>
  <si>
    <t>Kúhyár</t>
  </si>
  <si>
    <t>Kujúr</t>
  </si>
  <si>
    <t>Kawkab</t>
  </si>
  <si>
    <t>Kuláh</t>
  </si>
  <si>
    <t>Kuláh-i-Farangí</t>
  </si>
  <si>
    <t>Kulayn</t>
  </si>
  <si>
    <t>Kull-i-ay’</t>
  </si>
  <si>
    <t>Kullu’ṭ-Ṭaʿám</t>
  </si>
  <si>
    <t>Kulúm</t>
  </si>
  <si>
    <t>Kumayl</t>
  </si>
  <si>
    <t>Kumayl-ibn-i-Ziyad</t>
  </si>
  <si>
    <t>Kúr</t>
  </si>
  <si>
    <t>Kurd</t>
  </si>
  <si>
    <t>Kurdí</t>
  </si>
  <si>
    <t>Kursí</t>
  </si>
  <si>
    <t>Kúru</t>
  </si>
  <si>
    <t>Kuwait</t>
  </si>
  <si>
    <t>Kúy</t>
  </si>
  <si>
    <t>Lá</t>
  </si>
  <si>
    <t>Labbádih</t>
  </si>
  <si>
    <t>Labú</t>
  </si>
  <si>
    <t>Láhíján</t>
  </si>
  <si>
    <t>Lahíjání</t>
  </si>
  <si>
    <t>Láhút</t>
  </si>
  <si>
    <t>Lálih</t>
  </si>
  <si>
    <t>Lalih-Báí</t>
  </si>
  <si>
    <t>Lálizár</t>
  </si>
  <si>
    <t>Lám</t>
  </si>
  <si>
    <t>Lamíʿih</t>
  </si>
  <si>
    <t>Lár</t>
  </si>
  <si>
    <t>Láríján</t>
  </si>
  <si>
    <t>Láríjání</t>
  </si>
  <si>
    <t>Lavásán</t>
  </si>
  <si>
    <t>Lawḥ</t>
  </si>
  <si>
    <t>Lawḥ-i-ʿAbdu’l-ʿAzíz</t>
  </si>
  <si>
    <t>Lawḥ-i-ʿAbdu’l-ʿAzíz va Vukalá</t>
  </si>
  <si>
    <t>Lawḥ-i-ʿAbdu’l-Vahhab</t>
  </si>
  <si>
    <t>Lawḥ-i-ʿAbdu’r-Razzáq</t>
  </si>
  <si>
    <t>Lawḥ-i-Aflákíyyih</t>
  </si>
  <si>
    <t>Lawḥ-i-Aḥbáb</t>
  </si>
  <si>
    <t>Lawḥ-i-ʿAhd</t>
  </si>
  <si>
    <t>Lawḥ-i-Aḥmad</t>
  </si>
  <si>
    <t>Lawḥ-i-ʿAmmih</t>
  </si>
  <si>
    <t>Lawḥ-i-Amr</t>
  </si>
  <si>
    <t>Lawḥ-i-Amváj</t>
  </si>
  <si>
    <t>Lawḥ-i-Anta’l-Káfí</t>
  </si>
  <si>
    <t>Lawḥ-i-Aqdas</t>
  </si>
  <si>
    <t>Lawḥ-i-Arḍ-i-Bá</t>
  </si>
  <si>
    <t>Lawḥ-i-ʿÁiq-va-Maʿúq</t>
  </si>
  <si>
    <t>Lawḥ-i-Araf</t>
  </si>
  <si>
    <t>Lawḥ-i-Áyiy-i-Núr</t>
  </si>
  <si>
    <t>Lawḥ-i-Ayyúb</t>
  </si>
  <si>
    <t>Lawḥ-i-Bahá</t>
  </si>
  <si>
    <t>Lawḥ-i-Baqá</t>
  </si>
  <si>
    <t>Lawḥ-i-Basíṭu’l-Ḥaqíqíh</t>
  </si>
  <si>
    <t>Lawḥ-i-Bismilih</t>
  </si>
  <si>
    <t>Lawḥ-i-Bulbulu’l-Firáq</t>
  </si>
  <si>
    <t>Lawḥ-i-Burhán</t>
  </si>
  <si>
    <t>Lawḥ-i-Dunyá</t>
  </si>
  <si>
    <t>Lawḥ-i-Fitnih</t>
  </si>
  <si>
    <t>Lawḥ-i-Fu’ád</t>
  </si>
  <si>
    <t>Lawḥ-i-ulámu’l-uld</t>
  </si>
  <si>
    <t>Lawḥ-i-Ḥabíb</t>
  </si>
  <si>
    <t>Lawḥ-i-Haft</t>
  </si>
  <si>
    <t>Lawḥ-i-Haft-Pursi</t>
  </si>
  <si>
    <t>Lawḥ-i-Halih</t>
  </si>
  <si>
    <t>Lawḥ-i-Ḥaqq</t>
  </si>
  <si>
    <t>Lawḥ-i-Hawdaj</t>
  </si>
  <si>
    <t>Lawḥ-i-Haykal</t>
  </si>
  <si>
    <t>Lawḥ-i-Ḥikmat</t>
  </si>
  <si>
    <t>Lawḥ-i-Hirtík</t>
  </si>
  <si>
    <t>Lawḥ-i-Hizár</t>
  </si>
  <si>
    <t>Lawḥ-i-Ḥuríyyih</t>
  </si>
  <si>
    <t>Lawḥ-i-Ḥurúfát</t>
  </si>
  <si>
    <t>Lawḥ-i-Ḥusayn</t>
  </si>
  <si>
    <t>Lawḥ-i-Ibn-i-i’b</t>
  </si>
  <si>
    <t>Lawḥ-i-Ittiḥád</t>
  </si>
  <si>
    <t>Lawḥ-i-Jamál</t>
  </si>
  <si>
    <t>Lawḥ-i-Karím</t>
  </si>
  <si>
    <t>Lawḥ-i-Karmil</t>
  </si>
  <si>
    <t>Lawḥ-i-alíl</t>
  </si>
  <si>
    <t>Lawḥ-i-urásán</t>
  </si>
  <si>
    <t>Lawḥ-i-Kullu’ṭ-Ṭaʿám</t>
  </si>
  <si>
    <t>Lawḥ-i-Láhih</t>
  </si>
  <si>
    <t>Lawḥ-i-Laylatu’l-Quds</t>
  </si>
  <si>
    <t>Lawḥ-i-Madínatu’r-Riḍá</t>
  </si>
  <si>
    <t>Lawḥ-i-Madínatu’t-Tawḥíd</t>
  </si>
  <si>
    <t>Lawḥ-i-Maḥfil-i-awr</t>
  </si>
  <si>
    <t>Lawḥ-i-Maḥfúẓ</t>
  </si>
  <si>
    <t>Lawḥ-i-Malikih</t>
  </si>
  <si>
    <t>Lawḥ-i-Malik-i-Rús</t>
  </si>
  <si>
    <t>Lawḥ-i-Malláḥu’l-Quds</t>
  </si>
  <si>
    <t>Lawḥ-i-Mánikí</t>
  </si>
  <si>
    <t>Lawḥ-i-Mánikí-Ṣáḥib</t>
  </si>
  <si>
    <t>Lawḥ-i-Maqṣúd</t>
  </si>
  <si>
    <t>Lawḥ-i-Maryam</t>
  </si>
  <si>
    <t>Lawḥ-i-Mawlúd</t>
  </si>
  <si>
    <t>Lawḥ-i-Mazzaḥ</t>
  </si>
  <si>
    <t>Lawḥ-i-Mubáhilih</t>
  </si>
  <si>
    <t>Lawḥ-i-Mubárak</t>
  </si>
  <si>
    <t>Lawḥ-i-Muḥabbat</t>
  </si>
  <si>
    <t>Lawḥ-i-Nápulyún</t>
  </si>
  <si>
    <t>Lawḥ-i-Náqús</t>
  </si>
  <si>
    <t>Lawḥ-i-Náṣir</t>
  </si>
  <si>
    <t>Lawḥ-i-Naw-Rúz</t>
  </si>
  <si>
    <t>Lawḥ-i-Nuqṭih</t>
  </si>
  <si>
    <t>Lawḥ-i-Páp</t>
  </si>
  <si>
    <t>Lawḥ-i-Pisar-ʿAmm</t>
  </si>
  <si>
    <t>Lawḥ-i-Qad</t>
  </si>
  <si>
    <t>Lawḥ-i-Qináʿ</t>
  </si>
  <si>
    <t>Lawḥ-i-Quds</t>
  </si>
  <si>
    <t>Lawḥ-i-Rafíʿ</t>
  </si>
  <si>
    <t>Lawḥ-i-Ra’ís</t>
  </si>
  <si>
    <t>Lawḥ-i-Raqá’</t>
  </si>
  <si>
    <t>Lawḥ-i-Rasúl</t>
  </si>
  <si>
    <t>Lawḥ-i-Rúḥ</t>
  </si>
  <si>
    <t>Lawḥ-i-Ru’yá</t>
  </si>
  <si>
    <t>Lawḥ-i-Saḥáb</t>
  </si>
  <si>
    <t>Lawḥ-i-Ṣalát</t>
  </si>
  <si>
    <t>Lawḥ-i-Salmán</t>
  </si>
  <si>
    <t>Lawḥ-i-Sámsún</t>
  </si>
  <si>
    <t>Lawḥ-i-Sayyáḥ</t>
  </si>
  <si>
    <t>Lawḥ-i-Siyyid</t>
  </si>
  <si>
    <t>Lawḥ-i-ay-Báqir</t>
  </si>
  <si>
    <t>Lawḥ-i-ay-Fání</t>
  </si>
  <si>
    <t>Lawḥ-i-Siráj</t>
  </si>
  <si>
    <t>Lawḥ-i-Siyyid-i-Mihdíy-i-Dahají</t>
  </si>
  <si>
    <t>Lawḥ-i-Sulṭán</t>
  </si>
  <si>
    <t>Lawḥ-i-Tanzíḥ</t>
  </si>
  <si>
    <t>Lawḥ-i-Tarbíyat</t>
  </si>
  <si>
    <t>Lawḥ-i-Tawḥíd</t>
  </si>
  <si>
    <t>Lawḥ-i-Ṭibb</t>
  </si>
  <si>
    <t>Lawḥ-i-Tuqá</t>
  </si>
  <si>
    <t>Lawḥ-i-Yúsif</t>
  </si>
  <si>
    <t>Lawḥ-i-Zaynu’l-Muqarrabín</t>
  </si>
  <si>
    <t>Lawḥ-i-Zíyárih</t>
  </si>
  <si>
    <t>Lawḥu’r-Riḍván</t>
  </si>
  <si>
    <t>Lawḥu’r-Rúḥ</t>
  </si>
  <si>
    <t>Lawḥu’t-Tuqá</t>
  </si>
  <si>
    <t>Laylí</t>
  </si>
  <si>
    <t>Libás</t>
  </si>
  <si>
    <t>Lilláh</t>
  </si>
  <si>
    <t>Limjí</t>
  </si>
  <si>
    <t>Liqá’u’lláh</t>
  </si>
  <si>
    <t>Lisán-Ḥuḍúr</t>
  </si>
  <si>
    <t>Lisánu’l-ʿArab</t>
  </si>
  <si>
    <t>Lisánu’l-Mulk</t>
  </si>
  <si>
    <t>Livá</t>
  </si>
  <si>
    <t>Luat</t>
  </si>
  <si>
    <t>Luqmán</t>
  </si>
  <si>
    <t>Luqmatu’l-Qáḍí</t>
  </si>
  <si>
    <t>Luristán</t>
  </si>
  <si>
    <t>Luṭf-ʿAlí</t>
  </si>
  <si>
    <t>Luṭfu’lláh</t>
  </si>
  <si>
    <t>Lúṭí</t>
  </si>
  <si>
    <t>Muṣṭafá</t>
  </si>
  <si>
    <t>Má</t>
  </si>
  <si>
    <t>Maʿád</t>
  </si>
  <si>
    <t>Maʿání</t>
  </si>
  <si>
    <t>Madáil</t>
  </si>
  <si>
    <t>Maʿdan</t>
  </si>
  <si>
    <t>Madaníyyih</t>
  </si>
  <si>
    <t>Máddíy-i-Aíríyyih</t>
  </si>
  <si>
    <t>Madfanu’l-Aḥibbá</t>
  </si>
  <si>
    <t>Madfanu’-uhadá</t>
  </si>
  <si>
    <t>Maáhib</t>
  </si>
  <si>
    <t>mahab</t>
  </si>
  <si>
    <t>Madínatu’r-Riḍá</t>
  </si>
  <si>
    <t>Madínatu’t-Tawḥíd</t>
  </si>
  <si>
    <t>Madras</t>
  </si>
  <si>
    <t>Madrisih</t>
  </si>
  <si>
    <t>Madrisiy-i-Dáru’-afá</t>
  </si>
  <si>
    <t>Madrisiyi-i-Ṣadr</t>
  </si>
  <si>
    <t>Madrisiy-i-Mádar-i-áh</t>
  </si>
  <si>
    <t>Madrisiy-i-Mírzá-Ṣálih</t>
  </si>
  <si>
    <t>Madrisiy-i-Ṣadr</t>
  </si>
  <si>
    <t>Mafarat</t>
  </si>
  <si>
    <t>Mahábád</t>
  </si>
  <si>
    <t>Maḥal</t>
  </si>
  <si>
    <t>Maḥallátí</t>
  </si>
  <si>
    <t>Maḥallih</t>
  </si>
  <si>
    <t>Maḥbúb</t>
  </si>
  <si>
    <t>Maḥbúb-i-ʿÁlam</t>
  </si>
  <si>
    <t>Maḥbúbih</t>
  </si>
  <si>
    <t>Maḥbúbíyán</t>
  </si>
  <si>
    <t>Maḥbúbu’-uhadá</t>
  </si>
  <si>
    <t>Mahdavíyyat</t>
  </si>
  <si>
    <t>Mahd-i-ʿUlyá</t>
  </si>
  <si>
    <t>Maḥfil-i-Rawḥání</t>
  </si>
  <si>
    <t>Mahín</t>
  </si>
  <si>
    <t>Mahín-Bánú</t>
  </si>
  <si>
    <t>Mahjúrí</t>
  </si>
  <si>
    <t>Maḥmúdí</t>
  </si>
  <si>
    <t>Maḥmúd-i-Álúrí</t>
  </si>
  <si>
    <t>Maḥmúd-i-Álúsí</t>
  </si>
  <si>
    <t>Maḥmúd-i-Muqári’í</t>
  </si>
  <si>
    <t>Maḥmúd-i-Qamṣarí</t>
  </si>
  <si>
    <t>Maḥmúdniád</t>
  </si>
  <si>
    <t>Máh-Párih</t>
  </si>
  <si>
    <t>Mahríyyih</t>
  </si>
  <si>
    <t>Mahíd</t>
  </si>
  <si>
    <t>Mahtábí</t>
  </si>
  <si>
    <t>Maḥv</t>
  </si>
  <si>
    <t>Má’idiy-i-Ásmání</t>
  </si>
  <si>
    <t>Majúb</t>
  </si>
  <si>
    <t>Majdi’d-Dín</t>
  </si>
  <si>
    <t>Majdu’d-Dawlih</t>
  </si>
  <si>
    <t>Majdu’l-Araf</t>
  </si>
  <si>
    <t>Majíd</t>
  </si>
  <si>
    <t>Majlisí</t>
  </si>
  <si>
    <t>Majmaʿ-i-Abrár</t>
  </si>
  <si>
    <t>Majmaʿ-i-Irfán</t>
  </si>
  <si>
    <t>Majmaʿu’l-Fuṣaḥá</t>
  </si>
  <si>
    <t>Majmúʿih</t>
  </si>
  <si>
    <t>Majnún</t>
  </si>
  <si>
    <t>Májúj</t>
  </si>
  <si>
    <t>Makán</t>
  </si>
  <si>
    <t>Makátíb-i-ʿAbdu’l-Bahá</t>
  </si>
  <si>
    <t>Mafíyan</t>
  </si>
  <si>
    <t>Mazún</t>
  </si>
  <si>
    <t>Makú’í</t>
  </si>
  <si>
    <t>Malakút</t>
  </si>
  <si>
    <t>Malakút-i-Pidar</t>
  </si>
  <si>
    <t>Maláyir</t>
  </si>
  <si>
    <t>Malik</t>
  </si>
  <si>
    <t>Málikí</t>
  </si>
  <si>
    <t>Máliku’l-Qalam</t>
  </si>
  <si>
    <t>Maliku’t-Tujjár</t>
  </si>
  <si>
    <t>Málmírí</t>
  </si>
  <si>
    <t>Malʿún</t>
  </si>
  <si>
    <t>Mamaqán</t>
  </si>
  <si>
    <t>Ma’múm</t>
  </si>
  <si>
    <t>Manbaʿ</t>
  </si>
  <si>
    <t>Mandalíj</t>
  </si>
  <si>
    <t>Mání</t>
  </si>
  <si>
    <t>Mánikí</t>
  </si>
  <si>
    <t>Manqúl</t>
  </si>
  <si>
    <t>Manád</t>
  </si>
  <si>
    <t>Maníyyih</t>
  </si>
  <si>
    <t>Manṣúr</t>
  </si>
  <si>
    <t>Manṣúrí</t>
  </si>
  <si>
    <t>Manṣúríyyih</t>
  </si>
  <si>
    <t>Manúihr</t>
  </si>
  <si>
    <t>Manúihrí</t>
  </si>
  <si>
    <t>Man-Yuẓhiru’lláh</t>
  </si>
  <si>
    <t>Maqálih</t>
  </si>
  <si>
    <t>Maqáliy-i-Sayyáḥ</t>
  </si>
  <si>
    <t>Maqám</t>
  </si>
  <si>
    <t>Maqámát</t>
  </si>
  <si>
    <t>Maqámí</t>
  </si>
  <si>
    <t>Maqám-i-iḍr</t>
  </si>
  <si>
    <t>Maqám-i-Maḥmúd</t>
  </si>
  <si>
    <t>Maqṣúd</t>
  </si>
  <si>
    <t>Maʿqúl</t>
  </si>
  <si>
    <t>Maráih</t>
  </si>
  <si>
    <t>Maráihʼí</t>
  </si>
  <si>
    <t>Marájiʿat-Taqlíd</t>
  </si>
  <si>
    <t>Mardán</t>
  </si>
  <si>
    <t>Mardán-ʿAlí</t>
  </si>
  <si>
    <t>Mardín</t>
  </si>
  <si>
    <t>Marḍíyyih</t>
  </si>
  <si>
    <t>Marḥabá</t>
  </si>
  <si>
    <t>marjaʿ</t>
  </si>
  <si>
    <t>Marjaʿat-Taqlíd</t>
  </si>
  <si>
    <t>Marjaʿiyyat</t>
  </si>
  <si>
    <t>Markazí</t>
  </si>
  <si>
    <t>Markaz-i-Áár</t>
  </si>
  <si>
    <t>Maríyih</t>
  </si>
  <si>
    <t>Marv</t>
  </si>
  <si>
    <t>Marván</t>
  </si>
  <si>
    <t>Maryam</t>
  </si>
  <si>
    <t>Maṣábíḥ-i-Hidáyat</t>
  </si>
  <si>
    <t>Masá’il</t>
  </si>
  <si>
    <t>Maṣdar-i-Amr</t>
  </si>
  <si>
    <t>Mahad</t>
  </si>
  <si>
    <t>Mahadí</t>
  </si>
  <si>
    <t>Maíyyat</t>
  </si>
  <si>
    <t>Masíḥ-i-Núrí</t>
  </si>
  <si>
    <t>Masí</t>
  </si>
  <si>
    <t>Masjid</t>
  </si>
  <si>
    <t>Masjid-i-ʿAlí</t>
  </si>
  <si>
    <t>Masjid-i-Ílání</t>
  </si>
  <si>
    <t>Masjid-i-Imám-Ḥasan</t>
  </si>
  <si>
    <t>Masjid-i-Jámiʿ</t>
  </si>
  <si>
    <t>Masjid-i-Jumʿih</t>
  </si>
  <si>
    <t>Masjid-i-Káẓim-Big</t>
  </si>
  <si>
    <t>Masjid-i-Kúfih</t>
  </si>
  <si>
    <t>Masjid-i-Maá’u’lláh</t>
  </si>
  <si>
    <t>Masjid-i-Naw</t>
  </si>
  <si>
    <t>Masjid-i-áh</t>
  </si>
  <si>
    <t>Masjid-i-Vakíl</t>
  </si>
  <si>
    <t>Masqáṭ</t>
  </si>
  <si>
    <t>Masrúr</t>
  </si>
  <si>
    <t>Masʿúd</t>
  </si>
  <si>
    <t>Masʿúdí</t>
  </si>
  <si>
    <t>Maʿṣúm</t>
  </si>
  <si>
    <t>Maʿṣúm-i-Tabíb</t>
  </si>
  <si>
    <t>Maání</t>
  </si>
  <si>
    <t>Manaví-yi-Mubárak</t>
  </si>
  <si>
    <t>Matín</t>
  </si>
  <si>
    <t>Maṭlaʿ-i-Anvár</t>
  </si>
  <si>
    <t>Mawláná</t>
  </si>
  <si>
    <t>Mawlá-Qulí-Áqá-Dádá</t>
  </si>
  <si>
    <t>Mawlaví</t>
  </si>
  <si>
    <t>Maydán</t>
  </si>
  <si>
    <t>Maydán-i-án</t>
  </si>
  <si>
    <t>Maydán-i-áh</t>
  </si>
  <si>
    <t>Maẓáhir</t>
  </si>
  <si>
    <t>Mazdakí</t>
  </si>
  <si>
    <t>Mazdáyasníán</t>
  </si>
  <si>
    <t>Mázgán</t>
  </si>
  <si>
    <t>Maẓhar</t>
  </si>
  <si>
    <t>Maẓhar-i-Iláhí</t>
  </si>
  <si>
    <t>Mázindarán</t>
  </si>
  <si>
    <t>Mázindarání</t>
  </si>
  <si>
    <t>Mazraʿih</t>
  </si>
  <si>
    <t>Mazraʿiy-i-Vaá</t>
  </si>
  <si>
    <t>Mázyár</t>
  </si>
  <si>
    <t>Mazzáḥ</t>
  </si>
  <si>
    <t>Mihrábání</t>
  </si>
  <si>
    <t>Mihrangíz</t>
  </si>
  <si>
    <t>Mihdí-Qulí</t>
  </si>
  <si>
    <t>Mihdí-Ábád</t>
  </si>
  <si>
    <t>Mihdíy-i-Astirábádí</t>
  </si>
  <si>
    <t>Mihdíy-i-ʿAṭrí</t>
  </si>
  <si>
    <t>Mihdiy-i-Gilání</t>
  </si>
  <si>
    <t>Mihdíy-i-Kandí</t>
  </si>
  <si>
    <t>Mihdíy-i-Káání</t>
  </si>
  <si>
    <t>Mihdíy-i-u’í</t>
  </si>
  <si>
    <t>Mihdíy-i-Ratí</t>
  </si>
  <si>
    <t>Mihdíy-i-Yazdí</t>
  </si>
  <si>
    <t>Mihdízádih</t>
  </si>
  <si>
    <t>Miḥráb</t>
  </si>
  <si>
    <t>Mihragán</t>
  </si>
  <si>
    <t>Mihr-ʿAlí</t>
  </si>
  <si>
    <t>Mihr-ʿAlíy-i-Ḥaddád</t>
  </si>
  <si>
    <t>Mihríyár</t>
  </si>
  <si>
    <t>Mihríz</t>
  </si>
  <si>
    <t>Mílán</t>
  </si>
  <si>
    <t>Mílání</t>
  </si>
  <si>
    <t>Mím</t>
  </si>
  <si>
    <t>Mináhiju’l-Aḥkám</t>
  </si>
  <si>
    <t>Miqdádí</t>
  </si>
  <si>
    <t>Mír</t>
  </si>
  <si>
    <t>Miʿráj</t>
  </si>
  <si>
    <t>Mír-Asadú’lláh</t>
  </si>
  <si>
    <t>Mir’át</t>
  </si>
  <si>
    <t>Mir’átu’l-Azalíyyih</t>
  </si>
  <si>
    <t>Mír-Panj</t>
  </si>
  <si>
    <t>Mírzá</t>
  </si>
  <si>
    <t>Mírzáy-i-Ḥalabí-Sáz</t>
  </si>
  <si>
    <t>Mik</t>
  </si>
  <si>
    <t>Mikátu’d-Dawlih</t>
  </si>
  <si>
    <t>Mikín</t>
  </si>
  <si>
    <t>Mikín-Qalam</t>
  </si>
  <si>
    <t>Miáq</t>
  </si>
  <si>
    <t>Míáqí</t>
  </si>
  <si>
    <t>Míáqíyán</t>
  </si>
  <si>
    <t>Mirá</t>
  </si>
  <si>
    <t>Míyámí</t>
  </si>
  <si>
    <t>Míyánáj</t>
  </si>
  <si>
    <t>Míyánduáb</t>
  </si>
  <si>
    <t>Mu’ain</t>
  </si>
  <si>
    <t>Muʿallaqih</t>
  </si>
  <si>
    <t>Muʿallim</t>
  </si>
  <si>
    <t>Muʿallimí</t>
  </si>
  <si>
    <t>Muʿáirat</t>
  </si>
  <si>
    <t>Muʿaṭṭar</t>
  </si>
  <si>
    <t>Muʿávíyih</t>
  </si>
  <si>
    <t>Mu’ayyad</t>
  </si>
  <si>
    <t>Mu’ayyadu’d-Dawlih</t>
  </si>
  <si>
    <t>Mubáhilih</t>
  </si>
  <si>
    <t>Muballiín</t>
  </si>
  <si>
    <t>Mubárak</t>
  </si>
  <si>
    <t>Mubair</t>
  </si>
  <si>
    <t>Mubayyin-i-Kitáb</t>
  </si>
  <si>
    <t>Mubín</t>
  </si>
  <si>
    <t>Mudarrisún</t>
  </si>
  <si>
    <t>Mufaṣṣal</t>
  </si>
  <si>
    <t>Mufaḍḍal</t>
  </si>
  <si>
    <t>Mufaamu’d-Dawlih</t>
  </si>
  <si>
    <t>Mufáviḍát</t>
  </si>
  <si>
    <t>Muftí</t>
  </si>
  <si>
    <t>Muḥabbatánih</t>
  </si>
  <si>
    <t>Muḥáḍirát</t>
  </si>
  <si>
    <t>Muhájir</t>
  </si>
  <si>
    <t>Muhájirín</t>
  </si>
  <si>
    <t>Muḥammad-ʿAbdu’lláh</t>
  </si>
  <si>
    <t>Muḥammad-ʿAlí</t>
  </si>
  <si>
    <t>Muḥammad-ʿAlí-i-Dallák</t>
  </si>
  <si>
    <t>Muḥammad-ʿAlí-i-Zunúzí</t>
  </si>
  <si>
    <t>Muḥammad-ʿAlí-án</t>
  </si>
  <si>
    <t>Muḥammad-ʿAlíy-i-Ardikání</t>
  </si>
  <si>
    <t>Muḥammad-ʿAlíy-i-ʿAṭṭár</t>
  </si>
  <si>
    <t>Muḥammad-ʿAlíy-i-Bárfurúí</t>
  </si>
  <si>
    <t>Muḥammad-ʿAlíy-i-Ḥamzih</t>
  </si>
  <si>
    <t>Muḥammad-ʿAlíy-i-Iṣfahání</t>
  </si>
  <si>
    <t>Muḥammad-ʿAlíy-i-Nahrí</t>
  </si>
  <si>
    <t>Muḥammad-ʿAlíy-i-Qazvíní</t>
  </si>
  <si>
    <t>Muḥammad-ʿAlíy-i-Salmání</t>
  </si>
  <si>
    <t>Muḥammad-ʿAlíy-i-Tabíb</t>
  </si>
  <si>
    <t>Muḥammad-ʿAlíy-i-Tabíb-i-Zanjání</t>
  </si>
  <si>
    <t>Muḥammad-ʿAlíy-i-Tanbákú-Furú</t>
  </si>
  <si>
    <t>Muḥammad-ʿAlíy-i-Zanjání</t>
  </si>
  <si>
    <t>Muḥammad-ʿAlíy-i-Zunúzí</t>
  </si>
  <si>
    <t>Muḥammad-Amín</t>
  </si>
  <si>
    <t>Muḥammad-ʿAṭṭár</t>
  </si>
  <si>
    <t>Muḥammad-Báqir</t>
  </si>
  <si>
    <t>Muḥammad-Báqir-i-urásáníy-i-Qa’iní</t>
  </si>
  <si>
    <t>Muḥammad-Báqir-i-Maḥallátí</t>
  </si>
  <si>
    <t>Muḥammad-Báqir-i-Qá’iní</t>
  </si>
  <si>
    <t>Muḥammad-Báqir-i-Ratí</t>
  </si>
  <si>
    <t>Muḥammad-Báqir-Naq</t>
  </si>
  <si>
    <t>Muḥammad-Hádí</t>
  </si>
  <si>
    <t>Muḥammad-Hádíy-i-Farhádí</t>
  </si>
  <si>
    <t>Muḥammad-Hádíy-i-Ṣaḥḥáf</t>
  </si>
  <si>
    <t>Muḥammad-Ḥasan</t>
  </si>
  <si>
    <t>Muḥammad-Ḥasan-i-it-Sáz</t>
  </si>
  <si>
    <t>Muḥammad-Ḥasan-i-Najafí</t>
  </si>
  <si>
    <t>Muḥammad-Ḥasan-i-Qazvíní</t>
  </si>
  <si>
    <t>Muḥammad-Ḥusayn</t>
  </si>
  <si>
    <t>Muḥammad-Ḥusayn-i-ʿAṭṭár</t>
  </si>
  <si>
    <t>Muḥammad-Ḥusayn-i-Ḥakamiy-i-Kirmání</t>
  </si>
  <si>
    <t>Muḥammad-Ḥusayn-i-Káání</t>
  </si>
  <si>
    <t>Muḥammad-Ḥusayn-i-Kirmání</t>
  </si>
  <si>
    <t>Muḥammad-Ḥusayn-i-Maraih’í</t>
  </si>
  <si>
    <t>Muḥammad-i-Ádhirbayjání</t>
  </si>
  <si>
    <t>Muḥammad-i-Abarí</t>
  </si>
  <si>
    <t>Muḥammad-i-ʿAúr</t>
  </si>
  <si>
    <t>Muḥammad-i-Balʿamí</t>
  </si>
  <si>
    <t>Muḥammad-i-Banná</t>
  </si>
  <si>
    <t>Muḥammad-i-Báqir-Naq</t>
  </si>
  <si>
    <t>Muḥammad-i-Bayigání</t>
  </si>
  <si>
    <t>Muḥammad-ibn-i-Muḥsin</t>
  </si>
  <si>
    <t>Muḥammad-ibn-i-Mullá</t>
  </si>
  <si>
    <t>Muḥammad-ibn-i-iblu’l-ʿAráqí</t>
  </si>
  <si>
    <t>Muḥammad-ibn-i-ʿUmán</t>
  </si>
  <si>
    <t>Muḥammad-ibn-i-Yaʿqúb</t>
  </si>
  <si>
    <t>Muḥammad-Ibráhím</t>
  </si>
  <si>
    <t>Muḥammad-Ibráhím-i-Kalbásí</t>
  </si>
  <si>
    <t>Muḥammad-Ibráhím-i-Tabrízí</t>
  </si>
  <si>
    <t>Muḥammad-i-Furúí</t>
  </si>
  <si>
    <t>Muḥammad-i-Gulpáygání</t>
  </si>
  <si>
    <t>Muḥammad-i-Ḥamzih</t>
  </si>
  <si>
    <t>Muḥammad-i-Ḥaná-Sáb</t>
  </si>
  <si>
    <t>Muḥammad-i-Ḥusayn</t>
  </si>
  <si>
    <t>Muḥammad-i-Iṣfahání</t>
  </si>
  <si>
    <t>Muḥammad-i-Karrádí</t>
  </si>
  <si>
    <t>Muḥammad-i-urásání</t>
  </si>
  <si>
    <t>Muḥammad-i-Mamaqání</t>
  </si>
  <si>
    <t>Muḥammad-i-Manádí</t>
  </si>
  <si>
    <t>Muḥammad-i-Mázindarání</t>
  </si>
  <si>
    <t>Muḥammad-i-Muʿallim-i-Núrí</t>
  </si>
  <si>
    <t>Muḥammad-i-Mukárí</t>
  </si>
  <si>
    <t>Muḥammad-i-Muṣṭafáy-i-Badádí</t>
  </si>
  <si>
    <t>Muḥammad-i-Núrí</t>
  </si>
  <si>
    <t>Muḥammad-i-Qá’iní</t>
  </si>
  <si>
    <t>Muḥammad-i-Qazvíní</t>
  </si>
  <si>
    <t>Muḥammad-i-Ṣarráf</t>
  </si>
  <si>
    <t>Muḥammad-i-ibl</t>
  </si>
  <si>
    <t>Muḥammad-Ismá’íl</t>
  </si>
  <si>
    <t>Muḥammad-Ismá’íl-i-abíḥ</t>
  </si>
  <si>
    <t>Muḥammad-i-Tabrízí</t>
  </si>
  <si>
    <t>Muḥammad-i-Túp-í</t>
  </si>
  <si>
    <t>Muḥammad-i-Vakíl</t>
  </si>
  <si>
    <t>Muḥammadiyyih</t>
  </si>
  <si>
    <t>Muḥammad-i-Zarandí</t>
  </si>
  <si>
    <t>Muḥammad-i-Záriʿ</t>
  </si>
  <si>
    <t>Muḥammad-Jaʿfar</t>
  </si>
  <si>
    <t>Muḥammad-Jaʿfar-i-Ábádiyí</t>
  </si>
  <si>
    <t>Muḥammad-Ján</t>
  </si>
  <si>
    <t>Muḥammad-Javád</t>
  </si>
  <si>
    <t>Muḥammad-Javád-i-Farhádí</t>
  </si>
  <si>
    <t>Muḥammad-Javád-i-Qasvíní</t>
  </si>
  <si>
    <t>Muḥammad-Kamál</t>
  </si>
  <si>
    <t>Muḥammad-Karím</t>
  </si>
  <si>
    <t>Muḥammad-Karím-i-ʿAṭṭár</t>
  </si>
  <si>
    <t>Muḥammad-Káẓim</t>
  </si>
  <si>
    <t>Muḥammad-Mahvalatiy-i-Dú-Ábádí</t>
  </si>
  <si>
    <t>Muḥammad-Mihdí</t>
  </si>
  <si>
    <t>Muḥammad-Mihdíy-i-Kandí</t>
  </si>
  <si>
    <t>Muḥammad-Músá</t>
  </si>
  <si>
    <t>Muḥammad-Muṣṭafá</t>
  </si>
  <si>
    <t>Muḥammad-Qulí</t>
  </si>
  <si>
    <t>Muḥammad-Raḥím</t>
  </si>
  <si>
    <t>Muḥammad-Riḍá</t>
  </si>
  <si>
    <t>Muḥammad-Riḍáy-i-Iṣfahání</t>
  </si>
  <si>
    <t>Muḥammad-Riḍáy-i-Manadí</t>
  </si>
  <si>
    <t>Muḥammad-Riḍáy-i-Pá-Qalʿihʼí</t>
  </si>
  <si>
    <t>Muḥammad-Riḍáy-i-Qannád-i-írází</t>
  </si>
  <si>
    <t>Muḥammad-Riḍáy-i-írází</t>
  </si>
  <si>
    <t>Muḥammad-Riḍáy-i-Yazdí</t>
  </si>
  <si>
    <t>Muḥammad-Ṣádiq</t>
  </si>
  <si>
    <t>Muḥammad-Ṣádiq-i-urásání</t>
  </si>
  <si>
    <t>Muḥammad-Ṣádiq-i-Muqaddas</t>
  </si>
  <si>
    <t>Muḥammad-Saʿíd</t>
  </si>
  <si>
    <t>Muḥammad-Sulṭán</t>
  </si>
  <si>
    <t>Muḥammad-Taqí</t>
  </si>
  <si>
    <t>Muḥammad-Taqíy-i-Haraví</t>
  </si>
  <si>
    <t>Muḥammad-Taqíy-i-Hirátí</t>
  </si>
  <si>
    <t>Muḥammad-Taqíy-i-Juvayní</t>
  </si>
  <si>
    <t>Muḥammad-Taqíy-i-Juvayníy-i-Sabzivárí</t>
  </si>
  <si>
    <t>Muḥammad-Taqíy-i-Kirmání</t>
  </si>
  <si>
    <t>Muḥammad-Taqíy-i-Milání</t>
  </si>
  <si>
    <t>Muḥammad-Taqíy-i-Najafí</t>
  </si>
  <si>
    <t>Muḥammad-Taqíy-i-Núrí</t>
  </si>
  <si>
    <t>Muḥammad-Taqíy-i-Qarailí</t>
  </si>
  <si>
    <t>Muḥammad-Túp-í</t>
  </si>
  <si>
    <t>Muḥammad-Yúsif</t>
  </si>
  <si>
    <t>Muḥammarih</t>
  </si>
  <si>
    <t>Muhandisí</t>
  </si>
  <si>
    <t>Muhandisu’l-Mamálik</t>
  </si>
  <si>
    <t>Muḥaqqiq</t>
  </si>
  <si>
    <t>Muḥaqqiqín</t>
  </si>
  <si>
    <t>Muḥarram</t>
  </si>
  <si>
    <t>Muḥibbu’s-Sulṭán</t>
  </si>
  <si>
    <t>Muḥíṭ</t>
  </si>
  <si>
    <t>Muḥíṭ-i-Kirmání</t>
  </si>
  <si>
    <t>Muḥíṭ-i-áʿir-i-Kirmání</t>
  </si>
  <si>
    <t>Muḥmmadíyyih</t>
  </si>
  <si>
    <t>Muḥmúd</t>
  </si>
  <si>
    <t>Muḥriqu’l-Qulúb</t>
  </si>
  <si>
    <t>Muḥsin-i-Káẓimí</t>
  </si>
  <si>
    <t>Muḥyi’d-Dín</t>
  </si>
  <si>
    <t>Muḥyi’d-Dín-i-ʿArabí</t>
  </si>
  <si>
    <t>Muʿíná</t>
  </si>
  <si>
    <t>Muʿín-i-alvat</t>
  </si>
  <si>
    <t>Muʿínu’d-Dín</t>
  </si>
  <si>
    <t>Muʿínu’l-Mulk</t>
  </si>
  <si>
    <t>Muʿínu’s-Salṭanih</t>
  </si>
  <si>
    <t>Muʿjizih</t>
  </si>
  <si>
    <t>Muaddarih</t>
  </si>
  <si>
    <t>Mubiru’d-Dawlih</t>
  </si>
  <si>
    <t>Muliṣún</t>
  </si>
  <si>
    <t>Mutárí</t>
  </si>
  <si>
    <t>Mulk</t>
  </si>
  <si>
    <t>Mullá-Báqir</t>
  </si>
  <si>
    <t>Mullá-Báí</t>
  </si>
  <si>
    <t>Mumtází</t>
  </si>
  <si>
    <t>Muná</t>
  </si>
  <si>
    <t>Munád</t>
  </si>
  <si>
    <t>Munádí</t>
  </si>
  <si>
    <t>Munádíy-i-ʿAhd</t>
  </si>
  <si>
    <t>Munáfiqún</t>
  </si>
  <si>
    <t>Munáját</t>
  </si>
  <si>
    <t>Munájátháy-i-Ṣíyám</t>
  </si>
  <si>
    <t>Munáẓirát-i-Díniyyih</t>
  </si>
  <si>
    <t>Muníb</t>
  </si>
  <si>
    <t>Muntaẓir</t>
  </si>
  <si>
    <t>Munṭaẓirí</t>
  </si>
  <si>
    <t>Muqaddas</t>
  </si>
  <si>
    <t>Muqarrabí</t>
  </si>
  <si>
    <t>Muqímí</t>
  </si>
  <si>
    <t>Muqímí-Ábyánih</t>
  </si>
  <si>
    <t>Murád</t>
  </si>
  <si>
    <t>Murádíyyih</t>
  </si>
  <si>
    <t>Murásilát</t>
  </si>
  <si>
    <t>Muravvihu’s-Salṭanih</t>
  </si>
  <si>
    <t>Múrih</t>
  </si>
  <si>
    <t>Múrih-ár</t>
  </si>
  <si>
    <t>Mur-Maḥallih</t>
  </si>
  <si>
    <t>Múrih</t>
  </si>
  <si>
    <t>Murid</t>
  </si>
  <si>
    <t>Murtaḍá</t>
  </si>
  <si>
    <t>Murtaḍá-Qulí</t>
  </si>
  <si>
    <t>Murtaḍáy-i-Anṣárí</t>
  </si>
  <si>
    <t>Músá</t>
  </si>
  <si>
    <t>Muṣáfiḥih</t>
  </si>
  <si>
    <t>Musáfir</t>
  </si>
  <si>
    <t>Musáfirid</t>
  </si>
  <si>
    <t>Músá-Káẓim</t>
  </si>
  <si>
    <t>Musairín</t>
  </si>
  <si>
    <t>Muṣallá</t>
  </si>
  <si>
    <t>Músa’r-Riḍá</t>
  </si>
  <si>
    <t>musávát</t>
  </si>
  <si>
    <t>Músáy-i-Bahrayní</t>
  </si>
  <si>
    <t>Músáy-i-Kalím</t>
  </si>
  <si>
    <t>Músáy-i-Káẓim</t>
  </si>
  <si>
    <t>Músáy-i-Qumí</t>
  </si>
  <si>
    <t>Muáʿirih</t>
  </si>
  <si>
    <t>Muaʿaʿ</t>
  </si>
  <si>
    <t>Muávir</t>
  </si>
  <si>
    <t>Muáviru’l-Mamálik</t>
  </si>
  <si>
    <t>Múih</t>
  </si>
  <si>
    <t>Muír</t>
  </si>
  <si>
    <t>Muíru’d-Dawlih</t>
  </si>
  <si>
    <t>Mukán</t>
  </si>
  <si>
    <t>Murikún</t>
  </si>
  <si>
    <t>Mutaʿil-Uskú’í</t>
  </si>
  <si>
    <t>Muṣíbat-i-Ḥurúfát-i-ʿÁlíyát</t>
  </si>
  <si>
    <t>Muṣliḥu’d-Dín</t>
  </si>
  <si>
    <t>Muṣṭafá-Qulí</t>
  </si>
  <si>
    <t>Mustaá</t>
  </si>
  <si>
    <t>Mustaqím</t>
  </si>
  <si>
    <t>Mustawfí</t>
  </si>
  <si>
    <t>Mustawfíyu’l-Mamálik</t>
  </si>
  <si>
    <t>Mustawfíyu’l-Mamálik-i-Atiyání</t>
  </si>
  <si>
    <t>Mustayqiẓ</t>
  </si>
  <si>
    <t>Musalmán</t>
  </si>
  <si>
    <t>Mutaʿáliyyih</t>
  </si>
  <si>
    <t>Muṭahhar</t>
  </si>
  <si>
    <t>Muṭahharí</t>
  </si>
  <si>
    <t>Muʿtamidí</t>
  </si>
  <si>
    <t>Muʿtamid</t>
  </si>
  <si>
    <t>Muʿtamidu’d-Dawlih</t>
  </si>
  <si>
    <t>Muʿtamidu’s-Salṭanih</t>
  </si>
  <si>
    <t>Mutaṣarrif</t>
  </si>
  <si>
    <t>Mutaábih</t>
  </si>
  <si>
    <t>Mutaábihát</t>
  </si>
  <si>
    <t>Mutaarríʿ</t>
  </si>
  <si>
    <t>Muʿtaṣim</t>
  </si>
  <si>
    <t>Muʿtaṣim-Bi’lláh</t>
  </si>
  <si>
    <t>Mutavallí</t>
  </si>
  <si>
    <t>Mutawakkilún</t>
  </si>
  <si>
    <t>Mutiṣarrif</t>
  </si>
  <si>
    <t>Muṭlaq</t>
  </si>
  <si>
    <t>Muṭṭalib</t>
  </si>
  <si>
    <t>Muvaḥḥid</t>
  </si>
  <si>
    <t>Muvarri</t>
  </si>
  <si>
    <t>Muvását</t>
  </si>
  <si>
    <t>Muẓaffari’d-Dín</t>
  </si>
  <si>
    <t>Muẓaffaru’l-Mulk</t>
  </si>
  <si>
    <t>Nabí</t>
  </si>
  <si>
    <t>Nabíl</t>
  </si>
  <si>
    <t>Nabíl-i-Akbar</t>
  </si>
  <si>
    <t>Nabíl-i-Qá’iní</t>
  </si>
  <si>
    <t>Nabíl-i-Zarandí</t>
  </si>
  <si>
    <t>Nabílu’d-Dawlih</t>
  </si>
  <si>
    <t>Nabílzádih</t>
  </si>
  <si>
    <t>Nabíu’lláh</t>
  </si>
  <si>
    <t>Nád-ʿAlí</t>
  </si>
  <si>
    <t>Nád-ʿAlíy-i-Mutavallí</t>
  </si>
  <si>
    <t>Nádir</t>
  </si>
  <si>
    <t>Nádirí</t>
  </si>
  <si>
    <t>Naḍr-Ibn-i-Ḥári</t>
  </si>
  <si>
    <t>Nafs</t>
  </si>
  <si>
    <t>Nahávandí</t>
  </si>
  <si>
    <t>Náhíd</t>
  </si>
  <si>
    <t>Nahrí</t>
  </si>
  <si>
    <t>Naḥví</t>
  </si>
  <si>
    <t>Ná’ib</t>
  </si>
  <si>
    <t>Ná’ib-i-áṣṣ</t>
  </si>
  <si>
    <t>Ná’ibu’l-Iyálih</t>
  </si>
  <si>
    <t>Ná’ibu’s-Salṭanih</t>
  </si>
  <si>
    <t>Naʿím</t>
  </si>
  <si>
    <t>Naʿímí</t>
  </si>
  <si>
    <t>Naʿímíyán</t>
  </si>
  <si>
    <t>Najaf-Ábád</t>
  </si>
  <si>
    <t>Najaf-Ábádí</t>
  </si>
  <si>
    <t>Najaf-ʿAlí</t>
  </si>
  <si>
    <t>Najaf-ʿAlíy-i-Zanjání</t>
  </si>
  <si>
    <t>Najafí</t>
  </si>
  <si>
    <t>Najáḥ</t>
  </si>
  <si>
    <t>najását</t>
  </si>
  <si>
    <t>Nají</t>
  </si>
  <si>
    <t>Najíb</t>
  </si>
  <si>
    <t>Najíbíyyih</t>
  </si>
  <si>
    <t>Najmábádí</t>
  </si>
  <si>
    <t>Najavání</t>
  </si>
  <si>
    <t>Náud</t>
  </si>
  <si>
    <t>Nuud</t>
  </si>
  <si>
    <t>Nám</t>
  </si>
  <si>
    <t>namáyand</t>
  </si>
  <si>
    <t>Naʿmayn</t>
  </si>
  <si>
    <t>Namáz-ánih</t>
  </si>
  <si>
    <t>Námih</t>
  </si>
  <si>
    <t>Námiq</t>
  </si>
  <si>
    <t>Námiq-Páá</t>
  </si>
  <si>
    <t>Námiy-i-Dánivarán</t>
  </si>
  <si>
    <t>Nán</t>
  </si>
  <si>
    <t>Naqḍ</t>
  </si>
  <si>
    <t>Naqí</t>
  </si>
  <si>
    <t>Naqíb</t>
  </si>
  <si>
    <t>Náqiḍ</t>
  </si>
  <si>
    <t>Náqiḍín</t>
  </si>
  <si>
    <t>Náqiḍu’l-Míáq</t>
  </si>
  <si>
    <t>Naqqá-Báí</t>
  </si>
  <si>
    <t>Naqbandí</t>
  </si>
  <si>
    <t>Naqbandíyyih</t>
  </si>
  <si>
    <t>Naq-i-Fíl</t>
  </si>
  <si>
    <t>Nár</t>
  </si>
  <si>
    <t>Naráq</t>
  </si>
  <si>
    <t>Naráqí</t>
  </si>
  <si>
    <t>Nargis-átún</t>
  </si>
  <si>
    <t>Narímán</t>
  </si>
  <si>
    <t>Narín</t>
  </si>
  <si>
    <t>Náriz</t>
  </si>
  <si>
    <t>Náṣi</t>
  </si>
  <si>
    <t>Naṣíḥat</t>
  </si>
  <si>
    <t>Nási</t>
  </si>
  <si>
    <t>Naṣír</t>
  </si>
  <si>
    <t>Náṣir</t>
  </si>
  <si>
    <t>Naṣírábádí</t>
  </si>
  <si>
    <t>Náṣirí</t>
  </si>
  <si>
    <t>Náṣiri’d-Dín</t>
  </si>
  <si>
    <t>Náṣiri’d-Dín-i-Ṭúsí</t>
  </si>
  <si>
    <t>Náṣiri’d-Qazvíní</t>
  </si>
  <si>
    <t>Náṣir-i-Kabír</t>
  </si>
  <si>
    <t>Náṣir-i-Qazvíní</t>
  </si>
  <si>
    <t>Náṣir-Qulí</t>
  </si>
  <si>
    <t>Naṣr</t>
  </si>
  <si>
    <t>Naṣru’lláh</t>
  </si>
  <si>
    <t>Naṣru’l-Mulk</t>
  </si>
  <si>
    <t>Naṣṣ</t>
  </si>
  <si>
    <t>Nastaʿlíq</t>
  </si>
  <si>
    <t>Násút</t>
  </si>
  <si>
    <t>Náṭiqih</t>
  </si>
  <si>
    <t>Navíd</t>
  </si>
  <si>
    <t>Navváb</t>
  </si>
  <si>
    <t>Navváb-i-Raḍaví</t>
  </si>
  <si>
    <t>Naw</t>
  </si>
  <si>
    <t>Naw-Batí</t>
  </si>
  <si>
    <t>Núrá</t>
  </si>
  <si>
    <t>Naw-Rúz</t>
  </si>
  <si>
    <t>Naw-Rúz-ʿAlí</t>
  </si>
  <si>
    <t>Nawrúzí-Íránzád</t>
  </si>
  <si>
    <t>Náyibu’s-Salṭanih</t>
  </si>
  <si>
    <t>Náyin</t>
  </si>
  <si>
    <t>Nayrízí</t>
  </si>
  <si>
    <t>Nayyirí-Iṣfahání</t>
  </si>
  <si>
    <t>Naẓar</t>
  </si>
  <si>
    <t>Naẓar-ʿAlí</t>
  </si>
  <si>
    <t>Náẓim</t>
  </si>
  <si>
    <t>Naẓír</t>
  </si>
  <si>
    <t>Ník</t>
  </si>
  <si>
    <t>Niʿmatu’lláh</t>
  </si>
  <si>
    <t>Niʿmatu’lláhí</t>
  </si>
  <si>
    <t>Niʿmatu’lláh-i-Amulí</t>
  </si>
  <si>
    <t>Niʿmatu’lláh-i-Bárfurúí</t>
  </si>
  <si>
    <t>Niʿmatu’lláh-i-Mázindarání</t>
  </si>
  <si>
    <t>Ním-Ávard</t>
  </si>
  <si>
    <t>Nírúmand</t>
  </si>
  <si>
    <t>Nisáʼ</t>
  </si>
  <si>
    <t>Niṣáb</t>
  </si>
  <si>
    <t>Nísán</t>
  </si>
  <si>
    <t>Niṣf-i-Jahán</t>
  </si>
  <si>
    <t>Níápúr</t>
  </si>
  <si>
    <t>Níápúrí</t>
  </si>
  <si>
    <t>Niṣíbín</t>
  </si>
  <si>
    <t>Nissá</t>
  </si>
  <si>
    <t>níst</t>
  </si>
  <si>
    <t>Níst Púl</t>
  </si>
  <si>
    <t>Nivitih</t>
  </si>
  <si>
    <t>Niyábí</t>
  </si>
  <si>
    <t>Níyákán</t>
  </si>
  <si>
    <t>Níyálá</t>
  </si>
  <si>
    <t>Níyávarán</t>
  </si>
  <si>
    <t>Níyáz-i-Badádí</t>
  </si>
  <si>
    <t>Niẓám</t>
  </si>
  <si>
    <t>Niẓámí</t>
  </si>
  <si>
    <t>Niẓámi’d-Dín</t>
  </si>
  <si>
    <t>Niẓám-i-Dín</t>
  </si>
  <si>
    <t>Niẓámiy-i-Ganjaví</t>
  </si>
  <si>
    <t>Niẓámu’d-Dawlih</t>
  </si>
  <si>
    <t>Niẓámu’l-Mulk</t>
  </si>
  <si>
    <t>Niẓámu’l-ʿUlamá</t>
  </si>
  <si>
    <t>Núrayn-i-Nayyirayn</t>
  </si>
  <si>
    <t>Nubuvvat-i-assih</t>
  </si>
  <si>
    <t>Nudbih</t>
  </si>
  <si>
    <t>Nujabá</t>
  </si>
  <si>
    <t>Núk</t>
  </si>
  <si>
    <t>Nún</t>
  </si>
  <si>
    <t>Nuqabá</t>
  </si>
  <si>
    <t>Nuqṭih</t>
  </si>
  <si>
    <t>Nuqṭatuʼl-Avvaliyyih</t>
  </si>
  <si>
    <t>Nuqṭatu’l-Káf</t>
  </si>
  <si>
    <t>Nuqṭiy-i-Bayán</t>
  </si>
  <si>
    <t>Nuqṭiy-i-Urá</t>
  </si>
  <si>
    <t>Nuqṭiy-i-Úlá</t>
  </si>
  <si>
    <t>Núr-ʿAlí</t>
  </si>
  <si>
    <t>Núrání</t>
  </si>
  <si>
    <t>Núrí</t>
  </si>
  <si>
    <t>Núri’d-Dín-i-Zayn</t>
  </si>
  <si>
    <t>Núr-Muḥammad</t>
  </si>
  <si>
    <t>Núru’lláh</t>
  </si>
  <si>
    <t>Nuṣayr</t>
  </si>
  <si>
    <t>Nuṣayrí</t>
  </si>
  <si>
    <t>Nuṣayríyyih</t>
  </si>
  <si>
    <t>Nú-i-ján</t>
  </si>
  <si>
    <t>Nuṣrat</t>
  </si>
  <si>
    <t>Nuṣratu’d-Dawlih</t>
  </si>
  <si>
    <t>Nuṣratu’d-Dín</t>
  </si>
  <si>
    <t>Pádiáh</t>
  </si>
  <si>
    <t>Pahlaván</t>
  </si>
  <si>
    <t>Pahlaví</t>
  </si>
  <si>
    <t>Pákistán</t>
  </si>
  <si>
    <t>Pákistání</t>
  </si>
  <si>
    <t>Panjih-Síyáh</t>
  </si>
  <si>
    <t>Panj-Maʿádin</t>
  </si>
  <si>
    <t>Panj-anbih-Bázár</t>
  </si>
  <si>
    <t>Par</t>
  </si>
  <si>
    <t>Párán</t>
  </si>
  <si>
    <t>Pari</t>
  </si>
  <si>
    <t>Paríán</t>
  </si>
  <si>
    <t>Párízí</t>
  </si>
  <si>
    <t>Parpá</t>
  </si>
  <si>
    <t>Pársí</t>
  </si>
  <si>
    <t>Parvín</t>
  </si>
  <si>
    <t>Parvíz</t>
  </si>
  <si>
    <t>Páá</t>
  </si>
  <si>
    <t>Pááy-i-Qibrisí</t>
  </si>
  <si>
    <t>Payámbar</t>
  </si>
  <si>
    <t>Paymán</t>
  </si>
  <si>
    <t>Payraví</t>
  </si>
  <si>
    <t>Píán</t>
  </si>
  <si>
    <t>Píih</t>
  </si>
  <si>
    <t>Pidar-Ján</t>
  </si>
  <si>
    <t>Pír</t>
  </si>
  <si>
    <t>Pír-Murád</t>
  </si>
  <si>
    <t>Pídádíyán</t>
  </si>
  <si>
    <t>Píki</t>
  </si>
  <si>
    <t>Pí-Namáz</t>
  </si>
  <si>
    <t>pí pí</t>
  </si>
  <si>
    <t>Púl</t>
  </si>
  <si>
    <t>Pursi</t>
  </si>
  <si>
    <t>Púr-Ustádkár</t>
  </si>
  <si>
    <t>Pústí</t>
  </si>
  <si>
    <t>Qabá</t>
  </si>
  <si>
    <t>Qabl-i-Akbar</t>
  </si>
  <si>
    <t>Qábús-Námih</t>
  </si>
  <si>
    <t>Qaḍá</t>
  </si>
  <si>
    <t>Qáḍí</t>
  </si>
  <si>
    <t>Qad-Iḥtaraqa’l-Muliṣún</t>
  </si>
  <si>
    <t>Qáḍí-Kalá</t>
  </si>
  <si>
    <t>Qadím</t>
  </si>
  <si>
    <t>Qadímí</t>
  </si>
  <si>
    <t>Qadír</t>
  </si>
  <si>
    <t>Qádir</t>
  </si>
  <si>
    <t>Qádirí</t>
  </si>
  <si>
    <t>Qádiríyyih</t>
  </si>
  <si>
    <t>Qádíyán</t>
  </si>
  <si>
    <t>Qádíyání</t>
  </si>
  <si>
    <t>Qáf</t>
  </si>
  <si>
    <t>Qáhirih</t>
  </si>
  <si>
    <t>Qahru’lláh</t>
  </si>
  <si>
    <t>Qahtán</t>
  </si>
  <si>
    <t>Qahvih-í</t>
  </si>
  <si>
    <t>Qahviyih-i-Awlíyá</t>
  </si>
  <si>
    <t>Qahviyi-ánigí</t>
  </si>
  <si>
    <t>Qá’im-i-ʿAlí-Muḥammad</t>
  </si>
  <si>
    <t>Qá’imíyyat</t>
  </si>
  <si>
    <t>Qá’im-Maqám</t>
  </si>
  <si>
    <t>Qá’in</t>
  </si>
  <si>
    <t>Qá’iní</t>
  </si>
  <si>
    <t>Qájár</t>
  </si>
  <si>
    <t>Qájáriyyih</t>
  </si>
  <si>
    <t>Qalam-Dán</t>
  </si>
  <si>
    <t>Qalandar</t>
  </si>
  <si>
    <t>Qalʿih</t>
  </si>
  <si>
    <t>Qalʿiy-i-ʿAtiparastán</t>
  </si>
  <si>
    <t>Qalyán</t>
  </si>
  <si>
    <t>Qambar-ʿAlí</t>
  </si>
  <si>
    <t>Qambar-Kali</t>
  </si>
  <si>
    <t>Qamṣar</t>
  </si>
  <si>
    <t>Qanát</t>
  </si>
  <si>
    <t>Qannád</t>
  </si>
  <si>
    <t>qánún-i-án</t>
  </si>
  <si>
    <t>Qarábat</t>
  </si>
  <si>
    <t>Qarauzlú</t>
  </si>
  <si>
    <t>Qara-Gawhar</t>
  </si>
  <si>
    <t>Qáran</t>
  </si>
  <si>
    <t>Qara-Sú</t>
  </si>
  <si>
    <t>Qár</t>
  </si>
  <si>
    <t>Qárún</t>
  </si>
  <si>
    <t>Qáan</t>
  </si>
  <si>
    <t>Qaṣídih</t>
  </si>
  <si>
    <t>Qasídiy-i-Tá’íyyih</t>
  </si>
  <si>
    <t>Qásim</t>
  </si>
  <si>
    <t>Qásim-i-Nayrízí</t>
  </si>
  <si>
    <t>Qaṣr</t>
  </si>
  <si>
    <t>Qaṣr-i-írín</t>
  </si>
  <si>
    <t>Qaṣṣábí</t>
  </si>
  <si>
    <t>Quṭr</t>
  </si>
  <si>
    <t>Qaṭʿiyyih</t>
  </si>
  <si>
    <t>Qavámu’l-Mulk</t>
  </si>
  <si>
    <t>Qawl</t>
  </si>
  <si>
    <t>Qayṣar</t>
  </si>
  <si>
    <t>Qayyúm</t>
  </si>
  <si>
    <t>Qayyúmu’l-Asmá’</t>
  </si>
  <si>
    <t>Qazvín</t>
  </si>
  <si>
    <t>Qazvíní</t>
  </si>
  <si>
    <t>Qiblih</t>
  </si>
  <si>
    <t>Qibliy-i-ʿÁlam</t>
  </si>
  <si>
    <t>qirán</t>
  </si>
  <si>
    <t>Qiṣáṣ</t>
  </si>
  <si>
    <t>Qiṣaṣu’l-ʿUlamá</t>
  </si>
  <si>
    <t>Qiláq</t>
  </si>
  <si>
    <t>Qiyámat</t>
  </si>
  <si>
    <t>Qiyás</t>
  </si>
  <si>
    <t>Quvà</t>
  </si>
  <si>
    <t>Qubbata’ṣ-Ṣarih</t>
  </si>
  <si>
    <t>Qúán</t>
  </si>
  <si>
    <t>Qú-Ḥiṣár</t>
  </si>
  <si>
    <t>Qudrat</t>
  </si>
  <si>
    <t>Qudratu’lláh</t>
  </si>
  <si>
    <t>Qudsí</t>
  </si>
  <si>
    <t>Qudsíyyih</t>
  </si>
  <si>
    <t>Qulí</t>
  </si>
  <si>
    <t>Qulí-án</t>
  </si>
  <si>
    <t>Qulíy-i-Sabzivárí</t>
  </si>
  <si>
    <t>Qulúb</t>
  </si>
  <si>
    <t>Qum</t>
  </si>
  <si>
    <t>Qumí</t>
  </si>
  <si>
    <t>Qumrúd</t>
  </si>
  <si>
    <t>Qurbán</t>
  </si>
  <si>
    <t>Qurbán-ʿAlí</t>
  </si>
  <si>
    <t>Qurbán-ʿAlíy-i-Banná</t>
  </si>
  <si>
    <t>Qurbánpúr</t>
  </si>
  <si>
    <t>Qurratu’l-ʿAyn</t>
  </si>
  <si>
    <t>Quṭb</t>
  </si>
  <si>
    <t>Quṭbu’d-Dín</t>
  </si>
  <si>
    <t>Rá</t>
  </si>
  <si>
    <t>Rabb</t>
  </si>
  <si>
    <t>Rabbání</t>
  </si>
  <si>
    <t>Rabbí</t>
  </si>
  <si>
    <t>Rabb-i-Aʿlá</t>
  </si>
  <si>
    <t>Rabbíya’l-Abhá</t>
  </si>
  <si>
    <t>Rabíʿ</t>
  </si>
  <si>
    <t>Rábíʿih</t>
  </si>
  <si>
    <t>Rabíʿu’l-Avval</t>
  </si>
  <si>
    <t>Rabíʿu’-ání</t>
  </si>
  <si>
    <t>Rabqá</t>
  </si>
  <si>
    <t>Raḍiya’r-Rúḥ</t>
  </si>
  <si>
    <t>Raḍaví</t>
  </si>
  <si>
    <t>Raḍiyu’d-Dín</t>
  </si>
  <si>
    <t>Radíd</t>
  </si>
  <si>
    <t>Ráḍiyyih</t>
  </si>
  <si>
    <t>Rafá’íl</t>
  </si>
  <si>
    <t>Rafíʿ</t>
  </si>
  <si>
    <t>Ráfiʿ</t>
  </si>
  <si>
    <t>Ráfiḍí</t>
  </si>
  <si>
    <t>Rafíʿ-i-ayyáṭ</t>
  </si>
  <si>
    <t>Rafsanján</t>
  </si>
  <si>
    <t>Rafúʿá</t>
  </si>
  <si>
    <t>Ráḥil</t>
  </si>
  <si>
    <t>Raḥím</t>
  </si>
  <si>
    <t>Rahímíyán</t>
  </si>
  <si>
    <t>Raḥím-i-Zanjání</t>
  </si>
  <si>
    <t>Raḥímán</t>
  </si>
  <si>
    <t>Raḥímpúr</t>
  </si>
  <si>
    <t>Raḥíq-i-Matúm</t>
  </si>
  <si>
    <t>Raḥmán</t>
  </si>
  <si>
    <t>Raḥmání</t>
  </si>
  <si>
    <t>Raḥmat</t>
  </si>
  <si>
    <t>Raḥmatu’lláh</t>
  </si>
  <si>
    <t>Ra’ís</t>
  </si>
  <si>
    <t>Rajab</t>
  </si>
  <si>
    <t>Rajab-ʿAlí</t>
  </si>
  <si>
    <t>Rajab-i-Ḥaddád</t>
  </si>
  <si>
    <t>Rájis</t>
  </si>
  <si>
    <t>Ra</t>
  </si>
  <si>
    <t>Ramaḍán</t>
  </si>
  <si>
    <t>Rámín</t>
  </si>
  <si>
    <t>Raqá</t>
  </si>
  <si>
    <t>Raqá’</t>
  </si>
  <si>
    <t>Rasá’il</t>
  </si>
  <si>
    <t>Raḥ-i-ʿAmá</t>
  </si>
  <si>
    <t>Raíd</t>
  </si>
  <si>
    <t>Raídu’s-Sulṭán</t>
  </si>
  <si>
    <t>Rat</t>
  </si>
  <si>
    <t>Ratí</t>
  </si>
  <si>
    <t>Rási</t>
  </si>
  <si>
    <t>Rastáq</t>
  </si>
  <si>
    <t>Rasúl</t>
  </si>
  <si>
    <t>Rasúl-i-Bahnimírí</t>
  </si>
  <si>
    <t>Rasúlu’lláh</t>
  </si>
  <si>
    <t>Rawḍih</t>
  </si>
  <si>
    <t>Rawḍih-án</t>
  </si>
  <si>
    <t>Rawḍat</t>
  </si>
  <si>
    <t>Rawḍatu’ṣ-Ṣafá</t>
  </si>
  <si>
    <t>Rawḍih-ání</t>
  </si>
  <si>
    <t>Rawḍih-án-i-Yazdí</t>
  </si>
  <si>
    <t>Rawḍíy-i-Káfí</t>
  </si>
  <si>
    <t>Rúḥ</t>
  </si>
  <si>
    <t>Rawḥání</t>
  </si>
  <si>
    <t>Rawaní</t>
  </si>
  <si>
    <t>Rawyá</t>
  </si>
  <si>
    <t>Rayḥán</t>
  </si>
  <si>
    <t>Razzáq</t>
  </si>
  <si>
    <t>Riḍá</t>
  </si>
  <si>
    <t>Riḍá’íyyih</t>
  </si>
  <si>
    <t>Riḍá-Qulí</t>
  </si>
  <si>
    <t>Ridá-Qulíy-i-Tafrií</t>
  </si>
  <si>
    <t>Riḍáy-i-ʿArab</t>
  </si>
  <si>
    <t>Riḍáy-i-urásání</t>
  </si>
  <si>
    <t>Riḍáy-i-Qannád</t>
  </si>
  <si>
    <t>Riḍáy-i-Ṣaffár</t>
  </si>
  <si>
    <t>Riḍáy-i-Sardár</t>
  </si>
  <si>
    <t>Riḍá-áh</t>
  </si>
  <si>
    <t>Riḍvání</t>
  </si>
  <si>
    <t>Riḍváníyyih</t>
  </si>
  <si>
    <t>Riḍvánu’l-ʿAdl</t>
  </si>
  <si>
    <t>Riḍvánu’l-ʿAdlíyyih</t>
  </si>
  <si>
    <t>Riḍvánu’lláh</t>
  </si>
  <si>
    <t>Rijál</t>
  </si>
  <si>
    <t>Rijʿat</t>
  </si>
  <si>
    <t>Rikáb-Sáz</t>
  </si>
  <si>
    <t>rikʿat</t>
  </si>
  <si>
    <t>Rikʿát</t>
  </si>
  <si>
    <t>Rínú</t>
  </si>
  <si>
    <t>Risálat</t>
  </si>
  <si>
    <t>Risáliy-i-ʿAdlíyyih</t>
  </si>
  <si>
    <t>Risáliy-i-ʿAmmih</t>
  </si>
  <si>
    <t>Risáliy-i-Amríyyih</t>
  </si>
  <si>
    <t>Risáliy-i-Ayyám-i-Tisʿih</t>
  </si>
  <si>
    <t>Risáliy-i-ahabíyyih</t>
  </si>
  <si>
    <t>Risáliy-i-Fiqhíyyih</t>
  </si>
  <si>
    <t>Risáliy-i-Furúʿ-i-ʿAdlíyyih</t>
  </si>
  <si>
    <t>Risáliy-i-Iskandaríyyih</t>
  </si>
  <si>
    <t>Risáliy-i-áqáníyyih</t>
  </si>
  <si>
    <t>Risáliy-i-Madaníyyih</t>
  </si>
  <si>
    <t>Risáliy-i-Sulṭáníyyih</t>
  </si>
  <si>
    <t>Rí-Sifíd</t>
  </si>
  <si>
    <t>Ríz-Áb</t>
  </si>
  <si>
    <t>Rubáʿíyyát</t>
  </si>
  <si>
    <t>Rubáṭ-Karím</t>
  </si>
  <si>
    <t>Rúbín</t>
  </si>
  <si>
    <t>Rúd</t>
  </si>
  <si>
    <t>Rúdakí</t>
  </si>
  <si>
    <t>Rúdbár</t>
  </si>
  <si>
    <t>Rúḥá</t>
  </si>
  <si>
    <t>Rúḥangíz</t>
  </si>
  <si>
    <t>Rúḥání</t>
  </si>
  <si>
    <t>Rúḥániyyat</t>
  </si>
  <si>
    <t>Rúḥáníyyih</t>
  </si>
  <si>
    <t>Rúḥí</t>
  </si>
  <si>
    <t>Rúḥíyyih</t>
  </si>
  <si>
    <t>Rúḥu’l-Máʿání</t>
  </si>
  <si>
    <t>Rukn-i-Rábiʿ</t>
  </si>
  <si>
    <t>Ruknu’d-Dawlih</t>
  </si>
  <si>
    <t>Rúm</t>
  </si>
  <si>
    <t>Rúníz</t>
  </si>
  <si>
    <t>Rudí</t>
  </si>
  <si>
    <t>Rustam</t>
  </si>
  <si>
    <t>Rustam-ʿAlí</t>
  </si>
  <si>
    <t>Rúz</t>
  </si>
  <si>
    <t>Rúzbih</t>
  </si>
  <si>
    <t>Ríyáḍ</t>
  </si>
  <si>
    <t>Saʿádat</t>
  </si>
  <si>
    <t>Saʿádat-Ábád</t>
  </si>
  <si>
    <t>Ṣabbá</t>
  </si>
  <si>
    <t>Ṣabbaḥ</t>
  </si>
  <si>
    <t>Ṣabbáq</t>
  </si>
  <si>
    <t>Sabba</t>
  </si>
  <si>
    <t>Sábiqún</t>
  </si>
  <si>
    <t>Ṣábirán</t>
  </si>
  <si>
    <t>Ṣábirí</t>
  </si>
  <si>
    <t>Ṣábiríyán</t>
  </si>
  <si>
    <t>Ṣabr</t>
  </si>
  <si>
    <t>Ṣabrí</t>
  </si>
  <si>
    <t>Sabuktakín</t>
  </si>
  <si>
    <t>Sabzih-Maydán</t>
  </si>
  <si>
    <t>Sabzivár</t>
  </si>
  <si>
    <t>Sabzivarí</t>
  </si>
  <si>
    <t>Ṣád</t>
  </si>
  <si>
    <t>Saʿd</t>
  </si>
  <si>
    <t>Sádát</t>
  </si>
  <si>
    <t>Sádát-i-amsí</t>
  </si>
  <si>
    <t>Ṣaddám</t>
  </si>
  <si>
    <t>Saʿdí</t>
  </si>
  <si>
    <t>Sádih</t>
  </si>
  <si>
    <t>Ṣád-i-Iṣfahání</t>
  </si>
  <si>
    <t>Saʿd-i-Maʿá</t>
  </si>
  <si>
    <t>Ṣádiq</t>
  </si>
  <si>
    <t>Ṣádiqí</t>
  </si>
  <si>
    <t>Ṣádiq-i-urásání</t>
  </si>
  <si>
    <t>Ṣádiq-i-Muqaddas</t>
  </si>
  <si>
    <t>Ṣádiq-i-Ṭabáṭabá’í</t>
  </si>
  <si>
    <t>Ṣádiq-i-Tabrízí</t>
  </si>
  <si>
    <t>Ṣádiq-i-Yazdí</t>
  </si>
  <si>
    <t>Ṣádiqpúr</t>
  </si>
  <si>
    <t>Ṣádiqzádih</t>
  </si>
  <si>
    <t>Ṣadr</t>
  </si>
  <si>
    <t>Ṣadrá</t>
  </si>
  <si>
    <t>Ṣadráh</t>
  </si>
  <si>
    <t>Sadrat</t>
  </si>
  <si>
    <t>Sadratu’l-Muntahá</t>
  </si>
  <si>
    <t>Ṣadrí</t>
  </si>
  <si>
    <t>Ṣadr-i-Ardibílí</t>
  </si>
  <si>
    <t>Ṣadr-i-Aʿẓam</t>
  </si>
  <si>
    <t>Sadrih</t>
  </si>
  <si>
    <t>Ṣadr-i-Uṭáq</t>
  </si>
  <si>
    <t>Ṣadru’d-Dawlih</t>
  </si>
  <si>
    <t>Ṣadru’l-Aráf</t>
  </si>
  <si>
    <t>Ṣadru’l-ʿUlamá</t>
  </si>
  <si>
    <t>Ṣadru’ṣ-Ṣudúr</t>
  </si>
  <si>
    <t>Saʿdu’lláh</t>
  </si>
  <si>
    <t>Ṣafá</t>
  </si>
  <si>
    <t>Ṣafád</t>
  </si>
  <si>
    <t>Ṣafá’í</t>
  </si>
  <si>
    <t>Safar</t>
  </si>
  <si>
    <t>Ṣifr</t>
  </si>
  <si>
    <t>Ṣafar-ʿAlí</t>
  </si>
  <si>
    <t>Ṣafaví</t>
  </si>
  <si>
    <t>Ṣafavíyyih</t>
  </si>
  <si>
    <t>Ṣafí</t>
  </si>
  <si>
    <t>Ṣafí-ʿAlí</t>
  </si>
  <si>
    <t>Safíhu’l-ʿUlamá</t>
  </si>
  <si>
    <t>Ṣafí-Qulí</t>
  </si>
  <si>
    <t>Safír</t>
  </si>
  <si>
    <t>Ṣafíyyi’d-Dín</t>
  </si>
  <si>
    <t>Sag-i-Armaní</t>
  </si>
  <si>
    <t>Sag-imr</t>
  </si>
  <si>
    <t>Sag-imr-i-Ablaq</t>
  </si>
  <si>
    <t>Ṣahbá</t>
  </si>
  <si>
    <t>Ṣáḥib</t>
  </si>
  <si>
    <t>Ṣáḥib-Itíyár</t>
  </si>
  <si>
    <t>Ṣáḥib-Qiráníyyih</t>
  </si>
  <si>
    <t>Ṣáḥibu’z-Zamán</t>
  </si>
  <si>
    <t>Ṣaḥífih</t>
  </si>
  <si>
    <t>Ṣaḥífatu’l-Ḥaramayn</t>
  </si>
  <si>
    <t>Ṣaḥífiy-i-ʿAdlíyyih</t>
  </si>
  <si>
    <t>Ṣaḥífiy-i-Baynu’l-Ḥaramayn</t>
  </si>
  <si>
    <t>Ṣaḥífiy-i-Jaʿfaríyyih</t>
  </si>
  <si>
    <t>Ṣaḥífiy-i-Raḍavíyyih</t>
  </si>
  <si>
    <t>Ṣaḥífiy-i-aṭṭíyyih</t>
  </si>
  <si>
    <t>Ṣaḥiḥ</t>
  </si>
  <si>
    <t>Ṣaḥnih</t>
  </si>
  <si>
    <t>Ṣaḥv</t>
  </si>
  <si>
    <t>Saʿíd</t>
  </si>
  <si>
    <t>Saʿídih</t>
  </si>
  <si>
    <t>Saʿíd-i-Barfurúí</t>
  </si>
  <si>
    <t>Saʿíd-i-Hindí</t>
  </si>
  <si>
    <t>Saʿíd-i-Jabbáví</t>
  </si>
  <si>
    <t>Saʿíd-i-Zirih-Kinárí</t>
  </si>
  <si>
    <t>Saʿídu’l-ʿUlamá</t>
  </si>
  <si>
    <t>Ṣá’in</t>
  </si>
  <si>
    <t>Ṣá’inu’d-Dín</t>
  </si>
  <si>
    <t>Sajistán</t>
  </si>
  <si>
    <t>Sajjád</t>
  </si>
  <si>
    <t>Sajjádíyyih</t>
  </si>
  <si>
    <t>Ṣaláḥi’d-Dín-i-Ayyubí</t>
  </si>
  <si>
    <t>Ṣaláḥu’d-Dín</t>
  </si>
  <si>
    <t>sálak</t>
  </si>
  <si>
    <t>Salám</t>
  </si>
  <si>
    <t>Sálár</t>
  </si>
  <si>
    <t>Sálári’d-Dawlih</t>
  </si>
  <si>
    <t>Sáláru’s-Salṭanih</t>
  </si>
  <si>
    <t>Salásil</t>
  </si>
  <si>
    <t>Ṣalát</t>
  </si>
  <si>
    <t>Ṣalát-i-Mayyit</t>
  </si>
  <si>
    <t>Ṣáliḥ</t>
  </si>
  <si>
    <t>Ṣáliḥ-i-Baraqání</t>
  </si>
  <si>
    <t>Ṣáliḥ-i-Karímí</t>
  </si>
  <si>
    <t>Ṣáliḥ-i-Qazvíní</t>
  </si>
  <si>
    <t>Ṣáliḥíyyih</t>
  </si>
  <si>
    <t>Salím</t>
  </si>
  <si>
    <t>Saljúq</t>
  </si>
  <si>
    <t>Salmá</t>
  </si>
  <si>
    <t>Salmání</t>
  </si>
  <si>
    <t>Salmás</t>
  </si>
  <si>
    <t>Salsabíl</t>
  </si>
  <si>
    <t>Salṭanat</t>
  </si>
  <si>
    <t>Salṭanih</t>
  </si>
  <si>
    <t>Salván</t>
  </si>
  <si>
    <t>Salvárí</t>
  </si>
  <si>
    <t>Sám</t>
  </si>
  <si>
    <t>Samá</t>
  </si>
  <si>
    <t>Ṣamad</t>
  </si>
  <si>
    <t>Samandar</t>
  </si>
  <si>
    <t>Samandarí</t>
  </si>
  <si>
    <t>Samanú</t>
  </si>
  <si>
    <t>Samaríyyih</t>
  </si>
  <si>
    <t>Samarqand</t>
  </si>
  <si>
    <t>Samíhih</t>
  </si>
  <si>
    <t>Samíḥih</t>
  </si>
  <si>
    <t>Ṣamímí</t>
  </si>
  <si>
    <t>Ṣamímí-Qamsarí</t>
  </si>
  <si>
    <t>Samírí</t>
  </si>
  <si>
    <t>Ṣámit</t>
  </si>
  <si>
    <t>Sámsún</t>
  </si>
  <si>
    <t>Sanandaj</t>
  </si>
  <si>
    <t>Saná’u’lláh</t>
  </si>
  <si>
    <t>Sanaví</t>
  </si>
  <si>
    <t>Sandúq-dár</t>
  </si>
  <si>
    <t>Sangsar</t>
  </si>
  <si>
    <t>Santúr</t>
  </si>
  <si>
    <t>Sáqí-Az-ayb-i-Baqá</t>
  </si>
  <si>
    <t>Ṣaqíl</t>
  </si>
  <si>
    <t>Saqqá</t>
  </si>
  <si>
    <t>Saqqá-ánih</t>
  </si>
  <si>
    <t>Saqsín</t>
  </si>
  <si>
    <t>Sárá</t>
  </si>
  <si>
    <t>Saráju’l-Ḥukamá</t>
  </si>
  <si>
    <t>Sar-áh</t>
  </si>
  <si>
    <t>Sar-imih</t>
  </si>
  <si>
    <t>Sardár</t>
  </si>
  <si>
    <t>Sardar-Galú</t>
  </si>
  <si>
    <t>Sardár-i-Kull</t>
  </si>
  <si>
    <t>Sardár-i-Láríjání</t>
  </si>
  <si>
    <t>Sar-Galú</t>
  </si>
  <si>
    <t>Sarí</t>
  </si>
  <si>
    <t>Sárí</t>
  </si>
  <si>
    <t>Sárih</t>
  </si>
  <si>
    <t>Sarkár-Áqá</t>
  </si>
  <si>
    <t>Sarmad</t>
  </si>
  <si>
    <t>Ṣarráf</t>
  </si>
  <si>
    <t>Sartíp</t>
  </si>
  <si>
    <t>Sarvar-i-uhadá</t>
  </si>
  <si>
    <t>Sarvistán</t>
  </si>
  <si>
    <t>Sásáníyán</t>
  </si>
  <si>
    <t>Sattár</t>
  </si>
  <si>
    <t>Saʿúd</t>
  </si>
  <si>
    <t>Saʿúdí</t>
  </si>
  <si>
    <t>Savád-Kúh</t>
  </si>
  <si>
    <t>Sawhán</t>
  </si>
  <si>
    <t>Ṣawm</t>
  </si>
  <si>
    <t>Saydán</t>
  </si>
  <si>
    <t>Sayfu’d-Dawlih</t>
  </si>
  <si>
    <t>Sayfu’d-Dín</t>
  </si>
  <si>
    <t>Saysán</t>
  </si>
  <si>
    <t>Sayyáḥ</t>
  </si>
  <si>
    <t>Sayyidí</t>
  </si>
  <si>
    <t>aʿbán</t>
  </si>
  <si>
    <t>adíd</t>
  </si>
  <si>
    <t>áfí</t>
  </si>
  <si>
    <t>afíʿ-i-Nayrízí</t>
  </si>
  <si>
    <t>áil</t>
  </si>
  <si>
    <t>áh-ʿAbbás</t>
  </si>
  <si>
    <t>áh-ʿAbdu’l-ʿAẓim</t>
  </si>
  <si>
    <t>ahádat</t>
  </si>
  <si>
    <t>áhanáh</t>
  </si>
  <si>
    <t>áh-Bahrám</t>
  </si>
  <si>
    <t>ahbar</t>
  </si>
  <si>
    <t>áh-ira</t>
  </si>
  <si>
    <t>ahíd</t>
  </si>
  <si>
    <t>ahíd-i-Mazkán</t>
  </si>
  <si>
    <t>ahíd-i-ali</t>
  </si>
  <si>
    <t>ahín</t>
  </si>
  <si>
    <t>áh-i-Ṣáhib-ʿÁlam</t>
  </si>
  <si>
    <t>ahmírzád</t>
  </si>
  <si>
    <t>ahmírzádí</t>
  </si>
  <si>
    <t>áh-Muḥammad</t>
  </si>
  <si>
    <t>áh-Muḥammad-Amín</t>
  </si>
  <si>
    <t>ahnáz</t>
  </si>
  <si>
    <t>ahrbanú</t>
  </si>
  <si>
    <t>ahristán</t>
  </si>
  <si>
    <t>ahríyár</t>
  </si>
  <si>
    <t>ahr-i-ástán</t>
  </si>
  <si>
    <t>áhrúd</t>
  </si>
  <si>
    <t>áhru</t>
  </si>
  <si>
    <t>áhzádih</t>
  </si>
  <si>
    <t>aṣí</t>
  </si>
  <si>
    <t>alvár</t>
  </si>
  <si>
    <t>ám</t>
  </si>
  <si>
    <t>ams</t>
  </si>
  <si>
    <t>amsí</t>
  </si>
  <si>
    <t>amsuʼḍ-Ḍuḥá</t>
  </si>
  <si>
    <t>ams-i-Jahán</t>
  </si>
  <si>
    <t>ams-i-Tabríz</t>
  </si>
  <si>
    <t>amsu’d-Dín</t>
  </si>
  <si>
    <t>amsu’d-Dín-i-Malikí-Dúz</t>
  </si>
  <si>
    <t>amsu’d-Dín-Muḥammad</t>
  </si>
  <si>
    <t>amsu’l-ʿImárih</t>
  </si>
  <si>
    <t>amsu’l-Ma’álí</t>
  </si>
  <si>
    <t>amáyil</t>
  </si>
  <si>
    <t>a’n</t>
  </si>
  <si>
    <t>án-Tappih</t>
  </si>
  <si>
    <t>ápúr</t>
  </si>
  <si>
    <t>arʿ</t>
  </si>
  <si>
    <t>araf</t>
  </si>
  <si>
    <t>aʿráví</t>
  </si>
  <si>
    <t>arbat</t>
  </si>
  <si>
    <t>arḥ</t>
  </si>
  <si>
    <t>arḥí</t>
  </si>
  <si>
    <t>arḥ-i-Faṣṣ-i-Nigín-i-Ism-i-Aʿẓam</t>
  </si>
  <si>
    <t>arḥ-i-Ḥál-i-Rijál-i-Írán</t>
  </si>
  <si>
    <t>arḥ-i-uṭbih</t>
  </si>
  <si>
    <t>arḥ-i-uṭbiy-i-Tútúnjíyyih</t>
  </si>
  <si>
    <t>arḥ-i-Qaṣídih</t>
  </si>
  <si>
    <t>arḥ-i-Qáṣidiy-i-Lámíyyih</t>
  </si>
  <si>
    <t>arḥu’z-Zíyárih</t>
  </si>
  <si>
    <t>aríʿat</t>
  </si>
  <si>
    <t>aríʿatí</t>
  </si>
  <si>
    <t>aríʿat-Madár</t>
  </si>
  <si>
    <t>aríf</t>
  </si>
  <si>
    <t>arífu’l-ʿUlama</t>
  </si>
  <si>
    <t>arífu’l-ʿUlama-i-Mázindarání</t>
  </si>
  <si>
    <t>arík</t>
  </si>
  <si>
    <t>arq</t>
  </si>
  <si>
    <t>arḥu’l-Favá’id</t>
  </si>
  <si>
    <t>irvín</t>
  </si>
  <si>
    <t>á</t>
  </si>
  <si>
    <t>áṭir-Báí</t>
  </si>
  <si>
    <t>áṭír-Ḥasan</t>
  </si>
  <si>
    <t>aṭranj</t>
  </si>
  <si>
    <t>aṭṭu’l-ʿArab</t>
  </si>
  <si>
    <t>aváhid-i-Rubúbíyyih</t>
  </si>
  <si>
    <t>avvál</t>
  </si>
  <si>
    <t>awkat</t>
  </si>
  <si>
    <t>awq</t>
  </si>
  <si>
    <t>ay’</t>
  </si>
  <si>
    <t>aybání</t>
  </si>
  <si>
    <t>ay</t>
  </si>
  <si>
    <t>ay-i-ívih-Ka</t>
  </si>
  <si>
    <t>ay-i-Aḥsá’í</t>
  </si>
  <si>
    <t>ay-i-Kulayní</t>
  </si>
  <si>
    <t>ay-i-Mazgání</t>
  </si>
  <si>
    <t>ay-i-Múʿalim</t>
  </si>
  <si>
    <t>ayíyyih</t>
  </si>
  <si>
    <t>ay-Ṣáliḥ</t>
  </si>
  <si>
    <t>ayu’l-Islám</t>
  </si>
  <si>
    <t>ayu’r-Ra’īs</t>
  </si>
  <si>
    <t>ayuʿṭ-Ṭáyifih</t>
  </si>
  <si>
    <t>ayṭán</t>
  </si>
  <si>
    <t>ibl</t>
  </si>
  <si>
    <t>íd</t>
  </si>
  <si>
    <t>idád</t>
  </si>
  <si>
    <t>ídru</t>
  </si>
  <si>
    <t>aqáqí</t>
  </si>
  <si>
    <t>íʿih</t>
  </si>
  <si>
    <t>íʿih-i-kámil</t>
  </si>
  <si>
    <t>ikastih</t>
  </si>
  <si>
    <t>ikastih-Nastaʿlíq</t>
  </si>
  <si>
    <t>ikkar-ikan-avand</t>
  </si>
  <si>
    <t>imírán</t>
  </si>
  <si>
    <t>imr</t>
  </si>
  <si>
    <t>imíránát</t>
  </si>
  <si>
    <t>imr-i-Káí</t>
  </si>
  <si>
    <t>ín</t>
  </si>
  <si>
    <t>ír-ʿAlí</t>
  </si>
  <si>
    <t>íraván</t>
  </si>
  <si>
    <t>írází</t>
  </si>
  <si>
    <t>ír-Gáh</t>
  </si>
  <si>
    <t>írín</t>
  </si>
  <si>
    <t>irk</t>
  </si>
  <si>
    <t>irkat-i-Nawnahálán</t>
  </si>
  <si>
    <t>írúyih</t>
  </si>
  <si>
    <t>íaván</t>
  </si>
  <si>
    <t>ihizár</t>
  </si>
  <si>
    <t>ímán</t>
  </si>
  <si>
    <t>ívá</t>
  </si>
  <si>
    <t>ivírím</t>
  </si>
  <si>
    <t>uʿáʿ</t>
  </si>
  <si>
    <t>uʿáʿu’lláh</t>
  </si>
  <si>
    <t>uʿayb</t>
  </si>
  <si>
    <t>uhadá</t>
  </si>
  <si>
    <t>uhadáy-i-amsih</t>
  </si>
  <si>
    <t>uhúd</t>
  </si>
  <si>
    <t>ujáʿu’d-Dawlih</t>
  </si>
  <si>
    <t>ujáʿu’l-Mulk</t>
  </si>
  <si>
    <t>ukru’lláh</t>
  </si>
  <si>
    <t>ukru’lláh-i-Núrí</t>
  </si>
  <si>
    <t>útar</t>
  </si>
  <si>
    <t>utur</t>
  </si>
  <si>
    <t>íyan</t>
  </si>
  <si>
    <t>Sí</t>
  </si>
  <si>
    <t>Ṣidq</t>
  </si>
  <si>
    <t>Ṣidq-ʿAlí</t>
  </si>
  <si>
    <t>Ṣifátíyyih</t>
  </si>
  <si>
    <t>Ṣaffayn</t>
  </si>
  <si>
    <t>Ṣíih</t>
  </si>
  <si>
    <t>Ṣíih-ánih</t>
  </si>
  <si>
    <t>Siláurí</t>
  </si>
  <si>
    <t>Simarí</t>
  </si>
  <si>
    <t>Símín</t>
  </si>
  <si>
    <t>Simnán</t>
  </si>
  <si>
    <t>sín</t>
  </si>
  <si>
    <t>Síná</t>
  </si>
  <si>
    <t>Sinán</t>
  </si>
  <si>
    <t>Sipah-Salar</t>
  </si>
  <si>
    <t>Sipihr</t>
  </si>
  <si>
    <t>Sipihr-Arfaʿ</t>
  </si>
  <si>
    <t>Síráf</t>
  </si>
  <si>
    <t>Ṣiráṭ</t>
  </si>
  <si>
    <t>Sírján</t>
  </si>
  <si>
    <t>Sirru’lláh</t>
  </si>
  <si>
    <t>Sirru’l-Vujúd</t>
  </si>
  <si>
    <t>Sírús</t>
  </si>
  <si>
    <t>Sístán</t>
  </si>
  <si>
    <t>Sitár</t>
  </si>
  <si>
    <t>Sitúdih</t>
  </si>
  <si>
    <t>Sívás</t>
  </si>
  <si>
    <t>Síyáh</t>
  </si>
  <si>
    <t>Síyáh-Dihán</t>
  </si>
  <si>
    <t>Síyásíyyih</t>
  </si>
  <si>
    <t>Síyávaí</t>
  </si>
  <si>
    <t>Siyyid-Ḥusayn</t>
  </si>
  <si>
    <t>Siyyid-i-Báb</t>
  </si>
  <si>
    <t>Siyyid-i-ikr</t>
  </si>
  <si>
    <t>Siyyid-i-ál-Dár</t>
  </si>
  <si>
    <t>Siyyid-i-Nahrí</t>
  </si>
  <si>
    <t>Siyyid-i-Núr</t>
  </si>
  <si>
    <t>Siyyid-i-Qumí</t>
  </si>
  <si>
    <t>Siyyid-i-i-Parí</t>
  </si>
  <si>
    <t>Siyyid-i-ʿUluvv</t>
  </si>
  <si>
    <t>Siyyidíyyih</t>
  </si>
  <si>
    <t>Siyyidu’-uhadá</t>
  </si>
  <si>
    <t>Suhráb</t>
  </si>
  <si>
    <t>Su’ál</t>
  </si>
  <si>
    <t>Subḥán</t>
  </si>
  <si>
    <t>Subḥánaka-Yá-Hú</t>
  </si>
  <si>
    <t>Subḥána-Rabbíya’l-Aʿlá</t>
  </si>
  <si>
    <t>Subḥání</t>
  </si>
  <si>
    <t>Ṣubḥí</t>
  </si>
  <si>
    <t>Súdán</t>
  </si>
  <si>
    <t>Ṣudúr</t>
  </si>
  <si>
    <t>Sufará</t>
  </si>
  <si>
    <t>Sufyán</t>
  </si>
  <si>
    <t>Sufyání</t>
  </si>
  <si>
    <t>Ṣurá</t>
  </si>
  <si>
    <t>Ṣuḥbat-i-Lárí</t>
  </si>
  <si>
    <t>Sukútíyyun</t>
  </si>
  <si>
    <t>Sulaymán</t>
  </si>
  <si>
    <t>Sulaymání</t>
  </si>
  <si>
    <t>Sulaymán-i-annám</t>
  </si>
  <si>
    <t>Sulaymán-i-áṭib</t>
  </si>
  <si>
    <t>Sulaymán-i-Núrí</t>
  </si>
  <si>
    <t>Sulaymán-Qulí</t>
  </si>
  <si>
    <t>Sulṭán-Ábád</t>
  </si>
  <si>
    <t>Sulṭán-i-ʿArab</t>
  </si>
  <si>
    <t>Sulṭán-i-Karbilá’í</t>
  </si>
  <si>
    <t>Sultáníyyih</t>
  </si>
  <si>
    <t>Sulṭánu’l-ʿUlamá</t>
  </si>
  <si>
    <t>Sulṭánu’-uhadá</t>
  </si>
  <si>
    <t>Sulúk</t>
  </si>
  <si>
    <t>Sumáq</t>
  </si>
  <si>
    <t>Sunní</t>
  </si>
  <si>
    <t>Ṣúrat</t>
  </si>
  <si>
    <t>Súratu’l-Kawar</t>
  </si>
  <si>
    <t>Súratu’lláh</t>
  </si>
  <si>
    <t>Súratu’l-Mulúk</t>
  </si>
  <si>
    <t>Súratu’-ams</t>
  </si>
  <si>
    <t>Súratu’ṣ-Ṣabr</t>
  </si>
  <si>
    <t>Súratu’t-Tawḥíd</t>
  </si>
  <si>
    <t>Súriy-i-Aḥzán</t>
  </si>
  <si>
    <t>Súriy-i-Amín</t>
  </si>
  <si>
    <t>Súriy-i-Amr</t>
  </si>
  <si>
    <t>Súriy-i-Aʿráb</t>
  </si>
  <si>
    <t>Súriy-i-Aṣḥáb</t>
  </si>
  <si>
    <t>Súriy-i-Asmá</t>
  </si>
  <si>
    <t>Súriy-i-Ayyúb</t>
  </si>
  <si>
    <t>Súriy-i-Bayán</t>
  </si>
  <si>
    <t>Súriy-i-Burhán</t>
  </si>
  <si>
    <t>Súriy-i-Damm</t>
  </si>
  <si>
    <t>Súriy-i-abíḥ</t>
  </si>
  <si>
    <t>Súriy-i-ikr</t>
  </si>
  <si>
    <t>Súriy-i-Faḍl</t>
  </si>
  <si>
    <t>Súriy-i-Fatḥ</t>
  </si>
  <si>
    <t>Súriy-i-Fu’ád</t>
  </si>
  <si>
    <t>Súriy-i-uṣn</t>
  </si>
  <si>
    <t>Súriy-i-Ḥajj</t>
  </si>
  <si>
    <t>Súriy-i-Haykal</t>
  </si>
  <si>
    <t>Súriy-i-Ḥifẓ</t>
  </si>
  <si>
    <t>Súriy-i-Hijr</t>
  </si>
  <si>
    <t>Súriy-i-ʿIbád</t>
  </si>
  <si>
    <t>Súriy-i-Ism</t>
  </si>
  <si>
    <t>Súriy-i-Ismuna’l-Mursil</t>
  </si>
  <si>
    <t>Súriy-i-Javád</t>
  </si>
  <si>
    <t>Súriy-i-iṭáb</t>
  </si>
  <si>
    <t>Súriy-i-Maʿání</t>
  </si>
  <si>
    <t>Súriy-i-Manʿ</t>
  </si>
  <si>
    <t>Súriy-i-Mulúk</t>
  </si>
  <si>
    <t>Súriy-i-Nidá</t>
  </si>
  <si>
    <t>Súriy-i-Nuṣḥ</t>
  </si>
  <si>
    <t>Súriy-i-Qadír</t>
  </si>
  <si>
    <t>Súriy-i-Qahír</t>
  </si>
  <si>
    <t>Súriy-i-Qalam</t>
  </si>
  <si>
    <t>Súriy-i-Qamíṣ</t>
  </si>
  <si>
    <t>Súriy-i-Ra’ís</t>
  </si>
  <si>
    <t>Súriy-i-Ṣabr</t>
  </si>
  <si>
    <t>Súriy-i-Sulṭán</t>
  </si>
  <si>
    <t>Súriy-i-Tawḥíd</t>
  </si>
  <si>
    <t>Súriy-i-Vafá</t>
  </si>
  <si>
    <t>Súriy-i-Yúsif</t>
  </si>
  <si>
    <t>Súriy-i-Zíyárat</t>
  </si>
  <si>
    <t>Súriy-i-Zíyárih</t>
  </si>
  <si>
    <t>Súriy-i-Ẓuhúr</t>
  </si>
  <si>
    <t>Ṣuʿúd</t>
  </si>
  <si>
    <t>Ṣuvar-i-ʿIlmíyyih</t>
  </si>
  <si>
    <t>Suyúṭí</t>
  </si>
  <si>
    <t>Tá</t>
  </si>
  <si>
    <t>Ṭá</t>
  </si>
  <si>
    <t>Ṭáʿah</t>
  </si>
  <si>
    <t>Taʿáruf</t>
  </si>
  <si>
    <t>Tábandih</t>
  </si>
  <si>
    <t>Ṭabaqát</t>
  </si>
  <si>
    <t>Ṭabarí</t>
  </si>
  <si>
    <t>Ṭabaristán</t>
  </si>
  <si>
    <t>Ṭabarsí</t>
  </si>
  <si>
    <t>Ṭabas</t>
  </si>
  <si>
    <t>Ṭabáṭabá</t>
  </si>
  <si>
    <t>Ṭabáṭabá’í</t>
  </si>
  <si>
    <t>Ṭabíb</t>
  </si>
  <si>
    <t>Tábistán</t>
  </si>
  <si>
    <t>Tablí</t>
  </si>
  <si>
    <t>Tablíát-i-Islámí</t>
  </si>
  <si>
    <t>Tabrízí</t>
  </si>
  <si>
    <t>Tábúr</t>
  </si>
  <si>
    <t>Tabyín</t>
  </si>
  <si>
    <t>Takirat</t>
  </si>
  <si>
    <t>Takiratu’l-Vafá</t>
  </si>
  <si>
    <t>Tafásír</t>
  </si>
  <si>
    <t>Ṭaff</t>
  </si>
  <si>
    <t>Tafrí</t>
  </si>
  <si>
    <t>Tafríí</t>
  </si>
  <si>
    <t>Tafsír</t>
  </si>
  <si>
    <t>Tafsír-i-Bismi’lláhi’r-Raḥmáni’r-Raḥím</t>
  </si>
  <si>
    <t>Tafsirih</t>
  </si>
  <si>
    <t>Tafsír-i-Hú</t>
  </si>
  <si>
    <t>Tafsír-i-Ḥurúfát-i-Muqaṭṭaʿih</t>
  </si>
  <si>
    <t>Tafsír-i-Kuntu</t>
  </si>
  <si>
    <t>Tafsír-i-Nubuvat-i-aṣṣih</t>
  </si>
  <si>
    <t>Tafsír-i-Súriy-i-Va’-ams</t>
  </si>
  <si>
    <t>Taftí</t>
  </si>
  <si>
    <t>Tafvíḍ</t>
  </si>
  <si>
    <t>Ṭáút</t>
  </si>
  <si>
    <t>Ṭáhir</t>
  </si>
  <si>
    <t>Ṭáhirí</t>
  </si>
  <si>
    <t>Ṭáhirih</t>
  </si>
  <si>
    <t>Ṭáhir-i-írází</t>
  </si>
  <si>
    <t>Ṭáhirzádih</t>
  </si>
  <si>
    <t>Ṭahmásb</t>
  </si>
  <si>
    <t>Ṭahmásb-Mírzá</t>
  </si>
  <si>
    <t>Taḥqíqí</t>
  </si>
  <si>
    <t>Taḥríf</t>
  </si>
  <si>
    <t>Taḥríríhá</t>
  </si>
  <si>
    <t>Ṭá’if</t>
  </si>
  <si>
    <t>Ṭá’ir</t>
  </si>
  <si>
    <t>Táj</t>
  </si>
  <si>
    <t>Táj-Ábád</t>
  </si>
  <si>
    <t>Tajallíyát</t>
  </si>
  <si>
    <t>Tájík</t>
  </si>
  <si>
    <t>Táj-i-Vahháj</t>
  </si>
  <si>
    <t>Tajrí</t>
  </si>
  <si>
    <t>Táju’d-Dín</t>
  </si>
  <si>
    <t>Taalluṣ</t>
  </si>
  <si>
    <t>Tat</t>
  </si>
  <si>
    <t>Tat-i-Raván</t>
  </si>
  <si>
    <t>Tákur</t>
  </si>
  <si>
    <t>Takyih</t>
  </si>
  <si>
    <t>Takyíy-i-Mawláná</t>
  </si>
  <si>
    <t>Takyíy-i-Mawlaví</t>
  </si>
  <si>
    <t>Talá’í</t>
  </si>
  <si>
    <t>Ṭaláq</t>
  </si>
  <si>
    <t>Ṭalʿát-i-Aʿlá</t>
  </si>
  <si>
    <t>Ṭálib</t>
  </si>
  <si>
    <t>Ṭálibán</t>
  </si>
  <si>
    <t>Taʿlím</t>
  </si>
  <si>
    <t>Ṭáliqán</t>
  </si>
  <si>
    <t>Talí</t>
  </si>
  <si>
    <t>Tamaddunu’l-Mulk</t>
  </si>
  <si>
    <t>Tamáá</t>
  </si>
  <si>
    <t>Tanásu</t>
  </si>
  <si>
    <t>Tang-i-Qájár</t>
  </si>
  <si>
    <t>Taqdís</t>
  </si>
  <si>
    <t>Taqí</t>
  </si>
  <si>
    <t>Taqí-Baqqál</t>
  </si>
  <si>
    <t>Taqí-i-Baraqání</t>
  </si>
  <si>
    <t>Taqí-i-Hiratí</t>
  </si>
  <si>
    <t>Taqíy-i-Káání</t>
  </si>
  <si>
    <t>Taqíy-i-Najafí</t>
  </si>
  <si>
    <t>Taqíy-i-Núrí</t>
  </si>
  <si>
    <t>Taqíy-i-Qazvíní</t>
  </si>
  <si>
    <t>Taqíy-i-Yazdí</t>
  </si>
  <si>
    <t>Taqíyyih</t>
  </si>
  <si>
    <t>Taqlíd</t>
  </si>
  <si>
    <t>Taqvá</t>
  </si>
  <si>
    <t>Tár</t>
  </si>
  <si>
    <t>Taránih</t>
  </si>
  <si>
    <t>Taráz</t>
  </si>
  <si>
    <t>Ṭaráz</t>
  </si>
  <si>
    <t>Ṭarázát</t>
  </si>
  <si>
    <t>Ṭarázu’lláh</t>
  </si>
  <si>
    <t>Tarbíyat</t>
  </si>
  <si>
    <t>Tárí-i-Jadíd</t>
  </si>
  <si>
    <t>Tárí-i-Náṣirí</t>
  </si>
  <si>
    <t>Tárí-i-Zuhúru’l-Ḥaq</t>
  </si>
  <si>
    <t>Ṭaríqat</t>
  </si>
  <si>
    <t>Tákand</t>
  </si>
  <si>
    <t>Taíṣ</t>
  </si>
  <si>
    <t>Taslím</t>
  </si>
  <si>
    <t>Taslímí</t>
  </si>
  <si>
    <t>Tavángar</t>
  </si>
  <si>
    <t>Tavárí</t>
  </si>
  <si>
    <t>Ṭávús</t>
  </si>
  <si>
    <t>Tawfíq</t>
  </si>
  <si>
    <t>Tawḥíd</t>
  </si>
  <si>
    <t>Tawḥíd-i-uhúdí</t>
  </si>
  <si>
    <t>Tawḥíd-i-Vujúdí</t>
  </si>
  <si>
    <t>Tawqíʿat-i-Mubárakih</t>
  </si>
  <si>
    <t>Ta’yíd</t>
  </si>
  <si>
    <t>Taymúrí</t>
  </si>
  <si>
    <t>Ṭayyib</t>
  </si>
  <si>
    <t>Tázih</t>
  </si>
  <si>
    <t>Taʿzíyih</t>
  </si>
  <si>
    <t>á</t>
  </si>
  <si>
    <t>ábit</t>
  </si>
  <si>
    <t>ábit-Rási</t>
  </si>
  <si>
    <t>ábit-Sarvistání</t>
  </si>
  <si>
    <t>amaratu’l-Azalíyyih</t>
  </si>
  <si>
    <t>amarih</t>
  </si>
  <si>
    <t>amúd</t>
  </si>
  <si>
    <t>ámúd</t>
  </si>
  <si>
    <t>urayyá</t>
  </si>
  <si>
    <t>Tibyáníyán</t>
  </si>
  <si>
    <t>Tiflís</t>
  </si>
  <si>
    <t>Ṭihrání</t>
  </si>
  <si>
    <t>Timál</t>
  </si>
  <si>
    <t>Tín</t>
  </si>
  <si>
    <t>Tíná</t>
  </si>
  <si>
    <t>Tír</t>
  </si>
  <si>
    <t>Ṭiyyu’l-Arḍ</t>
  </si>
  <si>
    <t>Tízfahm</t>
  </si>
  <si>
    <t>Ṭúbá</t>
  </si>
  <si>
    <t>Tubbáʿ</t>
  </si>
  <si>
    <t>Ṭulláb</t>
  </si>
  <si>
    <t>Ṭúlún</t>
  </si>
  <si>
    <t>Túmán</t>
  </si>
  <si>
    <t>Túnis</t>
  </si>
  <si>
    <t>Tunkábuní</t>
  </si>
  <si>
    <t>Túpí</t>
  </si>
  <si>
    <t>Túp-i-Ẓuhr</t>
  </si>
  <si>
    <t>Ṭúr</t>
  </si>
  <si>
    <t>Turáb</t>
  </si>
  <si>
    <t>Turáb-i-Itihárdí</t>
  </si>
  <si>
    <t>Túrán</t>
  </si>
  <si>
    <t>Túrán-áh</t>
  </si>
  <si>
    <t>Turbat</t>
  </si>
  <si>
    <t>Turbát-i-Ḥaydaríyyih</t>
  </si>
  <si>
    <t>Turk</t>
  </si>
  <si>
    <t>Turkaman</t>
  </si>
  <si>
    <t>Turkamanistán</t>
  </si>
  <si>
    <t>Turkistán</t>
  </si>
  <si>
    <t>Turíz</t>
  </si>
  <si>
    <t>Turshízí</t>
  </si>
  <si>
    <t>Ṭús</t>
  </si>
  <si>
    <t>Ṭúsí</t>
  </si>
  <si>
    <t>ú</t>
  </si>
  <si>
    <t>ʿÚdí</t>
  </si>
  <si>
    <t>Ulí</t>
  </si>
  <si>
    <t>Uḥud</t>
  </si>
  <si>
    <t>ʿUkáẓ</t>
  </si>
  <si>
    <t>Ut</t>
  </si>
  <si>
    <t>ʿUlyá</t>
  </si>
  <si>
    <t>Uṣúl-i-Arbaʿah</t>
  </si>
  <si>
    <t>Umaná</t>
  </si>
  <si>
    <t>ʿUmar-ibn-i’l-aṭṭáb</t>
  </si>
  <si>
    <t>Umayyih</t>
  </si>
  <si>
    <t>Umídvárán</t>
  </si>
  <si>
    <t>Umídvárih-Kúh</t>
  </si>
  <si>
    <t>Ummuʼl-akát</t>
  </si>
  <si>
    <t>ʿUmmán</t>
  </si>
  <si>
    <t>Umm-i-ʿAbdu’lláh</t>
  </si>
  <si>
    <t>Umm-i-Araf</t>
  </si>
  <si>
    <t>Umm-i-Salmih</t>
  </si>
  <si>
    <t>Ummu’l-Kitáb</t>
  </si>
  <si>
    <t>ʿUqáb</t>
  </si>
  <si>
    <t>Urdúbád</t>
  </si>
  <si>
    <t>Urdúbádí</t>
  </si>
  <si>
    <t>ʿUrf</t>
  </si>
  <si>
    <t>Urúmí</t>
  </si>
  <si>
    <t>Urúmíyyih</t>
  </si>
  <si>
    <t>Urúpá</t>
  </si>
  <si>
    <t>Urván</t>
  </si>
  <si>
    <t>ʿUrvatu’l-Vuqá</t>
  </si>
  <si>
    <t>ʿUryán</t>
  </si>
  <si>
    <t>Usanlú</t>
  </si>
  <si>
    <t>Úídar-Máh</t>
  </si>
  <si>
    <t>Ukur</t>
  </si>
  <si>
    <t>Ustád</t>
  </si>
  <si>
    <t>Ustán</t>
  </si>
  <si>
    <t>Uṣúl</t>
  </si>
  <si>
    <t>Uṣúlí</t>
  </si>
  <si>
    <t>Uṣúl-i-Káfí</t>
  </si>
  <si>
    <t>Utáqih</t>
  </si>
  <si>
    <t>ʿUmán</t>
  </si>
  <si>
    <t>ʿUmán-ibn-i-ʿAffán</t>
  </si>
  <si>
    <t>ʿUmáníyyih</t>
  </si>
  <si>
    <t>Uṭru</t>
  </si>
  <si>
    <t>ʿUttáb</t>
  </si>
  <si>
    <t>ʿUttábí</t>
  </si>
  <si>
    <t>Uzbakistán</t>
  </si>
  <si>
    <t>ʿUzúm</t>
  </si>
  <si>
    <t>ʿUzzá</t>
  </si>
  <si>
    <t>Vádí</t>
  </si>
  <si>
    <t>Vafá</t>
  </si>
  <si>
    <t>Vafá’í</t>
  </si>
  <si>
    <t>Vafi</t>
  </si>
  <si>
    <t>Vaḥdat</t>
  </si>
  <si>
    <t>Vaḥdat-i-Baar</t>
  </si>
  <si>
    <t>Vaḥdat-i-Ḥaqq</t>
  </si>
  <si>
    <t>Vaḥdatu’l-vujúd</t>
  </si>
  <si>
    <t>Vaḥdatu’-uhúd</t>
  </si>
  <si>
    <t>Vahháb</t>
  </si>
  <si>
    <t>Vahháb-i-urásání</t>
  </si>
  <si>
    <t>Vaḥíd</t>
  </si>
  <si>
    <t>Váḥid</t>
  </si>
  <si>
    <t>Vaḥy</t>
  </si>
  <si>
    <t>Vakíl</t>
  </si>
  <si>
    <t>Vakílu’d-Dawlih</t>
  </si>
  <si>
    <t>Valí</t>
  </si>
  <si>
    <t>Válí</t>
  </si>
  <si>
    <t>Valí-ʿAhd</t>
  </si>
  <si>
    <t>Valí-Amru’lláh</t>
  </si>
  <si>
    <t>Valí-ʿAṭṭar</t>
  </si>
  <si>
    <t>Valí-Muḥammad</t>
  </si>
  <si>
    <t>Valíy-i-Amru’lláh</t>
  </si>
  <si>
    <t>Valíyu’lláh</t>
  </si>
  <si>
    <t>Válíyyih</t>
  </si>
  <si>
    <t>Vaqáyi-i-Ittifáqíyih</t>
  </si>
  <si>
    <t>varaʿ</t>
  </si>
  <si>
    <t>Varaqatu’l-Firdaws</t>
  </si>
  <si>
    <t>Varaqatu’l-ʿUlyá</t>
  </si>
  <si>
    <t>Varáqatu’r-Riḍván</t>
  </si>
  <si>
    <t>Varaqiy-i-ʿUlyá</t>
  </si>
  <si>
    <t>Varjávandí</t>
  </si>
  <si>
    <t>Varqá</t>
  </si>
  <si>
    <t>Varqá’íyyih</t>
  </si>
  <si>
    <t>Vaṣí</t>
  </si>
  <si>
    <t>Vasíʿ</t>
  </si>
  <si>
    <t>Váskas</t>
  </si>
  <si>
    <t>Váv</t>
  </si>
  <si>
    <t>Vazír</t>
  </si>
  <si>
    <t>Vazír-i-Mukarram</t>
  </si>
  <si>
    <t>Vazír-i-Yálrúdí</t>
  </si>
  <si>
    <t>Vazír-Niẓám</t>
  </si>
  <si>
    <t>Viláyat</t>
  </si>
  <si>
    <t>Viláyat-i Ián</t>
  </si>
  <si>
    <t>Viná</t>
  </si>
  <si>
    <t>Vísí</t>
  </si>
  <si>
    <t>Vuʿʿáẓ</t>
  </si>
  <si>
    <t>Vujdán</t>
  </si>
  <si>
    <t>Vujdání</t>
  </si>
  <si>
    <t>Vukalá</t>
  </si>
  <si>
    <t>Vusṭá</t>
  </si>
  <si>
    <t>Yá</t>
  </si>
  <si>
    <t>Yá-ʿAlíyuʼl-Aʿlá</t>
  </si>
  <si>
    <t>Yádigár</t>
  </si>
  <si>
    <t>Yáft-Ábád</t>
  </si>
  <si>
    <t>Yahúdí</t>
  </si>
  <si>
    <t>Yaḥyá’í</t>
  </si>
  <si>
    <t>Yaḥyá-i-Darábí</t>
  </si>
  <si>
    <t>Yájúj</t>
  </si>
  <si>
    <t>Yaldá’í</t>
  </si>
  <si>
    <t>Yálrúd</t>
  </si>
  <si>
    <t>Yanbúʿ</t>
  </si>
  <si>
    <t>Yangí-Imám</t>
  </si>
  <si>
    <t>Yaqtín</t>
  </si>
  <si>
    <t>Yaʿqúb</t>
  </si>
  <si>
    <t>Yaʿqúb-i-Muttáḥidih</t>
  </si>
  <si>
    <t>Yaʿqúbíyyih</t>
  </si>
  <si>
    <t>Yáqút</t>
  </si>
  <si>
    <t>Yar-Muḥammad</t>
  </si>
  <si>
    <t>Yasaʿ</t>
  </si>
  <si>
    <t>Yávar</t>
  </si>
  <si>
    <t>Yawmuʼl-Ittiḥád</t>
  </si>
  <si>
    <t>Yawm-i-Alast</t>
  </si>
  <si>
    <t>Yawm-i-Ittiḥád</t>
  </si>
  <si>
    <t>Yawmu’l-Baʿ</t>
  </si>
  <si>
    <t>Yawmu’l-Jamʿ</t>
  </si>
  <si>
    <t>Yawmu’lláh</t>
  </si>
  <si>
    <t>Yawmu’l-Míʿád</t>
  </si>
  <si>
    <t>Yawmu’l-Qiyámat</t>
  </si>
  <si>
    <t>Yawmu’l-Taábun</t>
  </si>
  <si>
    <t>Yawmu’l-Ṭaláq</t>
  </si>
  <si>
    <t>Yawmu’l-Vaʿíd</t>
  </si>
  <si>
    <t>Yazd</t>
  </si>
  <si>
    <t>Yazdání</t>
  </si>
  <si>
    <t>Yazdí</t>
  </si>
  <si>
    <t>Yazdigird</t>
  </si>
  <si>
    <t>Yuʿáir</t>
  </si>
  <si>
    <t>yuakkirakum</t>
  </si>
  <si>
    <t>Yujdání</t>
  </si>
  <si>
    <t>Yúnis</t>
  </si>
  <si>
    <t>Yúsif</t>
  </si>
  <si>
    <t>Yúsif-i-Ardibílí</t>
  </si>
  <si>
    <t>Yúsif-i-Sih-Dihí</t>
  </si>
  <si>
    <t>Yúz-Báí</t>
  </si>
  <si>
    <t>Zá</t>
  </si>
  <si>
    <t>Zádih</t>
  </si>
  <si>
    <t>Zaʿfarán</t>
  </si>
  <si>
    <t>Zá</t>
  </si>
  <si>
    <t>Záhid</t>
  </si>
  <si>
    <t>Záhidán</t>
  </si>
  <si>
    <t>Ẓáhir</t>
  </si>
  <si>
    <t>Ẓáhirí</t>
  </si>
  <si>
    <t>Ẓáhiru’d-Dawlih</t>
  </si>
  <si>
    <t>Zahrá</t>
  </si>
  <si>
    <t>Zahrá’í</t>
  </si>
  <si>
    <t>ahru’l-Kúfih</t>
  </si>
  <si>
    <t>Zaʿímu’d-Dawlih</t>
  </si>
  <si>
    <t>Záʼirpúr</t>
  </si>
  <si>
    <t>Zakaríyyáy-i-Qáḍí-Kaláʼí</t>
  </si>
  <si>
    <t>Zakát</t>
  </si>
  <si>
    <t>Zakí</t>
  </si>
  <si>
    <t>Zakíyyih</t>
  </si>
  <si>
    <t>Zál</t>
  </si>
  <si>
    <t>Zamán</t>
  </si>
  <si>
    <t>Zamání</t>
  </si>
  <si>
    <t>Zamzam</t>
  </si>
  <si>
    <t>Zanjání</t>
  </si>
  <si>
    <t>Zarand</t>
  </si>
  <si>
    <t>Zardastán</t>
  </si>
  <si>
    <t>Zar-Dúzí</t>
  </si>
  <si>
    <t>Zarkanád</t>
  </si>
  <si>
    <t>Zarkandih</t>
  </si>
  <si>
    <t>Zarqání</t>
  </si>
  <si>
    <t>Zarrábí</t>
  </si>
  <si>
    <t>Zarrín</t>
  </si>
  <si>
    <t>Zarrín-Táj</t>
  </si>
  <si>
    <t>Zavál</t>
  </si>
  <si>
    <t>Zavárih</t>
  </si>
  <si>
    <t>Zawrá</t>
  </si>
  <si>
    <t>Záyandih-Rúd</t>
  </si>
  <si>
    <t>Zaydán</t>
  </si>
  <si>
    <t>Zaydí</t>
  </si>
  <si>
    <t>Zayn</t>
  </si>
  <si>
    <t>Zaynab</t>
  </si>
  <si>
    <t>Zayníl</t>
  </si>
  <si>
    <t>Zaynu’l-Muqarrabín</t>
  </si>
  <si>
    <t>Zaytá</t>
  </si>
  <si>
    <t>Zaytún</t>
  </si>
  <si>
    <t>Zendeh</t>
  </si>
  <si>
    <t>Ḍíá’u’lláh</t>
  </si>
  <si>
    <t>Zihtáb</t>
  </si>
  <si>
    <t>Ẓillu’lláh</t>
  </si>
  <si>
    <t>Ẓillu’s-Sulṭán</t>
  </si>
  <si>
    <t>Ziná</t>
  </si>
  <si>
    <t>Zindigání</t>
  </si>
  <si>
    <t>Zindigáníy-i-Abú’l-Faḍl-i-Gulpáygání</t>
  </si>
  <si>
    <t>Zíyád</t>
  </si>
  <si>
    <t>Zíyárat</t>
  </si>
  <si>
    <t>Zíyárat-i-áh-ʿAbdu’l-ʿAẓím</t>
  </si>
  <si>
    <t>Zíyárat-Námih</t>
  </si>
  <si>
    <t>Zíyárat-Námiy-i-Awlíyá</t>
  </si>
  <si>
    <t>Zíyárat-Námiy-i-Bábu’l-Báb</t>
  </si>
  <si>
    <t>Zíyárat-Námiy-i-Bayt</t>
  </si>
  <si>
    <t>Zíyárat-Námiy-i-Maryam</t>
  </si>
  <si>
    <t>Ẓuhúr</t>
  </si>
  <si>
    <t>Ẓuhúr-i-Iláhí</t>
  </si>
  <si>
    <t>Zunúz</t>
  </si>
  <si>
    <t>Zunúzí</t>
  </si>
  <si>
    <t>Zúr-ánih</t>
  </si>
  <si>
    <t>Bahman Solouki aus Masterliste</t>
  </si>
  <si>
    <t>Wann verwendet man den Bindestrich bei Namen?</t>
  </si>
  <si>
    <t>Wann verwendet man "-i-Din", wann "udin"?</t>
  </si>
  <si>
    <r>
      <t xml:space="preserve">a street in </t>
    </r>
    <r>
      <rPr>
        <u/>
        <sz val="8"/>
        <rFont val="Times Ext Roman"/>
        <family val="1"/>
      </rPr>
      <t>Sh</t>
    </r>
    <r>
      <rPr>
        <sz val="8"/>
        <rFont val="Times Ext Roman"/>
        <family val="1"/>
      </rPr>
      <t>íráz</t>
    </r>
  </si>
  <si>
    <r>
      <rPr>
        <sz val="8"/>
        <rFont val="Arial"/>
        <family val="2"/>
      </rPr>
      <t>“</t>
    </r>
    <r>
      <rPr>
        <sz val="8"/>
        <rFont val="Times Ext Roman"/>
        <family val="1"/>
      </rPr>
      <t>adequate, more appropriate, more natural”</t>
    </r>
  </si>
  <si>
    <r>
      <t>Commentary by I</t>
    </r>
    <r>
      <rPr>
        <u/>
        <sz val="8"/>
        <rFont val="Times Ext Roman"/>
        <family val="1"/>
      </rPr>
      <t>sh</t>
    </r>
    <r>
      <rPr>
        <sz val="8"/>
        <rFont val="Times Ext Roman"/>
        <family val="1"/>
      </rPr>
      <t xml:space="preserve">ráq </t>
    </r>
    <r>
      <rPr>
        <u/>
        <sz val="8"/>
        <rFont val="Times Ext Roman"/>
        <family val="1"/>
      </rPr>
      <t>Kh</t>
    </r>
    <r>
      <rPr>
        <sz val="8"/>
        <rFont val="Times Ext Roman"/>
        <family val="1"/>
      </rPr>
      <t>ávarí</t>
    </r>
  </si>
  <si>
    <r>
      <t xml:space="preserve">A compilation of </t>
    </r>
    <r>
      <rPr>
        <u/>
        <sz val="8"/>
        <rFont val="Times Ext Roman"/>
        <family val="1"/>
      </rPr>
      <t>Sh</t>
    </r>
    <r>
      <rPr>
        <sz val="8"/>
        <rFont val="Times Ext Roman"/>
        <family val="1"/>
      </rPr>
      <t>i’íte traditions</t>
    </r>
  </si>
  <si>
    <r>
      <t xml:space="preserve">“sign of God” </t>
    </r>
    <r>
      <rPr>
        <u/>
        <sz val="8"/>
        <rFont val="Times Ext Roman"/>
        <family val="1"/>
      </rPr>
      <t>Sh</t>
    </r>
    <r>
      <rPr>
        <sz val="8"/>
        <rFont val="Times Ext Roman"/>
        <family val="1"/>
      </rPr>
      <t>i’íh religious leader in Írán and, title given to Shoghi Effendi in `Abdu’l-Bahá’s Will and Testament</t>
    </r>
  </si>
  <si>
    <r>
      <t>a mosque on a highway between Ba</t>
    </r>
    <r>
      <rPr>
        <u/>
        <sz val="8"/>
        <rFont val="Times Ext Roman"/>
        <family val="1"/>
      </rPr>
      <t>gh</t>
    </r>
    <r>
      <rPr>
        <sz val="8"/>
        <rFont val="Times Ext Roman"/>
        <family val="1"/>
      </rPr>
      <t>dád and Kaímayn</t>
    </r>
  </si>
  <si>
    <r>
      <t xml:space="preserve">A town in </t>
    </r>
    <r>
      <rPr>
        <u/>
        <sz val="8"/>
        <rFont val="Times Ext Roman"/>
        <family val="1"/>
      </rPr>
      <t>Kh</t>
    </r>
    <r>
      <rPr>
        <sz val="8"/>
        <rFont val="Times Ext Roman"/>
        <family val="1"/>
      </rPr>
      <t xml:space="preserve">urásán, home of Mullá `Alí, the fourth Letter of Living </t>
    </r>
  </si>
  <si>
    <r>
      <t xml:space="preserve">Reference to </t>
    </r>
    <r>
      <rPr>
        <u/>
        <sz val="8"/>
        <rFont val="Times Ext Roman"/>
        <family val="1"/>
      </rPr>
      <t>Sh</t>
    </r>
    <r>
      <rPr>
        <sz val="8"/>
        <rFont val="Times Ext Roman"/>
        <family val="1"/>
      </rPr>
      <t>i’íh traditions</t>
    </r>
  </si>
  <si>
    <r>
      <t xml:space="preserve">A compilation of </t>
    </r>
    <r>
      <rPr>
        <u/>
        <sz val="8"/>
        <rFont val="Times Ext Roman"/>
        <family val="1"/>
      </rPr>
      <t>Sh</t>
    </r>
    <r>
      <rPr>
        <sz val="8"/>
        <rFont val="Times Ext Roman"/>
        <family val="1"/>
      </rPr>
      <t xml:space="preserve">i’íh traditions </t>
    </r>
  </si>
  <si>
    <r>
      <t xml:space="preserve">Burhane Lame, </t>
    </r>
    <r>
      <rPr>
        <i/>
        <sz val="8"/>
        <rFont val="Times Ext Roman"/>
        <family val="1"/>
      </rPr>
      <t>The Brilliant Proof</t>
    </r>
  </si>
  <si>
    <r>
      <t>a place a few miles from Ka</t>
    </r>
    <r>
      <rPr>
        <u/>
        <sz val="8"/>
        <rFont val="Times Ext Roman"/>
        <family val="1"/>
      </rPr>
      <t>sh</t>
    </r>
    <r>
      <rPr>
        <sz val="8"/>
        <rFont val="Times Ext Roman"/>
        <family val="1"/>
      </rPr>
      <t>án</t>
    </r>
  </si>
  <si>
    <r>
      <t xml:space="preserve">Mírzá `Abbás of Núr—father of Bahá’u’lláh, the third child of his second wife, </t>
    </r>
    <r>
      <rPr>
        <u/>
        <sz val="8"/>
        <rFont val="Times Ext Roman"/>
        <family val="1"/>
      </rPr>
      <t>Kh</t>
    </r>
    <r>
      <rPr>
        <sz val="8"/>
        <rFont val="Times Ext Roman"/>
        <family val="1"/>
      </rPr>
      <t xml:space="preserve">adíjih </t>
    </r>
    <r>
      <rPr>
        <u/>
        <sz val="8"/>
        <rFont val="Times Ext Roman"/>
        <family val="1"/>
      </rPr>
      <t>Kh</t>
    </r>
    <r>
      <rPr>
        <sz val="8"/>
        <rFont val="Times Ext Roman"/>
        <family val="1"/>
      </rPr>
      <t>ánum)</t>
    </r>
  </si>
  <si>
    <r>
      <t>River near Ba</t>
    </r>
    <r>
      <rPr>
        <u/>
        <sz val="8"/>
        <rFont val="Times Ext Roman"/>
        <family val="1"/>
      </rPr>
      <t>gh</t>
    </r>
    <r>
      <rPr>
        <sz val="8"/>
        <rFont val="Times Ext Roman"/>
        <family val="1"/>
      </rPr>
      <t>dád</t>
    </r>
  </si>
  <si>
    <r>
      <t>Dar-es-Salaam, or the Abode of Peace [Ba</t>
    </r>
    <r>
      <rPr>
        <u/>
        <sz val="8"/>
        <rFont val="Times Ext Roman"/>
        <family val="1"/>
      </rPr>
      <t>gh</t>
    </r>
    <r>
      <rPr>
        <sz val="8"/>
        <rFont val="Times Ext Roman"/>
        <family val="1"/>
      </rPr>
      <t>dád]</t>
    </r>
  </si>
  <si>
    <r>
      <t>pl. of farrá</t>
    </r>
    <r>
      <rPr>
        <u/>
        <sz val="8"/>
        <rFont val="Times Ext Roman"/>
        <family val="1"/>
      </rPr>
      <t>sh</t>
    </r>
  </si>
  <si>
    <r>
      <t xml:space="preserve">from </t>
    </r>
    <r>
      <rPr>
        <u/>
        <sz val="8"/>
        <rFont val="Times Ext Roman"/>
        <family val="1"/>
      </rPr>
      <t>gh</t>
    </r>
    <r>
      <rPr>
        <sz val="8"/>
        <rFont val="Times Ext Roman"/>
        <family val="1"/>
      </rPr>
      <t>ufrán “forgiveness”</t>
    </r>
  </si>
  <si>
    <r>
      <t xml:space="preserve">Persian mystic poet of </t>
    </r>
    <r>
      <rPr>
        <u/>
        <sz val="8"/>
        <rFont val="Times Ext Roman"/>
        <family val="1"/>
      </rPr>
      <t>Sh</t>
    </r>
    <r>
      <rPr>
        <sz val="8"/>
        <rFont val="Times Ext Roman"/>
        <family val="1"/>
      </rPr>
      <t xml:space="preserve">íráz 1320–1390, author of odes in the </t>
    </r>
    <r>
      <rPr>
        <u/>
        <sz val="8"/>
        <rFont val="Times Ext Roman"/>
        <family val="1"/>
      </rPr>
      <t>gh</t>
    </r>
    <r>
      <rPr>
        <sz val="8"/>
        <rFont val="Times Ext Roman"/>
        <family val="1"/>
      </rPr>
      <t>azal form</t>
    </r>
  </si>
  <si>
    <r>
      <t>users of ḥa</t>
    </r>
    <r>
      <rPr>
        <u/>
        <sz val="8"/>
        <rFont val="Times Ext Roman"/>
        <family val="1"/>
      </rPr>
      <t>sh</t>
    </r>
    <r>
      <rPr>
        <sz val="8"/>
        <rFont val="Times Ext Roman"/>
        <family val="1"/>
      </rPr>
      <t>í</t>
    </r>
    <r>
      <rPr>
        <u/>
        <sz val="8"/>
        <rFont val="Times Ext Roman"/>
        <family val="1"/>
      </rPr>
      <t>sh</t>
    </r>
  </si>
  <si>
    <r>
      <t xml:space="preserve">“fence, wall, fortification”. A town in </t>
    </r>
    <r>
      <rPr>
        <u/>
        <sz val="8"/>
        <rFont val="Times Ext Roman"/>
        <family val="1"/>
      </rPr>
      <t>Kh</t>
    </r>
    <r>
      <rPr>
        <sz val="8"/>
        <rFont val="Times Ext Roman"/>
        <family val="1"/>
      </rPr>
      <t>urásán province</t>
    </r>
  </si>
  <si>
    <r>
      <t xml:space="preserve">Hobour </t>
    </r>
    <r>
      <rPr>
        <u/>
        <sz val="8"/>
        <rFont val="Times Ext Roman"/>
        <family val="1"/>
      </rPr>
      <t>Kh</t>
    </r>
    <r>
      <rPr>
        <sz val="8"/>
        <rFont val="Times Ext Roman"/>
        <family val="1"/>
      </rPr>
      <t>ánum</t>
    </r>
  </si>
  <si>
    <r>
      <t xml:space="preserve">Mírzá Muḥammad-Taqí, wife Munírih </t>
    </r>
    <r>
      <rPr>
        <u/>
        <sz val="8"/>
        <rFont val="Times Ext Roman"/>
        <family val="1"/>
      </rPr>
      <t>Kh</t>
    </r>
    <r>
      <rPr>
        <sz val="8"/>
        <rFont val="Times Ext Roman"/>
        <family val="1"/>
      </rPr>
      <t>ánum</t>
    </r>
  </si>
  <si>
    <r>
      <t xml:space="preserve">Mírzá `Alí-Muḥammad. Designated by Bahá’u’lláh as </t>
    </r>
    <r>
      <rPr>
        <u/>
        <sz val="8"/>
        <rFont val="Times Ext Roman"/>
        <family val="1"/>
      </rPr>
      <t>Sh</t>
    </r>
    <r>
      <rPr>
        <sz val="8"/>
        <rFont val="Times Ext Roman"/>
        <family val="1"/>
      </rPr>
      <t>ahíd Ibn-i-</t>
    </r>
    <r>
      <rPr>
        <u/>
        <sz val="8"/>
        <rFont val="Times Ext Roman"/>
        <family val="1"/>
      </rPr>
      <t>Sh</t>
    </r>
    <r>
      <rPr>
        <sz val="8"/>
        <rFont val="Times Ext Roman"/>
        <family val="1"/>
      </rPr>
      <t>ahíh—“Martyr, son of the Martyr” —Son of Mullá Ṣádiq-i-Muqaddas-i-</t>
    </r>
    <r>
      <rPr>
        <u/>
        <sz val="8"/>
        <rFont val="Times Ext Roman"/>
        <family val="1"/>
      </rPr>
      <t>Kh</t>
    </r>
    <r>
      <rPr>
        <sz val="8"/>
        <rFont val="Times Ext Roman"/>
        <family val="1"/>
      </rPr>
      <t>urásání</t>
    </r>
  </si>
  <si>
    <r>
      <t xml:space="preserve">The power of a </t>
    </r>
    <r>
      <rPr>
        <u/>
        <sz val="8"/>
        <rFont val="Times Ext Roman"/>
        <family val="1"/>
      </rPr>
      <t>Sh</t>
    </r>
    <r>
      <rPr>
        <sz val="8"/>
        <rFont val="Times Ext Roman"/>
        <family val="1"/>
      </rPr>
      <t>i’íh divine to issue ex cathedra decrees and judgements</t>
    </r>
  </si>
  <si>
    <r>
      <t xml:space="preserve">“Guidance unto the Ignorant” by Ḥájí Muḥammad-Karím </t>
    </r>
    <r>
      <rPr>
        <u/>
        <sz val="8"/>
        <rFont val="Times Ext Roman"/>
        <family val="1"/>
      </rPr>
      <t>Kh</t>
    </r>
    <r>
      <rPr>
        <sz val="8"/>
        <rFont val="Times Ext Roman"/>
        <family val="1"/>
      </rPr>
      <t xml:space="preserve">án </t>
    </r>
  </si>
  <si>
    <r>
      <t xml:space="preserve">Twelver </t>
    </r>
    <r>
      <rPr>
        <u/>
        <sz val="8"/>
        <rFont val="Times Ext Roman"/>
        <family val="1"/>
      </rPr>
      <t>Sh</t>
    </r>
    <r>
      <rPr>
        <sz val="8"/>
        <rFont val="Times Ext Roman"/>
        <family val="1"/>
      </rPr>
      <t>íʼihs</t>
    </r>
  </si>
  <si>
    <r>
      <t xml:space="preserve">form of </t>
    </r>
    <r>
      <rPr>
        <u/>
        <sz val="8"/>
        <rFont val="Times Ext Roman"/>
        <family val="1"/>
      </rPr>
      <t>Kh</t>
    </r>
    <r>
      <rPr>
        <sz val="8"/>
        <rFont val="Times Ext Roman"/>
        <family val="1"/>
      </rPr>
      <t>idíw/Khedive</t>
    </r>
  </si>
  <si>
    <r>
      <rPr>
        <u/>
        <sz val="8"/>
        <rFont val="Times Ext Roman"/>
        <family val="1"/>
      </rPr>
      <t>Sh</t>
    </r>
    <r>
      <rPr>
        <sz val="8"/>
        <rFont val="Times Ext Roman"/>
        <family val="1"/>
      </rPr>
      <t>i’at offering of one fifth to Imám or his deputy</t>
    </r>
  </si>
  <si>
    <r>
      <t xml:space="preserve">Tablet to the </t>
    </r>
    <r>
      <rPr>
        <u/>
        <sz val="8"/>
        <rFont val="Times Ext Roman"/>
        <family val="1"/>
      </rPr>
      <t>Sh</t>
    </r>
    <r>
      <rPr>
        <sz val="8"/>
        <rFont val="Times Ext Roman"/>
        <family val="1"/>
      </rPr>
      <t>áh of Persia, by Bahá’u’lláh</t>
    </r>
  </si>
  <si>
    <r>
      <rPr>
        <i/>
        <sz val="8"/>
        <rFont val="Times Ext Roman"/>
        <family val="1"/>
      </rPr>
      <t>Priceless Things</t>
    </r>
    <r>
      <rPr>
        <sz val="8"/>
        <rFont val="Times Ext Roman"/>
        <family val="1"/>
      </rPr>
      <t xml:space="preserve"> by Mírzá Abu’l-Faḍl</t>
    </r>
  </si>
  <si>
    <r>
      <t xml:space="preserve">later title of Ḥasan-`Alí </t>
    </r>
    <r>
      <rPr>
        <u/>
        <sz val="8"/>
        <rFont val="Times Ext Roman"/>
        <family val="1"/>
      </rPr>
      <t>Kh</t>
    </r>
    <r>
      <rPr>
        <sz val="8"/>
        <rFont val="Times Ext Roman"/>
        <family val="1"/>
      </rPr>
      <t>án</t>
    </r>
  </si>
  <si>
    <r>
      <t xml:space="preserve">An eminent Ṣufí </t>
    </r>
    <r>
      <rPr>
        <u/>
        <sz val="8"/>
        <rFont val="Times Ext Roman"/>
        <family val="1"/>
      </rPr>
      <t>Sh</t>
    </r>
    <r>
      <rPr>
        <sz val="8"/>
        <rFont val="Times Ext Roman"/>
        <family val="1"/>
      </rPr>
      <t>ay</t>
    </r>
    <r>
      <rPr>
        <u/>
        <sz val="8"/>
        <rFont val="Times Ext Roman"/>
        <family val="1"/>
      </rPr>
      <t>kh</t>
    </r>
  </si>
  <si>
    <r>
      <t>Ba</t>
    </r>
    <r>
      <rPr>
        <u/>
        <sz val="8"/>
        <rFont val="Times Ext Roman"/>
        <family val="1"/>
      </rPr>
      <t>gh</t>
    </r>
    <r>
      <rPr>
        <sz val="8"/>
        <rFont val="Times Ext Roman"/>
        <family val="1"/>
      </rPr>
      <t>dád</t>
    </r>
  </si>
  <si>
    <r>
      <t>by Siyyid Káẓim-i-Ra</t>
    </r>
    <r>
      <rPr>
        <u/>
        <sz val="8"/>
        <rFont val="Times Ext Roman"/>
        <family val="1"/>
      </rPr>
      <t>sh</t>
    </r>
    <r>
      <rPr>
        <sz val="8"/>
        <rFont val="Times Ext Roman"/>
        <family val="1"/>
      </rPr>
      <t>tí</t>
    </r>
  </si>
  <si>
    <r>
      <t xml:space="preserve">by </t>
    </r>
    <r>
      <rPr>
        <u/>
        <sz val="8"/>
        <rFont val="Times Ext Roman"/>
        <family val="1"/>
      </rPr>
      <t>Sh</t>
    </r>
    <r>
      <rPr>
        <sz val="8"/>
        <rFont val="Times Ext Roman"/>
        <family val="1"/>
      </rPr>
      <t>ay</t>
    </r>
    <r>
      <rPr>
        <u/>
        <sz val="8"/>
        <rFont val="Times Ext Roman"/>
        <family val="1"/>
      </rPr>
      <t>kh</t>
    </r>
    <r>
      <rPr>
        <sz val="8"/>
        <rFont val="Times Ext Roman"/>
        <family val="1"/>
      </rPr>
      <t xml:space="preserve"> Aḥmad-i-Aḥsá’í</t>
    </r>
  </si>
  <si>
    <r>
      <t>Commentary on the Súrih of Kaw</t>
    </r>
    <r>
      <rPr>
        <u/>
        <sz val="8"/>
        <rFont val="Times Ext Roman"/>
        <family val="1"/>
      </rPr>
      <t>th</t>
    </r>
    <r>
      <rPr>
        <sz val="8"/>
        <rFont val="Times Ext Roman"/>
        <family val="1"/>
      </rPr>
      <t>ar in the Qur’án by the Báb</t>
    </r>
  </si>
  <si>
    <r>
      <t>pl. of Tablí</t>
    </r>
    <r>
      <rPr>
        <u/>
        <sz val="8"/>
        <rFont val="Times Ext Roman"/>
        <family val="1"/>
      </rPr>
      <t>qh</t>
    </r>
    <r>
      <rPr>
        <sz val="8"/>
        <rFont val="Times Ext Roman"/>
        <family val="1"/>
      </rPr>
      <t xml:space="preserve"> “transmissions, notifications, deliveries” </t>
    </r>
  </si>
  <si>
    <r>
      <t>now Ma</t>
    </r>
    <r>
      <rPr>
        <u/>
        <sz val="8"/>
        <rFont val="Times Ext Roman"/>
        <family val="1"/>
      </rPr>
      <t>sh</t>
    </r>
    <r>
      <rPr>
        <sz val="8"/>
        <rFont val="Times Ext Roman"/>
        <family val="1"/>
      </rPr>
      <t>had</t>
    </r>
  </si>
  <si>
    <r>
      <t>“The Sure Handle” or “the strongest handle” [Ar.: `Urwatu’l-Wu</t>
    </r>
    <r>
      <rPr>
        <u/>
        <sz val="8"/>
        <rFont val="Times Ext Roman"/>
        <family val="1"/>
      </rPr>
      <t>th</t>
    </r>
    <r>
      <rPr>
        <sz val="8"/>
        <rFont val="Times Ext Roman"/>
        <family val="1"/>
      </rPr>
      <t>qá]</t>
    </r>
  </si>
  <si>
    <r>
      <t>compilation of the texts of the talks given by `Abdu’l-Hamid I</t>
    </r>
    <r>
      <rPr>
        <u/>
        <sz val="8"/>
        <rFont val="Times Ext Roman"/>
        <family val="1"/>
      </rPr>
      <t>sh</t>
    </r>
    <r>
      <rPr>
        <sz val="8"/>
        <rFont val="Times Ext Roman"/>
        <family val="1"/>
      </rPr>
      <t xml:space="preserve">ráq </t>
    </r>
    <r>
      <rPr>
        <u/>
        <sz val="8"/>
        <rFont val="Times Ext Roman"/>
        <family val="1"/>
      </rPr>
      <t>Kh</t>
    </r>
    <r>
      <rPr>
        <sz val="8"/>
        <rFont val="Times Ext Roman"/>
        <family val="1"/>
      </rPr>
      <t>ávarí</t>
    </r>
  </si>
  <si>
    <t>Rückfragen</t>
  </si>
  <si>
    <t>Áb</t>
  </si>
  <si>
    <t>Wann Beginn mit Großbuchstaben, wann nicht?</t>
  </si>
  <si>
    <t xml:space="preserve"> </t>
  </si>
  <si>
    <r>
      <t>oder Muʿín</t>
    </r>
    <r>
      <rPr>
        <sz val="8"/>
        <color rgb="FFFF0000"/>
        <rFont val="Times Ext Roman"/>
      </rPr>
      <t>ú</t>
    </r>
    <r>
      <rPr>
        <sz val="8"/>
        <rFont val="Times Ext Roman"/>
        <family val="1"/>
      </rPr>
      <t>’s ?</t>
    </r>
  </si>
  <si>
    <t>Ná’ín</t>
  </si>
  <si>
    <t>Jamádí</t>
  </si>
  <si>
    <t>Madrisiy-i-Dárú’-afáy-i-Masjid-i-áh</t>
  </si>
  <si>
    <t>Masjid-i-Buráá</t>
  </si>
  <si>
    <t>Raḥím-i-abbáz</t>
  </si>
  <si>
    <t>Násiu’t-Tavári</t>
  </si>
  <si>
    <t>Páy-i-Minár</t>
  </si>
  <si>
    <t>Qaṣídiy-i-Varqá’íyyih</t>
  </si>
  <si>
    <t>Ṣáḥib-Díván</t>
  </si>
  <si>
    <t>Ṣáḥib-i-Díván</t>
  </si>
  <si>
    <t>Yaḥyáy-i-Dárábí</t>
  </si>
  <si>
    <t>ay Abú-Turáb</t>
  </si>
  <si>
    <t>Aufgrund von Überprüfung von Nabíl I übernommen</t>
  </si>
  <si>
    <t>ʿAlí-Naqí Mírzá Ruknu’d-Dawlih</t>
  </si>
  <si>
    <t>Baytu’l-Ḥazan</t>
  </si>
  <si>
    <t>Ḥaddih</t>
  </si>
  <si>
    <t>Ḥusayn-ibn-i-Rúḥ Naw-Batí</t>
  </si>
  <si>
    <t>Jism-i-Húriqlíyá</t>
  </si>
  <si>
    <t>Laylatu’l-Qadr</t>
  </si>
  <si>
    <t>Ma’mún</t>
  </si>
  <si>
    <t>Mullá Muḥammad-Taqíy-i-Baraqání</t>
  </si>
  <si>
    <t>Mullá Muḥammad-Taqíy-i-Harátí</t>
  </si>
  <si>
    <t>Mullá udá-Ba-i-Qúání</t>
  </si>
  <si>
    <t>Mullá ay ʿAlí</t>
  </si>
  <si>
    <t>Mullá-ʿAlíy-i-Basṭámí</t>
  </si>
  <si>
    <t>Muríd</t>
  </si>
  <si>
    <t>Naṣárá</t>
  </si>
  <si>
    <t>Qá’im-i-Ál-i-Muḥammad</t>
  </si>
  <si>
    <t>Siyyid ʿAbdu’l-Báqí</t>
  </si>
  <si>
    <t>Siyyid Ismáʿíl-i-Zavári’í</t>
  </si>
  <si>
    <t>Surra-man-Ra’á</t>
  </si>
  <si>
    <t>Tafsírih Áyatu’l-Kursi</t>
  </si>
  <si>
    <t>Ṭahmásp Mírzá</t>
  </si>
  <si>
    <t>Zíyáratu’l Jámiʿatu’l-Kabírih</t>
  </si>
  <si>
    <t>i’l-Ḥajjih</t>
  </si>
  <si>
    <t>i’l-Qaʿdih</t>
  </si>
  <si>
    <t>ay ʿAbdu’lláh</t>
  </si>
  <si>
    <t>ay Aḥmad-ibn-i-Zaynu’d-Dín-ibn-i-Ibráhím-ibn-i-Ṣar-ibn-i-Ibráhím-ibn-i-Ẓáhir-ibn-i-Ramaḍán-ibn-i-Raíd-ibn-i-Dahím-ibn-i-imrú-ibn-i-Súlih</t>
  </si>
  <si>
    <t>ay Ṣafí’u’d-Dín Isḥáq</t>
  </si>
  <si>
    <t>ayuná</t>
  </si>
  <si>
    <t>Ḥájí Alláh-Virdí</t>
  </si>
  <si>
    <t xml:space="preserve">Ḥájí Ḥasan-i-Náʼíní </t>
  </si>
  <si>
    <t>Ḥájí Siyyid Muḥammad-Báqir-i-Ratí</t>
  </si>
  <si>
    <t>Ḥasan-i-ʿAskarí</t>
  </si>
  <si>
    <t>Par-Pá</t>
  </si>
  <si>
    <t>Fatḥ-ʿAlí áh</t>
  </si>
  <si>
    <t>Badrí Páá</t>
  </si>
  <si>
    <t>ay Abú-Turábs</t>
  </si>
  <si>
    <t>Ḥájí ʿAbdu’l-Majíd</t>
  </si>
  <si>
    <t>Ḥájí ʿAbdu’l-Majíd-i-írází</t>
  </si>
  <si>
    <t>Ḥájí ʿAbdu’l-Vahháb</t>
  </si>
  <si>
    <t>Ḥájí ʿAlí-Akbar</t>
  </si>
  <si>
    <t>Ḥájí Abu’l-Ḥasan-i-Bazzáz</t>
  </si>
  <si>
    <t>Ḥájí Abu’l-Ḥasan-i-írází</t>
  </si>
  <si>
    <t>Ḥájí Ḥasan</t>
  </si>
  <si>
    <t>Ḥájí Háim</t>
  </si>
  <si>
    <t>Ḥájí Ḥusayn-ʿAlí</t>
  </si>
  <si>
    <t>Ḥájí Kalbásí</t>
  </si>
  <si>
    <t>Ḥájí Karím án</t>
  </si>
  <si>
    <t>Ḥájí Mírzá Aḥmad</t>
  </si>
  <si>
    <t>Ḥájí Mírzá Jání</t>
  </si>
  <si>
    <t>Ḥájí Mírzá Jáníy-i-Buzurg</t>
  </si>
  <si>
    <t>Ḥájí Mírzá Jáníy-i-Turk</t>
  </si>
  <si>
    <t>Ḥájí Mírzá Kamálu’d-Dín-i-Naráqí</t>
  </si>
  <si>
    <t>Ḥájí Mírzá Karím án</t>
  </si>
  <si>
    <t>Ḥájí Mírzá Muḥammad Karím án</t>
  </si>
  <si>
    <t>Ḥájí Mírzá Muḥammad</t>
  </si>
  <si>
    <t>Ḥájí Mírzá Muḥammad-ʿAlí</t>
  </si>
  <si>
    <t>Ḥájí Mírzá Muḥammad-i-urásání</t>
  </si>
  <si>
    <t>Ḥájí Mírzá Muḥammad-Taqí</t>
  </si>
  <si>
    <t>Ḥájí Mírzá Músá</t>
  </si>
  <si>
    <t>Ḥájí Mírzá Siyyid ʿAlí</t>
  </si>
  <si>
    <t>Ḥusayn án</t>
  </si>
  <si>
    <t>Ibráhím án-i-Qájár-i-Kirmání</t>
  </si>
  <si>
    <t>Imám Ḥasan</t>
  </si>
  <si>
    <t>Imám Ḥusayn</t>
  </si>
  <si>
    <t>Imám Mihdí</t>
  </si>
  <si>
    <t>Imám Músá</t>
  </si>
  <si>
    <t>Imám Riḍá</t>
  </si>
  <si>
    <t>Imáms Músá Káẓim</t>
  </si>
  <si>
    <t>Jaʿfar-i-Ṣádiq</t>
  </si>
  <si>
    <t>Karím án</t>
  </si>
  <si>
    <t>Maḥmúd án</t>
  </si>
  <si>
    <t>Manúihr án</t>
  </si>
  <si>
    <t>Mírzá ʿAbdu’lláh-i-awá</t>
  </si>
  <si>
    <t>Mírzá ʿAlí</t>
  </si>
  <si>
    <t>Mírzá ʿAlí-Muḥammad</t>
  </si>
  <si>
    <t>Mírzá Abu’l Faḍl</t>
  </si>
  <si>
    <t>Mírzá Abu’l Qásim</t>
  </si>
  <si>
    <t>Mírzá Abu’l-Fatḥ</t>
  </si>
  <si>
    <t>Mírzá Aḥmad</t>
  </si>
  <si>
    <t>Mírzá Aḥmad-i-Azandí</t>
  </si>
  <si>
    <t>Mírzá Aḥmad-i-Kátib</t>
  </si>
  <si>
    <t>Mírzá Aḥmad-i-Qazvíní</t>
  </si>
  <si>
    <t>Mírzá Aḥmads</t>
  </si>
  <si>
    <t>Mírzá Áqá Ján</t>
  </si>
  <si>
    <t>Mírzá Áqá án-i-Núrí</t>
  </si>
  <si>
    <t>Mírzá Áqáy-i-Rikáb-Sáz</t>
  </si>
  <si>
    <t>Mírzá Buzurg</t>
  </si>
  <si>
    <t>Mírzá Buzurg-i-Núrí</t>
  </si>
  <si>
    <t>Mírzá Fatḥ-ʿAlí án</t>
  </si>
  <si>
    <t>Mírzá Ḥasan-i-Gawhar</t>
  </si>
  <si>
    <t>Mírzá Ibráhím-i-írází</t>
  </si>
  <si>
    <t>Mírzá Jáʿfar án Muíru’d-Dawlih</t>
  </si>
  <si>
    <t>Mírzá Jaʿfar</t>
  </si>
  <si>
    <t>Mírzá Jání</t>
  </si>
  <si>
    <t>Mírzá Luṭf-ʿAlí</t>
  </si>
  <si>
    <t>Mírzá Maḥmúd-i-Qamṣarí</t>
  </si>
  <si>
    <t>Mírzá Muḥammad Báqir-i-Qá’iní</t>
  </si>
  <si>
    <t>Mírzá Muḥammad Rawḍih-án-i-Yazdí</t>
  </si>
  <si>
    <t>Mírzá Muḥammad Taqíy-i-Núrí</t>
  </si>
  <si>
    <t>Mírzá Muḥammad-ʿAlí</t>
  </si>
  <si>
    <t>Mírzá Muḥammad-i-Kirmání</t>
  </si>
  <si>
    <t>Mírzá Muḥammad-Taqíy-i-Núrí</t>
  </si>
  <si>
    <t>Mírzá Muḥsin</t>
  </si>
  <si>
    <t>Mírzá Músá</t>
  </si>
  <si>
    <t>Mírzá Ṣáliḥ</t>
  </si>
  <si>
    <t>Mírzá Siyyid Ḥasans</t>
  </si>
  <si>
    <t>Mírzá Taqí án Amír-Niẓám</t>
  </si>
  <si>
    <t>Mírzá Taqí án</t>
  </si>
  <si>
    <t>Mírzá Taqí</t>
  </si>
  <si>
    <t>Mírzá Zaynu’l-ʿÁbidín</t>
  </si>
  <si>
    <t>Muḥammad Ḥasan</t>
  </si>
  <si>
    <t>Muḥammad Muṣṭafá</t>
  </si>
  <si>
    <t>Muḥammad áh</t>
  </si>
  <si>
    <t>Muḥammad-ʿAlí Mírzá</t>
  </si>
  <si>
    <t>Muḥammad-ʿAlí áh</t>
  </si>
  <si>
    <t>Muḥammad-áhs</t>
  </si>
  <si>
    <t>Mullá ʿAbdu’l-áliq</t>
  </si>
  <si>
    <t>Mullá ʿAbdu’l-ʿAlí</t>
  </si>
  <si>
    <t>Mullá ʿAbdu’l-ʿAlíy-i-Harátí</t>
  </si>
  <si>
    <t>Mullá ʿAbdu’l-Karím</t>
  </si>
  <si>
    <t>Mullá ʿAbdu’l-Karím-i-Íravání</t>
  </si>
  <si>
    <t>Mullá ʿAbdu’l-Karím-i-Qazvíní</t>
  </si>
  <si>
    <t>Mullá ʿAbdu’l-Karíms</t>
  </si>
  <si>
    <t>Mullá ʿAbdu’l-Vahháb</t>
  </si>
  <si>
    <t>Mullá ʿAbdu’l-Vahháb-i-Qazvíní</t>
  </si>
  <si>
    <t>Mullá ʿAbdu’l-áliq-i-Yazdí</t>
  </si>
  <si>
    <t>Mullá ʿAlí</t>
  </si>
  <si>
    <t>Mullá ʿAlí-Akbar</t>
  </si>
  <si>
    <t>Mullá ʿAlí-Akbar-i-Ardistání</t>
  </si>
  <si>
    <t>Mullá ʿAlís</t>
  </si>
  <si>
    <t>Mullá ʿAlíy-i-Basṭámí</t>
  </si>
  <si>
    <t>Mullá ʿAlíy-i-Bastámís</t>
  </si>
  <si>
    <t>Mullá Aḥmad-i-Ibdál-i-Marái’í</t>
  </si>
  <si>
    <t>Mullá Aḥmad-i-Muʿallim</t>
  </si>
  <si>
    <t>Mullá Báqir-i-Tabrízí</t>
  </si>
  <si>
    <t>Mullá Ḥasan-i-Bajistání</t>
  </si>
  <si>
    <t>Mullá Ḥusayn-i-Burú’í</t>
  </si>
  <si>
    <t>Mullá Muḥammad ʿAlí</t>
  </si>
  <si>
    <t>Mullá Muḥammad</t>
  </si>
  <si>
    <t>Mullá Muḥammad-i-Muʿallim</t>
  </si>
  <si>
    <t>Mullá Muḥammad-i-Núrí</t>
  </si>
  <si>
    <t>Mullá Ṣádiq</t>
  </si>
  <si>
    <t>Mullá Ṣadrá</t>
  </si>
  <si>
    <t>Munírih ánum</t>
  </si>
  <si>
    <t>Músá Káẓim</t>
  </si>
  <si>
    <t>Muṣṭafá Big-i-Sanandají</t>
  </si>
  <si>
    <t>ay Aḥmad</t>
  </si>
  <si>
    <t>Nádir áh</t>
  </si>
  <si>
    <t>Najíb Páá</t>
  </si>
  <si>
    <t>Niẓámu’d-Dawlih Ḥusayn án</t>
  </si>
  <si>
    <t>Siyyid Ḥusayn</t>
  </si>
  <si>
    <t>Siyyid Ḥusayn-i-Azandí</t>
  </si>
  <si>
    <t>Siyyid Ḥusayn-i-Yazdí</t>
  </si>
  <si>
    <t>Siyyid Káẓim</t>
  </si>
  <si>
    <t>Siyyid Káẓim-i-Ratí</t>
  </si>
  <si>
    <t>Siyyid Káẓim-i-Zanjání</t>
  </si>
  <si>
    <t>Siyyid Murtaḍá</t>
  </si>
  <si>
    <t>Siyyid Yaḥyá</t>
  </si>
  <si>
    <t>Súrih ʿAbd</t>
  </si>
  <si>
    <t>Súrih Qarábat</t>
  </si>
  <si>
    <t>Vazír Niẓám</t>
  </si>
  <si>
    <t>ay ʿAlí Mírzá</t>
  </si>
  <si>
    <t>ay ʿAlí</t>
  </si>
  <si>
    <t>ay Hádí</t>
  </si>
  <si>
    <t>ay Ḥasan</t>
  </si>
  <si>
    <t>ay Ḥasan-i-Zunúzí</t>
  </si>
  <si>
    <t>ay Muḥammad Ḥasan</t>
  </si>
  <si>
    <t>ay Muḥammad-i-ibl</t>
  </si>
  <si>
    <t>ay Sulṭán</t>
  </si>
  <si>
    <t>ay Ṭabarsí</t>
  </si>
  <si>
    <t>Ḥájí Muḥammad-Bisáṭ</t>
  </si>
  <si>
    <t>Ḥájí Muḥammad-Karím án</t>
  </si>
  <si>
    <t>Ḥájí Mullá ʿAbdu’l-Vahháb</t>
  </si>
  <si>
    <t>Ḥájí Mullá ʿAlí</t>
  </si>
  <si>
    <t>Ḥájí Mullá Ṣáliḥ</t>
  </si>
  <si>
    <t>Ḥájí Mullá Ṣáliḥ-i-Baraqání</t>
  </si>
  <si>
    <t>Ḥáji Mullá Ṣáliḥ-i-Qazvíní</t>
  </si>
  <si>
    <t>Ḥájí Mullá Taqíy-i-Baraqání</t>
  </si>
  <si>
    <t>Ḥájí Mullá</t>
  </si>
  <si>
    <t>Ḥájí Níyáz-i-Badádí</t>
  </si>
  <si>
    <t>Ḥájí Siyyid Asadu’lláh</t>
  </si>
  <si>
    <t>Ḥájí Siyyid Javád</t>
  </si>
  <si>
    <t>Ḥájí Siyyid Javád-i-Karbilá’í</t>
  </si>
  <si>
    <t>Ḥájí Siyyid Javád-i-Kirmání</t>
  </si>
  <si>
    <t>Ḥájí Siyyid Káẓim-i-Ratí</t>
  </si>
  <si>
    <t>Ḥájí Siyyid Muḥammad-Báqir</t>
  </si>
  <si>
    <t>Ibráhím-ibn-i-Valíd</t>
  </si>
  <si>
    <t>Mullá Maḥmúd-i-uy’í</t>
  </si>
  <si>
    <t>Mullá Yúsif-i-Ardibílí</t>
  </si>
  <si>
    <t>Muẓaffara’d-Dín áh</t>
  </si>
  <si>
    <t>Qu’l Huvalláh-u-Aḥad</t>
  </si>
  <si>
    <t>Ṣafavíden-Könige</t>
  </si>
  <si>
    <t>Siyyid Muḥammad-Riḍá</t>
  </si>
  <si>
    <t>ahrbánú</t>
  </si>
  <si>
    <t>Imám Jaʿfar-i-Ṣádiq</t>
  </si>
  <si>
    <t>ʿArafah</t>
  </si>
  <si>
    <t>Karím án-i-Qájár-i-Kirmání</t>
  </si>
  <si>
    <t>Mírzá Abu’l-Qásims</t>
  </si>
  <si>
    <t>Áqáy-i-Kalím Mírzá Músá</t>
  </si>
  <si>
    <t>Asrár-i-ihádat-i-Imám Ḥusayn</t>
  </si>
  <si>
    <t>Bemerkungen</t>
  </si>
  <si>
    <t>Wann verwendet man "yy"? (z.B. Rúhíyyih). Und wann nicht?</t>
  </si>
  <si>
    <t>Sollen grundsätzlich ALLE vorkommenden Kombinationen von Begriffen als eigener Begriff aufgenommen werden?</t>
  </si>
  <si>
    <t>Áhú</t>
  </si>
  <si>
    <t>Begriffe, die mit "al" beginnen (z.B. al-Aʿarí) klein oder großes "Al-"?</t>
  </si>
  <si>
    <t>Ábarghú</t>
  </si>
  <si>
    <t>Abasí</t>
  </si>
  <si>
    <t>ʿAbbásiyyih</t>
  </si>
  <si>
    <t>ʿAbbúdí</t>
  </si>
  <si>
    <t>ʿAbdu’l-Fattáḥ</t>
  </si>
  <si>
    <t>ʿAbdu’l-Ḥaqq</t>
  </si>
  <si>
    <t>ʿAbdu’l-Ḥusayn-i-útarí</t>
  </si>
  <si>
    <t>ʿAbdu’l-Majíd-i-Níápúrí</t>
  </si>
  <si>
    <t>ʿAbír-Ámíz</t>
  </si>
  <si>
    <t>Abyánih</t>
  </si>
  <si>
    <t>Abu’l-Ḥasan-ʿAlí-ibn-i-Muḥammad Símarí</t>
  </si>
  <si>
    <t>Abú’-urúr</t>
  </si>
  <si>
    <t>Abváb-i-Arbaʿih</t>
  </si>
  <si>
    <t>ad-Durru’l-Bahíyyih</t>
  </si>
  <si>
    <t>Welche Schreibweise ist korrekt bzw. soll verwendet werden? BS: eigentlich diese!</t>
  </si>
  <si>
    <t>ʿAdl</t>
  </si>
  <si>
    <t>ʿAḍuddu’l-Mulk</t>
  </si>
  <si>
    <t>Afrasyáb</t>
  </si>
  <si>
    <t>Áftáb</t>
  </si>
  <si>
    <t>Afṭḥah</t>
  </si>
  <si>
    <t>Aḥmad-i-Ibdál-i-Maráih’í</t>
  </si>
  <si>
    <t>Aḥsanu’l-Qiṣaṣ</t>
  </si>
  <si>
    <t>ʿÁ’íah</t>
  </si>
  <si>
    <t>al-ʿAbidayn</t>
  </si>
  <si>
    <t>ʿÁlamu’l-Amr</t>
  </si>
  <si>
    <t>ʿÁlamu’l-Ḥaqq</t>
  </si>
  <si>
    <t>ʿÁlamu’l-alq</t>
  </si>
  <si>
    <t>al-Báqí</t>
  </si>
  <si>
    <t>al-Baṭḥá</t>
  </si>
  <si>
    <t>al-Baá</t>
  </si>
  <si>
    <t>الفاعلین</t>
  </si>
  <si>
    <t>al-Fárábí</t>
  </si>
  <si>
    <t>الفارق</t>
  </si>
  <si>
    <t>al-Fáriq</t>
  </si>
  <si>
    <t>الحمراء</t>
  </si>
  <si>
    <t>al-Ḥamraʼ</t>
  </si>
  <si>
    <t>al-Háir</t>
  </si>
  <si>
    <t>al-Ḥaar</t>
  </si>
  <si>
    <t>al-Ḥavádi</t>
  </si>
  <si>
    <t>ʿAlí-Akbar-i-Qawání</t>
  </si>
  <si>
    <t>al-Ijtihád</t>
  </si>
  <si>
    <t>al-ʿUmatu’l-Kubrá</t>
  </si>
  <si>
    <t>ʿAlí awkat</t>
  </si>
  <si>
    <t>العصمه</t>
  </si>
  <si>
    <t>al-ʿIṣmah</t>
  </si>
  <si>
    <t>Zaynu’l-ʿÁbidayn</t>
  </si>
  <si>
    <t>Zaynu’l-ʿÁbidayn-i-ahmírzádí</t>
  </si>
  <si>
    <t>Zaynu’l-ʿÁbidayn-i-Yazdí</t>
  </si>
  <si>
    <t>ʿÁbidayn</t>
  </si>
  <si>
    <t>ʿAlíy-i-Sayyáḥ-i-Maráih’í</t>
  </si>
  <si>
    <t>علی زنوزی</t>
  </si>
  <si>
    <t>al-Jannat</t>
  </si>
  <si>
    <t>al-Járíyyah</t>
  </si>
  <si>
    <t>al-Járí</t>
  </si>
  <si>
    <t>al-áliṣ</t>
  </si>
  <si>
    <t>al-uṭabát</t>
  </si>
  <si>
    <t>al-wárazmí</t>
  </si>
  <si>
    <t>al-Kitáb</t>
  </si>
  <si>
    <t>Alláh-u-Aʿaẓam</t>
  </si>
  <si>
    <t>Al-Muʿáir</t>
  </si>
  <si>
    <t>al-Muʿtaṣim</t>
  </si>
  <si>
    <t>al-Rubúbíyyah</t>
  </si>
  <si>
    <t>al-Ṣafí</t>
  </si>
  <si>
    <t>al-Tasbíḥ</t>
  </si>
  <si>
    <t>Alváḥ</t>
  </si>
  <si>
    <t>Alváḥ-i-Laylatu’l-Quds</t>
  </si>
  <si>
    <t>Alváḥ-i-Saláṭín</t>
  </si>
  <si>
    <t>Alváḥ-i-Tablíí-i-Imríká</t>
  </si>
  <si>
    <t>Alváḥ-i-Vaṣáyá</t>
  </si>
  <si>
    <t>al-Valí</t>
  </si>
  <si>
    <t>Al-Valíd</t>
  </si>
  <si>
    <t>al-Váqiʿat</t>
  </si>
  <si>
    <t>al-Varqá’iyyah</t>
  </si>
  <si>
    <t>al-Vasvás</t>
  </si>
  <si>
    <t>al-Viláyah</t>
  </si>
  <si>
    <t>al-Zavráʼ</t>
  </si>
  <si>
    <t>Amínu’l-Aṭibbá’</t>
  </si>
  <si>
    <t>امیر الکتب</t>
  </si>
  <si>
    <t>Amíru’l-Kutub</t>
  </si>
  <si>
    <t>Amr</t>
  </si>
  <si>
    <t>امر</t>
  </si>
  <si>
    <t>عمر ابن قیس ابن شیبان</t>
  </si>
  <si>
    <t>an-Núr</t>
  </si>
  <si>
    <t>Antichrist-</t>
  </si>
  <si>
    <t>Anúíraván-i-ʿÁdil</t>
  </si>
  <si>
    <t>Anúíraván</t>
  </si>
  <si>
    <t>ʿAqá’id</t>
  </si>
  <si>
    <t>اقسا، اقسی</t>
  </si>
  <si>
    <t>Arabíyyih</t>
  </si>
  <si>
    <t>ʿÁrif</t>
  </si>
  <si>
    <t>ar-Raídiyn</t>
  </si>
  <si>
    <t>Áṣafu’d-Dawlih</t>
  </si>
  <si>
    <t>ʿAarah</t>
  </si>
  <si>
    <t>Ahad-u-an-lá-iláh-a-Illa’lláh</t>
  </si>
  <si>
    <t>a-í’í</t>
  </si>
  <si>
    <t>ʿÁúra</t>
  </si>
  <si>
    <t>Ásíyáʼí</t>
  </si>
  <si>
    <t>ʿAṣr</t>
  </si>
  <si>
    <t>ʿAtá-u’lláh</t>
  </si>
  <si>
    <t>اثیر</t>
  </si>
  <si>
    <t>Áyát-i-Iláhí</t>
  </si>
  <si>
    <t>Az Bá-i-Iláhí</t>
  </si>
  <si>
    <t>Bábá-Kúhí</t>
  </si>
  <si>
    <t>Bábí, Bahá’í</t>
  </si>
  <si>
    <t>Bábu’l-Abváb</t>
  </si>
  <si>
    <t>Baháʼ</t>
  </si>
  <si>
    <t>Bahá’í - Azali</t>
  </si>
  <si>
    <t>بنی کنانه</t>
  </si>
  <si>
    <t>بنی قهتان</t>
  </si>
  <si>
    <t>بنی قریزه</t>
  </si>
  <si>
    <t>بنی تمین</t>
  </si>
  <si>
    <t>بطحا</t>
  </si>
  <si>
    <t>Báṭiní</t>
  </si>
  <si>
    <t>Báṭin</t>
  </si>
  <si>
    <t>بیت الحزن</t>
  </si>
  <si>
    <t>bifarmáyíd</t>
  </si>
  <si>
    <t>bigú</t>
  </si>
  <si>
    <t>biniíníd</t>
  </si>
  <si>
    <t>Baá</t>
  </si>
  <si>
    <t>bíst</t>
  </si>
  <si>
    <t>بروجردی</t>
  </si>
  <si>
    <t>برز آباد</t>
  </si>
  <si>
    <t>Ctesiphon  -  Bísitún</t>
  </si>
  <si>
    <t>Cyrus  - Kúru</t>
  </si>
  <si>
    <t>دهجی</t>
  </si>
  <si>
    <t>داعی</t>
  </si>
  <si>
    <t>Dáníyál</t>
  </si>
  <si>
    <t>Dirví Muḥammad</t>
  </si>
  <si>
    <t>Dirví</t>
  </si>
  <si>
    <t>درویش محمّد</t>
  </si>
  <si>
    <t>ikríyyih</t>
  </si>
  <si>
    <t>ذی الحجّه</t>
  </si>
  <si>
    <t>ذی القعده</t>
  </si>
  <si>
    <t>dídam</t>
  </si>
  <si>
    <t>Dih-i-Bálá</t>
  </si>
  <si>
    <t>Dih-i-áh</t>
  </si>
  <si>
    <t>Dih-Maʿbadí</t>
  </si>
  <si>
    <t>Ḍí-Qaʿdih</t>
  </si>
  <si>
    <t>Ḍíyá’uʼd-Dín</t>
  </si>
  <si>
    <t>angíz-án</t>
  </si>
  <si>
    <t>چنگیز خان</t>
  </si>
  <si>
    <t>دودانگه</t>
  </si>
  <si>
    <t>Dúdángih</t>
  </si>
  <si>
    <t>Bei Sárí (Nordiran)</t>
  </si>
  <si>
    <t>Farámú-ánih</t>
  </si>
  <si>
    <t>Farráún</t>
  </si>
  <si>
    <t>Faṭaḥíyyih</t>
  </si>
  <si>
    <t>Fáṭimíyyih</t>
  </si>
  <si>
    <t>فاطمیّه</t>
  </si>
  <si>
    <t>Fayḍ-i-Aqdas</t>
  </si>
  <si>
    <t>Fayḍ-i-Muqaddas</t>
  </si>
  <si>
    <t>Türkisch: Braut</t>
  </si>
  <si>
    <t>íyá</t>
  </si>
  <si>
    <t>Guldat-i-aman-á’ín</t>
  </si>
  <si>
    <t>گلدشت چمن آئین</t>
  </si>
  <si>
    <t>حاجی عبدالمجید</t>
  </si>
  <si>
    <t>حاجی عبدالمجید شیرازی</t>
  </si>
  <si>
    <t>حاجی عبدالوهّاب</t>
  </si>
  <si>
    <t>حاجی عبدالحسن بزّاز</t>
  </si>
  <si>
    <t>حاجی عبدالحسن شیرازی</t>
  </si>
  <si>
    <t>حاجی علی اکبر</t>
  </si>
  <si>
    <t>حاجی الله وردی</t>
  </si>
  <si>
    <r>
      <rPr>
        <strike/>
        <sz val="10"/>
        <color theme="9" tint="-0.249977111117893"/>
        <rFont val="Times New Roman ebf"/>
        <family val="1"/>
      </rPr>
      <t>Ḥájí</t>
    </r>
    <r>
      <rPr>
        <sz val="10"/>
        <color theme="9" tint="-0.249977111117893"/>
        <rFont val="Times New Roman ebf"/>
        <family val="1"/>
      </rPr>
      <t xml:space="preserve"> Bahá’u’lláh</t>
    </r>
  </si>
  <si>
    <t>حاجی حسن</t>
  </si>
  <si>
    <t>حاجی حسن نائینی</t>
  </si>
  <si>
    <t>حاجی هاشم</t>
  </si>
  <si>
    <t>حاجی حسینعلی</t>
  </si>
  <si>
    <t>حاجی کلباسی</t>
  </si>
  <si>
    <t>حاجی کریم خان</t>
  </si>
  <si>
    <t>حاجی میرزا احمد</t>
  </si>
  <si>
    <t>حاجی میرزا علی</t>
  </si>
  <si>
    <t>Ḥájí Mírzá ʿAlí</t>
  </si>
  <si>
    <t>حاجی میرزا آقاسی</t>
  </si>
  <si>
    <t>حاجی میرزا جانی</t>
  </si>
  <si>
    <t>حاجی میرزا جانی بزرگ</t>
  </si>
  <si>
    <t>حاجی میرزا جانی ترک</t>
  </si>
  <si>
    <t>حاجی میرزا کمال الدّین نراقی</t>
  </si>
  <si>
    <t>حاجی میرزا کریم خان</t>
  </si>
  <si>
    <t>حاجی میرزا محمّد</t>
  </si>
  <si>
    <t>حاجی میرزا محمّد کریم خان</t>
  </si>
  <si>
    <t>حاجی میرزا محمّد علی</t>
  </si>
  <si>
    <t>حاجی میرزا محمّد خراسانی</t>
  </si>
  <si>
    <t>حاجی میرزا محمّد تقی</t>
  </si>
  <si>
    <t>حاجی میرزا موسی</t>
  </si>
  <si>
    <t>حاجی میرزا سیّد علی</t>
  </si>
  <si>
    <t>حاجی میرزا محمّد علی بارفروشی</t>
  </si>
  <si>
    <t>Hájí Muḥammad-ʿAlí-i-Barfurúí</t>
  </si>
  <si>
    <t>حاجی محمّد بساط</t>
  </si>
  <si>
    <t>حاجی محمّد کریم خان</t>
  </si>
  <si>
    <t>حاجی ملّا</t>
  </si>
  <si>
    <t>حاجی ملّا عبدالوهّاب</t>
  </si>
  <si>
    <t>حاجی ملّا علی</t>
  </si>
  <si>
    <t>حاجی ملّا صالح</t>
  </si>
  <si>
    <t>حاجی  ملّا صالح برقانی</t>
  </si>
  <si>
    <t>حاجی  ملّا صالح قزوینی</t>
  </si>
  <si>
    <t>حاجی ملّا تقی برقانی</t>
  </si>
  <si>
    <t>حاجی نیاز بغدادی</t>
  </si>
  <si>
    <t>حاجی سیّد اسد الله</t>
  </si>
  <si>
    <t>حاجی سیّد جواد</t>
  </si>
  <si>
    <t>حاجی سیّد جواد کربلائی</t>
  </si>
  <si>
    <t>حاجی سیّد جواد کرمانی</t>
  </si>
  <si>
    <t>حاجی سیّد کاظم رشتی</t>
  </si>
  <si>
    <t>حاجی سیّد محمّد باقر</t>
  </si>
  <si>
    <t>حاجی سیّد محمّد باقر رشتی</t>
  </si>
  <si>
    <t>Hamá (eigentlich:) Humá</t>
  </si>
  <si>
    <t>Ḥasan-i-Nayíní</t>
  </si>
  <si>
    <t>حسن نیینی</t>
  </si>
  <si>
    <t>Ḥaíín</t>
  </si>
  <si>
    <t>حشیشین</t>
  </si>
  <si>
    <t>Hidáyatu’ṭ-i-Ṭálibín</t>
  </si>
  <si>
    <t>Hijrah</t>
  </si>
  <si>
    <t>هجره</t>
  </si>
  <si>
    <t>Hirátí</t>
  </si>
  <si>
    <t>Ḥiṣárí</t>
  </si>
  <si>
    <t>Ḥurúfát-i-ʿÁllíyin</t>
  </si>
  <si>
    <t>حسین ابن روح نوبختی</t>
  </si>
  <si>
    <t>Ḥusayn-ibn-i-Rúḥ</t>
  </si>
  <si>
    <t>Ḥusayn-i-Zavárih’í</t>
  </si>
  <si>
    <t>Ibn-i-ʿAlí</t>
  </si>
  <si>
    <t>Ibn</t>
  </si>
  <si>
    <t>ابراهیم خان قاجار کرمانی</t>
  </si>
  <si>
    <t>ابراهیم ابن والد</t>
  </si>
  <si>
    <t>ʿIyd</t>
  </si>
  <si>
    <t>ʿIydál</t>
  </si>
  <si>
    <t>امام علی</t>
  </si>
  <si>
    <t>امام حسن</t>
  </si>
  <si>
    <t>امام جعفر صادق</t>
  </si>
  <si>
    <t>امام موسی</t>
  </si>
  <si>
    <t>امام رضا</t>
  </si>
  <si>
    <t>امام موسی کاظم</t>
  </si>
  <si>
    <t>ʿUmrán</t>
  </si>
  <si>
    <t>ʿIrfán</t>
  </si>
  <si>
    <t>Kalifat</t>
  </si>
  <si>
    <t>s. a. Fuád</t>
  </si>
  <si>
    <t>Gebieter</t>
  </si>
  <si>
    <t>Aufbauer</t>
  </si>
  <si>
    <t>sources</t>
  </si>
  <si>
    <t>entry date</t>
  </si>
  <si>
    <t>modification date</t>
  </si>
  <si>
    <t>en</t>
  </si>
  <si>
    <t>En, De</t>
  </si>
  <si>
    <t>En</t>
  </si>
  <si>
    <t>De</t>
  </si>
  <si>
    <t>Bahá’u’lláhs</t>
  </si>
  <si>
    <t>Lawḥ-i-Hádí</t>
  </si>
  <si>
    <t>de,en</t>
  </si>
  <si>
    <t>ebf</t>
  </si>
  <si>
    <t>skip</t>
  </si>
  <si>
    <t>ebf boarders</t>
  </si>
  <si>
    <t>Bahman Solouki aus Masterliste, "Amír" würde man in Deutsch nicht verstehen</t>
  </si>
  <si>
    <t>“Chaste one of God” NDW &lt;choice&gt;&lt;orig n="ndw"&gt;Hashmatu&amp;#8217;llah&lt;/orig&gt;&lt;reg n="dw"&gt;Ha&amp;sh_unsc;matu&amp;#8217;lláh&lt;/reg&gt;&lt;/choice&gt;(NDW &lt;choice&gt;&lt;orig n="ndw"&gt;&amp;H_udot;i&amp;sh_unsc;matu&amp;#8217;ll&amp;#8217;h&lt;/orig&gt;&lt;reg n="dw"&gt;&amp;H_udot;ishmatu&amp;#8217;lláh&lt;/reg&gt;&lt;/choice&gt;)</t>
  </si>
  <si>
    <t>Wann</t>
  </si>
  <si>
    <t>Was</t>
  </si>
  <si>
    <t>Spaltennamen teilweise geändert (und in gegenwärtiger Form in die Skripte übernommen)</t>
  </si>
  <si>
    <t>Für die Spalten "original", "ebf", "for alphabetical sorting" bedingte Formatierung eingerichtet, die doppelte Einträge Olivgrün hervorhebt</t>
  </si>
  <si>
    <t>In Spalten "original" und "ebf" als doppelt gekennzeichnete Einträge gelöscht und voneinander abweichende Informationen in anderen Spalten zusammengeführt</t>
  </si>
  <si>
    <t>in Spalte "for alphabetical sorting" als doppelt gekennzeichnete Begriffe sollten unbedingt in Spalte "Definition" unterschieden werden.</t>
  </si>
  <si>
    <t>das scheint mir letztendlich sprachabhängig zu sein (Marcel)</t>
  </si>
  <si>
    <t>Wer</t>
  </si>
  <si>
    <t>Marcel</t>
  </si>
  <si>
    <t>unter den arabischen Einträgen sind noch einige als doppelt gekennzeichnet - warum?</t>
  </si>
  <si>
    <t>wirklich mit Bindestrich?</t>
  </si>
  <si>
    <t>letter string</t>
  </si>
  <si>
    <t>Mahab-i-Iná-ʿAaríyyih</t>
  </si>
  <si>
    <t>ASCII</t>
  </si>
  <si>
    <t>pattern</t>
  </si>
  <si>
    <t>name</t>
  </si>
  <si>
    <t>de subst letters</t>
  </si>
  <si>
    <t>en subst ebf</t>
  </si>
  <si>
    <t>de subst ebf</t>
  </si>
  <si>
    <t>en subst letters</t>
  </si>
  <si>
    <t>Spaltennamen teiweise geändert (z.B. "for alphabetical sorting" nach "pattern"</t>
  </si>
  <si>
    <t>Reihenfolge der Spalten umgestellt</t>
  </si>
  <si>
    <t>ʿAbdu’l-Bahás</t>
  </si>
  <si>
    <t>status</t>
  </si>
  <si>
    <t>Badáds</t>
  </si>
  <si>
    <t>Imáme</t>
  </si>
  <si>
    <t>Isláms</t>
  </si>
  <si>
    <t>Mírzá Yaḥyás</t>
  </si>
  <si>
    <t>Muḥammads</t>
  </si>
  <si>
    <t>Mullá Ḥusayns</t>
  </si>
  <si>
    <t>Muslime</t>
  </si>
  <si>
    <t>Nabíls</t>
  </si>
  <si>
    <t>Siyyid ʿAlí-Muḥammads</t>
  </si>
  <si>
    <t>Sulṭáns</t>
  </si>
  <si>
    <t>Ṭihráns</t>
  </si>
  <si>
    <t>Xerxes’</t>
  </si>
  <si>
    <t>NAME</t>
  </si>
  <si>
    <t>check</t>
  </si>
  <si>
    <t>Mecca</t>
  </si>
  <si>
    <t>pl subst ebf</t>
  </si>
  <si>
    <t>pl subst letters</t>
  </si>
  <si>
    <t>Adjá</t>
  </si>
  <si>
    <t xml:space="preserve"> BS: in beiden Fällen: keine arabischen Wörter. Sind das unterschieliche Namen?</t>
  </si>
  <si>
    <t>Adjáʿ</t>
  </si>
  <si>
    <t xml:space="preserve"> BS: in beiden Fällen: keine arabischen Wörter. S+G129ind das unterschieliche Namen?</t>
  </si>
  <si>
    <t>MM: Ist der Term mit dem folgenden identisch oder sind das zwei verschiedene?</t>
  </si>
  <si>
    <t>MM: Definition fehlt</t>
  </si>
  <si>
    <t>M.M.: Definition fehlt</t>
  </si>
  <si>
    <t>M.M.: wenn unterschiedlich vom obigen Term, dann fehlt die Definition</t>
  </si>
  <si>
    <t>M.M.: wenn unterschiedlich vom vorhergehenden bzw. folgenden Term, dann fehlt die Definition</t>
  </si>
  <si>
    <t>M.M.: was bedeutet das erste Zeichen?</t>
  </si>
  <si>
    <t>M.M.:fehlt hier der Punkt unte dem "h" von Rahim?</t>
  </si>
  <si>
    <t>Dschingis an… M.M.: hmmmm mir gefält die Mischung aus Deutsch und Transkription nicht wirklich</t>
  </si>
  <si>
    <t>Fáṭimíden M.M.: stimmt das?</t>
  </si>
  <si>
    <t>M.M.: aus den Definitionen folgt für den Uneingeweihten nicht klar ob es sich um den selben Begriff handelt</t>
  </si>
  <si>
    <t>M.M.: Wir translitterieren Sulṭán, warum nicht auch alíf?</t>
  </si>
  <si>
    <t>M.M.: wie lautet der Originalbegriff? Wahrscheinlich gehört das in die Substitutionsspalte.</t>
  </si>
  <si>
    <t>M.M.: Wie lautet der Originalbegriff?</t>
  </si>
  <si>
    <t>ColNrs</t>
  </si>
  <si>
    <t>ColNames</t>
  </si>
  <si>
    <t>Tran</t>
  </si>
  <si>
    <t>Asci</t>
  </si>
  <si>
    <t>Lett</t>
  </si>
  <si>
    <t>Lang</t>
  </si>
  <si>
    <t>Stat</t>
  </si>
  <si>
    <t>Sour</t>
  </si>
  <si>
    <t>DatE</t>
  </si>
  <si>
    <t>DatM</t>
  </si>
  <si>
    <t>Skip</t>
  </si>
  <si>
    <t>Ques</t>
  </si>
  <si>
    <t>terms in full translitteration</t>
  </si>
  <si>
    <t>date when terms have been entered into the archive</t>
  </si>
  <si>
    <t>date when terms have been updated within the archive</t>
  </si>
  <si>
    <t>points of discussion relating to given terms</t>
  </si>
  <si>
    <t>en Meanings</t>
  </si>
  <si>
    <t>de Meanings</t>
  </si>
  <si>
    <t>Buchstabenfolge des Begriffs ohne diakritische Markierungen, Apostrophe und Ayn</t>
  </si>
  <si>
    <t>Buchstabenfolge des Begriffs ohne diakritische Markierungen, Apostrophe, Ayn, Leerzeichen und Bindestriche</t>
  </si>
  <si>
    <t>Liste sprachspezifische Begriffe markierender Sprachkürzel</t>
  </si>
  <si>
    <t>Datum an dem der Archiveintrag aktualisiert wurde</t>
  </si>
  <si>
    <t>Datum an dem der erste Archiveintrag vorgenommen wurde</t>
  </si>
  <si>
    <t>Rückmeldungen und Fragen zum Begriff</t>
  </si>
  <si>
    <t>Liste von Doppeldeutigkeit kennzeichnenden Sprachkürzeln</t>
  </si>
  <si>
    <t>Begriff in Standardtransliteration</t>
  </si>
  <si>
    <t>SubTen</t>
  </si>
  <si>
    <t>SubLen</t>
  </si>
  <si>
    <t>SubTde</t>
  </si>
  <si>
    <t>SubLde</t>
  </si>
  <si>
    <t>SubTpl</t>
  </si>
  <si>
    <t>SubLpl</t>
  </si>
  <si>
    <t>ColMnem</t>
  </si>
  <si>
    <t>Orig</t>
  </si>
  <si>
    <t>Defi</t>
  </si>
  <si>
    <t>Rema</t>
  </si>
  <si>
    <t>|Tr|</t>
  </si>
  <si>
    <t>|As|</t>
  </si>
  <si>
    <t>Status des Begriffes</t>
  </si>
  <si>
    <t>status of given term</t>
  </si>
  <si>
    <t>letter sequence of terms without diacritical marks, apostroph, ayn</t>
  </si>
  <si>
    <t>letter sequence of terms without diacritical marks, apostroph, ayn, spaces, hyphens</t>
  </si>
  <si>
    <t>list of languages designating language specific terms</t>
  </si>
  <si>
    <t>list of languages in which processing given terms would result in ambiguities</t>
  </si>
  <si>
    <t>list of sources in which given terms have been found</t>
  </si>
  <si>
    <t>Liste der Texte in denen der Begriff gefunden wurde</t>
  </si>
  <si>
    <t>operate in row</t>
  </si>
  <si>
    <t>Names</t>
  </si>
  <si>
    <t>ListStructure</t>
  </si>
  <si>
    <t>content is automatically kept up-to-date</t>
  </si>
  <si>
    <t>content can be edited</t>
  </si>
  <si>
    <t>content is hard coded within the scripts, including capitalization</t>
  </si>
  <si>
    <t>BookID</t>
  </si>
  <si>
    <t>TransHit</t>
  </si>
  <si>
    <t>SubstHit</t>
  </si>
  <si>
    <t>BookID:</t>
  </si>
  <si>
    <t>found substituted term in row:</t>
  </si>
  <si>
    <t>found transliterated term in row:</t>
  </si>
  <si>
    <t>TextLanguage</t>
  </si>
  <si>
    <t>text language</t>
  </si>
  <si>
    <t>user interface language</t>
  </si>
  <si>
    <t>BookID match</t>
  </si>
  <si>
    <t>ColTrans found</t>
  </si>
  <si>
    <t>ColSubst found</t>
  </si>
  <si>
    <t>RowTrans = RowSubst</t>
  </si>
  <si>
    <t>2a</t>
  </si>
  <si>
    <t>2b</t>
  </si>
  <si>
    <t>4a</t>
  </si>
  <si>
    <t>4b</t>
  </si>
  <si>
    <t>6a</t>
  </si>
  <si>
    <t>6b</t>
  </si>
  <si>
    <t>6c</t>
  </si>
  <si>
    <t>Term added</t>
  </si>
  <si>
    <t>8a</t>
  </si>
  <si>
    <t>8b</t>
  </si>
  <si>
    <t>8c</t>
  </si>
  <si>
    <t>9a</t>
  </si>
  <si>
    <t>9b</t>
  </si>
  <si>
    <t>9c</t>
  </si>
  <si>
    <t>10a</t>
  </si>
  <si>
    <t>10b</t>
  </si>
  <si>
    <t>10c</t>
  </si>
  <si>
    <t>11a</t>
  </si>
  <si>
    <t>11b</t>
  </si>
  <si>
    <t>11c</t>
  </si>
  <si>
    <t>12a</t>
  </si>
  <si>
    <t>12b</t>
  </si>
  <si>
    <t>12c</t>
  </si>
  <si>
    <t>13a</t>
  </si>
  <si>
    <t>13b</t>
  </si>
  <si>
    <t>13c</t>
  </si>
  <si>
    <t>15a</t>
  </si>
  <si>
    <t>15b</t>
  </si>
  <si>
    <t>15c</t>
  </si>
  <si>
    <t>17a</t>
  </si>
  <si>
    <t>17b</t>
  </si>
  <si>
    <t>17c</t>
  </si>
  <si>
    <t>18a</t>
  </si>
  <si>
    <t>18b</t>
  </si>
  <si>
    <t>18c</t>
  </si>
  <si>
    <t>19a</t>
  </si>
  <si>
    <t>19b</t>
  </si>
  <si>
    <t>19c</t>
  </si>
  <si>
    <t>20a</t>
  </si>
  <si>
    <t>20b</t>
  </si>
  <si>
    <t>20c</t>
  </si>
  <si>
    <t>; exported before from this book</t>
  </si>
  <si>
    <t>; exported before from this book with differing count</t>
  </si>
  <si>
    <t xml:space="preserve">No export: </t>
  </si>
  <si>
    <t>Substitute added</t>
  </si>
  <si>
    <t>Term found</t>
  </si>
  <si>
    <t>Term confirmed</t>
  </si>
  <si>
    <t>deFFTFTFF</t>
  </si>
  <si>
    <t>deFFFFTFF</t>
  </si>
  <si>
    <t>deFTTFFTT</t>
  </si>
  <si>
    <t>deFTTFFTF</t>
  </si>
  <si>
    <t>deFTFFFTT</t>
  </si>
  <si>
    <t>deFTFFFTF</t>
  </si>
  <si>
    <t>deFTFFFFF</t>
  </si>
  <si>
    <t>deFTTFFFF</t>
  </si>
  <si>
    <t>deTFTTFFF</t>
  </si>
  <si>
    <t>deTFTTFTT</t>
  </si>
  <si>
    <t>deTFTTFTF</t>
  </si>
  <si>
    <t>deTFTFFFF</t>
  </si>
  <si>
    <t>deTFTFFTT</t>
  </si>
  <si>
    <t>deTFTFFTF</t>
  </si>
  <si>
    <t>deTFFTFFF</t>
  </si>
  <si>
    <t>deTFFTFTT</t>
  </si>
  <si>
    <t>deTFFTFTF</t>
  </si>
  <si>
    <t>deTFFFFFF</t>
  </si>
  <si>
    <t>deTFFFFTT</t>
  </si>
  <si>
    <t>deTFFFFTF</t>
  </si>
  <si>
    <t>deTTTTTFF</t>
  </si>
  <si>
    <t>deTTTTTTT</t>
  </si>
  <si>
    <t>deTTTTTTF</t>
  </si>
  <si>
    <t>deTTFTTFF</t>
  </si>
  <si>
    <t>deTTFTTTT</t>
  </si>
  <si>
    <t>deTTFTTTF</t>
  </si>
  <si>
    <t>deTTTTFFF</t>
  </si>
  <si>
    <t>deTTTTFTT</t>
  </si>
  <si>
    <t>deTTTTFTF</t>
  </si>
  <si>
    <t>deTTTFFFF</t>
  </si>
  <si>
    <t>deTTTFFTT</t>
  </si>
  <si>
    <t>deTTTFFTF</t>
  </si>
  <si>
    <t>deTTFTFFF</t>
  </si>
  <si>
    <t>deTTFTFTT</t>
  </si>
  <si>
    <t>deTTFTFTF</t>
  </si>
  <si>
    <t>deTTFFFFF</t>
  </si>
  <si>
    <t>deTTFFFTT</t>
  </si>
  <si>
    <t>deTTFFFTF</t>
  </si>
  <si>
    <t>deFFTTFFF</t>
  </si>
  <si>
    <t>deFFTFTTF</t>
  </si>
  <si>
    <t>deFFFTFFF</t>
  </si>
  <si>
    <t>deFFFFTTF</t>
  </si>
  <si>
    <t>deFTTTFFF</t>
  </si>
  <si>
    <t>deFTFTFFF</t>
  </si>
  <si>
    <t>deTTTFTFF</t>
  </si>
  <si>
    <t>deTTTFTTT</t>
  </si>
  <si>
    <t>deTTTFTTF</t>
  </si>
  <si>
    <t>14a</t>
  </si>
  <si>
    <t>14b</t>
  </si>
  <si>
    <t>14c</t>
  </si>
  <si>
    <t>16a</t>
  </si>
  <si>
    <t>16b</t>
  </si>
  <si>
    <t>16c</t>
  </si>
  <si>
    <t>deTTFFTFF</t>
  </si>
  <si>
    <t>deTTFFTTT</t>
  </si>
  <si>
    <t>deTTFFTTF</t>
  </si>
  <si>
    <t>named range: content is being provided by the script</t>
  </si>
  <si>
    <t>named range: content is being used for calculations</t>
  </si>
  <si>
    <t>named range: content can be edited by the user</t>
  </si>
  <si>
    <t>LocalTermCount</t>
  </si>
  <si>
    <t>local table count of term / substitute</t>
  </si>
  <si>
    <t>Excel table feedback (de)</t>
  </si>
  <si>
    <t>local table feedback (de)</t>
  </si>
  <si>
    <t>Excel table feedback (en)</t>
  </si>
  <si>
    <t>local table feedback (en)</t>
  </si>
  <si>
    <t xml:space="preserve">Nicht exportiert: </t>
  </si>
  <si>
    <t>; schon einmal aus diesem Buch exportiert</t>
  </si>
  <si>
    <t>; schon einmal aus diesem Buch mit unterschiedlicher Begriffszählung exportiert</t>
  </si>
  <si>
    <t>Begriff hinzugefügt</t>
  </si>
  <si>
    <t>Begriff gefunden</t>
  </si>
  <si>
    <t>Begriff bestätigt</t>
  </si>
  <si>
    <t>LocalInstruction</t>
  </si>
  <si>
    <t>local table feedback</t>
  </si>
  <si>
    <t>Excel table feedback</t>
  </si>
  <si>
    <t>add row</t>
  </si>
  <si>
    <t>add source</t>
  </si>
  <si>
    <t>set flag</t>
  </si>
  <si>
    <t>script instruction</t>
  </si>
  <si>
    <t>term is a proper name</t>
  </si>
  <si>
    <t>OperateInRow</t>
  </si>
  <si>
    <t>ScriptAction</t>
  </si>
  <si>
    <t>Row in which to operate</t>
  </si>
  <si>
    <t>Script action</t>
  </si>
  <si>
    <t>Excel table demands to use substitute</t>
  </si>
  <si>
    <t>local table instruction</t>
  </si>
  <si>
    <t>5a</t>
  </si>
  <si>
    <t>5b</t>
  </si>
  <si>
    <t>5c</t>
  </si>
  <si>
    <t>7a</t>
  </si>
  <si>
    <t>7b</t>
  </si>
  <si>
    <t>7c</t>
  </si>
  <si>
    <t>deFTTTFTT</t>
  </si>
  <si>
    <t>deFTTTFTF</t>
  </si>
  <si>
    <t>deFTFTFTT</t>
  </si>
  <si>
    <t>deFTFTFTF</t>
  </si>
  <si>
    <t>RT:CSfilled or CS:RTfilled</t>
  </si>
  <si>
    <t>Substitute found; no associated term exists</t>
  </si>
  <si>
    <t>Substitute confirmed; still no associated term exists</t>
  </si>
  <si>
    <t>Substitute updated; still no associated term exists</t>
  </si>
  <si>
    <t>Feedback column</t>
  </si>
  <si>
    <t>Status column</t>
  </si>
  <si>
    <t>Archive of Languages column</t>
  </si>
  <si>
    <t>Archive of sources column</t>
  </si>
  <si>
    <t>(Substitute)</t>
  </si>
  <si>
    <t>(Term)</t>
  </si>
  <si>
    <t>term-column entry of operating row</t>
  </si>
  <si>
    <t>substitute-column entry of operating row</t>
  </si>
  <si>
    <t>BookID &amp; Count match</t>
  </si>
  <si>
    <t>Welche Schreibweise ist korrekt bzw. soll verwendet werden? BS: man begegnet oft auch dieser! / 0 / 0 / 0</t>
  </si>
  <si>
    <t>2467/1103</t>
  </si>
  <si>
    <t>TransHit,ColSubT ist gefüllt</t>
  </si>
  <si>
    <t>SubstHit,ColTran ist gefüllt</t>
  </si>
  <si>
    <t>12-10-5-7-9-11-6-8 // 19-17-18-20 // 15-13 // 2-4</t>
  </si>
  <si>
    <t>Begriff erneuert|Nicht exportiert: unterschiedliche Begriffszählung beim letzten Export aus diesem Buch.</t>
  </si>
  <si>
    <t>Term updated|No export: different term count during last export from this book.</t>
  </si>
  <si>
    <t>delete?</t>
  </si>
  <si>
    <t>warum sind da Leerzeichen um den Bindestrich herum?</t>
  </si>
  <si>
    <t xml:space="preserve">Zusammensetzungen mit dem Wort ›Bahá’í‹ sollten wir aus der Listelöschen, oder? </t>
  </si>
  <si>
    <t>hier fehlt eine Definition. Handelt es sich um den Edelstein?</t>
  </si>
  <si>
    <t>letter sequence of terms without diacritical marks enclosed in "|"</t>
  </si>
  <si>
    <t>Buchstabenfolge des Begriffs ohne diakritische Markierungen in "|" eingeschlossen</t>
  </si>
  <si>
    <t>Javáhiru’l- Asrár</t>
  </si>
  <si>
    <t xml:space="preserve">Das sieht mir nicht translitteriert aus. ›Namrūd ibn Kan'ān‹ (Qur’án) ›Nimrod‹ (dt. Bibel) gilt als der Initiator zum Turmbau zu Babel. Wollen wir den tranlitterieren oder Deutsch schreiben? </t>
  </si>
  <si>
    <t>|de.GDM_1|</t>
  </si>
  <si>
    <t>Bahás</t>
  </si>
  <si>
    <t>|de.GDM_2|</t>
  </si>
  <si>
    <t>|de.GDM_3|</t>
  </si>
  <si>
    <t>Ḥasan al-ʿAskarís</t>
  </si>
  <si>
    <t>Ḥasans</t>
  </si>
  <si>
    <t>|de.GDM_6|</t>
  </si>
  <si>
    <t>|de.GDM_4|</t>
  </si>
  <si>
    <t>Muḥammad al-Mahdí</t>
  </si>
  <si>
    <t>schiitischen Islám</t>
  </si>
  <si>
    <t>schiitischer</t>
  </si>
  <si>
    <t>|de.C-PaF_1|</t>
  </si>
  <si>
    <t>|de.C-PaF_2|</t>
  </si>
  <si>
    <t>Bahá</t>
  </si>
  <si>
    <t>Bahá’ís</t>
  </si>
  <si>
    <t>2014-05-15 - 2014-06-05</t>
  </si>
  <si>
    <t>Neue Grundstruktur gegeben, "List Interface" angelegt</t>
  </si>
  <si>
    <t>? Beim erneuten Sortieren verliert die 2. Zeile ihren Platz</t>
  </si>
  <si>
    <t>? Wenn man beim Vergleich die hier gelisteten Begriffe als Präfix verwendete (so dass die Endungen flexibel bleiben) - würde man mehr richtige und falsche Treffer erhalten</t>
  </si>
  <si>
    <t xml:space="preserve">? Bei erneutem Export können bestimmte Begriffe nicht mehr vorhanden sein (weil z.B. mehrere Teile zu einem einzigen Begriff zusammengesetzt wurden). </t>
  </si>
  <si>
    <t>? Falsche Begriffe sollten auch aufgenommen und als falsch gekennzeichnet werden</t>
  </si>
  <si>
    <t>Ja, denn wenn dann einer gefunden wird, können wir davon ausgehen, daß es ihn auch tatsächlich gibt und können nachschlagen worum/um wen es sich handelt (Marcel)</t>
  </si>
  <si>
    <t>Koran</t>
  </si>
  <si>
    <t>de wrong ebf</t>
  </si>
  <si>
    <t>de wrong letters</t>
  </si>
  <si>
    <t>pl wrong ebf</t>
  </si>
  <si>
    <t>pl wrong letters</t>
  </si>
  <si>
    <t>en wrong letters</t>
  </si>
  <si>
    <t>en wrong ebf</t>
  </si>
  <si>
    <t>wrong</t>
  </si>
  <si>
    <t>wong letters</t>
  </si>
  <si>
    <t>wrongT</t>
  </si>
  <si>
    <t>wrongL</t>
  </si>
  <si>
    <t>|de.Fritzsche-O-Fas_3|de.C-PaF_2|</t>
  </si>
  <si>
    <t>|de.Fritzsche-O-Fas_1|</t>
  </si>
  <si>
    <t>Bahá’ítum</t>
  </si>
  <si>
    <t>|de.Fritzsche-O-Fas_4|</t>
  </si>
  <si>
    <t>|de.Fritzsche-O-Fas_1|de.GDM_1|</t>
  </si>
  <si>
    <t>|de.Fritzsche-O-Fas_18|</t>
  </si>
  <si>
    <t>Aschura</t>
  </si>
  <si>
    <t>Ramaḍánschmuck</t>
  </si>
  <si>
    <t>Muslimen</t>
  </si>
  <si>
    <t>|de.Fritzsche-O-Fas_5|</t>
  </si>
  <si>
    <t>|de.Lample-O-CNM_3|de.C-PaF_1|</t>
  </si>
  <si>
    <t>Abhá-</t>
  </si>
  <si>
    <t>|de.Lample-O-CNM_1|</t>
  </si>
  <si>
    <t>Arbab</t>
  </si>
  <si>
    <t>Bahá’í-</t>
  </si>
  <si>
    <t>bahá’í-</t>
  </si>
  <si>
    <t>-Bahá’í</t>
  </si>
  <si>
    <t>|de.Lample-O-CNM_4|</t>
  </si>
  <si>
    <t>-Bahá’í-</t>
  </si>
  <si>
    <t>|de.Lample-O-CNM_3|</t>
  </si>
  <si>
    <t>|de.Lample-O-CNM_4|de.C-PaF_1|</t>
  </si>
  <si>
    <t>|de.Lample-O-CNM_3|de.Fritzsche-O-Fas_1|de.C-PaF_1|de.GDM_1|</t>
  </si>
  <si>
    <t>|de.Lample-O-CNM_2|</t>
  </si>
  <si>
    <t>|de.Lample-O-CNM_3|de.Fritzsche-O-Fas_2|</t>
  </si>
  <si>
    <t>|de.Lample-O-CNM_7|</t>
  </si>
  <si>
    <t>|de.Lample-O-CNM_11|de.Fritzsche-O-Fas_34|de.C-PaF_1|</t>
  </si>
  <si>
    <t>|de.Lample-O-CNM_6|</t>
  </si>
  <si>
    <t>Lawḥ-i-Kamál</t>
  </si>
  <si>
    <t>Lawḥ-i-Siyyid-i-Mihdíy-i-Dahají–1</t>
  </si>
  <si>
    <t>Lawḥ-i-Tajallíyát</t>
  </si>
  <si>
    <t>Lawḥ-i-Ṭarázát</t>
  </si>
  <si>
    <t>Lawḥ-i-alíl–3</t>
  </si>
  <si>
    <t>Mariqu’l-Akárs</t>
  </si>
  <si>
    <t>|de.Lample-O-CNM_42|</t>
  </si>
  <si>
    <t>Shoghi Effendis</t>
  </si>
  <si>
    <t>NAME de</t>
  </si>
  <si>
    <t>Badíʿ-</t>
  </si>
  <si>
    <t>Hamid</t>
  </si>
  <si>
    <t>|de.Lample-O-CNM_1|de.Fritzsche-O-Fas_5|</t>
  </si>
  <si>
    <t>Naw-Rúz-</t>
  </si>
  <si>
    <t>Qur’án-</t>
  </si>
  <si>
    <t>|de.Lample-O-CNM_6|de.Fritzsche-O-Fas_2|de.C-PaF_7|de.Rabbani-O-PfL_1|</t>
  </si>
  <si>
    <t>|de.Rabbani-O-PfL_1|</t>
  </si>
  <si>
    <t>|de.Lample-O-CNM_1|de.GDM_1|de.Rabbani-O-PfL_16|</t>
  </si>
  <si>
    <t>|de.Rabbani-O-PfL_3|</t>
  </si>
  <si>
    <t>|de.Rabbani-O-PfL_2|</t>
  </si>
  <si>
    <t>|de.Rabbani-O-PfL_6|</t>
  </si>
  <si>
    <t>|de.GDM_1|de.Rabbani-O-PfL_1|</t>
  </si>
  <si>
    <t>|de.GDM_5|de.Rabbani-O-PfL_1|</t>
  </si>
  <si>
    <t>|de.Fritzsche-O-Fas_2|de.Rabbani-O-PfL_1|</t>
  </si>
  <si>
    <t>|de.GDM_2|de.Rabbani-O-PfL_2|</t>
  </si>
  <si>
    <t>|de.Fritzsche-O-Fas_8|de.Rabbani-O-PfL_16|</t>
  </si>
  <si>
    <t>|de.Lample-O-CNM_1|de.Fritzsche-O-Fas_8|de.GDM_1|de.Rabbani-O-PfL_3|</t>
  </si>
  <si>
    <t>|de.Rabbani-O-PfL_13|</t>
  </si>
  <si>
    <t>|de.Rabbani-O-PfL_11|</t>
  </si>
  <si>
    <t>|de.Fritzsche-O-Fas_5|de.GDM_12|de.Rabbani-O-PfL_47|</t>
  </si>
  <si>
    <t>|de.Lample-O-CNM_1|de.Fritzsche-O-Fas_2|de.GDM_1|de.Rabbani-O-PfL_11|</t>
  </si>
  <si>
    <t>|de.Fritzsche-O-Fas_1|de.C-PaF_1|de.Rabbani-O-PfL_22|</t>
  </si>
  <si>
    <t>|de.Fritzsche-O-Fas_11|de.Rabbani-O-PfL_5|</t>
  </si>
  <si>
    <t>|de.Fritzsche-O-Fas_1|de.Rabbani-O-PfL_1|</t>
  </si>
  <si>
    <t>|de.Lample-O-CNM_1|de.Rabbani-O-PfL_1|</t>
  </si>
  <si>
    <t>|de.Fritzsche-O-Fas_2|de.Rabbani-O-PfL_10|</t>
  </si>
  <si>
    <t>|de.C-PaF_2|de.Rabbani-O-PfL_3|</t>
  </si>
  <si>
    <t>|de.Fritzsche-O-Fas_2|de.GDM_42|de.Rabbani-O-PfL_7|</t>
  </si>
  <si>
    <t>|de.Rabbani-O-PfL_12|</t>
  </si>
  <si>
    <t>|de.Rabbani-O-PfL_16|</t>
  </si>
  <si>
    <t>|de.Lample-O-CNM_199|de.Fritzsche-O-Fas_10|de.C-PaF_1|de.GDM_3|de.Rabbani-O-PfL_5|</t>
  </si>
  <si>
    <t>|de.Rabbani-O-PfL_4|</t>
  </si>
  <si>
    <t>|de.Rabbani-O-PfL_5|</t>
  </si>
  <si>
    <t>|de.Rabbani-O-PfL_9|</t>
  </si>
  <si>
    <t>|de.Lample-O-CNM_9|de.Fritzsche-O-Fas_6|de.C-PaF_1|de.GDM_3|de.Rabbani-O-PfL_93|</t>
  </si>
  <si>
    <t>|de.Fritzsche-O-Fas_2|de.Rabbani-O-PfL_28|</t>
  </si>
  <si>
    <t>Bábí-</t>
  </si>
  <si>
    <t>|de.Rabbani-O-PfL_1|de.Lample-O-CNM_4|</t>
  </si>
  <si>
    <t>DE</t>
  </si>
  <si>
    <t>ayí-</t>
  </si>
  <si>
    <t>Bitte ergänzen.Wiederholter Export von de.Rabbani-O-PfL_: Es gibt keinen zu diesem Substitut korrespondierenden Begriff. Bitte ergänzen.</t>
  </si>
  <si>
    <t>|de.Lample-O-CNM_185|de.Fritzsche-O-Fas_17|de.C-PaF_2|de.Rabbani-O-PfL_28|de.Sobhani-O-SdM_16|</t>
  </si>
  <si>
    <t>|de.Lample-O-CNM_27|de.Rabbani-O-PfL_11|de.Sobhani-O-SdM_2|</t>
  </si>
  <si>
    <t>|de.Fritzsche-O-Fas_1|de.Sobhani-O-SdM_1|</t>
  </si>
  <si>
    <t>|de.Lample-O-CNM_166|de.Fritzsche-O-Fas_62|de.C-PaF_6|de.GDM_4|de.Rabbani-O-PfL_80|de.Sobhani-O-SdM_39|</t>
  </si>
  <si>
    <t>|de.Lample-O-CNM_97|de.Fritzsche-O-Fas_6|de.C-PaF_6|de.GDM_6|de.Rabbani-O-PfL_20|de.Sobhani-O-SdM_4|</t>
  </si>
  <si>
    <t>|de.Lample-O-CNM_3|de.Fritzsche-O-Fas_3|de.GDM_1|de.Sobhani-O-SdM_1|</t>
  </si>
  <si>
    <t>|de.Sobhani-O-SdM_4|</t>
  </si>
  <si>
    <t>|de.Sobhani-O-SdM_1|</t>
  </si>
  <si>
    <t>|de.Lample-O-CNM_3|de.Sobhani-O-SdM_1|</t>
  </si>
  <si>
    <t>Farhad</t>
  </si>
  <si>
    <t>|de.Sobhani-O-SdM_3|</t>
  </si>
  <si>
    <t>de.GDM_</t>
  </si>
  <si>
    <t>|de.GDM_1|de.C-PaF_1|de.Sobhani-O-SdM_11|de.Rabbani-O-PfL_9|de.Fritzsche-O-Fas_47|de.Lample-O-CNM_213|</t>
  </si>
  <si>
    <t>0 Is this a specific variation in DE?0 Is this a specific variation in DE?</t>
  </si>
  <si>
    <t>Wiederholter Export von de.PfL_: Es gibt keinen zu diesem Substitut korrespondierenden Begriff. Bitte ergänzen.Export von de.GDM_: Es gibt keinen zu diesem Substitut korrespondierenden Begriff. Bitte ergänzen.Wiederholter Export von de.Rabbani-O-PfL_: Es gibt keinen zu diesem Substitut korrespondierenden Begriff. Bitte ergänzen.Wiederholter Export von de.GDM_: Es gibt keinen zu diesem Substitut korrespondierenden Begriff. Bitte ergänzen.</t>
  </si>
  <si>
    <t>|de.Lample-O-CNM_348|de.Fritzsche-O-Fas_28|de.C-PaF_2|de.Rabbani-O-PfL_13|</t>
  </si>
  <si>
    <t>Wiederholter Export von de.GDM_: Begriff war NICHT als Subsitut markiert, wurde aber in der Substitutionsspalte gefunden. Es gibt keinen zu diesem Substitut korrespondierenden Begriff. Bitte ergänzen.Export von de.GDM_: Es gibt keinen zu diesem Substitut korrespondierenden Begriff. Bitte ergänzen.</t>
  </si>
  <si>
    <t>Wiederholter Export von de.GDM_: Begriff war NICHT als Subsitut markiert, wurde aber in der Substitutionsspalte gefunden. Es gibt keinen zu diesem Substitut korrespondierenden Begriff. Bitte ergänzen.Export von de.GDM_: Es gibt keinen zu diesem Substitut korrespondierenden Begriff. Bitte ergänzen. Is this a specific variation in DE?Export von de.GDM_: Es gibt keinen zu diesem Substitut korrespondierenden Begriff. Bitte ergänzen.Export von de.GDM_: Es gibt keinen zu diesem Substitut korrespondierenden Begriff. Bitte ergänzen.</t>
  </si>
  <si>
    <t>ʿIrák</t>
  </si>
  <si>
    <t>Maḥmúd-i-Zarqání</t>
  </si>
  <si>
    <t>hier scheint es sich mir um ›Maḥmúd‹ zu handeln</t>
  </si>
  <si>
    <t>Mázandarán</t>
  </si>
  <si>
    <t>Mírzá Muḥammad-Taqí</t>
  </si>
  <si>
    <t>why not ›Muḥammad áhs‹  (ohne Bindestrich)?</t>
  </si>
  <si>
    <t>Sulṭán ʿAbdu’l-ʿAzíz</t>
  </si>
  <si>
    <t>Sulṭán ʿAbdu’l-Ḥamíd</t>
  </si>
  <si>
    <t>siehe ›Takyíy-i-Mawláná‹</t>
  </si>
  <si>
    <t>Das braucht mehr Definition. Mir ist nicht klar was ich zu wählen habe</t>
  </si>
  <si>
    <t>án-i-Afrútih</t>
  </si>
  <si>
    <t>nicht ›Darví‹ ?</t>
  </si>
  <si>
    <t>Was ist damit? Soll der Eintrag gestrichen werden? Er muß ja irgendow herkommen…</t>
  </si>
  <si>
    <t>ist das das Kalifat?</t>
  </si>
  <si>
    <t>Faraju’lláh</t>
  </si>
  <si>
    <t>habe ich von  ›Faraju’llah‹ zu ›Faraju’lláh‹ geändert, ok ?</t>
  </si>
  <si>
    <t>false</t>
  </si>
  <si>
    <t>Teheran</t>
  </si>
  <si>
    <t>Schah</t>
  </si>
  <si>
    <t>Mullah</t>
  </si>
</sst>
</file>

<file path=xl/styles.xml><?xml version="1.0" encoding="utf-8"?>
<styleSheet xmlns="http://schemas.openxmlformats.org/spreadsheetml/2006/main">
  <numFmts count="2">
    <numFmt numFmtId="164" formatCode="_-* #,##0.00\ &quot;€&quot;_-;\-* #,##0.00\ &quot;€&quot;_-;_-* &quot;-&quot;??\ &quot;€&quot;_-;_-@_-"/>
    <numFmt numFmtId="165" formatCode="_-* #,##0.00\ _€_-;\-* #,##0.00\ _€_-;_-* &quot;-&quot;??\ _€_-;_-@_-"/>
  </numFmts>
  <fonts count="24">
    <font>
      <sz val="10"/>
      <name val="Arial"/>
    </font>
    <font>
      <sz val="10"/>
      <name val="Arial"/>
      <family val="2"/>
    </font>
    <font>
      <sz val="10"/>
      <name val="Times New Roman ebf"/>
      <family val="1"/>
    </font>
    <font>
      <b/>
      <sz val="10"/>
      <color theme="0"/>
      <name val="Times New Roman ebf"/>
      <family val="1"/>
    </font>
    <font>
      <sz val="10"/>
      <color indexed="23"/>
      <name val="Times New Roman ebf"/>
      <family val="1"/>
    </font>
    <font>
      <b/>
      <sz val="9"/>
      <color indexed="81"/>
      <name val="Tahoma"/>
      <family val="2"/>
    </font>
    <font>
      <sz val="10"/>
      <name val="Times New Roman"/>
      <family val="1"/>
    </font>
    <font>
      <sz val="10"/>
      <color rgb="FFFF0000"/>
      <name val="Times New Roman ebf"/>
      <family val="1"/>
    </font>
    <font>
      <u/>
      <sz val="14"/>
      <color theme="10"/>
      <name val="Arial"/>
      <family val="2"/>
    </font>
    <font>
      <sz val="8"/>
      <name val="Times New Roman ebf"/>
      <family val="1"/>
    </font>
    <font>
      <sz val="8"/>
      <name val="Times New Roman Ext"/>
      <family val="1"/>
    </font>
    <font>
      <sz val="8"/>
      <name val="Times Ext Roman"/>
      <family val="1"/>
    </font>
    <font>
      <u/>
      <sz val="8"/>
      <name val="Times Ext Roman"/>
      <family val="1"/>
    </font>
    <font>
      <sz val="8"/>
      <name val="Arial"/>
      <family val="2"/>
    </font>
    <font>
      <i/>
      <sz val="8"/>
      <name val="Times Ext Roman"/>
      <family val="1"/>
    </font>
    <font>
      <sz val="8"/>
      <color rgb="FFFF0000"/>
      <name val="Times Ext Roman"/>
    </font>
    <font>
      <sz val="10"/>
      <color theme="9" tint="-0.249977111117893"/>
      <name val="Times New Roman ebf"/>
      <family val="1"/>
    </font>
    <font>
      <b/>
      <sz val="10"/>
      <color theme="0"/>
      <name val="Times New Roman"/>
      <family val="1"/>
    </font>
    <font>
      <strike/>
      <sz val="10"/>
      <color theme="9" tint="-0.249977111117893"/>
      <name val="Times New Roman ebf"/>
      <family val="1"/>
    </font>
    <font>
      <b/>
      <sz val="10"/>
      <name val="Arial"/>
      <family val="2"/>
    </font>
    <font>
      <i/>
      <sz val="10"/>
      <color rgb="FF00B050"/>
      <name val="Arial"/>
      <family val="2"/>
    </font>
    <font>
      <sz val="10"/>
      <color rgb="FF00B050"/>
      <name val="Arial"/>
      <family val="2"/>
    </font>
    <font>
      <sz val="10"/>
      <name val="Arial"/>
      <family val="2"/>
    </font>
    <font>
      <i/>
      <sz val="11"/>
      <name val="Times New Roman ebf"/>
      <family val="1"/>
    </font>
  </fonts>
  <fills count="16">
    <fill>
      <patternFill patternType="none"/>
    </fill>
    <fill>
      <patternFill patternType="gray125"/>
    </fill>
    <fill>
      <patternFill patternType="solid">
        <fgColor theme="2" tint="-0.499984740745262"/>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theme="0" tint="-0.24994659260841701"/>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66FFFF"/>
        <bgColor indexed="64"/>
      </patternFill>
    </fill>
    <fill>
      <patternFill patternType="solid">
        <fgColor theme="0" tint="-0.34998626667073579"/>
        <bgColor indexed="64"/>
      </patternFill>
    </fill>
    <fill>
      <patternFill patternType="solid">
        <fgColor rgb="FFCCFFCC"/>
        <bgColor indexed="64"/>
      </patternFill>
    </fill>
    <fill>
      <patternFill patternType="solid">
        <fgColor rgb="FF00FFFF"/>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dotted">
        <color indexed="64"/>
      </left>
      <right style="dotted">
        <color indexed="64"/>
      </right>
      <top style="dotted">
        <color indexed="64"/>
      </top>
      <bottom style="dotted">
        <color indexed="64"/>
      </bottom>
      <diagonal/>
    </border>
    <border>
      <left/>
      <right style="thin">
        <color indexed="64"/>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thin">
        <color indexed="64"/>
      </right>
      <top/>
      <bottom style="thin">
        <color indexed="64"/>
      </bottom>
      <diagonal/>
    </border>
    <border>
      <left style="dotted">
        <color indexed="64"/>
      </left>
      <right style="thin">
        <color indexed="64"/>
      </right>
      <top style="thin">
        <color indexed="64"/>
      </top>
      <bottom style="thin">
        <color indexed="64"/>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style="thin">
        <color auto="1"/>
      </top>
      <bottom/>
      <diagonal/>
    </border>
    <border>
      <left/>
      <right/>
      <top style="thin">
        <color auto="1"/>
      </top>
      <bottom/>
      <diagonal/>
    </border>
    <border>
      <left/>
      <right style="thick">
        <color auto="1"/>
      </right>
      <top style="thin">
        <color auto="1"/>
      </top>
      <bottom/>
      <diagonal/>
    </border>
    <border>
      <left style="thick">
        <color auto="1"/>
      </left>
      <right/>
      <top/>
      <bottom style="thin">
        <color auto="1"/>
      </bottom>
      <diagonal/>
    </border>
    <border>
      <left/>
      <right/>
      <top/>
      <bottom style="thin">
        <color auto="1"/>
      </bottom>
      <diagonal/>
    </border>
    <border>
      <left/>
      <right style="thick">
        <color auto="1"/>
      </right>
      <top/>
      <bottom style="thin">
        <color auto="1"/>
      </bottom>
      <diagonal/>
    </border>
    <border>
      <left/>
      <right style="dotted">
        <color indexed="64"/>
      </right>
      <top/>
      <bottom/>
      <diagonal/>
    </border>
    <border>
      <left style="dotted">
        <color indexed="64"/>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ck">
        <color rgb="FFFF0000"/>
      </left>
      <right style="thick">
        <color rgb="FFFF0000"/>
      </right>
      <top style="thick">
        <color rgb="FFFF0000"/>
      </top>
      <bottom style="thick">
        <color rgb="FFFF0000"/>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ck">
        <color theme="3" tint="0.39991454817346722"/>
      </left>
      <right style="thick">
        <color theme="3" tint="0.39991454817346722"/>
      </right>
      <top style="thick">
        <color theme="3" tint="0.39991454817346722"/>
      </top>
      <bottom style="thick">
        <color theme="3" tint="0.39991454817346722"/>
      </bottom>
      <diagonal/>
    </border>
    <border>
      <left style="thick">
        <color theme="3" tint="0.39994506668294322"/>
      </left>
      <right style="thick">
        <color theme="3" tint="0.39994506668294322"/>
      </right>
      <top style="thick">
        <color theme="3" tint="0.39994506668294322"/>
      </top>
      <bottom style="thick">
        <color theme="3" tint="0.39994506668294322"/>
      </bottom>
      <diagonal/>
    </border>
    <border>
      <left style="thick">
        <color rgb="FF00B050"/>
      </left>
      <right style="thick">
        <color rgb="FF00B050"/>
      </right>
      <top style="thick">
        <color rgb="FF00B050"/>
      </top>
      <bottom style="thick">
        <color rgb="FF00B050"/>
      </bottom>
      <diagonal/>
    </border>
    <border>
      <left style="thick">
        <color auto="1"/>
      </left>
      <right/>
      <top style="thick">
        <color auto="1"/>
      </top>
      <bottom style="thick">
        <color auto="1"/>
      </bottom>
      <diagonal/>
    </border>
    <border>
      <left style="thin">
        <color auto="1"/>
      </left>
      <right/>
      <top style="thick">
        <color theme="3" tint="0.39991454817346722"/>
      </top>
      <bottom/>
      <diagonal/>
    </border>
    <border>
      <left style="thin">
        <color indexed="64"/>
      </left>
      <right/>
      <top style="thin">
        <color indexed="64"/>
      </top>
      <bottom style="thin">
        <color indexed="64"/>
      </bottom>
      <diagonal/>
    </border>
    <border>
      <left style="medium">
        <color indexed="64"/>
      </left>
      <right style="dotted">
        <color indexed="64"/>
      </right>
      <top style="dotted">
        <color indexed="64"/>
      </top>
      <bottom style="dotted">
        <color indexed="64"/>
      </bottom>
      <diagonal/>
    </border>
    <border>
      <left style="medium">
        <color indexed="64"/>
      </left>
      <right style="dotted">
        <color indexed="64"/>
      </right>
      <top/>
      <bottom/>
      <diagonal/>
    </border>
    <border>
      <left style="medium">
        <color indexed="64"/>
      </left>
      <right style="dotted">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5">
    <xf numFmtId="0" fontId="0" fillId="0" borderId="0"/>
    <xf numFmtId="164" fontId="1" fillId="0" borderId="0" applyFont="0" applyFill="0" applyBorder="0" applyAlignment="0" applyProtection="0"/>
    <xf numFmtId="0" fontId="1" fillId="0" borderId="0"/>
    <xf numFmtId="0" fontId="8" fillId="0" borderId="0" applyNumberFormat="0" applyFill="0" applyBorder="0" applyAlignment="0" applyProtection="0">
      <alignment vertical="top"/>
      <protection locked="0"/>
    </xf>
    <xf numFmtId="165" fontId="22" fillId="0" borderId="0" applyFont="0" applyFill="0" applyBorder="0" applyAlignment="0" applyProtection="0"/>
  </cellStyleXfs>
  <cellXfs count="199">
    <xf numFmtId="0" fontId="0" fillId="0" borderId="0" xfId="0"/>
    <xf numFmtId="0" fontId="2" fillId="0" borderId="1" xfId="2" applyFont="1" applyBorder="1" applyAlignment="1">
      <alignment horizontal="left" indent="1"/>
    </xf>
    <xf numFmtId="0" fontId="4" fillId="0" borderId="1" xfId="2" applyFont="1" applyBorder="1" applyAlignment="1">
      <alignment horizontal="left" vertical="top" indent="1"/>
    </xf>
    <xf numFmtId="0" fontId="2" fillId="3" borderId="1" xfId="2" applyFont="1" applyFill="1" applyBorder="1" applyAlignment="1">
      <alignment horizontal="left" vertical="top" indent="1"/>
    </xf>
    <xf numFmtId="0" fontId="2" fillId="3" borderId="1" xfId="2" applyFont="1" applyFill="1" applyBorder="1" applyAlignment="1">
      <alignment horizontal="left" indent="1"/>
    </xf>
    <xf numFmtId="0" fontId="2" fillId="0" borderId="1" xfId="2" applyFont="1" applyFill="1" applyBorder="1" applyAlignment="1">
      <alignment horizontal="left" indent="1"/>
    </xf>
    <xf numFmtId="0" fontId="6" fillId="0" borderId="1" xfId="0" applyFont="1" applyFill="1" applyBorder="1" applyAlignment="1">
      <alignment horizontal="left" vertical="top" indent="1"/>
    </xf>
    <xf numFmtId="0" fontId="6" fillId="0" borderId="1" xfId="3" applyFont="1" applyFill="1" applyBorder="1" applyAlignment="1" applyProtection="1">
      <alignment horizontal="left"/>
    </xf>
    <xf numFmtId="0" fontId="6" fillId="0" borderId="0" xfId="0" applyFont="1" applyFill="1" applyBorder="1" applyAlignment="1">
      <alignment horizontal="left" vertical="top" indent="1"/>
    </xf>
    <xf numFmtId="0" fontId="7" fillId="0" borderId="1" xfId="2" applyFont="1" applyBorder="1" applyAlignment="1">
      <alignment horizontal="left" indent="1"/>
    </xf>
    <xf numFmtId="0" fontId="9" fillId="0" borderId="1" xfId="2" applyFont="1" applyFill="1" applyBorder="1" applyAlignment="1">
      <alignment horizontal="left" indent="1"/>
    </xf>
    <xf numFmtId="0" fontId="9" fillId="0" borderId="1" xfId="2" applyFont="1" applyFill="1" applyBorder="1" applyAlignment="1">
      <alignment horizontal="left" vertical="top" indent="1"/>
    </xf>
    <xf numFmtId="0" fontId="9" fillId="0" borderId="1" xfId="2" applyFont="1" applyBorder="1" applyAlignment="1">
      <alignment horizontal="left" indent="1"/>
    </xf>
    <xf numFmtId="0" fontId="9" fillId="0" borderId="1" xfId="2" quotePrefix="1" applyFont="1" applyBorder="1" applyAlignment="1">
      <alignment horizontal="left" indent="1"/>
    </xf>
    <xf numFmtId="0" fontId="10" fillId="0" borderId="1" xfId="0" applyFont="1" applyFill="1" applyBorder="1" applyAlignment="1">
      <alignment horizontal="left" indent="1"/>
    </xf>
    <xf numFmtId="49" fontId="11" fillId="0" borderId="1" xfId="0" applyNumberFormat="1" applyFont="1" applyFill="1" applyBorder="1" applyAlignment="1">
      <alignment horizontal="left" vertical="center" indent="1"/>
    </xf>
    <xf numFmtId="0" fontId="11" fillId="0" borderId="1" xfId="0" applyNumberFormat="1" applyFont="1" applyFill="1" applyBorder="1" applyAlignment="1">
      <alignment horizontal="left" vertical="center" indent="1"/>
    </xf>
    <xf numFmtId="0" fontId="7" fillId="0" borderId="1" xfId="2" applyFont="1" applyFill="1" applyBorder="1" applyAlignment="1">
      <alignment horizontal="left" indent="1"/>
    </xf>
    <xf numFmtId="0" fontId="2" fillId="0" borderId="0" xfId="0" applyFont="1"/>
    <xf numFmtId="0" fontId="6" fillId="0" borderId="1" xfId="2" applyFont="1" applyFill="1" applyBorder="1" applyAlignment="1">
      <alignment horizontal="left" indent="1"/>
    </xf>
    <xf numFmtId="0" fontId="6" fillId="0" borderId="1" xfId="2" applyFont="1" applyBorder="1" applyAlignment="1">
      <alignment horizontal="left" indent="1"/>
    </xf>
    <xf numFmtId="14" fontId="0" fillId="0" borderId="0" xfId="0" applyNumberFormat="1"/>
    <xf numFmtId="0" fontId="1" fillId="0" borderId="0" xfId="0" applyFont="1"/>
    <xf numFmtId="14" fontId="1" fillId="0" borderId="0" xfId="0" applyNumberFormat="1" applyFont="1"/>
    <xf numFmtId="0" fontId="17" fillId="2" borderId="1"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3" borderId="1" xfId="2" applyFont="1" applyFill="1" applyBorder="1" applyAlignment="1">
      <alignment horizontal="center" vertical="center" wrapText="1"/>
    </xf>
    <xf numFmtId="0" fontId="3" fillId="0" borderId="0" xfId="0" applyFont="1"/>
    <xf numFmtId="0" fontId="2" fillId="4" borderId="1" xfId="2" applyFont="1" applyFill="1" applyBorder="1" applyAlignment="1">
      <alignment horizontal="left" indent="1"/>
    </xf>
    <xf numFmtId="14" fontId="2" fillId="4" borderId="1" xfId="2" applyNumberFormat="1" applyFont="1" applyFill="1" applyBorder="1" applyAlignment="1">
      <alignment horizontal="left" indent="1"/>
    </xf>
    <xf numFmtId="0" fontId="0" fillId="4" borderId="0" xfId="0" applyFill="1"/>
    <xf numFmtId="0" fontId="3" fillId="2" borderId="3"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2" fillId="0" borderId="4" xfId="2" applyFont="1" applyFill="1" applyBorder="1" applyAlignment="1">
      <alignment horizontal="left" vertical="top" indent="1"/>
    </xf>
    <xf numFmtId="0" fontId="2" fillId="3" borderId="5" xfId="2" applyFont="1" applyFill="1" applyBorder="1" applyAlignment="1">
      <alignment horizontal="left" vertical="top" indent="1"/>
    </xf>
    <xf numFmtId="0" fontId="2" fillId="3" borderId="6" xfId="2" applyFont="1" applyFill="1" applyBorder="1" applyAlignment="1">
      <alignment horizontal="left" vertical="top" indent="1"/>
    </xf>
    <xf numFmtId="0" fontId="16" fillId="0" borderId="4" xfId="2" applyFont="1" applyFill="1" applyBorder="1" applyAlignment="1">
      <alignment horizontal="left" vertical="top" indent="1"/>
    </xf>
    <xf numFmtId="0" fontId="2" fillId="3" borderId="6" xfId="2" applyFont="1" applyFill="1" applyBorder="1" applyAlignment="1">
      <alignment horizontal="left" indent="1"/>
    </xf>
    <xf numFmtId="0" fontId="2" fillId="4" borderId="1" xfId="2" applyFont="1" applyFill="1" applyBorder="1" applyAlignment="1">
      <alignment horizontal="left" vertical="top" indent="1"/>
    </xf>
    <xf numFmtId="0" fontId="2" fillId="5" borderId="1" xfId="2" applyFont="1" applyFill="1" applyBorder="1" applyAlignment="1">
      <alignment horizontal="left" indent="1"/>
    </xf>
    <xf numFmtId="0" fontId="2" fillId="6" borderId="1" xfId="2" applyFont="1" applyFill="1" applyBorder="1" applyAlignment="1">
      <alignment horizontal="left" indent="1"/>
    </xf>
    <xf numFmtId="0" fontId="0" fillId="7" borderId="10" xfId="0" applyFill="1" applyBorder="1"/>
    <xf numFmtId="0" fontId="0" fillId="7" borderId="0" xfId="0" applyFill="1" applyBorder="1"/>
    <xf numFmtId="0" fontId="1" fillId="7" borderId="0" xfId="0" applyFont="1" applyFill="1" applyBorder="1"/>
    <xf numFmtId="0" fontId="0" fillId="7" borderId="0" xfId="0" applyFill="1"/>
    <xf numFmtId="0" fontId="1" fillId="0" borderId="0" xfId="0" applyFont="1" applyFill="1" applyBorder="1"/>
    <xf numFmtId="0" fontId="1" fillId="0" borderId="13" xfId="0" applyFont="1" applyFill="1" applyBorder="1"/>
    <xf numFmtId="0" fontId="1" fillId="7" borderId="19" xfId="0" applyFont="1" applyFill="1" applyBorder="1"/>
    <xf numFmtId="0" fontId="3" fillId="2" borderId="21" xfId="2" applyFont="1" applyFill="1" applyBorder="1" applyAlignment="1">
      <alignment horizontal="center" vertical="center" wrapText="1"/>
    </xf>
    <xf numFmtId="0" fontId="3" fillId="2" borderId="22" xfId="2" applyFont="1" applyFill="1" applyBorder="1" applyAlignment="1">
      <alignment horizontal="center" vertical="center" wrapText="1"/>
    </xf>
    <xf numFmtId="0" fontId="0" fillId="0" borderId="24" xfId="0" applyBorder="1"/>
    <xf numFmtId="0" fontId="0" fillId="0" borderId="27" xfId="0" applyBorder="1"/>
    <xf numFmtId="0" fontId="0" fillId="0" borderId="19" xfId="0" applyBorder="1"/>
    <xf numFmtId="0" fontId="0" fillId="0" borderId="28" xfId="0" applyBorder="1"/>
    <xf numFmtId="0" fontId="19" fillId="0" borderId="25" xfId="0" applyFont="1" applyBorder="1"/>
    <xf numFmtId="0" fontId="19" fillId="0" borderId="0" xfId="0" applyFont="1" applyBorder="1"/>
    <xf numFmtId="0" fontId="19" fillId="0" borderId="26" xfId="0" applyFont="1" applyBorder="1"/>
    <xf numFmtId="0" fontId="1" fillId="0" borderId="0" xfId="0" applyFont="1" applyAlignment="1">
      <alignment horizontal="center" vertical="center" wrapText="1"/>
    </xf>
    <xf numFmtId="0" fontId="1" fillId="9" borderId="25" xfId="0" applyFont="1" applyFill="1" applyBorder="1"/>
    <xf numFmtId="0" fontId="1" fillId="9" borderId="27" xfId="0" applyFont="1" applyFill="1" applyBorder="1"/>
    <xf numFmtId="0" fontId="0" fillId="9" borderId="31" xfId="0" applyFill="1" applyBorder="1"/>
    <xf numFmtId="0" fontId="0" fillId="9" borderId="32" xfId="0" applyFill="1" applyBorder="1"/>
    <xf numFmtId="0" fontId="19" fillId="9" borderId="23" xfId="0" applyFont="1" applyFill="1" applyBorder="1"/>
    <xf numFmtId="0" fontId="19" fillId="9" borderId="16" xfId="0" applyFont="1" applyFill="1" applyBorder="1"/>
    <xf numFmtId="0" fontId="19" fillId="9" borderId="24" xfId="0" applyFont="1" applyFill="1" applyBorder="1"/>
    <xf numFmtId="0" fontId="0" fillId="10" borderId="0" xfId="0" applyFill="1" applyBorder="1"/>
    <xf numFmtId="0" fontId="1" fillId="10" borderId="26" xfId="0" applyFont="1" applyFill="1" applyBorder="1"/>
    <xf numFmtId="0" fontId="1" fillId="10" borderId="0" xfId="0" applyFont="1" applyFill="1" applyBorder="1"/>
    <xf numFmtId="0" fontId="1" fillId="10" borderId="19" xfId="0" applyFont="1" applyFill="1" applyBorder="1"/>
    <xf numFmtId="0" fontId="1" fillId="10" borderId="28" xfId="0" applyFont="1" applyFill="1" applyBorder="1"/>
    <xf numFmtId="0" fontId="0" fillId="10" borderId="1" xfId="0" applyFill="1" applyBorder="1"/>
    <xf numFmtId="0" fontId="0" fillId="9" borderId="1" xfId="0" applyFill="1" applyBorder="1"/>
    <xf numFmtId="0" fontId="0" fillId="11" borderId="0" xfId="0" applyFill="1" applyBorder="1"/>
    <xf numFmtId="0" fontId="0" fillId="11" borderId="19" xfId="0" applyFill="1" applyBorder="1"/>
    <xf numFmtId="0" fontId="0" fillId="11" borderId="25" xfId="0" applyFill="1" applyBorder="1"/>
    <xf numFmtId="0" fontId="1" fillId="11" borderId="26" xfId="0" applyFont="1" applyFill="1" applyBorder="1"/>
    <xf numFmtId="0" fontId="0" fillId="11" borderId="27" xfId="0" applyFill="1" applyBorder="1"/>
    <xf numFmtId="0" fontId="1" fillId="11" borderId="28" xfId="0" applyFont="1" applyFill="1" applyBorder="1"/>
    <xf numFmtId="0" fontId="0" fillId="11" borderId="1" xfId="0" applyFill="1" applyBorder="1"/>
    <xf numFmtId="0" fontId="19" fillId="9" borderId="30" xfId="0" applyFont="1" applyFill="1" applyBorder="1"/>
    <xf numFmtId="0" fontId="1" fillId="9" borderId="31" xfId="0" applyFont="1" applyFill="1" applyBorder="1"/>
    <xf numFmtId="0" fontId="1" fillId="0" borderId="16" xfId="0" applyFont="1" applyFill="1" applyBorder="1"/>
    <xf numFmtId="0" fontId="1" fillId="0" borderId="19" xfId="0" applyFont="1" applyFill="1" applyBorder="1"/>
    <xf numFmtId="0" fontId="1" fillId="0" borderId="17" xfId="0" applyFont="1" applyFill="1" applyBorder="1"/>
    <xf numFmtId="0" fontId="1" fillId="0" borderId="11" xfId="0" applyFont="1" applyFill="1" applyBorder="1"/>
    <xf numFmtId="0" fontId="1" fillId="0" borderId="20" xfId="0" applyFont="1" applyFill="1" applyBorder="1"/>
    <xf numFmtId="0" fontId="1" fillId="0" borderId="14" xfId="0" applyFont="1" applyFill="1" applyBorder="1"/>
    <xf numFmtId="0" fontId="1" fillId="7" borderId="8" xfId="0" applyFont="1" applyFill="1" applyBorder="1"/>
    <xf numFmtId="0" fontId="0" fillId="7" borderId="18" xfId="0" applyFill="1" applyBorder="1"/>
    <xf numFmtId="0" fontId="1" fillId="7" borderId="11" xfId="0" applyFont="1" applyFill="1" applyBorder="1"/>
    <xf numFmtId="0" fontId="1" fillId="7" borderId="20" xfId="0" applyFont="1" applyFill="1" applyBorder="1"/>
    <xf numFmtId="0" fontId="21" fillId="11" borderId="0" xfId="0" applyFont="1" applyFill="1"/>
    <xf numFmtId="0" fontId="1" fillId="7" borderId="10" xfId="0" applyFont="1" applyFill="1" applyBorder="1"/>
    <xf numFmtId="0" fontId="1" fillId="7" borderId="9" xfId="0" applyFont="1" applyFill="1" applyBorder="1"/>
    <xf numFmtId="0" fontId="1" fillId="0" borderId="10" xfId="0" applyFont="1" applyFill="1" applyBorder="1"/>
    <xf numFmtId="0" fontId="0" fillId="0" borderId="10" xfId="0" applyFill="1" applyBorder="1"/>
    <xf numFmtId="0" fontId="0" fillId="0" borderId="18" xfId="0" applyFill="1" applyBorder="1"/>
    <xf numFmtId="0" fontId="0" fillId="7" borderId="7" xfId="0" applyFill="1" applyBorder="1"/>
    <xf numFmtId="0" fontId="1" fillId="8" borderId="29" xfId="0" applyFont="1" applyFill="1" applyBorder="1" applyAlignment="1">
      <alignment horizontal="center" vertical="center"/>
    </xf>
    <xf numFmtId="0" fontId="0" fillId="0" borderId="15" xfId="0" applyFill="1" applyBorder="1"/>
    <xf numFmtId="0" fontId="0" fillId="0" borderId="12" xfId="0" applyFill="1" applyBorder="1"/>
    <xf numFmtId="0" fontId="1" fillId="13" borderId="8" xfId="0" applyFont="1" applyFill="1" applyBorder="1"/>
    <xf numFmtId="0" fontId="1" fillId="13" borderId="0" xfId="0" applyFont="1" applyFill="1" applyBorder="1"/>
    <xf numFmtId="0" fontId="0" fillId="12" borderId="33" xfId="0" applyFill="1" applyBorder="1"/>
    <xf numFmtId="0" fontId="0" fillId="12" borderId="34" xfId="0" applyFill="1" applyBorder="1"/>
    <xf numFmtId="0" fontId="1" fillId="0" borderId="15" xfId="0" applyFont="1" applyFill="1" applyBorder="1"/>
    <xf numFmtId="0" fontId="1" fillId="0" borderId="18" xfId="0" applyFont="1" applyFill="1" applyBorder="1"/>
    <xf numFmtId="0" fontId="1" fillId="7" borderId="16" xfId="0" applyFont="1" applyFill="1" applyBorder="1"/>
    <xf numFmtId="0" fontId="1" fillId="7" borderId="15" xfId="0" applyFont="1" applyFill="1" applyBorder="1"/>
    <xf numFmtId="0" fontId="0" fillId="7" borderId="16" xfId="0" applyFill="1" applyBorder="1"/>
    <xf numFmtId="0" fontId="1" fillId="13" borderId="19" xfId="0" applyFont="1" applyFill="1" applyBorder="1"/>
    <xf numFmtId="0" fontId="1" fillId="7" borderId="18" xfId="0" applyFont="1" applyFill="1" applyBorder="1"/>
    <xf numFmtId="0" fontId="0" fillId="7" borderId="19" xfId="0" applyFill="1" applyBorder="1"/>
    <xf numFmtId="0" fontId="0" fillId="0" borderId="0" xfId="0" applyAlignment="1">
      <alignment vertical="top"/>
    </xf>
    <xf numFmtId="0" fontId="19" fillId="0" borderId="8" xfId="0" applyFont="1" applyBorder="1" applyAlignment="1">
      <alignment horizontal="center" vertical="top" wrapText="1"/>
    </xf>
    <xf numFmtId="0" fontId="19" fillId="0" borderId="8" xfId="0" applyFont="1" applyFill="1" applyBorder="1" applyAlignment="1">
      <alignment horizontal="center" vertical="top" wrapText="1"/>
    </xf>
    <xf numFmtId="0" fontId="19" fillId="0" borderId="9" xfId="0" applyFont="1" applyBorder="1" applyAlignment="1">
      <alignment horizontal="center" vertical="top" wrapText="1"/>
    </xf>
    <xf numFmtId="0" fontId="19" fillId="0" borderId="0" xfId="0" applyFont="1" applyBorder="1" applyAlignment="1">
      <alignment horizontal="center" vertical="top" wrapText="1"/>
    </xf>
    <xf numFmtId="0" fontId="1" fillId="0" borderId="0" xfId="0" applyFont="1" applyAlignment="1">
      <alignment horizontal="center" vertical="top" wrapText="1"/>
    </xf>
    <xf numFmtId="0" fontId="1" fillId="12" borderId="33" xfId="0" applyFont="1" applyFill="1" applyBorder="1"/>
    <xf numFmtId="0" fontId="1" fillId="4" borderId="35" xfId="0" applyFont="1" applyFill="1" applyBorder="1" applyAlignment="1">
      <alignment horizontal="center" vertical="center"/>
    </xf>
    <xf numFmtId="0" fontId="20" fillId="11" borderId="36" xfId="0" applyFont="1" applyFill="1" applyBorder="1"/>
    <xf numFmtId="0" fontId="19" fillId="0" borderId="7" xfId="0" applyFont="1" applyBorder="1" applyAlignment="1">
      <alignment horizontal="center" vertical="top" wrapText="1"/>
    </xf>
    <xf numFmtId="0" fontId="20" fillId="11" borderId="12" xfId="0" applyFont="1" applyFill="1" applyBorder="1"/>
    <xf numFmtId="0" fontId="20" fillId="11" borderId="13" xfId="0" applyFont="1" applyFill="1" applyBorder="1"/>
    <xf numFmtId="0" fontId="20" fillId="11" borderId="14" xfId="0" applyFont="1" applyFill="1" applyBorder="1"/>
    <xf numFmtId="0" fontId="1" fillId="14" borderId="10" xfId="0" applyFont="1" applyFill="1" applyBorder="1"/>
    <xf numFmtId="0" fontId="0" fillId="14" borderId="10" xfId="0" applyFill="1" applyBorder="1"/>
    <xf numFmtId="0" fontId="1" fillId="14" borderId="0" xfId="0" applyFont="1" applyFill="1" applyBorder="1"/>
    <xf numFmtId="0" fontId="1" fillId="14" borderId="11" xfId="0" applyFont="1" applyFill="1" applyBorder="1"/>
    <xf numFmtId="0" fontId="0" fillId="14" borderId="0" xfId="0" applyFill="1" applyBorder="1"/>
    <xf numFmtId="0" fontId="1" fillId="14" borderId="19" xfId="0" applyFont="1" applyFill="1" applyBorder="1"/>
    <xf numFmtId="0" fontId="1" fillId="14" borderId="20" xfId="0" applyFont="1" applyFill="1" applyBorder="1"/>
    <xf numFmtId="0" fontId="1" fillId="14" borderId="18" xfId="0" applyFont="1" applyFill="1" applyBorder="1"/>
    <xf numFmtId="0" fontId="1" fillId="14" borderId="16" xfId="0" applyFont="1" applyFill="1" applyBorder="1"/>
    <xf numFmtId="165" fontId="1" fillId="7" borderId="23" xfId="4" applyFont="1" applyFill="1" applyBorder="1"/>
    <xf numFmtId="0" fontId="0" fillId="7" borderId="26" xfId="0" applyFill="1" applyBorder="1"/>
    <xf numFmtId="0" fontId="1" fillId="14" borderId="25" xfId="0" applyFont="1" applyFill="1" applyBorder="1"/>
    <xf numFmtId="0" fontId="0" fillId="14" borderId="26" xfId="0" applyFill="1" applyBorder="1"/>
    <xf numFmtId="0" fontId="1" fillId="7" borderId="25" xfId="0" applyFont="1" applyFill="1" applyBorder="1"/>
    <xf numFmtId="0" fontId="1" fillId="7" borderId="27" xfId="0" applyFont="1" applyFill="1" applyBorder="1"/>
    <xf numFmtId="0" fontId="1" fillId="7" borderId="28" xfId="0" applyFont="1" applyFill="1" applyBorder="1"/>
    <xf numFmtId="0" fontId="1" fillId="7" borderId="26" xfId="0" applyFont="1" applyFill="1" applyBorder="1"/>
    <xf numFmtId="0" fontId="1" fillId="0" borderId="25" xfId="0" applyFont="1" applyFill="1" applyBorder="1"/>
    <xf numFmtId="0" fontId="0" fillId="0" borderId="26" xfId="0" applyBorder="1"/>
    <xf numFmtId="0" fontId="1" fillId="0" borderId="27" xfId="0" applyFont="1" applyFill="1" applyBorder="1"/>
    <xf numFmtId="0" fontId="1" fillId="0" borderId="23" xfId="0" applyFont="1" applyFill="1" applyBorder="1"/>
    <xf numFmtId="0" fontId="1" fillId="0" borderId="24" xfId="0" applyFont="1" applyFill="1" applyBorder="1"/>
    <xf numFmtId="0" fontId="1" fillId="0" borderId="26" xfId="0" applyFont="1" applyFill="1" applyBorder="1"/>
    <xf numFmtId="0" fontId="1" fillId="14" borderId="27" xfId="0" applyFont="1" applyFill="1" applyBorder="1"/>
    <xf numFmtId="0" fontId="1" fillId="14" borderId="28" xfId="0" applyFont="1" applyFill="1" applyBorder="1"/>
    <xf numFmtId="0" fontId="1" fillId="0" borderId="25" xfId="0" quotePrefix="1" applyFont="1" applyFill="1" applyBorder="1"/>
    <xf numFmtId="165" fontId="1" fillId="7" borderId="25" xfId="4" applyFont="1" applyFill="1" applyBorder="1"/>
    <xf numFmtId="165" fontId="1" fillId="7" borderId="27" xfId="4" applyFont="1" applyFill="1" applyBorder="1"/>
    <xf numFmtId="165" fontId="1" fillId="7" borderId="37" xfId="4" applyFont="1" applyFill="1" applyBorder="1"/>
    <xf numFmtId="0" fontId="0" fillId="11" borderId="31" xfId="0" applyFill="1" applyBorder="1"/>
    <xf numFmtId="0" fontId="1" fillId="9" borderId="7" xfId="0" applyFont="1" applyFill="1" applyBorder="1"/>
    <xf numFmtId="0" fontId="1" fillId="9" borderId="10" xfId="0" applyFont="1" applyFill="1" applyBorder="1"/>
    <xf numFmtId="0" fontId="1" fillId="9" borderId="12" xfId="0" applyFont="1" applyFill="1" applyBorder="1"/>
    <xf numFmtId="0" fontId="1" fillId="11" borderId="0" xfId="0" applyFont="1" applyFill="1" applyBorder="1"/>
    <xf numFmtId="0" fontId="1" fillId="11" borderId="19" xfId="0" applyFont="1" applyFill="1" applyBorder="1"/>
    <xf numFmtId="0" fontId="1" fillId="11" borderId="16" xfId="0" applyFont="1" applyFill="1" applyBorder="1"/>
    <xf numFmtId="0" fontId="0" fillId="9" borderId="0" xfId="0" applyFont="1" applyFill="1" applyBorder="1"/>
    <xf numFmtId="0" fontId="0" fillId="11" borderId="16" xfId="0" applyFill="1" applyBorder="1"/>
    <xf numFmtId="0" fontId="0" fillId="11" borderId="33" xfId="0" applyFill="1" applyBorder="1"/>
    <xf numFmtId="0" fontId="0" fillId="14" borderId="15" xfId="0" applyFill="1" applyBorder="1"/>
    <xf numFmtId="0" fontId="1" fillId="14" borderId="17" xfId="0" applyFont="1" applyFill="1" applyBorder="1"/>
    <xf numFmtId="0" fontId="1" fillId="14" borderId="15" xfId="0" applyFont="1" applyFill="1" applyBorder="1"/>
    <xf numFmtId="0" fontId="0" fillId="14" borderId="16" xfId="0" applyFill="1" applyBorder="1"/>
    <xf numFmtId="0" fontId="0" fillId="11" borderId="0" xfId="0" applyFill="1"/>
    <xf numFmtId="0" fontId="0" fillId="11" borderId="33" xfId="0" applyFill="1" applyBorder="1" applyAlignment="1">
      <alignment horizontal="center"/>
    </xf>
    <xf numFmtId="0" fontId="1" fillId="0" borderId="0" xfId="0" applyFont="1" applyAlignment="1">
      <alignment horizontal="right" indent="2"/>
    </xf>
    <xf numFmtId="0" fontId="0" fillId="0" borderId="0" xfId="0" applyAlignment="1">
      <alignment horizontal="right" indent="2"/>
    </xf>
    <xf numFmtId="0" fontId="1" fillId="0" borderId="0" xfId="0" applyFont="1" applyFill="1" applyBorder="1" applyAlignment="1">
      <alignment horizontal="right" indent="2"/>
    </xf>
    <xf numFmtId="0" fontId="0" fillId="15" borderId="0" xfId="0" applyFill="1"/>
    <xf numFmtId="0" fontId="0" fillId="0" borderId="0" xfId="0" applyFont="1" applyFill="1" applyBorder="1" applyAlignment="1">
      <alignment horizontal="right" indent="2"/>
    </xf>
    <xf numFmtId="16" fontId="1" fillId="0" borderId="0" xfId="0" quotePrefix="1" applyNumberFormat="1" applyFont="1"/>
    <xf numFmtId="0" fontId="23" fillId="0" borderId="0" xfId="0" applyFont="1"/>
    <xf numFmtId="0" fontId="17" fillId="2" borderId="38" xfId="2" applyFont="1" applyFill="1" applyBorder="1" applyAlignment="1">
      <alignment horizontal="center" vertical="center" wrapText="1"/>
    </xf>
    <xf numFmtId="0" fontId="6" fillId="0" borderId="38" xfId="0" applyFont="1" applyFill="1" applyBorder="1" applyAlignment="1">
      <alignment horizontal="left" vertical="top" indent="1"/>
    </xf>
    <xf numFmtId="0" fontId="6" fillId="0" borderId="38" xfId="2" applyFont="1" applyFill="1" applyBorder="1" applyAlignment="1">
      <alignment horizontal="left" indent="1"/>
    </xf>
    <xf numFmtId="0" fontId="6" fillId="0" borderId="38" xfId="2" applyFont="1" applyBorder="1" applyAlignment="1">
      <alignment horizontal="left" indent="1"/>
    </xf>
    <xf numFmtId="0" fontId="6" fillId="0" borderId="38" xfId="3" applyFont="1" applyFill="1" applyBorder="1" applyAlignment="1" applyProtection="1">
      <alignment horizontal="left"/>
    </xf>
    <xf numFmtId="0" fontId="3" fillId="2" borderId="39" xfId="2" applyFont="1" applyFill="1" applyBorder="1" applyAlignment="1">
      <alignment horizontal="center" vertical="center" wrapText="1"/>
    </xf>
    <xf numFmtId="0" fontId="3" fillId="2" borderId="40" xfId="2" applyFont="1" applyFill="1" applyBorder="1" applyAlignment="1">
      <alignment horizontal="center" vertical="center" wrapText="1"/>
    </xf>
    <xf numFmtId="0" fontId="2" fillId="0" borderId="41" xfId="2" applyFont="1" applyFill="1" applyBorder="1" applyAlignment="1">
      <alignment horizontal="left" vertical="top" indent="1"/>
    </xf>
    <xf numFmtId="0" fontId="16" fillId="0" borderId="41" xfId="2" applyFont="1" applyFill="1" applyBorder="1" applyAlignment="1">
      <alignment horizontal="left" vertical="top" indent="1"/>
    </xf>
    <xf numFmtId="0" fontId="9" fillId="0" borderId="43" xfId="0" applyFont="1" applyFill="1" applyBorder="1" applyAlignment="1">
      <alignment horizontal="center" wrapText="1"/>
    </xf>
    <xf numFmtId="0" fontId="9" fillId="0" borderId="43" xfId="0" quotePrefix="1" applyFont="1" applyFill="1" applyBorder="1" applyAlignment="1">
      <alignment horizontal="left" wrapText="1"/>
    </xf>
    <xf numFmtId="0" fontId="1" fillId="0" borderId="0" xfId="0" applyFont="1" applyFill="1"/>
    <xf numFmtId="0" fontId="9" fillId="0" borderId="42" xfId="0" applyFont="1" applyFill="1" applyBorder="1" applyAlignment="1">
      <alignment horizontal="left" wrapText="1"/>
    </xf>
    <xf numFmtId="0" fontId="9" fillId="0" borderId="43" xfId="0" applyFont="1" applyFill="1" applyBorder="1" applyAlignment="1">
      <alignment horizontal="left" wrapText="1"/>
    </xf>
    <xf numFmtId="0" fontId="9" fillId="0" borderId="44" xfId="0" applyFont="1" applyFill="1" applyBorder="1" applyAlignment="1">
      <alignment horizontal="left" wrapText="1"/>
    </xf>
    <xf numFmtId="0" fontId="9" fillId="0" borderId="45" xfId="0" applyFont="1" applyFill="1" applyBorder="1" applyAlignment="1">
      <alignment wrapText="1"/>
    </xf>
    <xf numFmtId="0" fontId="9" fillId="0" borderId="45" xfId="0" quotePrefix="1" applyFont="1" applyFill="1" applyBorder="1" applyAlignment="1">
      <alignment horizontal="left" wrapText="1"/>
    </xf>
    <xf numFmtId="0" fontId="9" fillId="0" borderId="45" xfId="0" applyFont="1" applyFill="1" applyBorder="1" applyAlignment="1">
      <alignment horizontal="left" wrapText="1"/>
    </xf>
    <xf numFmtId="0" fontId="2" fillId="0" borderId="0" xfId="0" applyFont="1" applyFill="1" applyAlignment="1">
      <alignment horizontal="left"/>
    </xf>
    <xf numFmtId="0" fontId="9" fillId="0" borderId="45" xfId="0" applyFont="1" applyFill="1" applyBorder="1" applyAlignment="1">
      <alignment horizontal="center" wrapText="1"/>
    </xf>
    <xf numFmtId="0" fontId="1" fillId="0" borderId="0" xfId="0" applyFont="1" applyFill="1" applyAlignment="1">
      <alignment horizontal="center"/>
    </xf>
  </cellXfs>
  <cellStyles count="5">
    <cellStyle name="Dezimal" xfId="4" builtinId="3"/>
    <cellStyle name="Euro" xfId="1"/>
    <cellStyle name="Hyperlink" xfId="3" builtinId="8"/>
    <cellStyle name="Standard" xfId="0" builtinId="0"/>
    <cellStyle name="Standard 2" xfId="2"/>
  </cellStyles>
  <dxfs count="145">
    <dxf>
      <border>
        <left style="dotted">
          <color rgb="FFFF0000"/>
        </left>
        <vertical/>
        <horizontal/>
      </border>
    </dxf>
    <dxf>
      <font>
        <color auto="1"/>
      </font>
      <fill>
        <patternFill>
          <bgColor theme="4" tint="0.79998168889431442"/>
        </patternFill>
      </fill>
      <border>
        <left/>
        <right style="thin">
          <color rgb="FFFF0000"/>
        </right>
        <top/>
        <bottom/>
      </border>
    </dxf>
    <dxf>
      <fill>
        <patternFill>
          <bgColor rgb="FFFFEBFF"/>
        </patternFill>
      </fill>
      <border>
        <left style="hair">
          <color rgb="FFFFE7FF"/>
        </left>
        <right style="thin">
          <color rgb="FFFF0000"/>
        </right>
        <top style="hair">
          <color rgb="FFFFE7FF"/>
        </top>
        <bottom style="hair">
          <color rgb="FFFFE7FF"/>
        </bottom>
      </border>
    </dxf>
    <dxf>
      <fill>
        <patternFill>
          <bgColor theme="3" tint="0.59996337778862885"/>
        </patternFill>
      </fill>
    </dxf>
    <dxf>
      <fill>
        <patternFill>
          <bgColor rgb="FFFFA3FF"/>
        </patternFill>
      </fill>
    </dxf>
    <dxf>
      <fill>
        <patternFill>
          <bgColor rgb="FFFFFF99"/>
        </patternFill>
      </fill>
    </dxf>
    <dxf>
      <fill>
        <patternFill>
          <bgColor rgb="FF92D050"/>
        </patternFill>
      </fill>
    </dxf>
    <dxf>
      <fill>
        <patternFill>
          <bgColor rgb="FFFF0000"/>
        </patternFill>
      </fill>
    </dxf>
    <dxf>
      <fill>
        <patternFill>
          <bgColor rgb="FFFF0000"/>
        </patternFill>
      </fill>
    </dxf>
    <dxf>
      <border>
        <left style="dotted">
          <color rgb="FFFF0000"/>
        </left>
        <vertical/>
        <horizontal/>
      </border>
    </dxf>
    <dxf>
      <font>
        <color auto="1"/>
      </font>
      <fill>
        <patternFill>
          <bgColor theme="4" tint="0.79998168889431442"/>
        </patternFill>
      </fill>
      <border>
        <left/>
        <right style="thin">
          <color rgb="FFFF0000"/>
        </right>
        <top/>
        <bottom/>
      </border>
    </dxf>
    <dxf>
      <fill>
        <patternFill>
          <bgColor rgb="FFFFEBFF"/>
        </patternFill>
      </fill>
      <border>
        <left style="hair">
          <color rgb="FFFFE7FF"/>
        </left>
        <right style="thin">
          <color rgb="FFFF0000"/>
        </right>
        <top style="hair">
          <color rgb="FFFFE7FF"/>
        </top>
        <bottom style="hair">
          <color rgb="FFFFE7FF"/>
        </bottom>
      </border>
    </dxf>
    <dxf>
      <fill>
        <patternFill>
          <bgColor theme="3" tint="0.59996337778862885"/>
        </patternFill>
      </fill>
    </dxf>
    <dxf>
      <fill>
        <patternFill>
          <bgColor rgb="FFFFA3FF"/>
        </patternFill>
      </fill>
    </dxf>
    <dxf>
      <fill>
        <patternFill>
          <bgColor rgb="FFFFFF99"/>
        </patternFill>
      </fill>
    </dxf>
    <dxf>
      <fill>
        <patternFill>
          <bgColor rgb="FF92D050"/>
        </patternFill>
      </fill>
    </dxf>
    <dxf>
      <fill>
        <patternFill>
          <bgColor rgb="FFFF0000"/>
        </patternFill>
      </fill>
    </dxf>
    <dxf>
      <fill>
        <patternFill>
          <bgColor rgb="FFFF0000"/>
        </patternFill>
      </fill>
    </dxf>
    <dxf>
      <border>
        <left style="dotted">
          <color rgb="FFFF0000"/>
        </left>
        <vertical/>
        <horizontal/>
      </border>
    </dxf>
    <dxf>
      <font>
        <color auto="1"/>
      </font>
      <fill>
        <patternFill>
          <bgColor theme="4" tint="0.79998168889431442"/>
        </patternFill>
      </fill>
      <border>
        <left/>
        <right style="thin">
          <color rgb="FFFF0000"/>
        </right>
        <top/>
        <bottom/>
      </border>
    </dxf>
    <dxf>
      <fill>
        <patternFill>
          <bgColor rgb="FFFFEBFF"/>
        </patternFill>
      </fill>
      <border>
        <left style="hair">
          <color rgb="FFFFE7FF"/>
        </left>
        <right style="thin">
          <color rgb="FFFF0000"/>
        </right>
        <top style="hair">
          <color rgb="FFFFE7FF"/>
        </top>
        <bottom style="hair">
          <color rgb="FFFFE7FF"/>
        </bottom>
      </border>
    </dxf>
    <dxf>
      <fill>
        <patternFill>
          <bgColor theme="3" tint="0.59996337778862885"/>
        </patternFill>
      </fill>
    </dxf>
    <dxf>
      <fill>
        <patternFill>
          <bgColor rgb="FFFFA3FF"/>
        </patternFill>
      </fill>
    </dxf>
    <dxf>
      <fill>
        <patternFill>
          <bgColor rgb="FFFFFF99"/>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ont>
        <color auto="1"/>
      </font>
      <fill>
        <patternFill>
          <bgColor theme="9" tint="0.79998168889431442"/>
        </patternFill>
      </fill>
    </dxf>
    <dxf>
      <font>
        <color auto="1"/>
      </font>
      <fill>
        <patternFill>
          <bgColor theme="4" tint="0.79998168889431442"/>
        </patternFill>
      </fill>
      <border>
        <left/>
        <right style="thin">
          <color rgb="FFFF0000"/>
        </right>
        <top/>
        <bottom/>
      </border>
    </dxf>
    <dxf>
      <fill>
        <patternFill>
          <bgColor rgb="FFFFEBFF"/>
        </patternFill>
      </fill>
      <border>
        <left style="hair">
          <color rgb="FFFFE7FF"/>
        </left>
        <right style="thin">
          <color rgb="FFFF0000"/>
        </right>
        <top style="hair">
          <color rgb="FFFFE7FF"/>
        </top>
        <bottom style="hair">
          <color rgb="FFFFE7FF"/>
        </bottom>
      </border>
    </dxf>
    <dxf>
      <fill>
        <patternFill>
          <bgColor theme="3" tint="0.59996337778862885"/>
        </patternFill>
      </fill>
    </dxf>
    <dxf>
      <fill>
        <patternFill>
          <bgColor rgb="FFFFA3FF"/>
        </patternFill>
      </fill>
    </dxf>
    <dxf>
      <fill>
        <patternFill>
          <bgColor rgb="FFFFFF99"/>
        </patternFill>
      </fill>
    </dxf>
    <dxf>
      <fill>
        <patternFill>
          <bgColor rgb="FF92D050"/>
        </patternFill>
      </fill>
    </dxf>
    <dxf>
      <fill>
        <patternFill>
          <bgColor rgb="FFFF0000"/>
        </patternFill>
      </fill>
    </dxf>
    <dxf>
      <fill>
        <patternFill>
          <bgColor rgb="FFFF0000"/>
        </patternFill>
      </fill>
    </dxf>
    <dxf>
      <font>
        <color auto="1"/>
      </font>
      <fill>
        <patternFill>
          <bgColor theme="4" tint="0.79998168889431442"/>
        </patternFill>
      </fill>
      <border>
        <left/>
        <right style="thin">
          <color rgb="FFFF0000"/>
        </right>
        <top/>
        <bottom/>
      </border>
    </dxf>
    <dxf>
      <fill>
        <patternFill>
          <bgColor rgb="FFFFEBFF"/>
        </patternFill>
      </fill>
      <border>
        <left style="hair">
          <color rgb="FFFFE7FF"/>
        </left>
        <right style="thin">
          <color rgb="FFFF0000"/>
        </right>
        <top style="hair">
          <color rgb="FFFFE7FF"/>
        </top>
        <bottom style="hair">
          <color rgb="FFFFE7FF"/>
        </bottom>
      </border>
    </dxf>
    <dxf>
      <fill>
        <patternFill>
          <bgColor theme="3" tint="0.59996337778862885"/>
        </patternFill>
      </fill>
    </dxf>
    <dxf>
      <fill>
        <patternFill>
          <bgColor rgb="FFFFA3FF"/>
        </patternFill>
      </fill>
    </dxf>
    <dxf>
      <fill>
        <patternFill>
          <bgColor rgb="FFFFFF99"/>
        </patternFill>
      </fill>
    </dxf>
    <dxf>
      <fill>
        <patternFill>
          <bgColor rgb="FF92D050"/>
        </patternFill>
      </fill>
    </dxf>
    <dxf>
      <fill>
        <patternFill>
          <bgColor rgb="FFFF0000"/>
        </patternFill>
      </fill>
    </dxf>
    <dxf>
      <fill>
        <patternFill>
          <bgColor rgb="FFFF0000"/>
        </patternFill>
      </fill>
    </dxf>
    <dxf>
      <font>
        <color auto="1"/>
      </font>
      <fill>
        <patternFill>
          <bgColor theme="4" tint="0.79998168889431442"/>
        </patternFill>
      </fill>
      <border>
        <left/>
        <right style="thin">
          <color rgb="FFFF0000"/>
        </right>
        <top/>
        <bottom/>
      </border>
    </dxf>
    <dxf>
      <fill>
        <patternFill>
          <bgColor rgb="FFFFEBFF"/>
        </patternFill>
      </fill>
      <border>
        <left style="hair">
          <color rgb="FFFFE7FF"/>
        </left>
        <right style="thin">
          <color rgb="FFFF0000"/>
        </right>
        <top style="hair">
          <color rgb="FFFFE7FF"/>
        </top>
        <bottom style="hair">
          <color rgb="FFFFE7FF"/>
        </bottom>
      </border>
    </dxf>
    <dxf>
      <fill>
        <patternFill>
          <bgColor theme="3" tint="0.59996337778862885"/>
        </patternFill>
      </fill>
    </dxf>
    <dxf>
      <fill>
        <patternFill>
          <bgColor rgb="FFFFA3FF"/>
        </patternFill>
      </fill>
    </dxf>
    <dxf>
      <fill>
        <patternFill>
          <bgColor rgb="FFFFFF99"/>
        </patternFill>
      </fill>
    </dxf>
    <dxf>
      <fill>
        <patternFill>
          <bgColor rgb="FF92D050"/>
        </patternFill>
      </fill>
    </dxf>
    <dxf>
      <fill>
        <patternFill>
          <bgColor rgb="FFFF0000"/>
        </patternFill>
      </fill>
    </dxf>
    <dxf>
      <fill>
        <patternFill>
          <bgColor rgb="FFFF0000"/>
        </patternFill>
      </fill>
    </dxf>
    <dxf>
      <font>
        <color auto="1"/>
      </font>
      <fill>
        <patternFill>
          <bgColor theme="4" tint="0.79998168889431442"/>
        </patternFill>
      </fill>
      <border>
        <left/>
        <right style="thin">
          <color rgb="FFFF0000"/>
        </right>
        <top/>
        <bottom/>
      </border>
    </dxf>
    <dxf>
      <fill>
        <patternFill>
          <bgColor rgb="FFFFEBFF"/>
        </patternFill>
      </fill>
      <border>
        <left style="hair">
          <color rgb="FFFFE7FF"/>
        </left>
        <right style="thin">
          <color rgb="FFFF0000"/>
        </right>
        <top style="hair">
          <color rgb="FFFFE7FF"/>
        </top>
        <bottom style="hair">
          <color rgb="FFFFE7FF"/>
        </bottom>
      </border>
    </dxf>
    <dxf>
      <fill>
        <patternFill>
          <bgColor theme="3" tint="0.59996337778862885"/>
        </patternFill>
      </fill>
    </dxf>
    <dxf>
      <fill>
        <patternFill>
          <bgColor rgb="FFFFA3FF"/>
        </patternFill>
      </fill>
    </dxf>
    <dxf>
      <fill>
        <patternFill>
          <bgColor rgb="FFFFFF99"/>
        </patternFill>
      </fill>
    </dxf>
    <dxf>
      <fill>
        <patternFill>
          <bgColor rgb="FF92D050"/>
        </patternFill>
      </fill>
    </dxf>
    <dxf>
      <fill>
        <patternFill>
          <bgColor rgb="FFFF0000"/>
        </patternFill>
      </fill>
    </dxf>
    <dxf>
      <fill>
        <patternFill>
          <bgColor rgb="FFFF0000"/>
        </patternFill>
      </fill>
    </dxf>
    <dxf>
      <font>
        <color auto="1"/>
      </font>
      <fill>
        <patternFill>
          <bgColor theme="4" tint="0.79998168889431442"/>
        </patternFill>
      </fill>
      <border>
        <left/>
        <right style="thin">
          <color rgb="FFFF0000"/>
        </right>
        <top/>
        <bottom/>
      </border>
    </dxf>
    <dxf>
      <fill>
        <patternFill>
          <bgColor rgb="FFFFEBFF"/>
        </patternFill>
      </fill>
      <border>
        <left style="hair">
          <color rgb="FFFFE7FF"/>
        </left>
        <right style="thin">
          <color rgb="FFFF0000"/>
        </right>
        <top style="hair">
          <color rgb="FFFFE7FF"/>
        </top>
        <bottom style="hair">
          <color rgb="FFFFE7FF"/>
        </bottom>
      </border>
    </dxf>
    <dxf>
      <fill>
        <patternFill>
          <bgColor theme="3" tint="0.59996337778862885"/>
        </patternFill>
      </fill>
    </dxf>
    <dxf>
      <fill>
        <patternFill>
          <bgColor rgb="FFFFA3FF"/>
        </patternFill>
      </fill>
    </dxf>
    <dxf>
      <fill>
        <patternFill>
          <bgColor rgb="FFFFFF99"/>
        </patternFill>
      </fill>
    </dxf>
    <dxf>
      <fill>
        <patternFill>
          <bgColor rgb="FF92D050"/>
        </patternFill>
      </fill>
    </dxf>
    <dxf>
      <fill>
        <patternFill>
          <bgColor rgb="FFFF0000"/>
        </patternFill>
      </fill>
    </dxf>
    <dxf>
      <fill>
        <patternFill>
          <bgColor rgb="FFFF0000"/>
        </patternFill>
      </fill>
    </dxf>
    <dxf>
      <font>
        <color auto="1"/>
      </font>
      <fill>
        <patternFill>
          <bgColor theme="4" tint="0.79998168889431442"/>
        </patternFill>
      </fill>
      <border>
        <left/>
        <right style="thin">
          <color rgb="FFFF0000"/>
        </right>
        <top/>
        <bottom/>
      </border>
    </dxf>
    <dxf>
      <fill>
        <patternFill>
          <bgColor rgb="FFFFEBFF"/>
        </patternFill>
      </fill>
      <border>
        <left style="hair">
          <color rgb="FFFFE7FF"/>
        </left>
        <right style="thin">
          <color rgb="FFFF0000"/>
        </right>
        <top style="hair">
          <color rgb="FFFFE7FF"/>
        </top>
        <bottom style="hair">
          <color rgb="FFFFE7FF"/>
        </bottom>
      </border>
    </dxf>
    <dxf>
      <fill>
        <patternFill>
          <bgColor theme="3" tint="0.59996337778862885"/>
        </patternFill>
      </fill>
    </dxf>
    <dxf>
      <fill>
        <patternFill>
          <bgColor rgb="FFFFA3FF"/>
        </patternFill>
      </fill>
    </dxf>
    <dxf>
      <fill>
        <patternFill>
          <bgColor rgb="FFFFFF99"/>
        </patternFill>
      </fill>
    </dxf>
    <dxf>
      <fill>
        <patternFill>
          <bgColor rgb="FF92D050"/>
        </patternFill>
      </fill>
    </dxf>
    <dxf>
      <fill>
        <patternFill>
          <bgColor rgb="FFFF0000"/>
        </patternFill>
      </fill>
    </dxf>
    <dxf>
      <fill>
        <patternFill>
          <bgColor rgb="FFFF0000"/>
        </patternFill>
      </fill>
    </dxf>
    <dxf>
      <font>
        <color auto="1"/>
      </font>
      <fill>
        <patternFill>
          <bgColor theme="4" tint="0.79998168889431442"/>
        </patternFill>
      </fill>
      <border>
        <left/>
        <right style="thin">
          <color rgb="FFFF0000"/>
        </right>
        <top/>
        <bottom/>
      </border>
    </dxf>
    <dxf>
      <fill>
        <patternFill>
          <bgColor rgb="FFFFEBFF"/>
        </patternFill>
      </fill>
      <border>
        <left style="hair">
          <color rgb="FFFFE7FF"/>
        </left>
        <right style="thin">
          <color rgb="FFFF0000"/>
        </right>
        <top style="hair">
          <color rgb="FFFFE7FF"/>
        </top>
        <bottom style="hair">
          <color rgb="FFFFE7FF"/>
        </bottom>
      </border>
    </dxf>
    <dxf>
      <fill>
        <patternFill>
          <bgColor theme="3" tint="0.59996337778862885"/>
        </patternFill>
      </fill>
    </dxf>
    <dxf>
      <fill>
        <patternFill>
          <bgColor rgb="FFFFA3FF"/>
        </patternFill>
      </fill>
    </dxf>
    <dxf>
      <fill>
        <patternFill>
          <bgColor rgb="FFFFFF99"/>
        </patternFill>
      </fill>
    </dxf>
    <dxf>
      <fill>
        <patternFill>
          <bgColor rgb="FF92D050"/>
        </patternFill>
      </fill>
    </dxf>
    <dxf>
      <fill>
        <patternFill>
          <bgColor rgb="FFFF0000"/>
        </patternFill>
      </fill>
    </dxf>
    <dxf>
      <fill>
        <patternFill>
          <bgColor rgb="FFFF0000"/>
        </patternFill>
      </fill>
    </dxf>
    <dxf>
      <fill>
        <patternFill>
          <bgColor indexed="22"/>
        </patternFill>
      </fill>
    </dxf>
    <dxf>
      <font>
        <condense val="0"/>
        <extend val="0"/>
        <color indexed="9"/>
      </font>
      <fill>
        <patternFill>
          <bgColor indexed="20"/>
        </patternFill>
      </fill>
    </dxf>
    <dxf>
      <fill>
        <patternFill>
          <bgColor indexed="22"/>
        </patternFill>
      </fill>
    </dxf>
    <dxf>
      <font>
        <condense val="0"/>
        <extend val="0"/>
        <color indexed="9"/>
      </font>
      <fill>
        <patternFill>
          <bgColor indexed="20"/>
        </patternFill>
      </fill>
    </dxf>
    <dxf>
      <fill>
        <patternFill>
          <bgColor indexed="22"/>
        </patternFill>
      </fill>
    </dxf>
    <dxf>
      <font>
        <condense val="0"/>
        <extend val="0"/>
        <color indexed="9"/>
      </font>
      <fill>
        <patternFill>
          <bgColor indexed="20"/>
        </patternFill>
      </fill>
    </dxf>
    <dxf>
      <fill>
        <patternFill>
          <bgColor indexed="22"/>
        </patternFill>
      </fill>
    </dxf>
    <dxf>
      <font>
        <condense val="0"/>
        <extend val="0"/>
        <color indexed="9"/>
      </font>
      <fill>
        <patternFill>
          <bgColor indexed="20"/>
        </patternFill>
      </fill>
    </dxf>
    <dxf>
      <font>
        <color auto="1"/>
      </font>
      <fill>
        <patternFill>
          <bgColor theme="4" tint="0.79998168889431442"/>
        </patternFill>
      </fill>
    </dxf>
    <dxf>
      <font>
        <color auto="1"/>
      </font>
      <fill>
        <patternFill>
          <bgColor theme="4" tint="0.79998168889431442"/>
        </patternFill>
      </fill>
    </dxf>
    <dxf>
      <font>
        <color auto="1"/>
      </font>
      <fill>
        <patternFill>
          <bgColor theme="4" tint="0.79998168889431442"/>
        </patternFill>
      </fill>
    </dxf>
    <dxf>
      <fill>
        <patternFill>
          <bgColor rgb="FF92D050"/>
        </patternFill>
      </fill>
    </dxf>
    <dxf>
      <fill>
        <patternFill>
          <bgColor rgb="FF92D050"/>
        </patternFill>
      </fill>
    </dxf>
    <dxf>
      <fill>
        <patternFill>
          <bgColor rgb="FF92D050"/>
        </patternFill>
      </fill>
    </dxf>
    <dxf>
      <fill>
        <patternFill>
          <bgColor rgb="FFFFFFCC"/>
        </patternFill>
      </fill>
    </dxf>
    <dxf>
      <fill>
        <patternFill>
          <bgColor rgb="FFFFFFCC"/>
        </patternFill>
      </fill>
    </dxf>
    <dxf>
      <fill>
        <patternFill>
          <bgColor rgb="FFFFFF99"/>
        </patternFill>
      </fill>
    </dxf>
    <dxf>
      <fill>
        <patternFill>
          <bgColor rgb="FFFFC000"/>
        </patternFill>
      </fill>
    </dxf>
    <dxf>
      <fill>
        <patternFill>
          <bgColor rgb="FFFFFFCC"/>
        </patternFill>
      </fill>
    </dxf>
    <dxf>
      <fill>
        <patternFill>
          <bgColor rgb="FFFFFFCC"/>
        </patternFill>
      </fill>
    </dxf>
    <dxf>
      <fill>
        <patternFill>
          <bgColor rgb="FFFFFF99"/>
        </patternFill>
      </fill>
    </dxf>
    <dxf>
      <fill>
        <patternFill>
          <bgColor rgb="FFFFC000"/>
        </patternFill>
      </fill>
    </dxf>
    <dxf>
      <font>
        <color rgb="FFFF0000"/>
      </font>
    </dxf>
    <dxf>
      <font>
        <color rgb="FFFF0000"/>
      </font>
    </dxf>
    <dxf>
      <font>
        <color rgb="FFFF0000"/>
      </font>
    </dxf>
    <dxf>
      <font>
        <color rgb="FFFF0000"/>
      </font>
    </dxf>
    <dxf>
      <fill>
        <patternFill>
          <bgColor rgb="FF92D050"/>
        </patternFill>
      </fill>
    </dxf>
    <dxf>
      <fill>
        <patternFill>
          <bgColor indexed="22"/>
        </patternFill>
      </fill>
    </dxf>
    <dxf>
      <font>
        <condense val="0"/>
        <extend val="0"/>
        <color indexed="9"/>
      </font>
      <fill>
        <patternFill>
          <bgColor indexed="20"/>
        </patternFill>
      </fill>
    </dxf>
    <dxf>
      <fill>
        <patternFill>
          <bgColor indexed="22"/>
        </patternFill>
      </fill>
    </dxf>
    <dxf>
      <font>
        <condense val="0"/>
        <extend val="0"/>
        <color indexed="9"/>
      </font>
      <fill>
        <patternFill>
          <bgColor indexed="20"/>
        </patternFill>
      </fill>
    </dxf>
    <dxf>
      <border>
        <left style="dotted">
          <color rgb="FFFF0000"/>
        </left>
        <vertical/>
        <horizontal/>
      </border>
    </dxf>
    <dxf>
      <font>
        <color auto="1"/>
      </font>
      <fill>
        <patternFill>
          <bgColor theme="4" tint="0.79998168889431442"/>
        </patternFill>
      </fill>
      <border>
        <left/>
        <right style="thin">
          <color rgb="FFFF0000"/>
        </right>
        <top/>
        <bottom/>
      </border>
    </dxf>
    <dxf>
      <fill>
        <patternFill>
          <bgColor rgb="FFFFEBFF"/>
        </patternFill>
      </fill>
      <border>
        <left style="hair">
          <color rgb="FFFFE7FF"/>
        </left>
        <right style="thin">
          <color rgb="FFFF0000"/>
        </right>
        <top style="hair">
          <color rgb="FFFFE7FF"/>
        </top>
        <bottom style="hair">
          <color rgb="FFFFE7FF"/>
        </bottom>
      </border>
    </dxf>
    <dxf>
      <fill>
        <patternFill>
          <bgColor theme="3" tint="0.59996337778862885"/>
        </patternFill>
      </fill>
    </dxf>
    <dxf>
      <fill>
        <patternFill>
          <bgColor rgb="FFFFA3FF"/>
        </patternFill>
      </fill>
    </dxf>
    <dxf>
      <fill>
        <patternFill>
          <bgColor rgb="FFFFFF99"/>
        </patternFill>
      </fill>
    </dxf>
    <dxf>
      <fill>
        <patternFill>
          <bgColor rgb="FF92D050"/>
        </patternFill>
      </fill>
    </dxf>
    <dxf>
      <fill>
        <patternFill>
          <bgColor rgb="FFFF0000"/>
        </patternFill>
      </fill>
    </dxf>
    <dxf>
      <fill>
        <patternFill>
          <bgColor rgb="FFFF0000"/>
        </patternFill>
      </fill>
    </dxf>
    <dxf>
      <fill>
        <patternFill>
          <bgColor indexed="22"/>
        </patternFill>
      </fill>
    </dxf>
    <dxf>
      <font>
        <condense val="0"/>
        <extend val="0"/>
        <color indexed="9"/>
      </font>
      <fill>
        <patternFill>
          <bgColor indexed="20"/>
        </patternFill>
      </fill>
    </dxf>
    <dxf>
      <fill>
        <patternFill>
          <bgColor indexed="22"/>
        </patternFill>
      </fill>
    </dxf>
    <dxf>
      <font>
        <condense val="0"/>
        <extend val="0"/>
        <color indexed="9"/>
      </font>
      <fill>
        <patternFill>
          <bgColor indexed="20"/>
        </patternFill>
      </fill>
    </dxf>
    <dxf>
      <font>
        <color auto="1"/>
      </font>
      <fill>
        <patternFill>
          <bgColor theme="4" tint="0.79998168889431442"/>
        </patternFill>
      </fill>
    </dxf>
    <dxf>
      <font>
        <color auto="1"/>
      </font>
      <fill>
        <patternFill>
          <bgColor theme="4" tint="0.79998168889431442"/>
        </patternFill>
      </fill>
    </dxf>
    <dxf>
      <font>
        <color auto="1"/>
      </font>
      <fill>
        <patternFill>
          <bgColor theme="4" tint="0.79998168889431442"/>
        </patternFill>
      </fill>
    </dxf>
    <dxf>
      <fill>
        <patternFill>
          <bgColor rgb="FF92D050"/>
        </patternFill>
      </fill>
    </dxf>
    <dxf>
      <fill>
        <patternFill>
          <bgColor rgb="FF92D050"/>
        </patternFill>
      </fill>
    </dxf>
    <dxf>
      <fill>
        <patternFill>
          <bgColor rgb="FF92D050"/>
        </patternFill>
      </fill>
    </dxf>
    <dxf>
      <fill>
        <patternFill>
          <bgColor rgb="FFFFFFCC"/>
        </patternFill>
      </fill>
    </dxf>
    <dxf>
      <fill>
        <patternFill>
          <bgColor rgb="FFFFFFCC"/>
        </patternFill>
      </fill>
    </dxf>
    <dxf>
      <fill>
        <patternFill>
          <bgColor rgb="FFFFFF99"/>
        </patternFill>
      </fill>
    </dxf>
    <dxf>
      <fill>
        <patternFill>
          <bgColor rgb="FFFFC000"/>
        </patternFill>
      </fill>
    </dxf>
    <dxf>
      <fill>
        <patternFill>
          <bgColor rgb="FFFFFFCC"/>
        </patternFill>
      </fill>
    </dxf>
    <dxf>
      <fill>
        <patternFill>
          <bgColor rgb="FFFFFFCC"/>
        </patternFill>
      </fill>
    </dxf>
    <dxf>
      <fill>
        <patternFill>
          <bgColor rgb="FFFFFF99"/>
        </patternFill>
      </fill>
    </dxf>
    <dxf>
      <fill>
        <patternFill>
          <bgColor rgb="FFFFC000"/>
        </patternFill>
      </fill>
    </dxf>
  </dxfs>
  <tableStyles count="0" defaultTableStyle="TableStyleMedium9" defaultPivotStyle="PivotStyleLight16"/>
  <colors>
    <mruColors>
      <color rgb="FF00FFFF"/>
      <color rgb="FFCCFFFF"/>
      <color rgb="FFCCFFCC"/>
      <color rgb="FFFFFFCC"/>
      <color rgb="FF66FFFF"/>
      <color rgb="FFFFA3FF"/>
      <color rgb="FFFFEBFF"/>
      <color rgb="FFFFFF99"/>
      <color rgb="FFFFE7FF"/>
      <color rgb="FFFFDDFF"/>
    </mruColors>
  </color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qalm-jaf.blogspot.com/2005/08/blog-post_25.html" TargetMode="Externa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Tabelle10"/>
  <dimension ref="A1:V4256"/>
  <sheetViews>
    <sheetView tabSelected="1" zoomScaleNormal="100" workbookViewId="0">
      <pane xSplit="5" ySplit="2" topLeftCell="F3646" activePane="bottomRight" state="frozen"/>
      <selection pane="topRight" activeCell="F1" sqref="F1"/>
      <selection pane="bottomLeft" activeCell="A3" sqref="A3"/>
      <selection pane="bottomRight" activeCell="B3653" sqref="B3653"/>
    </sheetView>
  </sheetViews>
  <sheetFormatPr baseColWidth="10" defaultColWidth="11.59765625" defaultRowHeight="13.2" outlineLevelCol="1"/>
  <cols>
    <col min="1" max="1" width="20" style="181" customWidth="1"/>
    <col min="2" max="2" width="42.59765625" style="185" customWidth="1"/>
    <col min="3" max="3" width="20.86328125" style="37" customWidth="1"/>
    <col min="4" max="5" width="7.73046875" style="1" customWidth="1" outlineLevel="1"/>
    <col min="6" max="6" width="30" style="12" customWidth="1" outlineLevel="1"/>
    <col min="7" max="7" width="76.86328125" style="9" customWidth="1" outlineLevel="1"/>
    <col min="8" max="8" width="23.1328125" style="12" customWidth="1" outlineLevel="1"/>
    <col min="9" max="10" width="31.59765625" style="4" customWidth="1"/>
    <col min="11" max="11" width="31.1328125" style="4" bestFit="1" customWidth="1"/>
    <col min="12" max="12" width="11.59765625" style="1"/>
    <col min="13" max="18" width="17.265625" style="1" customWidth="1"/>
    <col min="19" max="19" width="11.59765625" style="28"/>
    <col min="20" max="20" width="12.265625" style="28" customWidth="1"/>
    <col min="21" max="21" width="92" style="28" customWidth="1"/>
    <col min="22" max="16384" width="11.59765625" style="1"/>
  </cols>
  <sheetData>
    <row r="1" spans="1:21" s="25" customFormat="1" ht="25.65">
      <c r="A1" s="178" t="s">
        <v>200</v>
      </c>
      <c r="B1" s="183" t="s">
        <v>9073</v>
      </c>
      <c r="C1" s="32" t="s">
        <v>9089</v>
      </c>
      <c r="D1" s="31" t="s">
        <v>3</v>
      </c>
      <c r="E1" s="31" t="s">
        <v>9101</v>
      </c>
      <c r="F1" s="25" t="s">
        <v>0</v>
      </c>
      <c r="G1" s="25" t="s">
        <v>8605</v>
      </c>
      <c r="H1" s="25" t="s">
        <v>8822</v>
      </c>
      <c r="I1" s="26" t="s">
        <v>9075</v>
      </c>
      <c r="J1" s="25" t="s">
        <v>9091</v>
      </c>
      <c r="K1" s="25" t="s">
        <v>9092</v>
      </c>
      <c r="L1" s="25" t="s">
        <v>9074</v>
      </c>
      <c r="M1" s="25" t="s">
        <v>9095</v>
      </c>
      <c r="N1" s="25" t="s">
        <v>9097</v>
      </c>
      <c r="O1" s="25" t="s">
        <v>9096</v>
      </c>
      <c r="P1" s="25" t="s">
        <v>9094</v>
      </c>
      <c r="Q1" s="25" t="s">
        <v>9117</v>
      </c>
      <c r="R1" s="25" t="s">
        <v>9118</v>
      </c>
      <c r="S1" s="25" t="s">
        <v>9064</v>
      </c>
      <c r="T1" s="25" t="s">
        <v>9065</v>
      </c>
      <c r="U1" s="25" t="s">
        <v>9063</v>
      </c>
    </row>
    <row r="2" spans="1:21" s="25" customFormat="1" ht="12.85">
      <c r="A2" s="178" t="s">
        <v>9169</v>
      </c>
      <c r="B2" s="184" t="s">
        <v>9138</v>
      </c>
      <c r="C2" s="49" t="s">
        <v>9140</v>
      </c>
      <c r="D2" s="31" t="s">
        <v>9141</v>
      </c>
      <c r="E2" s="31" t="s">
        <v>9142</v>
      </c>
      <c r="F2" s="25" t="s">
        <v>9170</v>
      </c>
      <c r="G2" s="25" t="s">
        <v>9147</v>
      </c>
      <c r="H2" s="25" t="s">
        <v>9171</v>
      </c>
      <c r="I2" s="26" t="s">
        <v>9172</v>
      </c>
      <c r="J2" s="25" t="s">
        <v>9173</v>
      </c>
      <c r="K2" s="25" t="s">
        <v>9139</v>
      </c>
      <c r="L2" s="25" t="s">
        <v>9146</v>
      </c>
      <c r="M2" s="25" t="s">
        <v>9162</v>
      </c>
      <c r="N2" s="25" t="s">
        <v>9163</v>
      </c>
      <c r="O2" s="25" t="s">
        <v>9164</v>
      </c>
      <c r="P2" s="25" t="s">
        <v>9165</v>
      </c>
      <c r="Q2" s="25" t="s">
        <v>9166</v>
      </c>
      <c r="R2" s="25" t="s">
        <v>9167</v>
      </c>
      <c r="S2" s="25" t="s">
        <v>9144</v>
      </c>
      <c r="T2" s="25" t="s">
        <v>9145</v>
      </c>
      <c r="U2" s="25" t="s">
        <v>9143</v>
      </c>
    </row>
    <row r="3" spans="1:21" s="5" customFormat="1">
      <c r="A3" s="179" t="s">
        <v>201</v>
      </c>
      <c r="B3" s="185" t="s">
        <v>4923</v>
      </c>
      <c r="C3" s="34" t="str">
        <f t="shared" ref="C3:C66" si="0">SUBSTITUTE(SUBSTITUTE(K3,"-","")," ","")</f>
        <v>Ab</v>
      </c>
      <c r="E3" s="40"/>
      <c r="F3" s="14" t="s">
        <v>202</v>
      </c>
      <c r="G3" s="17"/>
      <c r="H3" s="10" t="s">
        <v>8563</v>
      </c>
      <c r="I3" s="4" t="str">
        <f t="shared" ref="I3:I66" si="1">CONCATENATE("|",B3,"|")</f>
        <v>|Ab|</v>
      </c>
      <c r="J3" s="3" t="str">
        <f t="shared" ref="J3:J66" si="2">CONCATENATE("|",F_OutputASCII(B3),"|")</f>
        <v>|Ab|</v>
      </c>
      <c r="K3" s="3" t="str">
        <f t="shared" ref="K3:K66" si="3">IF(SUBSTITUTE(MID(J3,2,LEN(J3)-2),"'","")&lt;&gt;"",SUBSTITUTE(MID(J3,2,LEN(J3)-2),"'",""),"ZZZZZ")</f>
        <v>Ab</v>
      </c>
      <c r="L3" s="5" t="s">
        <v>59</v>
      </c>
      <c r="N3" s="39" t="str">
        <f t="shared" ref="N3:N66" si="4">SUBSTITUTE(SUBSTITUTE(SUBSTITUTE(F_OutputASCII(M3),"-","")," ",""),"'","")</f>
        <v/>
      </c>
      <c r="P3" s="39" t="str">
        <f t="shared" ref="P3:P66" si="5">SUBSTITUTE(SUBSTITUTE(SUBSTITUTE(F_OutputASCII(O3),"-","")," ",""),"'","")</f>
        <v/>
      </c>
      <c r="R3" s="39" t="str">
        <f>SUBSTITUTE(SUBSTITUTE(Q3,"-","")," ","")</f>
        <v/>
      </c>
      <c r="S3" s="28"/>
      <c r="T3" s="28"/>
      <c r="U3" s="28"/>
    </row>
    <row r="4" spans="1:21" s="5" customFormat="1">
      <c r="A4" s="179" t="s">
        <v>203</v>
      </c>
      <c r="B4" s="185" t="s">
        <v>8606</v>
      </c>
      <c r="C4" s="35" t="str">
        <f t="shared" si="0"/>
        <v>Ab</v>
      </c>
      <c r="E4" s="40"/>
      <c r="F4" s="15" t="s">
        <v>204</v>
      </c>
      <c r="G4" s="17"/>
      <c r="H4" s="10" t="s">
        <v>8563</v>
      </c>
      <c r="I4" s="4" t="str">
        <f t="shared" si="1"/>
        <v>|Áb|</v>
      </c>
      <c r="J4" s="3" t="str">
        <f t="shared" si="2"/>
        <v>|Ab|</v>
      </c>
      <c r="K4" s="3" t="str">
        <f t="shared" si="3"/>
        <v>Ab</v>
      </c>
      <c r="L4" s="5" t="s">
        <v>59</v>
      </c>
      <c r="N4" s="39" t="str">
        <f t="shared" si="4"/>
        <v/>
      </c>
      <c r="P4" s="39" t="str">
        <f t="shared" si="5"/>
        <v/>
      </c>
      <c r="R4" s="39" t="str">
        <f t="shared" ref="R4:R67" si="6">SUBSTITUTE(SUBSTITUTE(Q4,"-","")," ","")</f>
        <v/>
      </c>
      <c r="S4" s="28"/>
      <c r="T4" s="28"/>
      <c r="U4" s="28"/>
    </row>
    <row r="5" spans="1:21" s="5" customFormat="1">
      <c r="A5" s="179" t="s">
        <v>205</v>
      </c>
      <c r="B5" s="185" t="s">
        <v>4919</v>
      </c>
      <c r="C5" s="35" t="str">
        <f t="shared" si="0"/>
        <v>Aba</v>
      </c>
      <c r="E5" s="40"/>
      <c r="F5" s="14" t="s">
        <v>206</v>
      </c>
      <c r="G5" s="17"/>
      <c r="H5" s="10" t="s">
        <v>8563</v>
      </c>
      <c r="I5" s="4" t="str">
        <f t="shared" si="1"/>
        <v>|Abá|</v>
      </c>
      <c r="J5" s="3" t="str">
        <f t="shared" si="2"/>
        <v>|Aba|</v>
      </c>
      <c r="K5" s="3" t="str">
        <f t="shared" si="3"/>
        <v>Aba</v>
      </c>
      <c r="N5" s="39" t="str">
        <f t="shared" si="4"/>
        <v/>
      </c>
      <c r="P5" s="39" t="str">
        <f t="shared" si="5"/>
        <v/>
      </c>
      <c r="R5" s="39" t="str">
        <f t="shared" si="6"/>
        <v/>
      </c>
      <c r="S5" s="28"/>
      <c r="T5" s="28"/>
      <c r="U5" s="28"/>
    </row>
    <row r="6" spans="1:21" s="5" customFormat="1">
      <c r="A6" s="179" t="s">
        <v>207</v>
      </c>
      <c r="B6" s="185" t="s">
        <v>4920</v>
      </c>
      <c r="C6" s="35" t="str">
        <f t="shared" si="0"/>
        <v>Aba</v>
      </c>
      <c r="E6" s="40"/>
      <c r="F6" s="14" t="s">
        <v>208</v>
      </c>
      <c r="G6" s="17"/>
      <c r="H6" s="10" t="s">
        <v>8563</v>
      </c>
      <c r="I6" s="4" t="str">
        <f t="shared" si="1"/>
        <v>|ʿAbá|</v>
      </c>
      <c r="J6" s="3" t="str">
        <f t="shared" si="2"/>
        <v>|'Aba|</v>
      </c>
      <c r="K6" s="3" t="str">
        <f t="shared" si="3"/>
        <v>Aba</v>
      </c>
      <c r="N6" s="39" t="str">
        <f t="shared" si="4"/>
        <v/>
      </c>
      <c r="P6" s="39" t="str">
        <f t="shared" si="5"/>
        <v/>
      </c>
      <c r="R6" s="39" t="str">
        <f t="shared" si="6"/>
        <v/>
      </c>
      <c r="S6" s="28"/>
      <c r="T6" s="28"/>
      <c r="U6" s="28"/>
    </row>
    <row r="7" spans="1:21" s="5" customFormat="1">
      <c r="A7" s="179" t="s">
        <v>209</v>
      </c>
      <c r="B7" s="185" t="s">
        <v>4921</v>
      </c>
      <c r="C7" s="35" t="str">
        <f t="shared" si="0"/>
        <v>AbaBasir</v>
      </c>
      <c r="E7" s="40"/>
      <c r="F7" s="15"/>
      <c r="G7" s="17"/>
      <c r="H7" s="10" t="s">
        <v>8563</v>
      </c>
      <c r="I7" s="4" t="str">
        <f t="shared" si="1"/>
        <v>|Abá-Baṣír|</v>
      </c>
      <c r="J7" s="3" t="str">
        <f t="shared" si="2"/>
        <v>|Aba-Basir|</v>
      </c>
      <c r="K7" s="3" t="str">
        <f t="shared" si="3"/>
        <v>Aba-Basir</v>
      </c>
      <c r="N7" s="39" t="str">
        <f t="shared" si="4"/>
        <v/>
      </c>
      <c r="P7" s="39" t="str">
        <f t="shared" si="5"/>
        <v/>
      </c>
      <c r="R7" s="39" t="str">
        <f t="shared" si="6"/>
        <v/>
      </c>
      <c r="S7" s="28"/>
      <c r="T7" s="28"/>
      <c r="U7" s="28"/>
    </row>
    <row r="8" spans="1:21" s="5" customFormat="1">
      <c r="A8" s="179" t="s">
        <v>210</v>
      </c>
      <c r="B8" s="185" t="s">
        <v>4922</v>
      </c>
      <c r="C8" s="35" t="str">
        <f t="shared" si="0"/>
        <v>Abad</v>
      </c>
      <c r="E8" s="40"/>
      <c r="F8" s="14"/>
      <c r="G8" s="17" t="s">
        <v>9124</v>
      </c>
      <c r="H8" s="10" t="s">
        <v>8563</v>
      </c>
      <c r="I8" s="4" t="str">
        <f t="shared" si="1"/>
        <v>|Abad|</v>
      </c>
      <c r="J8" s="3" t="str">
        <f t="shared" si="2"/>
        <v>|Abad|</v>
      </c>
      <c r="K8" s="3" t="str">
        <f t="shared" si="3"/>
        <v>Abad</v>
      </c>
      <c r="N8" s="39" t="str">
        <f t="shared" si="4"/>
        <v/>
      </c>
      <c r="P8" s="39" t="str">
        <f t="shared" si="5"/>
        <v/>
      </c>
      <c r="R8" s="39" t="str">
        <f t="shared" si="6"/>
        <v/>
      </c>
      <c r="S8" s="28"/>
      <c r="T8" s="28"/>
      <c r="U8" s="28"/>
    </row>
    <row r="9" spans="1:21" s="5" customFormat="1">
      <c r="A9" s="179" t="s">
        <v>211</v>
      </c>
      <c r="B9" s="185" t="s">
        <v>4924</v>
      </c>
      <c r="C9" s="35" t="str">
        <f t="shared" si="0"/>
        <v>Abad</v>
      </c>
      <c r="E9" s="40"/>
      <c r="F9" s="15" t="s">
        <v>212</v>
      </c>
      <c r="G9" s="17"/>
      <c r="H9" s="10" t="s">
        <v>8563</v>
      </c>
      <c r="I9" s="4" t="str">
        <f t="shared" si="1"/>
        <v>|Ábád|</v>
      </c>
      <c r="J9" s="3" t="str">
        <f t="shared" si="2"/>
        <v>|Abad|</v>
      </c>
      <c r="K9" s="3" t="str">
        <f t="shared" si="3"/>
        <v>Abad</v>
      </c>
      <c r="N9" s="39" t="str">
        <f t="shared" si="4"/>
        <v/>
      </c>
      <c r="P9" s="39" t="str">
        <f t="shared" si="5"/>
        <v/>
      </c>
      <c r="R9" s="39" t="str">
        <f t="shared" si="6"/>
        <v/>
      </c>
      <c r="S9" s="28"/>
      <c r="T9" s="28"/>
      <c r="U9" s="28"/>
    </row>
    <row r="10" spans="1:21" s="5" customFormat="1">
      <c r="A10" s="179" t="s">
        <v>213</v>
      </c>
      <c r="B10" s="185" t="s">
        <v>4925</v>
      </c>
      <c r="C10" s="35" t="str">
        <f t="shared" si="0"/>
        <v>Abadan</v>
      </c>
      <c r="E10" s="40"/>
      <c r="F10" s="15"/>
      <c r="G10" s="17"/>
      <c r="H10" s="10" t="s">
        <v>8563</v>
      </c>
      <c r="I10" s="4" t="str">
        <f t="shared" si="1"/>
        <v>|Ábádán|</v>
      </c>
      <c r="J10" s="3" t="str">
        <f t="shared" si="2"/>
        <v>|Abadan|</v>
      </c>
      <c r="K10" s="3" t="str">
        <f t="shared" si="3"/>
        <v>Abadan</v>
      </c>
      <c r="N10" s="39" t="str">
        <f t="shared" si="4"/>
        <v/>
      </c>
      <c r="P10" s="39" t="str">
        <f t="shared" si="5"/>
        <v/>
      </c>
      <c r="R10" s="39" t="str">
        <f t="shared" si="6"/>
        <v/>
      </c>
      <c r="S10" s="28"/>
      <c r="T10" s="28"/>
      <c r="U10" s="28"/>
    </row>
    <row r="11" spans="1:21" s="5" customFormat="1">
      <c r="A11" s="179" t="s">
        <v>219</v>
      </c>
      <c r="B11" s="185" t="s">
        <v>4928</v>
      </c>
      <c r="C11" s="35" t="str">
        <f t="shared" si="0"/>
        <v>Abadani</v>
      </c>
      <c r="E11" s="40"/>
      <c r="F11" s="15"/>
      <c r="G11" s="17"/>
      <c r="H11" s="10" t="s">
        <v>8563</v>
      </c>
      <c r="I11" s="4" t="str">
        <f t="shared" si="1"/>
        <v>|Ábádání|</v>
      </c>
      <c r="J11" s="3" t="str">
        <f t="shared" si="2"/>
        <v>|Abadani|</v>
      </c>
      <c r="K11" s="3" t="str">
        <f t="shared" si="3"/>
        <v>Abadani</v>
      </c>
      <c r="N11" s="39" t="str">
        <f t="shared" si="4"/>
        <v/>
      </c>
      <c r="P11" s="39" t="str">
        <f t="shared" si="5"/>
        <v/>
      </c>
      <c r="R11" s="39" t="str">
        <f t="shared" si="6"/>
        <v/>
      </c>
      <c r="S11" s="28"/>
      <c r="T11" s="28"/>
      <c r="U11" s="28"/>
    </row>
    <row r="12" spans="1:21" s="5" customFormat="1">
      <c r="A12" s="179" t="s">
        <v>214</v>
      </c>
      <c r="B12" s="185" t="s">
        <v>4926</v>
      </c>
      <c r="C12" s="35" t="str">
        <f t="shared" si="0"/>
        <v>Abadih</v>
      </c>
      <c r="E12" s="40"/>
      <c r="F12" s="14"/>
      <c r="G12" s="17"/>
      <c r="H12" s="10" t="s">
        <v>8563</v>
      </c>
      <c r="I12" s="4" t="str">
        <f t="shared" si="1"/>
        <v>|Ábádih|</v>
      </c>
      <c r="J12" s="3" t="str">
        <f t="shared" si="2"/>
        <v>|Abadih|</v>
      </c>
      <c r="K12" s="3" t="str">
        <f t="shared" si="3"/>
        <v>Abadih</v>
      </c>
      <c r="N12" s="39" t="str">
        <f t="shared" si="4"/>
        <v/>
      </c>
      <c r="P12" s="39" t="str">
        <f t="shared" si="5"/>
        <v/>
      </c>
      <c r="R12" s="39" t="str">
        <f t="shared" si="6"/>
        <v/>
      </c>
      <c r="S12" s="28"/>
      <c r="T12" s="28"/>
      <c r="U12" s="28"/>
    </row>
    <row r="13" spans="1:21" s="5" customFormat="1">
      <c r="A13" s="179" t="s">
        <v>215</v>
      </c>
      <c r="B13" s="185" t="s">
        <v>8827</v>
      </c>
      <c r="C13" s="35" t="str">
        <f t="shared" si="0"/>
        <v>Abarghu</v>
      </c>
      <c r="E13" s="40"/>
      <c r="F13" s="15" t="s">
        <v>216</v>
      </c>
      <c r="G13" s="17"/>
      <c r="H13" s="10" t="s">
        <v>8563</v>
      </c>
      <c r="I13" s="4" t="str">
        <f t="shared" si="1"/>
        <v>|Ábarghú|</v>
      </c>
      <c r="J13" s="3" t="str">
        <f t="shared" si="2"/>
        <v>|Abarghu|</v>
      </c>
      <c r="K13" s="3" t="str">
        <f t="shared" si="3"/>
        <v>Abarghu</v>
      </c>
      <c r="N13" s="39" t="str">
        <f t="shared" si="4"/>
        <v/>
      </c>
      <c r="P13" s="39" t="str">
        <f t="shared" si="5"/>
        <v/>
      </c>
      <c r="R13" s="39" t="str">
        <f t="shared" si="6"/>
        <v/>
      </c>
      <c r="S13" s="28"/>
      <c r="T13" s="28"/>
      <c r="U13" s="28"/>
    </row>
    <row r="14" spans="1:21" s="5" customFormat="1">
      <c r="A14" s="179" t="s">
        <v>217</v>
      </c>
      <c r="B14" s="185" t="s">
        <v>8828</v>
      </c>
      <c r="C14" s="35" t="str">
        <f t="shared" si="0"/>
        <v>Abasi</v>
      </c>
      <c r="E14" s="40"/>
      <c r="F14" s="14"/>
      <c r="G14" s="17"/>
      <c r="H14" s="10" t="s">
        <v>8563</v>
      </c>
      <c r="I14" s="4" t="str">
        <f t="shared" si="1"/>
        <v>|Abasí|</v>
      </c>
      <c r="J14" s="3" t="str">
        <f t="shared" si="2"/>
        <v>|Abasi|</v>
      </c>
      <c r="K14" s="3" t="str">
        <f t="shared" si="3"/>
        <v>Abasi</v>
      </c>
      <c r="N14" s="39" t="str">
        <f t="shared" si="4"/>
        <v/>
      </c>
      <c r="P14" s="39" t="str">
        <f t="shared" si="5"/>
        <v/>
      </c>
      <c r="R14" s="39" t="str">
        <f t="shared" si="6"/>
        <v/>
      </c>
      <c r="S14" s="28"/>
      <c r="T14" s="28"/>
      <c r="U14" s="28"/>
    </row>
    <row r="15" spans="1:21" s="5" customFormat="1">
      <c r="A15" s="179" t="s">
        <v>218</v>
      </c>
      <c r="B15" s="185" t="s">
        <v>4927</v>
      </c>
      <c r="C15" s="35" t="str">
        <f t="shared" si="0"/>
        <v>Abbad</v>
      </c>
      <c r="E15" s="40"/>
      <c r="F15" s="15"/>
      <c r="G15" s="17"/>
      <c r="H15" s="10" t="s">
        <v>8563</v>
      </c>
      <c r="I15" s="4" t="str">
        <f t="shared" si="1"/>
        <v>|ʿAbbád|</v>
      </c>
      <c r="J15" s="3" t="str">
        <f t="shared" si="2"/>
        <v>|'Abbad|</v>
      </c>
      <c r="K15" s="3" t="str">
        <f t="shared" si="3"/>
        <v>Abbad</v>
      </c>
      <c r="N15" s="39" t="str">
        <f t="shared" si="4"/>
        <v/>
      </c>
      <c r="P15" s="39" t="str">
        <f t="shared" si="5"/>
        <v/>
      </c>
      <c r="R15" s="39" t="str">
        <f t="shared" si="6"/>
        <v/>
      </c>
      <c r="S15" s="28"/>
      <c r="T15" s="28"/>
      <c r="U15" s="28"/>
    </row>
    <row r="16" spans="1:21" s="5" customFormat="1">
      <c r="A16" s="179" t="s">
        <v>220</v>
      </c>
      <c r="B16" s="185" t="s">
        <v>80</v>
      </c>
      <c r="C16" s="35" t="str">
        <f t="shared" si="0"/>
        <v>Abbas</v>
      </c>
      <c r="E16" s="40"/>
      <c r="F16" s="14"/>
      <c r="G16" s="17"/>
      <c r="H16" s="10" t="s">
        <v>8563</v>
      </c>
      <c r="I16" s="4" t="str">
        <f t="shared" si="1"/>
        <v>|ʿAbbás|</v>
      </c>
      <c r="J16" s="3" t="str">
        <f t="shared" si="2"/>
        <v>|'Abbas|</v>
      </c>
      <c r="K16" s="3" t="str">
        <f t="shared" si="3"/>
        <v>Abbas</v>
      </c>
      <c r="N16" s="39" t="str">
        <f t="shared" si="4"/>
        <v/>
      </c>
      <c r="P16" s="39" t="str">
        <f t="shared" si="5"/>
        <v/>
      </c>
      <c r="R16" s="39" t="str">
        <f t="shared" si="6"/>
        <v/>
      </c>
      <c r="S16" s="28"/>
      <c r="T16" s="28"/>
      <c r="U16" s="28"/>
    </row>
    <row r="17" spans="1:21" s="5" customFormat="1">
      <c r="A17" s="179" t="s">
        <v>221</v>
      </c>
      <c r="B17" s="185" t="s">
        <v>4929</v>
      </c>
      <c r="C17" s="35" t="str">
        <f t="shared" si="0"/>
        <v>AbbasAbad</v>
      </c>
      <c r="E17" s="40"/>
      <c r="F17" s="15"/>
      <c r="G17" s="17"/>
      <c r="H17" s="10" t="s">
        <v>8563</v>
      </c>
      <c r="I17" s="4" t="str">
        <f t="shared" si="1"/>
        <v>|ʿAbbás-Ábád|</v>
      </c>
      <c r="J17" s="3" t="str">
        <f t="shared" si="2"/>
        <v>|'Abbas-Abad|</v>
      </c>
      <c r="K17" s="3" t="str">
        <f t="shared" si="3"/>
        <v>Abbas-Abad</v>
      </c>
      <c r="N17" s="39" t="str">
        <f t="shared" si="4"/>
        <v/>
      </c>
      <c r="P17" s="39" t="str">
        <f t="shared" si="5"/>
        <v/>
      </c>
      <c r="R17" s="39" t="str">
        <f t="shared" si="6"/>
        <v/>
      </c>
      <c r="S17" s="28"/>
      <c r="T17" s="28"/>
      <c r="U17" s="28"/>
    </row>
    <row r="18" spans="1:21" s="5" customFormat="1">
      <c r="A18" s="179" t="s">
        <v>222</v>
      </c>
      <c r="B18" s="185" t="s">
        <v>4930</v>
      </c>
      <c r="C18" s="35" t="str">
        <f t="shared" si="0"/>
        <v>AbbasAli</v>
      </c>
      <c r="E18" s="40"/>
      <c r="F18" s="15"/>
      <c r="G18" s="17"/>
      <c r="H18" s="10" t="s">
        <v>8563</v>
      </c>
      <c r="I18" s="4" t="str">
        <f t="shared" si="1"/>
        <v>|ʿAbbás-ʿAlí|</v>
      </c>
      <c r="J18" s="3" t="str">
        <f t="shared" si="2"/>
        <v>|'Abbas-'Ali|</v>
      </c>
      <c r="K18" s="3" t="str">
        <f t="shared" si="3"/>
        <v>Abbas-Ali</v>
      </c>
      <c r="N18" s="39" t="str">
        <f t="shared" si="4"/>
        <v/>
      </c>
      <c r="P18" s="39" t="str">
        <f t="shared" si="5"/>
        <v/>
      </c>
      <c r="R18" s="39" t="str">
        <f t="shared" si="6"/>
        <v/>
      </c>
      <c r="S18" s="28"/>
      <c r="T18" s="28"/>
      <c r="U18" s="28"/>
    </row>
    <row r="19" spans="1:21" s="5" customFormat="1">
      <c r="A19" s="179" t="s">
        <v>223</v>
      </c>
      <c r="B19" s="185" t="s">
        <v>4931</v>
      </c>
      <c r="C19" s="35" t="str">
        <f t="shared" si="0"/>
        <v>Abbasi</v>
      </c>
      <c r="E19" s="40"/>
      <c r="F19" s="15"/>
      <c r="G19" s="17"/>
      <c r="H19" s="10" t="s">
        <v>8563</v>
      </c>
      <c r="I19" s="4" t="str">
        <f t="shared" si="1"/>
        <v>|ʿAbbásí|</v>
      </c>
      <c r="J19" s="3" t="str">
        <f t="shared" si="2"/>
        <v>|'Abbasi|</v>
      </c>
      <c r="K19" s="3" t="str">
        <f t="shared" si="3"/>
        <v>Abbasi</v>
      </c>
      <c r="N19" s="39" t="str">
        <f t="shared" si="4"/>
        <v/>
      </c>
      <c r="P19" s="39" t="str">
        <f t="shared" si="5"/>
        <v/>
      </c>
      <c r="R19" s="39" t="str">
        <f t="shared" si="6"/>
        <v/>
      </c>
      <c r="S19" s="28"/>
      <c r="T19" s="28"/>
      <c r="U19" s="28"/>
    </row>
    <row r="20" spans="1:21" s="5" customFormat="1">
      <c r="A20" s="180"/>
      <c r="B20" s="185" t="s">
        <v>199</v>
      </c>
      <c r="C20" s="35" t="str">
        <f t="shared" si="0"/>
        <v>Abbasiden</v>
      </c>
      <c r="D20" s="5" t="s">
        <v>59</v>
      </c>
      <c r="E20" s="40"/>
      <c r="F20" s="10"/>
      <c r="G20" s="17" t="s">
        <v>9134</v>
      </c>
      <c r="H20" s="11"/>
      <c r="I20" s="4" t="str">
        <f t="shared" si="1"/>
        <v>|ʿAbbásiden|</v>
      </c>
      <c r="J20" s="3" t="str">
        <f t="shared" si="2"/>
        <v>|'Abbasiden|</v>
      </c>
      <c r="K20" s="3" t="str">
        <f t="shared" si="3"/>
        <v>Abbasiden</v>
      </c>
      <c r="M20" s="2"/>
      <c r="N20" s="39" t="str">
        <f t="shared" si="4"/>
        <v/>
      </c>
      <c r="O20" s="2"/>
      <c r="P20" s="39" t="str">
        <f t="shared" si="5"/>
        <v/>
      </c>
      <c r="Q20" s="2"/>
      <c r="R20" s="39" t="str">
        <f t="shared" si="6"/>
        <v/>
      </c>
      <c r="S20" s="28"/>
      <c r="T20" s="28"/>
      <c r="U20" s="38"/>
    </row>
    <row r="21" spans="1:21" s="5" customFormat="1">
      <c r="A21" s="179" t="s">
        <v>224</v>
      </c>
      <c r="B21" s="185" t="s">
        <v>4932</v>
      </c>
      <c r="C21" s="35" t="str">
        <f t="shared" si="0"/>
        <v>AbbasiNuri</v>
      </c>
      <c r="E21" s="40"/>
      <c r="F21" s="15"/>
      <c r="G21" s="17"/>
      <c r="H21" s="10" t="s">
        <v>8563</v>
      </c>
      <c r="I21" s="4" t="str">
        <f t="shared" si="1"/>
        <v>|ʿAbbás-i-Núrí|</v>
      </c>
      <c r="J21" s="3" t="str">
        <f t="shared" si="2"/>
        <v>|'Abbas-i-Nuri|</v>
      </c>
      <c r="K21" s="3" t="str">
        <f t="shared" si="3"/>
        <v>Abbas-i-Nuri</v>
      </c>
      <c r="N21" s="39" t="str">
        <f t="shared" si="4"/>
        <v/>
      </c>
      <c r="P21" s="39" t="str">
        <f t="shared" si="5"/>
        <v/>
      </c>
      <c r="R21" s="39" t="str">
        <f t="shared" si="6"/>
        <v/>
      </c>
      <c r="S21" s="28"/>
      <c r="T21" s="28"/>
      <c r="U21" s="28"/>
    </row>
    <row r="22" spans="1:21">
      <c r="A22" s="179" t="s">
        <v>225</v>
      </c>
      <c r="B22" s="185" t="s">
        <v>4933</v>
      </c>
      <c r="C22" s="35" t="str">
        <f t="shared" si="0"/>
        <v>Abbasiyan</v>
      </c>
      <c r="D22" s="5"/>
      <c r="E22" s="40"/>
      <c r="F22" s="15"/>
      <c r="G22" s="17"/>
      <c r="H22" s="10" t="s">
        <v>8563</v>
      </c>
      <c r="I22" s="4" t="str">
        <f t="shared" si="1"/>
        <v>|ʿAbbásíyán|</v>
      </c>
      <c r="J22" s="3" t="str">
        <f t="shared" si="2"/>
        <v>|'Abbasiyan|</v>
      </c>
      <c r="K22" s="3" t="str">
        <f t="shared" si="3"/>
        <v>Abbasiyan</v>
      </c>
      <c r="M22" s="5"/>
      <c r="N22" s="39" t="str">
        <f t="shared" si="4"/>
        <v/>
      </c>
      <c r="O22" s="5"/>
      <c r="P22" s="39" t="str">
        <f t="shared" si="5"/>
        <v/>
      </c>
      <c r="Q22" s="5"/>
      <c r="R22" s="39" t="str">
        <f t="shared" si="6"/>
        <v/>
      </c>
    </row>
    <row r="23" spans="1:21">
      <c r="A23" s="179" t="s">
        <v>226</v>
      </c>
      <c r="B23" s="185" t="s">
        <v>8829</v>
      </c>
      <c r="C23" s="35" t="str">
        <f t="shared" si="0"/>
        <v>Abbasiyyih</v>
      </c>
      <c r="D23" s="5"/>
      <c r="E23" s="40"/>
      <c r="F23" s="15" t="s">
        <v>227</v>
      </c>
      <c r="G23" s="17"/>
      <c r="H23" s="10" t="s">
        <v>8563</v>
      </c>
      <c r="I23" s="4" t="str">
        <f t="shared" si="1"/>
        <v>|ʿAbbásiyyih|</v>
      </c>
      <c r="J23" s="3" t="str">
        <f t="shared" si="2"/>
        <v>|'Abbasiyyih|</v>
      </c>
      <c r="K23" s="3" t="str">
        <f t="shared" si="3"/>
        <v>Abbasiyyih</v>
      </c>
      <c r="M23" s="5"/>
      <c r="N23" s="39" t="str">
        <f t="shared" si="4"/>
        <v/>
      </c>
      <c r="O23" s="5"/>
      <c r="P23" s="39" t="str">
        <f t="shared" si="5"/>
        <v/>
      </c>
      <c r="Q23" s="5"/>
      <c r="R23" s="39" t="str">
        <f t="shared" si="6"/>
        <v/>
      </c>
    </row>
    <row r="24" spans="1:21">
      <c r="A24" s="179" t="s">
        <v>228</v>
      </c>
      <c r="B24" s="185" t="s">
        <v>4934</v>
      </c>
      <c r="C24" s="35" t="str">
        <f t="shared" si="0"/>
        <v>AbbasQuli</v>
      </c>
      <c r="D24" s="5"/>
      <c r="E24" s="40"/>
      <c r="F24" s="15"/>
      <c r="G24" s="17"/>
      <c r="H24" s="10" t="s">
        <v>8563</v>
      </c>
      <c r="I24" s="4" t="str">
        <f t="shared" si="1"/>
        <v>|ʿAbbás-Qulí|</v>
      </c>
      <c r="J24" s="3" t="str">
        <f t="shared" si="2"/>
        <v>|'Abbas-Quli|</v>
      </c>
      <c r="K24" s="3" t="str">
        <f t="shared" si="3"/>
        <v>Abbas-Quli</v>
      </c>
      <c r="M24" s="5"/>
      <c r="N24" s="39" t="str">
        <f t="shared" si="4"/>
        <v/>
      </c>
      <c r="O24" s="5"/>
      <c r="P24" s="39" t="str">
        <f t="shared" si="5"/>
        <v/>
      </c>
      <c r="Q24" s="5"/>
      <c r="R24" s="39" t="str">
        <f t="shared" si="6"/>
        <v/>
      </c>
    </row>
    <row r="25" spans="1:21">
      <c r="A25" s="179" t="s">
        <v>229</v>
      </c>
      <c r="B25" s="185" t="s">
        <v>4935</v>
      </c>
      <c r="C25" s="35" t="str">
        <f t="shared" si="0"/>
        <v>AbbasQuliiLarijani</v>
      </c>
      <c r="D25" s="5"/>
      <c r="E25" s="40"/>
      <c r="F25" s="15"/>
      <c r="G25" s="17"/>
      <c r="H25" s="10" t="s">
        <v>8563</v>
      </c>
      <c r="I25" s="4" t="str">
        <f t="shared" si="1"/>
        <v>|ʿAbbás-Qulí-i-Laríjání|</v>
      </c>
      <c r="J25" s="3" t="str">
        <f t="shared" si="2"/>
        <v>|'Abbas-Quli-i-Larijani|</v>
      </c>
      <c r="K25" s="3" t="str">
        <f t="shared" si="3"/>
        <v>Abbas-Quli-i-Larijani</v>
      </c>
      <c r="M25" s="5"/>
      <c r="N25" s="39" t="str">
        <f t="shared" si="4"/>
        <v/>
      </c>
      <c r="O25" s="5"/>
      <c r="P25" s="39" t="str">
        <f t="shared" si="5"/>
        <v/>
      </c>
      <c r="Q25" s="5"/>
      <c r="R25" s="39" t="str">
        <f t="shared" si="6"/>
        <v/>
      </c>
    </row>
    <row r="26" spans="1:21">
      <c r="A26" s="179" t="s">
        <v>230</v>
      </c>
      <c r="B26" s="185" t="s">
        <v>4936</v>
      </c>
      <c r="C26" s="35" t="str">
        <f t="shared" si="0"/>
        <v>Abbud</v>
      </c>
      <c r="D26" s="5"/>
      <c r="E26" s="40"/>
      <c r="F26" s="15" t="s">
        <v>231</v>
      </c>
      <c r="G26" s="17"/>
      <c r="H26" s="10" t="s">
        <v>8563</v>
      </c>
      <c r="I26" s="4" t="str">
        <f t="shared" si="1"/>
        <v>|ʿAbbúd|</v>
      </c>
      <c r="J26" s="3" t="str">
        <f t="shared" si="2"/>
        <v>|'Abbud|</v>
      </c>
      <c r="K26" s="3" t="str">
        <f t="shared" si="3"/>
        <v>Abbud</v>
      </c>
      <c r="M26" s="5"/>
      <c r="N26" s="39" t="str">
        <f t="shared" si="4"/>
        <v/>
      </c>
      <c r="O26" s="5"/>
      <c r="P26" s="39" t="str">
        <f t="shared" si="5"/>
        <v/>
      </c>
      <c r="Q26" s="5"/>
      <c r="R26" s="39" t="str">
        <f t="shared" si="6"/>
        <v/>
      </c>
    </row>
    <row r="27" spans="1:21">
      <c r="A27" s="179" t="s">
        <v>232</v>
      </c>
      <c r="B27" s="185" t="s">
        <v>8830</v>
      </c>
      <c r="C27" s="35" t="str">
        <f t="shared" si="0"/>
        <v>Abbudi</v>
      </c>
      <c r="D27" s="5"/>
      <c r="E27" s="40"/>
      <c r="F27" s="15"/>
      <c r="G27" s="17"/>
      <c r="H27" s="10" t="s">
        <v>8563</v>
      </c>
      <c r="I27" s="4" t="str">
        <f t="shared" si="1"/>
        <v>|ʿAbbúdí|</v>
      </c>
      <c r="J27" s="3" t="str">
        <f t="shared" si="2"/>
        <v>|'Abbudi|</v>
      </c>
      <c r="K27" s="3" t="str">
        <f t="shared" si="3"/>
        <v>Abbudi</v>
      </c>
      <c r="M27" s="5"/>
      <c r="N27" s="39" t="str">
        <f t="shared" si="4"/>
        <v/>
      </c>
      <c r="O27" s="5"/>
      <c r="P27" s="39" t="str">
        <f t="shared" si="5"/>
        <v/>
      </c>
      <c r="Q27" s="5"/>
      <c r="R27" s="39" t="str">
        <f t="shared" si="6"/>
        <v/>
      </c>
    </row>
    <row r="28" spans="1:21">
      <c r="A28" s="179" t="s">
        <v>233</v>
      </c>
      <c r="B28" s="185" t="s">
        <v>4937</v>
      </c>
      <c r="C28" s="35" t="str">
        <f t="shared" si="0"/>
        <v>Abd</v>
      </c>
      <c r="D28" s="5"/>
      <c r="E28" s="40"/>
      <c r="F28" s="14"/>
      <c r="G28" s="17"/>
      <c r="H28" s="10" t="s">
        <v>8563</v>
      </c>
      <c r="I28" s="4" t="str">
        <f t="shared" si="1"/>
        <v>|ʿAbd|</v>
      </c>
      <c r="J28" s="3" t="str">
        <f t="shared" si="2"/>
        <v>|'Abd|</v>
      </c>
      <c r="K28" s="3" t="str">
        <f t="shared" si="3"/>
        <v>Abd</v>
      </c>
      <c r="M28" s="5"/>
      <c r="N28" s="39" t="str">
        <f t="shared" si="4"/>
        <v/>
      </c>
      <c r="O28" s="5"/>
      <c r="P28" s="39" t="str">
        <f t="shared" si="5"/>
        <v/>
      </c>
      <c r="Q28" s="5"/>
      <c r="R28" s="39" t="str">
        <f t="shared" si="6"/>
        <v/>
      </c>
    </row>
    <row r="29" spans="1:21">
      <c r="A29" s="179" t="s">
        <v>234</v>
      </c>
      <c r="B29" s="185" t="s">
        <v>4938</v>
      </c>
      <c r="C29" s="35" t="str">
        <f t="shared" si="0"/>
        <v>AbdiHadir</v>
      </c>
      <c r="D29" s="5"/>
      <c r="E29" s="40"/>
      <c r="F29" s="15" t="s">
        <v>235</v>
      </c>
      <c r="G29" s="17"/>
      <c r="H29" s="10" t="s">
        <v>8563</v>
      </c>
      <c r="I29" s="4" t="str">
        <f t="shared" si="1"/>
        <v>|ʿAbd-i-Ḥáḍir|</v>
      </c>
      <c r="J29" s="3" t="str">
        <f t="shared" si="2"/>
        <v>|'Abd-i-Hadir|</v>
      </c>
      <c r="K29" s="3" t="str">
        <f t="shared" si="3"/>
        <v>Abd-i-Hadir</v>
      </c>
      <c r="M29" s="5"/>
      <c r="N29" s="39" t="str">
        <f t="shared" si="4"/>
        <v/>
      </c>
      <c r="O29" s="5"/>
      <c r="P29" s="39" t="str">
        <f t="shared" si="5"/>
        <v/>
      </c>
      <c r="Q29" s="5"/>
      <c r="R29" s="39" t="str">
        <f t="shared" si="6"/>
        <v/>
      </c>
    </row>
    <row r="30" spans="1:21">
      <c r="A30" s="179" t="s">
        <v>236</v>
      </c>
      <c r="B30" s="185" t="s">
        <v>4939</v>
      </c>
      <c r="C30" s="35" t="str">
        <f t="shared" si="0"/>
        <v>AbdiManaf</v>
      </c>
      <c r="D30" s="5"/>
      <c r="E30" s="40" t="s">
        <v>9115</v>
      </c>
      <c r="F30" s="14"/>
      <c r="G30" s="17"/>
      <c r="H30" s="10" t="s">
        <v>8563</v>
      </c>
      <c r="I30" s="4" t="str">
        <f t="shared" si="1"/>
        <v>|ʿAbd-i-Manaf|</v>
      </c>
      <c r="J30" s="3" t="str">
        <f t="shared" si="2"/>
        <v>|'Abd-i-Manaf|</v>
      </c>
      <c r="K30" s="3" t="str">
        <f t="shared" si="3"/>
        <v>Abd-i-Manaf</v>
      </c>
      <c r="M30" s="5"/>
      <c r="N30" s="39" t="str">
        <f t="shared" si="4"/>
        <v/>
      </c>
      <c r="O30" s="5"/>
      <c r="P30" s="39" t="str">
        <f t="shared" si="5"/>
        <v/>
      </c>
      <c r="Q30" s="5"/>
      <c r="R30" s="39" t="str">
        <f t="shared" si="6"/>
        <v/>
      </c>
    </row>
    <row r="31" spans="1:21">
      <c r="A31" s="179" t="s">
        <v>237</v>
      </c>
      <c r="B31" s="185" t="s">
        <v>4940</v>
      </c>
      <c r="C31" s="35" t="str">
        <f t="shared" si="0"/>
        <v>AbdiManaf</v>
      </c>
      <c r="D31" s="5"/>
      <c r="E31" s="40" t="s">
        <v>9115</v>
      </c>
      <c r="F31" s="15"/>
      <c r="G31" s="17"/>
      <c r="H31" s="10" t="s">
        <v>8563</v>
      </c>
      <c r="I31" s="4" t="str">
        <f t="shared" si="1"/>
        <v>|ʿAbd-i-Manáf|</v>
      </c>
      <c r="J31" s="3" t="str">
        <f t="shared" si="2"/>
        <v>|'Abd-i-Manaf|</v>
      </c>
      <c r="K31" s="3" t="str">
        <f t="shared" si="3"/>
        <v>Abd-i-Manaf</v>
      </c>
      <c r="M31" s="5"/>
      <c r="N31" s="39" t="str">
        <f t="shared" si="4"/>
        <v/>
      </c>
      <c r="O31" s="5"/>
      <c r="P31" s="39" t="str">
        <f t="shared" si="5"/>
        <v/>
      </c>
      <c r="Q31" s="5"/>
      <c r="R31" s="39" t="str">
        <f t="shared" si="6"/>
        <v/>
      </c>
    </row>
    <row r="32" spans="1:21">
      <c r="A32" s="179" t="s">
        <v>238</v>
      </c>
      <c r="B32" s="185" t="s">
        <v>4941</v>
      </c>
      <c r="C32" s="35" t="str">
        <f t="shared" si="0"/>
        <v>AbdudhDhikr</v>
      </c>
      <c r="D32" s="5"/>
      <c r="E32" s="40"/>
      <c r="F32" s="14"/>
      <c r="G32" s="17"/>
      <c r="H32" s="10" t="s">
        <v>8563</v>
      </c>
      <c r="I32" s="4" t="str">
        <f t="shared" si="1"/>
        <v>|ʿAbdu’-ikr|</v>
      </c>
      <c r="J32" s="3" t="str">
        <f t="shared" si="2"/>
        <v>|'Abdu'dh-Dhikr|</v>
      </c>
      <c r="K32" s="3" t="str">
        <f t="shared" si="3"/>
        <v>Abdudh-Dhikr</v>
      </c>
      <c r="M32" s="5"/>
      <c r="N32" s="39" t="str">
        <f t="shared" si="4"/>
        <v/>
      </c>
      <c r="O32" s="5"/>
      <c r="P32" s="39" t="str">
        <f t="shared" si="5"/>
        <v/>
      </c>
      <c r="Q32" s="5"/>
      <c r="R32" s="39" t="str">
        <f t="shared" si="6"/>
        <v/>
      </c>
    </row>
    <row r="33" spans="1:21">
      <c r="A33" s="179" t="s">
        <v>239</v>
      </c>
      <c r="B33" s="185" t="s">
        <v>4942</v>
      </c>
      <c r="C33" s="35" t="str">
        <f t="shared" si="0"/>
        <v>AbdulAhadiZanjani</v>
      </c>
      <c r="D33" s="5"/>
      <c r="E33" s="40"/>
      <c r="F33" s="15"/>
      <c r="G33" s="17"/>
      <c r="H33" s="10" t="s">
        <v>8563</v>
      </c>
      <c r="I33" s="4" t="str">
        <f t="shared" si="1"/>
        <v>|ʿAbdu’l-Aḥad-i-Zanjání|</v>
      </c>
      <c r="J33" s="3" t="str">
        <f t="shared" si="2"/>
        <v>|'Abdu'l-Ahad-i-Zanjani|</v>
      </c>
      <c r="K33" s="3" t="str">
        <f t="shared" si="3"/>
        <v>Abdul-Ahad-i-Zanjani</v>
      </c>
      <c r="M33" s="5"/>
      <c r="N33" s="39" t="str">
        <f t="shared" si="4"/>
        <v/>
      </c>
      <c r="O33" s="5"/>
      <c r="P33" s="39" t="str">
        <f t="shared" si="5"/>
        <v/>
      </c>
      <c r="Q33" s="5"/>
      <c r="R33" s="39" t="str">
        <f t="shared" si="6"/>
        <v/>
      </c>
    </row>
    <row r="34" spans="1:21">
      <c r="A34" s="179" t="s">
        <v>240</v>
      </c>
      <c r="B34" s="185" t="s">
        <v>4943</v>
      </c>
      <c r="C34" s="35" t="str">
        <f t="shared" si="0"/>
        <v>AbdulAli</v>
      </c>
      <c r="D34" s="5"/>
      <c r="E34" s="40"/>
      <c r="F34" s="14"/>
      <c r="G34" s="17"/>
      <c r="H34" s="10" t="s">
        <v>8563</v>
      </c>
      <c r="I34" s="4" t="str">
        <f t="shared" si="1"/>
        <v>|ʿAbdu’l-ʿAlí|</v>
      </c>
      <c r="J34" s="3" t="str">
        <f t="shared" si="2"/>
        <v>|'Abdu'l-'Ali|</v>
      </c>
      <c r="K34" s="3" t="str">
        <f t="shared" si="3"/>
        <v>Abdul-Ali</v>
      </c>
      <c r="M34" s="5"/>
      <c r="N34" s="39" t="str">
        <f t="shared" si="4"/>
        <v/>
      </c>
      <c r="O34" s="5"/>
      <c r="P34" s="39" t="str">
        <f t="shared" si="5"/>
        <v/>
      </c>
      <c r="Q34" s="5"/>
      <c r="R34" s="39" t="str">
        <f t="shared" si="6"/>
        <v/>
      </c>
    </row>
    <row r="35" spans="1:21">
      <c r="A35" s="179" t="s">
        <v>241</v>
      </c>
      <c r="B35" s="185" t="s">
        <v>4944</v>
      </c>
      <c r="C35" s="35" t="str">
        <f t="shared" si="0"/>
        <v>AbdulAliyiHarati</v>
      </c>
      <c r="D35" s="5"/>
      <c r="E35" s="40"/>
      <c r="F35" s="15"/>
      <c r="G35" s="17"/>
      <c r="H35" s="10" t="s">
        <v>8563</v>
      </c>
      <c r="I35" s="4" t="str">
        <f t="shared" si="1"/>
        <v>|ʿAbdu’l-ʿAlíy-i-Harátí|</v>
      </c>
      <c r="J35" s="3" t="str">
        <f t="shared" si="2"/>
        <v>|'Abdu'l-'Aliy-i-Harati|</v>
      </c>
      <c r="K35" s="3" t="str">
        <f t="shared" si="3"/>
        <v>Abdul-Aliy-i-Harati</v>
      </c>
      <c r="M35" s="5"/>
      <c r="N35" s="39" t="str">
        <f t="shared" si="4"/>
        <v/>
      </c>
      <c r="O35" s="5"/>
      <c r="P35" s="39" t="str">
        <f t="shared" si="5"/>
        <v/>
      </c>
      <c r="Q35" s="5"/>
      <c r="R35" s="39" t="str">
        <f t="shared" si="6"/>
        <v/>
      </c>
    </row>
    <row r="36" spans="1:21">
      <c r="A36" s="179" t="s">
        <v>242</v>
      </c>
      <c r="B36" s="185" t="s">
        <v>4945</v>
      </c>
      <c r="C36" s="35" t="str">
        <f t="shared" si="0"/>
        <v>AbdulAzim</v>
      </c>
      <c r="D36" s="5"/>
      <c r="E36" s="40"/>
      <c r="F36" s="14"/>
      <c r="G36" s="17"/>
      <c r="H36" s="10" t="s">
        <v>8563</v>
      </c>
      <c r="I36" s="4" t="str">
        <f t="shared" si="1"/>
        <v>|ʿAbdu’l-ʿAẓím|</v>
      </c>
      <c r="J36" s="3" t="str">
        <f t="shared" si="2"/>
        <v>|'Abdu'l-'Azim|</v>
      </c>
      <c r="K36" s="3" t="str">
        <f t="shared" si="3"/>
        <v>Abdul-Azim</v>
      </c>
      <c r="M36" s="5"/>
      <c r="N36" s="39" t="str">
        <f t="shared" si="4"/>
        <v/>
      </c>
      <c r="O36" s="5"/>
      <c r="P36" s="39" t="str">
        <f t="shared" si="5"/>
        <v/>
      </c>
      <c r="Q36" s="5"/>
      <c r="R36" s="39" t="str">
        <f t="shared" si="6"/>
        <v/>
      </c>
    </row>
    <row r="37" spans="1:21">
      <c r="A37" s="179" t="s">
        <v>243</v>
      </c>
      <c r="B37" s="185" t="s">
        <v>4946</v>
      </c>
      <c r="C37" s="35" t="str">
        <f t="shared" si="0"/>
        <v>AbdulAzimiKhui</v>
      </c>
      <c r="D37" s="5"/>
      <c r="E37" s="40"/>
      <c r="F37" s="15"/>
      <c r="G37" s="17"/>
      <c r="H37" s="10" t="s">
        <v>8563</v>
      </c>
      <c r="I37" s="4" t="str">
        <f t="shared" si="1"/>
        <v>|ʿAbdu’l-ʿAẓím-i-u’í|</v>
      </c>
      <c r="J37" s="3" t="str">
        <f t="shared" si="2"/>
        <v>|'Abdu'l-'Azim-i-Khu'i|</v>
      </c>
      <c r="K37" s="3" t="str">
        <f t="shared" si="3"/>
        <v>Abdul-Azim-i-Khui</v>
      </c>
      <c r="M37" s="5"/>
      <c r="N37" s="39" t="str">
        <f t="shared" si="4"/>
        <v/>
      </c>
      <c r="O37" s="5"/>
      <c r="P37" s="39" t="str">
        <f t="shared" si="5"/>
        <v/>
      </c>
      <c r="Q37" s="5"/>
      <c r="R37" s="39" t="str">
        <f t="shared" si="6"/>
        <v/>
      </c>
    </row>
    <row r="38" spans="1:21">
      <c r="A38" s="179" t="s">
        <v>244</v>
      </c>
      <c r="B38" s="185" t="s">
        <v>121</v>
      </c>
      <c r="C38" s="35" t="str">
        <f t="shared" si="0"/>
        <v>AbdulAziz</v>
      </c>
      <c r="D38" s="5"/>
      <c r="E38" s="40"/>
      <c r="F38" s="14"/>
      <c r="G38" s="17"/>
      <c r="H38" s="10" t="s">
        <v>8563</v>
      </c>
      <c r="I38" s="4" t="str">
        <f t="shared" si="1"/>
        <v>|ʿAbdu’l-ʿAzíz|</v>
      </c>
      <c r="J38" s="3" t="str">
        <f t="shared" si="2"/>
        <v>|'Abdu'l-'Aziz|</v>
      </c>
      <c r="K38" s="3" t="str">
        <f t="shared" si="3"/>
        <v>Abdul-Aziz</v>
      </c>
      <c r="M38" s="5"/>
      <c r="N38" s="39" t="str">
        <f t="shared" si="4"/>
        <v/>
      </c>
      <c r="O38" s="5"/>
      <c r="P38" s="39" t="str">
        <f t="shared" si="5"/>
        <v/>
      </c>
      <c r="Q38" s="5"/>
      <c r="R38" s="39" t="str">
        <f t="shared" si="6"/>
        <v/>
      </c>
    </row>
    <row r="39" spans="1:21">
      <c r="A39" s="179" t="s">
        <v>245</v>
      </c>
      <c r="B39" s="185" t="s">
        <v>4</v>
      </c>
      <c r="C39" s="35" t="str">
        <f t="shared" si="0"/>
        <v>AbdulBaha</v>
      </c>
      <c r="D39" s="5"/>
      <c r="E39" s="40"/>
      <c r="F39" s="14" t="s">
        <v>246</v>
      </c>
      <c r="G39" s="17"/>
      <c r="H39" s="10" t="s">
        <v>8563</v>
      </c>
      <c r="I39" s="4" t="str">
        <f t="shared" si="1"/>
        <v>|ʿAbdu’l-Bahá|</v>
      </c>
      <c r="J39" s="3" t="str">
        <f t="shared" si="2"/>
        <v>|'Abdu'l-Baha|</v>
      </c>
      <c r="K39" s="3" t="str">
        <f t="shared" si="3"/>
        <v>Abdul-Baha</v>
      </c>
      <c r="M39" s="5"/>
      <c r="N39" s="39" t="str">
        <f t="shared" si="4"/>
        <v/>
      </c>
      <c r="O39" s="5"/>
      <c r="P39" s="39" t="str">
        <f t="shared" si="5"/>
        <v/>
      </c>
      <c r="Q39" s="5"/>
      <c r="R39" s="39" t="str">
        <f t="shared" si="6"/>
        <v/>
      </c>
      <c r="T39" s="29">
        <v>41801</v>
      </c>
      <c r="U39" s="28" t="s">
        <v>9481</v>
      </c>
    </row>
    <row r="40" spans="1:21">
      <c r="A40" s="179"/>
      <c r="B40" s="185" t="s">
        <v>9100</v>
      </c>
      <c r="C40" s="35" t="str">
        <f t="shared" si="0"/>
        <v>AbdulBahas</v>
      </c>
      <c r="D40" s="5" t="s">
        <v>59</v>
      </c>
      <c r="E40" s="40"/>
      <c r="F40" s="15"/>
      <c r="G40" s="17"/>
      <c r="H40" s="10"/>
      <c r="I40" s="4" t="str">
        <f t="shared" si="1"/>
        <v>|ʿAbdu’l-Bahás|</v>
      </c>
      <c r="J40" s="3" t="str">
        <f t="shared" si="2"/>
        <v>|'Abdu'l-Bahas|</v>
      </c>
      <c r="K40" s="3" t="str">
        <f t="shared" si="3"/>
        <v>Abdul-Bahas</v>
      </c>
      <c r="M40" s="5"/>
      <c r="N40" s="39" t="str">
        <f t="shared" si="4"/>
        <v/>
      </c>
      <c r="O40" s="5"/>
      <c r="P40" s="39" t="str">
        <f t="shared" si="5"/>
        <v/>
      </c>
      <c r="Q40" s="5"/>
      <c r="R40" s="39" t="str">
        <f t="shared" si="6"/>
        <v/>
      </c>
      <c r="S40" s="29">
        <v>41777</v>
      </c>
      <c r="T40" s="29">
        <v>41800</v>
      </c>
      <c r="U40" s="28" t="s">
        <v>9445</v>
      </c>
    </row>
    <row r="41" spans="1:21">
      <c r="A41" s="179" t="s">
        <v>247</v>
      </c>
      <c r="B41" s="185" t="s">
        <v>4947</v>
      </c>
      <c r="C41" s="35" t="str">
        <f t="shared" si="0"/>
        <v>AbdulBaqir</v>
      </c>
      <c r="D41" s="5"/>
      <c r="E41" s="40"/>
      <c r="F41" s="15"/>
      <c r="G41" s="17"/>
      <c r="H41" s="10" t="s">
        <v>8563</v>
      </c>
      <c r="I41" s="4" t="str">
        <f t="shared" si="1"/>
        <v>|ʿAbdu’l-Báqir|</v>
      </c>
      <c r="J41" s="3" t="str">
        <f t="shared" si="2"/>
        <v>|'Abdu'l-Baqir|</v>
      </c>
      <c r="K41" s="3" t="str">
        <f t="shared" si="3"/>
        <v>Abdul-Baqir</v>
      </c>
      <c r="M41" s="5"/>
      <c r="N41" s="39" t="str">
        <f t="shared" si="4"/>
        <v/>
      </c>
      <c r="O41" s="5"/>
      <c r="P41" s="39" t="str">
        <f t="shared" si="5"/>
        <v/>
      </c>
      <c r="Q41" s="5"/>
      <c r="R41" s="39" t="str">
        <f t="shared" si="6"/>
        <v/>
      </c>
    </row>
    <row r="42" spans="1:21">
      <c r="A42" s="179" t="s">
        <v>248</v>
      </c>
      <c r="B42" s="185" t="s">
        <v>8831</v>
      </c>
      <c r="C42" s="35" t="str">
        <f t="shared" si="0"/>
        <v>AbdulFattah</v>
      </c>
      <c r="D42" s="5"/>
      <c r="E42" s="40"/>
      <c r="F42" s="15"/>
      <c r="G42" s="17"/>
      <c r="H42" s="10" t="s">
        <v>8563</v>
      </c>
      <c r="I42" s="4" t="str">
        <f t="shared" si="1"/>
        <v>|ʿAbdu’l-Fattáḥ|</v>
      </c>
      <c r="J42" s="3" t="str">
        <f t="shared" si="2"/>
        <v>|'Abdu'l-Fattah|</v>
      </c>
      <c r="K42" s="3" t="str">
        <f t="shared" si="3"/>
        <v>Abdul-Fattah</v>
      </c>
      <c r="M42" s="5"/>
      <c r="N42" s="39" t="str">
        <f t="shared" si="4"/>
        <v/>
      </c>
      <c r="O42" s="5"/>
      <c r="P42" s="39" t="str">
        <f t="shared" si="5"/>
        <v/>
      </c>
      <c r="Q42" s="5"/>
      <c r="R42" s="39" t="str">
        <f t="shared" si="6"/>
        <v/>
      </c>
    </row>
    <row r="43" spans="1:21">
      <c r="A43" s="179" t="s">
        <v>249</v>
      </c>
      <c r="B43" s="185" t="s">
        <v>4948</v>
      </c>
      <c r="C43" s="35" t="str">
        <f t="shared" si="0"/>
        <v>AbdulGhaffar</v>
      </c>
      <c r="D43" s="5"/>
      <c r="E43" s="40"/>
      <c r="F43" s="14"/>
      <c r="G43" s="17"/>
      <c r="H43" s="10" t="s">
        <v>8563</v>
      </c>
      <c r="I43" s="4" t="str">
        <f t="shared" si="1"/>
        <v>|ʿAbdu’l-affár|</v>
      </c>
      <c r="J43" s="3" t="str">
        <f t="shared" si="2"/>
        <v>|'Abdu'l-Ghaffar|</v>
      </c>
      <c r="K43" s="3" t="str">
        <f t="shared" si="3"/>
        <v>Abdul-Ghaffar</v>
      </c>
      <c r="M43" s="5"/>
      <c r="N43" s="39" t="str">
        <f t="shared" si="4"/>
        <v/>
      </c>
      <c r="O43" s="5"/>
      <c r="P43" s="39" t="str">
        <f t="shared" si="5"/>
        <v/>
      </c>
      <c r="Q43" s="5"/>
      <c r="R43" s="39" t="str">
        <f t="shared" si="6"/>
        <v/>
      </c>
    </row>
    <row r="44" spans="1:21">
      <c r="A44" s="179" t="s">
        <v>250</v>
      </c>
      <c r="B44" s="185" t="s">
        <v>4949</v>
      </c>
      <c r="C44" s="35" t="str">
        <f t="shared" si="0"/>
        <v>AbdulGhani</v>
      </c>
      <c r="D44" s="5"/>
      <c r="E44" s="40"/>
      <c r="F44" s="15"/>
      <c r="G44" s="17"/>
      <c r="H44" s="10" t="s">
        <v>8563</v>
      </c>
      <c r="I44" s="4" t="str">
        <f t="shared" si="1"/>
        <v>|ʿAbdu’l-aní|</v>
      </c>
      <c r="J44" s="3" t="str">
        <f t="shared" si="2"/>
        <v>|'Abdu'l-Ghani|</v>
      </c>
      <c r="K44" s="3" t="str">
        <f t="shared" si="3"/>
        <v>Abdul-Ghani</v>
      </c>
      <c r="M44" s="5"/>
      <c r="N44" s="39" t="str">
        <f t="shared" si="4"/>
        <v/>
      </c>
      <c r="O44" s="5"/>
      <c r="P44" s="39" t="str">
        <f t="shared" si="5"/>
        <v/>
      </c>
      <c r="Q44" s="5"/>
      <c r="R44" s="39" t="str">
        <f t="shared" si="6"/>
        <v/>
      </c>
    </row>
    <row r="45" spans="1:21">
      <c r="A45" s="179" t="s">
        <v>251</v>
      </c>
      <c r="B45" s="185" t="s">
        <v>4950</v>
      </c>
      <c r="C45" s="35" t="str">
        <f t="shared" si="0"/>
        <v>AbdulHadi</v>
      </c>
      <c r="D45" s="5"/>
      <c r="E45" s="40"/>
      <c r="F45" s="14"/>
      <c r="G45" s="17"/>
      <c r="H45" s="10" t="s">
        <v>8563</v>
      </c>
      <c r="I45" s="4" t="str">
        <f t="shared" si="1"/>
        <v>|ʿAbdu’l-Hádí|</v>
      </c>
      <c r="J45" s="3" t="str">
        <f t="shared" si="2"/>
        <v>|'Abdu'l-Hadi|</v>
      </c>
      <c r="K45" s="3" t="str">
        <f t="shared" si="3"/>
        <v>Abdul-Hadi</v>
      </c>
      <c r="M45" s="5"/>
      <c r="N45" s="39" t="str">
        <f t="shared" si="4"/>
        <v/>
      </c>
      <c r="O45" s="5"/>
      <c r="P45" s="39" t="str">
        <f t="shared" si="5"/>
        <v/>
      </c>
      <c r="Q45" s="5"/>
      <c r="R45" s="39" t="str">
        <f t="shared" si="6"/>
        <v/>
      </c>
    </row>
    <row r="46" spans="1:21">
      <c r="A46" s="179" t="s">
        <v>252</v>
      </c>
      <c r="B46" s="185" t="s">
        <v>81</v>
      </c>
      <c r="C46" s="35" t="str">
        <f t="shared" si="0"/>
        <v>AbdulHamid</v>
      </c>
      <c r="D46" s="5"/>
      <c r="E46" s="40"/>
      <c r="F46" s="14"/>
      <c r="G46" s="17"/>
      <c r="H46" s="10" t="s">
        <v>8563</v>
      </c>
      <c r="I46" s="4" t="str">
        <f t="shared" si="1"/>
        <v>|ʿAbdu’l-Ḥamíd|</v>
      </c>
      <c r="J46" s="3" t="str">
        <f t="shared" si="2"/>
        <v>|'Abdu'l-Hamid|</v>
      </c>
      <c r="K46" s="3" t="str">
        <f t="shared" si="3"/>
        <v>Abdul-Hamid</v>
      </c>
      <c r="M46" s="5"/>
      <c r="N46" s="39" t="str">
        <f t="shared" si="4"/>
        <v/>
      </c>
      <c r="O46" s="5"/>
      <c r="P46" s="39" t="str">
        <f t="shared" si="5"/>
        <v/>
      </c>
      <c r="Q46" s="5"/>
      <c r="R46" s="39" t="str">
        <f t="shared" si="6"/>
        <v/>
      </c>
    </row>
    <row r="47" spans="1:21">
      <c r="A47" s="179" t="s">
        <v>253</v>
      </c>
      <c r="B47" s="185" t="s">
        <v>8832</v>
      </c>
      <c r="C47" s="35" t="str">
        <f t="shared" si="0"/>
        <v>AbdulHaqq</v>
      </c>
      <c r="D47" s="5"/>
      <c r="E47" s="40"/>
      <c r="F47" s="14"/>
      <c r="G47" s="17"/>
      <c r="H47" s="10" t="s">
        <v>8563</v>
      </c>
      <c r="I47" s="4" t="str">
        <f t="shared" si="1"/>
        <v>|ʿAbdu’l-Ḥaqq|</v>
      </c>
      <c r="J47" s="3" t="str">
        <f t="shared" si="2"/>
        <v>|'Abdu'l-Haqq|</v>
      </c>
      <c r="K47" s="3" t="str">
        <f t="shared" si="3"/>
        <v>Abdul-Haqq</v>
      </c>
      <c r="M47" s="5"/>
      <c r="N47" s="39" t="str">
        <f t="shared" si="4"/>
        <v/>
      </c>
      <c r="O47" s="5"/>
      <c r="P47" s="39" t="str">
        <f t="shared" si="5"/>
        <v/>
      </c>
      <c r="Q47" s="5"/>
      <c r="R47" s="39" t="str">
        <f t="shared" si="6"/>
        <v/>
      </c>
    </row>
    <row r="48" spans="1:21">
      <c r="A48" s="179" t="s">
        <v>254</v>
      </c>
      <c r="B48" s="185" t="s">
        <v>4951</v>
      </c>
      <c r="C48" s="35" t="str">
        <f t="shared" si="0"/>
        <v>AbdulHusayn</v>
      </c>
      <c r="D48" s="5"/>
      <c r="E48" s="40"/>
      <c r="F48" s="14"/>
      <c r="G48" s="17"/>
      <c r="H48" s="10" t="s">
        <v>8563</v>
      </c>
      <c r="I48" s="4" t="str">
        <f t="shared" si="1"/>
        <v>|ʿAbdu’l-Ḥusayn|</v>
      </c>
      <c r="J48" s="3" t="str">
        <f t="shared" si="2"/>
        <v>|'Abdu'l-Husayn|</v>
      </c>
      <c r="K48" s="3" t="str">
        <f t="shared" si="3"/>
        <v>Abdul-Husayn</v>
      </c>
      <c r="M48" s="5"/>
      <c r="N48" s="39" t="str">
        <f t="shared" si="4"/>
        <v/>
      </c>
      <c r="O48" s="5"/>
      <c r="P48" s="39" t="str">
        <f t="shared" si="5"/>
        <v/>
      </c>
      <c r="Q48" s="5"/>
      <c r="R48" s="39" t="str">
        <f t="shared" si="6"/>
        <v/>
      </c>
    </row>
    <row r="49" spans="1:21">
      <c r="A49" s="179" t="s">
        <v>255</v>
      </c>
      <c r="B49" s="185" t="s">
        <v>4952</v>
      </c>
      <c r="C49" s="35" t="str">
        <f t="shared" si="0"/>
        <v>AbdulHusayniAvarih</v>
      </c>
      <c r="D49" s="5"/>
      <c r="E49" s="40"/>
      <c r="F49" s="15"/>
      <c r="G49" s="17"/>
      <c r="H49" s="10" t="s">
        <v>8563</v>
      </c>
      <c r="I49" s="4" t="str">
        <f t="shared" si="1"/>
        <v>|ʿAbdu’l-Ḥusayn-i-Ávárih|</v>
      </c>
      <c r="J49" s="3" t="str">
        <f t="shared" si="2"/>
        <v>|'Abdu'l-Husayn-i-Avarih|</v>
      </c>
      <c r="K49" s="3" t="str">
        <f t="shared" si="3"/>
        <v>Abdul-Husayn-i-Avarih</v>
      </c>
      <c r="M49" s="5"/>
      <c r="N49" s="39" t="str">
        <f t="shared" si="4"/>
        <v/>
      </c>
      <c r="O49" s="5"/>
      <c r="P49" s="39" t="str">
        <f t="shared" si="5"/>
        <v/>
      </c>
      <c r="Q49" s="5"/>
      <c r="R49" s="39" t="str">
        <f t="shared" si="6"/>
        <v/>
      </c>
    </row>
    <row r="50" spans="1:21">
      <c r="A50" s="179" t="s">
        <v>256</v>
      </c>
      <c r="B50" s="185" t="s">
        <v>8833</v>
      </c>
      <c r="C50" s="35" t="str">
        <f t="shared" si="0"/>
        <v>AbdulHusayniShushtari</v>
      </c>
      <c r="D50" s="5"/>
      <c r="E50" s="40"/>
      <c r="F50" s="14"/>
      <c r="G50" s="17"/>
      <c r="H50" s="10" t="s">
        <v>8563</v>
      </c>
      <c r="I50" s="4" t="str">
        <f t="shared" si="1"/>
        <v>|ʿAbdu’l-Ḥusayn-i-útarí|</v>
      </c>
      <c r="J50" s="3" t="str">
        <f t="shared" si="2"/>
        <v>|'Abdu'l-Husayn-i-Shushtari|</v>
      </c>
      <c r="K50" s="3" t="str">
        <f t="shared" si="3"/>
        <v>Abdul-Husayn-i-Shushtari</v>
      </c>
      <c r="M50" s="5"/>
      <c r="N50" s="39" t="str">
        <f t="shared" si="4"/>
        <v/>
      </c>
      <c r="O50" s="5"/>
      <c r="P50" s="39" t="str">
        <f t="shared" si="5"/>
        <v/>
      </c>
      <c r="Q50" s="5"/>
      <c r="R50" s="39" t="str">
        <f t="shared" si="6"/>
        <v/>
      </c>
    </row>
    <row r="51" spans="1:21">
      <c r="A51" s="179" t="s">
        <v>257</v>
      </c>
      <c r="B51" s="185" t="s">
        <v>4953</v>
      </c>
      <c r="C51" s="35" t="str">
        <f t="shared" si="0"/>
        <v>AbdulJalil</v>
      </c>
      <c r="D51" s="5"/>
      <c r="E51" s="40"/>
      <c r="F51" s="14"/>
      <c r="G51" s="17"/>
      <c r="H51" s="10" t="s">
        <v>8563</v>
      </c>
      <c r="I51" s="4" t="str">
        <f t="shared" si="1"/>
        <v>|ʿAbdu’l-Jalíl|</v>
      </c>
      <c r="J51" s="3" t="str">
        <f t="shared" si="2"/>
        <v>|'Abdu'l-Jalil|</v>
      </c>
      <c r="K51" s="3" t="str">
        <f t="shared" si="3"/>
        <v>Abdul-Jalil</v>
      </c>
      <c r="M51" s="5"/>
      <c r="N51" s="39" t="str">
        <f t="shared" si="4"/>
        <v/>
      </c>
      <c r="O51" s="5"/>
      <c r="P51" s="39" t="str">
        <f t="shared" si="5"/>
        <v/>
      </c>
      <c r="Q51" s="5"/>
      <c r="R51" s="39" t="str">
        <f t="shared" si="6"/>
        <v/>
      </c>
    </row>
    <row r="52" spans="1:21">
      <c r="A52" s="179" t="s">
        <v>258</v>
      </c>
      <c r="B52" s="185" t="s">
        <v>4954</v>
      </c>
      <c r="C52" s="35" t="str">
        <f t="shared" si="0"/>
        <v>AbdulJavad</v>
      </c>
      <c r="D52" s="5"/>
      <c r="E52" s="40"/>
      <c r="F52" s="14"/>
      <c r="G52" s="17"/>
      <c r="H52" s="10" t="s">
        <v>8563</v>
      </c>
      <c r="I52" s="4" t="str">
        <f t="shared" si="1"/>
        <v>|ʿAbdu’l-Javád|</v>
      </c>
      <c r="J52" s="3" t="str">
        <f t="shared" si="2"/>
        <v>|'Abdu'l-Javad|</v>
      </c>
      <c r="K52" s="3" t="str">
        <f t="shared" si="3"/>
        <v>Abdul-Javad</v>
      </c>
      <c r="M52" s="5"/>
      <c r="N52" s="39" t="str">
        <f t="shared" si="4"/>
        <v/>
      </c>
      <c r="O52" s="5"/>
      <c r="P52" s="39" t="str">
        <f t="shared" si="5"/>
        <v/>
      </c>
      <c r="Q52" s="5"/>
      <c r="R52" s="39" t="str">
        <f t="shared" si="6"/>
        <v/>
      </c>
    </row>
    <row r="53" spans="1:21">
      <c r="A53" s="179" t="s">
        <v>259</v>
      </c>
      <c r="B53" s="185" t="s">
        <v>4955</v>
      </c>
      <c r="C53" s="35" t="str">
        <f t="shared" si="0"/>
        <v>AbdulKarim</v>
      </c>
      <c r="D53" s="5"/>
      <c r="E53" s="40"/>
      <c r="F53" s="14"/>
      <c r="G53" s="17"/>
      <c r="H53" s="10" t="s">
        <v>8563</v>
      </c>
      <c r="I53" s="4" t="str">
        <f t="shared" si="1"/>
        <v>|ʿAbdu’l-Karím|</v>
      </c>
      <c r="J53" s="3" t="str">
        <f t="shared" si="2"/>
        <v>|'Abdu'l-Karim|</v>
      </c>
      <c r="K53" s="3" t="str">
        <f t="shared" si="3"/>
        <v>Abdul-Karim</v>
      </c>
      <c r="M53" s="5"/>
      <c r="N53" s="39" t="str">
        <f t="shared" si="4"/>
        <v/>
      </c>
      <c r="O53" s="5"/>
      <c r="P53" s="39" t="str">
        <f t="shared" si="5"/>
        <v/>
      </c>
      <c r="Q53" s="5"/>
      <c r="R53" s="39" t="str">
        <f t="shared" si="6"/>
        <v/>
      </c>
    </row>
    <row r="54" spans="1:21">
      <c r="A54" s="179" t="s">
        <v>260</v>
      </c>
      <c r="B54" s="185" t="s">
        <v>4956</v>
      </c>
      <c r="C54" s="35" t="str">
        <f t="shared" si="0"/>
        <v>AbdulKarimiIravani</v>
      </c>
      <c r="D54" s="5"/>
      <c r="E54" s="40"/>
      <c r="F54" s="15"/>
      <c r="G54" s="17"/>
      <c r="H54" s="10" t="s">
        <v>8563</v>
      </c>
      <c r="I54" s="4" t="str">
        <f t="shared" si="1"/>
        <v>|ʿAbdu’l-Karím-i-Íravání|</v>
      </c>
      <c r="J54" s="3" t="str">
        <f t="shared" si="2"/>
        <v>|'Abdu'l-Karim-i-Iravani|</v>
      </c>
      <c r="K54" s="3" t="str">
        <f t="shared" si="3"/>
        <v>Abdul-Karim-i-Iravani</v>
      </c>
      <c r="M54" s="5"/>
      <c r="N54" s="39" t="str">
        <f t="shared" si="4"/>
        <v/>
      </c>
      <c r="O54" s="5"/>
      <c r="P54" s="39" t="str">
        <f t="shared" si="5"/>
        <v/>
      </c>
      <c r="Q54" s="5"/>
      <c r="R54" s="39" t="str">
        <f t="shared" si="6"/>
        <v/>
      </c>
    </row>
    <row r="55" spans="1:21">
      <c r="A55" s="179" t="s">
        <v>261</v>
      </c>
      <c r="B55" s="185" t="s">
        <v>4957</v>
      </c>
      <c r="C55" s="35" t="str">
        <f t="shared" si="0"/>
        <v>AbdulKarimiQazvini</v>
      </c>
      <c r="D55" s="5"/>
      <c r="E55" s="40"/>
      <c r="F55" s="14"/>
      <c r="G55" s="17"/>
      <c r="H55" s="10" t="s">
        <v>8563</v>
      </c>
      <c r="I55" s="4" t="str">
        <f t="shared" si="1"/>
        <v>|ʿAbdu’l-Karím-i-Qazvíní|</v>
      </c>
      <c r="J55" s="3" t="str">
        <f t="shared" si="2"/>
        <v>|'Abdu'l-Karim-i-Qazvini|</v>
      </c>
      <c r="K55" s="3" t="str">
        <f t="shared" si="3"/>
        <v>Abdul-Karim-i-Qazvini</v>
      </c>
      <c r="M55" s="5"/>
      <c r="N55" s="39" t="str">
        <f t="shared" si="4"/>
        <v/>
      </c>
      <c r="O55" s="5"/>
      <c r="P55" s="39" t="str">
        <f t="shared" si="5"/>
        <v/>
      </c>
      <c r="Q55" s="5"/>
      <c r="R55" s="39" t="str">
        <f t="shared" si="6"/>
        <v/>
      </c>
    </row>
    <row r="56" spans="1:21">
      <c r="A56" s="179" t="s">
        <v>262</v>
      </c>
      <c r="B56" s="185" t="s">
        <v>4958</v>
      </c>
      <c r="C56" s="35" t="str">
        <f t="shared" si="0"/>
        <v>AbdulKarimiTihrani</v>
      </c>
      <c r="D56" s="5"/>
      <c r="E56" s="40"/>
      <c r="F56" s="14"/>
      <c r="G56" s="17"/>
      <c r="H56" s="10" t="s">
        <v>8563</v>
      </c>
      <c r="I56" s="4" t="str">
        <f t="shared" si="1"/>
        <v>|ʿAbdu’l-Karím-i-Ṭihrání|</v>
      </c>
      <c r="J56" s="3" t="str">
        <f t="shared" si="2"/>
        <v>|'Abdu'l-Karim-i-Tihrani|</v>
      </c>
      <c r="K56" s="3" t="str">
        <f t="shared" si="3"/>
        <v>Abdul-Karim-i-Tihrani</v>
      </c>
      <c r="M56" s="5"/>
      <c r="N56" s="39" t="str">
        <f t="shared" si="4"/>
        <v/>
      </c>
      <c r="O56" s="5"/>
      <c r="P56" s="39" t="str">
        <f t="shared" si="5"/>
        <v/>
      </c>
      <c r="Q56" s="5"/>
      <c r="R56" s="39" t="str">
        <f t="shared" si="6"/>
        <v/>
      </c>
    </row>
    <row r="57" spans="1:21">
      <c r="A57" s="179" t="s">
        <v>263</v>
      </c>
      <c r="B57" s="185" t="s">
        <v>4959</v>
      </c>
      <c r="C57" s="35" t="str">
        <f t="shared" si="0"/>
        <v>AbdulKhaliq</v>
      </c>
      <c r="D57" s="5"/>
      <c r="E57" s="40"/>
      <c r="F57" s="15"/>
      <c r="G57" s="17"/>
      <c r="H57" s="10" t="s">
        <v>8563</v>
      </c>
      <c r="I57" s="4" t="str">
        <f t="shared" si="1"/>
        <v>|ʿAbdu’l-áliq|</v>
      </c>
      <c r="J57" s="3" t="str">
        <f t="shared" si="2"/>
        <v>|'Abdu'l-Khaliq|</v>
      </c>
      <c r="K57" s="3" t="str">
        <f t="shared" si="3"/>
        <v>Abdul-Khaliq</v>
      </c>
      <c r="M57" s="5"/>
      <c r="N57" s="39" t="str">
        <f t="shared" si="4"/>
        <v/>
      </c>
      <c r="O57" s="5"/>
      <c r="P57" s="39" t="str">
        <f t="shared" si="5"/>
        <v/>
      </c>
      <c r="Q57" s="5"/>
      <c r="R57" s="39" t="str">
        <f t="shared" si="6"/>
        <v/>
      </c>
    </row>
    <row r="58" spans="1:21">
      <c r="A58" s="179" t="s">
        <v>264</v>
      </c>
      <c r="B58" s="185" t="s">
        <v>4960</v>
      </c>
      <c r="C58" s="35" t="str">
        <f t="shared" si="0"/>
        <v>AbdulKhaliqiIsfahani</v>
      </c>
      <c r="D58" s="5"/>
      <c r="E58" s="40"/>
      <c r="F58" s="15"/>
      <c r="G58" s="17"/>
      <c r="H58" s="10" t="s">
        <v>8563</v>
      </c>
      <c r="I58" s="4" t="str">
        <f t="shared" si="1"/>
        <v>|ʿAbdu’l-áliq-i-Iṣfahání|</v>
      </c>
      <c r="J58" s="3" t="str">
        <f t="shared" si="2"/>
        <v>|'Abdu'l-Khaliq-i-Isfahani|</v>
      </c>
      <c r="K58" s="3" t="str">
        <f t="shared" si="3"/>
        <v>Abdul-Khaliq-i-Isfahani</v>
      </c>
      <c r="M58" s="5"/>
      <c r="N58" s="39" t="str">
        <f t="shared" si="4"/>
        <v/>
      </c>
      <c r="O58" s="5"/>
      <c r="P58" s="39" t="str">
        <f t="shared" si="5"/>
        <v/>
      </c>
      <c r="Q58" s="5"/>
      <c r="R58" s="39" t="str">
        <f t="shared" si="6"/>
        <v/>
      </c>
    </row>
    <row r="59" spans="1:21">
      <c r="A59" s="179" t="s">
        <v>265</v>
      </c>
      <c r="B59" s="185" t="s">
        <v>4961</v>
      </c>
      <c r="C59" s="35" t="str">
        <f t="shared" si="0"/>
        <v>AbdulKhaliqiYazdi</v>
      </c>
      <c r="D59" s="5"/>
      <c r="E59" s="40"/>
      <c r="F59" s="14"/>
      <c r="G59" s="17"/>
      <c r="H59" s="10" t="s">
        <v>8563</v>
      </c>
      <c r="I59" s="4" t="str">
        <f t="shared" si="1"/>
        <v>|ʿAbdu’l-áliq-i-Yazdí|</v>
      </c>
      <c r="J59" s="3" t="str">
        <f t="shared" si="2"/>
        <v>|'Abdu'l-Khaliq-i-Yazdi|</v>
      </c>
      <c r="K59" s="3" t="str">
        <f t="shared" si="3"/>
        <v>Abdul-Khaliq-i-Yazdi</v>
      </c>
      <c r="M59" s="5"/>
      <c r="N59" s="39" t="str">
        <f t="shared" si="4"/>
        <v/>
      </c>
      <c r="O59" s="5"/>
      <c r="P59" s="39" t="str">
        <f t="shared" si="5"/>
        <v/>
      </c>
      <c r="Q59" s="5"/>
      <c r="R59" s="39" t="str">
        <f t="shared" si="6"/>
        <v/>
      </c>
    </row>
    <row r="60" spans="1:21">
      <c r="A60" s="179" t="s">
        <v>266</v>
      </c>
      <c r="B60" s="185" t="s">
        <v>90</v>
      </c>
      <c r="C60" s="35" t="str">
        <f t="shared" si="0"/>
        <v>Abdullah</v>
      </c>
      <c r="D60" s="5"/>
      <c r="E60" s="40"/>
      <c r="F60" s="14"/>
      <c r="G60" s="17"/>
      <c r="H60" s="10" t="s">
        <v>8563</v>
      </c>
      <c r="I60" s="4" t="str">
        <f t="shared" si="1"/>
        <v>|ʿAbdu’lláh|</v>
      </c>
      <c r="J60" s="3" t="str">
        <f t="shared" si="2"/>
        <v>|'Abdu'llah|</v>
      </c>
      <c r="K60" s="3" t="str">
        <f t="shared" si="3"/>
        <v>Abdullah</v>
      </c>
      <c r="M60" s="5"/>
      <c r="N60" s="39" t="str">
        <f t="shared" si="4"/>
        <v/>
      </c>
      <c r="O60" s="5"/>
      <c r="P60" s="39" t="str">
        <f t="shared" si="5"/>
        <v/>
      </c>
      <c r="Q60" s="5"/>
      <c r="R60" s="39" t="str">
        <f t="shared" si="6"/>
        <v/>
      </c>
    </row>
    <row r="61" spans="1:21">
      <c r="A61" s="180"/>
      <c r="B61" s="185" t="s">
        <v>148</v>
      </c>
      <c r="C61" s="35" t="str">
        <f t="shared" si="0"/>
        <v>AbdullahBuni</v>
      </c>
      <c r="D61" s="5"/>
      <c r="E61" s="40"/>
      <c r="F61" s="10"/>
      <c r="G61" s="17"/>
      <c r="H61" s="11" t="s">
        <v>149</v>
      </c>
      <c r="I61" s="4" t="str">
        <f t="shared" si="1"/>
        <v>|ʿAbdu’lláh Búní|</v>
      </c>
      <c r="J61" s="3" t="str">
        <f t="shared" si="2"/>
        <v>|'Abdu'llah Buni|</v>
      </c>
      <c r="K61" s="3" t="str">
        <f t="shared" si="3"/>
        <v>Abdullah Buni</v>
      </c>
      <c r="M61" s="2"/>
      <c r="N61" s="39" t="str">
        <f t="shared" si="4"/>
        <v/>
      </c>
      <c r="O61" s="2"/>
      <c r="P61" s="39" t="str">
        <f t="shared" si="5"/>
        <v/>
      </c>
      <c r="Q61" s="2"/>
      <c r="R61" s="39" t="str">
        <f t="shared" si="6"/>
        <v/>
      </c>
      <c r="U61" s="38"/>
    </row>
    <row r="62" spans="1:21">
      <c r="A62" s="179" t="s">
        <v>267</v>
      </c>
      <c r="B62" s="185" t="s">
        <v>4962</v>
      </c>
      <c r="C62" s="35" t="str">
        <f t="shared" si="0"/>
        <v>AbdullahiGhawgha</v>
      </c>
      <c r="D62" s="5"/>
      <c r="E62" s="40"/>
      <c r="F62" s="15"/>
      <c r="G62" s="17"/>
      <c r="H62" s="10" t="s">
        <v>8563</v>
      </c>
      <c r="I62" s="4" t="str">
        <f t="shared" si="1"/>
        <v>|ʿAbdu’lláh-i-awá|</v>
      </c>
      <c r="J62" s="3" t="str">
        <f t="shared" si="2"/>
        <v>|'Abdu'llah-i-Ghawgha|</v>
      </c>
      <c r="K62" s="3" t="str">
        <f t="shared" si="3"/>
        <v>Abdullah-i-Ghawgha</v>
      </c>
      <c r="M62" s="5"/>
      <c r="N62" s="39" t="str">
        <f t="shared" si="4"/>
        <v/>
      </c>
      <c r="O62" s="5"/>
      <c r="P62" s="39" t="str">
        <f t="shared" si="5"/>
        <v/>
      </c>
      <c r="Q62" s="5"/>
      <c r="R62" s="39" t="str">
        <f t="shared" si="6"/>
        <v/>
      </c>
    </row>
    <row r="63" spans="1:21">
      <c r="A63" s="179" t="s">
        <v>268</v>
      </c>
      <c r="B63" s="185" t="s">
        <v>4963</v>
      </c>
      <c r="C63" s="35" t="str">
        <f t="shared" si="0"/>
        <v>AbdullahiQazvini</v>
      </c>
      <c r="D63" s="5"/>
      <c r="E63" s="40"/>
      <c r="F63" s="14"/>
      <c r="G63" s="17"/>
      <c r="H63" s="10" t="s">
        <v>8563</v>
      </c>
      <c r="I63" s="4" t="str">
        <f t="shared" si="1"/>
        <v>|ʿAbdu’lláh-i-Qazvíní|</v>
      </c>
      <c r="J63" s="3" t="str">
        <f t="shared" si="2"/>
        <v>|'Abdu'llah-i-Qazvini|</v>
      </c>
      <c r="K63" s="3" t="str">
        <f t="shared" si="3"/>
        <v>Abdullah-i-Qazvini</v>
      </c>
      <c r="M63" s="5"/>
      <c r="N63" s="39" t="str">
        <f t="shared" si="4"/>
        <v/>
      </c>
      <c r="O63" s="5"/>
      <c r="P63" s="39" t="str">
        <f t="shared" si="5"/>
        <v/>
      </c>
      <c r="Q63" s="5"/>
      <c r="R63" s="39" t="str">
        <f t="shared" si="6"/>
        <v/>
      </c>
    </row>
    <row r="64" spans="1:21">
      <c r="A64" s="179" t="s">
        <v>269</v>
      </c>
      <c r="B64" s="185" t="s">
        <v>4964</v>
      </c>
      <c r="C64" s="35" t="str">
        <f t="shared" si="0"/>
        <v>AbdullahiUbayy</v>
      </c>
      <c r="D64" s="5"/>
      <c r="E64" s="40"/>
      <c r="F64" s="14"/>
      <c r="G64" s="17"/>
      <c r="H64" s="10" t="s">
        <v>8563</v>
      </c>
      <c r="I64" s="4" t="str">
        <f t="shared" si="1"/>
        <v>|ʿAbdu’lláh-i-Ubayy|</v>
      </c>
      <c r="J64" s="3" t="str">
        <f t="shared" si="2"/>
        <v>|'Abdu'llah-i-Ubayy|</v>
      </c>
      <c r="K64" s="3" t="str">
        <f t="shared" si="3"/>
        <v>Abdullah-i-Ubayy</v>
      </c>
      <c r="M64" s="5"/>
      <c r="N64" s="39" t="str">
        <f t="shared" si="4"/>
        <v/>
      </c>
      <c r="O64" s="5"/>
      <c r="P64" s="39" t="str">
        <f t="shared" si="5"/>
        <v/>
      </c>
      <c r="Q64" s="5"/>
      <c r="R64" s="39" t="str">
        <f t="shared" si="6"/>
        <v/>
      </c>
    </row>
    <row r="65" spans="1:18">
      <c r="A65" s="179" t="s">
        <v>270</v>
      </c>
      <c r="B65" s="185" t="s">
        <v>4965</v>
      </c>
      <c r="C65" s="35" t="str">
        <f t="shared" si="0"/>
        <v>AbdulMajid</v>
      </c>
      <c r="D65" s="5"/>
      <c r="E65" s="40"/>
      <c r="F65" s="14"/>
      <c r="G65" s="17"/>
      <c r="H65" s="10" t="s">
        <v>8563</v>
      </c>
      <c r="I65" s="4" t="str">
        <f t="shared" si="1"/>
        <v>|ʿAbdu’l-Majíd|</v>
      </c>
      <c r="J65" s="3" t="str">
        <f t="shared" si="2"/>
        <v>|'Abdu'l-Majid|</v>
      </c>
      <c r="K65" s="3" t="str">
        <f t="shared" si="3"/>
        <v>Abdul-Majid</v>
      </c>
      <c r="M65" s="5"/>
      <c r="N65" s="39" t="str">
        <f t="shared" si="4"/>
        <v/>
      </c>
      <c r="O65" s="5"/>
      <c r="P65" s="39" t="str">
        <f t="shared" si="5"/>
        <v/>
      </c>
      <c r="Q65" s="5"/>
      <c r="R65" s="39" t="str">
        <f t="shared" si="6"/>
        <v/>
      </c>
    </row>
    <row r="66" spans="1:18">
      <c r="A66" s="179" t="s">
        <v>271</v>
      </c>
      <c r="B66" s="185" t="s">
        <v>8834</v>
      </c>
      <c r="C66" s="35" t="str">
        <f t="shared" si="0"/>
        <v>AbdulMajidiNishapuri</v>
      </c>
      <c r="D66" s="5"/>
      <c r="E66" s="40"/>
      <c r="F66" s="15"/>
      <c r="G66" s="17"/>
      <c r="H66" s="10" t="s">
        <v>8563</v>
      </c>
      <c r="I66" s="4" t="str">
        <f t="shared" si="1"/>
        <v>|ʿAbdu’l-Majíd-i-Níápúrí|</v>
      </c>
      <c r="J66" s="3" t="str">
        <f t="shared" si="2"/>
        <v>|'Abdu'l-Majid-i-Nishapuri|</v>
      </c>
      <c r="K66" s="3" t="str">
        <f t="shared" si="3"/>
        <v>Abdul-Majid-i-Nishapuri</v>
      </c>
      <c r="M66" s="5"/>
      <c r="N66" s="39" t="str">
        <f t="shared" si="4"/>
        <v/>
      </c>
      <c r="O66" s="5"/>
      <c r="P66" s="39" t="str">
        <f t="shared" si="5"/>
        <v/>
      </c>
      <c r="Q66" s="5"/>
      <c r="R66" s="39" t="str">
        <f t="shared" si="6"/>
        <v/>
      </c>
    </row>
    <row r="67" spans="1:18">
      <c r="A67" s="179" t="s">
        <v>272</v>
      </c>
      <c r="B67" s="185" t="s">
        <v>4966</v>
      </c>
      <c r="C67" s="35" t="str">
        <f t="shared" ref="C67:C130" si="7">SUBSTITUTE(SUBSTITUTE(K67,"-","")," ","")</f>
        <v>AbdulMajidiShirazi</v>
      </c>
      <c r="D67" s="5"/>
      <c r="E67" s="40"/>
      <c r="F67" s="14"/>
      <c r="G67" s="17"/>
      <c r="H67" s="10" t="s">
        <v>8563</v>
      </c>
      <c r="I67" s="4" t="str">
        <f t="shared" ref="I67:I130" si="8">CONCATENATE("|",B67,"|")</f>
        <v>|ʿAbdu’l-Majíd-i-írází|</v>
      </c>
      <c r="J67" s="3" t="str">
        <f t="shared" ref="J67:J130" si="9">CONCATENATE("|",F_OutputASCII(B67),"|")</f>
        <v>|'Abdu'l-Majid-i-Shirazi|</v>
      </c>
      <c r="K67" s="3" t="str">
        <f t="shared" ref="K67:K130" si="10">IF(SUBSTITUTE(MID(J67,2,LEN(J67)-2),"'","")&lt;&gt;"",SUBSTITUTE(MID(J67,2,LEN(J67)-2),"'",""),"ZZZZZ")</f>
        <v>Abdul-Majid-i-Shirazi</v>
      </c>
      <c r="M67" s="5"/>
      <c r="N67" s="39" t="str">
        <f t="shared" ref="N67:N130" si="11">SUBSTITUTE(SUBSTITUTE(SUBSTITUTE(F_OutputASCII(M67),"-","")," ",""),"'","")</f>
        <v/>
      </c>
      <c r="O67" s="5"/>
      <c r="P67" s="39" t="str">
        <f t="shared" ref="P67:P130" si="12">SUBSTITUTE(SUBSTITUTE(SUBSTITUTE(F_OutputASCII(O67),"-","")," ",""),"'","")</f>
        <v/>
      </c>
      <c r="Q67" s="5"/>
      <c r="R67" s="39" t="str">
        <f t="shared" si="6"/>
        <v/>
      </c>
    </row>
    <row r="68" spans="1:18">
      <c r="A68" s="179" t="s">
        <v>273</v>
      </c>
      <c r="B68" s="185" t="s">
        <v>4967</v>
      </c>
      <c r="C68" s="35" t="str">
        <f t="shared" si="7"/>
        <v>AbdulMalik</v>
      </c>
      <c r="D68" s="5"/>
      <c r="E68" s="40"/>
      <c r="F68" s="15" t="s">
        <v>274</v>
      </c>
      <c r="G68" s="17"/>
      <c r="H68" s="10" t="s">
        <v>8563</v>
      </c>
      <c r="I68" s="4" t="str">
        <f t="shared" si="8"/>
        <v>|ʿAbdu’l-Malik|</v>
      </c>
      <c r="J68" s="3" t="str">
        <f t="shared" si="9"/>
        <v>|'Abdu'l-Malik|</v>
      </c>
      <c r="K68" s="3" t="str">
        <f t="shared" si="10"/>
        <v>Abdul-Malik</v>
      </c>
      <c r="M68" s="5"/>
      <c r="N68" s="39" t="str">
        <f t="shared" si="11"/>
        <v/>
      </c>
      <c r="O68" s="5"/>
      <c r="P68" s="39" t="str">
        <f t="shared" si="12"/>
        <v/>
      </c>
      <c r="Q68" s="5"/>
      <c r="R68" s="39" t="str">
        <f t="shared" ref="R68:R131" si="13">SUBSTITUTE(SUBSTITUTE(Q68,"-","")," ","")</f>
        <v/>
      </c>
    </row>
    <row r="69" spans="1:18">
      <c r="A69" s="179" t="s">
        <v>275</v>
      </c>
      <c r="B69" s="185" t="s">
        <v>4968</v>
      </c>
      <c r="C69" s="35" t="str">
        <f t="shared" si="7"/>
        <v>AbdulMasih</v>
      </c>
      <c r="D69" s="5"/>
      <c r="E69" s="40"/>
      <c r="F69" s="15"/>
      <c r="G69" s="17"/>
      <c r="H69" s="10" t="s">
        <v>8563</v>
      </c>
      <c r="I69" s="4" t="str">
        <f t="shared" si="8"/>
        <v>|ʿAbdu’l-Masíḥ|</v>
      </c>
      <c r="J69" s="3" t="str">
        <f t="shared" si="9"/>
        <v>|'Abdu'l-Masih|</v>
      </c>
      <c r="K69" s="3" t="str">
        <f t="shared" si="10"/>
        <v>Abdul-Masih</v>
      </c>
      <c r="M69" s="5"/>
      <c r="N69" s="39" t="str">
        <f t="shared" si="11"/>
        <v/>
      </c>
      <c r="O69" s="5"/>
      <c r="P69" s="39" t="str">
        <f t="shared" si="12"/>
        <v/>
      </c>
      <c r="Q69" s="5"/>
      <c r="R69" s="39" t="str">
        <f t="shared" si="13"/>
        <v/>
      </c>
    </row>
    <row r="70" spans="1:18">
      <c r="A70" s="179" t="s">
        <v>276</v>
      </c>
      <c r="B70" s="185" t="s">
        <v>4969</v>
      </c>
      <c r="C70" s="35" t="str">
        <f t="shared" si="7"/>
        <v>AbdulMuhammad</v>
      </c>
      <c r="D70" s="5"/>
      <c r="E70" s="40"/>
      <c r="F70" s="14"/>
      <c r="G70" s="17"/>
      <c r="H70" s="10" t="s">
        <v>8563</v>
      </c>
      <c r="I70" s="4" t="str">
        <f t="shared" si="8"/>
        <v>|ʿAbdu’l-Muḥammad|</v>
      </c>
      <c r="J70" s="3" t="str">
        <f t="shared" si="9"/>
        <v>|'Abdu'l-Muhammad|</v>
      </c>
      <c r="K70" s="3" t="str">
        <f t="shared" si="10"/>
        <v>Abdul-Muhammad</v>
      </c>
      <c r="M70" s="5"/>
      <c r="N70" s="39" t="str">
        <f t="shared" si="11"/>
        <v/>
      </c>
      <c r="O70" s="5"/>
      <c r="P70" s="39" t="str">
        <f t="shared" si="12"/>
        <v/>
      </c>
      <c r="Q70" s="5"/>
      <c r="R70" s="39" t="str">
        <f t="shared" si="13"/>
        <v/>
      </c>
    </row>
    <row r="71" spans="1:18">
      <c r="A71" s="179" t="s">
        <v>277</v>
      </c>
      <c r="B71" s="185" t="s">
        <v>4970</v>
      </c>
      <c r="C71" s="35" t="str">
        <f t="shared" si="7"/>
        <v>AbdulMuttalib</v>
      </c>
      <c r="D71" s="5"/>
      <c r="E71" s="40"/>
      <c r="F71" s="15"/>
      <c r="G71" s="17"/>
      <c r="H71" s="10" t="s">
        <v>8563</v>
      </c>
      <c r="I71" s="4" t="str">
        <f t="shared" si="8"/>
        <v>|ʿAbdu’l-Muṭṭalib|</v>
      </c>
      <c r="J71" s="3" t="str">
        <f t="shared" si="9"/>
        <v>|'Abdu'l-Muttalib|</v>
      </c>
      <c r="K71" s="3" t="str">
        <f t="shared" si="10"/>
        <v>Abdul-Muttalib</v>
      </c>
      <c r="M71" s="5"/>
      <c r="N71" s="39" t="str">
        <f t="shared" si="11"/>
        <v/>
      </c>
      <c r="O71" s="5"/>
      <c r="P71" s="39" t="str">
        <f t="shared" si="12"/>
        <v/>
      </c>
      <c r="Q71" s="5"/>
      <c r="R71" s="39" t="str">
        <f t="shared" si="13"/>
        <v/>
      </c>
    </row>
    <row r="72" spans="1:18">
      <c r="A72" s="179" t="s">
        <v>278</v>
      </c>
      <c r="B72" s="185" t="s">
        <v>4971</v>
      </c>
      <c r="C72" s="35" t="str">
        <f t="shared" si="7"/>
        <v>AbdulQadir</v>
      </c>
      <c r="D72" s="5"/>
      <c r="E72" s="40"/>
      <c r="F72" s="14"/>
      <c r="G72" s="17"/>
      <c r="H72" s="10" t="s">
        <v>8563</v>
      </c>
      <c r="I72" s="4" t="str">
        <f t="shared" si="8"/>
        <v>|ʿAbdu’l-Qádir|</v>
      </c>
      <c r="J72" s="3" t="str">
        <f t="shared" si="9"/>
        <v>|'Abdu'l-Qadir|</v>
      </c>
      <c r="K72" s="3" t="str">
        <f t="shared" si="10"/>
        <v>Abdul-Qadir</v>
      </c>
      <c r="M72" s="5"/>
      <c r="N72" s="39" t="str">
        <f t="shared" si="11"/>
        <v/>
      </c>
      <c r="O72" s="5"/>
      <c r="P72" s="39" t="str">
        <f t="shared" si="12"/>
        <v/>
      </c>
      <c r="Q72" s="5"/>
      <c r="R72" s="39" t="str">
        <f t="shared" si="13"/>
        <v/>
      </c>
    </row>
    <row r="73" spans="1:18">
      <c r="A73" s="179" t="s">
        <v>279</v>
      </c>
      <c r="B73" s="185" t="s">
        <v>4972</v>
      </c>
      <c r="C73" s="35" t="str">
        <f t="shared" si="7"/>
        <v>AbdulRahim</v>
      </c>
      <c r="D73" s="5"/>
      <c r="E73" s="40"/>
      <c r="F73" s="15"/>
      <c r="G73" s="17"/>
      <c r="H73" s="10" t="s">
        <v>8563</v>
      </c>
      <c r="I73" s="4" t="str">
        <f t="shared" si="8"/>
        <v>|ʿAbdu’l-Raḥím|</v>
      </c>
      <c r="J73" s="3" t="str">
        <f t="shared" si="9"/>
        <v>|'Abdu'l-Rahim|</v>
      </c>
      <c r="K73" s="3" t="str">
        <f t="shared" si="10"/>
        <v>Abdul-Rahim</v>
      </c>
      <c r="M73" s="5"/>
      <c r="N73" s="39" t="str">
        <f t="shared" si="11"/>
        <v/>
      </c>
      <c r="O73" s="5"/>
      <c r="P73" s="39" t="str">
        <f t="shared" si="12"/>
        <v/>
      </c>
      <c r="Q73" s="5"/>
      <c r="R73" s="39" t="str">
        <f t="shared" si="13"/>
        <v/>
      </c>
    </row>
    <row r="74" spans="1:18">
      <c r="A74" s="179" t="s">
        <v>280</v>
      </c>
      <c r="B74" s="185" t="s">
        <v>4973</v>
      </c>
      <c r="C74" s="35" t="str">
        <f t="shared" si="7"/>
        <v>AbdulVahhab</v>
      </c>
      <c r="D74" s="5"/>
      <c r="E74" s="40"/>
      <c r="F74" s="14"/>
      <c r="G74" s="17"/>
      <c r="H74" s="10" t="s">
        <v>8563</v>
      </c>
      <c r="I74" s="4" t="str">
        <f t="shared" si="8"/>
        <v>|ʿAbdu’l-Vahháb|</v>
      </c>
      <c r="J74" s="3" t="str">
        <f t="shared" si="9"/>
        <v>|'Abdu'l-Vahhab|</v>
      </c>
      <c r="K74" s="3" t="str">
        <f t="shared" si="10"/>
        <v>Abdul-Vahhab</v>
      </c>
      <c r="M74" s="5"/>
      <c r="N74" s="39" t="str">
        <f t="shared" si="11"/>
        <v/>
      </c>
      <c r="O74" s="5"/>
      <c r="P74" s="39" t="str">
        <f t="shared" si="12"/>
        <v/>
      </c>
      <c r="Q74" s="5"/>
      <c r="R74" s="39" t="str">
        <f t="shared" si="13"/>
        <v/>
      </c>
    </row>
    <row r="75" spans="1:18">
      <c r="A75" s="179" t="s">
        <v>281</v>
      </c>
      <c r="B75" s="185" t="s">
        <v>4974</v>
      </c>
      <c r="C75" s="35" t="str">
        <f t="shared" si="7"/>
        <v>AbdulVahhabiQazvini</v>
      </c>
      <c r="D75" s="5"/>
      <c r="E75" s="40"/>
      <c r="F75" s="14"/>
      <c r="G75" s="17"/>
      <c r="H75" s="10" t="s">
        <v>8563</v>
      </c>
      <c r="I75" s="4" t="str">
        <f t="shared" si="8"/>
        <v>|ʿAbdu’l-Vahháb-i-Qazvíní|</v>
      </c>
      <c r="J75" s="3" t="str">
        <f t="shared" si="9"/>
        <v>|'Abdu'l-Vahhab-i-Qazvini|</v>
      </c>
      <c r="K75" s="3" t="str">
        <f t="shared" si="10"/>
        <v>Abdul-Vahhab-i-Qazvini</v>
      </c>
      <c r="M75" s="5"/>
      <c r="N75" s="39" t="str">
        <f t="shared" si="11"/>
        <v/>
      </c>
      <c r="O75" s="5"/>
      <c r="P75" s="39" t="str">
        <f t="shared" si="12"/>
        <v/>
      </c>
      <c r="Q75" s="5"/>
      <c r="R75" s="39" t="str">
        <f t="shared" si="13"/>
        <v/>
      </c>
    </row>
    <row r="76" spans="1:18">
      <c r="A76" s="179" t="s">
        <v>282</v>
      </c>
      <c r="B76" s="185" t="s">
        <v>4975</v>
      </c>
      <c r="C76" s="35" t="str">
        <f t="shared" si="7"/>
        <v>AbdulVahhabiShirazi</v>
      </c>
      <c r="D76" s="5"/>
      <c r="E76" s="40"/>
      <c r="F76" s="14"/>
      <c r="G76" s="17"/>
      <c r="H76" s="10" t="s">
        <v>8563</v>
      </c>
      <c r="I76" s="4" t="str">
        <f t="shared" si="8"/>
        <v>|ʿAbdu’l-Vahháb-i-írází|</v>
      </c>
      <c r="J76" s="3" t="str">
        <f t="shared" si="9"/>
        <v>|'Abdu'l-Vahhab-i-Shirazi|</v>
      </c>
      <c r="K76" s="3" t="str">
        <f t="shared" si="10"/>
        <v>Abdul-Vahhab-i-Shirazi</v>
      </c>
      <c r="M76" s="5"/>
      <c r="N76" s="39" t="str">
        <f t="shared" si="11"/>
        <v/>
      </c>
      <c r="O76" s="5"/>
      <c r="P76" s="39" t="str">
        <f t="shared" si="12"/>
        <v/>
      </c>
      <c r="Q76" s="5"/>
      <c r="R76" s="39" t="str">
        <f t="shared" si="13"/>
        <v/>
      </c>
    </row>
    <row r="77" spans="1:18">
      <c r="A77" s="179" t="s">
        <v>283</v>
      </c>
      <c r="B77" s="185" t="s">
        <v>4976</v>
      </c>
      <c r="C77" s="35" t="str">
        <f t="shared" si="7"/>
        <v>AbdulVahhabiTurshizi</v>
      </c>
      <c r="D77" s="5"/>
      <c r="E77" s="40"/>
      <c r="F77" s="14"/>
      <c r="G77" s="17"/>
      <c r="H77" s="10" t="s">
        <v>8563</v>
      </c>
      <c r="I77" s="4" t="str">
        <f t="shared" si="8"/>
        <v>|ʿAbdu’l-Vahháb-i-Turízí|</v>
      </c>
      <c r="J77" s="3" t="str">
        <f t="shared" si="9"/>
        <v>|'Abdu'l-Vahhab-i-Turshizi|</v>
      </c>
      <c r="K77" s="3" t="str">
        <f t="shared" si="10"/>
        <v>Abdul-Vahhab-i-Turshizi</v>
      </c>
      <c r="M77" s="5"/>
      <c r="N77" s="39" t="str">
        <f t="shared" si="11"/>
        <v/>
      </c>
      <c r="O77" s="5"/>
      <c r="P77" s="39" t="str">
        <f t="shared" si="12"/>
        <v/>
      </c>
      <c r="Q77" s="5"/>
      <c r="R77" s="39" t="str">
        <f t="shared" si="13"/>
        <v/>
      </c>
    </row>
    <row r="78" spans="1:18">
      <c r="A78" s="179" t="s">
        <v>284</v>
      </c>
      <c r="B78" s="185" t="s">
        <v>4977</v>
      </c>
      <c r="C78" s="35" t="str">
        <f t="shared" si="7"/>
        <v>AbdulVasi</v>
      </c>
      <c r="D78" s="5"/>
      <c r="E78" s="40"/>
      <c r="F78" s="15"/>
      <c r="G78" s="17"/>
      <c r="H78" s="10" t="s">
        <v>8563</v>
      </c>
      <c r="I78" s="4" t="str">
        <f t="shared" si="8"/>
        <v>|ʿAbdu’l-Vásiʿ|</v>
      </c>
      <c r="J78" s="3" t="str">
        <f t="shared" si="9"/>
        <v>|'Abdu'l-Vasi'|</v>
      </c>
      <c r="K78" s="3" t="str">
        <f t="shared" si="10"/>
        <v>Abdul-Vasi</v>
      </c>
      <c r="M78" s="5"/>
      <c r="N78" s="39" t="str">
        <f t="shared" si="11"/>
        <v/>
      </c>
      <c r="O78" s="5"/>
      <c r="P78" s="39" t="str">
        <f t="shared" si="12"/>
        <v/>
      </c>
      <c r="Q78" s="5"/>
      <c r="R78" s="39" t="str">
        <f t="shared" si="13"/>
        <v/>
      </c>
    </row>
    <row r="79" spans="1:18">
      <c r="A79" s="179" t="s">
        <v>279</v>
      </c>
      <c r="B79" s="185" t="s">
        <v>4978</v>
      </c>
      <c r="C79" s="35" t="str">
        <f t="shared" si="7"/>
        <v>AbdurRahim</v>
      </c>
      <c r="D79" s="5"/>
      <c r="E79" s="40"/>
      <c r="F79" s="14"/>
      <c r="G79" s="17"/>
      <c r="H79" s="10" t="s">
        <v>8563</v>
      </c>
      <c r="I79" s="4" t="str">
        <f t="shared" si="8"/>
        <v>|ʿAbdu’r-Raḥím|</v>
      </c>
      <c r="J79" s="3" t="str">
        <f t="shared" si="9"/>
        <v>|'Abdu'r-Rahim|</v>
      </c>
      <c r="K79" s="3" t="str">
        <f t="shared" si="10"/>
        <v>Abdur-Rahim</v>
      </c>
      <c r="M79" s="5"/>
      <c r="N79" s="39" t="str">
        <f t="shared" si="11"/>
        <v/>
      </c>
      <c r="O79" s="5"/>
      <c r="P79" s="39" t="str">
        <f t="shared" si="12"/>
        <v/>
      </c>
      <c r="Q79" s="5"/>
      <c r="R79" s="39" t="str">
        <f t="shared" si="13"/>
        <v/>
      </c>
    </row>
    <row r="80" spans="1:18">
      <c r="A80" s="179" t="s">
        <v>285</v>
      </c>
      <c r="B80" s="185" t="s">
        <v>4979</v>
      </c>
      <c r="C80" s="35" t="str">
        <f t="shared" si="7"/>
        <v>AbdurRahimiQannad</v>
      </c>
      <c r="D80" s="5"/>
      <c r="E80" s="40"/>
      <c r="F80" s="15"/>
      <c r="G80" s="17"/>
      <c r="H80" s="10" t="s">
        <v>8563</v>
      </c>
      <c r="I80" s="4" t="str">
        <f t="shared" si="8"/>
        <v>|ʿAbdu’r-Raḥím-i-Qannád|</v>
      </c>
      <c r="J80" s="3" t="str">
        <f t="shared" si="9"/>
        <v>|'Abdu'r-Rahim-i-Qannad|</v>
      </c>
      <c r="K80" s="3" t="str">
        <f t="shared" si="10"/>
        <v>Abdur-Rahim-i-Qannad</v>
      </c>
      <c r="M80" s="5"/>
      <c r="N80" s="39" t="str">
        <f t="shared" si="11"/>
        <v/>
      </c>
      <c r="O80" s="5"/>
      <c r="P80" s="39" t="str">
        <f t="shared" si="12"/>
        <v/>
      </c>
      <c r="Q80" s="5"/>
      <c r="R80" s="39" t="str">
        <f t="shared" si="13"/>
        <v/>
      </c>
    </row>
    <row r="81" spans="1:21">
      <c r="A81" s="179" t="s">
        <v>286</v>
      </c>
      <c r="B81" s="185" t="s">
        <v>4980</v>
      </c>
      <c r="C81" s="35" t="str">
        <f t="shared" si="7"/>
        <v>AbdurRahimiYazdi</v>
      </c>
      <c r="D81" s="5"/>
      <c r="E81" s="40"/>
      <c r="F81" s="14"/>
      <c r="G81" s="17"/>
      <c r="H81" s="10" t="s">
        <v>8563</v>
      </c>
      <c r="I81" s="4" t="str">
        <f t="shared" si="8"/>
        <v>|ʿAbdu’r-Raḥím-i-Yazdí|</v>
      </c>
      <c r="J81" s="3" t="str">
        <f t="shared" si="9"/>
        <v>|'Abdu'r-Rahim-i-Yazdi|</v>
      </c>
      <c r="K81" s="3" t="str">
        <f t="shared" si="10"/>
        <v>Abdur-Rahim-i-Yazdi</v>
      </c>
      <c r="M81" s="5"/>
      <c r="N81" s="39" t="str">
        <f t="shared" si="11"/>
        <v/>
      </c>
      <c r="O81" s="5"/>
      <c r="P81" s="39" t="str">
        <f t="shared" si="12"/>
        <v/>
      </c>
      <c r="Q81" s="5"/>
      <c r="R81" s="39" t="str">
        <f t="shared" si="13"/>
        <v/>
      </c>
    </row>
    <row r="82" spans="1:21">
      <c r="A82" s="179" t="s">
        <v>287</v>
      </c>
      <c r="B82" s="185" t="s">
        <v>4981</v>
      </c>
      <c r="C82" s="35" t="str">
        <f t="shared" si="7"/>
        <v>AbdurRahman</v>
      </c>
      <c r="D82" s="5"/>
      <c r="E82" s="40"/>
      <c r="F82" s="15"/>
      <c r="G82" s="17"/>
      <c r="H82" s="10" t="s">
        <v>8563</v>
      </c>
      <c r="I82" s="4" t="str">
        <f t="shared" si="8"/>
        <v>|ʿAbdu’r-Raḥmán|</v>
      </c>
      <c r="J82" s="3" t="str">
        <f t="shared" si="9"/>
        <v>|'Abdu'r-Rahman|</v>
      </c>
      <c r="K82" s="3" t="str">
        <f t="shared" si="10"/>
        <v>Abdur-Rahman</v>
      </c>
      <c r="M82" s="5"/>
      <c r="N82" s="39" t="str">
        <f t="shared" si="11"/>
        <v/>
      </c>
      <c r="O82" s="5"/>
      <c r="P82" s="39" t="str">
        <f t="shared" si="12"/>
        <v/>
      </c>
      <c r="Q82" s="5"/>
      <c r="R82" s="39" t="str">
        <f t="shared" si="13"/>
        <v/>
      </c>
    </row>
    <row r="83" spans="1:21">
      <c r="A83" s="179" t="s">
        <v>288</v>
      </c>
      <c r="B83" s="185" t="s">
        <v>4982</v>
      </c>
      <c r="C83" s="35" t="str">
        <f t="shared" si="7"/>
        <v>AbdurRahmaniKarkuti</v>
      </c>
      <c r="D83" s="5"/>
      <c r="E83" s="40"/>
      <c r="F83" s="15"/>
      <c r="G83" s="17"/>
      <c r="H83" s="10" t="s">
        <v>8563</v>
      </c>
      <c r="I83" s="4" t="str">
        <f t="shared" si="8"/>
        <v>|ʿAbdu’r-Raḥmán-i-Kárkútí|</v>
      </c>
      <c r="J83" s="3" t="str">
        <f t="shared" si="9"/>
        <v>|'Abdu'r-Rahman-i-Karkuti|</v>
      </c>
      <c r="K83" s="3" t="str">
        <f t="shared" si="10"/>
        <v>Abdur-Rahman-i-Karkuti</v>
      </c>
      <c r="M83" s="5"/>
      <c r="N83" s="39" t="str">
        <f t="shared" si="11"/>
        <v/>
      </c>
      <c r="O83" s="5"/>
      <c r="P83" s="39" t="str">
        <f t="shared" si="12"/>
        <v/>
      </c>
      <c r="Q83" s="5"/>
      <c r="R83" s="39" t="str">
        <f t="shared" si="13"/>
        <v/>
      </c>
    </row>
    <row r="84" spans="1:21">
      <c r="A84" s="179" t="s">
        <v>289</v>
      </c>
      <c r="B84" s="185" t="s">
        <v>4983</v>
      </c>
      <c r="C84" s="35" t="str">
        <f t="shared" si="7"/>
        <v>AbdurRasul</v>
      </c>
      <c r="D84" s="5"/>
      <c r="E84" s="40"/>
      <c r="F84" s="15"/>
      <c r="G84" s="17"/>
      <c r="H84" s="10" t="s">
        <v>8563</v>
      </c>
      <c r="I84" s="4" t="str">
        <f t="shared" si="8"/>
        <v>|ʿAbdu’r-Rasúl|</v>
      </c>
      <c r="J84" s="3" t="str">
        <f t="shared" si="9"/>
        <v>|'Abdu'r-Rasul|</v>
      </c>
      <c r="K84" s="3" t="str">
        <f t="shared" si="10"/>
        <v>Abdur-Rasul</v>
      </c>
      <c r="M84" s="5"/>
      <c r="N84" s="39" t="str">
        <f t="shared" si="11"/>
        <v/>
      </c>
      <c r="O84" s="5"/>
      <c r="P84" s="39" t="str">
        <f t="shared" si="12"/>
        <v/>
      </c>
      <c r="Q84" s="5"/>
      <c r="R84" s="39" t="str">
        <f t="shared" si="13"/>
        <v/>
      </c>
    </row>
    <row r="85" spans="1:21">
      <c r="A85" s="179" t="s">
        <v>290</v>
      </c>
      <c r="B85" s="185" t="s">
        <v>4984</v>
      </c>
      <c r="C85" s="35" t="str">
        <f t="shared" si="7"/>
        <v>AbdurRasuliQumi</v>
      </c>
      <c r="D85" s="5"/>
      <c r="E85" s="40"/>
      <c r="F85" s="14"/>
      <c r="G85" s="17"/>
      <c r="H85" s="10" t="s">
        <v>8563</v>
      </c>
      <c r="I85" s="4" t="str">
        <f t="shared" si="8"/>
        <v>|ʿAbdu’r-Rasúl-i-Qumí|</v>
      </c>
      <c r="J85" s="3" t="str">
        <f t="shared" si="9"/>
        <v>|'Abdu'r-Rasul-i-Qumi|</v>
      </c>
      <c r="K85" s="3" t="str">
        <f t="shared" si="10"/>
        <v>Abdur-Rasul-i-Qumi</v>
      </c>
      <c r="M85" s="5"/>
      <c r="N85" s="39" t="str">
        <f t="shared" si="11"/>
        <v/>
      </c>
      <c r="O85" s="5"/>
      <c r="P85" s="39" t="str">
        <f t="shared" si="12"/>
        <v/>
      </c>
      <c r="Q85" s="5"/>
      <c r="R85" s="39" t="str">
        <f t="shared" si="13"/>
        <v/>
      </c>
    </row>
    <row r="86" spans="1:21">
      <c r="A86" s="179" t="s">
        <v>291</v>
      </c>
      <c r="B86" s="185" t="s">
        <v>4985</v>
      </c>
      <c r="C86" s="35" t="str">
        <f t="shared" si="7"/>
        <v>AbdurRazzaq</v>
      </c>
      <c r="D86" s="5"/>
      <c r="E86" s="40"/>
      <c r="F86" s="15"/>
      <c r="G86" s="17"/>
      <c r="H86" s="10" t="s">
        <v>8563</v>
      </c>
      <c r="I86" s="4" t="str">
        <f t="shared" si="8"/>
        <v>|ʿAbdu’r-Razzáq|</v>
      </c>
      <c r="J86" s="3" t="str">
        <f t="shared" si="9"/>
        <v>|'Abdu'r-Razzaq|</v>
      </c>
      <c r="K86" s="3" t="str">
        <f t="shared" si="10"/>
        <v>Abdur-Razzaq</v>
      </c>
      <c r="M86" s="5"/>
      <c r="N86" s="39" t="str">
        <f t="shared" si="11"/>
        <v/>
      </c>
      <c r="O86" s="5"/>
      <c r="P86" s="39" t="str">
        <f t="shared" si="12"/>
        <v/>
      </c>
      <c r="Q86" s="5"/>
      <c r="R86" s="39" t="str">
        <f t="shared" si="13"/>
        <v/>
      </c>
    </row>
    <row r="87" spans="1:21">
      <c r="A87" s="179" t="s">
        <v>296</v>
      </c>
      <c r="B87" s="185" t="s">
        <v>4990</v>
      </c>
      <c r="C87" s="35" t="str">
        <f t="shared" si="7"/>
        <v>AbdusSamadiHamadani</v>
      </c>
      <c r="D87" s="5"/>
      <c r="E87" s="40"/>
      <c r="F87" s="14"/>
      <c r="G87" s="17"/>
      <c r="H87" s="10" t="s">
        <v>8563</v>
      </c>
      <c r="I87" s="4" t="str">
        <f t="shared" si="8"/>
        <v>|ʿAbdu’ṣ -Ṣamad-i-Hamadání|</v>
      </c>
      <c r="J87" s="3" t="str">
        <f t="shared" si="9"/>
        <v>|'Abdu's -Samad-i-Hamadani|</v>
      </c>
      <c r="K87" s="3" t="str">
        <f t="shared" si="10"/>
        <v>Abdus -Samad-i-Hamadani</v>
      </c>
      <c r="M87" s="5"/>
      <c r="N87" s="39" t="str">
        <f t="shared" si="11"/>
        <v/>
      </c>
      <c r="O87" s="5"/>
      <c r="P87" s="39" t="str">
        <f t="shared" si="12"/>
        <v/>
      </c>
      <c r="Q87" s="5"/>
      <c r="R87" s="39" t="str">
        <f t="shared" si="13"/>
        <v/>
      </c>
    </row>
    <row r="88" spans="1:21">
      <c r="A88" s="179" t="s">
        <v>293</v>
      </c>
      <c r="B88" s="185" t="s">
        <v>4987</v>
      </c>
      <c r="C88" s="35" t="str">
        <f t="shared" si="7"/>
        <v>AbdushShams</v>
      </c>
      <c r="D88" s="5"/>
      <c r="E88" s="40"/>
      <c r="F88" s="15"/>
      <c r="G88" s="17"/>
      <c r="H88" s="10" t="s">
        <v>8563</v>
      </c>
      <c r="I88" s="4" t="str">
        <f t="shared" si="8"/>
        <v>|ʿAbdu’-ams|</v>
      </c>
      <c r="J88" s="3" t="str">
        <f t="shared" si="9"/>
        <v>|'Abdu'sh-Shams|</v>
      </c>
      <c r="K88" s="3" t="str">
        <f t="shared" si="10"/>
        <v>Abdush-Shams</v>
      </c>
      <c r="M88" s="5"/>
      <c r="N88" s="39" t="str">
        <f t="shared" si="11"/>
        <v/>
      </c>
      <c r="O88" s="5"/>
      <c r="P88" s="39" t="str">
        <f t="shared" si="12"/>
        <v/>
      </c>
      <c r="Q88" s="5"/>
      <c r="R88" s="39" t="str">
        <f t="shared" si="13"/>
        <v/>
      </c>
    </row>
    <row r="89" spans="1:21">
      <c r="A89" s="179" t="s">
        <v>292</v>
      </c>
      <c r="B89" s="185" t="s">
        <v>4986</v>
      </c>
      <c r="C89" s="35" t="str">
        <f t="shared" si="7"/>
        <v>AbdusSalam</v>
      </c>
      <c r="D89" s="5"/>
      <c r="E89" s="40"/>
      <c r="F89" s="14"/>
      <c r="G89" s="17"/>
      <c r="H89" s="10" t="s">
        <v>8563</v>
      </c>
      <c r="I89" s="4" t="str">
        <f t="shared" si="8"/>
        <v>|ʿAbdu’s-Salám|</v>
      </c>
      <c r="J89" s="3" t="str">
        <f t="shared" si="9"/>
        <v>|'Abdu's-Salam|</v>
      </c>
      <c r="K89" s="3" t="str">
        <f t="shared" si="10"/>
        <v>Abdus-Salam</v>
      </c>
      <c r="M89" s="5"/>
      <c r="N89" s="39" t="str">
        <f t="shared" si="11"/>
        <v/>
      </c>
      <c r="O89" s="5"/>
      <c r="P89" s="39" t="str">
        <f t="shared" si="12"/>
        <v/>
      </c>
      <c r="Q89" s="5"/>
      <c r="R89" s="39" t="str">
        <f t="shared" si="13"/>
        <v/>
      </c>
    </row>
    <row r="90" spans="1:21">
      <c r="A90" s="179" t="s">
        <v>294</v>
      </c>
      <c r="B90" s="185" t="s">
        <v>4988</v>
      </c>
      <c r="C90" s="35" t="str">
        <f t="shared" si="7"/>
        <v>AbdusSalih</v>
      </c>
      <c r="D90" s="5"/>
      <c r="E90" s="40"/>
      <c r="F90" s="15"/>
      <c r="G90" s="17"/>
      <c r="H90" s="10" t="s">
        <v>8563</v>
      </c>
      <c r="I90" s="4" t="str">
        <f t="shared" si="8"/>
        <v>|ʿAbdu’ṣ-Ṣáliḥ|</v>
      </c>
      <c r="J90" s="3" t="str">
        <f t="shared" si="9"/>
        <v>|'Abdu's-Salih|</v>
      </c>
      <c r="K90" s="3" t="str">
        <f t="shared" si="10"/>
        <v>Abdus-Salih</v>
      </c>
      <c r="M90" s="5"/>
      <c r="N90" s="39" t="str">
        <f t="shared" si="11"/>
        <v/>
      </c>
      <c r="O90" s="5"/>
      <c r="P90" s="39" t="str">
        <f t="shared" si="12"/>
        <v/>
      </c>
      <c r="Q90" s="5"/>
      <c r="R90" s="39" t="str">
        <f t="shared" si="13"/>
        <v/>
      </c>
    </row>
    <row r="91" spans="1:21">
      <c r="A91" s="179" t="s">
        <v>295</v>
      </c>
      <c r="B91" s="185" t="s">
        <v>4989</v>
      </c>
      <c r="C91" s="35" t="str">
        <f t="shared" si="7"/>
        <v>AbdusSamad</v>
      </c>
      <c r="D91" s="5"/>
      <c r="E91" s="40"/>
      <c r="F91" s="15"/>
      <c r="G91" s="17"/>
      <c r="H91" s="10" t="s">
        <v>8563</v>
      </c>
      <c r="I91" s="4" t="str">
        <f t="shared" si="8"/>
        <v>|ʿAbdu’ṣ-Ṣamad|</v>
      </c>
      <c r="J91" s="3" t="str">
        <f t="shared" si="9"/>
        <v>|'Abdu's-Samad|</v>
      </c>
      <c r="K91" s="3" t="str">
        <f t="shared" si="10"/>
        <v>Abdus-Samad</v>
      </c>
      <c r="M91" s="5"/>
      <c r="N91" s="39" t="str">
        <f t="shared" si="11"/>
        <v/>
      </c>
      <c r="O91" s="5"/>
      <c r="P91" s="39" t="str">
        <f t="shared" si="12"/>
        <v/>
      </c>
      <c r="Q91" s="5"/>
      <c r="R91" s="39" t="str">
        <f t="shared" si="13"/>
        <v/>
      </c>
    </row>
    <row r="92" spans="1:21">
      <c r="A92" s="179" t="s">
        <v>297</v>
      </c>
      <c r="B92" s="185" t="s">
        <v>4991</v>
      </c>
      <c r="C92" s="35" t="str">
        <f t="shared" si="7"/>
        <v>Abgusht</v>
      </c>
      <c r="D92" s="5"/>
      <c r="E92" s="40"/>
      <c r="F92" s="15" t="s">
        <v>298</v>
      </c>
      <c r="G92" s="17"/>
      <c r="H92" s="10" t="s">
        <v>8563</v>
      </c>
      <c r="I92" s="4" t="str">
        <f t="shared" si="8"/>
        <v>|Ábgút|</v>
      </c>
      <c r="J92" s="3" t="str">
        <f t="shared" si="9"/>
        <v>|Abgusht|</v>
      </c>
      <c r="K92" s="3" t="str">
        <f t="shared" si="10"/>
        <v>Abgusht</v>
      </c>
      <c r="M92" s="5"/>
      <c r="N92" s="39" t="str">
        <f t="shared" si="11"/>
        <v/>
      </c>
      <c r="O92" s="5"/>
      <c r="P92" s="39" t="str">
        <f t="shared" si="12"/>
        <v/>
      </c>
      <c r="Q92" s="5"/>
      <c r="R92" s="39" t="str">
        <f t="shared" si="13"/>
        <v/>
      </c>
    </row>
    <row r="93" spans="1:21">
      <c r="A93" s="179" t="s">
        <v>299</v>
      </c>
      <c r="B93" s="185" t="s">
        <v>60</v>
      </c>
      <c r="C93" s="35" t="str">
        <f t="shared" si="7"/>
        <v>Abha</v>
      </c>
      <c r="D93" s="5"/>
      <c r="E93" s="40"/>
      <c r="F93" s="14" t="s">
        <v>300</v>
      </c>
      <c r="G93" s="17"/>
      <c r="H93" s="10" t="s">
        <v>8563</v>
      </c>
      <c r="I93" s="4" t="str">
        <f t="shared" si="8"/>
        <v>|Abhá|</v>
      </c>
      <c r="J93" s="3" t="str">
        <f t="shared" si="9"/>
        <v>|Abha|</v>
      </c>
      <c r="K93" s="3" t="str">
        <f t="shared" si="10"/>
        <v>Abha</v>
      </c>
      <c r="M93" s="5"/>
      <c r="N93" s="39" t="str">
        <f t="shared" si="11"/>
        <v/>
      </c>
      <c r="O93" s="5"/>
      <c r="P93" s="39" t="str">
        <f t="shared" si="12"/>
        <v/>
      </c>
      <c r="Q93" s="5"/>
      <c r="R93" s="39" t="str">
        <f t="shared" si="13"/>
        <v/>
      </c>
      <c r="T93" s="29">
        <v>41800</v>
      </c>
      <c r="U93" s="28" t="s">
        <v>9414</v>
      </c>
    </row>
    <row r="94" spans="1:21">
      <c r="A94" s="179" t="s">
        <v>301</v>
      </c>
      <c r="B94" s="185" t="s">
        <v>72</v>
      </c>
      <c r="C94" s="35" t="str">
        <f t="shared" si="7"/>
        <v>Abi</v>
      </c>
      <c r="D94" s="5"/>
      <c r="E94" s="40"/>
      <c r="F94" s="14" t="s">
        <v>206</v>
      </c>
      <c r="G94" s="17"/>
      <c r="H94" s="10" t="s">
        <v>8563</v>
      </c>
      <c r="I94" s="4" t="str">
        <f t="shared" si="8"/>
        <v>|Abí|</v>
      </c>
      <c r="J94" s="3" t="str">
        <f t="shared" si="9"/>
        <v>|Abi|</v>
      </c>
      <c r="K94" s="3" t="str">
        <f t="shared" si="10"/>
        <v>Abi</v>
      </c>
      <c r="M94" s="5"/>
      <c r="N94" s="39" t="str">
        <f t="shared" si="11"/>
        <v/>
      </c>
      <c r="O94" s="5"/>
      <c r="P94" s="39" t="str">
        <f t="shared" si="12"/>
        <v/>
      </c>
      <c r="Q94" s="5"/>
      <c r="R94" s="39" t="str">
        <f t="shared" si="13"/>
        <v/>
      </c>
    </row>
    <row r="95" spans="1:21">
      <c r="A95" s="179" t="s">
        <v>302</v>
      </c>
      <c r="B95" s="185" t="s">
        <v>4992</v>
      </c>
      <c r="C95" s="35" t="str">
        <f t="shared" si="7"/>
        <v>Abi</v>
      </c>
      <c r="D95" s="5"/>
      <c r="E95" s="40"/>
      <c r="F95" s="14"/>
      <c r="G95" s="17" t="s">
        <v>9124</v>
      </c>
      <c r="H95" s="10" t="s">
        <v>8563</v>
      </c>
      <c r="I95" s="4" t="str">
        <f t="shared" si="8"/>
        <v>|Ábí|</v>
      </c>
      <c r="J95" s="3" t="str">
        <f t="shared" si="9"/>
        <v>|Abi|</v>
      </c>
      <c r="K95" s="3" t="str">
        <f t="shared" si="10"/>
        <v>Abi</v>
      </c>
      <c r="M95" s="5"/>
      <c r="N95" s="39" t="str">
        <f t="shared" si="11"/>
        <v/>
      </c>
      <c r="O95" s="5"/>
      <c r="P95" s="39" t="str">
        <f t="shared" si="12"/>
        <v/>
      </c>
      <c r="Q95" s="5"/>
      <c r="R95" s="39" t="str">
        <f t="shared" si="13"/>
        <v/>
      </c>
    </row>
    <row r="96" spans="1:21">
      <c r="A96" s="179" t="s">
        <v>303</v>
      </c>
      <c r="B96" s="185" t="s">
        <v>4993</v>
      </c>
      <c r="C96" s="35" t="str">
        <f t="shared" si="7"/>
        <v>AbiAbdullah</v>
      </c>
      <c r="D96" s="5"/>
      <c r="E96" s="40"/>
      <c r="F96" s="15" t="s">
        <v>304</v>
      </c>
      <c r="G96" s="17"/>
      <c r="H96" s="10" t="s">
        <v>8563</v>
      </c>
      <c r="I96" s="4" t="str">
        <f t="shared" si="8"/>
        <v>|Abí-ʿAbdu’lláh|</v>
      </c>
      <c r="J96" s="3" t="str">
        <f t="shared" si="9"/>
        <v>|Abi-'Abdu'llah|</v>
      </c>
      <c r="K96" s="3" t="str">
        <f t="shared" si="10"/>
        <v>Abi-Abdullah</v>
      </c>
      <c r="M96" s="5"/>
      <c r="N96" s="39" t="str">
        <f t="shared" si="11"/>
        <v/>
      </c>
      <c r="O96" s="5"/>
      <c r="P96" s="39" t="str">
        <f t="shared" si="12"/>
        <v/>
      </c>
      <c r="Q96" s="5"/>
      <c r="R96" s="39" t="str">
        <f t="shared" si="13"/>
        <v/>
      </c>
    </row>
    <row r="97" spans="1:18">
      <c r="A97" s="179" t="s">
        <v>305</v>
      </c>
      <c r="B97" s="185" t="s">
        <v>4994</v>
      </c>
      <c r="C97" s="35" t="str">
        <f t="shared" si="7"/>
        <v>Abid</v>
      </c>
      <c r="D97" s="5"/>
      <c r="E97" s="40"/>
      <c r="F97" s="15" t="s">
        <v>306</v>
      </c>
      <c r="G97" s="17"/>
      <c r="H97" s="10" t="s">
        <v>8563</v>
      </c>
      <c r="I97" s="4" t="str">
        <f t="shared" si="8"/>
        <v>|ʿÁbid|</v>
      </c>
      <c r="J97" s="3" t="str">
        <f t="shared" si="9"/>
        <v>|'Abid|</v>
      </c>
      <c r="K97" s="3" t="str">
        <f t="shared" si="10"/>
        <v>Abid</v>
      </c>
      <c r="M97" s="5"/>
      <c r="N97" s="39" t="str">
        <f t="shared" si="11"/>
        <v/>
      </c>
      <c r="O97" s="5"/>
      <c r="P97" s="39" t="str">
        <f t="shared" si="12"/>
        <v/>
      </c>
      <c r="Q97" s="5"/>
      <c r="R97" s="39" t="str">
        <f t="shared" si="13"/>
        <v/>
      </c>
    </row>
    <row r="98" spans="1:18">
      <c r="A98" s="179" t="s">
        <v>307</v>
      </c>
      <c r="B98" s="185" t="s">
        <v>8875</v>
      </c>
      <c r="C98" s="35" t="str">
        <f t="shared" si="7"/>
        <v>Abidayn</v>
      </c>
      <c r="D98" s="5"/>
      <c r="E98" s="40"/>
      <c r="F98" s="15" t="s">
        <v>308</v>
      </c>
      <c r="G98" s="17"/>
      <c r="H98" s="10" t="s">
        <v>8563</v>
      </c>
      <c r="I98" s="4" t="str">
        <f t="shared" si="8"/>
        <v>|ʿÁbidayn|</v>
      </c>
      <c r="J98" s="3" t="str">
        <f t="shared" si="9"/>
        <v>|'Abidayn|</v>
      </c>
      <c r="K98" s="3" t="str">
        <f t="shared" si="10"/>
        <v>Abidayn</v>
      </c>
      <c r="M98" s="5"/>
      <c r="N98" s="39" t="str">
        <f t="shared" si="11"/>
        <v/>
      </c>
      <c r="O98" s="5"/>
      <c r="P98" s="39" t="str">
        <f t="shared" si="12"/>
        <v/>
      </c>
      <c r="Q98" s="5"/>
      <c r="R98" s="39" t="str">
        <f t="shared" si="13"/>
        <v/>
      </c>
    </row>
    <row r="99" spans="1:18">
      <c r="A99" s="179" t="s">
        <v>309</v>
      </c>
      <c r="B99" s="185" t="s">
        <v>150</v>
      </c>
      <c r="C99" s="35" t="str">
        <f t="shared" si="7"/>
        <v>AbiGhafrayiTai</v>
      </c>
      <c r="D99" s="5"/>
      <c r="E99" s="40"/>
      <c r="F99" s="15"/>
      <c r="G99" s="17"/>
      <c r="H99" s="10" t="s">
        <v>8563</v>
      </c>
      <c r="I99" s="4" t="str">
        <f t="shared" si="8"/>
        <v>|Abí-afráy-i-Tá’í|</v>
      </c>
      <c r="J99" s="3" t="str">
        <f t="shared" si="9"/>
        <v>|Abi-Ghafray-i-Ta'i|</v>
      </c>
      <c r="K99" s="3" t="str">
        <f t="shared" si="10"/>
        <v>Abi-Ghafray-i-Tai</v>
      </c>
      <c r="M99" s="5"/>
      <c r="N99" s="39" t="str">
        <f t="shared" si="11"/>
        <v/>
      </c>
      <c r="O99" s="5"/>
      <c r="P99" s="39" t="str">
        <f t="shared" si="12"/>
        <v/>
      </c>
      <c r="Q99" s="5"/>
      <c r="R99" s="39" t="str">
        <f t="shared" si="13"/>
        <v/>
      </c>
    </row>
    <row r="100" spans="1:18">
      <c r="A100" s="179" t="s">
        <v>310</v>
      </c>
      <c r="B100" s="185" t="s">
        <v>8835</v>
      </c>
      <c r="C100" s="35" t="str">
        <f t="shared" si="7"/>
        <v>AbirAmiz</v>
      </c>
      <c r="D100" s="5"/>
      <c r="E100" s="40"/>
      <c r="F100" s="15" t="s">
        <v>8566</v>
      </c>
      <c r="G100" s="17"/>
      <c r="H100" s="10" t="s">
        <v>8563</v>
      </c>
      <c r="I100" s="4" t="str">
        <f t="shared" si="8"/>
        <v>|ʿAbír-Ámíz|</v>
      </c>
      <c r="J100" s="3" t="str">
        <f t="shared" si="9"/>
        <v>|'Abir-Amiz|</v>
      </c>
      <c r="K100" s="3" t="str">
        <f t="shared" si="10"/>
        <v>Abir-Amiz</v>
      </c>
      <c r="M100" s="5"/>
      <c r="N100" s="39" t="str">
        <f t="shared" si="11"/>
        <v/>
      </c>
      <c r="O100" s="5"/>
      <c r="P100" s="39" t="str">
        <f t="shared" si="12"/>
        <v/>
      </c>
      <c r="Q100" s="5"/>
      <c r="R100" s="39" t="str">
        <f t="shared" si="13"/>
        <v/>
      </c>
    </row>
    <row r="101" spans="1:18">
      <c r="A101" s="179" t="s">
        <v>311</v>
      </c>
      <c r="B101" s="185" t="s">
        <v>4995</v>
      </c>
      <c r="C101" s="35" t="str">
        <f t="shared" si="7"/>
        <v>Abivard</v>
      </c>
      <c r="D101" s="5"/>
      <c r="E101" s="40"/>
      <c r="F101" s="14"/>
      <c r="G101" s="17"/>
      <c r="H101" s="10" t="s">
        <v>8563</v>
      </c>
      <c r="I101" s="4" t="str">
        <f t="shared" si="8"/>
        <v>|Ábívard|</v>
      </c>
      <c r="J101" s="3" t="str">
        <f t="shared" si="9"/>
        <v>|Abivard|</v>
      </c>
      <c r="K101" s="3" t="str">
        <f t="shared" si="10"/>
        <v>Abivard</v>
      </c>
      <c r="M101" s="5"/>
      <c r="N101" s="39" t="str">
        <f t="shared" si="11"/>
        <v/>
      </c>
      <c r="O101" s="5"/>
      <c r="P101" s="39" t="str">
        <f t="shared" si="12"/>
        <v/>
      </c>
      <c r="Q101" s="5"/>
      <c r="R101" s="39" t="str">
        <f t="shared" si="13"/>
        <v/>
      </c>
    </row>
    <row r="102" spans="1:18">
      <c r="A102" s="179" t="s">
        <v>313</v>
      </c>
      <c r="B102" s="185" t="s">
        <v>61</v>
      </c>
      <c r="C102" s="35" t="str">
        <f t="shared" si="7"/>
        <v>Abu</v>
      </c>
      <c r="D102" s="5"/>
      <c r="E102" s="40"/>
      <c r="F102" s="14" t="s">
        <v>206</v>
      </c>
      <c r="G102" s="17"/>
      <c r="H102" s="10" t="s">
        <v>8563</v>
      </c>
      <c r="I102" s="4" t="str">
        <f t="shared" si="8"/>
        <v>|Abú|</v>
      </c>
      <c r="J102" s="3" t="str">
        <f t="shared" si="9"/>
        <v>|Abu|</v>
      </c>
      <c r="K102" s="3" t="str">
        <f t="shared" si="10"/>
        <v>Abu</v>
      </c>
      <c r="M102" s="5"/>
      <c r="N102" s="39" t="str">
        <f t="shared" si="11"/>
        <v/>
      </c>
      <c r="O102" s="5"/>
      <c r="P102" s="39" t="str">
        <f t="shared" si="12"/>
        <v/>
      </c>
      <c r="Q102" s="5"/>
      <c r="R102" s="39" t="str">
        <f t="shared" si="13"/>
        <v/>
      </c>
    </row>
    <row r="103" spans="1:18">
      <c r="A103" s="179" t="s">
        <v>314</v>
      </c>
      <c r="B103" s="185" t="s">
        <v>4996</v>
      </c>
      <c r="C103" s="35" t="str">
        <f t="shared" si="7"/>
        <v>AbuAbdullah</v>
      </c>
      <c r="D103" s="5"/>
      <c r="E103" s="40"/>
      <c r="F103" s="15"/>
      <c r="G103" s="17"/>
      <c r="H103" s="10" t="s">
        <v>8563</v>
      </c>
      <c r="I103" s="4" t="str">
        <f t="shared" si="8"/>
        <v>|Abú-ʿAbdu’lláh|</v>
      </c>
      <c r="J103" s="3" t="str">
        <f t="shared" si="9"/>
        <v>|Abu-'Abdu'llah|</v>
      </c>
      <c r="K103" s="3" t="str">
        <f t="shared" si="10"/>
        <v>Abu-Abdullah</v>
      </c>
      <c r="M103" s="5"/>
      <c r="N103" s="39" t="str">
        <f t="shared" si="11"/>
        <v/>
      </c>
      <c r="O103" s="5"/>
      <c r="P103" s="39" t="str">
        <f t="shared" si="12"/>
        <v/>
      </c>
      <c r="Q103" s="5"/>
      <c r="R103" s="39" t="str">
        <f t="shared" si="13"/>
        <v/>
      </c>
    </row>
    <row r="104" spans="1:18">
      <c r="A104" s="179" t="s">
        <v>315</v>
      </c>
      <c r="B104" s="185" t="s">
        <v>4997</v>
      </c>
      <c r="C104" s="35" t="str">
        <f t="shared" si="7"/>
        <v>AbuAli</v>
      </c>
      <c r="D104" s="5"/>
      <c r="E104" s="40"/>
      <c r="F104" s="14"/>
      <c r="G104" s="17"/>
      <c r="H104" s="10" t="s">
        <v>8563</v>
      </c>
      <c r="I104" s="4" t="str">
        <f t="shared" si="8"/>
        <v>|Abú-ʿAlí|</v>
      </c>
      <c r="J104" s="3" t="str">
        <f t="shared" si="9"/>
        <v>|Abu-'Ali|</v>
      </c>
      <c r="K104" s="3" t="str">
        <f t="shared" si="10"/>
        <v>Abu-Ali</v>
      </c>
      <c r="M104" s="5"/>
      <c r="N104" s="39" t="str">
        <f t="shared" si="11"/>
        <v/>
      </c>
      <c r="O104" s="5"/>
      <c r="P104" s="39" t="str">
        <f t="shared" si="12"/>
        <v/>
      </c>
      <c r="Q104" s="5"/>
      <c r="R104" s="39" t="str">
        <f t="shared" si="13"/>
        <v/>
      </c>
    </row>
    <row r="105" spans="1:18">
      <c r="A105" s="179" t="s">
        <v>316</v>
      </c>
      <c r="B105" s="185" t="s">
        <v>4998</v>
      </c>
      <c r="C105" s="35" t="str">
        <f t="shared" si="7"/>
        <v>AbuAmir</v>
      </c>
      <c r="D105" s="5"/>
      <c r="E105" s="40"/>
      <c r="F105" s="14" t="s">
        <v>9061</v>
      </c>
      <c r="G105" s="17" t="s">
        <v>9123</v>
      </c>
      <c r="H105" s="10" t="s">
        <v>8563</v>
      </c>
      <c r="I105" s="4" t="str">
        <f t="shared" si="8"/>
        <v>|Abú-Amír|</v>
      </c>
      <c r="J105" s="3" t="str">
        <f t="shared" si="9"/>
        <v>|Abu-Amir|</v>
      </c>
      <c r="K105" s="3" t="str">
        <f t="shared" si="10"/>
        <v>Abu-Amir</v>
      </c>
      <c r="M105" s="5"/>
      <c r="N105" s="39" t="str">
        <f t="shared" si="11"/>
        <v/>
      </c>
      <c r="O105" s="5"/>
      <c r="P105" s="39" t="str">
        <f t="shared" si="12"/>
        <v/>
      </c>
      <c r="Q105" s="5"/>
      <c r="R105" s="39" t="str">
        <f t="shared" si="13"/>
        <v/>
      </c>
    </row>
    <row r="106" spans="1:18">
      <c r="A106" s="179" t="s">
        <v>317</v>
      </c>
      <c r="B106" s="185" t="s">
        <v>4999</v>
      </c>
      <c r="C106" s="35" t="str">
        <f t="shared" si="7"/>
        <v>AbuAmir</v>
      </c>
      <c r="D106" s="5"/>
      <c r="E106" s="40"/>
      <c r="F106" s="15" t="s">
        <v>9062</v>
      </c>
      <c r="G106" s="17"/>
      <c r="H106" s="10" t="s">
        <v>8563</v>
      </c>
      <c r="I106" s="4" t="str">
        <f t="shared" si="8"/>
        <v>|Abú-ʿÁmir|</v>
      </c>
      <c r="J106" s="3" t="str">
        <f t="shared" si="9"/>
        <v>|Abu-'Amir|</v>
      </c>
      <c r="K106" s="3" t="str">
        <f t="shared" si="10"/>
        <v>Abu-Amir</v>
      </c>
      <c r="M106" s="5"/>
      <c r="N106" s="39" t="str">
        <f t="shared" si="11"/>
        <v/>
      </c>
      <c r="O106" s="5"/>
      <c r="P106" s="39" t="str">
        <f t="shared" si="12"/>
        <v/>
      </c>
      <c r="Q106" s="5"/>
      <c r="R106" s="39" t="str">
        <f t="shared" si="13"/>
        <v/>
      </c>
    </row>
    <row r="107" spans="1:18">
      <c r="A107" s="179" t="s">
        <v>318</v>
      </c>
      <c r="B107" s="185" t="s">
        <v>5000</v>
      </c>
      <c r="C107" s="35" t="str">
        <f t="shared" si="7"/>
        <v>AbuBakr</v>
      </c>
      <c r="D107" s="5"/>
      <c r="E107" s="40"/>
      <c r="F107" s="14"/>
      <c r="G107" s="17"/>
      <c r="H107" s="10" t="s">
        <v>8563</v>
      </c>
      <c r="I107" s="4" t="str">
        <f t="shared" si="8"/>
        <v>|Abú-Bakr|</v>
      </c>
      <c r="J107" s="3" t="str">
        <f t="shared" si="9"/>
        <v>|Abu-Bakr|</v>
      </c>
      <c r="K107" s="3" t="str">
        <f t="shared" si="10"/>
        <v>Abu-Bakr</v>
      </c>
      <c r="M107" s="5"/>
      <c r="N107" s="39" t="str">
        <f t="shared" si="11"/>
        <v/>
      </c>
      <c r="O107" s="5"/>
      <c r="P107" s="39" t="str">
        <f t="shared" si="12"/>
        <v/>
      </c>
      <c r="Q107" s="5"/>
      <c r="R107" s="39" t="str">
        <f t="shared" si="13"/>
        <v/>
      </c>
    </row>
    <row r="108" spans="1:18">
      <c r="A108" s="179" t="s">
        <v>319</v>
      </c>
      <c r="B108" s="185" t="s">
        <v>5001</v>
      </c>
      <c r="C108" s="35" t="str">
        <f t="shared" si="7"/>
        <v>AbuBakrisSiddiqibniAbiQahafih</v>
      </c>
      <c r="D108" s="5"/>
      <c r="E108" s="40"/>
      <c r="F108" s="15"/>
      <c r="G108" s="17"/>
      <c r="H108" s="10" t="s">
        <v>8563</v>
      </c>
      <c r="I108" s="4" t="str">
        <f t="shared" si="8"/>
        <v>|Abú-Bakri’s-Siddíq-ibn-i-Abí-Qaḥáfih|</v>
      </c>
      <c r="J108" s="3" t="str">
        <f t="shared" si="9"/>
        <v>|Abu-Bakri's-Siddiq-ibn-i-Abi-Qahafih|</v>
      </c>
      <c r="K108" s="3" t="str">
        <f t="shared" si="10"/>
        <v>Abu-Bakris-Siddiq-ibn-i-Abi-Qahafih</v>
      </c>
      <c r="M108" s="5"/>
      <c r="N108" s="39" t="str">
        <f t="shared" si="11"/>
        <v/>
      </c>
      <c r="O108" s="5"/>
      <c r="P108" s="39" t="str">
        <f t="shared" si="12"/>
        <v/>
      </c>
      <c r="Q108" s="5"/>
      <c r="R108" s="39" t="str">
        <f t="shared" si="13"/>
        <v/>
      </c>
    </row>
    <row r="109" spans="1:18">
      <c r="A109" s="179" t="s">
        <v>320</v>
      </c>
      <c r="B109" s="185" t="s">
        <v>5002</v>
      </c>
      <c r="C109" s="35" t="str">
        <f t="shared" si="7"/>
        <v>AbuDhar</v>
      </c>
      <c r="D109" s="5"/>
      <c r="E109" s="40"/>
      <c r="F109" s="14"/>
      <c r="G109" s="17"/>
      <c r="H109" s="10" t="s">
        <v>8563</v>
      </c>
      <c r="I109" s="4" t="str">
        <f t="shared" si="8"/>
        <v>|Abú-ar|</v>
      </c>
      <c r="J109" s="3" t="str">
        <f t="shared" si="9"/>
        <v>|Abu-Dhar|</v>
      </c>
      <c r="K109" s="3" t="str">
        <f t="shared" si="10"/>
        <v>Abu-Dhar</v>
      </c>
      <c r="M109" s="5"/>
      <c r="N109" s="39" t="str">
        <f t="shared" si="11"/>
        <v/>
      </c>
      <c r="O109" s="5"/>
      <c r="P109" s="39" t="str">
        <f t="shared" si="12"/>
        <v/>
      </c>
      <c r="Q109" s="5"/>
      <c r="R109" s="39" t="str">
        <f t="shared" si="13"/>
        <v/>
      </c>
    </row>
    <row r="110" spans="1:18">
      <c r="A110" s="179" t="s">
        <v>321</v>
      </c>
      <c r="B110" s="185" t="s">
        <v>5003</v>
      </c>
      <c r="C110" s="35" t="str">
        <f t="shared" si="7"/>
        <v>AbuHanifih</v>
      </c>
      <c r="D110" s="5"/>
      <c r="E110" s="40"/>
      <c r="F110" s="14"/>
      <c r="G110" s="17"/>
      <c r="H110" s="10" t="s">
        <v>8563</v>
      </c>
      <c r="I110" s="4" t="str">
        <f t="shared" si="8"/>
        <v>|Abú-Ḥanífih|</v>
      </c>
      <c r="J110" s="3" t="str">
        <f t="shared" si="9"/>
        <v>|Abu-Hanifih|</v>
      </c>
      <c r="K110" s="3" t="str">
        <f t="shared" si="10"/>
        <v>Abu-Hanifih</v>
      </c>
      <c r="M110" s="5"/>
      <c r="N110" s="39" t="str">
        <f t="shared" si="11"/>
        <v/>
      </c>
      <c r="O110" s="5"/>
      <c r="P110" s="39" t="str">
        <f t="shared" si="12"/>
        <v/>
      </c>
      <c r="Q110" s="5"/>
      <c r="R110" s="39" t="str">
        <f t="shared" si="13"/>
        <v/>
      </c>
    </row>
    <row r="111" spans="1:18">
      <c r="A111" s="179" t="s">
        <v>322</v>
      </c>
      <c r="B111" s="185" t="s">
        <v>5004</v>
      </c>
      <c r="C111" s="35" t="str">
        <f t="shared" si="7"/>
        <v>AbuJafar</v>
      </c>
      <c r="D111" s="5"/>
      <c r="E111" s="40"/>
      <c r="F111" s="15"/>
      <c r="G111" s="17"/>
      <c r="H111" s="10" t="s">
        <v>8563</v>
      </c>
      <c r="I111" s="4" t="str">
        <f t="shared" si="8"/>
        <v>|Abú-Jaʿfar|</v>
      </c>
      <c r="J111" s="3" t="str">
        <f t="shared" si="9"/>
        <v>|Abu-Ja'far|</v>
      </c>
      <c r="K111" s="3" t="str">
        <f t="shared" si="10"/>
        <v>Abu-Jafar</v>
      </c>
      <c r="M111" s="5"/>
      <c r="N111" s="39" t="str">
        <f t="shared" si="11"/>
        <v/>
      </c>
      <c r="O111" s="5"/>
      <c r="P111" s="39" t="str">
        <f t="shared" si="12"/>
        <v/>
      </c>
      <c r="Q111" s="5"/>
      <c r="R111" s="39" t="str">
        <f t="shared" si="13"/>
        <v/>
      </c>
    </row>
    <row r="112" spans="1:18">
      <c r="A112" s="179" t="s">
        <v>323</v>
      </c>
      <c r="B112" s="185" t="s">
        <v>5005</v>
      </c>
      <c r="C112" s="35" t="str">
        <f t="shared" si="7"/>
        <v>AbuJafariTusi</v>
      </c>
      <c r="D112" s="5"/>
      <c r="E112" s="40"/>
      <c r="F112" s="15" t="s">
        <v>324</v>
      </c>
      <c r="G112" s="17"/>
      <c r="H112" s="10" t="s">
        <v>8563</v>
      </c>
      <c r="I112" s="4" t="str">
        <f t="shared" si="8"/>
        <v>|Abú-Jaʿfar-i-Ṭúsí|</v>
      </c>
      <c r="J112" s="3" t="str">
        <f t="shared" si="9"/>
        <v>|Abu-Ja'far-i-Tusi|</v>
      </c>
      <c r="K112" s="3" t="str">
        <f t="shared" si="10"/>
        <v>Abu-Jafar-i-Tusi</v>
      </c>
      <c r="M112" s="5"/>
      <c r="N112" s="39" t="str">
        <f t="shared" si="11"/>
        <v/>
      </c>
      <c r="O112" s="5"/>
      <c r="P112" s="39" t="str">
        <f t="shared" si="12"/>
        <v/>
      </c>
      <c r="Q112" s="5"/>
      <c r="R112" s="39" t="str">
        <f t="shared" si="13"/>
        <v/>
      </c>
    </row>
    <row r="113" spans="1:21">
      <c r="A113" s="179" t="s">
        <v>325</v>
      </c>
      <c r="B113" s="185" t="s">
        <v>62</v>
      </c>
      <c r="C113" s="35" t="str">
        <f t="shared" si="7"/>
        <v>AbuJahl</v>
      </c>
      <c r="D113" s="5"/>
      <c r="E113" s="40"/>
      <c r="F113" s="14"/>
      <c r="G113" s="17"/>
      <c r="H113" s="10" t="s">
        <v>8563</v>
      </c>
      <c r="I113" s="4" t="str">
        <f t="shared" si="8"/>
        <v>|Abú-Jahl|</v>
      </c>
      <c r="J113" s="3" t="str">
        <f t="shared" si="9"/>
        <v>|Abu-Jahl|</v>
      </c>
      <c r="K113" s="3" t="str">
        <f t="shared" si="10"/>
        <v>Abu-Jahl</v>
      </c>
      <c r="M113" s="5"/>
      <c r="N113" s="39" t="str">
        <f t="shared" si="11"/>
        <v/>
      </c>
      <c r="O113" s="5"/>
      <c r="P113" s="39" t="str">
        <f t="shared" si="12"/>
        <v/>
      </c>
      <c r="Q113" s="5"/>
      <c r="R113" s="39" t="str">
        <f t="shared" si="13"/>
        <v/>
      </c>
      <c r="T113" s="29">
        <v>41796</v>
      </c>
      <c r="U113" s="28" t="s">
        <v>9371</v>
      </c>
    </row>
    <row r="114" spans="1:21">
      <c r="A114" s="180"/>
      <c r="B114" s="185" t="s">
        <v>151</v>
      </c>
      <c r="C114" s="35" t="str">
        <f t="shared" si="7"/>
        <v>Abul</v>
      </c>
      <c r="D114" s="5"/>
      <c r="E114" s="40"/>
      <c r="F114" s="10"/>
      <c r="G114" s="17"/>
      <c r="H114" s="11"/>
      <c r="I114" s="4" t="str">
        <f t="shared" si="8"/>
        <v>|Abu’l|</v>
      </c>
      <c r="J114" s="3" t="str">
        <f t="shared" si="9"/>
        <v>|Abu'l|</v>
      </c>
      <c r="K114" s="3" t="str">
        <f t="shared" si="10"/>
        <v>Abul</v>
      </c>
      <c r="M114" s="2"/>
      <c r="N114" s="39" t="str">
        <f t="shared" si="11"/>
        <v/>
      </c>
      <c r="O114" s="2"/>
      <c r="P114" s="39" t="str">
        <f t="shared" si="12"/>
        <v/>
      </c>
      <c r="Q114" s="2"/>
      <c r="R114" s="39" t="str">
        <f t="shared" si="13"/>
        <v/>
      </c>
      <c r="U114" s="38"/>
    </row>
    <row r="115" spans="1:21">
      <c r="A115" s="179" t="s">
        <v>326</v>
      </c>
      <c r="B115" s="185" t="s">
        <v>5006</v>
      </c>
      <c r="C115" s="35" t="str">
        <f t="shared" si="7"/>
        <v>AbuLahab</v>
      </c>
      <c r="D115" s="5"/>
      <c r="E115" s="40"/>
      <c r="F115" s="15"/>
      <c r="G115" s="17"/>
      <c r="H115" s="10" t="s">
        <v>8563</v>
      </c>
      <c r="I115" s="4" t="str">
        <f t="shared" si="8"/>
        <v>|Abú-Lahab|</v>
      </c>
      <c r="J115" s="3" t="str">
        <f t="shared" si="9"/>
        <v>|Abu-Lahab|</v>
      </c>
      <c r="K115" s="3" t="str">
        <f t="shared" si="10"/>
        <v>Abu-Lahab</v>
      </c>
      <c r="M115" s="5"/>
      <c r="N115" s="39" t="str">
        <f t="shared" si="11"/>
        <v/>
      </c>
      <c r="O115" s="5"/>
      <c r="P115" s="39" t="str">
        <f t="shared" si="12"/>
        <v/>
      </c>
      <c r="Q115" s="5"/>
      <c r="R115" s="39" t="str">
        <f t="shared" si="13"/>
        <v/>
      </c>
    </row>
    <row r="116" spans="1:21">
      <c r="A116" s="179" t="s">
        <v>327</v>
      </c>
      <c r="B116" s="185" t="s">
        <v>5007</v>
      </c>
      <c r="C116" s="35" t="str">
        <f t="shared" si="7"/>
        <v>AbulBashar</v>
      </c>
      <c r="D116" s="5"/>
      <c r="E116" s="40"/>
      <c r="F116" s="14"/>
      <c r="G116" s="17"/>
      <c r="H116" s="10" t="s">
        <v>8563</v>
      </c>
      <c r="I116" s="4" t="str">
        <f t="shared" si="8"/>
        <v>|Abu’l-Baar|</v>
      </c>
      <c r="J116" s="3" t="str">
        <f t="shared" si="9"/>
        <v>|Abu'l-Bashar|</v>
      </c>
      <c r="K116" s="3" t="str">
        <f t="shared" si="10"/>
        <v>Abul-Bashar</v>
      </c>
      <c r="M116" s="5"/>
      <c r="N116" s="39" t="str">
        <f t="shared" si="11"/>
        <v/>
      </c>
      <c r="O116" s="5"/>
      <c r="P116" s="39" t="str">
        <f t="shared" si="12"/>
        <v/>
      </c>
      <c r="Q116" s="5"/>
      <c r="R116" s="39" t="str">
        <f t="shared" si="13"/>
        <v/>
      </c>
    </row>
    <row r="117" spans="1:21">
      <c r="A117" s="179" t="s">
        <v>328</v>
      </c>
      <c r="B117" s="185" t="s">
        <v>5008</v>
      </c>
      <c r="C117" s="35" t="str">
        <f t="shared" si="7"/>
        <v>AbulFadail</v>
      </c>
      <c r="D117" s="5"/>
      <c r="E117" s="40"/>
      <c r="F117" s="15"/>
      <c r="G117" s="17"/>
      <c r="H117" s="10" t="s">
        <v>8563</v>
      </c>
      <c r="I117" s="4" t="str">
        <f t="shared" si="8"/>
        <v>|Abu’l-Fadá’il|</v>
      </c>
      <c r="J117" s="3" t="str">
        <f t="shared" si="9"/>
        <v>|Abu'l-Fada'il|</v>
      </c>
      <c r="K117" s="3" t="str">
        <f t="shared" si="10"/>
        <v>Abul-Fadail</v>
      </c>
      <c r="M117" s="5"/>
      <c r="N117" s="39" t="str">
        <f t="shared" si="11"/>
        <v/>
      </c>
      <c r="O117" s="5"/>
      <c r="P117" s="39" t="str">
        <f t="shared" si="12"/>
        <v/>
      </c>
      <c r="Q117" s="5"/>
      <c r="R117" s="39" t="str">
        <f t="shared" si="13"/>
        <v/>
      </c>
    </row>
    <row r="118" spans="1:21">
      <c r="A118" s="179" t="s">
        <v>329</v>
      </c>
      <c r="B118" s="185" t="s">
        <v>153</v>
      </c>
      <c r="C118" s="35" t="str">
        <f t="shared" si="7"/>
        <v>AbulFadl</v>
      </c>
      <c r="D118" s="5"/>
      <c r="E118" s="40"/>
      <c r="F118" s="14"/>
      <c r="G118" s="17"/>
      <c r="H118" s="10" t="s">
        <v>8563</v>
      </c>
      <c r="I118" s="4" t="str">
        <f t="shared" si="8"/>
        <v>|Abu’l-Faḍl|</v>
      </c>
      <c r="J118" s="3" t="str">
        <f t="shared" si="9"/>
        <v>|Abu'l-Fadl|</v>
      </c>
      <c r="K118" s="3" t="str">
        <f t="shared" si="10"/>
        <v>Abul-Fadl</v>
      </c>
      <c r="M118" s="5"/>
      <c r="N118" s="39" t="str">
        <f t="shared" si="11"/>
        <v/>
      </c>
      <c r="O118" s="5"/>
      <c r="P118" s="39" t="str">
        <f t="shared" si="12"/>
        <v/>
      </c>
      <c r="Q118" s="5"/>
      <c r="R118" s="39" t="str">
        <f t="shared" si="13"/>
        <v/>
      </c>
    </row>
    <row r="119" spans="1:21">
      <c r="A119" s="179" t="s">
        <v>330</v>
      </c>
      <c r="B119" s="185" t="s">
        <v>5009</v>
      </c>
      <c r="C119" s="35" t="str">
        <f t="shared" si="7"/>
        <v>AbulFadliGulpaygani</v>
      </c>
      <c r="D119" s="5"/>
      <c r="E119" s="40"/>
      <c r="F119" s="14"/>
      <c r="G119" s="17"/>
      <c r="H119" s="10" t="s">
        <v>8563</v>
      </c>
      <c r="I119" s="4" t="str">
        <f t="shared" si="8"/>
        <v>|Abu’l-Faḍl-i-Gulpáygání|</v>
      </c>
      <c r="J119" s="3" t="str">
        <f t="shared" si="9"/>
        <v>|Abu'l-Fadl-i-Gulpaygani|</v>
      </c>
      <c r="K119" s="3" t="str">
        <f t="shared" si="10"/>
        <v>Abul-Fadl-i-Gulpaygani</v>
      </c>
      <c r="M119" s="5"/>
      <c r="N119" s="39" t="str">
        <f t="shared" si="11"/>
        <v/>
      </c>
      <c r="O119" s="5"/>
      <c r="P119" s="39" t="str">
        <f t="shared" si="12"/>
        <v/>
      </c>
      <c r="Q119" s="5"/>
      <c r="R119" s="39" t="str">
        <f t="shared" si="13"/>
        <v/>
      </c>
    </row>
    <row r="120" spans="1:21">
      <c r="A120" s="179" t="s">
        <v>331</v>
      </c>
      <c r="B120" s="185" t="s">
        <v>5010</v>
      </c>
      <c r="C120" s="35" t="str">
        <f t="shared" si="7"/>
        <v>AbulFath</v>
      </c>
      <c r="D120" s="5"/>
      <c r="E120" s="40"/>
      <c r="F120" s="14"/>
      <c r="G120" s="17"/>
      <c r="H120" s="10" t="s">
        <v>8563</v>
      </c>
      <c r="I120" s="4" t="str">
        <f t="shared" si="8"/>
        <v>|Abu’l-Fatḥ|</v>
      </c>
      <c r="J120" s="3" t="str">
        <f t="shared" si="9"/>
        <v>|Abu'l-Fath|</v>
      </c>
      <c r="K120" s="3" t="str">
        <f t="shared" si="10"/>
        <v>Abul-Fath</v>
      </c>
      <c r="M120" s="5"/>
      <c r="N120" s="39" t="str">
        <f t="shared" si="11"/>
        <v/>
      </c>
      <c r="O120" s="5"/>
      <c r="P120" s="39" t="str">
        <f t="shared" si="12"/>
        <v/>
      </c>
      <c r="Q120" s="5"/>
      <c r="R120" s="39" t="str">
        <f t="shared" si="13"/>
        <v/>
      </c>
    </row>
    <row r="121" spans="1:21">
      <c r="A121" s="179" t="s">
        <v>332</v>
      </c>
      <c r="B121" s="185" t="s">
        <v>5011</v>
      </c>
      <c r="C121" s="35" t="str">
        <f t="shared" si="7"/>
        <v>AbulFathiShahristani</v>
      </c>
      <c r="D121" s="5"/>
      <c r="E121" s="40"/>
      <c r="F121" s="14"/>
      <c r="G121" s="17"/>
      <c r="H121" s="10" t="s">
        <v>8563</v>
      </c>
      <c r="I121" s="4" t="str">
        <f t="shared" si="8"/>
        <v>|Abu’l-Fatḥ-i-ahristání|</v>
      </c>
      <c r="J121" s="3" t="str">
        <f t="shared" si="9"/>
        <v>|Abu'l-Fath-i-Shahristani|</v>
      </c>
      <c r="K121" s="3" t="str">
        <f t="shared" si="10"/>
        <v>Abul-Fath-i-Shahristani</v>
      </c>
      <c r="M121" s="5"/>
      <c r="N121" s="39" t="str">
        <f t="shared" si="11"/>
        <v/>
      </c>
      <c r="O121" s="5"/>
      <c r="P121" s="39" t="str">
        <f t="shared" si="12"/>
        <v/>
      </c>
      <c r="Q121" s="5"/>
      <c r="R121" s="39" t="str">
        <f t="shared" si="13"/>
        <v/>
      </c>
    </row>
    <row r="122" spans="1:21">
      <c r="A122" s="179" t="s">
        <v>333</v>
      </c>
      <c r="B122" s="185" t="s">
        <v>152</v>
      </c>
      <c r="C122" s="35" t="str">
        <f t="shared" si="7"/>
        <v>AbulFida</v>
      </c>
      <c r="D122" s="5"/>
      <c r="E122" s="40"/>
      <c r="F122" s="14"/>
      <c r="G122" s="17"/>
      <c r="H122" s="10" t="s">
        <v>8563</v>
      </c>
      <c r="I122" s="4" t="str">
        <f t="shared" si="8"/>
        <v>|Abu’l-Fidá|</v>
      </c>
      <c r="J122" s="3" t="str">
        <f t="shared" si="9"/>
        <v>|Abu'l-Fida|</v>
      </c>
      <c r="K122" s="3" t="str">
        <f t="shared" si="10"/>
        <v>Abul-Fida</v>
      </c>
      <c r="M122" s="5"/>
      <c r="N122" s="39" t="str">
        <f t="shared" si="11"/>
        <v/>
      </c>
      <c r="O122" s="5"/>
      <c r="P122" s="39" t="str">
        <f t="shared" si="12"/>
        <v/>
      </c>
      <c r="Q122" s="5"/>
      <c r="R122" s="39" t="str">
        <f t="shared" si="13"/>
        <v/>
      </c>
    </row>
    <row r="123" spans="1:21">
      <c r="A123" s="179" t="s">
        <v>334</v>
      </c>
      <c r="B123" s="185" t="s">
        <v>5012</v>
      </c>
      <c r="C123" s="35" t="str">
        <f t="shared" si="7"/>
        <v>AbulFutuh</v>
      </c>
      <c r="D123" s="5"/>
      <c r="E123" s="40"/>
      <c r="F123" s="15" t="s">
        <v>335</v>
      </c>
      <c r="G123" s="17"/>
      <c r="H123" s="10" t="s">
        <v>8563</v>
      </c>
      <c r="I123" s="4" t="str">
        <f t="shared" si="8"/>
        <v>|Abu’l-Futúḥ|</v>
      </c>
      <c r="J123" s="3" t="str">
        <f t="shared" si="9"/>
        <v>|Abu'l-Futuh|</v>
      </c>
      <c r="K123" s="3" t="str">
        <f t="shared" si="10"/>
        <v>Abul-Futuh</v>
      </c>
      <c r="M123" s="5"/>
      <c r="N123" s="39" t="str">
        <f t="shared" si="11"/>
        <v/>
      </c>
      <c r="O123" s="5"/>
      <c r="P123" s="39" t="str">
        <f t="shared" si="12"/>
        <v/>
      </c>
      <c r="Q123" s="5"/>
      <c r="R123" s="39" t="str">
        <f t="shared" si="13"/>
        <v/>
      </c>
    </row>
    <row r="124" spans="1:21">
      <c r="A124" s="179" t="s">
        <v>336</v>
      </c>
      <c r="B124" s="185" t="s">
        <v>5013</v>
      </c>
      <c r="C124" s="35" t="str">
        <f t="shared" si="7"/>
        <v>AbulHasan</v>
      </c>
      <c r="D124" s="5"/>
      <c r="E124" s="40"/>
      <c r="F124" s="14"/>
      <c r="G124" s="17"/>
      <c r="H124" s="10" t="s">
        <v>8563</v>
      </c>
      <c r="I124" s="4" t="str">
        <f t="shared" si="8"/>
        <v>|Abu’l-Ḥasan|</v>
      </c>
      <c r="J124" s="3" t="str">
        <f t="shared" si="9"/>
        <v>|Abu'l-Hasan|</v>
      </c>
      <c r="K124" s="3" t="str">
        <f t="shared" si="10"/>
        <v>Abul-Hasan</v>
      </c>
      <c r="M124" s="5"/>
      <c r="N124" s="39" t="str">
        <f t="shared" si="11"/>
        <v/>
      </c>
      <c r="O124" s="5"/>
      <c r="P124" s="39" t="str">
        <f t="shared" si="12"/>
        <v/>
      </c>
      <c r="Q124" s="5"/>
      <c r="R124" s="39" t="str">
        <f t="shared" si="13"/>
        <v/>
      </c>
    </row>
    <row r="125" spans="1:21">
      <c r="A125" s="179" t="s">
        <v>337</v>
      </c>
      <c r="B125" s="185" t="s">
        <v>5014</v>
      </c>
      <c r="C125" s="35" t="str">
        <f t="shared" si="7"/>
        <v>AbulHasanAli</v>
      </c>
      <c r="D125" s="5"/>
      <c r="E125" s="40"/>
      <c r="F125" s="14"/>
      <c r="G125" s="17"/>
      <c r="H125" s="10" t="s">
        <v>8563</v>
      </c>
      <c r="I125" s="4" t="str">
        <f t="shared" si="8"/>
        <v>|Abu’l-Ḥasan-ʿAlí|</v>
      </c>
      <c r="J125" s="3" t="str">
        <f t="shared" si="9"/>
        <v>|Abu'l-Hasan-'Ali|</v>
      </c>
      <c r="K125" s="3" t="str">
        <f t="shared" si="10"/>
        <v>Abul-Hasan-Ali</v>
      </c>
      <c r="M125" s="5"/>
      <c r="N125" s="39" t="str">
        <f t="shared" si="11"/>
        <v/>
      </c>
      <c r="O125" s="5"/>
      <c r="P125" s="39" t="str">
        <f t="shared" si="12"/>
        <v/>
      </c>
      <c r="Q125" s="5"/>
      <c r="R125" s="39" t="str">
        <f t="shared" si="13"/>
        <v/>
      </c>
    </row>
    <row r="126" spans="1:21">
      <c r="B126" s="185" t="s">
        <v>8837</v>
      </c>
      <c r="C126" s="35" t="str">
        <f t="shared" si="7"/>
        <v>AbulHasanAliibniMuhammadSimari</v>
      </c>
      <c r="E126" s="40"/>
      <c r="H126" s="12" t="s">
        <v>8622</v>
      </c>
      <c r="I126" s="4" t="str">
        <f t="shared" si="8"/>
        <v>|Abu’l-Ḥasan-ʿAlí-ibn-i-Muḥammad Símarí|</v>
      </c>
      <c r="J126" s="3" t="str">
        <f t="shared" si="9"/>
        <v>|Abu'l-Hasan-'Ali-ibn-i-Muhammad Simari|</v>
      </c>
      <c r="K126" s="3" t="str">
        <f t="shared" si="10"/>
        <v>Abul-Hasan-Ali-ibn-i-Muhammad Simari</v>
      </c>
      <c r="M126" s="5"/>
      <c r="N126" s="39" t="str">
        <f t="shared" si="11"/>
        <v/>
      </c>
      <c r="O126" s="5"/>
      <c r="P126" s="39" t="str">
        <f t="shared" si="12"/>
        <v/>
      </c>
      <c r="Q126" s="5"/>
      <c r="R126" s="39" t="str">
        <f t="shared" si="13"/>
        <v/>
      </c>
      <c r="S126" s="29">
        <v>41760</v>
      </c>
    </row>
    <row r="127" spans="1:21">
      <c r="A127" s="179" t="s">
        <v>338</v>
      </c>
      <c r="B127" s="185" t="s">
        <v>5015</v>
      </c>
      <c r="C127" s="35" t="str">
        <f t="shared" si="7"/>
        <v>AbulHasaniAmin</v>
      </c>
      <c r="D127" s="5"/>
      <c r="E127" s="40"/>
      <c r="F127" s="15"/>
      <c r="G127" s="17"/>
      <c r="H127" s="10" t="s">
        <v>8563</v>
      </c>
      <c r="I127" s="4" t="str">
        <f t="shared" si="8"/>
        <v>|Abu’l-Ḥasan-i-Amín|</v>
      </c>
      <c r="J127" s="3" t="str">
        <f t="shared" si="9"/>
        <v>|Abu'l-Hasan-i-Amin|</v>
      </c>
      <c r="K127" s="3" t="str">
        <f t="shared" si="10"/>
        <v>Abul-Hasan-i-Amin</v>
      </c>
      <c r="M127" s="5"/>
      <c r="N127" s="39" t="str">
        <f t="shared" si="11"/>
        <v/>
      </c>
      <c r="O127" s="5"/>
      <c r="P127" s="39" t="str">
        <f t="shared" si="12"/>
        <v/>
      </c>
      <c r="Q127" s="5"/>
      <c r="R127" s="39" t="str">
        <f t="shared" si="13"/>
        <v/>
      </c>
    </row>
    <row r="128" spans="1:21">
      <c r="A128" s="179" t="s">
        <v>339</v>
      </c>
      <c r="B128" s="185" t="s">
        <v>5016</v>
      </c>
      <c r="C128" s="35" t="str">
        <f t="shared" si="7"/>
        <v>AbulHasaniArdikani</v>
      </c>
      <c r="D128" s="5"/>
      <c r="E128" s="40"/>
      <c r="F128" s="14"/>
      <c r="G128" s="17"/>
      <c r="H128" s="10" t="s">
        <v>8563</v>
      </c>
      <c r="I128" s="4" t="str">
        <f t="shared" si="8"/>
        <v>|Abu’l-Ḥasan-i-Ardikání|</v>
      </c>
      <c r="J128" s="3" t="str">
        <f t="shared" si="9"/>
        <v>|Abu'l-Hasan-i-Ardikani|</v>
      </c>
      <c r="K128" s="3" t="str">
        <f t="shared" si="10"/>
        <v>Abul-Hasan-i-Ardikani</v>
      </c>
      <c r="M128" s="5"/>
      <c r="N128" s="39" t="str">
        <f t="shared" si="11"/>
        <v/>
      </c>
      <c r="O128" s="5"/>
      <c r="P128" s="39" t="str">
        <f t="shared" si="12"/>
        <v/>
      </c>
      <c r="Q128" s="5"/>
      <c r="R128" s="39" t="str">
        <f t="shared" si="13"/>
        <v/>
      </c>
    </row>
    <row r="129" spans="1:18">
      <c r="A129" s="179" t="s">
        <v>340</v>
      </c>
      <c r="B129" s="185" t="s">
        <v>5017</v>
      </c>
      <c r="C129" s="35" t="str">
        <f t="shared" si="7"/>
        <v>AbulHasaniBazzaz</v>
      </c>
      <c r="D129" s="5"/>
      <c r="E129" s="40"/>
      <c r="F129" s="15"/>
      <c r="G129" s="17"/>
      <c r="H129" s="10" t="s">
        <v>8563</v>
      </c>
      <c r="I129" s="4" t="str">
        <f t="shared" si="8"/>
        <v>|Abu’l-Ḥasan-i-Bazzáz|</v>
      </c>
      <c r="J129" s="3" t="str">
        <f t="shared" si="9"/>
        <v>|Abu'l-Hasan-i-Bazzaz|</v>
      </c>
      <c r="K129" s="3" t="str">
        <f t="shared" si="10"/>
        <v>Abul-Hasan-i-Bazzaz</v>
      </c>
      <c r="M129" s="5"/>
      <c r="N129" s="39" t="str">
        <f t="shared" si="11"/>
        <v/>
      </c>
      <c r="O129" s="5"/>
      <c r="P129" s="39" t="str">
        <f t="shared" si="12"/>
        <v/>
      </c>
      <c r="Q129" s="5"/>
      <c r="R129" s="39" t="str">
        <f t="shared" si="13"/>
        <v/>
      </c>
    </row>
    <row r="130" spans="1:18">
      <c r="A130" s="179" t="s">
        <v>341</v>
      </c>
      <c r="B130" s="185" t="s">
        <v>5018</v>
      </c>
      <c r="C130" s="35" t="str">
        <f t="shared" si="7"/>
        <v>AbulHasaniShirazi</v>
      </c>
      <c r="D130" s="5"/>
      <c r="E130" s="40"/>
      <c r="F130" s="14"/>
      <c r="G130" s="17"/>
      <c r="H130" s="10" t="s">
        <v>8563</v>
      </c>
      <c r="I130" s="4" t="str">
        <f t="shared" si="8"/>
        <v>|Abu’l-Ḥasan-i-írází|</v>
      </c>
      <c r="J130" s="3" t="str">
        <f t="shared" si="9"/>
        <v>|Abu'l-Hasan-i-Shirazi|</v>
      </c>
      <c r="K130" s="3" t="str">
        <f t="shared" si="10"/>
        <v>Abul-Hasan-i-Shirazi</v>
      </c>
      <c r="M130" s="5"/>
      <c r="N130" s="39" t="str">
        <f t="shared" si="11"/>
        <v/>
      </c>
      <c r="O130" s="5"/>
      <c r="P130" s="39" t="str">
        <f t="shared" si="12"/>
        <v/>
      </c>
      <c r="Q130" s="5"/>
      <c r="R130" s="39" t="str">
        <f t="shared" si="13"/>
        <v/>
      </c>
    </row>
    <row r="131" spans="1:18">
      <c r="A131" s="179" t="s">
        <v>342</v>
      </c>
      <c r="B131" s="185" t="s">
        <v>5019</v>
      </c>
      <c r="C131" s="35" t="str">
        <f t="shared" ref="C131:C194" si="14">SUBSTITUTE(SUBSTITUTE(K131,"-","")," ","")</f>
        <v>AbulHuda</v>
      </c>
      <c r="D131" s="5"/>
      <c r="E131" s="40"/>
      <c r="F131" s="14"/>
      <c r="G131" s="17"/>
      <c r="H131" s="10" t="s">
        <v>8563</v>
      </c>
      <c r="I131" s="4" t="str">
        <f t="shared" ref="I131:I194" si="15">CONCATENATE("|",B131,"|")</f>
        <v>|Abu’l-Hudá|</v>
      </c>
      <c r="J131" s="3" t="str">
        <f t="shared" ref="J131:J194" si="16">CONCATENATE("|",F_OutputASCII(B131),"|")</f>
        <v>|Abu'l-Huda|</v>
      </c>
      <c r="K131" s="3" t="str">
        <f t="shared" ref="K131:K194" si="17">IF(SUBSTITUTE(MID(J131,2,LEN(J131)-2),"'","")&lt;&gt;"",SUBSTITUTE(MID(J131,2,LEN(J131)-2),"'",""),"ZZZZZ")</f>
        <v>Abul-Huda</v>
      </c>
      <c r="M131" s="5"/>
      <c r="N131" s="39" t="str">
        <f t="shared" ref="N131:N194" si="18">SUBSTITUTE(SUBSTITUTE(SUBSTITUTE(F_OutputASCII(M131),"-","")," ",""),"'","")</f>
        <v/>
      </c>
      <c r="O131" s="5"/>
      <c r="P131" s="39" t="str">
        <f t="shared" ref="P131:P194" si="19">SUBSTITUTE(SUBSTITUTE(SUBSTITUTE(F_OutputASCII(O131),"-","")," ",""),"'","")</f>
        <v/>
      </c>
      <c r="Q131" s="5"/>
      <c r="R131" s="39" t="str">
        <f t="shared" si="13"/>
        <v/>
      </c>
    </row>
    <row r="132" spans="1:18">
      <c r="A132" s="179" t="s">
        <v>343</v>
      </c>
      <c r="B132" s="185" t="s">
        <v>5020</v>
      </c>
      <c r="C132" s="35" t="str">
        <f t="shared" si="14"/>
        <v>AbulKarim</v>
      </c>
      <c r="D132" s="5"/>
      <c r="E132" s="40"/>
      <c r="F132" s="15"/>
      <c r="G132" s="17"/>
      <c r="H132" s="10" t="s">
        <v>8563</v>
      </c>
      <c r="I132" s="4" t="str">
        <f t="shared" si="15"/>
        <v>|Abu’l-Karím|</v>
      </c>
      <c r="J132" s="3" t="str">
        <f t="shared" si="16"/>
        <v>|Abu'l-Karim|</v>
      </c>
      <c r="K132" s="3" t="str">
        <f t="shared" si="17"/>
        <v>Abul-Karim</v>
      </c>
      <c r="M132" s="5"/>
      <c r="N132" s="39" t="str">
        <f t="shared" si="18"/>
        <v/>
      </c>
      <c r="O132" s="5"/>
      <c r="P132" s="39" t="str">
        <f t="shared" si="19"/>
        <v/>
      </c>
      <c r="Q132" s="5"/>
      <c r="R132" s="39" t="str">
        <f t="shared" ref="R132:R195" si="20">SUBSTITUTE(SUBSTITUTE(Q132,"-","")," ","")</f>
        <v/>
      </c>
    </row>
    <row r="133" spans="1:18">
      <c r="A133" s="179" t="s">
        <v>344</v>
      </c>
      <c r="B133" s="185" t="s">
        <v>5021</v>
      </c>
      <c r="C133" s="35" t="str">
        <f t="shared" si="14"/>
        <v>AbulQasim</v>
      </c>
      <c r="D133" s="5"/>
      <c r="E133" s="40"/>
      <c r="F133" s="14"/>
      <c r="G133" s="17"/>
      <c r="H133" s="10" t="s">
        <v>8563</v>
      </c>
      <c r="I133" s="4" t="str">
        <f t="shared" si="15"/>
        <v>|Abu’l-Qásim|</v>
      </c>
      <c r="J133" s="3" t="str">
        <f t="shared" si="16"/>
        <v>|Abu'l-Qasim|</v>
      </c>
      <c r="K133" s="3" t="str">
        <f t="shared" si="17"/>
        <v>Abul-Qasim</v>
      </c>
      <c r="M133" s="5"/>
      <c r="N133" s="39" t="str">
        <f t="shared" si="18"/>
        <v/>
      </c>
      <c r="O133" s="5"/>
      <c r="P133" s="39" t="str">
        <f t="shared" si="19"/>
        <v/>
      </c>
      <c r="Q133" s="5"/>
      <c r="R133" s="39" t="str">
        <f t="shared" si="20"/>
        <v/>
      </c>
    </row>
    <row r="134" spans="1:18">
      <c r="A134" s="179" t="s">
        <v>345</v>
      </c>
      <c r="B134" s="185" t="s">
        <v>346</v>
      </c>
      <c r="C134" s="35" t="str">
        <f t="shared" si="14"/>
        <v>AbulQasimiAlaqihBandiIsfahani</v>
      </c>
      <c r="D134" s="5"/>
      <c r="E134" s="40"/>
      <c r="F134" s="15"/>
      <c r="G134" s="17"/>
      <c r="H134" s="10" t="s">
        <v>8563</v>
      </c>
      <c r="I134" s="4" t="str">
        <f t="shared" si="15"/>
        <v>|Abu’l-Qásim-i-ʿAláqih-Band-i-Iṣfahání|</v>
      </c>
      <c r="J134" s="3" t="str">
        <f t="shared" si="16"/>
        <v>|Abu'l-Qasim-i-'Alaqih-Band-i-Isfahani|</v>
      </c>
      <c r="K134" s="3" t="str">
        <f t="shared" si="17"/>
        <v>Abul-Qasim-i-Alaqih-Band-i-Isfahani</v>
      </c>
      <c r="M134" s="5"/>
      <c r="N134" s="39" t="str">
        <f t="shared" si="18"/>
        <v/>
      </c>
      <c r="O134" s="5"/>
      <c r="P134" s="39" t="str">
        <f t="shared" si="19"/>
        <v/>
      </c>
      <c r="Q134" s="5"/>
      <c r="R134" s="39" t="str">
        <f t="shared" si="20"/>
        <v/>
      </c>
    </row>
    <row r="135" spans="1:18">
      <c r="A135" s="179" t="s">
        <v>347</v>
      </c>
      <c r="B135" s="185" t="s">
        <v>5022</v>
      </c>
      <c r="C135" s="35" t="str">
        <f t="shared" si="14"/>
        <v>AbulQasimibniHajiZayna</v>
      </c>
      <c r="D135" s="5"/>
      <c r="E135" s="40"/>
      <c r="F135" s="15"/>
      <c r="G135" s="17"/>
      <c r="H135" s="10" t="s">
        <v>8563</v>
      </c>
      <c r="I135" s="4" t="str">
        <f t="shared" si="15"/>
        <v>|Abu’l-Qásim-ibn-i-Ḥájí-Zayná|</v>
      </c>
      <c r="J135" s="3" t="str">
        <f t="shared" si="16"/>
        <v>|Abu'l-Qasim-ibn-i-Haji-Zayna|</v>
      </c>
      <c r="K135" s="3" t="str">
        <f t="shared" si="17"/>
        <v>Abul-Qasim-ibn-i-Haji-Zayna</v>
      </c>
      <c r="M135" s="5"/>
      <c r="N135" s="39" t="str">
        <f t="shared" si="18"/>
        <v/>
      </c>
      <c r="O135" s="5"/>
      <c r="P135" s="39" t="str">
        <f t="shared" si="19"/>
        <v/>
      </c>
      <c r="Q135" s="5"/>
      <c r="R135" s="39" t="str">
        <f t="shared" si="20"/>
        <v/>
      </c>
    </row>
    <row r="136" spans="1:18">
      <c r="A136" s="179" t="s">
        <v>348</v>
      </c>
      <c r="B136" s="185" t="s">
        <v>5023</v>
      </c>
      <c r="C136" s="35" t="str">
        <f t="shared" si="14"/>
        <v>AbulQasimiHamadani</v>
      </c>
      <c r="D136" s="5"/>
      <c r="E136" s="40"/>
      <c r="F136" s="14"/>
      <c r="G136" s="17"/>
      <c r="H136" s="10" t="s">
        <v>8563</v>
      </c>
      <c r="I136" s="4" t="str">
        <f t="shared" si="15"/>
        <v>|Abu’l-Qásim-i-Hamadání|</v>
      </c>
      <c r="J136" s="3" t="str">
        <f t="shared" si="16"/>
        <v>|Abu'l-Qasim-i-Hamadani|</v>
      </c>
      <c r="K136" s="3" t="str">
        <f t="shared" si="17"/>
        <v>Abul-Qasim-i-Hamadani</v>
      </c>
      <c r="M136" s="5"/>
      <c r="N136" s="39" t="str">
        <f t="shared" si="18"/>
        <v/>
      </c>
      <c r="O136" s="5"/>
      <c r="P136" s="39" t="str">
        <f t="shared" si="19"/>
        <v/>
      </c>
      <c r="Q136" s="5"/>
      <c r="R136" s="39" t="str">
        <f t="shared" si="20"/>
        <v/>
      </c>
    </row>
    <row r="137" spans="1:18">
      <c r="A137" s="179" t="s">
        <v>349</v>
      </c>
      <c r="B137" s="185" t="s">
        <v>5024</v>
      </c>
      <c r="C137" s="35" t="str">
        <f t="shared" si="14"/>
        <v>AbulQasimiKashi</v>
      </c>
      <c r="D137" s="5"/>
      <c r="E137" s="40"/>
      <c r="F137" s="14"/>
      <c r="G137" s="17"/>
      <c r="H137" s="10" t="s">
        <v>8563</v>
      </c>
      <c r="I137" s="4" t="str">
        <f t="shared" si="15"/>
        <v>|Abu’l-Qásim-i-Káí|</v>
      </c>
      <c r="J137" s="3" t="str">
        <f t="shared" si="16"/>
        <v>|Abu'l-Qasim-i-Kashi|</v>
      </c>
      <c r="K137" s="3" t="str">
        <f t="shared" si="17"/>
        <v>Abul-Qasim-i-Kashi</v>
      </c>
      <c r="M137" s="5"/>
      <c r="N137" s="39" t="str">
        <f t="shared" si="18"/>
        <v/>
      </c>
      <c r="O137" s="5"/>
      <c r="P137" s="39" t="str">
        <f t="shared" si="19"/>
        <v/>
      </c>
      <c r="Q137" s="5"/>
      <c r="R137" s="39" t="str">
        <f t="shared" si="20"/>
        <v/>
      </c>
    </row>
    <row r="138" spans="1:18">
      <c r="A138" s="179" t="s">
        <v>350</v>
      </c>
      <c r="B138" s="185" t="s">
        <v>5025</v>
      </c>
      <c r="C138" s="35" t="str">
        <f t="shared" si="14"/>
        <v>AbulQasimiKhurasani</v>
      </c>
      <c r="D138" s="5"/>
      <c r="E138" s="40"/>
      <c r="F138" s="14"/>
      <c r="G138" s="17"/>
      <c r="H138" s="10" t="s">
        <v>8563</v>
      </c>
      <c r="I138" s="4" t="str">
        <f t="shared" si="15"/>
        <v>|Abu’l-Qásim-i-urásání|</v>
      </c>
      <c r="J138" s="3" t="str">
        <f t="shared" si="16"/>
        <v>|Abu'l-Qasim-i-Khurasani|</v>
      </c>
      <c r="K138" s="3" t="str">
        <f t="shared" si="17"/>
        <v>Abul-Qasim-i-Khurasani</v>
      </c>
      <c r="M138" s="5"/>
      <c r="N138" s="39" t="str">
        <f t="shared" si="18"/>
        <v/>
      </c>
      <c r="O138" s="5"/>
      <c r="P138" s="39" t="str">
        <f t="shared" si="19"/>
        <v/>
      </c>
      <c r="Q138" s="5"/>
      <c r="R138" s="39" t="str">
        <f t="shared" si="20"/>
        <v/>
      </c>
    </row>
    <row r="139" spans="1:18">
      <c r="A139" s="179" t="s">
        <v>351</v>
      </c>
      <c r="B139" s="185" t="s">
        <v>5026</v>
      </c>
      <c r="C139" s="35" t="str">
        <f t="shared" si="14"/>
        <v>AbulQasimiMazkani</v>
      </c>
      <c r="D139" s="5"/>
      <c r="E139" s="40"/>
      <c r="F139" s="14"/>
      <c r="G139" s="17"/>
      <c r="H139" s="10" t="s">
        <v>8563</v>
      </c>
      <c r="I139" s="4" t="str">
        <f t="shared" si="15"/>
        <v>|Abu’l-Qásim-i-Mazkání|</v>
      </c>
      <c r="J139" s="3" t="str">
        <f t="shared" si="16"/>
        <v>|Abu'l-Qasim-i-Mazkani|</v>
      </c>
      <c r="K139" s="3" t="str">
        <f t="shared" si="17"/>
        <v>Abul-Qasim-i-Mazkani</v>
      </c>
      <c r="M139" s="5"/>
      <c r="N139" s="39" t="str">
        <f t="shared" si="18"/>
        <v/>
      </c>
      <c r="O139" s="5"/>
      <c r="P139" s="39" t="str">
        <f t="shared" si="19"/>
        <v/>
      </c>
      <c r="Q139" s="5"/>
      <c r="R139" s="39" t="str">
        <f t="shared" si="20"/>
        <v/>
      </c>
    </row>
    <row r="140" spans="1:18">
      <c r="A140" s="179" t="s">
        <v>352</v>
      </c>
      <c r="B140" s="185" t="s">
        <v>5027</v>
      </c>
      <c r="C140" s="35" t="str">
        <f t="shared" si="14"/>
        <v>AbulQasimiQaimMaqam</v>
      </c>
      <c r="D140" s="5"/>
      <c r="E140" s="40"/>
      <c r="F140" s="14"/>
      <c r="G140" s="17"/>
      <c r="H140" s="10" t="s">
        <v>8563</v>
      </c>
      <c r="I140" s="4" t="str">
        <f t="shared" si="15"/>
        <v>|Abu’l-Qásim-i-Qá’im-Maqám|</v>
      </c>
      <c r="J140" s="3" t="str">
        <f t="shared" si="16"/>
        <v>|Abu'l-Qasim-i-Qa'im-Maqam|</v>
      </c>
      <c r="K140" s="3" t="str">
        <f t="shared" si="17"/>
        <v>Abul-Qasim-i-Qaim-Maqam</v>
      </c>
      <c r="M140" s="5"/>
      <c r="N140" s="39" t="str">
        <f t="shared" si="18"/>
        <v/>
      </c>
      <c r="O140" s="5"/>
      <c r="P140" s="39" t="str">
        <f t="shared" si="19"/>
        <v/>
      </c>
      <c r="Q140" s="5"/>
      <c r="R140" s="39" t="str">
        <f t="shared" si="20"/>
        <v/>
      </c>
    </row>
    <row r="141" spans="1:18">
      <c r="A141" s="179" t="s">
        <v>353</v>
      </c>
      <c r="B141" s="185" t="s">
        <v>5028</v>
      </c>
      <c r="C141" s="35" t="str">
        <f t="shared" si="14"/>
        <v>AbulQasimiShirazi</v>
      </c>
      <c r="D141" s="5"/>
      <c r="E141" s="40"/>
      <c r="F141" s="14"/>
      <c r="G141" s="17"/>
      <c r="H141" s="10" t="s">
        <v>8563</v>
      </c>
      <c r="I141" s="4" t="str">
        <f t="shared" si="15"/>
        <v>|Abu’l-Qásim-i-írází|</v>
      </c>
      <c r="J141" s="3" t="str">
        <f t="shared" si="16"/>
        <v>|Abu'l-Qasim-i-Shirazi|</v>
      </c>
      <c r="K141" s="3" t="str">
        <f t="shared" si="17"/>
        <v>Abul-Qasim-i-Shirazi</v>
      </c>
      <c r="M141" s="5"/>
      <c r="N141" s="39" t="str">
        <f t="shared" si="18"/>
        <v/>
      </c>
      <c r="O141" s="5"/>
      <c r="P141" s="39" t="str">
        <f t="shared" si="19"/>
        <v/>
      </c>
      <c r="Q141" s="5"/>
      <c r="R141" s="39" t="str">
        <f t="shared" si="20"/>
        <v/>
      </c>
    </row>
    <row r="142" spans="1:18">
      <c r="A142" s="179" t="s">
        <v>354</v>
      </c>
      <c r="B142" s="185" t="s">
        <v>5029</v>
      </c>
      <c r="C142" s="35" t="str">
        <f t="shared" si="14"/>
        <v>AbuMuhammad</v>
      </c>
      <c r="D142" s="5"/>
      <c r="E142" s="40"/>
      <c r="F142" s="14"/>
      <c r="G142" s="17"/>
      <c r="H142" s="10" t="s">
        <v>8563</v>
      </c>
      <c r="I142" s="4" t="str">
        <f t="shared" si="15"/>
        <v>|Abú-Muḥammad|</v>
      </c>
      <c r="J142" s="3" t="str">
        <f t="shared" si="16"/>
        <v>|Abu-Muhammad|</v>
      </c>
      <c r="K142" s="3" t="str">
        <f t="shared" si="17"/>
        <v>Abu-Muhammad</v>
      </c>
      <c r="M142" s="5"/>
      <c r="N142" s="39" t="str">
        <f t="shared" si="18"/>
        <v/>
      </c>
      <c r="O142" s="5"/>
      <c r="P142" s="39" t="str">
        <f t="shared" si="19"/>
        <v/>
      </c>
      <c r="Q142" s="5"/>
      <c r="R142" s="39" t="str">
        <f t="shared" si="20"/>
        <v/>
      </c>
    </row>
    <row r="143" spans="1:18">
      <c r="A143" s="179" t="s">
        <v>355</v>
      </c>
      <c r="B143" s="185" t="s">
        <v>5030</v>
      </c>
      <c r="C143" s="35" t="str">
        <f t="shared" si="14"/>
        <v>AbuMuslim</v>
      </c>
      <c r="D143" s="5"/>
      <c r="E143" s="40"/>
      <c r="F143" s="14"/>
      <c r="G143" s="17"/>
      <c r="H143" s="10" t="s">
        <v>8563</v>
      </c>
      <c r="I143" s="4" t="str">
        <f t="shared" si="15"/>
        <v>|Abú-Muslim|</v>
      </c>
      <c r="J143" s="3" t="str">
        <f t="shared" si="16"/>
        <v>|Abu-Muslim|</v>
      </c>
      <c r="K143" s="3" t="str">
        <f t="shared" si="17"/>
        <v>Abu-Muslim</v>
      </c>
      <c r="M143" s="5"/>
      <c r="N143" s="39" t="str">
        <f t="shared" si="18"/>
        <v/>
      </c>
      <c r="O143" s="5"/>
      <c r="P143" s="39" t="str">
        <f t="shared" si="19"/>
        <v/>
      </c>
      <c r="Q143" s="5"/>
      <c r="R143" s="39" t="str">
        <f t="shared" si="20"/>
        <v/>
      </c>
    </row>
    <row r="144" spans="1:18">
      <c r="A144" s="179" t="s">
        <v>356</v>
      </c>
      <c r="B144" s="185" t="s">
        <v>5031</v>
      </c>
      <c r="C144" s="35" t="str">
        <f t="shared" si="14"/>
        <v>AbuNasr</v>
      </c>
      <c r="D144" s="5"/>
      <c r="E144" s="40"/>
      <c r="F144" s="15"/>
      <c r="G144" s="17"/>
      <c r="H144" s="10" t="s">
        <v>8563</v>
      </c>
      <c r="I144" s="4" t="str">
        <f t="shared" si="15"/>
        <v>|Abú-Naṣr|</v>
      </c>
      <c r="J144" s="3" t="str">
        <f t="shared" si="16"/>
        <v>|Abu-Nasr|</v>
      </c>
      <c r="K144" s="3" t="str">
        <f t="shared" si="17"/>
        <v>Abu-Nasr</v>
      </c>
      <c r="M144" s="5"/>
      <c r="N144" s="39" t="str">
        <f t="shared" si="18"/>
        <v/>
      </c>
      <c r="O144" s="5"/>
      <c r="P144" s="39" t="str">
        <f t="shared" si="19"/>
        <v/>
      </c>
      <c r="Q144" s="5"/>
      <c r="R144" s="39" t="str">
        <f t="shared" si="20"/>
        <v/>
      </c>
    </row>
    <row r="145" spans="1:21">
      <c r="A145" s="179" t="s">
        <v>357</v>
      </c>
      <c r="B145" s="185" t="s">
        <v>5032</v>
      </c>
      <c r="C145" s="35" t="str">
        <f t="shared" si="14"/>
        <v>Abuqir</v>
      </c>
      <c r="D145" s="5"/>
      <c r="E145" s="40"/>
      <c r="F145" s="14"/>
      <c r="G145" s="17"/>
      <c r="H145" s="10" t="s">
        <v>8563</v>
      </c>
      <c r="I145" s="4" t="str">
        <f t="shared" si="15"/>
        <v>|Abúqír|</v>
      </c>
      <c r="J145" s="3" t="str">
        <f t="shared" si="16"/>
        <v>|Abuqir|</v>
      </c>
      <c r="K145" s="3" t="str">
        <f t="shared" si="17"/>
        <v>Abuqir</v>
      </c>
      <c r="M145" s="5"/>
      <c r="N145" s="39" t="str">
        <f t="shared" si="18"/>
        <v/>
      </c>
      <c r="O145" s="5"/>
      <c r="P145" s="39" t="str">
        <f t="shared" si="19"/>
        <v/>
      </c>
      <c r="Q145" s="5"/>
      <c r="R145" s="39" t="str">
        <f t="shared" si="20"/>
        <v/>
      </c>
    </row>
    <row r="146" spans="1:21">
      <c r="A146" s="179" t="s">
        <v>358</v>
      </c>
      <c r="B146" s="185" t="s">
        <v>5033</v>
      </c>
      <c r="C146" s="35" t="str">
        <f t="shared" si="14"/>
        <v>AbuRahim</v>
      </c>
      <c r="D146" s="5"/>
      <c r="E146" s="40"/>
      <c r="F146" s="14"/>
      <c r="G146" s="17"/>
      <c r="H146" s="10" t="s">
        <v>8563</v>
      </c>
      <c r="I146" s="4" t="str">
        <f t="shared" si="15"/>
        <v>|Abú-Raḥím|</v>
      </c>
      <c r="J146" s="3" t="str">
        <f t="shared" si="16"/>
        <v>|Abu-Rahim|</v>
      </c>
      <c r="K146" s="3" t="str">
        <f t="shared" si="17"/>
        <v>Abu-Rahim</v>
      </c>
      <c r="M146" s="5"/>
      <c r="N146" s="39" t="str">
        <f t="shared" si="18"/>
        <v/>
      </c>
      <c r="O146" s="5"/>
      <c r="P146" s="39" t="str">
        <f t="shared" si="19"/>
        <v/>
      </c>
      <c r="Q146" s="5"/>
      <c r="R146" s="39" t="str">
        <f t="shared" si="20"/>
        <v/>
      </c>
    </row>
    <row r="147" spans="1:21">
      <c r="A147" s="179" t="s">
        <v>359</v>
      </c>
      <c r="B147" s="185" t="s">
        <v>8838</v>
      </c>
      <c r="C147" s="35" t="str">
        <f t="shared" si="14"/>
        <v>AbushShurur</v>
      </c>
      <c r="D147" s="5"/>
      <c r="E147" s="40"/>
      <c r="F147" s="15" t="s">
        <v>360</v>
      </c>
      <c r="G147" s="17"/>
      <c r="H147" s="10" t="s">
        <v>8563</v>
      </c>
      <c r="I147" s="4" t="str">
        <f t="shared" si="15"/>
        <v>|Abú’-urúr|</v>
      </c>
      <c r="J147" s="3" t="str">
        <f t="shared" si="16"/>
        <v>|Abu'sh-Shurur|</v>
      </c>
      <c r="K147" s="3" t="str">
        <f t="shared" si="17"/>
        <v>Abush-Shurur</v>
      </c>
      <c r="M147" s="5"/>
      <c r="N147" s="39" t="str">
        <f t="shared" si="18"/>
        <v/>
      </c>
      <c r="O147" s="5"/>
      <c r="P147" s="39" t="str">
        <f t="shared" si="19"/>
        <v/>
      </c>
      <c r="Q147" s="5"/>
      <c r="R147" s="39" t="str">
        <f t="shared" si="20"/>
        <v/>
      </c>
    </row>
    <row r="148" spans="1:21">
      <c r="A148" s="179" t="s">
        <v>361</v>
      </c>
      <c r="B148" s="185" t="s">
        <v>5034</v>
      </c>
      <c r="C148" s="35" t="str">
        <f t="shared" si="14"/>
        <v>AbuSinan</v>
      </c>
      <c r="D148" s="5"/>
      <c r="E148" s="40"/>
      <c r="F148" s="15"/>
      <c r="G148" s="17"/>
      <c r="H148" s="10" t="s">
        <v>8563</v>
      </c>
      <c r="I148" s="4" t="str">
        <f t="shared" si="15"/>
        <v>|Abú-Sinán|</v>
      </c>
      <c r="J148" s="3" t="str">
        <f t="shared" si="16"/>
        <v>|Abu-Sinan|</v>
      </c>
      <c r="K148" s="3" t="str">
        <f t="shared" si="17"/>
        <v>Abu-Sinan</v>
      </c>
      <c r="M148" s="5"/>
      <c r="N148" s="39" t="str">
        <f t="shared" si="18"/>
        <v/>
      </c>
      <c r="O148" s="5"/>
      <c r="P148" s="39" t="str">
        <f t="shared" si="19"/>
        <v/>
      </c>
      <c r="Q148" s="5"/>
      <c r="R148" s="39" t="str">
        <f t="shared" si="20"/>
        <v/>
      </c>
    </row>
    <row r="149" spans="1:21">
      <c r="A149" s="180"/>
      <c r="B149" s="185" t="s">
        <v>122</v>
      </c>
      <c r="C149" s="35" t="str">
        <f t="shared" si="14"/>
        <v>AbuSufyan</v>
      </c>
      <c r="D149" s="5"/>
      <c r="E149" s="40"/>
      <c r="F149" s="10"/>
      <c r="G149" s="17"/>
      <c r="H149" s="11" t="s">
        <v>77</v>
      </c>
      <c r="I149" s="4" t="str">
        <f t="shared" si="15"/>
        <v>|Abú-Sufyán|</v>
      </c>
      <c r="J149" s="3" t="str">
        <f t="shared" si="16"/>
        <v>|Abu-Sufyan|</v>
      </c>
      <c r="K149" s="3" t="str">
        <f t="shared" si="17"/>
        <v>Abu-Sufyan</v>
      </c>
      <c r="M149" s="2"/>
      <c r="N149" s="39" t="str">
        <f t="shared" si="18"/>
        <v/>
      </c>
      <c r="O149" s="2"/>
      <c r="P149" s="39" t="str">
        <f t="shared" si="19"/>
        <v/>
      </c>
      <c r="Q149" s="2"/>
      <c r="R149" s="39" t="str">
        <f t="shared" si="20"/>
        <v/>
      </c>
      <c r="U149" s="38"/>
    </row>
    <row r="150" spans="1:21">
      <c r="A150" s="179" t="s">
        <v>362</v>
      </c>
      <c r="B150" s="185" t="s">
        <v>91</v>
      </c>
      <c r="C150" s="35" t="str">
        <f t="shared" si="14"/>
        <v>AbuTalib</v>
      </c>
      <c r="D150" s="5"/>
      <c r="E150" s="40"/>
      <c r="F150" s="15" t="s">
        <v>363</v>
      </c>
      <c r="G150" s="17"/>
      <c r="H150" s="10" t="s">
        <v>8563</v>
      </c>
      <c r="I150" s="4" t="str">
        <f t="shared" si="15"/>
        <v>|Abú-Ṭálib|</v>
      </c>
      <c r="J150" s="3" t="str">
        <f t="shared" si="16"/>
        <v>|Abu-Talib|</v>
      </c>
      <c r="K150" s="3" t="str">
        <f t="shared" si="17"/>
        <v>Abu-Talib</v>
      </c>
      <c r="M150" s="5"/>
      <c r="N150" s="39" t="str">
        <f t="shared" si="18"/>
        <v/>
      </c>
      <c r="O150" s="5"/>
      <c r="P150" s="39" t="str">
        <f t="shared" si="19"/>
        <v/>
      </c>
      <c r="Q150" s="5"/>
      <c r="R150" s="39" t="str">
        <f t="shared" si="20"/>
        <v/>
      </c>
    </row>
    <row r="151" spans="1:21">
      <c r="A151" s="179" t="s">
        <v>364</v>
      </c>
      <c r="B151" s="185" t="s">
        <v>5035</v>
      </c>
      <c r="C151" s="35" t="str">
        <f t="shared" si="14"/>
        <v>AbuTalibiSangSari</v>
      </c>
      <c r="D151" s="5"/>
      <c r="E151" s="40"/>
      <c r="F151" s="14"/>
      <c r="G151" s="17"/>
      <c r="H151" s="10" t="s">
        <v>8563</v>
      </c>
      <c r="I151" s="4" t="str">
        <f t="shared" si="15"/>
        <v>|Abú-Tálib-i-Sang-Sarí|</v>
      </c>
      <c r="J151" s="3" t="str">
        <f t="shared" si="16"/>
        <v>|Abu-Talib-i-Sang-Sari|</v>
      </c>
      <c r="K151" s="3" t="str">
        <f t="shared" si="17"/>
        <v>Abu-Talib-i-Sang-Sari</v>
      </c>
      <c r="M151" s="5"/>
      <c r="N151" s="39" t="str">
        <f t="shared" si="18"/>
        <v/>
      </c>
      <c r="O151" s="5"/>
      <c r="P151" s="39" t="str">
        <f t="shared" si="19"/>
        <v/>
      </c>
      <c r="Q151" s="5"/>
      <c r="R151" s="39" t="str">
        <f t="shared" si="20"/>
        <v/>
      </c>
    </row>
    <row r="152" spans="1:21">
      <c r="A152" s="179" t="s">
        <v>365</v>
      </c>
      <c r="B152" s="185" t="s">
        <v>5036</v>
      </c>
      <c r="C152" s="35" t="str">
        <f t="shared" si="14"/>
        <v>AbuTalibiShahmirzadi</v>
      </c>
      <c r="D152" s="5"/>
      <c r="E152" s="40"/>
      <c r="F152" s="15"/>
      <c r="G152" s="17"/>
      <c r="H152" s="10" t="s">
        <v>8563</v>
      </c>
      <c r="I152" s="4" t="str">
        <f t="shared" si="15"/>
        <v>|Abú-Ṭálib-i-ahmírzádí|</v>
      </c>
      <c r="J152" s="3" t="str">
        <f t="shared" si="16"/>
        <v>|Abu-Talib-i-Shahmirzadi|</v>
      </c>
      <c r="K152" s="3" t="str">
        <f t="shared" si="17"/>
        <v>Abu-Talib-i-Shahmirzadi</v>
      </c>
      <c r="M152" s="5"/>
      <c r="N152" s="39" t="str">
        <f t="shared" si="18"/>
        <v/>
      </c>
      <c r="O152" s="5"/>
      <c r="P152" s="39" t="str">
        <f t="shared" si="19"/>
        <v/>
      </c>
      <c r="Q152" s="5"/>
      <c r="R152" s="39" t="str">
        <f t="shared" si="20"/>
        <v/>
      </c>
    </row>
    <row r="153" spans="1:21">
      <c r="A153" s="179" t="s">
        <v>366</v>
      </c>
      <c r="B153" s="185" t="s">
        <v>5037</v>
      </c>
      <c r="C153" s="35" t="str">
        <f t="shared" si="14"/>
        <v>AbuTurab</v>
      </c>
      <c r="D153" s="5"/>
      <c r="E153" s="40"/>
      <c r="F153" s="14"/>
      <c r="G153" s="17"/>
      <c r="H153" s="10" t="s">
        <v>8563</v>
      </c>
      <c r="I153" s="4" t="str">
        <f t="shared" si="15"/>
        <v>|Abú-Turáb|</v>
      </c>
      <c r="J153" s="3" t="str">
        <f t="shared" si="16"/>
        <v>|Abu-Turab|</v>
      </c>
      <c r="K153" s="3" t="str">
        <f t="shared" si="17"/>
        <v>Abu-Turab</v>
      </c>
      <c r="M153" s="5"/>
      <c r="N153" s="39" t="str">
        <f t="shared" si="18"/>
        <v/>
      </c>
      <c r="O153" s="5"/>
      <c r="P153" s="39" t="str">
        <f t="shared" si="19"/>
        <v/>
      </c>
      <c r="Q153" s="5"/>
      <c r="R153" s="39" t="str">
        <f t="shared" si="20"/>
        <v/>
      </c>
    </row>
    <row r="154" spans="1:21">
      <c r="A154" s="179" t="s">
        <v>367</v>
      </c>
      <c r="B154" s="185" t="s">
        <v>5038</v>
      </c>
      <c r="C154" s="35" t="str">
        <f t="shared" si="14"/>
        <v>AbuTurabiQazvini</v>
      </c>
      <c r="D154" s="5"/>
      <c r="E154" s="40"/>
      <c r="F154" s="14"/>
      <c r="G154" s="17"/>
      <c r="H154" s="10" t="s">
        <v>8563</v>
      </c>
      <c r="I154" s="4" t="str">
        <f t="shared" si="15"/>
        <v>|Abú-Turáb-i-Qazvíní|</v>
      </c>
      <c r="J154" s="3" t="str">
        <f t="shared" si="16"/>
        <v>|Abu-Turab-i-Qazvini|</v>
      </c>
      <c r="K154" s="3" t="str">
        <f t="shared" si="17"/>
        <v>Abu-Turab-i-Qazvini</v>
      </c>
      <c r="M154" s="5"/>
      <c r="N154" s="39" t="str">
        <f t="shared" si="18"/>
        <v/>
      </c>
      <c r="O154" s="5"/>
      <c r="P154" s="39" t="str">
        <f t="shared" si="19"/>
        <v/>
      </c>
      <c r="Q154" s="5"/>
      <c r="R154" s="39" t="str">
        <f t="shared" si="20"/>
        <v/>
      </c>
    </row>
    <row r="155" spans="1:21">
      <c r="A155" s="179" t="s">
        <v>368</v>
      </c>
      <c r="B155" s="185" t="s">
        <v>5039</v>
      </c>
      <c r="C155" s="35" t="str">
        <f t="shared" si="14"/>
        <v>AbuUmarUthman</v>
      </c>
      <c r="D155" s="5"/>
      <c r="E155" s="40"/>
      <c r="F155" s="15"/>
      <c r="G155" s="17"/>
      <c r="H155" s="10" t="s">
        <v>8563</v>
      </c>
      <c r="I155" s="4" t="str">
        <f t="shared" si="15"/>
        <v>|Abú-ʿUmar-ʿUmán|</v>
      </c>
      <c r="J155" s="3" t="str">
        <f t="shared" si="16"/>
        <v>|Abu-'Umar-'Uthman|</v>
      </c>
      <c r="K155" s="3" t="str">
        <f t="shared" si="17"/>
        <v>Abu-Umar-Uthman</v>
      </c>
      <c r="M155" s="5"/>
      <c r="N155" s="39" t="str">
        <f t="shared" si="18"/>
        <v/>
      </c>
      <c r="O155" s="5"/>
      <c r="P155" s="39" t="str">
        <f t="shared" si="19"/>
        <v/>
      </c>
      <c r="Q155" s="5"/>
      <c r="R155" s="39" t="str">
        <f t="shared" si="20"/>
        <v/>
      </c>
    </row>
    <row r="156" spans="1:21">
      <c r="A156" s="179" t="s">
        <v>369</v>
      </c>
      <c r="B156" s="185" t="s">
        <v>5040</v>
      </c>
      <c r="C156" s="35" t="str">
        <f t="shared" si="14"/>
        <v>Abvab</v>
      </c>
      <c r="D156" s="5"/>
      <c r="E156" s="40"/>
      <c r="F156" s="15" t="s">
        <v>370</v>
      </c>
      <c r="G156" s="17"/>
      <c r="H156" s="10" t="s">
        <v>8563</v>
      </c>
      <c r="I156" s="4" t="str">
        <f t="shared" si="15"/>
        <v>|Abváb|</v>
      </c>
      <c r="J156" s="3" t="str">
        <f t="shared" si="16"/>
        <v>|Abvab|</v>
      </c>
      <c r="K156" s="3" t="str">
        <f t="shared" si="17"/>
        <v>Abvab</v>
      </c>
      <c r="M156" s="5"/>
      <c r="N156" s="39" t="str">
        <f t="shared" si="18"/>
        <v/>
      </c>
      <c r="O156" s="5"/>
      <c r="P156" s="39" t="str">
        <f t="shared" si="19"/>
        <v/>
      </c>
      <c r="Q156" s="5"/>
      <c r="R156" s="39" t="str">
        <f t="shared" si="20"/>
        <v/>
      </c>
    </row>
    <row r="157" spans="1:21">
      <c r="A157" s="179" t="s">
        <v>371</v>
      </c>
      <c r="B157" s="185" t="s">
        <v>8839</v>
      </c>
      <c r="C157" s="35" t="str">
        <f t="shared" si="14"/>
        <v>AbvabiArbaih</v>
      </c>
      <c r="D157" s="5"/>
      <c r="E157" s="40"/>
      <c r="F157" s="15" t="s">
        <v>372</v>
      </c>
      <c r="G157" s="17"/>
      <c r="H157" s="10" t="s">
        <v>8563</v>
      </c>
      <c r="I157" s="4" t="str">
        <f t="shared" si="15"/>
        <v>|Abváb-i-Arbaʿih|</v>
      </c>
      <c r="J157" s="3" t="str">
        <f t="shared" si="16"/>
        <v>|Abvab-i-Arba'ih|</v>
      </c>
      <c r="K157" s="3" t="str">
        <f t="shared" si="17"/>
        <v>Abvab-i-Arbaih</v>
      </c>
      <c r="M157" s="5"/>
      <c r="N157" s="39" t="str">
        <f t="shared" si="18"/>
        <v/>
      </c>
      <c r="O157" s="5"/>
      <c r="P157" s="39" t="str">
        <f t="shared" si="19"/>
        <v/>
      </c>
      <c r="Q157" s="5"/>
      <c r="R157" s="39" t="str">
        <f t="shared" si="20"/>
        <v/>
      </c>
    </row>
    <row r="158" spans="1:21">
      <c r="A158" s="179" t="s">
        <v>312</v>
      </c>
      <c r="B158" s="185" t="s">
        <v>8836</v>
      </c>
      <c r="C158" s="35" t="str">
        <f t="shared" si="14"/>
        <v>Abyanih</v>
      </c>
      <c r="D158" s="5"/>
      <c r="E158" s="40"/>
      <c r="F158" s="15"/>
      <c r="G158" s="17"/>
      <c r="H158" s="10" t="s">
        <v>8563</v>
      </c>
      <c r="I158" s="4" t="str">
        <f t="shared" si="15"/>
        <v>|Abyánih|</v>
      </c>
      <c r="J158" s="3" t="str">
        <f t="shared" si="16"/>
        <v>|Abyanih|</v>
      </c>
      <c r="K158" s="3" t="str">
        <f t="shared" si="17"/>
        <v>Abyanih</v>
      </c>
      <c r="M158" s="5"/>
      <c r="N158" s="39" t="str">
        <f t="shared" si="18"/>
        <v/>
      </c>
      <c r="O158" s="5"/>
      <c r="P158" s="39" t="str">
        <f t="shared" si="19"/>
        <v/>
      </c>
      <c r="Q158" s="5"/>
      <c r="R158" s="39" t="str">
        <f t="shared" si="20"/>
        <v/>
      </c>
    </row>
    <row r="159" spans="1:21">
      <c r="A159" s="179" t="s">
        <v>373</v>
      </c>
      <c r="B159" s="185" t="s">
        <v>5041</v>
      </c>
      <c r="C159" s="35" t="str">
        <f t="shared" si="14"/>
        <v>Ad</v>
      </c>
      <c r="D159" s="5"/>
      <c r="E159" s="40"/>
      <c r="F159" s="14"/>
      <c r="G159" s="17"/>
      <c r="H159" s="10" t="s">
        <v>8563</v>
      </c>
      <c r="I159" s="4" t="str">
        <f t="shared" si="15"/>
        <v>|ʿÁd|</v>
      </c>
      <c r="J159" s="3" t="str">
        <f t="shared" si="16"/>
        <v>|'Ad|</v>
      </c>
      <c r="K159" s="3" t="str">
        <f t="shared" si="17"/>
        <v>Ad</v>
      </c>
      <c r="M159" s="5"/>
      <c r="N159" s="39" t="str">
        <f t="shared" si="18"/>
        <v/>
      </c>
      <c r="O159" s="5"/>
      <c r="P159" s="39" t="str">
        <f t="shared" si="19"/>
        <v/>
      </c>
      <c r="Q159" s="5"/>
      <c r="R159" s="39" t="str">
        <f t="shared" si="20"/>
        <v/>
      </c>
    </row>
    <row r="160" spans="1:21">
      <c r="A160" s="179" t="s">
        <v>374</v>
      </c>
      <c r="B160" s="185" t="s">
        <v>5042</v>
      </c>
      <c r="C160" s="35" t="str">
        <f t="shared" si="14"/>
        <v>Adabiyyat</v>
      </c>
      <c r="D160" s="5"/>
      <c r="E160" s="40"/>
      <c r="F160" s="15"/>
      <c r="G160" s="17"/>
      <c r="H160" s="10" t="s">
        <v>8563</v>
      </c>
      <c r="I160" s="4" t="str">
        <f t="shared" si="15"/>
        <v>|Adabíyyát|</v>
      </c>
      <c r="J160" s="3" t="str">
        <f t="shared" si="16"/>
        <v>|Adabiyyat|</v>
      </c>
      <c r="K160" s="3" t="str">
        <f t="shared" si="17"/>
        <v>Adabiyyat</v>
      </c>
      <c r="M160" s="5"/>
      <c r="N160" s="39" t="str">
        <f t="shared" si="18"/>
        <v/>
      </c>
      <c r="O160" s="5"/>
      <c r="P160" s="39" t="str">
        <f t="shared" si="19"/>
        <v/>
      </c>
      <c r="Q160" s="5"/>
      <c r="R160" s="39" t="str">
        <f t="shared" si="20"/>
        <v/>
      </c>
    </row>
    <row r="161" spans="1:21">
      <c r="A161" s="179" t="s">
        <v>375</v>
      </c>
      <c r="B161" s="185" t="s">
        <v>5043</v>
      </c>
      <c r="C161" s="35" t="str">
        <f t="shared" si="14"/>
        <v>Adasiyyih</v>
      </c>
      <c r="D161" s="5"/>
      <c r="E161" s="40"/>
      <c r="F161" s="14"/>
      <c r="G161" s="17"/>
      <c r="H161" s="10" t="s">
        <v>8563</v>
      </c>
      <c r="I161" s="4" t="str">
        <f t="shared" si="15"/>
        <v>|ʿAdasíyyih|</v>
      </c>
      <c r="J161" s="3" t="str">
        <f t="shared" si="16"/>
        <v>|'Adasiyyih|</v>
      </c>
      <c r="K161" s="3" t="str">
        <f t="shared" si="17"/>
        <v>Adasiyyih</v>
      </c>
      <c r="M161" s="5"/>
      <c r="N161" s="39" t="str">
        <f t="shared" si="18"/>
        <v/>
      </c>
      <c r="O161" s="5"/>
      <c r="P161" s="39" t="str">
        <f t="shared" si="19"/>
        <v/>
      </c>
      <c r="Q161" s="5"/>
      <c r="R161" s="39" t="str">
        <f t="shared" si="20"/>
        <v/>
      </c>
    </row>
    <row r="162" spans="1:21">
      <c r="A162" s="179" t="s">
        <v>376</v>
      </c>
      <c r="B162" s="185" t="s">
        <v>5044</v>
      </c>
      <c r="C162" s="35" t="str">
        <f t="shared" si="14"/>
        <v>adDarir</v>
      </c>
      <c r="D162" s="5"/>
      <c r="E162" s="40"/>
      <c r="F162" s="15"/>
      <c r="G162" s="17"/>
      <c r="H162" s="10" t="s">
        <v>8563</v>
      </c>
      <c r="I162" s="4" t="str">
        <f t="shared" si="15"/>
        <v>|aḍ-Ḍarír|</v>
      </c>
      <c r="J162" s="3" t="str">
        <f t="shared" si="16"/>
        <v>|ad-Darir|</v>
      </c>
      <c r="K162" s="3" t="str">
        <f t="shared" si="17"/>
        <v>ad-Darir</v>
      </c>
      <c r="M162" s="5"/>
      <c r="N162" s="39" t="str">
        <f t="shared" si="18"/>
        <v/>
      </c>
      <c r="O162" s="5"/>
      <c r="P162" s="39" t="str">
        <f t="shared" si="19"/>
        <v/>
      </c>
      <c r="Q162" s="5"/>
      <c r="R162" s="39" t="str">
        <f t="shared" si="20"/>
        <v/>
      </c>
    </row>
    <row r="163" spans="1:21">
      <c r="A163" s="179" t="s">
        <v>559</v>
      </c>
      <c r="B163" s="185" t="s">
        <v>5173</v>
      </c>
      <c r="C163" s="35" t="str">
        <f t="shared" si="14"/>
        <v>adDin</v>
      </c>
      <c r="D163" s="5"/>
      <c r="E163" s="40"/>
      <c r="F163" s="15"/>
      <c r="G163" s="17"/>
      <c r="H163" s="10" t="s">
        <v>8563</v>
      </c>
      <c r="I163" s="4" t="str">
        <f t="shared" si="15"/>
        <v>|ad-Dín|</v>
      </c>
      <c r="J163" s="3" t="str">
        <f t="shared" si="16"/>
        <v>|ad-Din|</v>
      </c>
      <c r="K163" s="3" t="str">
        <f t="shared" si="17"/>
        <v>ad-Din</v>
      </c>
      <c r="M163" s="5"/>
      <c r="N163" s="39" t="str">
        <f t="shared" si="18"/>
        <v/>
      </c>
      <c r="O163" s="5"/>
      <c r="P163" s="39" t="str">
        <f t="shared" si="19"/>
        <v/>
      </c>
      <c r="Q163" s="5"/>
      <c r="R163" s="39" t="str">
        <f t="shared" si="20"/>
        <v/>
      </c>
    </row>
    <row r="164" spans="1:21">
      <c r="A164" s="179" t="s">
        <v>377</v>
      </c>
      <c r="B164" s="185" t="s">
        <v>8840</v>
      </c>
      <c r="C164" s="35" t="str">
        <f t="shared" si="14"/>
        <v>adDurrulBahiyyih</v>
      </c>
      <c r="D164" s="5"/>
      <c r="E164" s="40"/>
      <c r="F164" s="15"/>
      <c r="G164" s="17"/>
      <c r="H164" s="10" t="s">
        <v>8563</v>
      </c>
      <c r="I164" s="4" t="str">
        <f t="shared" si="15"/>
        <v>|ad-Durru’l-Bahíyyih|</v>
      </c>
      <c r="J164" s="3" t="str">
        <f t="shared" si="16"/>
        <v>|ad-Durru'l-Bahiyyih|</v>
      </c>
      <c r="K164" s="3" t="str">
        <f t="shared" si="17"/>
        <v>ad-Durrul-Bahiyyih</v>
      </c>
      <c r="M164" s="5"/>
      <c r="N164" s="39" t="str">
        <f t="shared" si="18"/>
        <v/>
      </c>
      <c r="O164" s="5"/>
      <c r="P164" s="39" t="str">
        <f t="shared" si="19"/>
        <v/>
      </c>
      <c r="Q164" s="5"/>
      <c r="R164" s="39" t="str">
        <f t="shared" si="20"/>
        <v/>
      </c>
    </row>
    <row r="165" spans="1:21">
      <c r="A165" s="179" t="s">
        <v>378</v>
      </c>
      <c r="B165" s="185" t="s">
        <v>5045</v>
      </c>
      <c r="C165" s="35" t="str">
        <f t="shared" si="14"/>
        <v>Adhan</v>
      </c>
      <c r="D165" s="5"/>
      <c r="E165" s="40"/>
      <c r="F165" s="14" t="s">
        <v>379</v>
      </c>
      <c r="G165" s="17"/>
      <c r="H165" s="10" t="s">
        <v>8563</v>
      </c>
      <c r="I165" s="4" t="str">
        <f t="shared" si="15"/>
        <v>|Aán|</v>
      </c>
      <c r="J165" s="3" t="str">
        <f t="shared" si="16"/>
        <v>|Adhan|</v>
      </c>
      <c r="K165" s="3" t="str">
        <f t="shared" si="17"/>
        <v>Adhan</v>
      </c>
      <c r="M165" s="5"/>
      <c r="N165" s="39" t="str">
        <f t="shared" si="18"/>
        <v/>
      </c>
      <c r="O165" s="5"/>
      <c r="P165" s="39" t="str">
        <f t="shared" si="19"/>
        <v/>
      </c>
      <c r="Q165" s="5"/>
      <c r="R165" s="39" t="str">
        <f t="shared" si="20"/>
        <v/>
      </c>
    </row>
    <row r="166" spans="1:21">
      <c r="A166" s="179" t="s">
        <v>380</v>
      </c>
      <c r="B166" s="185" t="s">
        <v>5046</v>
      </c>
      <c r="C166" s="35" t="str">
        <f t="shared" si="14"/>
        <v>Adharbayjan</v>
      </c>
      <c r="D166" s="5"/>
      <c r="E166" s="40" t="s">
        <v>9115</v>
      </c>
      <c r="F166" s="15" t="s">
        <v>381</v>
      </c>
      <c r="G166" s="17" t="s">
        <v>8841</v>
      </c>
      <c r="H166" s="10" t="s">
        <v>8563</v>
      </c>
      <c r="I166" s="4" t="str">
        <f t="shared" si="15"/>
        <v>|Áarbáyján|</v>
      </c>
      <c r="J166" s="3" t="str">
        <f t="shared" si="16"/>
        <v>|Adharbayjan|</v>
      </c>
      <c r="K166" s="3" t="str">
        <f t="shared" si="17"/>
        <v>Adharbayjan</v>
      </c>
      <c r="M166" s="5"/>
      <c r="N166" s="39" t="str">
        <f t="shared" si="18"/>
        <v/>
      </c>
      <c r="O166" s="5"/>
      <c r="P166" s="39" t="str">
        <f t="shared" si="19"/>
        <v/>
      </c>
      <c r="Q166" s="5"/>
      <c r="R166" s="39" t="str">
        <f t="shared" si="20"/>
        <v/>
      </c>
    </row>
    <row r="167" spans="1:21">
      <c r="A167" s="179" t="s">
        <v>382</v>
      </c>
      <c r="B167" s="185" t="s">
        <v>5047</v>
      </c>
      <c r="C167" s="35" t="str">
        <f t="shared" si="14"/>
        <v>adhDhatiyyih</v>
      </c>
      <c r="D167" s="5"/>
      <c r="E167" s="40"/>
      <c r="F167" s="15"/>
      <c r="G167" s="17"/>
      <c r="H167" s="10" t="s">
        <v>8563</v>
      </c>
      <c r="I167" s="4" t="str">
        <f t="shared" si="15"/>
        <v>|a-átíyyih|</v>
      </c>
      <c r="J167" s="3" t="str">
        <f t="shared" si="16"/>
        <v>|adh-Dhatiyyih|</v>
      </c>
      <c r="K167" s="3" t="str">
        <f t="shared" si="17"/>
        <v>adh-Dhatiyyih</v>
      </c>
      <c r="M167" s="5"/>
      <c r="N167" s="39" t="str">
        <f t="shared" si="18"/>
        <v/>
      </c>
      <c r="O167" s="5"/>
      <c r="P167" s="39" t="str">
        <f t="shared" si="19"/>
        <v/>
      </c>
      <c r="Q167" s="5"/>
      <c r="R167" s="39" t="str">
        <f t="shared" si="20"/>
        <v/>
      </c>
    </row>
    <row r="168" spans="1:21">
      <c r="A168" s="179" t="s">
        <v>380</v>
      </c>
      <c r="B168" s="185" t="s">
        <v>7</v>
      </c>
      <c r="C168" s="35" t="str">
        <f t="shared" si="14"/>
        <v>Adhirbayjan</v>
      </c>
      <c r="D168" s="5"/>
      <c r="E168" s="40" t="s">
        <v>9115</v>
      </c>
      <c r="F168" s="14"/>
      <c r="G168" s="17" t="s">
        <v>9356</v>
      </c>
      <c r="H168" s="10" t="s">
        <v>8563</v>
      </c>
      <c r="I168" s="4" t="str">
        <f t="shared" si="15"/>
        <v>|Áirbáyján|</v>
      </c>
      <c r="J168" s="3" t="str">
        <f t="shared" si="16"/>
        <v>|Adhirbayjan|</v>
      </c>
      <c r="K168" s="3" t="str">
        <f t="shared" si="17"/>
        <v>Adhirbayjan</v>
      </c>
      <c r="M168" s="5"/>
      <c r="N168" s="39" t="str">
        <f t="shared" si="18"/>
        <v/>
      </c>
      <c r="O168" s="5"/>
      <c r="P168" s="39" t="str">
        <f t="shared" si="19"/>
        <v/>
      </c>
      <c r="Q168" s="5"/>
      <c r="R168" s="39" t="str">
        <f t="shared" si="20"/>
        <v/>
      </c>
      <c r="T168" s="29">
        <v>41791</v>
      </c>
      <c r="U168" s="28" t="s">
        <v>9446</v>
      </c>
    </row>
    <row r="169" spans="1:21">
      <c r="A169" s="179" t="s">
        <v>383</v>
      </c>
      <c r="B169" s="185" t="s">
        <v>5048</v>
      </c>
      <c r="C169" s="35" t="str">
        <f t="shared" si="14"/>
        <v>Adhkar</v>
      </c>
      <c r="D169" s="5"/>
      <c r="E169" s="40"/>
      <c r="F169" s="14"/>
      <c r="G169" s="17"/>
      <c r="H169" s="10" t="s">
        <v>8563</v>
      </c>
      <c r="I169" s="4" t="str">
        <f t="shared" si="15"/>
        <v>|Akár|</v>
      </c>
      <c r="J169" s="3" t="str">
        <f t="shared" si="16"/>
        <v>|Adhkar|</v>
      </c>
      <c r="K169" s="3" t="str">
        <f t="shared" si="17"/>
        <v>Adhkar</v>
      </c>
      <c r="M169" s="5"/>
      <c r="N169" s="39" t="str">
        <f t="shared" si="18"/>
        <v/>
      </c>
      <c r="O169" s="5"/>
      <c r="P169" s="39" t="str">
        <f t="shared" si="19"/>
        <v/>
      </c>
      <c r="Q169" s="5"/>
      <c r="R169" s="39" t="str">
        <f t="shared" si="20"/>
        <v/>
      </c>
    </row>
    <row r="170" spans="1:21">
      <c r="A170" s="179" t="s">
        <v>384</v>
      </c>
      <c r="B170" s="185" t="s">
        <v>5049</v>
      </c>
      <c r="C170" s="35" t="str">
        <f t="shared" si="14"/>
        <v>Adib</v>
      </c>
      <c r="D170" s="5"/>
      <c r="E170" s="40"/>
      <c r="F170" s="14" t="s">
        <v>385</v>
      </c>
      <c r="G170" s="17"/>
      <c r="H170" s="10" t="s">
        <v>8563</v>
      </c>
      <c r="I170" s="4" t="str">
        <f t="shared" si="15"/>
        <v>|Adíb|</v>
      </c>
      <c r="J170" s="3" t="str">
        <f t="shared" si="16"/>
        <v>|Adib|</v>
      </c>
      <c r="K170" s="3" t="str">
        <f t="shared" si="17"/>
        <v>Adib</v>
      </c>
      <c r="M170" s="5"/>
      <c r="N170" s="39" t="str">
        <f t="shared" si="18"/>
        <v/>
      </c>
      <c r="O170" s="5"/>
      <c r="P170" s="39" t="str">
        <f t="shared" si="19"/>
        <v/>
      </c>
      <c r="Q170" s="5"/>
      <c r="R170" s="39" t="str">
        <f t="shared" si="20"/>
        <v/>
      </c>
    </row>
    <row r="171" spans="1:21">
      <c r="A171" s="179" t="s">
        <v>386</v>
      </c>
      <c r="B171" s="185" t="s">
        <v>5050</v>
      </c>
      <c r="C171" s="35" t="str">
        <f t="shared" si="14"/>
        <v>AdibiIlahi</v>
      </c>
      <c r="D171" s="5"/>
      <c r="E171" s="40"/>
      <c r="F171" s="15" t="s">
        <v>387</v>
      </c>
      <c r="G171" s="17"/>
      <c r="H171" s="10" t="s">
        <v>8563</v>
      </c>
      <c r="I171" s="4" t="str">
        <f t="shared" si="15"/>
        <v>|Adíb-i-Iláhí|</v>
      </c>
      <c r="J171" s="3" t="str">
        <f t="shared" si="16"/>
        <v>|Adib-i-Ilahi|</v>
      </c>
      <c r="K171" s="3" t="str">
        <f t="shared" si="17"/>
        <v>Adib-i-Ilahi</v>
      </c>
      <c r="M171" s="5"/>
      <c r="N171" s="39" t="str">
        <f t="shared" si="18"/>
        <v/>
      </c>
      <c r="O171" s="5"/>
      <c r="P171" s="39" t="str">
        <f t="shared" si="19"/>
        <v/>
      </c>
      <c r="Q171" s="5"/>
      <c r="R171" s="39" t="str">
        <f t="shared" si="20"/>
        <v/>
      </c>
    </row>
    <row r="172" spans="1:21">
      <c r="A172" s="179" t="s">
        <v>388</v>
      </c>
      <c r="B172" s="185" t="s">
        <v>5051</v>
      </c>
      <c r="C172" s="35" t="str">
        <f t="shared" si="14"/>
        <v>AdibulUlama</v>
      </c>
      <c r="D172" s="5"/>
      <c r="E172" s="40"/>
      <c r="F172" s="15"/>
      <c r="G172" s="17"/>
      <c r="H172" s="10" t="s">
        <v>8563</v>
      </c>
      <c r="I172" s="4" t="str">
        <f t="shared" si="15"/>
        <v>|Adíbu’l-ʿUlamá|</v>
      </c>
      <c r="J172" s="3" t="str">
        <f t="shared" si="16"/>
        <v>|Adibu'l-'Ulama|</v>
      </c>
      <c r="K172" s="3" t="str">
        <f t="shared" si="17"/>
        <v>Adibul-Ulama</v>
      </c>
      <c r="M172" s="5"/>
      <c r="N172" s="39" t="str">
        <f t="shared" si="18"/>
        <v/>
      </c>
      <c r="O172" s="5"/>
      <c r="P172" s="39" t="str">
        <f t="shared" si="19"/>
        <v/>
      </c>
      <c r="Q172" s="5"/>
      <c r="R172" s="39" t="str">
        <f t="shared" si="20"/>
        <v/>
      </c>
    </row>
    <row r="173" spans="1:21">
      <c r="A173" s="179" t="s">
        <v>389</v>
      </c>
      <c r="B173" s="185" t="s">
        <v>5052</v>
      </c>
      <c r="C173" s="35" t="str">
        <f t="shared" si="14"/>
        <v>Adiyyih</v>
      </c>
      <c r="D173" s="5"/>
      <c r="E173" s="40"/>
      <c r="F173" s="15"/>
      <c r="G173" s="17"/>
      <c r="H173" s="10" t="s">
        <v>8563</v>
      </c>
      <c r="I173" s="4" t="str">
        <f t="shared" si="15"/>
        <v>|Adʿíyyih|</v>
      </c>
      <c r="J173" s="3" t="str">
        <f t="shared" si="16"/>
        <v>|Ad'iyyih|</v>
      </c>
      <c r="K173" s="3" t="str">
        <f t="shared" si="17"/>
        <v>Adiyyih</v>
      </c>
      <c r="M173" s="5"/>
      <c r="N173" s="39" t="str">
        <f t="shared" si="18"/>
        <v/>
      </c>
      <c r="O173" s="5"/>
      <c r="P173" s="39" t="str">
        <f t="shared" si="19"/>
        <v/>
      </c>
      <c r="Q173" s="5"/>
      <c r="R173" s="39" t="str">
        <f t="shared" si="20"/>
        <v/>
      </c>
    </row>
    <row r="174" spans="1:21">
      <c r="A174" s="179" t="s">
        <v>390</v>
      </c>
      <c r="B174" s="185" t="s">
        <v>9119</v>
      </c>
      <c r="C174" s="35" t="str">
        <f t="shared" si="14"/>
        <v>Adja</v>
      </c>
      <c r="D174" s="5"/>
      <c r="E174" s="40" t="s">
        <v>9115</v>
      </c>
      <c r="F174" s="14"/>
      <c r="G174" s="17" t="s">
        <v>9120</v>
      </c>
      <c r="H174" s="10" t="s">
        <v>8563</v>
      </c>
      <c r="I174" s="4" t="str">
        <f t="shared" si="15"/>
        <v>|Adjá|</v>
      </c>
      <c r="J174" s="3" t="str">
        <f t="shared" si="16"/>
        <v>|Adja|</v>
      </c>
      <c r="K174" s="3" t="str">
        <f t="shared" si="17"/>
        <v>Adja</v>
      </c>
      <c r="M174" s="5"/>
      <c r="N174" s="39" t="str">
        <f t="shared" si="18"/>
        <v/>
      </c>
      <c r="O174" s="5"/>
      <c r="P174" s="39" t="str">
        <f t="shared" si="19"/>
        <v/>
      </c>
      <c r="Q174" s="5"/>
      <c r="R174" s="39" t="str">
        <f t="shared" si="20"/>
        <v/>
      </c>
    </row>
    <row r="175" spans="1:21">
      <c r="A175" s="179" t="s">
        <v>391</v>
      </c>
      <c r="B175" s="185" t="s">
        <v>9121</v>
      </c>
      <c r="C175" s="35" t="str">
        <f t="shared" si="14"/>
        <v>Adja</v>
      </c>
      <c r="D175" s="5"/>
      <c r="E175" s="40" t="s">
        <v>9115</v>
      </c>
      <c r="F175" s="15"/>
      <c r="G175" s="17" t="s">
        <v>9122</v>
      </c>
      <c r="H175" s="10" t="s">
        <v>8563</v>
      </c>
      <c r="I175" s="4" t="str">
        <f t="shared" si="15"/>
        <v>|Adjáʿ|</v>
      </c>
      <c r="J175" s="3" t="str">
        <f t="shared" si="16"/>
        <v>|Adja'|</v>
      </c>
      <c r="K175" s="3" t="str">
        <f t="shared" si="17"/>
        <v>Adja</v>
      </c>
      <c r="M175" s="5"/>
      <c r="N175" s="39" t="str">
        <f t="shared" si="18"/>
        <v/>
      </c>
      <c r="O175" s="5"/>
      <c r="P175" s="39" t="str">
        <f t="shared" si="19"/>
        <v/>
      </c>
      <c r="Q175" s="5"/>
      <c r="R175" s="39" t="str">
        <f t="shared" si="20"/>
        <v/>
      </c>
    </row>
    <row r="176" spans="1:21">
      <c r="A176" s="179" t="s">
        <v>392</v>
      </c>
      <c r="B176" s="185" t="s">
        <v>8842</v>
      </c>
      <c r="C176" s="35" t="str">
        <f t="shared" si="14"/>
        <v>Adl</v>
      </c>
      <c r="D176" s="5"/>
      <c r="E176" s="40"/>
      <c r="F176" s="15"/>
      <c r="G176" s="17"/>
      <c r="H176" s="10" t="s">
        <v>8563</v>
      </c>
      <c r="I176" s="4" t="str">
        <f t="shared" si="15"/>
        <v>|ʿAdl|</v>
      </c>
      <c r="J176" s="3" t="str">
        <f t="shared" si="16"/>
        <v>|'Adl|</v>
      </c>
      <c r="K176" s="3" t="str">
        <f t="shared" si="17"/>
        <v>Adl</v>
      </c>
      <c r="M176" s="5"/>
      <c r="N176" s="39" t="str">
        <f t="shared" si="18"/>
        <v/>
      </c>
      <c r="O176" s="5"/>
      <c r="P176" s="39" t="str">
        <f t="shared" si="19"/>
        <v/>
      </c>
      <c r="Q176" s="5"/>
      <c r="R176" s="39" t="str">
        <f t="shared" si="20"/>
        <v/>
      </c>
    </row>
    <row r="177" spans="1:18">
      <c r="A177" s="179" t="s">
        <v>395</v>
      </c>
      <c r="B177" s="185" t="s">
        <v>8843</v>
      </c>
      <c r="C177" s="35" t="str">
        <f t="shared" si="14"/>
        <v>AduddulMulk</v>
      </c>
      <c r="D177" s="5"/>
      <c r="E177" s="40"/>
      <c r="F177" s="15"/>
      <c r="G177" s="17"/>
      <c r="H177" s="10" t="s">
        <v>8563</v>
      </c>
      <c r="I177" s="4" t="str">
        <f t="shared" si="15"/>
        <v>|ʿAḍuddu’l-Mulk|</v>
      </c>
      <c r="J177" s="3" t="str">
        <f t="shared" si="16"/>
        <v>|'Aduddu'l-Mulk|</v>
      </c>
      <c r="K177" s="3" t="str">
        <f t="shared" si="17"/>
        <v>Aduddul-Mulk</v>
      </c>
      <c r="M177" s="5"/>
      <c r="N177" s="39" t="str">
        <f t="shared" si="18"/>
        <v/>
      </c>
      <c r="O177" s="5"/>
      <c r="P177" s="39" t="str">
        <f t="shared" si="19"/>
        <v/>
      </c>
      <c r="Q177" s="5"/>
      <c r="R177" s="39" t="str">
        <f t="shared" si="20"/>
        <v/>
      </c>
    </row>
    <row r="178" spans="1:18">
      <c r="A178" s="179" t="s">
        <v>393</v>
      </c>
      <c r="B178" s="185" t="s">
        <v>5053</v>
      </c>
      <c r="C178" s="35" t="str">
        <f t="shared" si="14"/>
        <v>AdududDawlih</v>
      </c>
      <c r="D178" s="5"/>
      <c r="E178" s="40"/>
      <c r="F178" s="15" t="s">
        <v>394</v>
      </c>
      <c r="G178" s="17"/>
      <c r="H178" s="10" t="s">
        <v>8563</v>
      </c>
      <c r="I178" s="4" t="str">
        <f t="shared" si="15"/>
        <v>|ʿAḍudu’d-Dawlih|</v>
      </c>
      <c r="J178" s="3" t="str">
        <f t="shared" si="16"/>
        <v>|'Adudu'd-Dawlih|</v>
      </c>
      <c r="K178" s="3" t="str">
        <f t="shared" si="17"/>
        <v>Adudud-Dawlih</v>
      </c>
      <c r="M178" s="5"/>
      <c r="N178" s="39" t="str">
        <f t="shared" si="18"/>
        <v/>
      </c>
      <c r="O178" s="5"/>
      <c r="P178" s="39" t="str">
        <f t="shared" si="19"/>
        <v/>
      </c>
      <c r="Q178" s="5"/>
      <c r="R178" s="39" t="str">
        <f t="shared" si="20"/>
        <v/>
      </c>
    </row>
    <row r="179" spans="1:18">
      <c r="A179" s="179" t="s">
        <v>396</v>
      </c>
      <c r="B179" s="185" t="s">
        <v>5054</v>
      </c>
      <c r="C179" s="35" t="str">
        <f t="shared" si="14"/>
        <v>Afaqi</v>
      </c>
      <c r="D179" s="5"/>
      <c r="E179" s="40"/>
      <c r="F179" s="15"/>
      <c r="G179" s="17"/>
      <c r="H179" s="10" t="s">
        <v>8563</v>
      </c>
      <c r="I179" s="4" t="str">
        <f t="shared" si="15"/>
        <v>|Afáqí|</v>
      </c>
      <c r="J179" s="3" t="str">
        <f t="shared" si="16"/>
        <v>|Afaqi|</v>
      </c>
      <c r="K179" s="3" t="str">
        <f t="shared" si="17"/>
        <v>Afaqi</v>
      </c>
      <c r="M179" s="5"/>
      <c r="N179" s="39" t="str">
        <f t="shared" si="18"/>
        <v/>
      </c>
      <c r="O179" s="5"/>
      <c r="P179" s="39" t="str">
        <f t="shared" si="19"/>
        <v/>
      </c>
      <c r="Q179" s="5"/>
      <c r="R179" s="39" t="str">
        <f t="shared" si="20"/>
        <v/>
      </c>
    </row>
    <row r="180" spans="1:18">
      <c r="A180" s="179" t="s">
        <v>397</v>
      </c>
      <c r="B180" s="185" t="s">
        <v>5055</v>
      </c>
      <c r="C180" s="35" t="str">
        <f t="shared" si="14"/>
        <v>Afchih</v>
      </c>
      <c r="D180" s="5"/>
      <c r="E180" s="40"/>
      <c r="F180" s="14"/>
      <c r="G180" s="17"/>
      <c r="H180" s="10" t="s">
        <v>8563</v>
      </c>
      <c r="I180" s="4" t="str">
        <f t="shared" si="15"/>
        <v>|Afih|</v>
      </c>
      <c r="J180" s="3" t="str">
        <f t="shared" si="16"/>
        <v>|Afchih|</v>
      </c>
      <c r="K180" s="3" t="str">
        <f t="shared" si="17"/>
        <v>Afchih</v>
      </c>
      <c r="M180" s="5"/>
      <c r="N180" s="39" t="str">
        <f t="shared" si="18"/>
        <v/>
      </c>
      <c r="O180" s="5"/>
      <c r="P180" s="39" t="str">
        <f t="shared" si="19"/>
        <v/>
      </c>
      <c r="Q180" s="5"/>
      <c r="R180" s="39" t="str">
        <f t="shared" si="20"/>
        <v/>
      </c>
    </row>
    <row r="181" spans="1:18">
      <c r="A181" s="179" t="s">
        <v>398</v>
      </c>
      <c r="B181" s="185" t="s">
        <v>5056</v>
      </c>
      <c r="C181" s="35" t="str">
        <f t="shared" si="14"/>
        <v>AfdalulMulk</v>
      </c>
      <c r="D181" s="5"/>
      <c r="E181" s="40"/>
      <c r="F181" s="15"/>
      <c r="G181" s="17"/>
      <c r="H181" s="10" t="s">
        <v>8563</v>
      </c>
      <c r="I181" s="4" t="str">
        <f t="shared" si="15"/>
        <v>|Afḍalu’l-Mulk|</v>
      </c>
      <c r="J181" s="3" t="str">
        <f t="shared" si="16"/>
        <v>|Afdalu'l-Mulk|</v>
      </c>
      <c r="K181" s="3" t="str">
        <f t="shared" si="17"/>
        <v>Afdalul-Mulk</v>
      </c>
      <c r="M181" s="5"/>
      <c r="N181" s="39" t="str">
        <f t="shared" si="18"/>
        <v/>
      </c>
      <c r="O181" s="5"/>
      <c r="P181" s="39" t="str">
        <f t="shared" si="19"/>
        <v/>
      </c>
      <c r="Q181" s="5"/>
      <c r="R181" s="39" t="str">
        <f t="shared" si="20"/>
        <v/>
      </c>
    </row>
    <row r="182" spans="1:18">
      <c r="A182" s="179" t="s">
        <v>399</v>
      </c>
      <c r="B182" s="185" t="s">
        <v>5057</v>
      </c>
      <c r="C182" s="35" t="str">
        <f t="shared" si="14"/>
        <v>Afghan</v>
      </c>
      <c r="D182" s="5"/>
      <c r="E182" s="40"/>
      <c r="F182" s="14"/>
      <c r="G182" s="17"/>
      <c r="H182" s="10" t="s">
        <v>8563</v>
      </c>
      <c r="I182" s="4" t="str">
        <f t="shared" si="15"/>
        <v>|Afán|</v>
      </c>
      <c r="J182" s="3" t="str">
        <f t="shared" si="16"/>
        <v>|Afghan|</v>
      </c>
      <c r="K182" s="3" t="str">
        <f t="shared" si="17"/>
        <v>Afghan</v>
      </c>
      <c r="M182" s="5"/>
      <c r="N182" s="39" t="str">
        <f t="shared" si="18"/>
        <v/>
      </c>
      <c r="O182" s="5"/>
      <c r="P182" s="39" t="str">
        <f t="shared" si="19"/>
        <v/>
      </c>
      <c r="Q182" s="5"/>
      <c r="R182" s="39" t="str">
        <f t="shared" si="20"/>
        <v/>
      </c>
    </row>
    <row r="183" spans="1:18">
      <c r="A183" s="179" t="s">
        <v>400</v>
      </c>
      <c r="B183" s="185" t="s">
        <v>5058</v>
      </c>
      <c r="C183" s="35" t="str">
        <f t="shared" si="14"/>
        <v>Afghani</v>
      </c>
      <c r="D183" s="5"/>
      <c r="E183" s="40"/>
      <c r="F183" s="14"/>
      <c r="G183" s="17"/>
      <c r="H183" s="10" t="s">
        <v>8563</v>
      </c>
      <c r="I183" s="4" t="str">
        <f t="shared" si="15"/>
        <v>|Afání|</v>
      </c>
      <c r="J183" s="3" t="str">
        <f t="shared" si="16"/>
        <v>|Afghani|</v>
      </c>
      <c r="K183" s="3" t="str">
        <f t="shared" si="17"/>
        <v>Afghani</v>
      </c>
      <c r="M183" s="5"/>
      <c r="N183" s="39" t="str">
        <f t="shared" si="18"/>
        <v/>
      </c>
      <c r="O183" s="5"/>
      <c r="P183" s="39" t="str">
        <f t="shared" si="19"/>
        <v/>
      </c>
      <c r="Q183" s="5"/>
      <c r="R183" s="39" t="str">
        <f t="shared" si="20"/>
        <v/>
      </c>
    </row>
    <row r="184" spans="1:18">
      <c r="A184" s="179" t="s">
        <v>401</v>
      </c>
      <c r="B184" s="185" t="s">
        <v>5059</v>
      </c>
      <c r="C184" s="35" t="str">
        <f t="shared" si="14"/>
        <v>Afghanistan</v>
      </c>
      <c r="D184" s="5"/>
      <c r="E184" s="40"/>
      <c r="F184" s="14"/>
      <c r="G184" s="17"/>
      <c r="H184" s="10" t="s">
        <v>8563</v>
      </c>
      <c r="I184" s="4" t="str">
        <f t="shared" si="15"/>
        <v>|Afánistán|</v>
      </c>
      <c r="J184" s="3" t="str">
        <f t="shared" si="16"/>
        <v>|Afghanistan|</v>
      </c>
      <c r="K184" s="3" t="str">
        <f t="shared" si="17"/>
        <v>Afghanistan</v>
      </c>
      <c r="M184" s="5"/>
      <c r="N184" s="39" t="str">
        <f t="shared" si="18"/>
        <v/>
      </c>
      <c r="O184" s="5"/>
      <c r="P184" s="39" t="str">
        <f t="shared" si="19"/>
        <v/>
      </c>
      <c r="Q184" s="5"/>
      <c r="R184" s="39" t="str">
        <f t="shared" si="20"/>
        <v/>
      </c>
    </row>
    <row r="185" spans="1:18">
      <c r="A185" s="179" t="s">
        <v>402</v>
      </c>
      <c r="B185" s="185" t="s">
        <v>1570</v>
      </c>
      <c r="C185" s="35" t="str">
        <f t="shared" si="14"/>
        <v>Afnan</v>
      </c>
      <c r="D185" s="5"/>
      <c r="E185" s="40"/>
      <c r="F185" s="14" t="s">
        <v>403</v>
      </c>
      <c r="G185" s="17"/>
      <c r="H185" s="10" t="s">
        <v>8563</v>
      </c>
      <c r="I185" s="4" t="str">
        <f t="shared" si="15"/>
        <v>|Afnán|</v>
      </c>
      <c r="J185" s="3" t="str">
        <f t="shared" si="16"/>
        <v>|Afnan|</v>
      </c>
      <c r="K185" s="3" t="str">
        <f t="shared" si="17"/>
        <v>Afnan</v>
      </c>
      <c r="M185" s="5"/>
      <c r="N185" s="39" t="str">
        <f t="shared" si="18"/>
        <v/>
      </c>
      <c r="O185" s="5"/>
      <c r="P185" s="39" t="str">
        <f t="shared" si="19"/>
        <v/>
      </c>
      <c r="Q185" s="5"/>
      <c r="R185" s="39" t="str">
        <f t="shared" si="20"/>
        <v/>
      </c>
    </row>
    <row r="186" spans="1:18">
      <c r="A186" s="179" t="s">
        <v>404</v>
      </c>
      <c r="B186" s="185" t="s">
        <v>5060</v>
      </c>
      <c r="C186" s="35" t="str">
        <f t="shared" si="14"/>
        <v>AfnaniKabir</v>
      </c>
      <c r="D186" s="5"/>
      <c r="E186" s="40"/>
      <c r="F186" s="15"/>
      <c r="G186" s="17"/>
      <c r="H186" s="10" t="s">
        <v>8563</v>
      </c>
      <c r="I186" s="4" t="str">
        <f t="shared" si="15"/>
        <v>|Afnán-i-Kabír|</v>
      </c>
      <c r="J186" s="3" t="str">
        <f t="shared" si="16"/>
        <v>|Afnan-i-Kabir|</v>
      </c>
      <c r="K186" s="3" t="str">
        <f t="shared" si="17"/>
        <v>Afnan-i-Kabir</v>
      </c>
      <c r="M186" s="5"/>
      <c r="N186" s="39" t="str">
        <f t="shared" si="18"/>
        <v/>
      </c>
      <c r="O186" s="5"/>
      <c r="P186" s="39" t="str">
        <f t="shared" si="19"/>
        <v/>
      </c>
      <c r="Q186" s="5"/>
      <c r="R186" s="39" t="str">
        <f t="shared" si="20"/>
        <v/>
      </c>
    </row>
    <row r="187" spans="1:18">
      <c r="A187" s="179" t="s">
        <v>405</v>
      </c>
      <c r="B187" s="185" t="s">
        <v>8844</v>
      </c>
      <c r="C187" s="35" t="str">
        <f t="shared" si="14"/>
        <v>Afrasyab</v>
      </c>
      <c r="D187" s="5"/>
      <c r="E187" s="40"/>
      <c r="F187" s="14"/>
      <c r="G187" s="17"/>
      <c r="H187" s="10" t="s">
        <v>8563</v>
      </c>
      <c r="I187" s="4" t="str">
        <f t="shared" si="15"/>
        <v>|Afrasyáb|</v>
      </c>
      <c r="J187" s="3" t="str">
        <f t="shared" si="16"/>
        <v>|Afrasyab|</v>
      </c>
      <c r="K187" s="3" t="str">
        <f t="shared" si="17"/>
        <v>Afrasyab</v>
      </c>
      <c r="M187" s="5"/>
      <c r="N187" s="39" t="str">
        <f t="shared" si="18"/>
        <v/>
      </c>
      <c r="O187" s="5"/>
      <c r="P187" s="39" t="str">
        <f t="shared" si="19"/>
        <v/>
      </c>
      <c r="Q187" s="5"/>
      <c r="R187" s="39" t="str">
        <f t="shared" si="20"/>
        <v/>
      </c>
    </row>
    <row r="188" spans="1:18">
      <c r="A188" s="179" t="s">
        <v>406</v>
      </c>
      <c r="B188" s="185" t="s">
        <v>5061</v>
      </c>
      <c r="C188" s="35" t="str">
        <f t="shared" si="14"/>
        <v>Afrukhtih</v>
      </c>
      <c r="D188" s="5"/>
      <c r="E188" s="40"/>
      <c r="F188" s="14"/>
      <c r="G188" s="17"/>
      <c r="H188" s="10" t="s">
        <v>8563</v>
      </c>
      <c r="I188" s="4" t="str">
        <f t="shared" si="15"/>
        <v>|Afrútih|</v>
      </c>
      <c r="J188" s="3" t="str">
        <f t="shared" si="16"/>
        <v>|Afrukhtih|</v>
      </c>
      <c r="K188" s="3" t="str">
        <f t="shared" si="17"/>
        <v>Afrukhtih</v>
      </c>
      <c r="M188" s="5"/>
      <c r="N188" s="39" t="str">
        <f t="shared" si="18"/>
        <v/>
      </c>
      <c r="O188" s="5"/>
      <c r="P188" s="39" t="str">
        <f t="shared" si="19"/>
        <v/>
      </c>
      <c r="Q188" s="5"/>
      <c r="R188" s="39" t="str">
        <f t="shared" si="20"/>
        <v/>
      </c>
    </row>
    <row r="189" spans="1:18">
      <c r="A189" s="179" t="s">
        <v>407</v>
      </c>
      <c r="B189" s="185" t="s">
        <v>5062</v>
      </c>
      <c r="C189" s="35" t="str">
        <f t="shared" si="14"/>
        <v>Afshar</v>
      </c>
      <c r="D189" s="5"/>
      <c r="E189" s="40"/>
      <c r="F189" s="15"/>
      <c r="G189" s="17"/>
      <c r="H189" s="10" t="s">
        <v>8563</v>
      </c>
      <c r="I189" s="4" t="str">
        <f t="shared" si="15"/>
        <v>|Afár|</v>
      </c>
      <c r="J189" s="3" t="str">
        <f t="shared" si="16"/>
        <v>|Afshar|</v>
      </c>
      <c r="K189" s="3" t="str">
        <f t="shared" si="17"/>
        <v>Afshar</v>
      </c>
      <c r="M189" s="5"/>
      <c r="N189" s="39" t="str">
        <f t="shared" si="18"/>
        <v/>
      </c>
      <c r="O189" s="5"/>
      <c r="P189" s="39" t="str">
        <f t="shared" si="19"/>
        <v/>
      </c>
      <c r="Q189" s="5"/>
      <c r="R189" s="39" t="str">
        <f t="shared" si="20"/>
        <v/>
      </c>
    </row>
    <row r="190" spans="1:18">
      <c r="A190" s="179" t="s">
        <v>408</v>
      </c>
      <c r="B190" s="185" t="s">
        <v>5063</v>
      </c>
      <c r="C190" s="35" t="str">
        <f t="shared" si="14"/>
        <v>Afshin</v>
      </c>
      <c r="D190" s="5"/>
      <c r="E190" s="40"/>
      <c r="F190" s="15"/>
      <c r="G190" s="17"/>
      <c r="H190" s="10" t="s">
        <v>8563</v>
      </c>
      <c r="I190" s="4" t="str">
        <f t="shared" si="15"/>
        <v>|Afín|</v>
      </c>
      <c r="J190" s="3" t="str">
        <f t="shared" si="16"/>
        <v>|Afshin|</v>
      </c>
      <c r="K190" s="3" t="str">
        <f t="shared" si="17"/>
        <v>Afshin</v>
      </c>
      <c r="M190" s="5"/>
      <c r="N190" s="39" t="str">
        <f t="shared" si="18"/>
        <v/>
      </c>
      <c r="O190" s="5"/>
      <c r="P190" s="39" t="str">
        <f t="shared" si="19"/>
        <v/>
      </c>
      <c r="Q190" s="5"/>
      <c r="R190" s="39" t="str">
        <f t="shared" si="20"/>
        <v/>
      </c>
    </row>
    <row r="191" spans="1:18">
      <c r="A191" s="179" t="s">
        <v>409</v>
      </c>
      <c r="B191" s="185" t="s">
        <v>8845</v>
      </c>
      <c r="C191" s="35" t="str">
        <f t="shared" si="14"/>
        <v>Aftab</v>
      </c>
      <c r="D191" s="5"/>
      <c r="E191" s="40"/>
      <c r="F191" s="14"/>
      <c r="G191" s="17"/>
      <c r="H191" s="10" t="s">
        <v>8563</v>
      </c>
      <c r="I191" s="4" t="str">
        <f t="shared" si="15"/>
        <v>|Áftáb|</v>
      </c>
      <c r="J191" s="3" t="str">
        <f t="shared" si="16"/>
        <v>|Aftab|</v>
      </c>
      <c r="K191" s="3" t="str">
        <f t="shared" si="17"/>
        <v>Aftab</v>
      </c>
      <c r="M191" s="5"/>
      <c r="N191" s="39" t="str">
        <f t="shared" si="18"/>
        <v/>
      </c>
      <c r="O191" s="5"/>
      <c r="P191" s="39" t="str">
        <f t="shared" si="19"/>
        <v/>
      </c>
      <c r="Q191" s="5"/>
      <c r="R191" s="39" t="str">
        <f t="shared" si="20"/>
        <v/>
      </c>
    </row>
    <row r="192" spans="1:18">
      <c r="A192" s="179" t="s">
        <v>410</v>
      </c>
      <c r="B192" s="185" t="s">
        <v>5064</v>
      </c>
      <c r="C192" s="35" t="str">
        <f t="shared" si="14"/>
        <v>Aftabih</v>
      </c>
      <c r="D192" s="5"/>
      <c r="E192" s="40"/>
      <c r="F192" s="15"/>
      <c r="G192" s="17"/>
      <c r="H192" s="10" t="s">
        <v>8563</v>
      </c>
      <c r="I192" s="4" t="str">
        <f t="shared" si="15"/>
        <v>|Áftábih|</v>
      </c>
      <c r="J192" s="3" t="str">
        <f t="shared" si="16"/>
        <v>|Aftabih|</v>
      </c>
      <c r="K192" s="3" t="str">
        <f t="shared" si="17"/>
        <v>Aftabih</v>
      </c>
      <c r="M192" s="5"/>
      <c r="N192" s="39" t="str">
        <f t="shared" si="18"/>
        <v/>
      </c>
      <c r="O192" s="5"/>
      <c r="P192" s="39" t="str">
        <f t="shared" si="19"/>
        <v/>
      </c>
      <c r="Q192" s="5"/>
      <c r="R192" s="39" t="str">
        <f t="shared" si="20"/>
        <v/>
      </c>
    </row>
    <row r="193" spans="1:21">
      <c r="A193" s="179" t="s">
        <v>411</v>
      </c>
      <c r="B193" s="185" t="s">
        <v>8846</v>
      </c>
      <c r="C193" s="35" t="str">
        <f t="shared" si="14"/>
        <v>Afthah</v>
      </c>
      <c r="D193" s="5"/>
      <c r="E193" s="40"/>
      <c r="F193" s="15"/>
      <c r="G193" s="17"/>
      <c r="H193" s="10" t="s">
        <v>8563</v>
      </c>
      <c r="I193" s="4" t="str">
        <f t="shared" si="15"/>
        <v>|Afṭḥah|</v>
      </c>
      <c r="J193" s="3" t="str">
        <f t="shared" si="16"/>
        <v>|Afthah|</v>
      </c>
      <c r="K193" s="3" t="str">
        <f t="shared" si="17"/>
        <v>Afthah</v>
      </c>
      <c r="M193" s="5"/>
      <c r="N193" s="39" t="str">
        <f t="shared" si="18"/>
        <v/>
      </c>
      <c r="O193" s="5"/>
      <c r="P193" s="39" t="str">
        <f t="shared" si="19"/>
        <v/>
      </c>
      <c r="Q193" s="5"/>
      <c r="R193" s="39" t="str">
        <f t="shared" si="20"/>
        <v/>
      </c>
    </row>
    <row r="194" spans="1:21">
      <c r="A194" s="179" t="s">
        <v>412</v>
      </c>
      <c r="B194" s="185" t="s">
        <v>5065</v>
      </c>
      <c r="C194" s="35" t="str">
        <f t="shared" si="14"/>
        <v>Afus</v>
      </c>
      <c r="D194" s="5"/>
      <c r="E194" s="40"/>
      <c r="F194" s="15"/>
      <c r="G194" s="17"/>
      <c r="H194" s="10" t="s">
        <v>8563</v>
      </c>
      <c r="I194" s="4" t="str">
        <f t="shared" si="15"/>
        <v>|Afús|</v>
      </c>
      <c r="J194" s="3" t="str">
        <f t="shared" si="16"/>
        <v>|Afus|</v>
      </c>
      <c r="K194" s="3" t="str">
        <f t="shared" si="17"/>
        <v>Afus</v>
      </c>
      <c r="M194" s="5"/>
      <c r="N194" s="39" t="str">
        <f t="shared" si="18"/>
        <v/>
      </c>
      <c r="O194" s="5"/>
      <c r="P194" s="39" t="str">
        <f t="shared" si="19"/>
        <v/>
      </c>
      <c r="Q194" s="5"/>
      <c r="R194" s="39" t="str">
        <f t="shared" si="20"/>
        <v/>
      </c>
    </row>
    <row r="195" spans="1:21">
      <c r="A195" s="179" t="s">
        <v>413</v>
      </c>
      <c r="B195" s="185" t="s">
        <v>5066</v>
      </c>
      <c r="C195" s="35" t="str">
        <f t="shared" ref="C195:C258" si="21">SUBSTITUTE(SUBSTITUTE(K195,"-","")," ","")</f>
        <v>Agahullah</v>
      </c>
      <c r="D195" s="5"/>
      <c r="E195" s="40"/>
      <c r="F195" s="15"/>
      <c r="G195" s="17"/>
      <c r="H195" s="10" t="s">
        <v>8563</v>
      </c>
      <c r="I195" s="4" t="str">
        <f t="shared" ref="I195:I258" si="22">CONCATENATE("|",B195,"|")</f>
        <v>|Ágáhu’lláh|</v>
      </c>
      <c r="J195" s="3" t="str">
        <f t="shared" ref="J195:J258" si="23">CONCATENATE("|",F_OutputASCII(B195),"|")</f>
        <v>|Agahu'llah|</v>
      </c>
      <c r="K195" s="3" t="str">
        <f t="shared" ref="K195:K258" si="24">IF(SUBSTITUTE(MID(J195,2,LEN(J195)-2),"'","")&lt;&gt;"",SUBSTITUTE(MID(J195,2,LEN(J195)-2),"'",""),"ZZZZZ")</f>
        <v>Agahullah</v>
      </c>
      <c r="M195" s="5"/>
      <c r="N195" s="39" t="str">
        <f t="shared" ref="N195:N258" si="25">SUBSTITUTE(SUBSTITUTE(SUBSTITUTE(F_OutputASCII(M195),"-","")," ",""),"'","")</f>
        <v/>
      </c>
      <c r="O195" s="5"/>
      <c r="P195" s="39" t="str">
        <f t="shared" ref="P195:P258" si="26">SUBSTITUTE(SUBSTITUTE(SUBSTITUTE(F_OutputASCII(O195),"-","")," ",""),"'","")</f>
        <v/>
      </c>
      <c r="Q195" s="5"/>
      <c r="R195" s="39" t="str">
        <f t="shared" si="20"/>
        <v/>
      </c>
    </row>
    <row r="196" spans="1:21">
      <c r="A196" s="179" t="s">
        <v>414</v>
      </c>
      <c r="B196" s="185" t="s">
        <v>5067</v>
      </c>
      <c r="C196" s="35" t="str">
        <f t="shared" si="21"/>
        <v>Agh</v>
      </c>
      <c r="D196" s="5"/>
      <c r="E196" s="40"/>
      <c r="F196" s="15"/>
      <c r="G196" s="17"/>
      <c r="H196" s="10" t="s">
        <v>8563</v>
      </c>
      <c r="I196" s="4" t="str">
        <f t="shared" si="22"/>
        <v>|Á|</v>
      </c>
      <c r="J196" s="3" t="str">
        <f t="shared" si="23"/>
        <v>|Agh|</v>
      </c>
      <c r="K196" s="3" t="str">
        <f t="shared" si="24"/>
        <v>Agh</v>
      </c>
      <c r="M196" s="5"/>
      <c r="N196" s="39" t="str">
        <f t="shared" si="25"/>
        <v/>
      </c>
      <c r="O196" s="5"/>
      <c r="P196" s="39" t="str">
        <f t="shared" si="26"/>
        <v/>
      </c>
      <c r="Q196" s="5"/>
      <c r="R196" s="39" t="str">
        <f t="shared" ref="R196:R259" si="27">SUBSTITUTE(SUBSTITUTE(Q196,"-","")," ","")</f>
        <v/>
      </c>
    </row>
    <row r="197" spans="1:21" s="5" customFormat="1">
      <c r="A197" s="179" t="s">
        <v>415</v>
      </c>
      <c r="B197" s="185" t="s">
        <v>5068</v>
      </c>
      <c r="C197" s="35" t="str">
        <f t="shared" si="21"/>
        <v>Agha</v>
      </c>
      <c r="E197" s="40"/>
      <c r="F197" s="15"/>
      <c r="G197" s="17"/>
      <c r="H197" s="10" t="s">
        <v>8563</v>
      </c>
      <c r="I197" s="4" t="str">
        <f t="shared" si="22"/>
        <v>|Áá|</v>
      </c>
      <c r="J197" s="3" t="str">
        <f t="shared" si="23"/>
        <v>|Agha|</v>
      </c>
      <c r="K197" s="3" t="str">
        <f t="shared" si="24"/>
        <v>Agha</v>
      </c>
      <c r="L197" s="1"/>
      <c r="N197" s="39" t="str">
        <f t="shared" si="25"/>
        <v/>
      </c>
      <c r="P197" s="39" t="str">
        <f t="shared" si="26"/>
        <v/>
      </c>
      <c r="R197" s="39" t="str">
        <f t="shared" si="27"/>
        <v/>
      </c>
      <c r="S197" s="28"/>
      <c r="T197" s="28"/>
      <c r="U197" s="28"/>
    </row>
    <row r="198" spans="1:21" s="5" customFormat="1">
      <c r="A198" s="179" t="s">
        <v>416</v>
      </c>
      <c r="B198" s="185" t="s">
        <v>5069</v>
      </c>
      <c r="C198" s="35" t="str">
        <f t="shared" si="21"/>
        <v>Aghasi</v>
      </c>
      <c r="E198" s="40"/>
      <c r="F198" s="14"/>
      <c r="G198" s="17"/>
      <c r="H198" s="10" t="s">
        <v>8563</v>
      </c>
      <c r="I198" s="4" t="str">
        <f t="shared" si="22"/>
        <v>|Aasí|</v>
      </c>
      <c r="J198" s="3" t="str">
        <f t="shared" si="23"/>
        <v>|Aghasi|</v>
      </c>
      <c r="K198" s="3" t="str">
        <f t="shared" si="24"/>
        <v>Aghasi</v>
      </c>
      <c r="N198" s="39" t="str">
        <f t="shared" si="25"/>
        <v/>
      </c>
      <c r="P198" s="39" t="str">
        <f t="shared" si="26"/>
        <v/>
      </c>
      <c r="R198" s="39" t="str">
        <f t="shared" si="27"/>
        <v/>
      </c>
      <c r="S198" s="28"/>
      <c r="T198" s="28"/>
      <c r="U198" s="28"/>
    </row>
    <row r="199" spans="1:21" s="5" customFormat="1">
      <c r="A199" s="179" t="s">
        <v>417</v>
      </c>
      <c r="B199" s="185" t="s">
        <v>5070</v>
      </c>
      <c r="C199" s="35" t="str">
        <f t="shared" si="21"/>
        <v>Aghsan</v>
      </c>
      <c r="E199" s="40"/>
      <c r="F199" s="14" t="s">
        <v>418</v>
      </c>
      <c r="G199" s="17"/>
      <c r="H199" s="10" t="s">
        <v>8563</v>
      </c>
      <c r="I199" s="4" t="str">
        <f t="shared" si="22"/>
        <v>|Aṣán|</v>
      </c>
      <c r="J199" s="3" t="str">
        <f t="shared" si="23"/>
        <v>|Aghsan|</v>
      </c>
      <c r="K199" s="3" t="str">
        <f t="shared" si="24"/>
        <v>Aghsan</v>
      </c>
      <c r="N199" s="39" t="str">
        <f t="shared" si="25"/>
        <v/>
      </c>
      <c r="P199" s="39" t="str">
        <f t="shared" si="26"/>
        <v/>
      </c>
      <c r="R199" s="39" t="str">
        <f t="shared" si="27"/>
        <v/>
      </c>
      <c r="S199" s="28"/>
      <c r="T199" s="28"/>
      <c r="U199" s="28"/>
    </row>
    <row r="200" spans="1:21" s="5" customFormat="1">
      <c r="A200" s="179" t="s">
        <v>419</v>
      </c>
      <c r="B200" s="185" t="s">
        <v>5071</v>
      </c>
      <c r="C200" s="35" t="str">
        <f t="shared" si="21"/>
        <v>Ahad</v>
      </c>
      <c r="E200" s="40"/>
      <c r="F200" s="15"/>
      <c r="G200" s="17"/>
      <c r="H200" s="10" t="s">
        <v>8563</v>
      </c>
      <c r="I200" s="4" t="str">
        <f t="shared" si="22"/>
        <v>|Aḥad|</v>
      </c>
      <c r="J200" s="3" t="str">
        <f t="shared" si="23"/>
        <v>|Ahad|</v>
      </c>
      <c r="K200" s="3" t="str">
        <f t="shared" si="24"/>
        <v>Ahad</v>
      </c>
      <c r="N200" s="39" t="str">
        <f t="shared" si="25"/>
        <v/>
      </c>
      <c r="P200" s="39" t="str">
        <f t="shared" si="26"/>
        <v/>
      </c>
      <c r="R200" s="39" t="str">
        <f t="shared" si="27"/>
        <v/>
      </c>
      <c r="S200" s="28"/>
      <c r="T200" s="28"/>
      <c r="U200" s="28"/>
    </row>
    <row r="201" spans="1:21" s="5" customFormat="1">
      <c r="A201" s="179" t="s">
        <v>420</v>
      </c>
      <c r="B201" s="185" t="s">
        <v>5072</v>
      </c>
      <c r="C201" s="35" t="str">
        <f t="shared" si="21"/>
        <v>ahadan</v>
      </c>
      <c r="E201" s="40"/>
      <c r="F201" s="15"/>
      <c r="G201" s="17"/>
      <c r="H201" s="10" t="s">
        <v>8563</v>
      </c>
      <c r="I201" s="4" t="str">
        <f t="shared" si="22"/>
        <v>|aḥadan|</v>
      </c>
      <c r="J201" s="3" t="str">
        <f t="shared" si="23"/>
        <v>|ahadan|</v>
      </c>
      <c r="K201" s="3" t="str">
        <f t="shared" si="24"/>
        <v>ahadan</v>
      </c>
      <c r="N201" s="39" t="str">
        <f t="shared" si="25"/>
        <v/>
      </c>
      <c r="P201" s="39" t="str">
        <f t="shared" si="26"/>
        <v/>
      </c>
      <c r="R201" s="39" t="str">
        <f t="shared" si="27"/>
        <v/>
      </c>
      <c r="S201" s="28"/>
      <c r="T201" s="28"/>
      <c r="U201" s="28"/>
    </row>
    <row r="202" spans="1:21" s="5" customFormat="1">
      <c r="A202" s="179" t="s">
        <v>421</v>
      </c>
      <c r="B202" s="185" t="s">
        <v>5073</v>
      </c>
      <c r="C202" s="35" t="str">
        <f t="shared" si="21"/>
        <v>Ahadith</v>
      </c>
      <c r="E202" s="40"/>
      <c r="F202" s="15"/>
      <c r="G202" s="17"/>
      <c r="H202" s="10" t="s">
        <v>8563</v>
      </c>
      <c r="I202" s="4" t="str">
        <f t="shared" si="22"/>
        <v>|Aḥádí|</v>
      </c>
      <c r="J202" s="3" t="str">
        <f t="shared" si="23"/>
        <v>|Ahadith|</v>
      </c>
      <c r="K202" s="3" t="str">
        <f t="shared" si="24"/>
        <v>Ahadith</v>
      </c>
      <c r="N202" s="39" t="str">
        <f t="shared" si="25"/>
        <v/>
      </c>
      <c r="P202" s="39" t="str">
        <f t="shared" si="26"/>
        <v/>
      </c>
      <c r="R202" s="39" t="str">
        <f t="shared" si="27"/>
        <v/>
      </c>
      <c r="S202" s="28"/>
      <c r="T202" s="28"/>
      <c r="U202" s="28"/>
    </row>
    <row r="203" spans="1:21" s="5" customFormat="1">
      <c r="A203" s="179" t="s">
        <v>422</v>
      </c>
      <c r="B203" s="185" t="s">
        <v>5074</v>
      </c>
      <c r="C203" s="35" t="str">
        <f t="shared" si="21"/>
        <v>Ahang</v>
      </c>
      <c r="E203" s="40"/>
      <c r="F203" s="15"/>
      <c r="G203" s="17"/>
      <c r="H203" s="10" t="s">
        <v>8563</v>
      </c>
      <c r="I203" s="4" t="str">
        <f t="shared" si="22"/>
        <v>|Áhang|</v>
      </c>
      <c r="J203" s="3" t="str">
        <f t="shared" si="23"/>
        <v>|Ahang|</v>
      </c>
      <c r="K203" s="3" t="str">
        <f t="shared" si="24"/>
        <v>Ahang</v>
      </c>
      <c r="N203" s="39" t="str">
        <f t="shared" si="25"/>
        <v/>
      </c>
      <c r="P203" s="39" t="str">
        <f t="shared" si="26"/>
        <v/>
      </c>
      <c r="R203" s="39" t="str">
        <f t="shared" si="27"/>
        <v/>
      </c>
      <c r="S203" s="28"/>
      <c r="T203" s="28"/>
      <c r="U203" s="28"/>
    </row>
    <row r="204" spans="1:21" s="5" customFormat="1">
      <c r="A204" s="179" t="s">
        <v>423</v>
      </c>
      <c r="B204" s="185" t="s">
        <v>5075</v>
      </c>
      <c r="C204" s="35" t="str">
        <f t="shared" si="21"/>
        <v>AhangiBadi</v>
      </c>
      <c r="E204" s="40"/>
      <c r="F204" s="15"/>
      <c r="G204" s="17"/>
      <c r="H204" s="10" t="s">
        <v>8563</v>
      </c>
      <c r="I204" s="4" t="str">
        <f t="shared" si="22"/>
        <v>|Áhang-i-Badíʿ|</v>
      </c>
      <c r="J204" s="3" t="str">
        <f t="shared" si="23"/>
        <v>|Ahang-i-Badi'|</v>
      </c>
      <c r="K204" s="3" t="str">
        <f t="shared" si="24"/>
        <v>Ahang-i-Badi</v>
      </c>
      <c r="N204" s="39" t="str">
        <f t="shared" si="25"/>
        <v/>
      </c>
      <c r="P204" s="39" t="str">
        <f t="shared" si="26"/>
        <v/>
      </c>
      <c r="R204" s="39" t="str">
        <f t="shared" si="27"/>
        <v/>
      </c>
      <c r="S204" s="28"/>
      <c r="T204" s="28"/>
      <c r="U204" s="28"/>
    </row>
    <row r="205" spans="1:21" s="5" customFormat="1">
      <c r="A205" s="179" t="s">
        <v>424</v>
      </c>
      <c r="B205" s="185" t="s">
        <v>5076</v>
      </c>
      <c r="C205" s="35" t="str">
        <f t="shared" si="21"/>
        <v>Ahd</v>
      </c>
      <c r="E205" s="40"/>
      <c r="F205" s="14" t="s">
        <v>425</v>
      </c>
      <c r="G205" s="17"/>
      <c r="H205" s="10" t="s">
        <v>8563</v>
      </c>
      <c r="I205" s="4" t="str">
        <f t="shared" si="22"/>
        <v>|ʿAhd|</v>
      </c>
      <c r="J205" s="3" t="str">
        <f t="shared" si="23"/>
        <v>|'Ahd|</v>
      </c>
      <c r="K205" s="3" t="str">
        <f t="shared" si="24"/>
        <v>Ahd</v>
      </c>
      <c r="N205" s="39" t="str">
        <f t="shared" si="25"/>
        <v/>
      </c>
      <c r="P205" s="39" t="str">
        <f t="shared" si="26"/>
        <v/>
      </c>
      <c r="R205" s="39" t="str">
        <f t="shared" si="27"/>
        <v/>
      </c>
      <c r="S205" s="28"/>
      <c r="T205" s="28"/>
      <c r="U205" s="28"/>
    </row>
    <row r="206" spans="1:21" s="5" customFormat="1">
      <c r="A206" s="179" t="s">
        <v>426</v>
      </c>
      <c r="B206" s="185" t="s">
        <v>5077</v>
      </c>
      <c r="C206" s="35" t="str">
        <f t="shared" si="21"/>
        <v>Ahkam</v>
      </c>
      <c r="E206" s="40"/>
      <c r="F206" s="15"/>
      <c r="G206" s="17"/>
      <c r="H206" s="10" t="s">
        <v>8563</v>
      </c>
      <c r="I206" s="4" t="str">
        <f t="shared" si="22"/>
        <v>|Aḥkám|</v>
      </c>
      <c r="J206" s="3" t="str">
        <f t="shared" si="23"/>
        <v>|Ahkam|</v>
      </c>
      <c r="K206" s="3" t="str">
        <f t="shared" si="24"/>
        <v>Ahkam</v>
      </c>
      <c r="N206" s="39" t="str">
        <f t="shared" si="25"/>
        <v/>
      </c>
      <c r="P206" s="39" t="str">
        <f t="shared" si="26"/>
        <v/>
      </c>
      <c r="R206" s="39" t="str">
        <f t="shared" si="27"/>
        <v/>
      </c>
      <c r="S206" s="28"/>
      <c r="T206" s="28"/>
      <c r="U206" s="28"/>
    </row>
    <row r="207" spans="1:21" s="5" customFormat="1">
      <c r="A207" s="179" t="s">
        <v>427</v>
      </c>
      <c r="B207" s="185" t="s">
        <v>5078</v>
      </c>
      <c r="C207" s="35" t="str">
        <f t="shared" si="21"/>
        <v>AhkamiAdliAn</v>
      </c>
      <c r="E207" s="40"/>
      <c r="F207" s="15"/>
      <c r="G207" s="17"/>
      <c r="H207" s="10" t="s">
        <v>8563</v>
      </c>
      <c r="I207" s="4" t="str">
        <f t="shared" si="22"/>
        <v>|Aḥkám-i-ʿAdl-i-Án|</v>
      </c>
      <c r="J207" s="3" t="str">
        <f t="shared" si="23"/>
        <v>|Ahkam-i-'Adl-i-An|</v>
      </c>
      <c r="K207" s="3" t="str">
        <f t="shared" si="24"/>
        <v>Ahkam-i-Adl-i-An</v>
      </c>
      <c r="N207" s="39" t="str">
        <f t="shared" si="25"/>
        <v/>
      </c>
      <c r="P207" s="39" t="str">
        <f t="shared" si="26"/>
        <v/>
      </c>
      <c r="R207" s="39" t="str">
        <f t="shared" si="27"/>
        <v/>
      </c>
      <c r="S207" s="28"/>
      <c r="T207" s="28"/>
      <c r="U207" s="28"/>
    </row>
    <row r="208" spans="1:21" s="5" customFormat="1">
      <c r="A208" s="179" t="s">
        <v>428</v>
      </c>
      <c r="B208" s="185" t="s">
        <v>5079</v>
      </c>
      <c r="C208" s="35" t="str">
        <f t="shared" si="21"/>
        <v>AhliBaha</v>
      </c>
      <c r="E208" s="40"/>
      <c r="F208" s="15" t="s">
        <v>429</v>
      </c>
      <c r="G208" s="17"/>
      <c r="H208" s="10" t="s">
        <v>8563</v>
      </c>
      <c r="I208" s="4" t="str">
        <f t="shared" si="22"/>
        <v>|Ahl-i-Bahá|</v>
      </c>
      <c r="J208" s="3" t="str">
        <f t="shared" si="23"/>
        <v>|Ahl-i-Baha|</v>
      </c>
      <c r="K208" s="3" t="str">
        <f t="shared" si="24"/>
        <v>Ahl-i-Baha</v>
      </c>
      <c r="N208" s="39" t="str">
        <f t="shared" si="25"/>
        <v/>
      </c>
      <c r="P208" s="39" t="str">
        <f t="shared" si="26"/>
        <v/>
      </c>
      <c r="R208" s="39" t="str">
        <f t="shared" si="27"/>
        <v/>
      </c>
      <c r="S208" s="28"/>
      <c r="T208" s="28"/>
      <c r="U208" s="28"/>
    </row>
    <row r="209" spans="1:21" s="5" customFormat="1">
      <c r="A209" s="179" t="s">
        <v>430</v>
      </c>
      <c r="B209" s="185" t="s">
        <v>5080</v>
      </c>
      <c r="C209" s="35" t="str">
        <f t="shared" si="21"/>
        <v>AhliBayan</v>
      </c>
      <c r="E209" s="40"/>
      <c r="F209" s="15" t="s">
        <v>431</v>
      </c>
      <c r="G209" s="17"/>
      <c r="H209" s="10" t="s">
        <v>8563</v>
      </c>
      <c r="I209" s="4" t="str">
        <f t="shared" si="22"/>
        <v>|Ahl-i-Bayán|</v>
      </c>
      <c r="J209" s="3" t="str">
        <f t="shared" si="23"/>
        <v>|Ahl-i-Bayan|</v>
      </c>
      <c r="K209" s="3" t="str">
        <f t="shared" si="24"/>
        <v>Ahl-i-Bayan</v>
      </c>
      <c r="N209" s="39" t="str">
        <f t="shared" si="25"/>
        <v/>
      </c>
      <c r="P209" s="39" t="str">
        <f t="shared" si="26"/>
        <v/>
      </c>
      <c r="R209" s="39" t="str">
        <f t="shared" si="27"/>
        <v/>
      </c>
      <c r="S209" s="28"/>
      <c r="T209" s="28"/>
      <c r="U209" s="28"/>
    </row>
    <row r="210" spans="1:21" s="5" customFormat="1">
      <c r="A210" s="179" t="s">
        <v>432</v>
      </c>
      <c r="B210" s="185" t="s">
        <v>5081</v>
      </c>
      <c r="C210" s="35" t="str">
        <f t="shared" si="21"/>
        <v>AhlulKitab</v>
      </c>
      <c r="E210" s="40"/>
      <c r="F210" s="15" t="s">
        <v>433</v>
      </c>
      <c r="G210" s="17"/>
      <c r="H210" s="10" t="s">
        <v>8563</v>
      </c>
      <c r="I210" s="4" t="str">
        <f t="shared" si="22"/>
        <v>|Ahlu’l-Kitáb|</v>
      </c>
      <c r="J210" s="3" t="str">
        <f t="shared" si="23"/>
        <v>|Ahlu'l-Kitab|</v>
      </c>
      <c r="K210" s="3" t="str">
        <f t="shared" si="24"/>
        <v>Ahlul-Kitab</v>
      </c>
      <c r="N210" s="39" t="str">
        <f t="shared" si="25"/>
        <v/>
      </c>
      <c r="P210" s="39" t="str">
        <f t="shared" si="26"/>
        <v/>
      </c>
      <c r="R210" s="39" t="str">
        <f t="shared" si="27"/>
        <v/>
      </c>
      <c r="S210" s="28"/>
      <c r="T210" s="28"/>
      <c r="U210" s="28"/>
    </row>
    <row r="211" spans="1:21" s="5" customFormat="1">
      <c r="A211" s="179" t="s">
        <v>434</v>
      </c>
      <c r="B211" s="185" t="s">
        <v>5082</v>
      </c>
      <c r="C211" s="35" t="str">
        <f t="shared" si="21"/>
        <v>Ahmad</v>
      </c>
      <c r="E211" s="40"/>
      <c r="F211" s="14"/>
      <c r="G211" s="17"/>
      <c r="H211" s="10" t="s">
        <v>8563</v>
      </c>
      <c r="I211" s="4" t="str">
        <f t="shared" si="22"/>
        <v>|Aḥmad|</v>
      </c>
      <c r="J211" s="3" t="str">
        <f t="shared" si="23"/>
        <v>|Ahmad|</v>
      </c>
      <c r="K211" s="3" t="str">
        <f t="shared" si="24"/>
        <v>Ahmad</v>
      </c>
      <c r="N211" s="39" t="str">
        <f t="shared" si="25"/>
        <v/>
      </c>
      <c r="P211" s="39" t="str">
        <f t="shared" si="26"/>
        <v/>
      </c>
      <c r="R211" s="39" t="str">
        <f t="shared" si="27"/>
        <v/>
      </c>
      <c r="S211" s="28"/>
      <c r="T211" s="28"/>
      <c r="U211" s="28"/>
    </row>
    <row r="212" spans="1:21" s="5" customFormat="1">
      <c r="A212" s="179" t="s">
        <v>459</v>
      </c>
      <c r="B212" s="185" t="s">
        <v>5105</v>
      </c>
      <c r="C212" s="35" t="str">
        <f t="shared" si="21"/>
        <v>Ahmadabad</v>
      </c>
      <c r="E212" s="40"/>
      <c r="F212" s="14"/>
      <c r="G212" s="17"/>
      <c r="H212" s="10" t="s">
        <v>8563</v>
      </c>
      <c r="I212" s="4" t="str">
        <f t="shared" si="22"/>
        <v>|Aḥmadábád|</v>
      </c>
      <c r="J212" s="3" t="str">
        <f t="shared" si="23"/>
        <v>|Ahmadabad|</v>
      </c>
      <c r="K212" s="3" t="str">
        <f t="shared" si="24"/>
        <v>Ahmadabad</v>
      </c>
      <c r="N212" s="39" t="str">
        <f t="shared" si="25"/>
        <v/>
      </c>
      <c r="P212" s="39" t="str">
        <f t="shared" si="26"/>
        <v/>
      </c>
      <c r="R212" s="39" t="str">
        <f t="shared" si="27"/>
        <v/>
      </c>
      <c r="S212" s="28"/>
      <c r="T212" s="28"/>
      <c r="U212" s="28"/>
    </row>
    <row r="213" spans="1:21" s="5" customFormat="1">
      <c r="A213" s="179" t="s">
        <v>435</v>
      </c>
      <c r="B213" s="185" t="s">
        <v>5083</v>
      </c>
      <c r="C213" s="35" t="str">
        <f t="shared" si="21"/>
        <v>Ahmadi</v>
      </c>
      <c r="E213" s="40"/>
      <c r="F213" s="14"/>
      <c r="G213" s="17"/>
      <c r="H213" s="10" t="s">
        <v>8563</v>
      </c>
      <c r="I213" s="4" t="str">
        <f t="shared" si="22"/>
        <v>|Aḥmadí|</v>
      </c>
      <c r="J213" s="3" t="str">
        <f t="shared" si="23"/>
        <v>|Ahmadi|</v>
      </c>
      <c r="K213" s="3" t="str">
        <f t="shared" si="24"/>
        <v>Ahmadi</v>
      </c>
      <c r="N213" s="39" t="str">
        <f t="shared" si="25"/>
        <v/>
      </c>
      <c r="P213" s="39" t="str">
        <f t="shared" si="26"/>
        <v/>
      </c>
      <c r="R213" s="39" t="str">
        <f t="shared" si="27"/>
        <v/>
      </c>
      <c r="S213" s="28"/>
      <c r="T213" s="28"/>
      <c r="U213" s="28"/>
    </row>
    <row r="214" spans="1:21" s="5" customFormat="1">
      <c r="A214" s="179" t="s">
        <v>436</v>
      </c>
      <c r="B214" s="185" t="s">
        <v>5084</v>
      </c>
      <c r="C214" s="35" t="str">
        <f t="shared" si="21"/>
        <v>AhmadiAhsai</v>
      </c>
      <c r="E214" s="40"/>
      <c r="F214" s="15"/>
      <c r="G214" s="17"/>
      <c r="H214" s="10" t="s">
        <v>8563</v>
      </c>
      <c r="I214" s="4" t="str">
        <f t="shared" si="22"/>
        <v>|Aḥmad-i-Aḥsá’í|</v>
      </c>
      <c r="J214" s="3" t="str">
        <f t="shared" si="23"/>
        <v>|Ahmad-i-Ahsa'i|</v>
      </c>
      <c r="K214" s="3" t="str">
        <f t="shared" si="24"/>
        <v>Ahmad-i-Ahsai</v>
      </c>
      <c r="N214" s="39" t="str">
        <f t="shared" si="25"/>
        <v/>
      </c>
      <c r="P214" s="39" t="str">
        <f t="shared" si="26"/>
        <v/>
      </c>
      <c r="R214" s="39" t="str">
        <f t="shared" si="27"/>
        <v/>
      </c>
      <c r="S214" s="28"/>
      <c r="T214" s="28"/>
      <c r="U214" s="28"/>
    </row>
    <row r="215" spans="1:21" s="5" customFormat="1">
      <c r="A215" s="179" t="s">
        <v>437</v>
      </c>
      <c r="B215" s="185" t="s">
        <v>5085</v>
      </c>
      <c r="C215" s="35" t="str">
        <f t="shared" si="21"/>
        <v>AhmadiAllaf</v>
      </c>
      <c r="E215" s="40"/>
      <c r="F215" s="15"/>
      <c r="G215" s="17"/>
      <c r="H215" s="10" t="s">
        <v>8563</v>
      </c>
      <c r="I215" s="4" t="str">
        <f t="shared" si="22"/>
        <v>|Aḥmad-i-ʿAlláf|</v>
      </c>
      <c r="J215" s="3" t="str">
        <f t="shared" si="23"/>
        <v>|Ahmad-i-'Allaf|</v>
      </c>
      <c r="K215" s="3" t="str">
        <f t="shared" si="24"/>
        <v>Ahmad-i-Allaf</v>
      </c>
      <c r="N215" s="39" t="str">
        <f t="shared" si="25"/>
        <v/>
      </c>
      <c r="P215" s="39" t="str">
        <f t="shared" si="26"/>
        <v/>
      </c>
      <c r="R215" s="39" t="str">
        <f t="shared" si="27"/>
        <v/>
      </c>
      <c r="S215" s="28"/>
      <c r="T215" s="28"/>
      <c r="U215" s="28"/>
    </row>
    <row r="216" spans="1:21" s="5" customFormat="1">
      <c r="A216" s="179" t="s">
        <v>438</v>
      </c>
      <c r="B216" s="185" t="s">
        <v>5086</v>
      </c>
      <c r="C216" s="35" t="str">
        <f t="shared" si="21"/>
        <v>AhmadiAzghandi</v>
      </c>
      <c r="E216" s="40"/>
      <c r="F216" s="14"/>
      <c r="G216" s="17"/>
      <c r="H216" s="10" t="s">
        <v>8563</v>
      </c>
      <c r="I216" s="4" t="str">
        <f t="shared" si="22"/>
        <v>|Aḥmad-i-Azandí|</v>
      </c>
      <c r="J216" s="3" t="str">
        <f t="shared" si="23"/>
        <v>|Ahmad-i-Azghandi|</v>
      </c>
      <c r="K216" s="3" t="str">
        <f t="shared" si="24"/>
        <v>Ahmad-i-Azghandi</v>
      </c>
      <c r="N216" s="39" t="str">
        <f t="shared" si="25"/>
        <v/>
      </c>
      <c r="P216" s="39" t="str">
        <f t="shared" si="26"/>
        <v/>
      </c>
      <c r="R216" s="39" t="str">
        <f t="shared" si="27"/>
        <v/>
      </c>
      <c r="S216" s="28"/>
      <c r="T216" s="28"/>
      <c r="U216" s="28"/>
    </row>
    <row r="217" spans="1:21" s="5" customFormat="1">
      <c r="A217" s="179" t="s">
        <v>439</v>
      </c>
      <c r="B217" s="185" t="s">
        <v>5087</v>
      </c>
      <c r="C217" s="35" t="str">
        <f t="shared" si="21"/>
        <v>AhmadiBahrayni</v>
      </c>
      <c r="E217" s="40"/>
      <c r="F217" s="14"/>
      <c r="G217" s="17"/>
      <c r="H217" s="10" t="s">
        <v>8563</v>
      </c>
      <c r="I217" s="4" t="str">
        <f t="shared" si="22"/>
        <v>|Aḥmad-i-Baḥrayní|</v>
      </c>
      <c r="J217" s="3" t="str">
        <f t="shared" si="23"/>
        <v>|Ahmad-i-Bahrayni|</v>
      </c>
      <c r="K217" s="3" t="str">
        <f t="shared" si="24"/>
        <v>Ahmad-i-Bahrayni</v>
      </c>
      <c r="N217" s="39" t="str">
        <f t="shared" si="25"/>
        <v/>
      </c>
      <c r="P217" s="39" t="str">
        <f t="shared" si="26"/>
        <v/>
      </c>
      <c r="R217" s="39" t="str">
        <f t="shared" si="27"/>
        <v/>
      </c>
      <c r="S217" s="28"/>
      <c r="T217" s="28"/>
      <c r="U217" s="28"/>
    </row>
    <row r="218" spans="1:21" s="5" customFormat="1">
      <c r="A218" s="179" t="s">
        <v>440</v>
      </c>
      <c r="B218" s="185" t="s">
        <v>5088</v>
      </c>
      <c r="C218" s="35" t="str">
        <f t="shared" si="21"/>
        <v>AhmadibniAbiTalibiTabarsi</v>
      </c>
      <c r="E218" s="40"/>
      <c r="F218" s="15"/>
      <c r="G218" s="17"/>
      <c r="H218" s="10" t="s">
        <v>8563</v>
      </c>
      <c r="I218" s="4" t="str">
        <f t="shared" si="22"/>
        <v>|Aḥmad-ibn-i-Abí-Ṭálib-i-Ṭabarsí|</v>
      </c>
      <c r="J218" s="3" t="str">
        <f t="shared" si="23"/>
        <v>|Ahmad-ibn-i-Abi-Talib-i-Tabarsi|</v>
      </c>
      <c r="K218" s="3" t="str">
        <f t="shared" si="24"/>
        <v>Ahmad-ibn-i-Abi-Talib-i-Tabarsi</v>
      </c>
      <c r="N218" s="39" t="str">
        <f t="shared" si="25"/>
        <v/>
      </c>
      <c r="P218" s="39" t="str">
        <f t="shared" si="26"/>
        <v/>
      </c>
      <c r="R218" s="39" t="str">
        <f t="shared" si="27"/>
        <v/>
      </c>
      <c r="S218" s="28"/>
      <c r="T218" s="28"/>
      <c r="U218" s="28"/>
    </row>
    <row r="219" spans="1:21" s="5" customFormat="1">
      <c r="A219" s="179" t="s">
        <v>441</v>
      </c>
      <c r="B219" s="185" t="s">
        <v>5089</v>
      </c>
      <c r="C219" s="35" t="str">
        <f t="shared" si="21"/>
        <v>AhmadibniZaynudDinibniIbrahimibniSakhribniIbrahimibniZahiribniRamadanibniRashidibniDahimibniShimrukhibniSulih</v>
      </c>
      <c r="E219" s="40"/>
      <c r="F219" s="14"/>
      <c r="G219" s="17"/>
      <c r="H219" s="10" t="s">
        <v>8563</v>
      </c>
      <c r="I219" s="4" t="str">
        <f t="shared" si="22"/>
        <v>|Aḥmad-ibn-i-Zaynu’d-Dín-ibn-i-Ibráhím-ibn-i-Sar-ibn-i-Ibráhím-ibn-i-Ẓáhir-ibn-i-Ramaḍan-ibn-i-Raíd-ibn-i-Dahím-ibn-i-imru-ibn-i-Súlih|</v>
      </c>
      <c r="J219" s="3" t="str">
        <f t="shared" si="23"/>
        <v>|Ahmad-ibn-i-Zaynu'd-Din-ibn-i-Ibrahim-ibn-i-Sakhr-ibn-i-Ibrahim-ibn-i-Zahir-ibn-i-Ramadan-ibn-i-Rashid-ibn-i-Dahim-ibn-i-Shimrukh-ibn-i-Sulih|</v>
      </c>
      <c r="K219" s="3" t="str">
        <f t="shared" si="24"/>
        <v>Ahmad-ibn-i-Zaynud-Din-ibn-i-Ibrahim-ibn-i-Sakhr-ibn-i-Ibrahim-ibn-i-Zahir-ibn-i-Ramadan-ibn-i-Rashid-ibn-i-Dahim-ibn-i-Shimrukh-ibn-i-Sulih</v>
      </c>
      <c r="N219" s="39" t="str">
        <f t="shared" si="25"/>
        <v/>
      </c>
      <c r="P219" s="39" t="str">
        <f t="shared" si="26"/>
        <v/>
      </c>
      <c r="R219" s="39" t="str">
        <f t="shared" si="27"/>
        <v/>
      </c>
      <c r="S219" s="28"/>
      <c r="T219" s="28"/>
      <c r="U219" s="28"/>
    </row>
    <row r="220" spans="1:21" s="5" customFormat="1">
      <c r="A220" s="179" t="s">
        <v>442</v>
      </c>
      <c r="B220" s="185" t="s">
        <v>5090</v>
      </c>
      <c r="C220" s="35" t="str">
        <f t="shared" si="21"/>
        <v>AhmadiIbdal</v>
      </c>
      <c r="E220" s="40"/>
      <c r="F220" s="15"/>
      <c r="G220" s="17"/>
      <c r="H220" s="10" t="s">
        <v>8563</v>
      </c>
      <c r="I220" s="4" t="str">
        <f t="shared" si="22"/>
        <v>|Aḥmad-i-Ibdál|</v>
      </c>
      <c r="J220" s="3" t="str">
        <f t="shared" si="23"/>
        <v>|Ahmad-i-Ibdal|</v>
      </c>
      <c r="K220" s="3" t="str">
        <f t="shared" si="24"/>
        <v>Ahmad-i-Ibdal</v>
      </c>
      <c r="N220" s="39" t="str">
        <f t="shared" si="25"/>
        <v/>
      </c>
      <c r="P220" s="39" t="str">
        <f t="shared" si="26"/>
        <v/>
      </c>
      <c r="R220" s="39" t="str">
        <f t="shared" si="27"/>
        <v/>
      </c>
      <c r="S220" s="28"/>
      <c r="T220" s="28"/>
      <c r="U220" s="28"/>
    </row>
    <row r="221" spans="1:21" s="5" customFormat="1">
      <c r="A221" s="179" t="s">
        <v>443</v>
      </c>
      <c r="B221" s="185" t="s">
        <v>8847</v>
      </c>
      <c r="C221" s="35" t="str">
        <f t="shared" si="21"/>
        <v>AhmadiIbdaliMaraghihi</v>
      </c>
      <c r="E221" s="40"/>
      <c r="F221" s="15"/>
      <c r="G221" s="17"/>
      <c r="H221" s="10" t="s">
        <v>8563</v>
      </c>
      <c r="I221" s="4" t="str">
        <f t="shared" si="22"/>
        <v>|Aḥmad-i-Ibdál-i-Maráih’í|</v>
      </c>
      <c r="J221" s="3" t="str">
        <f t="shared" si="23"/>
        <v>|Ahmad-i-Ibdal-i-Maraghih'i|</v>
      </c>
      <c r="K221" s="3" t="str">
        <f t="shared" si="24"/>
        <v>Ahmad-i-Ibdal-i-Maraghihi</v>
      </c>
      <c r="N221" s="39" t="str">
        <f t="shared" si="25"/>
        <v/>
      </c>
      <c r="P221" s="39" t="str">
        <f t="shared" si="26"/>
        <v/>
      </c>
      <c r="R221" s="39" t="str">
        <f t="shared" si="27"/>
        <v/>
      </c>
      <c r="S221" s="28"/>
      <c r="T221" s="28"/>
      <c r="U221" s="28"/>
    </row>
    <row r="222" spans="1:21" s="5" customFormat="1">
      <c r="A222" s="179" t="s">
        <v>444</v>
      </c>
      <c r="B222" s="185" t="s">
        <v>5091</v>
      </c>
      <c r="C222" s="35" t="str">
        <f t="shared" si="21"/>
        <v>AhmadiKashani</v>
      </c>
      <c r="E222" s="40"/>
      <c r="F222" s="15"/>
      <c r="G222" s="17"/>
      <c r="H222" s="10" t="s">
        <v>8563</v>
      </c>
      <c r="I222" s="4" t="str">
        <f t="shared" si="22"/>
        <v>|Aḥmad-i-Káání|</v>
      </c>
      <c r="J222" s="3" t="str">
        <f t="shared" si="23"/>
        <v>|Ahmad-i-Kashani|</v>
      </c>
      <c r="K222" s="3" t="str">
        <f t="shared" si="24"/>
        <v>Ahmad-i-Kashani</v>
      </c>
      <c r="N222" s="39" t="str">
        <f t="shared" si="25"/>
        <v/>
      </c>
      <c r="P222" s="39" t="str">
        <f t="shared" si="26"/>
        <v/>
      </c>
      <c r="R222" s="39" t="str">
        <f t="shared" si="27"/>
        <v/>
      </c>
      <c r="S222" s="28"/>
      <c r="T222" s="28"/>
      <c r="U222" s="28"/>
    </row>
    <row r="223" spans="1:21" s="5" customFormat="1">
      <c r="A223" s="179" t="s">
        <v>445</v>
      </c>
      <c r="B223" s="185" t="s">
        <v>5092</v>
      </c>
      <c r="C223" s="35" t="str">
        <f t="shared" si="21"/>
        <v>AhmadiKatib</v>
      </c>
      <c r="E223" s="40"/>
      <c r="F223" s="15"/>
      <c r="G223" s="17"/>
      <c r="H223" s="10" t="s">
        <v>8563</v>
      </c>
      <c r="I223" s="4" t="str">
        <f t="shared" si="22"/>
        <v>|Aḥmad-i-Kátib|</v>
      </c>
      <c r="J223" s="3" t="str">
        <f t="shared" si="23"/>
        <v>|Ahmad-i-Katib|</v>
      </c>
      <c r="K223" s="3" t="str">
        <f t="shared" si="24"/>
        <v>Ahmad-i-Katib</v>
      </c>
      <c r="N223" s="39" t="str">
        <f t="shared" si="25"/>
        <v/>
      </c>
      <c r="P223" s="39" t="str">
        <f t="shared" si="26"/>
        <v/>
      </c>
      <c r="R223" s="39" t="str">
        <f t="shared" si="27"/>
        <v/>
      </c>
      <c r="S223" s="28"/>
      <c r="T223" s="28"/>
      <c r="U223" s="28"/>
    </row>
    <row r="224" spans="1:21" s="5" customFormat="1">
      <c r="A224" s="179" t="s">
        <v>446</v>
      </c>
      <c r="B224" s="185" t="s">
        <v>5093</v>
      </c>
      <c r="C224" s="35" t="str">
        <f t="shared" si="21"/>
        <v>AhmadiKhurasani</v>
      </c>
      <c r="E224" s="40"/>
      <c r="F224" s="14"/>
      <c r="G224" s="17"/>
      <c r="H224" s="10" t="s">
        <v>8563</v>
      </c>
      <c r="I224" s="4" t="str">
        <f t="shared" si="22"/>
        <v>|Aḥmad-i-urásání|</v>
      </c>
      <c r="J224" s="3" t="str">
        <f t="shared" si="23"/>
        <v>|Ahmad-i-Khurasani|</v>
      </c>
      <c r="K224" s="3" t="str">
        <f t="shared" si="24"/>
        <v>Ahmad-i-Khurasani</v>
      </c>
      <c r="N224" s="39" t="str">
        <f t="shared" si="25"/>
        <v/>
      </c>
      <c r="P224" s="39" t="str">
        <f t="shared" si="26"/>
        <v/>
      </c>
      <c r="R224" s="39" t="str">
        <f t="shared" si="27"/>
        <v/>
      </c>
      <c r="S224" s="28"/>
      <c r="T224" s="28"/>
      <c r="U224" s="28"/>
    </row>
    <row r="225" spans="1:21" s="5" customFormat="1">
      <c r="A225" s="179" t="s">
        <v>447</v>
      </c>
      <c r="B225" s="185" t="s">
        <v>5094</v>
      </c>
      <c r="C225" s="35" t="str">
        <f t="shared" si="21"/>
        <v>AhmadiKirmani</v>
      </c>
      <c r="E225" s="40"/>
      <c r="F225" s="14"/>
      <c r="G225" s="17"/>
      <c r="H225" s="10" t="s">
        <v>8563</v>
      </c>
      <c r="I225" s="4" t="str">
        <f t="shared" si="22"/>
        <v>|Aḥmad-i-Kirmání|</v>
      </c>
      <c r="J225" s="3" t="str">
        <f t="shared" si="23"/>
        <v>|Ahmad-i-Kirmani|</v>
      </c>
      <c r="K225" s="3" t="str">
        <f t="shared" si="24"/>
        <v>Ahmad-i-Kirmani</v>
      </c>
      <c r="N225" s="39" t="str">
        <f t="shared" si="25"/>
        <v/>
      </c>
      <c r="P225" s="39" t="str">
        <f t="shared" si="26"/>
        <v/>
      </c>
      <c r="R225" s="39" t="str">
        <f t="shared" si="27"/>
        <v/>
      </c>
      <c r="S225" s="28"/>
      <c r="T225" s="28"/>
      <c r="U225" s="28"/>
    </row>
    <row r="226" spans="1:21" s="5" customFormat="1">
      <c r="A226" s="179" t="s">
        <v>448</v>
      </c>
      <c r="B226" s="185" t="s">
        <v>5095</v>
      </c>
      <c r="C226" s="35" t="str">
        <f t="shared" si="21"/>
        <v>AhmadiMawud</v>
      </c>
      <c r="E226" s="40"/>
      <c r="F226" s="15" t="s">
        <v>449</v>
      </c>
      <c r="G226" s="17"/>
      <c r="H226" s="10" t="s">
        <v>8563</v>
      </c>
      <c r="I226" s="4" t="str">
        <f t="shared" si="22"/>
        <v>|Aḥmad-i-Mawʿúd|</v>
      </c>
      <c r="J226" s="3" t="str">
        <f t="shared" si="23"/>
        <v>|Ahmad-i-Maw'ud|</v>
      </c>
      <c r="K226" s="3" t="str">
        <f t="shared" si="24"/>
        <v>Ahmad-i-Mawud</v>
      </c>
      <c r="N226" s="39" t="str">
        <f t="shared" si="25"/>
        <v/>
      </c>
      <c r="P226" s="39" t="str">
        <f t="shared" si="26"/>
        <v/>
      </c>
      <c r="R226" s="39" t="str">
        <f t="shared" si="27"/>
        <v/>
      </c>
      <c r="S226" s="28"/>
      <c r="T226" s="28"/>
      <c r="U226" s="28"/>
    </row>
    <row r="227" spans="1:21" s="5" customFormat="1">
      <c r="A227" s="179" t="s">
        <v>450</v>
      </c>
      <c r="B227" s="185" t="s">
        <v>5096</v>
      </c>
      <c r="C227" s="35" t="str">
        <f t="shared" si="21"/>
        <v>AhmadiMuallim</v>
      </c>
      <c r="E227" s="40"/>
      <c r="F227" s="15"/>
      <c r="G227" s="17"/>
      <c r="H227" s="10" t="s">
        <v>8563</v>
      </c>
      <c r="I227" s="4" t="str">
        <f t="shared" si="22"/>
        <v>|Aḥmad-i-Muʿallim|</v>
      </c>
      <c r="J227" s="3" t="str">
        <f t="shared" si="23"/>
        <v>|Ahmad-i-Mu'allim|</v>
      </c>
      <c r="K227" s="3" t="str">
        <f t="shared" si="24"/>
        <v>Ahmad-i-Muallim</v>
      </c>
      <c r="N227" s="39" t="str">
        <f t="shared" si="25"/>
        <v/>
      </c>
      <c r="P227" s="39" t="str">
        <f t="shared" si="26"/>
        <v/>
      </c>
      <c r="R227" s="39" t="str">
        <f t="shared" si="27"/>
        <v/>
      </c>
      <c r="S227" s="28"/>
      <c r="T227" s="28"/>
      <c r="U227" s="28"/>
    </row>
    <row r="228" spans="1:21" s="5" customFormat="1">
      <c r="A228" s="179" t="s">
        <v>451</v>
      </c>
      <c r="B228" s="185" t="s">
        <v>5097</v>
      </c>
      <c r="C228" s="35" t="str">
        <f t="shared" si="21"/>
        <v>AhmadiNukhudBiriz</v>
      </c>
      <c r="E228" s="40"/>
      <c r="F228" s="15"/>
      <c r="G228" s="17"/>
      <c r="H228" s="10" t="s">
        <v>8563</v>
      </c>
      <c r="I228" s="4" t="str">
        <f t="shared" si="22"/>
        <v>|Aḥmad-i-Nuud-Biríz|</v>
      </c>
      <c r="J228" s="3" t="str">
        <f t="shared" si="23"/>
        <v>|Ahmad-i-Nukhud-Biriz|</v>
      </c>
      <c r="K228" s="3" t="str">
        <f t="shared" si="24"/>
        <v>Ahmad-i-Nukhud-Biriz</v>
      </c>
      <c r="N228" s="39" t="str">
        <f t="shared" si="25"/>
        <v/>
      </c>
      <c r="P228" s="39" t="str">
        <f t="shared" si="26"/>
        <v/>
      </c>
      <c r="R228" s="39" t="str">
        <f t="shared" si="27"/>
        <v/>
      </c>
      <c r="S228" s="28"/>
      <c r="T228" s="28"/>
      <c r="U228" s="28"/>
    </row>
    <row r="229" spans="1:21" s="5" customFormat="1">
      <c r="A229" s="179" t="s">
        <v>452</v>
      </c>
      <c r="B229" s="185" t="s">
        <v>5098</v>
      </c>
      <c r="C229" s="35" t="str">
        <f t="shared" si="21"/>
        <v>AhmadiPayvandi</v>
      </c>
      <c r="E229" s="40"/>
      <c r="F229" s="14"/>
      <c r="G229" s="17"/>
      <c r="H229" s="10" t="s">
        <v>8563</v>
      </c>
      <c r="I229" s="4" t="str">
        <f t="shared" si="22"/>
        <v>|Aḥmad-i-Payvandí|</v>
      </c>
      <c r="J229" s="3" t="str">
        <f t="shared" si="23"/>
        <v>|Ahmad-i-Payvandi|</v>
      </c>
      <c r="K229" s="3" t="str">
        <f t="shared" si="24"/>
        <v>Ahmad-i-Payvandi</v>
      </c>
      <c r="N229" s="39" t="str">
        <f t="shared" si="25"/>
        <v/>
      </c>
      <c r="P229" s="39" t="str">
        <f t="shared" si="26"/>
        <v/>
      </c>
      <c r="R229" s="39" t="str">
        <f t="shared" si="27"/>
        <v/>
      </c>
      <c r="S229" s="28"/>
      <c r="T229" s="28"/>
      <c r="U229" s="28"/>
    </row>
    <row r="230" spans="1:21" s="5" customFormat="1">
      <c r="A230" s="179" t="s">
        <v>453</v>
      </c>
      <c r="B230" s="185" t="s">
        <v>5099</v>
      </c>
      <c r="C230" s="35" t="str">
        <f t="shared" si="21"/>
        <v>AhmadiQazvini</v>
      </c>
      <c r="E230" s="40"/>
      <c r="F230" s="14"/>
      <c r="G230" s="17"/>
      <c r="H230" s="10" t="s">
        <v>8563</v>
      </c>
      <c r="I230" s="4" t="str">
        <f t="shared" si="22"/>
        <v>|Aḥmad-i-Qazvíní|</v>
      </c>
      <c r="J230" s="3" t="str">
        <f t="shared" si="23"/>
        <v>|Ahmad-i-Qazvini|</v>
      </c>
      <c r="K230" s="3" t="str">
        <f t="shared" si="24"/>
        <v>Ahmad-i-Qazvini</v>
      </c>
      <c r="N230" s="39" t="str">
        <f t="shared" si="25"/>
        <v/>
      </c>
      <c r="P230" s="39" t="str">
        <f t="shared" si="26"/>
        <v/>
      </c>
      <c r="R230" s="39" t="str">
        <f t="shared" si="27"/>
        <v/>
      </c>
      <c r="S230" s="28"/>
      <c r="T230" s="28"/>
      <c r="U230" s="28"/>
    </row>
    <row r="231" spans="1:21" s="5" customFormat="1">
      <c r="A231" s="179" t="s">
        <v>454</v>
      </c>
      <c r="B231" s="185" t="s">
        <v>5100</v>
      </c>
      <c r="C231" s="35" t="str">
        <f t="shared" si="21"/>
        <v>AhmadiRuhi</v>
      </c>
      <c r="E231" s="40"/>
      <c r="F231" s="15"/>
      <c r="G231" s="17"/>
      <c r="H231" s="10" t="s">
        <v>8563</v>
      </c>
      <c r="I231" s="4" t="str">
        <f t="shared" si="22"/>
        <v>|Aḥmad-i-Rúḥí|</v>
      </c>
      <c r="J231" s="3" t="str">
        <f t="shared" si="23"/>
        <v>|Ahmad-i-Ruhi|</v>
      </c>
      <c r="K231" s="3" t="str">
        <f t="shared" si="24"/>
        <v>Ahmad-i-Ruhi</v>
      </c>
      <c r="N231" s="39" t="str">
        <f t="shared" si="25"/>
        <v/>
      </c>
      <c r="P231" s="39" t="str">
        <f t="shared" si="26"/>
        <v/>
      </c>
      <c r="R231" s="39" t="str">
        <f t="shared" si="27"/>
        <v/>
      </c>
      <c r="S231" s="28"/>
      <c r="T231" s="28"/>
      <c r="U231" s="28"/>
    </row>
    <row r="232" spans="1:21" s="5" customFormat="1">
      <c r="A232" s="179" t="s">
        <v>455</v>
      </c>
      <c r="B232" s="185" t="s">
        <v>5101</v>
      </c>
      <c r="C232" s="35" t="str">
        <f t="shared" si="21"/>
        <v>AhmadiSaffar</v>
      </c>
      <c r="E232" s="40"/>
      <c r="F232" s="15"/>
      <c r="G232" s="17"/>
      <c r="H232" s="10" t="s">
        <v>8563</v>
      </c>
      <c r="I232" s="4" t="str">
        <f t="shared" si="22"/>
        <v>|Aḥmad-i-Ṣaffár|</v>
      </c>
      <c r="J232" s="3" t="str">
        <f t="shared" si="23"/>
        <v>|Ahmad-i-Saffar|</v>
      </c>
      <c r="K232" s="3" t="str">
        <f t="shared" si="24"/>
        <v>Ahmad-i-Saffar</v>
      </c>
      <c r="N232" s="39" t="str">
        <f t="shared" si="25"/>
        <v/>
      </c>
      <c r="P232" s="39" t="str">
        <f t="shared" si="26"/>
        <v/>
      </c>
      <c r="R232" s="39" t="str">
        <f t="shared" si="27"/>
        <v/>
      </c>
      <c r="S232" s="28"/>
      <c r="T232" s="28"/>
      <c r="U232" s="28"/>
    </row>
    <row r="233" spans="1:21" s="5" customFormat="1">
      <c r="A233" s="179" t="s">
        <v>456</v>
      </c>
      <c r="B233" s="185" t="s">
        <v>5102</v>
      </c>
      <c r="C233" s="35" t="str">
        <f t="shared" si="21"/>
        <v>AhmadiYazdi</v>
      </c>
      <c r="E233" s="40"/>
      <c r="F233" s="14"/>
      <c r="G233" s="17"/>
      <c r="H233" s="10" t="s">
        <v>8563</v>
      </c>
      <c r="I233" s="4" t="str">
        <f t="shared" si="22"/>
        <v>|Aḥmad-i-Yazdí|</v>
      </c>
      <c r="J233" s="3" t="str">
        <f t="shared" si="23"/>
        <v>|Ahmad-i-Yazdi|</v>
      </c>
      <c r="K233" s="3" t="str">
        <f t="shared" si="24"/>
        <v>Ahmad-i-Yazdi</v>
      </c>
      <c r="N233" s="39" t="str">
        <f t="shared" si="25"/>
        <v/>
      </c>
      <c r="P233" s="39" t="str">
        <f t="shared" si="26"/>
        <v/>
      </c>
      <c r="R233" s="39" t="str">
        <f t="shared" si="27"/>
        <v/>
      </c>
      <c r="S233" s="28"/>
      <c r="T233" s="28"/>
      <c r="U233" s="28"/>
    </row>
    <row r="234" spans="1:21" s="5" customFormat="1">
      <c r="A234" s="179" t="s">
        <v>457</v>
      </c>
      <c r="B234" s="185" t="s">
        <v>5103</v>
      </c>
      <c r="C234" s="35" t="str">
        <f t="shared" si="21"/>
        <v>Ahmadiyyih</v>
      </c>
      <c r="E234" s="40"/>
      <c r="F234" s="15"/>
      <c r="G234" s="17"/>
      <c r="H234" s="10" t="s">
        <v>8563</v>
      </c>
      <c r="I234" s="4" t="str">
        <f t="shared" si="22"/>
        <v>|Aḥmadíyyih|</v>
      </c>
      <c r="J234" s="3" t="str">
        <f t="shared" si="23"/>
        <v>|Ahmadiyyih|</v>
      </c>
      <c r="K234" s="3" t="str">
        <f t="shared" si="24"/>
        <v>Ahmadiyyih</v>
      </c>
      <c r="N234" s="39" t="str">
        <f t="shared" si="25"/>
        <v/>
      </c>
      <c r="P234" s="39" t="str">
        <f t="shared" si="26"/>
        <v/>
      </c>
      <c r="R234" s="39" t="str">
        <f t="shared" si="27"/>
        <v/>
      </c>
      <c r="S234" s="28"/>
      <c r="T234" s="28"/>
      <c r="U234" s="28"/>
    </row>
    <row r="235" spans="1:21" s="5" customFormat="1">
      <c r="A235" s="179" t="s">
        <v>458</v>
      </c>
      <c r="B235" s="185" t="s">
        <v>5104</v>
      </c>
      <c r="C235" s="35" t="str">
        <f t="shared" si="21"/>
        <v>Ahmar</v>
      </c>
      <c r="E235" s="40"/>
      <c r="F235" s="15"/>
      <c r="G235" s="17"/>
      <c r="H235" s="10" t="s">
        <v>8563</v>
      </c>
      <c r="I235" s="4" t="str">
        <f t="shared" si="22"/>
        <v>|Aḥmar|</v>
      </c>
      <c r="J235" s="3" t="str">
        <f t="shared" si="23"/>
        <v>|Ahmar|</v>
      </c>
      <c r="K235" s="3" t="str">
        <f t="shared" si="24"/>
        <v>Ahmar</v>
      </c>
      <c r="N235" s="39" t="str">
        <f t="shared" si="25"/>
        <v/>
      </c>
      <c r="P235" s="39" t="str">
        <f t="shared" si="26"/>
        <v/>
      </c>
      <c r="R235" s="39" t="str">
        <f t="shared" si="27"/>
        <v/>
      </c>
      <c r="S235" s="28"/>
      <c r="T235" s="28"/>
      <c r="U235" s="28"/>
    </row>
    <row r="236" spans="1:21" s="5" customFormat="1">
      <c r="A236" s="179" t="s">
        <v>460</v>
      </c>
      <c r="B236" s="185" t="s">
        <v>5106</v>
      </c>
      <c r="C236" s="35" t="str">
        <f t="shared" si="21"/>
        <v>Ahrari</v>
      </c>
      <c r="E236" s="40"/>
      <c r="F236" s="15"/>
      <c r="G236" s="17"/>
      <c r="H236" s="10" t="s">
        <v>8563</v>
      </c>
      <c r="I236" s="4" t="str">
        <f t="shared" si="22"/>
        <v>|Aḥrárí|</v>
      </c>
      <c r="J236" s="3" t="str">
        <f t="shared" si="23"/>
        <v>|Ahrari|</v>
      </c>
      <c r="K236" s="3" t="str">
        <f t="shared" si="24"/>
        <v>Ahrari</v>
      </c>
      <c r="N236" s="39" t="str">
        <f t="shared" si="25"/>
        <v/>
      </c>
      <c r="P236" s="39" t="str">
        <f t="shared" si="26"/>
        <v/>
      </c>
      <c r="R236" s="39" t="str">
        <f t="shared" si="27"/>
        <v/>
      </c>
      <c r="S236" s="28"/>
      <c r="T236" s="28"/>
      <c r="U236" s="28"/>
    </row>
    <row r="237" spans="1:21" s="5" customFormat="1">
      <c r="A237" s="179" t="s">
        <v>461</v>
      </c>
      <c r="B237" s="185" t="s">
        <v>5107</v>
      </c>
      <c r="C237" s="35" t="str">
        <f t="shared" si="21"/>
        <v>Ahriman</v>
      </c>
      <c r="E237" s="40"/>
      <c r="F237" s="14"/>
      <c r="G237" s="17"/>
      <c r="H237" s="10" t="s">
        <v>8563</v>
      </c>
      <c r="I237" s="4" t="str">
        <f t="shared" si="22"/>
        <v>|Ahríman|</v>
      </c>
      <c r="J237" s="3" t="str">
        <f t="shared" si="23"/>
        <v>|Ahriman|</v>
      </c>
      <c r="K237" s="3" t="str">
        <f t="shared" si="24"/>
        <v>Ahriman</v>
      </c>
      <c r="N237" s="39" t="str">
        <f t="shared" si="25"/>
        <v/>
      </c>
      <c r="P237" s="39" t="str">
        <f t="shared" si="26"/>
        <v/>
      </c>
      <c r="R237" s="39" t="str">
        <f t="shared" si="27"/>
        <v/>
      </c>
      <c r="S237" s="28"/>
      <c r="T237" s="28"/>
      <c r="U237" s="28"/>
    </row>
    <row r="238" spans="1:21" s="5" customFormat="1">
      <c r="A238" s="179" t="s">
        <v>462</v>
      </c>
      <c r="B238" s="185" t="s">
        <v>5108</v>
      </c>
      <c r="C238" s="35" t="str">
        <f t="shared" si="21"/>
        <v>Ahsa</v>
      </c>
      <c r="E238" s="40"/>
      <c r="F238" s="15" t="s">
        <v>463</v>
      </c>
      <c r="G238" s="17"/>
      <c r="H238" s="10" t="s">
        <v>8563</v>
      </c>
      <c r="I238" s="4" t="str">
        <f t="shared" si="22"/>
        <v>|Aḥsá|</v>
      </c>
      <c r="J238" s="3" t="str">
        <f t="shared" si="23"/>
        <v>|Ahsa|</v>
      </c>
      <c r="K238" s="3" t="str">
        <f t="shared" si="24"/>
        <v>Ahsa</v>
      </c>
      <c r="N238" s="39" t="str">
        <f t="shared" si="25"/>
        <v/>
      </c>
      <c r="P238" s="39" t="str">
        <f t="shared" si="26"/>
        <v/>
      </c>
      <c r="R238" s="39" t="str">
        <f t="shared" si="27"/>
        <v/>
      </c>
      <c r="S238" s="28"/>
      <c r="T238" s="28"/>
      <c r="U238" s="28"/>
    </row>
    <row r="239" spans="1:21" s="5" customFormat="1">
      <c r="A239" s="179" t="s">
        <v>464</v>
      </c>
      <c r="B239" s="185" t="s">
        <v>5109</v>
      </c>
      <c r="C239" s="35" t="str">
        <f t="shared" si="21"/>
        <v>Ahsai</v>
      </c>
      <c r="E239" s="40"/>
      <c r="F239" s="14"/>
      <c r="G239" s="17"/>
      <c r="H239" s="10" t="s">
        <v>8563</v>
      </c>
      <c r="I239" s="4" t="str">
        <f t="shared" si="22"/>
        <v>|Aḥsá’í|</v>
      </c>
      <c r="J239" s="3" t="str">
        <f t="shared" si="23"/>
        <v>|Ahsa'i|</v>
      </c>
      <c r="K239" s="3" t="str">
        <f t="shared" si="24"/>
        <v>Ahsai</v>
      </c>
      <c r="N239" s="39" t="str">
        <f t="shared" si="25"/>
        <v/>
      </c>
      <c r="P239" s="39" t="str">
        <f t="shared" si="26"/>
        <v/>
      </c>
      <c r="R239" s="39" t="str">
        <f t="shared" si="27"/>
        <v/>
      </c>
      <c r="S239" s="28"/>
      <c r="T239" s="28"/>
      <c r="U239" s="28"/>
    </row>
    <row r="240" spans="1:21" s="5" customFormat="1">
      <c r="A240" s="179" t="s">
        <v>465</v>
      </c>
      <c r="B240" s="185" t="s">
        <v>5110</v>
      </c>
      <c r="C240" s="35" t="str">
        <f t="shared" si="21"/>
        <v>Ahsan</v>
      </c>
      <c r="E240" s="40"/>
      <c r="F240" s="15"/>
      <c r="G240" s="17"/>
      <c r="H240" s="10" t="s">
        <v>8563</v>
      </c>
      <c r="I240" s="4" t="str">
        <f t="shared" si="22"/>
        <v>|Aḥsan|</v>
      </c>
      <c r="J240" s="3" t="str">
        <f t="shared" si="23"/>
        <v>|Ahsan|</v>
      </c>
      <c r="K240" s="3" t="str">
        <f t="shared" si="24"/>
        <v>Ahsan</v>
      </c>
      <c r="N240" s="39" t="str">
        <f t="shared" si="25"/>
        <v/>
      </c>
      <c r="P240" s="39" t="str">
        <f t="shared" si="26"/>
        <v/>
      </c>
      <c r="R240" s="39" t="str">
        <f t="shared" si="27"/>
        <v/>
      </c>
      <c r="S240" s="28"/>
      <c r="T240" s="28"/>
      <c r="U240" s="28"/>
    </row>
    <row r="241" spans="1:21" s="5" customFormat="1">
      <c r="A241" s="179" t="s">
        <v>466</v>
      </c>
      <c r="B241" s="185" t="s">
        <v>8848</v>
      </c>
      <c r="C241" s="35" t="str">
        <f t="shared" si="21"/>
        <v>AhsanulQisas</v>
      </c>
      <c r="E241" s="40" t="s">
        <v>9115</v>
      </c>
      <c r="F241" s="14" t="s">
        <v>467</v>
      </c>
      <c r="G241" s="17"/>
      <c r="H241" s="10" t="s">
        <v>8563</v>
      </c>
      <c r="I241" s="4" t="str">
        <f t="shared" si="22"/>
        <v>|Aḥsanu’l-Qiṣaṣ|</v>
      </c>
      <c r="J241" s="3" t="str">
        <f t="shared" si="23"/>
        <v>|Ahsanu'l-Qisas|</v>
      </c>
      <c r="K241" s="3" t="str">
        <f t="shared" si="24"/>
        <v>Ahsanul-Qisas</v>
      </c>
      <c r="N241" s="39" t="str">
        <f t="shared" si="25"/>
        <v/>
      </c>
      <c r="P241" s="39" t="str">
        <f t="shared" si="26"/>
        <v/>
      </c>
      <c r="R241" s="39" t="str">
        <f t="shared" si="27"/>
        <v/>
      </c>
      <c r="S241" s="28"/>
      <c r="T241" s="28"/>
      <c r="U241" s="28"/>
    </row>
    <row r="242" spans="1:21" s="5" customFormat="1">
      <c r="A242" s="179" t="s">
        <v>468</v>
      </c>
      <c r="B242" s="185" t="s">
        <v>8825</v>
      </c>
      <c r="C242" s="35" t="str">
        <f t="shared" si="21"/>
        <v>Ahu</v>
      </c>
      <c r="E242" s="40"/>
      <c r="F242" s="15" t="s">
        <v>469</v>
      </c>
      <c r="G242" s="17"/>
      <c r="H242" s="10" t="s">
        <v>8563</v>
      </c>
      <c r="I242" s="4" t="str">
        <f t="shared" si="22"/>
        <v>|Áhú|</v>
      </c>
      <c r="J242" s="3" t="str">
        <f t="shared" si="23"/>
        <v>|Ahu|</v>
      </c>
      <c r="K242" s="3" t="str">
        <f t="shared" si="24"/>
        <v>Ahu</v>
      </c>
      <c r="N242" s="39" t="str">
        <f t="shared" si="25"/>
        <v/>
      </c>
      <c r="P242" s="39" t="str">
        <f t="shared" si="26"/>
        <v/>
      </c>
      <c r="R242" s="39" t="str">
        <f t="shared" si="27"/>
        <v/>
      </c>
      <c r="S242" s="28"/>
      <c r="T242" s="28"/>
      <c r="U242" s="28"/>
    </row>
    <row r="243" spans="1:21" s="5" customFormat="1">
      <c r="A243" s="179" t="s">
        <v>470</v>
      </c>
      <c r="B243" s="185" t="s">
        <v>5111</v>
      </c>
      <c r="C243" s="35" t="str">
        <f t="shared" si="21"/>
        <v>Ahvaz</v>
      </c>
      <c r="E243" s="40"/>
      <c r="F243" s="14"/>
      <c r="G243" s="17"/>
      <c r="H243" s="10" t="s">
        <v>8563</v>
      </c>
      <c r="I243" s="4" t="str">
        <f t="shared" si="22"/>
        <v>|Ahváz|</v>
      </c>
      <c r="J243" s="3" t="str">
        <f t="shared" si="23"/>
        <v>|Ahvaz|</v>
      </c>
      <c r="K243" s="3" t="str">
        <f t="shared" si="24"/>
        <v>Ahvaz</v>
      </c>
      <c r="N243" s="39" t="str">
        <f t="shared" si="25"/>
        <v/>
      </c>
      <c r="P243" s="39" t="str">
        <f t="shared" si="26"/>
        <v/>
      </c>
      <c r="R243" s="39" t="str">
        <f t="shared" si="27"/>
        <v/>
      </c>
      <c r="S243" s="28"/>
      <c r="T243" s="28"/>
      <c r="U243" s="28"/>
    </row>
    <row r="244" spans="1:21" s="5" customFormat="1">
      <c r="A244" s="179" t="s">
        <v>471</v>
      </c>
      <c r="B244" s="185" t="s">
        <v>8849</v>
      </c>
      <c r="C244" s="35" t="str">
        <f t="shared" si="21"/>
        <v>Aishah</v>
      </c>
      <c r="E244" s="40"/>
      <c r="F244" s="15" t="s">
        <v>472</v>
      </c>
      <c r="G244" s="17"/>
      <c r="H244" s="10" t="s">
        <v>8563</v>
      </c>
      <c r="I244" s="4" t="str">
        <f t="shared" si="22"/>
        <v>|ʿÁ’íah|</v>
      </c>
      <c r="J244" s="3" t="str">
        <f t="shared" si="23"/>
        <v>|'A'ishah|</v>
      </c>
      <c r="K244" s="3" t="str">
        <f t="shared" si="24"/>
        <v>Aishah</v>
      </c>
      <c r="N244" s="39" t="str">
        <f t="shared" si="25"/>
        <v/>
      </c>
      <c r="P244" s="39" t="str">
        <f t="shared" si="26"/>
        <v/>
      </c>
      <c r="R244" s="39" t="str">
        <f t="shared" si="27"/>
        <v/>
      </c>
      <c r="S244" s="28"/>
      <c r="T244" s="28"/>
      <c r="U244" s="28"/>
    </row>
    <row r="245" spans="1:21" s="5" customFormat="1">
      <c r="A245" s="179" t="s">
        <v>473</v>
      </c>
      <c r="B245" s="185" t="s">
        <v>5112</v>
      </c>
      <c r="C245" s="35" t="str">
        <f t="shared" si="21"/>
        <v>Ajab</v>
      </c>
      <c r="E245" s="40"/>
      <c r="F245" s="15"/>
      <c r="G245" s="17"/>
      <c r="H245" s="10" t="s">
        <v>8563</v>
      </c>
      <c r="I245" s="4" t="str">
        <f t="shared" si="22"/>
        <v>|ʿAjab|</v>
      </c>
      <c r="J245" s="3" t="str">
        <f t="shared" si="23"/>
        <v>|'Ajab|</v>
      </c>
      <c r="K245" s="3" t="str">
        <f t="shared" si="24"/>
        <v>Ajab</v>
      </c>
      <c r="N245" s="39" t="str">
        <f t="shared" si="25"/>
        <v/>
      </c>
      <c r="P245" s="39" t="str">
        <f t="shared" si="26"/>
        <v/>
      </c>
      <c r="R245" s="39" t="str">
        <f t="shared" si="27"/>
        <v/>
      </c>
      <c r="S245" s="28"/>
      <c r="T245" s="28"/>
      <c r="U245" s="28"/>
    </row>
    <row r="246" spans="1:21" s="5" customFormat="1">
      <c r="A246" s="179" t="s">
        <v>474</v>
      </c>
      <c r="B246" s="185" t="s">
        <v>5113</v>
      </c>
      <c r="C246" s="35" t="str">
        <f t="shared" si="21"/>
        <v>Ajal</v>
      </c>
      <c r="E246" s="40"/>
      <c r="F246" s="15" t="s">
        <v>475</v>
      </c>
      <c r="G246" s="17"/>
      <c r="H246" s="10" t="s">
        <v>8563</v>
      </c>
      <c r="I246" s="4" t="str">
        <f t="shared" si="22"/>
        <v>|Ajal|</v>
      </c>
      <c r="J246" s="3" t="str">
        <f t="shared" si="23"/>
        <v>|Ajal|</v>
      </c>
      <c r="K246" s="3" t="str">
        <f t="shared" si="24"/>
        <v>Ajal</v>
      </c>
      <c r="N246" s="39" t="str">
        <f t="shared" si="25"/>
        <v/>
      </c>
      <c r="P246" s="39" t="str">
        <f t="shared" si="26"/>
        <v/>
      </c>
      <c r="R246" s="39" t="str">
        <f t="shared" si="27"/>
        <v/>
      </c>
      <c r="S246" s="28"/>
      <c r="T246" s="28"/>
      <c r="U246" s="28"/>
    </row>
    <row r="247" spans="1:21" s="5" customFormat="1">
      <c r="A247" s="179" t="s">
        <v>476</v>
      </c>
      <c r="B247" s="185" t="s">
        <v>5114</v>
      </c>
      <c r="C247" s="35" t="str">
        <f t="shared" si="21"/>
        <v>AjudanBashi</v>
      </c>
      <c r="E247" s="40"/>
      <c r="F247" s="15" t="s">
        <v>477</v>
      </c>
      <c r="G247" s="17"/>
      <c r="H247" s="10" t="s">
        <v>8563</v>
      </c>
      <c r="I247" s="4" t="str">
        <f t="shared" si="22"/>
        <v>|Ájúdán-Báí|</v>
      </c>
      <c r="J247" s="3" t="str">
        <f t="shared" si="23"/>
        <v>|Ajudan-Bashi|</v>
      </c>
      <c r="K247" s="3" t="str">
        <f t="shared" si="24"/>
        <v>Ajudan-Bashi</v>
      </c>
      <c r="N247" s="39" t="str">
        <f t="shared" si="25"/>
        <v/>
      </c>
      <c r="P247" s="39" t="str">
        <f t="shared" si="26"/>
        <v/>
      </c>
      <c r="R247" s="39" t="str">
        <f t="shared" si="27"/>
        <v/>
      </c>
      <c r="S247" s="28"/>
      <c r="T247" s="28"/>
      <c r="U247" s="28"/>
    </row>
    <row r="248" spans="1:21" s="5" customFormat="1">
      <c r="A248" s="179" t="s">
        <v>478</v>
      </c>
      <c r="B248" s="185" t="s">
        <v>5115</v>
      </c>
      <c r="C248" s="35" t="str">
        <f t="shared" si="21"/>
        <v>AjvibatulMasail</v>
      </c>
      <c r="E248" s="40"/>
      <c r="F248" s="15"/>
      <c r="G248" s="17"/>
      <c r="H248" s="10" t="s">
        <v>8563</v>
      </c>
      <c r="I248" s="4" t="str">
        <f t="shared" si="22"/>
        <v>|Ajvibatu’l-Masá’il|</v>
      </c>
      <c r="J248" s="3" t="str">
        <f t="shared" si="23"/>
        <v>|Ajvibatu'l-Masa'il|</v>
      </c>
      <c r="K248" s="3" t="str">
        <f t="shared" si="24"/>
        <v>Ajvibatul-Masail</v>
      </c>
      <c r="N248" s="39" t="str">
        <f t="shared" si="25"/>
        <v/>
      </c>
      <c r="P248" s="39" t="str">
        <f t="shared" si="26"/>
        <v/>
      </c>
      <c r="R248" s="39" t="str">
        <f t="shared" si="27"/>
        <v/>
      </c>
      <c r="S248" s="28"/>
      <c r="T248" s="28"/>
      <c r="U248" s="28"/>
    </row>
    <row r="249" spans="1:21" s="5" customFormat="1">
      <c r="A249" s="179" t="s">
        <v>479</v>
      </c>
      <c r="B249" s="185" t="s">
        <v>5116</v>
      </c>
      <c r="C249" s="35" t="str">
        <f t="shared" si="21"/>
        <v>Akbar</v>
      </c>
      <c r="E249" s="40"/>
      <c r="F249" s="14" t="s">
        <v>480</v>
      </c>
      <c r="G249" s="17"/>
      <c r="H249" s="10" t="s">
        <v>8563</v>
      </c>
      <c r="I249" s="4" t="str">
        <f t="shared" si="22"/>
        <v>|Akbar|</v>
      </c>
      <c r="J249" s="3" t="str">
        <f t="shared" si="23"/>
        <v>|Akbar|</v>
      </c>
      <c r="K249" s="3" t="str">
        <f t="shared" si="24"/>
        <v>Akbar</v>
      </c>
      <c r="N249" s="39" t="str">
        <f t="shared" si="25"/>
        <v/>
      </c>
      <c r="P249" s="39" t="str">
        <f t="shared" si="26"/>
        <v/>
      </c>
      <c r="R249" s="39" t="str">
        <f t="shared" si="27"/>
        <v/>
      </c>
      <c r="S249" s="28"/>
      <c r="T249" s="28"/>
      <c r="U249" s="28"/>
    </row>
    <row r="250" spans="1:21" s="5" customFormat="1">
      <c r="A250" s="179" t="s">
        <v>481</v>
      </c>
      <c r="B250" s="185" t="s">
        <v>5117</v>
      </c>
      <c r="C250" s="35" t="str">
        <f t="shared" si="21"/>
        <v>AkbaribniAbid</v>
      </c>
      <c r="E250" s="40"/>
      <c r="F250" s="15"/>
      <c r="G250" s="17"/>
      <c r="H250" s="10" t="s">
        <v>8563</v>
      </c>
      <c r="I250" s="4" t="str">
        <f t="shared" si="22"/>
        <v>|Akbar-ibn-i-ʿÁbid|</v>
      </c>
      <c r="J250" s="3" t="str">
        <f t="shared" si="23"/>
        <v>|Akbar-ibn-i-'Abid|</v>
      </c>
      <c r="K250" s="3" t="str">
        <f t="shared" si="24"/>
        <v>Akbar-ibn-i-Abid</v>
      </c>
      <c r="N250" s="39" t="str">
        <f t="shared" si="25"/>
        <v/>
      </c>
      <c r="P250" s="39" t="str">
        <f t="shared" si="26"/>
        <v/>
      </c>
      <c r="R250" s="39" t="str">
        <f t="shared" si="27"/>
        <v/>
      </c>
      <c r="S250" s="28"/>
      <c r="T250" s="28"/>
      <c r="U250" s="28"/>
    </row>
    <row r="251" spans="1:21" s="5" customFormat="1">
      <c r="A251" s="179" t="s">
        <v>482</v>
      </c>
      <c r="B251" s="185" t="s">
        <v>5118</v>
      </c>
      <c r="C251" s="35" t="str">
        <f t="shared" si="21"/>
        <v>AkbariMilani</v>
      </c>
      <c r="E251" s="40"/>
      <c r="F251" s="15"/>
      <c r="G251" s="17"/>
      <c r="H251" s="10" t="s">
        <v>8563</v>
      </c>
      <c r="I251" s="4" t="str">
        <f t="shared" si="22"/>
        <v>|Akbar-i-Milání|</v>
      </c>
      <c r="J251" s="3" t="str">
        <f t="shared" si="23"/>
        <v>|Akbar-i-Milani|</v>
      </c>
      <c r="K251" s="3" t="str">
        <f t="shared" si="24"/>
        <v>Akbar-i-Milani</v>
      </c>
      <c r="N251" s="39" t="str">
        <f t="shared" si="25"/>
        <v/>
      </c>
      <c r="P251" s="39" t="str">
        <f t="shared" si="26"/>
        <v/>
      </c>
      <c r="R251" s="39" t="str">
        <f t="shared" si="27"/>
        <v/>
      </c>
      <c r="S251" s="28"/>
      <c r="T251" s="28"/>
      <c r="U251" s="28"/>
    </row>
    <row r="252" spans="1:21" s="5" customFormat="1">
      <c r="A252" s="179" t="s">
        <v>483</v>
      </c>
      <c r="B252" s="185" t="s">
        <v>5119</v>
      </c>
      <c r="C252" s="35" t="str">
        <f t="shared" si="21"/>
        <v>AkhavaniSafa</v>
      </c>
      <c r="E252" s="40"/>
      <c r="F252" s="15"/>
      <c r="G252" s="17"/>
      <c r="H252" s="10" t="s">
        <v>8563</v>
      </c>
      <c r="I252" s="4" t="str">
        <f t="shared" si="22"/>
        <v>|Aaván-i-Ṣafá|</v>
      </c>
      <c r="J252" s="3" t="str">
        <f t="shared" si="23"/>
        <v>|Akhavan-i-Safa|</v>
      </c>
      <c r="K252" s="3" t="str">
        <f t="shared" si="24"/>
        <v>Akhavan-i-Safa</v>
      </c>
      <c r="N252" s="39" t="str">
        <f t="shared" si="25"/>
        <v/>
      </c>
      <c r="P252" s="39" t="str">
        <f t="shared" si="26"/>
        <v/>
      </c>
      <c r="R252" s="39" t="str">
        <f t="shared" si="27"/>
        <v/>
      </c>
      <c r="S252" s="28"/>
      <c r="T252" s="28"/>
      <c r="U252" s="28"/>
    </row>
    <row r="253" spans="1:21" s="5" customFormat="1">
      <c r="A253" s="179" t="s">
        <v>484</v>
      </c>
      <c r="B253" s="185" t="s">
        <v>5120</v>
      </c>
      <c r="C253" s="35" t="str">
        <f t="shared" si="21"/>
        <v>Akhbari</v>
      </c>
      <c r="E253" s="40"/>
      <c r="F253" s="15" t="s">
        <v>485</v>
      </c>
      <c r="G253" s="17"/>
      <c r="H253" s="10" t="s">
        <v>8563</v>
      </c>
      <c r="I253" s="4" t="str">
        <f t="shared" si="22"/>
        <v>|Abárí|</v>
      </c>
      <c r="J253" s="3" t="str">
        <f t="shared" si="23"/>
        <v>|Akhbari|</v>
      </c>
      <c r="K253" s="3" t="str">
        <f t="shared" si="24"/>
        <v>Akhbari</v>
      </c>
      <c r="N253" s="39" t="str">
        <f t="shared" si="25"/>
        <v/>
      </c>
      <c r="P253" s="39" t="str">
        <f t="shared" si="26"/>
        <v/>
      </c>
      <c r="R253" s="39" t="str">
        <f t="shared" si="27"/>
        <v/>
      </c>
      <c r="S253" s="28"/>
      <c r="T253" s="28"/>
      <c r="U253" s="28"/>
    </row>
    <row r="254" spans="1:21" s="5" customFormat="1">
      <c r="A254" s="179" t="s">
        <v>486</v>
      </c>
      <c r="B254" s="185" t="s">
        <v>5121</v>
      </c>
      <c r="C254" s="35" t="str">
        <f t="shared" si="21"/>
        <v>Akhirah</v>
      </c>
      <c r="E254" s="40"/>
      <c r="F254" s="15"/>
      <c r="G254" s="17"/>
      <c r="H254" s="10" t="s">
        <v>8563</v>
      </c>
      <c r="I254" s="4" t="str">
        <f t="shared" si="22"/>
        <v>|Áirah|</v>
      </c>
      <c r="J254" s="3" t="str">
        <f t="shared" si="23"/>
        <v>|Akhirah|</v>
      </c>
      <c r="K254" s="3" t="str">
        <f t="shared" si="24"/>
        <v>Akhirah</v>
      </c>
      <c r="N254" s="39" t="str">
        <f t="shared" si="25"/>
        <v/>
      </c>
      <c r="P254" s="39" t="str">
        <f t="shared" si="26"/>
        <v/>
      </c>
      <c r="R254" s="39" t="str">
        <f t="shared" si="27"/>
        <v/>
      </c>
      <c r="S254" s="28"/>
      <c r="T254" s="28"/>
      <c r="U254" s="28"/>
    </row>
    <row r="255" spans="1:21" s="5" customFormat="1">
      <c r="A255" s="179" t="s">
        <v>487</v>
      </c>
      <c r="B255" s="185" t="s">
        <v>5122</v>
      </c>
      <c r="C255" s="35" t="str">
        <f t="shared" si="21"/>
        <v>Akhlaq</v>
      </c>
      <c r="E255" s="40"/>
      <c r="F255" s="15" t="s">
        <v>488</v>
      </c>
      <c r="G255" s="17"/>
      <c r="H255" s="10" t="s">
        <v>8563</v>
      </c>
      <c r="I255" s="4" t="str">
        <f t="shared" si="22"/>
        <v>|Aláq|</v>
      </c>
      <c r="J255" s="3" t="str">
        <f t="shared" si="23"/>
        <v>|Akhlaq|</v>
      </c>
      <c r="K255" s="3" t="str">
        <f t="shared" si="24"/>
        <v>Akhlaq</v>
      </c>
      <c r="N255" s="39" t="str">
        <f t="shared" si="25"/>
        <v/>
      </c>
      <c r="P255" s="39" t="str">
        <f t="shared" si="26"/>
        <v/>
      </c>
      <c r="R255" s="39" t="str">
        <f t="shared" si="27"/>
        <v/>
      </c>
      <c r="S255" s="28"/>
      <c r="T255" s="28"/>
      <c r="U255" s="28"/>
    </row>
    <row r="256" spans="1:21" s="5" customFormat="1">
      <c r="A256" s="179" t="s">
        <v>489</v>
      </c>
      <c r="B256" s="185" t="s">
        <v>5123</v>
      </c>
      <c r="C256" s="35" t="str">
        <f t="shared" si="21"/>
        <v>Akhlaqi</v>
      </c>
      <c r="E256" s="40"/>
      <c r="F256" s="15" t="s">
        <v>8567</v>
      </c>
      <c r="G256" s="17"/>
      <c r="H256" s="10" t="s">
        <v>8563</v>
      </c>
      <c r="I256" s="4" t="str">
        <f t="shared" si="22"/>
        <v>|Aláqí|</v>
      </c>
      <c r="J256" s="3" t="str">
        <f t="shared" si="23"/>
        <v>|Akhlaqi|</v>
      </c>
      <c r="K256" s="3" t="str">
        <f t="shared" si="24"/>
        <v>Akhlaqi</v>
      </c>
      <c r="N256" s="39" t="str">
        <f t="shared" si="25"/>
        <v/>
      </c>
      <c r="P256" s="39" t="str">
        <f t="shared" si="26"/>
        <v/>
      </c>
      <c r="R256" s="39" t="str">
        <f t="shared" si="27"/>
        <v/>
      </c>
      <c r="S256" s="28"/>
      <c r="T256" s="28"/>
      <c r="U256" s="28"/>
    </row>
    <row r="257" spans="1:21" s="5" customFormat="1">
      <c r="A257" s="179" t="s">
        <v>490</v>
      </c>
      <c r="B257" s="185" t="s">
        <v>5124</v>
      </c>
      <c r="C257" s="35" t="str">
        <f t="shared" si="21"/>
        <v>Akhtar</v>
      </c>
      <c r="E257" s="40"/>
      <c r="F257" s="14"/>
      <c r="G257" s="17"/>
      <c r="H257" s="10" t="s">
        <v>8563</v>
      </c>
      <c r="I257" s="4" t="str">
        <f t="shared" si="22"/>
        <v>|Atar|</v>
      </c>
      <c r="J257" s="3" t="str">
        <f t="shared" si="23"/>
        <v>|Akhtar|</v>
      </c>
      <c r="K257" s="3" t="str">
        <f t="shared" si="24"/>
        <v>Akhtar</v>
      </c>
      <c r="N257" s="39" t="str">
        <f t="shared" si="25"/>
        <v/>
      </c>
      <c r="P257" s="39" t="str">
        <f t="shared" si="26"/>
        <v/>
      </c>
      <c r="R257" s="39" t="str">
        <f t="shared" si="27"/>
        <v/>
      </c>
      <c r="S257" s="28"/>
      <c r="T257" s="28"/>
      <c r="U257" s="28"/>
    </row>
    <row r="258" spans="1:21" s="5" customFormat="1">
      <c r="A258" s="179" t="s">
        <v>491</v>
      </c>
      <c r="B258" s="185" t="s">
        <v>5125</v>
      </c>
      <c r="C258" s="35" t="str">
        <f t="shared" si="21"/>
        <v>AkhtaraniTaban</v>
      </c>
      <c r="E258" s="40"/>
      <c r="F258" s="15"/>
      <c r="G258" s="17"/>
      <c r="H258" s="10" t="s">
        <v>8563</v>
      </c>
      <c r="I258" s="4" t="str">
        <f t="shared" si="22"/>
        <v>|Atarán-i-Tábán|</v>
      </c>
      <c r="J258" s="3" t="str">
        <f t="shared" si="23"/>
        <v>|Akhtaran-i-Taban|</v>
      </c>
      <c r="K258" s="3" t="str">
        <f t="shared" si="24"/>
        <v>Akhtaran-i-Taban</v>
      </c>
      <c r="N258" s="39" t="str">
        <f t="shared" si="25"/>
        <v/>
      </c>
      <c r="P258" s="39" t="str">
        <f t="shared" si="26"/>
        <v/>
      </c>
      <c r="R258" s="39" t="str">
        <f t="shared" si="27"/>
        <v/>
      </c>
      <c r="S258" s="28"/>
      <c r="T258" s="28"/>
      <c r="U258" s="28"/>
    </row>
    <row r="259" spans="1:21" s="5" customFormat="1">
      <c r="A259" s="179" t="s">
        <v>492</v>
      </c>
      <c r="B259" s="185" t="s">
        <v>5126</v>
      </c>
      <c r="C259" s="35" t="str">
        <f t="shared" ref="C259:C322" si="28">SUBSTITUTE(SUBSTITUTE(K259,"-","")," ","")</f>
        <v>AkhtarKhavari</v>
      </c>
      <c r="E259" s="40"/>
      <c r="F259" s="15"/>
      <c r="G259" s="17"/>
      <c r="H259" s="10" t="s">
        <v>8563</v>
      </c>
      <c r="I259" s="4" t="str">
        <f t="shared" ref="I259:I322" si="29">CONCATENATE("|",B259,"|")</f>
        <v>|Atar-ávarí|</v>
      </c>
      <c r="J259" s="3" t="str">
        <f t="shared" ref="J259:J322" si="30">CONCATENATE("|",F_OutputASCII(B259),"|")</f>
        <v>|Akhtar-Khavari|</v>
      </c>
      <c r="K259" s="3" t="str">
        <f t="shared" ref="K259:K322" si="31">IF(SUBSTITUTE(MID(J259,2,LEN(J259)-2),"'","")&lt;&gt;"",SUBSTITUTE(MID(J259,2,LEN(J259)-2),"'",""),"ZZZZZ")</f>
        <v>Akhtar-Khavari</v>
      </c>
      <c r="N259" s="39" t="str">
        <f t="shared" ref="N259:N322" si="32">SUBSTITUTE(SUBSTITUTE(SUBSTITUTE(F_OutputASCII(M259),"-","")," ",""),"'","")</f>
        <v/>
      </c>
      <c r="P259" s="39" t="str">
        <f t="shared" ref="P259:P322" si="33">SUBSTITUTE(SUBSTITUTE(SUBSTITUTE(F_OutputASCII(O259),"-","")," ",""),"'","")</f>
        <v/>
      </c>
      <c r="R259" s="39" t="str">
        <f t="shared" si="27"/>
        <v/>
      </c>
      <c r="S259" s="28"/>
      <c r="T259" s="28"/>
      <c r="U259" s="28"/>
    </row>
    <row r="260" spans="1:21" s="5" customFormat="1">
      <c r="A260" s="179" t="s">
        <v>493</v>
      </c>
      <c r="B260" s="185" t="s">
        <v>5127</v>
      </c>
      <c r="C260" s="35" t="str">
        <f t="shared" si="28"/>
        <v>Akhund</v>
      </c>
      <c r="E260" s="40"/>
      <c r="F260" s="15" t="s">
        <v>494</v>
      </c>
      <c r="G260" s="17"/>
      <c r="H260" s="10" t="s">
        <v>8563</v>
      </c>
      <c r="I260" s="4" t="str">
        <f t="shared" si="29"/>
        <v>|Áúnd|</v>
      </c>
      <c r="J260" s="3" t="str">
        <f t="shared" si="30"/>
        <v>|Akhund|</v>
      </c>
      <c r="K260" s="3" t="str">
        <f t="shared" si="31"/>
        <v>Akhund</v>
      </c>
      <c r="N260" s="39" t="str">
        <f t="shared" si="32"/>
        <v/>
      </c>
      <c r="P260" s="39" t="str">
        <f t="shared" si="33"/>
        <v/>
      </c>
      <c r="R260" s="39" t="str">
        <f t="shared" ref="R260:R323" si="34">SUBSTITUTE(SUBSTITUTE(Q260,"-","")," ","")</f>
        <v/>
      </c>
      <c r="S260" s="28"/>
      <c r="T260" s="28"/>
      <c r="U260" s="28"/>
    </row>
    <row r="261" spans="1:21" s="5" customFormat="1">
      <c r="A261" s="179" t="s">
        <v>495</v>
      </c>
      <c r="B261" s="185" t="s">
        <v>5128</v>
      </c>
      <c r="C261" s="35" t="str">
        <f t="shared" si="28"/>
        <v>Akifan</v>
      </c>
      <c r="E261" s="40"/>
      <c r="F261" s="15" t="s">
        <v>496</v>
      </c>
      <c r="G261" s="17"/>
      <c r="H261" s="10" t="s">
        <v>8563</v>
      </c>
      <c r="I261" s="4" t="str">
        <f t="shared" si="29"/>
        <v>|ʿÁkifán|</v>
      </c>
      <c r="J261" s="3" t="str">
        <f t="shared" si="30"/>
        <v>|'Akifan|</v>
      </c>
      <c r="K261" s="3" t="str">
        <f t="shared" si="31"/>
        <v>Akifan</v>
      </c>
      <c r="N261" s="39" t="str">
        <f t="shared" si="32"/>
        <v/>
      </c>
      <c r="P261" s="39" t="str">
        <f t="shared" si="33"/>
        <v/>
      </c>
      <c r="R261" s="39" t="str">
        <f t="shared" si="34"/>
        <v/>
      </c>
      <c r="S261" s="28"/>
      <c r="T261" s="28"/>
      <c r="U261" s="28"/>
    </row>
    <row r="262" spans="1:21" s="5" customFormat="1">
      <c r="A262" s="179" t="s">
        <v>497</v>
      </c>
      <c r="B262" s="185" t="s">
        <v>5</v>
      </c>
      <c r="C262" s="35" t="str">
        <f t="shared" si="28"/>
        <v>Akka</v>
      </c>
      <c r="E262" s="40"/>
      <c r="F262" s="14"/>
      <c r="G262" s="17"/>
      <c r="H262" s="10" t="s">
        <v>8563</v>
      </c>
      <c r="I262" s="4" t="str">
        <f t="shared" si="29"/>
        <v>|ʿAkká|</v>
      </c>
      <c r="J262" s="3" t="str">
        <f t="shared" si="30"/>
        <v>|'Akka|</v>
      </c>
      <c r="K262" s="3" t="str">
        <f t="shared" si="31"/>
        <v>Akka</v>
      </c>
      <c r="N262" s="39" t="str">
        <f t="shared" si="32"/>
        <v/>
      </c>
      <c r="P262" s="39" t="str">
        <f t="shared" si="33"/>
        <v/>
      </c>
      <c r="R262" s="39" t="str">
        <f t="shared" si="34"/>
        <v/>
      </c>
      <c r="S262" s="28"/>
      <c r="T262" s="29">
        <v>41801</v>
      </c>
      <c r="U262" s="28" t="s">
        <v>9482</v>
      </c>
    </row>
    <row r="263" spans="1:21" s="5" customFormat="1">
      <c r="A263" s="179" t="s">
        <v>498</v>
      </c>
      <c r="B263" s="185" t="s">
        <v>5129</v>
      </c>
      <c r="C263" s="35" t="str">
        <f t="shared" si="28"/>
        <v>Al</v>
      </c>
      <c r="E263" s="40"/>
      <c r="F263" s="15"/>
      <c r="G263" s="17"/>
      <c r="H263" s="10" t="s">
        <v>8563</v>
      </c>
      <c r="I263" s="4" t="str">
        <f t="shared" si="29"/>
        <v>|Ál|</v>
      </c>
      <c r="J263" s="3" t="str">
        <f t="shared" si="30"/>
        <v>|Al|</v>
      </c>
      <c r="K263" s="3" t="str">
        <f t="shared" si="31"/>
        <v>Al</v>
      </c>
      <c r="L263" s="5" t="s">
        <v>9069</v>
      </c>
      <c r="N263" s="39" t="str">
        <f t="shared" si="32"/>
        <v/>
      </c>
      <c r="P263" s="39" t="str">
        <f t="shared" si="33"/>
        <v/>
      </c>
      <c r="R263" s="39" t="str">
        <f t="shared" si="34"/>
        <v/>
      </c>
      <c r="S263" s="28"/>
      <c r="T263" s="28"/>
      <c r="U263" s="28"/>
    </row>
    <row r="264" spans="1:21" s="5" customFormat="1">
      <c r="A264" s="179" t="s">
        <v>499</v>
      </c>
      <c r="B264" s="185" t="s">
        <v>5130</v>
      </c>
      <c r="C264" s="35" t="str">
        <f t="shared" si="28"/>
        <v>Ala</v>
      </c>
      <c r="E264" s="40"/>
      <c r="F264" s="14"/>
      <c r="G264" s="17"/>
      <c r="H264" s="10" t="s">
        <v>8563</v>
      </c>
      <c r="I264" s="4" t="str">
        <f t="shared" si="29"/>
        <v>|ʿAlá|</v>
      </c>
      <c r="J264" s="3" t="str">
        <f t="shared" si="30"/>
        <v>|'Ala|</v>
      </c>
      <c r="K264" s="3" t="str">
        <f t="shared" si="31"/>
        <v>Ala</v>
      </c>
      <c r="L264" s="5" t="s">
        <v>9066</v>
      </c>
      <c r="N264" s="39" t="str">
        <f t="shared" si="32"/>
        <v/>
      </c>
      <c r="P264" s="39" t="str">
        <f t="shared" si="33"/>
        <v/>
      </c>
      <c r="R264" s="39" t="str">
        <f t="shared" si="34"/>
        <v/>
      </c>
      <c r="S264" s="28"/>
      <c r="T264" s="29">
        <v>41799</v>
      </c>
      <c r="U264" s="28" t="s">
        <v>9404</v>
      </c>
    </row>
    <row r="265" spans="1:21" s="5" customFormat="1">
      <c r="A265" s="179" t="s">
        <v>500</v>
      </c>
      <c r="B265" s="185" t="s">
        <v>5131</v>
      </c>
      <c r="C265" s="35" t="str">
        <f t="shared" si="28"/>
        <v>alAbha</v>
      </c>
      <c r="E265" s="40"/>
      <c r="F265" s="14" t="s">
        <v>501</v>
      </c>
      <c r="G265" s="17"/>
      <c r="H265" s="10" t="s">
        <v>8563</v>
      </c>
      <c r="I265" s="4" t="str">
        <f t="shared" si="29"/>
        <v>|al-Abhá|</v>
      </c>
      <c r="J265" s="3" t="str">
        <f t="shared" si="30"/>
        <v>|al-Abha|</v>
      </c>
      <c r="K265" s="3" t="str">
        <f t="shared" si="31"/>
        <v>al-Abha</v>
      </c>
      <c r="N265" s="39" t="str">
        <f t="shared" si="32"/>
        <v/>
      </c>
      <c r="P265" s="39" t="str">
        <f t="shared" si="33"/>
        <v/>
      </c>
      <c r="R265" s="39" t="str">
        <f t="shared" si="34"/>
        <v/>
      </c>
      <c r="S265" s="28"/>
      <c r="T265" s="28"/>
      <c r="U265" s="28"/>
    </row>
    <row r="266" spans="1:21" s="5" customFormat="1">
      <c r="A266" s="179" t="s">
        <v>502</v>
      </c>
      <c r="B266" s="185" t="s">
        <v>8850</v>
      </c>
      <c r="C266" s="35" t="str">
        <f t="shared" si="28"/>
        <v>alAbidayn</v>
      </c>
      <c r="E266" s="40"/>
      <c r="F266" s="15"/>
      <c r="G266" s="17"/>
      <c r="H266" s="10" t="s">
        <v>8563</v>
      </c>
      <c r="I266" s="4" t="str">
        <f t="shared" si="29"/>
        <v>|al-ʿAbidayn|</v>
      </c>
      <c r="J266" s="3" t="str">
        <f t="shared" si="30"/>
        <v>|al-'Abidayn|</v>
      </c>
      <c r="K266" s="3" t="str">
        <f t="shared" si="31"/>
        <v>al-Abidayn</v>
      </c>
      <c r="N266" s="39" t="str">
        <f t="shared" si="32"/>
        <v/>
      </c>
      <c r="P266" s="39" t="str">
        <f t="shared" si="33"/>
        <v/>
      </c>
      <c r="R266" s="39" t="str">
        <f t="shared" si="34"/>
        <v/>
      </c>
      <c r="S266" s="28"/>
      <c r="T266" s="28"/>
      <c r="U266" s="28"/>
    </row>
    <row r="267" spans="1:21" s="5" customFormat="1">
      <c r="A267" s="179" t="s">
        <v>503</v>
      </c>
      <c r="B267" s="185" t="s">
        <v>5132</v>
      </c>
      <c r="C267" s="35" t="str">
        <f t="shared" si="28"/>
        <v>alAfghani</v>
      </c>
      <c r="E267" s="40"/>
      <c r="F267" s="15"/>
      <c r="G267" s="17"/>
      <c r="H267" s="10" t="s">
        <v>8563</v>
      </c>
      <c r="I267" s="4" t="str">
        <f t="shared" si="29"/>
        <v>|al-Afání|</v>
      </c>
      <c r="J267" s="3" t="str">
        <f t="shared" si="30"/>
        <v>|al-Afghani|</v>
      </c>
      <c r="K267" s="3" t="str">
        <f t="shared" si="31"/>
        <v>al-Afghani</v>
      </c>
      <c r="N267" s="39" t="str">
        <f t="shared" si="32"/>
        <v/>
      </c>
      <c r="P267" s="39" t="str">
        <f t="shared" si="33"/>
        <v/>
      </c>
      <c r="R267" s="39" t="str">
        <f t="shared" si="34"/>
        <v/>
      </c>
      <c r="S267" s="28"/>
      <c r="T267" s="28"/>
      <c r="U267" s="28"/>
    </row>
    <row r="268" spans="1:21" s="5" customFormat="1">
      <c r="A268" s="179" t="s">
        <v>504</v>
      </c>
      <c r="B268" s="185" t="s">
        <v>5133</v>
      </c>
      <c r="C268" s="35" t="str">
        <f t="shared" si="28"/>
        <v>alAftah</v>
      </c>
      <c r="E268" s="40"/>
      <c r="F268" s="15" t="s">
        <v>505</v>
      </c>
      <c r="G268" s="17"/>
      <c r="H268" s="10" t="s">
        <v>8563</v>
      </c>
      <c r="I268" s="4" t="str">
        <f t="shared" si="29"/>
        <v>|al-Afṭaḥ|</v>
      </c>
      <c r="J268" s="3" t="str">
        <f t="shared" si="30"/>
        <v>|al-Aftah|</v>
      </c>
      <c r="K268" s="3" t="str">
        <f t="shared" si="31"/>
        <v>al-Aftah</v>
      </c>
      <c r="N268" s="39" t="str">
        <f t="shared" si="32"/>
        <v/>
      </c>
      <c r="P268" s="39" t="str">
        <f t="shared" si="33"/>
        <v/>
      </c>
      <c r="R268" s="39" t="str">
        <f t="shared" si="34"/>
        <v/>
      </c>
      <c r="S268" s="28"/>
      <c r="T268" s="28"/>
      <c r="U268" s="28"/>
    </row>
    <row r="269" spans="1:21" s="5" customFormat="1">
      <c r="A269" s="179" t="s">
        <v>506</v>
      </c>
      <c r="B269" s="185" t="s">
        <v>5134</v>
      </c>
      <c r="C269" s="35" t="str">
        <f t="shared" si="28"/>
        <v>alAhmar</v>
      </c>
      <c r="E269" s="40"/>
      <c r="F269" s="15"/>
      <c r="G269" s="17"/>
      <c r="H269" s="10" t="s">
        <v>8563</v>
      </c>
      <c r="I269" s="4" t="str">
        <f t="shared" si="29"/>
        <v>|al-Aḥmar|</v>
      </c>
      <c r="J269" s="3" t="str">
        <f t="shared" si="30"/>
        <v>|al-Ahmar|</v>
      </c>
      <c r="K269" s="3" t="str">
        <f t="shared" si="31"/>
        <v>al-Ahmar</v>
      </c>
      <c r="N269" s="39" t="str">
        <f t="shared" si="32"/>
        <v/>
      </c>
      <c r="P269" s="39" t="str">
        <f t="shared" si="33"/>
        <v/>
      </c>
      <c r="R269" s="39" t="str">
        <f t="shared" si="34"/>
        <v/>
      </c>
      <c r="S269" s="28"/>
      <c r="T269" s="28"/>
      <c r="U269" s="28"/>
    </row>
    <row r="270" spans="1:21" s="5" customFormat="1">
      <c r="A270" s="179" t="s">
        <v>507</v>
      </c>
      <c r="B270" s="185" t="s">
        <v>5135</v>
      </c>
      <c r="C270" s="35" t="str">
        <f t="shared" si="28"/>
        <v>alAhsa</v>
      </c>
      <c r="E270" s="40"/>
      <c r="F270" s="15"/>
      <c r="G270" s="17"/>
      <c r="H270" s="10" t="s">
        <v>8563</v>
      </c>
      <c r="I270" s="4" t="str">
        <f t="shared" si="29"/>
        <v>|al-Aḥsá|</v>
      </c>
      <c r="J270" s="3" t="str">
        <f t="shared" si="30"/>
        <v>|al-Ahsa|</v>
      </c>
      <c r="K270" s="3" t="str">
        <f t="shared" si="31"/>
        <v>al-Ahsa</v>
      </c>
      <c r="N270" s="39" t="str">
        <f t="shared" si="32"/>
        <v/>
      </c>
      <c r="P270" s="39" t="str">
        <f t="shared" si="33"/>
        <v/>
      </c>
      <c r="R270" s="39" t="str">
        <f t="shared" si="34"/>
        <v/>
      </c>
      <c r="S270" s="28"/>
      <c r="T270" s="28"/>
      <c r="U270" s="28"/>
    </row>
    <row r="271" spans="1:21" s="5" customFormat="1">
      <c r="A271" s="179" t="s">
        <v>508</v>
      </c>
      <c r="B271" s="185" t="s">
        <v>5136</v>
      </c>
      <c r="C271" s="35" t="str">
        <f t="shared" si="28"/>
        <v>alAhsai</v>
      </c>
      <c r="E271" s="40"/>
      <c r="F271" s="15"/>
      <c r="G271" s="17"/>
      <c r="H271" s="10" t="s">
        <v>8563</v>
      </c>
      <c r="I271" s="4" t="str">
        <f t="shared" si="29"/>
        <v>|al-Aḥsá’i|</v>
      </c>
      <c r="J271" s="3" t="str">
        <f t="shared" si="30"/>
        <v>|al-Ahsa'i|</v>
      </c>
      <c r="K271" s="3" t="str">
        <f t="shared" si="31"/>
        <v>al-Ahsai</v>
      </c>
      <c r="N271" s="39" t="str">
        <f t="shared" si="32"/>
        <v/>
      </c>
      <c r="P271" s="39" t="str">
        <f t="shared" si="33"/>
        <v/>
      </c>
      <c r="R271" s="39" t="str">
        <f t="shared" si="34"/>
        <v/>
      </c>
      <c r="S271" s="28"/>
      <c r="T271" s="28"/>
      <c r="U271" s="28"/>
    </row>
    <row r="272" spans="1:21" s="5" customFormat="1">
      <c r="A272" s="179" t="s">
        <v>509</v>
      </c>
      <c r="B272" s="185" t="s">
        <v>5137</v>
      </c>
      <c r="C272" s="35" t="str">
        <f t="shared" si="28"/>
        <v>Alai</v>
      </c>
      <c r="E272" s="40"/>
      <c r="F272" s="14"/>
      <c r="G272" s="17"/>
      <c r="H272" s="10" t="s">
        <v>8563</v>
      </c>
      <c r="I272" s="4" t="str">
        <f t="shared" si="29"/>
        <v>|ʿAlá’í|</v>
      </c>
      <c r="J272" s="3" t="str">
        <f t="shared" si="30"/>
        <v>|'Ala'i|</v>
      </c>
      <c r="K272" s="3" t="str">
        <f t="shared" si="31"/>
        <v>Alai</v>
      </c>
      <c r="N272" s="39" t="str">
        <f t="shared" si="32"/>
        <v/>
      </c>
      <c r="P272" s="39" t="str">
        <f t="shared" si="33"/>
        <v/>
      </c>
      <c r="R272" s="39" t="str">
        <f t="shared" si="34"/>
        <v/>
      </c>
      <c r="S272" s="28"/>
      <c r="T272" s="28"/>
      <c r="U272" s="28"/>
    </row>
    <row r="273" spans="1:21" s="5" customFormat="1">
      <c r="A273" s="179" t="s">
        <v>510</v>
      </c>
      <c r="B273" s="185" t="s">
        <v>5138</v>
      </c>
      <c r="C273" s="35" t="str">
        <f t="shared" si="28"/>
        <v>alAla</v>
      </c>
      <c r="E273" s="40"/>
      <c r="F273" s="15"/>
      <c r="G273" s="17"/>
      <c r="H273" s="10" t="s">
        <v>8563</v>
      </c>
      <c r="I273" s="4" t="str">
        <f t="shared" si="29"/>
        <v>|al-ʿAlá|</v>
      </c>
      <c r="J273" s="3" t="str">
        <f t="shared" si="30"/>
        <v>|al-'Ala|</v>
      </c>
      <c r="K273" s="3" t="str">
        <f t="shared" si="31"/>
        <v>al-Ala</v>
      </c>
      <c r="N273" s="39" t="str">
        <f t="shared" si="32"/>
        <v/>
      </c>
      <c r="P273" s="39" t="str">
        <f t="shared" si="33"/>
        <v/>
      </c>
      <c r="R273" s="39" t="str">
        <f t="shared" si="34"/>
        <v/>
      </c>
      <c r="S273" s="28"/>
      <c r="T273" s="28"/>
      <c r="U273" s="28"/>
    </row>
    <row r="274" spans="1:21" s="5" customFormat="1">
      <c r="A274" s="179" t="s">
        <v>511</v>
      </c>
      <c r="B274" s="185" t="s">
        <v>5139</v>
      </c>
      <c r="C274" s="35" t="str">
        <f t="shared" si="28"/>
        <v>Alam</v>
      </c>
      <c r="E274" s="40"/>
      <c r="F274" s="15" t="s">
        <v>512</v>
      </c>
      <c r="G274" s="17"/>
      <c r="H274" s="10" t="s">
        <v>8563</v>
      </c>
      <c r="I274" s="4" t="str">
        <f t="shared" si="29"/>
        <v>|Álám|</v>
      </c>
      <c r="J274" s="3" t="str">
        <f t="shared" si="30"/>
        <v>|Alam|</v>
      </c>
      <c r="K274" s="3" t="str">
        <f t="shared" si="31"/>
        <v>Alam</v>
      </c>
      <c r="N274" s="39" t="str">
        <f t="shared" si="32"/>
        <v/>
      </c>
      <c r="P274" s="39" t="str">
        <f t="shared" si="33"/>
        <v/>
      </c>
      <c r="R274" s="39" t="str">
        <f t="shared" si="34"/>
        <v/>
      </c>
      <c r="S274" s="28"/>
      <c r="T274" s="28"/>
      <c r="U274" s="28"/>
    </row>
    <row r="275" spans="1:21" s="5" customFormat="1">
      <c r="A275" s="179" t="s">
        <v>513</v>
      </c>
      <c r="B275" s="185" t="s">
        <v>5140</v>
      </c>
      <c r="C275" s="35" t="str">
        <f t="shared" si="28"/>
        <v>Alam</v>
      </c>
      <c r="E275" s="40"/>
      <c r="F275" s="15" t="s">
        <v>514</v>
      </c>
      <c r="G275" s="17"/>
      <c r="H275" s="10" t="s">
        <v>8563</v>
      </c>
      <c r="I275" s="4" t="str">
        <f t="shared" si="29"/>
        <v>|ʿAlam|</v>
      </c>
      <c r="J275" s="3" t="str">
        <f t="shared" si="30"/>
        <v>|'Alam|</v>
      </c>
      <c r="K275" s="3" t="str">
        <f t="shared" si="31"/>
        <v>Alam</v>
      </c>
      <c r="N275" s="39" t="str">
        <f t="shared" si="32"/>
        <v/>
      </c>
      <c r="P275" s="39" t="str">
        <f t="shared" si="33"/>
        <v/>
      </c>
      <c r="R275" s="39" t="str">
        <f t="shared" si="34"/>
        <v/>
      </c>
      <c r="S275" s="28"/>
      <c r="T275" s="28"/>
      <c r="U275" s="28"/>
    </row>
    <row r="276" spans="1:21" s="5" customFormat="1">
      <c r="A276" s="179" t="s">
        <v>515</v>
      </c>
      <c r="B276" s="185" t="s">
        <v>5141</v>
      </c>
      <c r="C276" s="35" t="str">
        <f t="shared" si="28"/>
        <v>Alam</v>
      </c>
      <c r="E276" s="40"/>
      <c r="F276" s="15" t="s">
        <v>516</v>
      </c>
      <c r="G276" s="17"/>
      <c r="H276" s="10" t="s">
        <v>8563</v>
      </c>
      <c r="I276" s="4" t="str">
        <f t="shared" si="29"/>
        <v>|ʿÁlam|</v>
      </c>
      <c r="J276" s="3" t="str">
        <f t="shared" si="30"/>
        <v>|'Alam|</v>
      </c>
      <c r="K276" s="3" t="str">
        <f t="shared" si="31"/>
        <v>Alam</v>
      </c>
      <c r="N276" s="39" t="str">
        <f t="shared" si="32"/>
        <v/>
      </c>
      <c r="P276" s="39" t="str">
        <f t="shared" si="33"/>
        <v/>
      </c>
      <c r="R276" s="39" t="str">
        <f t="shared" si="34"/>
        <v/>
      </c>
      <c r="S276" s="28"/>
      <c r="T276" s="28"/>
      <c r="U276" s="28"/>
    </row>
    <row r="277" spans="1:21" s="5" customFormat="1">
      <c r="A277" s="179" t="s">
        <v>519</v>
      </c>
      <c r="B277" s="185" t="s">
        <v>8851</v>
      </c>
      <c r="C277" s="35" t="str">
        <f t="shared" si="28"/>
        <v>AlamulAmr</v>
      </c>
      <c r="E277" s="40"/>
      <c r="F277" s="15"/>
      <c r="G277" s="17"/>
      <c r="H277" s="10" t="s">
        <v>8563</v>
      </c>
      <c r="I277" s="4" t="str">
        <f t="shared" si="29"/>
        <v>|ʿÁlamu’l-Amr|</v>
      </c>
      <c r="J277" s="3" t="str">
        <f t="shared" si="30"/>
        <v>|'Alamu'l-Amr|</v>
      </c>
      <c r="K277" s="3" t="str">
        <f t="shared" si="31"/>
        <v>Alamul-Amr</v>
      </c>
      <c r="N277" s="39" t="str">
        <f t="shared" si="32"/>
        <v/>
      </c>
      <c r="P277" s="39" t="str">
        <f t="shared" si="33"/>
        <v/>
      </c>
      <c r="R277" s="39" t="str">
        <f t="shared" si="34"/>
        <v/>
      </c>
      <c r="S277" s="28"/>
      <c r="T277" s="28"/>
      <c r="U277" s="28"/>
    </row>
    <row r="278" spans="1:21" s="5" customFormat="1">
      <c r="A278" s="179" t="s">
        <v>520</v>
      </c>
      <c r="B278" s="185" t="s">
        <v>8852</v>
      </c>
      <c r="C278" s="35" t="str">
        <f t="shared" si="28"/>
        <v>AlamulHaqq</v>
      </c>
      <c r="E278" s="40"/>
      <c r="F278" s="15"/>
      <c r="G278" s="17"/>
      <c r="H278" s="10" t="s">
        <v>8563</v>
      </c>
      <c r="I278" s="4" t="str">
        <f t="shared" si="29"/>
        <v>|ʿÁlamu’l-Ḥaqq|</v>
      </c>
      <c r="J278" s="3" t="str">
        <f t="shared" si="30"/>
        <v>|'Alamu'l-Haqq|</v>
      </c>
      <c r="K278" s="3" t="str">
        <f t="shared" si="31"/>
        <v>Alamul-Haqq</v>
      </c>
      <c r="N278" s="39" t="str">
        <f t="shared" si="32"/>
        <v/>
      </c>
      <c r="P278" s="39" t="str">
        <f t="shared" si="33"/>
        <v/>
      </c>
      <c r="R278" s="39" t="str">
        <f t="shared" si="34"/>
        <v/>
      </c>
      <c r="S278" s="28"/>
      <c r="T278" s="28"/>
      <c r="U278" s="28"/>
    </row>
    <row r="279" spans="1:21" s="5" customFormat="1">
      <c r="A279" s="179" t="s">
        <v>521</v>
      </c>
      <c r="B279" s="185" t="s">
        <v>8853</v>
      </c>
      <c r="C279" s="35" t="str">
        <f t="shared" si="28"/>
        <v>AlamulKhalq</v>
      </c>
      <c r="E279" s="40"/>
      <c r="F279" s="15" t="s">
        <v>522</v>
      </c>
      <c r="G279" s="17"/>
      <c r="H279" s="10" t="s">
        <v>8563</v>
      </c>
      <c r="I279" s="4" t="str">
        <f t="shared" si="29"/>
        <v>|ʿÁlamu’l-alq|</v>
      </c>
      <c r="J279" s="3" t="str">
        <f t="shared" si="30"/>
        <v>|'Alamu'l-Khalq|</v>
      </c>
      <c r="K279" s="3" t="str">
        <f t="shared" si="31"/>
        <v>Alamul-Khalq</v>
      </c>
      <c r="N279" s="39" t="str">
        <f t="shared" si="32"/>
        <v/>
      </c>
      <c r="P279" s="39" t="str">
        <f t="shared" si="33"/>
        <v/>
      </c>
      <c r="R279" s="39" t="str">
        <f t="shared" si="34"/>
        <v/>
      </c>
      <c r="S279" s="28"/>
      <c r="T279" s="28"/>
      <c r="U279" s="28"/>
    </row>
    <row r="280" spans="1:21" s="5" customFormat="1">
      <c r="A280" s="179" t="s">
        <v>523</v>
      </c>
      <c r="B280" s="185" t="s">
        <v>5143</v>
      </c>
      <c r="C280" s="35" t="str">
        <f t="shared" si="28"/>
        <v>Alamut</v>
      </c>
      <c r="E280" s="40"/>
      <c r="F280" s="15"/>
      <c r="G280" s="17"/>
      <c r="H280" s="10" t="s">
        <v>8563</v>
      </c>
      <c r="I280" s="4" t="str">
        <f t="shared" si="29"/>
        <v>|Alamút|</v>
      </c>
      <c r="J280" s="3" t="str">
        <f t="shared" si="30"/>
        <v>|Alamut|</v>
      </c>
      <c r="K280" s="3" t="str">
        <f t="shared" si="31"/>
        <v>Alamut</v>
      </c>
      <c r="N280" s="39" t="str">
        <f t="shared" si="32"/>
        <v/>
      </c>
      <c r="P280" s="39" t="str">
        <f t="shared" si="33"/>
        <v/>
      </c>
      <c r="R280" s="39" t="str">
        <f t="shared" si="34"/>
        <v/>
      </c>
      <c r="S280" s="28"/>
      <c r="T280" s="28"/>
      <c r="U280" s="28"/>
    </row>
    <row r="281" spans="1:21" s="5" customFormat="1">
      <c r="A281" s="179" t="s">
        <v>524</v>
      </c>
      <c r="B281" s="185" t="s">
        <v>5144</v>
      </c>
      <c r="C281" s="35" t="str">
        <f t="shared" si="28"/>
        <v>alAnbiya</v>
      </c>
      <c r="E281" s="40"/>
      <c r="F281" s="15"/>
      <c r="G281" s="17"/>
      <c r="H281" s="10" t="s">
        <v>8563</v>
      </c>
      <c r="I281" s="4" t="str">
        <f t="shared" si="29"/>
        <v>|al-Anbiyá|</v>
      </c>
      <c r="J281" s="3" t="str">
        <f t="shared" si="30"/>
        <v>|al-Anbiya|</v>
      </c>
      <c r="K281" s="3" t="str">
        <f t="shared" si="31"/>
        <v>al-Anbiya</v>
      </c>
      <c r="N281" s="39" t="str">
        <f t="shared" si="32"/>
        <v/>
      </c>
      <c r="P281" s="39" t="str">
        <f t="shared" si="33"/>
        <v/>
      </c>
      <c r="R281" s="39" t="str">
        <f t="shared" si="34"/>
        <v/>
      </c>
      <c r="S281" s="28"/>
      <c r="T281" s="28"/>
      <c r="U281" s="28"/>
    </row>
    <row r="282" spans="1:21" s="5" customFormat="1">
      <c r="A282" s="179" t="s">
        <v>525</v>
      </c>
      <c r="B282" s="185" t="s">
        <v>5145</v>
      </c>
      <c r="C282" s="35" t="str">
        <f t="shared" si="28"/>
        <v>alAnwar</v>
      </c>
      <c r="E282" s="40"/>
      <c r="F282" s="15"/>
      <c r="G282" s="17"/>
      <c r="H282" s="10" t="s">
        <v>8563</v>
      </c>
      <c r="I282" s="4" t="str">
        <f t="shared" si="29"/>
        <v>|al-Anwár|</v>
      </c>
      <c r="J282" s="3" t="str">
        <f t="shared" si="30"/>
        <v>|al-Anwar|</v>
      </c>
      <c r="K282" s="3" t="str">
        <f t="shared" si="31"/>
        <v>al-Anwar</v>
      </c>
      <c r="N282" s="39" t="str">
        <f t="shared" si="32"/>
        <v/>
      </c>
      <c r="P282" s="39" t="str">
        <f t="shared" si="33"/>
        <v/>
      </c>
      <c r="R282" s="39" t="str">
        <f t="shared" si="34"/>
        <v/>
      </c>
      <c r="S282" s="28"/>
      <c r="T282" s="28"/>
      <c r="U282" s="28"/>
    </row>
    <row r="283" spans="1:21" s="5" customFormat="1">
      <c r="A283" s="179" t="s">
        <v>526</v>
      </c>
      <c r="B283" s="185" t="s">
        <v>5146</v>
      </c>
      <c r="C283" s="35" t="str">
        <f t="shared" si="28"/>
        <v>alAqib</v>
      </c>
      <c r="E283" s="40"/>
      <c r="F283" s="15" t="s">
        <v>527</v>
      </c>
      <c r="G283" s="17"/>
      <c r="H283" s="10" t="s">
        <v>8563</v>
      </c>
      <c r="I283" s="4" t="str">
        <f t="shared" si="29"/>
        <v>|al-ʿÁqib|</v>
      </c>
      <c r="J283" s="3" t="str">
        <f t="shared" si="30"/>
        <v>|al-'Aqib|</v>
      </c>
      <c r="K283" s="3" t="str">
        <f t="shared" si="31"/>
        <v>al-Aqib</v>
      </c>
      <c r="N283" s="39" t="str">
        <f t="shared" si="32"/>
        <v/>
      </c>
      <c r="P283" s="39" t="str">
        <f t="shared" si="33"/>
        <v/>
      </c>
      <c r="R283" s="39" t="str">
        <f t="shared" si="34"/>
        <v/>
      </c>
      <c r="S283" s="28"/>
      <c r="T283" s="28"/>
      <c r="U283" s="28"/>
    </row>
    <row r="284" spans="1:21" s="5" customFormat="1">
      <c r="A284" s="179" t="s">
        <v>528</v>
      </c>
      <c r="B284" s="185" t="s">
        <v>5147</v>
      </c>
      <c r="C284" s="35" t="str">
        <f t="shared" si="28"/>
        <v>alAqliyyah</v>
      </c>
      <c r="E284" s="40"/>
      <c r="F284" s="15"/>
      <c r="G284" s="17"/>
      <c r="H284" s="10" t="s">
        <v>8563</v>
      </c>
      <c r="I284" s="4" t="str">
        <f t="shared" si="29"/>
        <v>|al-ʿAqliyyah|</v>
      </c>
      <c r="J284" s="3" t="str">
        <f t="shared" si="30"/>
        <v>|al-'Aqliyyah|</v>
      </c>
      <c r="K284" s="3" t="str">
        <f t="shared" si="31"/>
        <v>al-Aqliyyah</v>
      </c>
      <c r="N284" s="39" t="str">
        <f t="shared" si="32"/>
        <v/>
      </c>
      <c r="P284" s="39" t="str">
        <f t="shared" si="33"/>
        <v/>
      </c>
      <c r="R284" s="39" t="str">
        <f t="shared" si="34"/>
        <v/>
      </c>
      <c r="S284" s="28"/>
      <c r="T284" s="28"/>
      <c r="U284" s="28"/>
    </row>
    <row r="285" spans="1:21" s="5" customFormat="1">
      <c r="A285" s="179" t="s">
        <v>529</v>
      </c>
      <c r="B285" s="185" t="s">
        <v>5148</v>
      </c>
      <c r="C285" s="35" t="str">
        <f t="shared" si="28"/>
        <v>alAqlulAwwal</v>
      </c>
      <c r="E285" s="40"/>
      <c r="F285" s="15"/>
      <c r="G285" s="17"/>
      <c r="H285" s="10" t="s">
        <v>8563</v>
      </c>
      <c r="I285" s="4" t="str">
        <f t="shared" si="29"/>
        <v>|al-ʿAqlu’l-Awwal|</v>
      </c>
      <c r="J285" s="3" t="str">
        <f t="shared" si="30"/>
        <v>|al-'Aqlu'l-Awwal|</v>
      </c>
      <c r="K285" s="3" t="str">
        <f t="shared" si="31"/>
        <v>al-Aqlul-Awwal</v>
      </c>
      <c r="N285" s="39" t="str">
        <f t="shared" si="32"/>
        <v/>
      </c>
      <c r="P285" s="39" t="str">
        <f t="shared" si="33"/>
        <v/>
      </c>
      <c r="R285" s="39" t="str">
        <f t="shared" si="34"/>
        <v/>
      </c>
      <c r="S285" s="28"/>
      <c r="T285" s="28"/>
      <c r="U285" s="28"/>
    </row>
    <row r="286" spans="1:21" s="5" customFormat="1">
      <c r="A286" s="179" t="s">
        <v>530</v>
      </c>
      <c r="B286" s="185" t="s">
        <v>5149</v>
      </c>
      <c r="C286" s="35" t="str">
        <f t="shared" si="28"/>
        <v>alAshari</v>
      </c>
      <c r="E286" s="40"/>
      <c r="F286" s="15"/>
      <c r="G286" s="17"/>
      <c r="H286" s="10" t="s">
        <v>8563</v>
      </c>
      <c r="I286" s="4" t="str">
        <f t="shared" si="29"/>
        <v>|al-Aʿarí|</v>
      </c>
      <c r="J286" s="3" t="str">
        <f t="shared" si="30"/>
        <v>|al-Ash'ari|</v>
      </c>
      <c r="K286" s="3" t="str">
        <f t="shared" si="31"/>
        <v>al-Ashari</v>
      </c>
      <c r="N286" s="39" t="str">
        <f t="shared" si="32"/>
        <v/>
      </c>
      <c r="P286" s="39" t="str">
        <f t="shared" si="33"/>
        <v/>
      </c>
      <c r="R286" s="39" t="str">
        <f t="shared" si="34"/>
        <v/>
      </c>
      <c r="S286" s="28"/>
      <c r="T286" s="28"/>
      <c r="U286" s="28"/>
    </row>
    <row r="287" spans="1:21" s="5" customFormat="1">
      <c r="A287" s="179" t="s">
        <v>531</v>
      </c>
      <c r="B287" s="185" t="s">
        <v>5150</v>
      </c>
      <c r="C287" s="35" t="str">
        <f t="shared" si="28"/>
        <v>alAskar</v>
      </c>
      <c r="E287" s="40"/>
      <c r="F287" s="15"/>
      <c r="G287" s="17"/>
      <c r="H287" s="10" t="s">
        <v>8563</v>
      </c>
      <c r="I287" s="4" t="str">
        <f t="shared" si="29"/>
        <v>|al-ʿAskar|</v>
      </c>
      <c r="J287" s="3" t="str">
        <f t="shared" si="30"/>
        <v>|al-'Askar|</v>
      </c>
      <c r="K287" s="3" t="str">
        <f t="shared" si="31"/>
        <v>al-Askar</v>
      </c>
      <c r="N287" s="39" t="str">
        <f t="shared" si="32"/>
        <v/>
      </c>
      <c r="P287" s="39" t="str">
        <f t="shared" si="33"/>
        <v/>
      </c>
      <c r="R287" s="39" t="str">
        <f t="shared" si="34"/>
        <v/>
      </c>
      <c r="S287" s="28"/>
      <c r="T287" s="28"/>
      <c r="U287" s="28"/>
    </row>
    <row r="288" spans="1:21" s="5" customFormat="1">
      <c r="A288" s="179" t="s">
        <v>532</v>
      </c>
      <c r="B288" s="185" t="s">
        <v>63</v>
      </c>
      <c r="C288" s="35" t="str">
        <f t="shared" si="28"/>
        <v>alAskari</v>
      </c>
      <c r="E288" s="40"/>
      <c r="F288" s="14"/>
      <c r="G288" s="17"/>
      <c r="H288" s="10" t="s">
        <v>8563</v>
      </c>
      <c r="I288" s="4" t="str">
        <f t="shared" si="29"/>
        <v>|al-ʿAskarí|</v>
      </c>
      <c r="J288" s="3" t="str">
        <f t="shared" si="30"/>
        <v>|al-'Askari|</v>
      </c>
      <c r="K288" s="3" t="str">
        <f t="shared" si="31"/>
        <v>al-Askari</v>
      </c>
      <c r="N288" s="39" t="str">
        <f t="shared" si="32"/>
        <v/>
      </c>
      <c r="P288" s="39" t="str">
        <f t="shared" si="33"/>
        <v/>
      </c>
      <c r="R288" s="39" t="str">
        <f t="shared" si="34"/>
        <v/>
      </c>
      <c r="S288" s="28"/>
      <c r="T288" s="28"/>
      <c r="U288" s="28"/>
    </row>
    <row r="289" spans="1:21" s="5" customFormat="1">
      <c r="A289" s="179" t="s">
        <v>533</v>
      </c>
      <c r="B289" s="185" t="s">
        <v>5151</v>
      </c>
      <c r="C289" s="35" t="str">
        <f t="shared" si="28"/>
        <v>alAsrar</v>
      </c>
      <c r="E289" s="40"/>
      <c r="F289" s="15"/>
      <c r="G289" s="17"/>
      <c r="H289" s="10" t="s">
        <v>8563</v>
      </c>
      <c r="I289" s="4" t="str">
        <f t="shared" si="29"/>
        <v>|al-Asrár|</v>
      </c>
      <c r="J289" s="3" t="str">
        <f t="shared" si="30"/>
        <v>|al-Asrar|</v>
      </c>
      <c r="K289" s="3" t="str">
        <f t="shared" si="31"/>
        <v>al-Asrar</v>
      </c>
      <c r="N289" s="39" t="str">
        <f t="shared" si="32"/>
        <v/>
      </c>
      <c r="P289" s="39" t="str">
        <f t="shared" si="33"/>
        <v/>
      </c>
      <c r="R289" s="39" t="str">
        <f t="shared" si="34"/>
        <v/>
      </c>
      <c r="S289" s="28"/>
      <c r="T289" s="28"/>
      <c r="U289" s="28"/>
    </row>
    <row r="290" spans="1:21" s="5" customFormat="1">
      <c r="A290" s="179" t="s">
        <v>534</v>
      </c>
      <c r="B290" s="185" t="s">
        <v>5152</v>
      </c>
      <c r="C290" s="35" t="str">
        <f t="shared" si="28"/>
        <v>alAtibba</v>
      </c>
      <c r="E290" s="40"/>
      <c r="F290" s="15"/>
      <c r="G290" s="17"/>
      <c r="H290" s="10" t="s">
        <v>8563</v>
      </c>
      <c r="I290" s="4" t="str">
        <f t="shared" si="29"/>
        <v>|al-Aṭibbá|</v>
      </c>
      <c r="J290" s="3" t="str">
        <f t="shared" si="30"/>
        <v>|al-Atibba|</v>
      </c>
      <c r="K290" s="3" t="str">
        <f t="shared" si="31"/>
        <v>al-Atibba</v>
      </c>
      <c r="N290" s="39" t="str">
        <f t="shared" si="32"/>
        <v/>
      </c>
      <c r="P290" s="39" t="str">
        <f t="shared" si="33"/>
        <v/>
      </c>
      <c r="R290" s="39" t="str">
        <f t="shared" si="34"/>
        <v/>
      </c>
      <c r="S290" s="28"/>
      <c r="T290" s="28"/>
      <c r="U290" s="28"/>
    </row>
    <row r="291" spans="1:21" s="5" customFormat="1">
      <c r="A291" s="179" t="s">
        <v>535</v>
      </c>
      <c r="B291" s="185" t="s">
        <v>5153</v>
      </c>
      <c r="C291" s="35" t="str">
        <f t="shared" si="28"/>
        <v>AlaudDawlih</v>
      </c>
      <c r="E291" s="40"/>
      <c r="F291" s="14"/>
      <c r="G291" s="17"/>
      <c r="H291" s="10" t="s">
        <v>8563</v>
      </c>
      <c r="I291" s="4" t="str">
        <f t="shared" si="29"/>
        <v>|ʿAlá’u’d-Dawlih|</v>
      </c>
      <c r="J291" s="3" t="str">
        <f t="shared" si="30"/>
        <v>|'Ala'u'd-Dawlih|</v>
      </c>
      <c r="K291" s="3" t="str">
        <f t="shared" si="31"/>
        <v>Alaud-Dawlih</v>
      </c>
      <c r="N291" s="39" t="str">
        <f t="shared" si="32"/>
        <v/>
      </c>
      <c r="P291" s="39" t="str">
        <f t="shared" si="33"/>
        <v/>
      </c>
      <c r="R291" s="39" t="str">
        <f t="shared" si="34"/>
        <v/>
      </c>
      <c r="S291" s="28"/>
      <c r="T291" s="28"/>
      <c r="U291" s="28"/>
    </row>
    <row r="292" spans="1:21" s="5" customFormat="1">
      <c r="A292" s="179" t="s">
        <v>536</v>
      </c>
      <c r="B292" s="185" t="s">
        <v>5154</v>
      </c>
      <c r="C292" s="35" t="str">
        <f t="shared" si="28"/>
        <v>AlaulMulk</v>
      </c>
      <c r="E292" s="40"/>
      <c r="F292" s="15"/>
      <c r="G292" s="17"/>
      <c r="H292" s="10" t="s">
        <v>8563</v>
      </c>
      <c r="I292" s="4" t="str">
        <f t="shared" si="29"/>
        <v>|ʿAláu’l-Mulk|</v>
      </c>
      <c r="J292" s="3" t="str">
        <f t="shared" si="30"/>
        <v>|'Alau'l-Mulk|</v>
      </c>
      <c r="K292" s="3" t="str">
        <f t="shared" si="31"/>
        <v>Alaul-Mulk</v>
      </c>
      <c r="N292" s="39" t="str">
        <f t="shared" si="32"/>
        <v/>
      </c>
      <c r="P292" s="39" t="str">
        <f t="shared" si="33"/>
        <v/>
      </c>
      <c r="R292" s="39" t="str">
        <f t="shared" si="34"/>
        <v/>
      </c>
      <c r="S292" s="28"/>
      <c r="T292" s="28"/>
      <c r="U292" s="28"/>
    </row>
    <row r="293" spans="1:21" s="5" customFormat="1">
      <c r="A293" s="179" t="s">
        <v>537</v>
      </c>
      <c r="B293" s="185" t="s">
        <v>5155</v>
      </c>
      <c r="C293" s="35" t="str">
        <f t="shared" si="28"/>
        <v>AlausSaltanih</v>
      </c>
      <c r="E293" s="40"/>
      <c r="F293" s="15"/>
      <c r="G293" s="17"/>
      <c r="H293" s="10" t="s">
        <v>8563</v>
      </c>
      <c r="I293" s="4" t="str">
        <f t="shared" si="29"/>
        <v>|ʿAlá’u’s-Salṭanih|</v>
      </c>
      <c r="J293" s="3" t="str">
        <f t="shared" si="30"/>
        <v>|'Ala'u's-Saltanih|</v>
      </c>
      <c r="K293" s="3" t="str">
        <f t="shared" si="31"/>
        <v>Alaus-Saltanih</v>
      </c>
      <c r="N293" s="39" t="str">
        <f t="shared" si="32"/>
        <v/>
      </c>
      <c r="P293" s="39" t="str">
        <f t="shared" si="33"/>
        <v/>
      </c>
      <c r="R293" s="39" t="str">
        <f t="shared" si="34"/>
        <v/>
      </c>
      <c r="S293" s="28"/>
      <c r="T293" s="28"/>
      <c r="U293" s="28"/>
    </row>
    <row r="294" spans="1:21" s="5" customFormat="1">
      <c r="A294" s="179" t="s">
        <v>538</v>
      </c>
      <c r="B294" s="185" t="s">
        <v>5156</v>
      </c>
      <c r="C294" s="35" t="str">
        <f t="shared" si="28"/>
        <v>Alaviyan</v>
      </c>
      <c r="E294" s="40"/>
      <c r="F294" s="15" t="s">
        <v>539</v>
      </c>
      <c r="G294" s="17"/>
      <c r="H294" s="10" t="s">
        <v>8563</v>
      </c>
      <c r="I294" s="4" t="str">
        <f t="shared" si="29"/>
        <v>|ʿAlavíyán|</v>
      </c>
      <c r="J294" s="3" t="str">
        <f t="shared" si="30"/>
        <v>|'Alaviyan|</v>
      </c>
      <c r="K294" s="3" t="str">
        <f t="shared" si="31"/>
        <v>Alaviyan</v>
      </c>
      <c r="N294" s="39" t="str">
        <f t="shared" si="32"/>
        <v/>
      </c>
      <c r="P294" s="39" t="str">
        <f t="shared" si="33"/>
        <v/>
      </c>
      <c r="R294" s="39" t="str">
        <f t="shared" si="34"/>
        <v/>
      </c>
      <c r="S294" s="28"/>
      <c r="T294" s="28"/>
      <c r="U294" s="28"/>
    </row>
    <row r="295" spans="1:21" s="5" customFormat="1">
      <c r="A295" s="179" t="s">
        <v>541</v>
      </c>
      <c r="B295" s="185" t="s">
        <v>5158</v>
      </c>
      <c r="C295" s="35" t="str">
        <f t="shared" si="28"/>
        <v>alAwam</v>
      </c>
      <c r="E295" s="40"/>
      <c r="F295" s="15"/>
      <c r="G295" s="17"/>
      <c r="H295" s="10" t="s">
        <v>8563</v>
      </c>
      <c r="I295" s="4" t="str">
        <f t="shared" si="29"/>
        <v>|al-ʿAwám|</v>
      </c>
      <c r="J295" s="3" t="str">
        <f t="shared" si="30"/>
        <v>|al-'Awam|</v>
      </c>
      <c r="K295" s="3" t="str">
        <f t="shared" si="31"/>
        <v>al-Awam</v>
      </c>
      <c r="N295" s="39" t="str">
        <f t="shared" si="32"/>
        <v/>
      </c>
      <c r="P295" s="39" t="str">
        <f t="shared" si="33"/>
        <v/>
      </c>
      <c r="R295" s="39" t="str">
        <f t="shared" si="34"/>
        <v/>
      </c>
      <c r="S295" s="28"/>
      <c r="T295" s="28"/>
      <c r="U295" s="28"/>
    </row>
    <row r="296" spans="1:21" s="5" customFormat="1">
      <c r="A296" s="179" t="s">
        <v>540</v>
      </c>
      <c r="B296" s="185" t="s">
        <v>5157</v>
      </c>
      <c r="C296" s="35" t="str">
        <f t="shared" si="28"/>
        <v>alAwsat</v>
      </c>
      <c r="E296" s="40"/>
      <c r="F296" s="14"/>
      <c r="G296" s="17"/>
      <c r="H296" s="10" t="s">
        <v>8563</v>
      </c>
      <c r="I296" s="4" t="str">
        <f t="shared" si="29"/>
        <v>|al-Awsaṭ|</v>
      </c>
      <c r="J296" s="3" t="str">
        <f t="shared" si="30"/>
        <v>|al-Awsat|</v>
      </c>
      <c r="K296" s="3" t="str">
        <f t="shared" si="31"/>
        <v>al-Awsat</v>
      </c>
      <c r="N296" s="39" t="str">
        <f t="shared" si="32"/>
        <v/>
      </c>
      <c r="P296" s="39" t="str">
        <f t="shared" si="33"/>
        <v/>
      </c>
      <c r="R296" s="39" t="str">
        <f t="shared" si="34"/>
        <v/>
      </c>
      <c r="S296" s="28"/>
      <c r="T296" s="28"/>
      <c r="U296" s="28"/>
    </row>
    <row r="297" spans="1:21" s="5" customFormat="1">
      <c r="A297" s="179" t="s">
        <v>542</v>
      </c>
      <c r="B297" s="185" t="s">
        <v>5159</v>
      </c>
      <c r="C297" s="35" t="str">
        <f t="shared" si="28"/>
        <v>alAyan</v>
      </c>
      <c r="E297" s="40"/>
      <c r="F297" s="15"/>
      <c r="G297" s="17"/>
      <c r="H297" s="10" t="s">
        <v>8563</v>
      </c>
      <c r="I297" s="4" t="str">
        <f t="shared" si="29"/>
        <v>|al-Aʿyán|</v>
      </c>
      <c r="J297" s="3" t="str">
        <f t="shared" si="30"/>
        <v>|al-A'yan|</v>
      </c>
      <c r="K297" s="3" t="str">
        <f t="shared" si="31"/>
        <v>al-Ayan</v>
      </c>
      <c r="N297" s="39" t="str">
        <f t="shared" si="32"/>
        <v/>
      </c>
      <c r="P297" s="39" t="str">
        <f t="shared" si="33"/>
        <v/>
      </c>
      <c r="R297" s="39" t="str">
        <f t="shared" si="34"/>
        <v/>
      </c>
      <c r="S297" s="28"/>
      <c r="T297" s="28"/>
      <c r="U297" s="28"/>
    </row>
    <row r="298" spans="1:21" s="5" customFormat="1">
      <c r="A298" s="179" t="s">
        <v>543</v>
      </c>
      <c r="B298" s="185" t="s">
        <v>5160</v>
      </c>
      <c r="C298" s="35" t="str">
        <f t="shared" si="28"/>
        <v>alAzam</v>
      </c>
      <c r="E298" s="40"/>
      <c r="F298" s="15"/>
      <c r="G298" s="17"/>
      <c r="H298" s="10" t="s">
        <v>8563</v>
      </c>
      <c r="I298" s="4" t="str">
        <f t="shared" si="29"/>
        <v>|al-Aʿẓam|</v>
      </c>
      <c r="J298" s="3" t="str">
        <f t="shared" si="30"/>
        <v>|al-A'zam|</v>
      </c>
      <c r="K298" s="3" t="str">
        <f t="shared" si="31"/>
        <v>al-Azam</v>
      </c>
      <c r="N298" s="39" t="str">
        <f t="shared" si="32"/>
        <v/>
      </c>
      <c r="P298" s="39" t="str">
        <f t="shared" si="33"/>
        <v/>
      </c>
      <c r="R298" s="39" t="str">
        <f t="shared" si="34"/>
        <v/>
      </c>
      <c r="S298" s="28"/>
      <c r="T298" s="28"/>
      <c r="U298" s="28"/>
    </row>
    <row r="299" spans="1:21" s="5" customFormat="1">
      <c r="A299" s="179" t="s">
        <v>544</v>
      </c>
      <c r="B299" s="185" t="s">
        <v>5161</v>
      </c>
      <c r="C299" s="35" t="str">
        <f t="shared" si="28"/>
        <v>alBabiyyun</v>
      </c>
      <c r="E299" s="40"/>
      <c r="F299" s="15"/>
      <c r="G299" s="17"/>
      <c r="H299" s="10" t="s">
        <v>8563</v>
      </c>
      <c r="I299" s="4" t="str">
        <f t="shared" si="29"/>
        <v>|al-Bábíyyún|</v>
      </c>
      <c r="J299" s="3" t="str">
        <f t="shared" si="30"/>
        <v>|al-Babiyyun|</v>
      </c>
      <c r="K299" s="3" t="str">
        <f t="shared" si="31"/>
        <v>al-Babiyyun</v>
      </c>
      <c r="N299" s="39" t="str">
        <f t="shared" si="32"/>
        <v/>
      </c>
      <c r="P299" s="39" t="str">
        <f t="shared" si="33"/>
        <v/>
      </c>
      <c r="R299" s="39" t="str">
        <f t="shared" si="34"/>
        <v/>
      </c>
      <c r="S299" s="28"/>
      <c r="T299" s="28"/>
      <c r="U299" s="28"/>
    </row>
    <row r="300" spans="1:21" s="5" customFormat="1">
      <c r="A300" s="179" t="s">
        <v>545</v>
      </c>
      <c r="B300" s="185" t="s">
        <v>5162</v>
      </c>
      <c r="C300" s="35" t="str">
        <f t="shared" si="28"/>
        <v>alBaghdadi</v>
      </c>
      <c r="E300" s="40"/>
      <c r="F300" s="15"/>
      <c r="G300" s="17"/>
      <c r="H300" s="10" t="s">
        <v>8563</v>
      </c>
      <c r="I300" s="4" t="str">
        <f t="shared" si="29"/>
        <v>|al-Badádí|</v>
      </c>
      <c r="J300" s="3" t="str">
        <f t="shared" si="30"/>
        <v>|al-Baghdadi|</v>
      </c>
      <c r="K300" s="3" t="str">
        <f t="shared" si="31"/>
        <v>al-Baghdadi</v>
      </c>
      <c r="N300" s="39" t="str">
        <f t="shared" si="32"/>
        <v/>
      </c>
      <c r="P300" s="39" t="str">
        <f t="shared" si="33"/>
        <v/>
      </c>
      <c r="R300" s="39" t="str">
        <f t="shared" si="34"/>
        <v/>
      </c>
      <c r="S300" s="28"/>
      <c r="T300" s="28"/>
      <c r="U300" s="28"/>
    </row>
    <row r="301" spans="1:21" s="5" customFormat="1">
      <c r="A301" s="179" t="s">
        <v>546</v>
      </c>
      <c r="B301" s="185" t="s">
        <v>5163</v>
      </c>
      <c r="C301" s="35" t="str">
        <f t="shared" si="28"/>
        <v>alBaha</v>
      </c>
      <c r="E301" s="40"/>
      <c r="F301" s="15"/>
      <c r="G301" s="17"/>
      <c r="H301" s="10" t="s">
        <v>8563</v>
      </c>
      <c r="I301" s="4" t="str">
        <f t="shared" si="29"/>
        <v>|al-Bahá|</v>
      </c>
      <c r="J301" s="3" t="str">
        <f t="shared" si="30"/>
        <v>|al-Baha|</v>
      </c>
      <c r="K301" s="3" t="str">
        <f t="shared" si="31"/>
        <v>al-Baha</v>
      </c>
      <c r="N301" s="39" t="str">
        <f t="shared" si="32"/>
        <v/>
      </c>
      <c r="P301" s="39" t="str">
        <f t="shared" si="33"/>
        <v/>
      </c>
      <c r="R301" s="39" t="str">
        <f t="shared" si="34"/>
        <v/>
      </c>
      <c r="S301" s="28"/>
      <c r="T301" s="28"/>
      <c r="U301" s="28"/>
    </row>
    <row r="302" spans="1:21" s="5" customFormat="1">
      <c r="A302" s="179" t="s">
        <v>547</v>
      </c>
      <c r="B302" s="185" t="s">
        <v>5164</v>
      </c>
      <c r="C302" s="35" t="str">
        <f t="shared" si="28"/>
        <v>alBahrani</v>
      </c>
      <c r="E302" s="40"/>
      <c r="F302" s="15"/>
      <c r="G302" s="17"/>
      <c r="H302" s="10" t="s">
        <v>8563</v>
      </c>
      <c r="I302" s="4" t="str">
        <f t="shared" si="29"/>
        <v>|al-Baḥrání|</v>
      </c>
      <c r="J302" s="3" t="str">
        <f t="shared" si="30"/>
        <v>|al-Bahrani|</v>
      </c>
      <c r="K302" s="3" t="str">
        <f t="shared" si="31"/>
        <v>al-Bahrani</v>
      </c>
      <c r="N302" s="39" t="str">
        <f t="shared" si="32"/>
        <v/>
      </c>
      <c r="P302" s="39" t="str">
        <f t="shared" si="33"/>
        <v/>
      </c>
      <c r="R302" s="39" t="str">
        <f t="shared" si="34"/>
        <v/>
      </c>
      <c r="S302" s="28"/>
      <c r="T302" s="28"/>
      <c r="U302" s="28"/>
    </row>
    <row r="303" spans="1:21" s="5" customFormat="1">
      <c r="A303" s="179" t="s">
        <v>548</v>
      </c>
      <c r="B303" s="185" t="s">
        <v>5165</v>
      </c>
      <c r="C303" s="35" t="str">
        <f t="shared" si="28"/>
        <v>alBalaghah</v>
      </c>
      <c r="E303" s="40"/>
      <c r="F303" s="15"/>
      <c r="G303" s="17"/>
      <c r="H303" s="10" t="s">
        <v>8563</v>
      </c>
      <c r="I303" s="4" t="str">
        <f t="shared" si="29"/>
        <v>|al-Baláah|</v>
      </c>
      <c r="J303" s="3" t="str">
        <f t="shared" si="30"/>
        <v>|al-Balaghah|</v>
      </c>
      <c r="K303" s="3" t="str">
        <f t="shared" si="31"/>
        <v>al-Balaghah</v>
      </c>
      <c r="N303" s="39" t="str">
        <f t="shared" si="32"/>
        <v/>
      </c>
      <c r="P303" s="39" t="str">
        <f t="shared" si="33"/>
        <v/>
      </c>
      <c r="R303" s="39" t="str">
        <f t="shared" si="34"/>
        <v/>
      </c>
      <c r="S303" s="28"/>
      <c r="T303" s="28"/>
      <c r="U303" s="28"/>
    </row>
    <row r="304" spans="1:21" s="5" customFormat="1">
      <c r="A304" s="179" t="s">
        <v>549</v>
      </c>
      <c r="B304" s="185" t="s">
        <v>8854</v>
      </c>
      <c r="C304" s="35" t="str">
        <f t="shared" si="28"/>
        <v>alBaqi</v>
      </c>
      <c r="E304" s="40"/>
      <c r="F304" s="15"/>
      <c r="G304" s="17"/>
      <c r="H304" s="10" t="s">
        <v>8563</v>
      </c>
      <c r="I304" s="4" t="str">
        <f t="shared" si="29"/>
        <v>|al-Báqí|</v>
      </c>
      <c r="J304" s="3" t="str">
        <f t="shared" si="30"/>
        <v>|al-Baqi|</v>
      </c>
      <c r="K304" s="3" t="str">
        <f t="shared" si="31"/>
        <v>al-Baqi</v>
      </c>
      <c r="N304" s="39" t="str">
        <f t="shared" si="32"/>
        <v/>
      </c>
      <c r="P304" s="39" t="str">
        <f t="shared" si="33"/>
        <v/>
      </c>
      <c r="R304" s="39" t="str">
        <f t="shared" si="34"/>
        <v/>
      </c>
      <c r="S304" s="28"/>
      <c r="T304" s="28"/>
      <c r="U304" s="28"/>
    </row>
    <row r="305" spans="1:21" s="5" customFormat="1">
      <c r="A305" s="179" t="s">
        <v>550</v>
      </c>
      <c r="B305" s="185" t="s">
        <v>5166</v>
      </c>
      <c r="C305" s="35" t="str">
        <f t="shared" si="28"/>
        <v>alBasri</v>
      </c>
      <c r="E305" s="40"/>
      <c r="F305" s="15"/>
      <c r="G305" s="17"/>
      <c r="H305" s="10" t="s">
        <v>8563</v>
      </c>
      <c r="I305" s="4" t="str">
        <f t="shared" si="29"/>
        <v>|al-Basrí|</v>
      </c>
      <c r="J305" s="3" t="str">
        <f t="shared" si="30"/>
        <v>|al-Basri|</v>
      </c>
      <c r="K305" s="3" t="str">
        <f t="shared" si="31"/>
        <v>al-Basri</v>
      </c>
      <c r="N305" s="39" t="str">
        <f t="shared" si="32"/>
        <v/>
      </c>
      <c r="P305" s="39" t="str">
        <f t="shared" si="33"/>
        <v/>
      </c>
      <c r="R305" s="39" t="str">
        <f t="shared" si="34"/>
        <v/>
      </c>
      <c r="S305" s="28"/>
      <c r="T305" s="28"/>
      <c r="U305" s="28"/>
    </row>
    <row r="306" spans="1:21" s="5" customFormat="1">
      <c r="A306" s="179" t="s">
        <v>551</v>
      </c>
      <c r="B306" s="185" t="s">
        <v>8855</v>
      </c>
      <c r="C306" s="35" t="str">
        <f t="shared" si="28"/>
        <v>alBatha</v>
      </c>
      <c r="E306" s="40" t="s">
        <v>9115</v>
      </c>
      <c r="F306" s="15"/>
      <c r="G306" s="17" t="s">
        <v>9125</v>
      </c>
      <c r="H306" s="10" t="s">
        <v>8563</v>
      </c>
      <c r="I306" s="4" t="str">
        <f t="shared" si="29"/>
        <v>|al-Baṭḥá|</v>
      </c>
      <c r="J306" s="3" t="str">
        <f t="shared" si="30"/>
        <v>|al-Batha|</v>
      </c>
      <c r="K306" s="3" t="str">
        <f t="shared" si="31"/>
        <v>al-Batha</v>
      </c>
      <c r="N306" s="39" t="str">
        <f t="shared" si="32"/>
        <v/>
      </c>
      <c r="P306" s="39" t="str">
        <f t="shared" si="33"/>
        <v/>
      </c>
      <c r="R306" s="39" t="str">
        <f t="shared" si="34"/>
        <v/>
      </c>
      <c r="S306" s="28"/>
      <c r="T306" s="28"/>
      <c r="U306" s="28"/>
    </row>
    <row r="307" spans="1:21" s="5" customFormat="1">
      <c r="A307" s="179" t="s">
        <v>552</v>
      </c>
      <c r="B307" s="185" t="s">
        <v>8856</v>
      </c>
      <c r="C307" s="35" t="str">
        <f t="shared" si="28"/>
        <v>alBatha</v>
      </c>
      <c r="E307" s="40" t="s">
        <v>9115</v>
      </c>
      <c r="F307" s="14"/>
      <c r="G307" s="17" t="s">
        <v>9125</v>
      </c>
      <c r="H307" s="10" t="s">
        <v>8563</v>
      </c>
      <c r="I307" s="4" t="str">
        <f t="shared" si="29"/>
        <v>|al-Baá|</v>
      </c>
      <c r="J307" s="3" t="str">
        <f t="shared" si="30"/>
        <v>|al-Batha|</v>
      </c>
      <c r="K307" s="3" t="str">
        <f t="shared" si="31"/>
        <v>al-Batha</v>
      </c>
      <c r="N307" s="39" t="str">
        <f t="shared" si="32"/>
        <v/>
      </c>
      <c r="P307" s="39" t="str">
        <f t="shared" si="33"/>
        <v/>
      </c>
      <c r="R307" s="39" t="str">
        <f t="shared" si="34"/>
        <v/>
      </c>
      <c r="S307" s="28"/>
      <c r="T307" s="28"/>
      <c r="U307" s="28"/>
    </row>
    <row r="308" spans="1:21" s="5" customFormat="1">
      <c r="A308" s="179" t="s">
        <v>553</v>
      </c>
      <c r="B308" s="185" t="s">
        <v>5167</v>
      </c>
      <c r="C308" s="35" t="str">
        <f t="shared" si="28"/>
        <v>alBatil</v>
      </c>
      <c r="E308" s="40"/>
      <c r="F308" s="15"/>
      <c r="G308" s="17"/>
      <c r="H308" s="10" t="s">
        <v>8563</v>
      </c>
      <c r="I308" s="4" t="str">
        <f t="shared" si="29"/>
        <v>|al-Báṭil|</v>
      </c>
      <c r="J308" s="3" t="str">
        <f t="shared" si="30"/>
        <v>|al-Batil|</v>
      </c>
      <c r="K308" s="3" t="str">
        <f t="shared" si="31"/>
        <v>al-Batil</v>
      </c>
      <c r="N308" s="39" t="str">
        <f t="shared" si="32"/>
        <v/>
      </c>
      <c r="P308" s="39" t="str">
        <f t="shared" si="33"/>
        <v/>
      </c>
      <c r="R308" s="39" t="str">
        <f t="shared" si="34"/>
        <v/>
      </c>
      <c r="S308" s="28"/>
      <c r="T308" s="28"/>
      <c r="U308" s="28"/>
    </row>
    <row r="309" spans="1:21" s="5" customFormat="1">
      <c r="A309" s="179" t="s">
        <v>554</v>
      </c>
      <c r="B309" s="185" t="s">
        <v>5168</v>
      </c>
      <c r="C309" s="35" t="str">
        <f t="shared" si="28"/>
        <v>alBatin</v>
      </c>
      <c r="E309" s="40"/>
      <c r="F309" s="15"/>
      <c r="G309" s="17"/>
      <c r="H309" s="10" t="s">
        <v>8563</v>
      </c>
      <c r="I309" s="4" t="str">
        <f t="shared" si="29"/>
        <v>|al-Báṭin|</v>
      </c>
      <c r="J309" s="3" t="str">
        <f t="shared" si="30"/>
        <v>|al-Batin|</v>
      </c>
      <c r="K309" s="3" t="str">
        <f t="shared" si="31"/>
        <v>al-Batin</v>
      </c>
      <c r="N309" s="39" t="str">
        <f t="shared" si="32"/>
        <v/>
      </c>
      <c r="P309" s="39" t="str">
        <f t="shared" si="33"/>
        <v/>
      </c>
      <c r="R309" s="39" t="str">
        <f t="shared" si="34"/>
        <v/>
      </c>
      <c r="S309" s="28"/>
      <c r="T309" s="28"/>
      <c r="U309" s="28"/>
    </row>
    <row r="310" spans="1:21" s="5" customFormat="1">
      <c r="A310" s="179" t="s">
        <v>555</v>
      </c>
      <c r="B310" s="185" t="s">
        <v>5169</v>
      </c>
      <c r="C310" s="35" t="str">
        <f t="shared" si="28"/>
        <v>alBayan</v>
      </c>
      <c r="E310" s="40"/>
      <c r="F310" s="15"/>
      <c r="G310" s="17"/>
      <c r="H310" s="10" t="s">
        <v>8563</v>
      </c>
      <c r="I310" s="4" t="str">
        <f t="shared" si="29"/>
        <v>|al-Bayán|</v>
      </c>
      <c r="J310" s="3" t="str">
        <f t="shared" si="30"/>
        <v>|al-Bayan|</v>
      </c>
      <c r="K310" s="3" t="str">
        <f t="shared" si="31"/>
        <v>al-Bayan</v>
      </c>
      <c r="N310" s="39" t="str">
        <f t="shared" si="32"/>
        <v/>
      </c>
      <c r="P310" s="39" t="str">
        <f t="shared" si="33"/>
        <v/>
      </c>
      <c r="R310" s="39" t="str">
        <f t="shared" si="34"/>
        <v/>
      </c>
      <c r="S310" s="28"/>
      <c r="T310" s="28"/>
      <c r="U310" s="28"/>
    </row>
    <row r="311" spans="1:21" s="5" customFormat="1">
      <c r="A311" s="179" t="s">
        <v>556</v>
      </c>
      <c r="B311" s="185" t="s">
        <v>5170</v>
      </c>
      <c r="C311" s="35" t="str">
        <f t="shared" si="28"/>
        <v>alBisharat</v>
      </c>
      <c r="E311" s="40"/>
      <c r="F311" s="15"/>
      <c r="G311" s="17"/>
      <c r="H311" s="10" t="s">
        <v>8563</v>
      </c>
      <c r="I311" s="4" t="str">
        <f t="shared" si="29"/>
        <v>|al-Biárat|</v>
      </c>
      <c r="J311" s="3" t="str">
        <f t="shared" si="30"/>
        <v>|al-Bisharat|</v>
      </c>
      <c r="K311" s="3" t="str">
        <f t="shared" si="31"/>
        <v>al-Bisharat</v>
      </c>
      <c r="N311" s="39" t="str">
        <f t="shared" si="32"/>
        <v/>
      </c>
      <c r="P311" s="39" t="str">
        <f t="shared" si="33"/>
        <v/>
      </c>
      <c r="R311" s="39" t="str">
        <f t="shared" si="34"/>
        <v/>
      </c>
      <c r="S311" s="28"/>
      <c r="T311" s="28"/>
      <c r="U311" s="28"/>
    </row>
    <row r="312" spans="1:21" s="5" customFormat="1">
      <c r="A312" s="179" t="s">
        <v>557</v>
      </c>
      <c r="B312" s="185" t="s">
        <v>5171</v>
      </c>
      <c r="C312" s="35" t="str">
        <f t="shared" si="28"/>
        <v>Alburz</v>
      </c>
      <c r="E312" s="40"/>
      <c r="F312" s="14"/>
      <c r="G312" s="17"/>
      <c r="H312" s="10" t="s">
        <v>8563</v>
      </c>
      <c r="I312" s="4" t="str">
        <f t="shared" si="29"/>
        <v>|Alburz|</v>
      </c>
      <c r="J312" s="3" t="str">
        <f t="shared" si="30"/>
        <v>|Alburz|</v>
      </c>
      <c r="K312" s="3" t="str">
        <f t="shared" si="31"/>
        <v>Alburz</v>
      </c>
      <c r="N312" s="39" t="str">
        <f t="shared" si="32"/>
        <v/>
      </c>
      <c r="P312" s="39" t="str">
        <f t="shared" si="33"/>
        <v/>
      </c>
      <c r="R312" s="39" t="str">
        <f t="shared" si="34"/>
        <v/>
      </c>
      <c r="S312" s="28"/>
      <c r="T312" s="28"/>
      <c r="U312" s="28"/>
    </row>
    <row r="313" spans="1:21" s="5" customFormat="1">
      <c r="A313" s="179" t="s">
        <v>558</v>
      </c>
      <c r="B313" s="185" t="s">
        <v>5172</v>
      </c>
      <c r="C313" s="35" t="str">
        <f t="shared" si="28"/>
        <v>alDajjal</v>
      </c>
      <c r="E313" s="40"/>
      <c r="F313" s="15"/>
      <c r="G313" s="17"/>
      <c r="H313" s="10" t="s">
        <v>8563</v>
      </c>
      <c r="I313" s="4" t="str">
        <f t="shared" si="29"/>
        <v>|al-Dajjál|</v>
      </c>
      <c r="J313" s="3" t="str">
        <f t="shared" si="30"/>
        <v>|al-Dajjal|</v>
      </c>
      <c r="K313" s="3" t="str">
        <f t="shared" si="31"/>
        <v>al-Dajjal</v>
      </c>
      <c r="N313" s="39" t="str">
        <f t="shared" si="32"/>
        <v/>
      </c>
      <c r="P313" s="39" t="str">
        <f t="shared" si="33"/>
        <v/>
      </c>
      <c r="R313" s="39" t="str">
        <f t="shared" si="34"/>
        <v/>
      </c>
      <c r="S313" s="28"/>
      <c r="T313" s="28"/>
      <c r="U313" s="28"/>
    </row>
    <row r="314" spans="1:21" s="5" customFormat="1">
      <c r="A314" s="179" t="s">
        <v>560</v>
      </c>
      <c r="B314" s="185" t="s">
        <v>5174</v>
      </c>
      <c r="C314" s="35" t="str">
        <f t="shared" si="28"/>
        <v>alFadl</v>
      </c>
      <c r="E314" s="40"/>
      <c r="F314" s="15"/>
      <c r="G314" s="17"/>
      <c r="H314" s="10" t="s">
        <v>8563</v>
      </c>
      <c r="I314" s="4" t="str">
        <f t="shared" si="29"/>
        <v>|al-Faḍl|</v>
      </c>
      <c r="J314" s="3" t="str">
        <f t="shared" si="30"/>
        <v>|al-Fadl|</v>
      </c>
      <c r="K314" s="3" t="str">
        <f t="shared" si="31"/>
        <v>al-Fadl</v>
      </c>
      <c r="N314" s="39" t="str">
        <f t="shared" si="32"/>
        <v/>
      </c>
      <c r="P314" s="39" t="str">
        <f t="shared" si="33"/>
        <v/>
      </c>
      <c r="R314" s="39" t="str">
        <f t="shared" si="34"/>
        <v/>
      </c>
      <c r="S314" s="28"/>
      <c r="T314" s="28"/>
      <c r="U314" s="28"/>
    </row>
    <row r="315" spans="1:21" s="5" customFormat="1">
      <c r="A315" s="179" t="s">
        <v>561</v>
      </c>
      <c r="B315" s="185" t="s">
        <v>5175</v>
      </c>
      <c r="C315" s="35" t="str">
        <f t="shared" si="28"/>
        <v>alFail</v>
      </c>
      <c r="E315" s="40"/>
      <c r="F315" s="15"/>
      <c r="G315" s="17"/>
      <c r="H315" s="10" t="s">
        <v>8563</v>
      </c>
      <c r="I315" s="4" t="str">
        <f t="shared" si="29"/>
        <v>|al-Fáʿil|</v>
      </c>
      <c r="J315" s="3" t="str">
        <f t="shared" si="30"/>
        <v>|al-Fa'il|</v>
      </c>
      <c r="K315" s="3" t="str">
        <f t="shared" si="31"/>
        <v>al-Fail</v>
      </c>
      <c r="N315" s="39" t="str">
        <f t="shared" si="32"/>
        <v/>
      </c>
      <c r="P315" s="39" t="str">
        <f t="shared" si="33"/>
        <v/>
      </c>
      <c r="R315" s="39" t="str">
        <f t="shared" si="34"/>
        <v/>
      </c>
      <c r="S315" s="28"/>
      <c r="T315" s="28"/>
      <c r="U315" s="28"/>
    </row>
    <row r="316" spans="1:21" s="5" customFormat="1">
      <c r="A316" s="179" t="s">
        <v>8857</v>
      </c>
      <c r="B316" s="185" t="s">
        <v>5176</v>
      </c>
      <c r="C316" s="35" t="str">
        <f t="shared" si="28"/>
        <v>alFailayn</v>
      </c>
      <c r="E316" s="40"/>
      <c r="F316" s="15"/>
      <c r="G316" s="17"/>
      <c r="H316" s="10" t="s">
        <v>8563</v>
      </c>
      <c r="I316" s="4" t="str">
        <f t="shared" si="29"/>
        <v>|al-Fáʿilayn|</v>
      </c>
      <c r="J316" s="3" t="str">
        <f t="shared" si="30"/>
        <v>|al-Fa'ilayn|</v>
      </c>
      <c r="K316" s="3" t="str">
        <f t="shared" si="31"/>
        <v>al-Failayn</v>
      </c>
      <c r="N316" s="39" t="str">
        <f t="shared" si="32"/>
        <v/>
      </c>
      <c r="P316" s="39" t="str">
        <f t="shared" si="33"/>
        <v/>
      </c>
      <c r="R316" s="39" t="str">
        <f t="shared" si="34"/>
        <v/>
      </c>
      <c r="S316" s="28"/>
      <c r="T316" s="28"/>
      <c r="U316" s="28"/>
    </row>
    <row r="317" spans="1:21" s="5" customFormat="1">
      <c r="A317" s="179" t="s">
        <v>562</v>
      </c>
      <c r="B317" s="185" t="s">
        <v>8858</v>
      </c>
      <c r="C317" s="35" t="str">
        <f t="shared" si="28"/>
        <v>alFarabi</v>
      </c>
      <c r="E317" s="40"/>
      <c r="F317" s="14"/>
      <c r="G317" s="17"/>
      <c r="H317" s="10" t="s">
        <v>8563</v>
      </c>
      <c r="I317" s="4" t="str">
        <f t="shared" si="29"/>
        <v>|al-Fárábí|</v>
      </c>
      <c r="J317" s="3" t="str">
        <f t="shared" si="30"/>
        <v>|al-Farabi|</v>
      </c>
      <c r="K317" s="3" t="str">
        <f t="shared" si="31"/>
        <v>al-Farabi</v>
      </c>
      <c r="N317" s="39" t="str">
        <f t="shared" si="32"/>
        <v/>
      </c>
      <c r="P317" s="39" t="str">
        <f t="shared" si="33"/>
        <v/>
      </c>
      <c r="R317" s="39" t="str">
        <f t="shared" si="34"/>
        <v/>
      </c>
      <c r="S317" s="28"/>
      <c r="T317" s="28"/>
      <c r="U317" s="28"/>
    </row>
    <row r="318" spans="1:21" s="5" customFormat="1">
      <c r="A318" s="179" t="s">
        <v>8859</v>
      </c>
      <c r="B318" s="185" t="s">
        <v>8860</v>
      </c>
      <c r="C318" s="35" t="str">
        <f t="shared" si="28"/>
        <v>alFariq</v>
      </c>
      <c r="E318" s="40"/>
      <c r="F318" s="15" t="s">
        <v>563</v>
      </c>
      <c r="G318" s="17"/>
      <c r="H318" s="10" t="s">
        <v>8563</v>
      </c>
      <c r="I318" s="4" t="str">
        <f t="shared" si="29"/>
        <v>|al-Fáriq|</v>
      </c>
      <c r="J318" s="3" t="str">
        <f t="shared" si="30"/>
        <v>|al-Fariq|</v>
      </c>
      <c r="K318" s="3" t="str">
        <f t="shared" si="31"/>
        <v>al-Fariq</v>
      </c>
      <c r="N318" s="39" t="str">
        <f t="shared" si="32"/>
        <v/>
      </c>
      <c r="P318" s="39" t="str">
        <f t="shared" si="33"/>
        <v/>
      </c>
      <c r="R318" s="39" t="str">
        <f t="shared" si="34"/>
        <v/>
      </c>
      <c r="S318" s="28"/>
      <c r="T318" s="28"/>
      <c r="U318" s="28"/>
    </row>
    <row r="319" spans="1:21" s="5" customFormat="1">
      <c r="A319" s="179" t="s">
        <v>564</v>
      </c>
      <c r="B319" s="185" t="s">
        <v>5177</v>
      </c>
      <c r="C319" s="35" t="str">
        <f t="shared" si="28"/>
        <v>alFasiqun</v>
      </c>
      <c r="E319" s="40"/>
      <c r="F319" s="15"/>
      <c r="G319" s="17"/>
      <c r="H319" s="10" t="s">
        <v>8563</v>
      </c>
      <c r="I319" s="4" t="str">
        <f t="shared" si="29"/>
        <v>|al-Fásiqún|</v>
      </c>
      <c r="J319" s="3" t="str">
        <f t="shared" si="30"/>
        <v>|al-Fasiqun|</v>
      </c>
      <c r="K319" s="3" t="str">
        <f t="shared" si="31"/>
        <v>al-Fasiqun</v>
      </c>
      <c r="N319" s="39" t="str">
        <f t="shared" si="32"/>
        <v/>
      </c>
      <c r="P319" s="39" t="str">
        <f t="shared" si="33"/>
        <v/>
      </c>
      <c r="R319" s="39" t="str">
        <f t="shared" si="34"/>
        <v/>
      </c>
      <c r="S319" s="28"/>
      <c r="T319" s="28"/>
      <c r="U319" s="28"/>
    </row>
    <row r="320" spans="1:21" s="5" customFormat="1">
      <c r="A320" s="179" t="s">
        <v>565</v>
      </c>
      <c r="B320" s="185" t="s">
        <v>5178</v>
      </c>
      <c r="C320" s="35" t="str">
        <f t="shared" si="28"/>
        <v>alFatihah</v>
      </c>
      <c r="E320" s="40"/>
      <c r="F320" s="15"/>
      <c r="G320" s="17"/>
      <c r="H320" s="10" t="s">
        <v>8563</v>
      </c>
      <c r="I320" s="4" t="str">
        <f t="shared" si="29"/>
        <v>|al-Fátiḥah|</v>
      </c>
      <c r="J320" s="3" t="str">
        <f t="shared" si="30"/>
        <v>|al-Fatihah|</v>
      </c>
      <c r="K320" s="3" t="str">
        <f t="shared" si="31"/>
        <v>al-Fatihah</v>
      </c>
      <c r="N320" s="39" t="str">
        <f t="shared" si="32"/>
        <v/>
      </c>
      <c r="P320" s="39" t="str">
        <f t="shared" si="33"/>
        <v/>
      </c>
      <c r="R320" s="39" t="str">
        <f t="shared" si="34"/>
        <v/>
      </c>
      <c r="S320" s="28"/>
      <c r="T320" s="28"/>
      <c r="U320" s="28"/>
    </row>
    <row r="321" spans="1:21" s="5" customFormat="1">
      <c r="A321" s="179" t="s">
        <v>566</v>
      </c>
      <c r="B321" s="185" t="s">
        <v>5179</v>
      </c>
      <c r="C321" s="35" t="str">
        <f t="shared" si="28"/>
        <v>alFayyad</v>
      </c>
      <c r="E321" s="40"/>
      <c r="F321" s="15"/>
      <c r="G321" s="17"/>
      <c r="H321" s="10" t="s">
        <v>8563</v>
      </c>
      <c r="I321" s="4" t="str">
        <f t="shared" si="29"/>
        <v>|al-Fayyáḍ|</v>
      </c>
      <c r="J321" s="3" t="str">
        <f t="shared" si="30"/>
        <v>|al-Fayyad|</v>
      </c>
      <c r="K321" s="3" t="str">
        <f t="shared" si="31"/>
        <v>al-Fayyad</v>
      </c>
      <c r="N321" s="39" t="str">
        <f t="shared" si="32"/>
        <v/>
      </c>
      <c r="P321" s="39" t="str">
        <f t="shared" si="33"/>
        <v/>
      </c>
      <c r="R321" s="39" t="str">
        <f t="shared" si="34"/>
        <v/>
      </c>
      <c r="S321" s="28"/>
      <c r="T321" s="28"/>
      <c r="U321" s="28"/>
    </row>
    <row r="322" spans="1:21" s="5" customFormat="1">
      <c r="A322" s="179" t="s">
        <v>567</v>
      </c>
      <c r="B322" s="185" t="s">
        <v>5180</v>
      </c>
      <c r="C322" s="35" t="str">
        <f t="shared" si="28"/>
        <v>alFitr</v>
      </c>
      <c r="E322" s="40"/>
      <c r="F322" s="15"/>
      <c r="G322" s="17"/>
      <c r="H322" s="10" t="s">
        <v>8563</v>
      </c>
      <c r="I322" s="4" t="str">
        <f t="shared" si="29"/>
        <v>|al-Fiṭr|</v>
      </c>
      <c r="J322" s="3" t="str">
        <f t="shared" si="30"/>
        <v>|al-Fitr|</v>
      </c>
      <c r="K322" s="3" t="str">
        <f t="shared" si="31"/>
        <v>al-Fitr</v>
      </c>
      <c r="N322" s="39" t="str">
        <f t="shared" si="32"/>
        <v/>
      </c>
      <c r="P322" s="39" t="str">
        <f t="shared" si="33"/>
        <v/>
      </c>
      <c r="R322" s="39" t="str">
        <f t="shared" si="34"/>
        <v/>
      </c>
      <c r="S322" s="28"/>
      <c r="T322" s="28"/>
      <c r="U322" s="28"/>
    </row>
    <row r="323" spans="1:21" s="5" customFormat="1">
      <c r="A323" s="179" t="s">
        <v>568</v>
      </c>
      <c r="B323" s="185" t="s">
        <v>5181</v>
      </c>
      <c r="C323" s="35" t="str">
        <f t="shared" ref="C323:C386" si="35">SUBSTITUTE(SUBSTITUTE(K323,"-","")," ","")</f>
        <v>alFuqaha</v>
      </c>
      <c r="E323" s="40"/>
      <c r="F323" s="15"/>
      <c r="G323" s="17"/>
      <c r="H323" s="10" t="s">
        <v>8563</v>
      </c>
      <c r="I323" s="4" t="str">
        <f t="shared" ref="I323:I386" si="36">CONCATENATE("|",B323,"|")</f>
        <v>|al-Fuqahá|</v>
      </c>
      <c r="J323" s="3" t="str">
        <f t="shared" ref="J323:J386" si="37">CONCATENATE("|",F_OutputASCII(B323),"|")</f>
        <v>|al-Fuqaha|</v>
      </c>
      <c r="K323" s="3" t="str">
        <f t="shared" ref="K323:K386" si="38">IF(SUBSTITUTE(MID(J323,2,LEN(J323)-2),"'","")&lt;&gt;"",SUBSTITUTE(MID(J323,2,LEN(J323)-2),"'",""),"ZZZZZ")</f>
        <v>al-Fuqaha</v>
      </c>
      <c r="N323" s="39" t="str">
        <f t="shared" ref="N323:N386" si="39">SUBSTITUTE(SUBSTITUTE(SUBSTITUTE(F_OutputASCII(M323),"-","")," ",""),"'","")</f>
        <v/>
      </c>
      <c r="P323" s="39" t="str">
        <f t="shared" ref="P323:P386" si="40">SUBSTITUTE(SUBSTITUTE(SUBSTITUTE(F_OutputASCII(O323),"-","")," ",""),"'","")</f>
        <v/>
      </c>
      <c r="R323" s="39" t="str">
        <f t="shared" si="34"/>
        <v/>
      </c>
      <c r="S323" s="28"/>
      <c r="T323" s="28"/>
      <c r="U323" s="28"/>
    </row>
    <row r="324" spans="1:21" s="5" customFormat="1">
      <c r="A324" s="179" t="s">
        <v>569</v>
      </c>
      <c r="B324" s="185" t="s">
        <v>5182</v>
      </c>
      <c r="C324" s="35" t="str">
        <f t="shared" si="35"/>
        <v>alFutuhat</v>
      </c>
      <c r="E324" s="40"/>
      <c r="F324" s="15"/>
      <c r="G324" s="17"/>
      <c r="H324" s="10" t="s">
        <v>8563</v>
      </c>
      <c r="I324" s="4" t="str">
        <f t="shared" si="36"/>
        <v>|al-Futúḥát|</v>
      </c>
      <c r="J324" s="3" t="str">
        <f t="shared" si="37"/>
        <v>|al-Futuhat|</v>
      </c>
      <c r="K324" s="3" t="str">
        <f t="shared" si="38"/>
        <v>al-Futuhat</v>
      </c>
      <c r="N324" s="39" t="str">
        <f t="shared" si="39"/>
        <v/>
      </c>
      <c r="P324" s="39" t="str">
        <f t="shared" si="40"/>
        <v/>
      </c>
      <c r="R324" s="39" t="str">
        <f t="shared" ref="R324:R387" si="41">SUBSTITUTE(SUBSTITUTE(Q324,"-","")," ","")</f>
        <v/>
      </c>
      <c r="S324" s="28"/>
      <c r="T324" s="28"/>
      <c r="U324" s="28"/>
    </row>
    <row r="325" spans="1:21" s="5" customFormat="1">
      <c r="A325" s="179" t="s">
        <v>570</v>
      </c>
      <c r="B325" s="185" t="s">
        <v>5183</v>
      </c>
      <c r="C325" s="35" t="str">
        <f t="shared" si="35"/>
        <v>alGhashiyat</v>
      </c>
      <c r="E325" s="40"/>
      <c r="F325" s="15" t="s">
        <v>571</v>
      </c>
      <c r="G325" s="17"/>
      <c r="H325" s="10" t="s">
        <v>8563</v>
      </c>
      <c r="I325" s="4" t="str">
        <f t="shared" si="36"/>
        <v>|al-áíyat|</v>
      </c>
      <c r="J325" s="3" t="str">
        <f t="shared" si="37"/>
        <v>|al-Ghashiyat|</v>
      </c>
      <c r="K325" s="3" t="str">
        <f t="shared" si="38"/>
        <v>al-Ghashiyat</v>
      </c>
      <c r="N325" s="39" t="str">
        <f t="shared" si="39"/>
        <v/>
      </c>
      <c r="P325" s="39" t="str">
        <f t="shared" si="40"/>
        <v/>
      </c>
      <c r="R325" s="39" t="str">
        <f t="shared" si="41"/>
        <v/>
      </c>
      <c r="S325" s="28"/>
      <c r="T325" s="28"/>
      <c r="U325" s="28"/>
    </row>
    <row r="326" spans="1:21" s="5" customFormat="1">
      <c r="A326" s="179" t="s">
        <v>572</v>
      </c>
      <c r="B326" s="185" t="s">
        <v>5184</v>
      </c>
      <c r="C326" s="35" t="str">
        <f t="shared" si="35"/>
        <v>alGhawth</v>
      </c>
      <c r="E326" s="40"/>
      <c r="F326" s="15" t="s">
        <v>573</v>
      </c>
      <c r="G326" s="17"/>
      <c r="H326" s="10" t="s">
        <v>8563</v>
      </c>
      <c r="I326" s="4" t="str">
        <f t="shared" si="36"/>
        <v>|al-aw|</v>
      </c>
      <c r="J326" s="3" t="str">
        <f t="shared" si="37"/>
        <v>|al-Ghawth|</v>
      </c>
      <c r="K326" s="3" t="str">
        <f t="shared" si="38"/>
        <v>al-Ghawth</v>
      </c>
      <c r="N326" s="39" t="str">
        <f t="shared" si="39"/>
        <v/>
      </c>
      <c r="P326" s="39" t="str">
        <f t="shared" si="40"/>
        <v/>
      </c>
      <c r="R326" s="39" t="str">
        <f t="shared" si="41"/>
        <v/>
      </c>
      <c r="S326" s="28"/>
      <c r="T326" s="28"/>
      <c r="U326" s="28"/>
    </row>
    <row r="327" spans="1:21" s="5" customFormat="1">
      <c r="A327" s="179" t="s">
        <v>574</v>
      </c>
      <c r="B327" s="185" t="s">
        <v>5185</v>
      </c>
      <c r="C327" s="35" t="str">
        <f t="shared" si="35"/>
        <v>alGhaybah</v>
      </c>
      <c r="E327" s="40"/>
      <c r="F327" s="15"/>
      <c r="G327" s="17"/>
      <c r="H327" s="10" t="s">
        <v>8563</v>
      </c>
      <c r="I327" s="4" t="str">
        <f t="shared" si="36"/>
        <v>|al-aybah|</v>
      </c>
      <c r="J327" s="3" t="str">
        <f t="shared" si="37"/>
        <v>|al-Ghaybah|</v>
      </c>
      <c r="K327" s="3" t="str">
        <f t="shared" si="38"/>
        <v>al-Ghaybah</v>
      </c>
      <c r="N327" s="39" t="str">
        <f t="shared" si="39"/>
        <v/>
      </c>
      <c r="P327" s="39" t="str">
        <f t="shared" si="40"/>
        <v/>
      </c>
      <c r="R327" s="39" t="str">
        <f t="shared" si="41"/>
        <v/>
      </c>
      <c r="S327" s="28"/>
      <c r="T327" s="28"/>
      <c r="U327" s="28"/>
    </row>
    <row r="328" spans="1:21" s="5" customFormat="1">
      <c r="A328" s="179" t="s">
        <v>575</v>
      </c>
      <c r="B328" s="185" t="s">
        <v>5186</v>
      </c>
      <c r="C328" s="35" t="str">
        <f t="shared" si="35"/>
        <v>alHadi</v>
      </c>
      <c r="E328" s="40"/>
      <c r="F328" s="15"/>
      <c r="G328" s="17"/>
      <c r="H328" s="10" t="s">
        <v>8563</v>
      </c>
      <c r="I328" s="4" t="str">
        <f t="shared" si="36"/>
        <v>|al-Hádí|</v>
      </c>
      <c r="J328" s="3" t="str">
        <f t="shared" si="37"/>
        <v>|al-Hadi|</v>
      </c>
      <c r="K328" s="3" t="str">
        <f t="shared" si="38"/>
        <v>al-Hadi</v>
      </c>
      <c r="N328" s="39" t="str">
        <f t="shared" si="39"/>
        <v/>
      </c>
      <c r="P328" s="39" t="str">
        <f t="shared" si="40"/>
        <v/>
      </c>
      <c r="R328" s="39" t="str">
        <f t="shared" si="41"/>
        <v/>
      </c>
      <c r="S328" s="28"/>
      <c r="T328" s="28"/>
      <c r="U328" s="28"/>
    </row>
    <row r="329" spans="1:21" s="5" customFormat="1">
      <c r="A329" s="179" t="s">
        <v>576</v>
      </c>
      <c r="B329" s="185" t="s">
        <v>5187</v>
      </c>
      <c r="C329" s="35" t="str">
        <f t="shared" si="35"/>
        <v>alHairun</v>
      </c>
      <c r="E329" s="40"/>
      <c r="F329" s="15"/>
      <c r="G329" s="17"/>
      <c r="H329" s="10" t="s">
        <v>8563</v>
      </c>
      <c r="I329" s="4" t="str">
        <f t="shared" si="36"/>
        <v>|al-Ḥáʿirún|</v>
      </c>
      <c r="J329" s="3" t="str">
        <f t="shared" si="37"/>
        <v>|al-Ha'irun|</v>
      </c>
      <c r="K329" s="3" t="str">
        <f t="shared" si="38"/>
        <v>al-Hairun</v>
      </c>
      <c r="N329" s="39" t="str">
        <f t="shared" si="39"/>
        <v/>
      </c>
      <c r="P329" s="39" t="str">
        <f t="shared" si="40"/>
        <v/>
      </c>
      <c r="R329" s="39" t="str">
        <f t="shared" si="41"/>
        <v/>
      </c>
      <c r="S329" s="28"/>
      <c r="T329" s="28"/>
      <c r="U329" s="28"/>
    </row>
    <row r="330" spans="1:21" s="5" customFormat="1">
      <c r="A330" s="179" t="s">
        <v>577</v>
      </c>
      <c r="B330" s="185" t="s">
        <v>5188</v>
      </c>
      <c r="C330" s="35" t="str">
        <f t="shared" si="35"/>
        <v>alHajjaj</v>
      </c>
      <c r="E330" s="40"/>
      <c r="F330" s="15"/>
      <c r="G330" s="17"/>
      <c r="H330" s="10" t="s">
        <v>8563</v>
      </c>
      <c r="I330" s="4" t="str">
        <f t="shared" si="36"/>
        <v>|al-Ḥajjáj|</v>
      </c>
      <c r="J330" s="3" t="str">
        <f t="shared" si="37"/>
        <v>|al-Hajjaj|</v>
      </c>
      <c r="K330" s="3" t="str">
        <f t="shared" si="38"/>
        <v>al-Hajjaj</v>
      </c>
      <c r="N330" s="39" t="str">
        <f t="shared" si="39"/>
        <v/>
      </c>
      <c r="P330" s="39" t="str">
        <f t="shared" si="40"/>
        <v/>
      </c>
      <c r="R330" s="39" t="str">
        <f t="shared" si="41"/>
        <v/>
      </c>
      <c r="S330" s="28"/>
      <c r="T330" s="28"/>
      <c r="U330" s="28"/>
    </row>
    <row r="331" spans="1:21" s="5" customFormat="1">
      <c r="A331" s="179" t="s">
        <v>578</v>
      </c>
      <c r="B331" s="185" t="s">
        <v>5189</v>
      </c>
      <c r="C331" s="35" t="str">
        <f t="shared" si="35"/>
        <v>alHakam</v>
      </c>
      <c r="E331" s="40"/>
      <c r="F331" s="15"/>
      <c r="G331" s="17"/>
      <c r="H331" s="10" t="s">
        <v>8563</v>
      </c>
      <c r="I331" s="4" t="str">
        <f t="shared" si="36"/>
        <v>|al-Ḥakam|</v>
      </c>
      <c r="J331" s="3" t="str">
        <f t="shared" si="37"/>
        <v>|al-Hakam|</v>
      </c>
      <c r="K331" s="3" t="str">
        <f t="shared" si="38"/>
        <v>al-Hakam</v>
      </c>
      <c r="N331" s="39" t="str">
        <f t="shared" si="39"/>
        <v/>
      </c>
      <c r="P331" s="39" t="str">
        <f t="shared" si="40"/>
        <v/>
      </c>
      <c r="R331" s="39" t="str">
        <f t="shared" si="41"/>
        <v/>
      </c>
      <c r="S331" s="28"/>
      <c r="T331" s="28"/>
      <c r="U331" s="28"/>
    </row>
    <row r="332" spans="1:21" s="5" customFormat="1">
      <c r="A332" s="179" t="s">
        <v>579</v>
      </c>
      <c r="B332" s="185" t="s">
        <v>5190</v>
      </c>
      <c r="C332" s="35" t="str">
        <f t="shared" si="35"/>
        <v>alHakim</v>
      </c>
      <c r="E332" s="40"/>
      <c r="F332" s="15"/>
      <c r="G332" s="17"/>
      <c r="H332" s="10" t="s">
        <v>8563</v>
      </c>
      <c r="I332" s="4" t="str">
        <f t="shared" si="36"/>
        <v>|al-Ḥakím|</v>
      </c>
      <c r="J332" s="3" t="str">
        <f t="shared" si="37"/>
        <v>|al-Hakim|</v>
      </c>
      <c r="K332" s="3" t="str">
        <f t="shared" si="38"/>
        <v>al-Hakim</v>
      </c>
      <c r="N332" s="39" t="str">
        <f t="shared" si="39"/>
        <v/>
      </c>
      <c r="P332" s="39" t="str">
        <f t="shared" si="40"/>
        <v/>
      </c>
      <c r="R332" s="39" t="str">
        <f t="shared" si="41"/>
        <v/>
      </c>
      <c r="S332" s="28"/>
      <c r="T332" s="28"/>
      <c r="U332" s="28"/>
    </row>
    <row r="333" spans="1:21" s="5" customFormat="1">
      <c r="A333" s="179" t="s">
        <v>580</v>
      </c>
      <c r="B333" s="185" t="s">
        <v>5191</v>
      </c>
      <c r="C333" s="35" t="str">
        <f t="shared" si="35"/>
        <v>alHalabi</v>
      </c>
      <c r="E333" s="40"/>
      <c r="F333" s="15"/>
      <c r="G333" s="17"/>
      <c r="H333" s="10" t="s">
        <v>8563</v>
      </c>
      <c r="I333" s="4" t="str">
        <f t="shared" si="36"/>
        <v>|al-Ḥalabí|</v>
      </c>
      <c r="J333" s="3" t="str">
        <f t="shared" si="37"/>
        <v>|al-Halabi|</v>
      </c>
      <c r="K333" s="3" t="str">
        <f t="shared" si="38"/>
        <v>al-Halabi</v>
      </c>
      <c r="N333" s="39" t="str">
        <f t="shared" si="39"/>
        <v/>
      </c>
      <c r="P333" s="39" t="str">
        <f t="shared" si="40"/>
        <v/>
      </c>
      <c r="R333" s="39" t="str">
        <f t="shared" si="41"/>
        <v/>
      </c>
      <c r="S333" s="28"/>
      <c r="T333" s="28"/>
      <c r="U333" s="28"/>
    </row>
    <row r="334" spans="1:21" s="5" customFormat="1">
      <c r="A334" s="179" t="s">
        <v>581</v>
      </c>
      <c r="B334" s="185" t="s">
        <v>5192</v>
      </c>
      <c r="C334" s="35" t="str">
        <f t="shared" si="35"/>
        <v>alHallaj</v>
      </c>
      <c r="E334" s="40"/>
      <c r="F334" s="15"/>
      <c r="G334" s="17"/>
      <c r="H334" s="10" t="s">
        <v>8563</v>
      </c>
      <c r="I334" s="4" t="str">
        <f t="shared" si="36"/>
        <v>|al-Ḥalláj|</v>
      </c>
      <c r="J334" s="3" t="str">
        <f t="shared" si="37"/>
        <v>|al-Hallaj|</v>
      </c>
      <c r="K334" s="3" t="str">
        <f t="shared" si="38"/>
        <v>al-Hallaj</v>
      </c>
      <c r="N334" s="39" t="str">
        <f t="shared" si="39"/>
        <v/>
      </c>
      <c r="P334" s="39" t="str">
        <f t="shared" si="40"/>
        <v/>
      </c>
      <c r="R334" s="39" t="str">
        <f t="shared" si="41"/>
        <v/>
      </c>
      <c r="S334" s="28"/>
      <c r="T334" s="28"/>
      <c r="U334" s="28"/>
    </row>
    <row r="335" spans="1:21" s="5" customFormat="1">
      <c r="A335" s="179" t="s">
        <v>582</v>
      </c>
      <c r="B335" s="185" t="s">
        <v>5193</v>
      </c>
      <c r="C335" s="35" t="str">
        <f t="shared" si="35"/>
        <v>alHamd</v>
      </c>
      <c r="E335" s="40"/>
      <c r="F335" s="15"/>
      <c r="G335" s="17"/>
      <c r="H335" s="10" t="s">
        <v>8563</v>
      </c>
      <c r="I335" s="4" t="str">
        <f t="shared" si="36"/>
        <v>|al-Ḥamd|</v>
      </c>
      <c r="J335" s="3" t="str">
        <f t="shared" si="37"/>
        <v>|al-Hamd|</v>
      </c>
      <c r="K335" s="3" t="str">
        <f t="shared" si="38"/>
        <v>al-Hamd</v>
      </c>
      <c r="N335" s="39" t="str">
        <f t="shared" si="39"/>
        <v/>
      </c>
      <c r="P335" s="39" t="str">
        <f t="shared" si="40"/>
        <v/>
      </c>
      <c r="R335" s="39" t="str">
        <f t="shared" si="41"/>
        <v/>
      </c>
      <c r="S335" s="28"/>
      <c r="T335" s="28"/>
      <c r="U335" s="28"/>
    </row>
    <row r="336" spans="1:21" s="5" customFormat="1">
      <c r="A336" s="179" t="s">
        <v>583</v>
      </c>
      <c r="B336" s="185" t="s">
        <v>5194</v>
      </c>
      <c r="C336" s="35" t="str">
        <f t="shared" si="35"/>
        <v>alHamduʼllah</v>
      </c>
      <c r="E336" s="40"/>
      <c r="F336" s="14"/>
      <c r="G336" s="17"/>
      <c r="H336" s="10" t="s">
        <v>8563</v>
      </c>
      <c r="I336" s="4" t="str">
        <f t="shared" si="36"/>
        <v>|al-Ḥamduʼlláh|</v>
      </c>
      <c r="J336" s="3" t="str">
        <f t="shared" si="37"/>
        <v>|al-Hamduʼllah|</v>
      </c>
      <c r="K336" s="3" t="str">
        <f t="shared" si="38"/>
        <v>al-Hamduʼllah</v>
      </c>
      <c r="N336" s="39" t="str">
        <f t="shared" si="39"/>
        <v/>
      </c>
      <c r="P336" s="39" t="str">
        <f t="shared" si="40"/>
        <v/>
      </c>
      <c r="R336" s="39" t="str">
        <f t="shared" si="41"/>
        <v/>
      </c>
      <c r="S336" s="28"/>
      <c r="T336" s="28"/>
      <c r="U336" s="28"/>
    </row>
    <row r="337" spans="1:21" s="5" customFormat="1">
      <c r="A337" s="179" t="s">
        <v>8861</v>
      </c>
      <c r="B337" s="185" t="s">
        <v>8862</v>
      </c>
      <c r="C337" s="35" t="str">
        <f t="shared" si="35"/>
        <v>alHamraʼ</v>
      </c>
      <c r="E337" s="40"/>
      <c r="F337" s="15" t="s">
        <v>584</v>
      </c>
      <c r="G337" s="17"/>
      <c r="H337" s="10" t="s">
        <v>8563</v>
      </c>
      <c r="I337" s="4" t="str">
        <f t="shared" si="36"/>
        <v>|al-Ḥamraʼ|</v>
      </c>
      <c r="J337" s="3" t="str">
        <f t="shared" si="37"/>
        <v>|al-Hamraʼ|</v>
      </c>
      <c r="K337" s="3" t="str">
        <f t="shared" si="38"/>
        <v>al-Hamraʼ</v>
      </c>
      <c r="N337" s="39" t="str">
        <f t="shared" si="39"/>
        <v/>
      </c>
      <c r="P337" s="39" t="str">
        <f t="shared" si="40"/>
        <v/>
      </c>
      <c r="R337" s="39" t="str">
        <f t="shared" si="41"/>
        <v/>
      </c>
      <c r="S337" s="28"/>
      <c r="T337" s="28"/>
      <c r="U337" s="28"/>
    </row>
    <row r="338" spans="1:21" s="5" customFormat="1">
      <c r="A338" s="179" t="s">
        <v>585</v>
      </c>
      <c r="B338" s="185" t="s">
        <v>5195</v>
      </c>
      <c r="C338" s="35" t="str">
        <f t="shared" si="35"/>
        <v>alHanafiyyah</v>
      </c>
      <c r="E338" s="40"/>
      <c r="F338" s="15"/>
      <c r="G338" s="17"/>
      <c r="H338" s="10" t="s">
        <v>8563</v>
      </c>
      <c r="I338" s="4" t="str">
        <f t="shared" si="36"/>
        <v>|al-Ḥanafíyyah|</v>
      </c>
      <c r="J338" s="3" t="str">
        <f t="shared" si="37"/>
        <v>|al-Hanafiyyah|</v>
      </c>
      <c r="K338" s="3" t="str">
        <f t="shared" si="38"/>
        <v>al-Hanafiyyah</v>
      </c>
      <c r="N338" s="39" t="str">
        <f t="shared" si="39"/>
        <v/>
      </c>
      <c r="P338" s="39" t="str">
        <f t="shared" si="40"/>
        <v/>
      </c>
      <c r="R338" s="39" t="str">
        <f t="shared" si="41"/>
        <v/>
      </c>
      <c r="S338" s="28"/>
      <c r="T338" s="28"/>
      <c r="U338" s="28"/>
    </row>
    <row r="339" spans="1:21" s="5" customFormat="1">
      <c r="A339" s="179" t="s">
        <v>586</v>
      </c>
      <c r="B339" s="185" t="s">
        <v>5196</v>
      </c>
      <c r="C339" s="35" t="str">
        <f t="shared" si="35"/>
        <v>alHaqq</v>
      </c>
      <c r="E339" s="40"/>
      <c r="F339" s="15"/>
      <c r="G339" s="17"/>
      <c r="H339" s="10" t="s">
        <v>8563</v>
      </c>
      <c r="I339" s="4" t="str">
        <f t="shared" si="36"/>
        <v>|al-Ḥaqq|</v>
      </c>
      <c r="J339" s="3" t="str">
        <f t="shared" si="37"/>
        <v>|al-Haqq|</v>
      </c>
      <c r="K339" s="3" t="str">
        <f t="shared" si="38"/>
        <v>al-Haqq</v>
      </c>
      <c r="N339" s="39" t="str">
        <f t="shared" si="39"/>
        <v/>
      </c>
      <c r="P339" s="39" t="str">
        <f t="shared" si="40"/>
        <v/>
      </c>
      <c r="R339" s="39" t="str">
        <f t="shared" si="41"/>
        <v/>
      </c>
      <c r="S339" s="28"/>
      <c r="T339" s="28"/>
      <c r="U339" s="28"/>
    </row>
    <row r="340" spans="1:21" s="5" customFormat="1">
      <c r="A340" s="179" t="s">
        <v>587</v>
      </c>
      <c r="B340" s="185" t="s">
        <v>5197</v>
      </c>
      <c r="C340" s="35" t="str">
        <f t="shared" si="35"/>
        <v>alHasan</v>
      </c>
      <c r="E340" s="40"/>
      <c r="F340" s="15"/>
      <c r="G340" s="17"/>
      <c r="H340" s="10" t="s">
        <v>8563</v>
      </c>
      <c r="I340" s="4" t="str">
        <f t="shared" si="36"/>
        <v>|al-Ḥasan|</v>
      </c>
      <c r="J340" s="3" t="str">
        <f t="shared" si="37"/>
        <v>|al-Hasan|</v>
      </c>
      <c r="K340" s="3" t="str">
        <f t="shared" si="38"/>
        <v>al-Hasan</v>
      </c>
      <c r="N340" s="39" t="str">
        <f t="shared" si="39"/>
        <v/>
      </c>
      <c r="P340" s="39" t="str">
        <f t="shared" si="40"/>
        <v/>
      </c>
      <c r="R340" s="39" t="str">
        <f t="shared" si="41"/>
        <v/>
      </c>
      <c r="S340" s="28"/>
      <c r="T340" s="28"/>
      <c r="U340" s="28"/>
    </row>
    <row r="341" spans="1:21" s="5" customFormat="1">
      <c r="A341" s="179" t="s">
        <v>590</v>
      </c>
      <c r="B341" s="185" t="s">
        <v>8864</v>
      </c>
      <c r="C341" s="35" t="str">
        <f t="shared" si="35"/>
        <v>alHashar</v>
      </c>
      <c r="E341" s="40"/>
      <c r="F341" s="15"/>
      <c r="G341" s="17"/>
      <c r="H341" s="10" t="s">
        <v>8563</v>
      </c>
      <c r="I341" s="4" t="str">
        <f t="shared" si="36"/>
        <v>|al-Ḥaar|</v>
      </c>
      <c r="J341" s="3" t="str">
        <f t="shared" si="37"/>
        <v>|al-Hashar|</v>
      </c>
      <c r="K341" s="3" t="str">
        <f t="shared" si="38"/>
        <v>al-Hashar</v>
      </c>
      <c r="N341" s="39" t="str">
        <f t="shared" si="39"/>
        <v/>
      </c>
      <c r="P341" s="39" t="str">
        <f t="shared" si="40"/>
        <v/>
      </c>
      <c r="R341" s="39" t="str">
        <f t="shared" si="41"/>
        <v/>
      </c>
      <c r="S341" s="28"/>
      <c r="T341" s="28"/>
      <c r="U341" s="28"/>
    </row>
    <row r="342" spans="1:21" s="5" customFormat="1">
      <c r="A342" s="179" t="s">
        <v>588</v>
      </c>
      <c r="B342" s="185" t="s">
        <v>8863</v>
      </c>
      <c r="C342" s="35" t="str">
        <f t="shared" si="35"/>
        <v>alHashir</v>
      </c>
      <c r="E342" s="40"/>
      <c r="F342" s="15" t="s">
        <v>589</v>
      </c>
      <c r="G342" s="17"/>
      <c r="H342" s="10" t="s">
        <v>8563</v>
      </c>
      <c r="I342" s="4" t="str">
        <f t="shared" si="36"/>
        <v>|al-Háir|</v>
      </c>
      <c r="J342" s="3" t="str">
        <f t="shared" si="37"/>
        <v>|al-Hashir|</v>
      </c>
      <c r="K342" s="3" t="str">
        <f t="shared" si="38"/>
        <v>al-Hashir</v>
      </c>
      <c r="N342" s="39" t="str">
        <f t="shared" si="39"/>
        <v/>
      </c>
      <c r="P342" s="39" t="str">
        <f t="shared" si="40"/>
        <v/>
      </c>
      <c r="R342" s="39" t="str">
        <f t="shared" si="41"/>
        <v/>
      </c>
      <c r="S342" s="28"/>
      <c r="T342" s="28"/>
      <c r="U342" s="28"/>
    </row>
    <row r="343" spans="1:21" s="5" customFormat="1">
      <c r="A343" s="179" t="s">
        <v>591</v>
      </c>
      <c r="B343" s="185" t="s">
        <v>8865</v>
      </c>
      <c r="C343" s="35" t="str">
        <f t="shared" si="35"/>
        <v>alHavadith</v>
      </c>
      <c r="E343" s="40"/>
      <c r="F343" s="15"/>
      <c r="G343" s="17"/>
      <c r="H343" s="10" t="s">
        <v>8563</v>
      </c>
      <c r="I343" s="4" t="str">
        <f t="shared" si="36"/>
        <v>|al-Ḥavádi|</v>
      </c>
      <c r="J343" s="3" t="str">
        <f t="shared" si="37"/>
        <v>|al-Havadith|</v>
      </c>
      <c r="K343" s="3" t="str">
        <f t="shared" si="38"/>
        <v>al-Havadith</v>
      </c>
      <c r="N343" s="39" t="str">
        <f t="shared" si="39"/>
        <v/>
      </c>
      <c r="P343" s="39" t="str">
        <f t="shared" si="40"/>
        <v/>
      </c>
      <c r="R343" s="39" t="str">
        <f t="shared" si="41"/>
        <v/>
      </c>
      <c r="S343" s="28"/>
      <c r="T343" s="28"/>
      <c r="U343" s="28"/>
    </row>
    <row r="344" spans="1:21" s="5" customFormat="1">
      <c r="A344" s="179" t="s">
        <v>592</v>
      </c>
      <c r="B344" s="185" t="s">
        <v>5198</v>
      </c>
      <c r="C344" s="35" t="str">
        <f t="shared" si="35"/>
        <v>alHayy</v>
      </c>
      <c r="E344" s="40"/>
      <c r="F344" s="15"/>
      <c r="G344" s="17"/>
      <c r="H344" s="10" t="s">
        <v>8563</v>
      </c>
      <c r="I344" s="4" t="str">
        <f t="shared" si="36"/>
        <v>|al-Ḥayy|</v>
      </c>
      <c r="J344" s="3" t="str">
        <f t="shared" si="37"/>
        <v>|al-Hayy|</v>
      </c>
      <c r="K344" s="3" t="str">
        <f t="shared" si="38"/>
        <v>al-Hayy</v>
      </c>
      <c r="N344" s="39" t="str">
        <f t="shared" si="39"/>
        <v/>
      </c>
      <c r="P344" s="39" t="str">
        <f t="shared" si="40"/>
        <v/>
      </c>
      <c r="R344" s="39" t="str">
        <f t="shared" si="41"/>
        <v/>
      </c>
      <c r="S344" s="28"/>
      <c r="T344" s="28"/>
      <c r="U344" s="28"/>
    </row>
    <row r="345" spans="1:21" s="5" customFormat="1">
      <c r="A345" s="179" t="s">
        <v>593</v>
      </c>
      <c r="B345" s="185" t="s">
        <v>5199</v>
      </c>
      <c r="C345" s="35" t="str">
        <f t="shared" si="35"/>
        <v>alHilli</v>
      </c>
      <c r="E345" s="40"/>
      <c r="F345" s="15"/>
      <c r="G345" s="17"/>
      <c r="H345" s="10" t="s">
        <v>8563</v>
      </c>
      <c r="I345" s="4" t="str">
        <f t="shared" si="36"/>
        <v>|al-Ḥillí|</v>
      </c>
      <c r="J345" s="3" t="str">
        <f t="shared" si="37"/>
        <v>|al-Hilli|</v>
      </c>
      <c r="K345" s="3" t="str">
        <f t="shared" si="38"/>
        <v>al-Hilli</v>
      </c>
      <c r="N345" s="39" t="str">
        <f t="shared" si="39"/>
        <v/>
      </c>
      <c r="P345" s="39" t="str">
        <f t="shared" si="40"/>
        <v/>
      </c>
      <c r="R345" s="39" t="str">
        <f t="shared" si="41"/>
        <v/>
      </c>
      <c r="S345" s="28"/>
      <c r="T345" s="28"/>
      <c r="U345" s="28"/>
    </row>
    <row r="346" spans="1:21" s="5" customFormat="1">
      <c r="A346" s="179" t="s">
        <v>595</v>
      </c>
      <c r="B346" s="185" t="s">
        <v>5201</v>
      </c>
      <c r="C346" s="35" t="str">
        <f t="shared" si="35"/>
        <v>alHuda</v>
      </c>
      <c r="E346" s="40"/>
      <c r="F346" s="15"/>
      <c r="G346" s="17"/>
      <c r="H346" s="10" t="s">
        <v>8563</v>
      </c>
      <c r="I346" s="4" t="str">
        <f t="shared" si="36"/>
        <v>|al-Hudá|</v>
      </c>
      <c r="J346" s="3" t="str">
        <f t="shared" si="37"/>
        <v>|al-Huda|</v>
      </c>
      <c r="K346" s="3" t="str">
        <f t="shared" si="38"/>
        <v>al-Huda</v>
      </c>
      <c r="N346" s="39" t="str">
        <f t="shared" si="39"/>
        <v/>
      </c>
      <c r="P346" s="39" t="str">
        <f t="shared" si="40"/>
        <v/>
      </c>
      <c r="R346" s="39" t="str">
        <f t="shared" si="41"/>
        <v/>
      </c>
      <c r="S346" s="28"/>
      <c r="T346" s="28"/>
      <c r="U346" s="28"/>
    </row>
    <row r="347" spans="1:21" s="5" customFormat="1">
      <c r="A347" s="179" t="s">
        <v>596</v>
      </c>
      <c r="B347" s="185" t="s">
        <v>5202</v>
      </c>
      <c r="C347" s="35" t="str">
        <f t="shared" si="35"/>
        <v>alHujjah</v>
      </c>
      <c r="E347" s="40"/>
      <c r="F347" s="15"/>
      <c r="G347" s="17"/>
      <c r="H347" s="10" t="s">
        <v>8563</v>
      </c>
      <c r="I347" s="4" t="str">
        <f t="shared" si="36"/>
        <v>|al-Ḥujjah|</v>
      </c>
      <c r="J347" s="3" t="str">
        <f t="shared" si="37"/>
        <v>|al-Hujjah|</v>
      </c>
      <c r="K347" s="3" t="str">
        <f t="shared" si="38"/>
        <v>al-Hujjah</v>
      </c>
      <c r="N347" s="39" t="str">
        <f t="shared" si="39"/>
        <v/>
      </c>
      <c r="P347" s="39" t="str">
        <f t="shared" si="40"/>
        <v/>
      </c>
      <c r="R347" s="39" t="str">
        <f t="shared" si="41"/>
        <v/>
      </c>
      <c r="S347" s="28"/>
      <c r="T347" s="28"/>
      <c r="U347" s="28"/>
    </row>
    <row r="348" spans="1:21" s="5" customFormat="1">
      <c r="A348" s="179" t="s">
        <v>594</v>
      </c>
      <c r="B348" s="185" t="s">
        <v>5200</v>
      </c>
      <c r="C348" s="35" t="str">
        <f t="shared" si="35"/>
        <v>alHumayri</v>
      </c>
      <c r="E348" s="40"/>
      <c r="F348" s="15"/>
      <c r="G348" s="17"/>
      <c r="H348" s="10" t="s">
        <v>8563</v>
      </c>
      <c r="I348" s="4" t="str">
        <f t="shared" si="36"/>
        <v>|al-Ḥumayrí|</v>
      </c>
      <c r="J348" s="3" t="str">
        <f t="shared" si="37"/>
        <v>|al-Humayri|</v>
      </c>
      <c r="K348" s="3" t="str">
        <f t="shared" si="38"/>
        <v>al-Humayri</v>
      </c>
      <c r="N348" s="39" t="str">
        <f t="shared" si="39"/>
        <v/>
      </c>
      <c r="P348" s="39" t="str">
        <f t="shared" si="40"/>
        <v/>
      </c>
      <c r="R348" s="39" t="str">
        <f t="shared" si="41"/>
        <v/>
      </c>
      <c r="S348" s="28"/>
      <c r="T348" s="28"/>
      <c r="U348" s="28"/>
    </row>
    <row r="349" spans="1:21" s="5" customFormat="1">
      <c r="A349" s="179" t="s">
        <v>597</v>
      </c>
      <c r="B349" s="185" t="s">
        <v>5203</v>
      </c>
      <c r="C349" s="35" t="str">
        <f t="shared" si="35"/>
        <v>alHurr</v>
      </c>
      <c r="E349" s="40"/>
      <c r="F349" s="15"/>
      <c r="G349" s="17"/>
      <c r="H349" s="10" t="s">
        <v>8563</v>
      </c>
      <c r="I349" s="4" t="str">
        <f t="shared" si="36"/>
        <v>|al-Ḥurr|</v>
      </c>
      <c r="J349" s="3" t="str">
        <f t="shared" si="37"/>
        <v>|al-Hurr|</v>
      </c>
      <c r="K349" s="3" t="str">
        <f t="shared" si="38"/>
        <v>al-Hurr</v>
      </c>
      <c r="N349" s="39" t="str">
        <f t="shared" si="39"/>
        <v/>
      </c>
      <c r="P349" s="39" t="str">
        <f t="shared" si="40"/>
        <v/>
      </c>
      <c r="R349" s="39" t="str">
        <f t="shared" si="41"/>
        <v/>
      </c>
      <c r="S349" s="28"/>
      <c r="T349" s="28"/>
      <c r="U349" s="28"/>
    </row>
    <row r="350" spans="1:21" s="5" customFormat="1">
      <c r="A350" s="179" t="s">
        <v>598</v>
      </c>
      <c r="B350" s="185" t="s">
        <v>82</v>
      </c>
      <c r="C350" s="35" t="str">
        <f t="shared" si="35"/>
        <v>Ali</v>
      </c>
      <c r="E350" s="40" t="s">
        <v>9115</v>
      </c>
      <c r="F350" s="14" t="s">
        <v>599</v>
      </c>
      <c r="G350" s="17"/>
      <c r="H350" s="10" t="s">
        <v>8563</v>
      </c>
      <c r="I350" s="4" t="str">
        <f t="shared" si="36"/>
        <v>|ʿAlí|</v>
      </c>
      <c r="J350" s="3" t="str">
        <f t="shared" si="37"/>
        <v>|'Ali|</v>
      </c>
      <c r="K350" s="3" t="str">
        <f t="shared" si="38"/>
        <v>Ali</v>
      </c>
      <c r="N350" s="39" t="str">
        <f t="shared" si="39"/>
        <v/>
      </c>
      <c r="P350" s="39" t="str">
        <f t="shared" si="40"/>
        <v/>
      </c>
      <c r="R350" s="39" t="str">
        <f t="shared" si="41"/>
        <v/>
      </c>
      <c r="S350" s="28"/>
      <c r="T350" s="28"/>
      <c r="U350" s="28"/>
    </row>
    <row r="351" spans="1:21" s="5" customFormat="1">
      <c r="A351" s="179" t="s">
        <v>600</v>
      </c>
      <c r="B351" s="185" t="s">
        <v>5204</v>
      </c>
      <c r="C351" s="35" t="str">
        <f t="shared" si="35"/>
        <v>Ali</v>
      </c>
      <c r="E351" s="40" t="s">
        <v>9115</v>
      </c>
      <c r="F351" s="14"/>
      <c r="G351" s="17" t="s">
        <v>9126</v>
      </c>
      <c r="H351" s="10" t="s">
        <v>8563</v>
      </c>
      <c r="I351" s="4" t="str">
        <f t="shared" si="36"/>
        <v>|ʿÁlí|</v>
      </c>
      <c r="J351" s="3" t="str">
        <f t="shared" si="37"/>
        <v>|'Ali|</v>
      </c>
      <c r="K351" s="3" t="str">
        <f t="shared" si="38"/>
        <v>Ali</v>
      </c>
      <c r="N351" s="39" t="str">
        <f t="shared" si="39"/>
        <v/>
      </c>
      <c r="P351" s="39" t="str">
        <f t="shared" si="40"/>
        <v/>
      </c>
      <c r="R351" s="39" t="str">
        <f t="shared" si="41"/>
        <v/>
      </c>
      <c r="S351" s="28"/>
      <c r="T351" s="28"/>
      <c r="U351" s="28"/>
    </row>
    <row r="352" spans="1:21" s="5" customFormat="1">
      <c r="A352" s="181"/>
      <c r="B352" s="185" t="s">
        <v>6</v>
      </c>
      <c r="C352" s="35" t="str">
        <f t="shared" si="35"/>
        <v>AliPasha</v>
      </c>
      <c r="D352" s="1"/>
      <c r="E352" s="40" t="s">
        <v>9115</v>
      </c>
      <c r="F352" s="12"/>
      <c r="G352" s="9"/>
      <c r="H352" s="12"/>
      <c r="I352" s="4" t="str">
        <f t="shared" si="36"/>
        <v>|ʿAlí Paá|</v>
      </c>
      <c r="J352" s="3" t="str">
        <f t="shared" si="37"/>
        <v>|'Ali Pasha|</v>
      </c>
      <c r="K352" s="3" t="str">
        <f t="shared" si="38"/>
        <v>Ali Pasha</v>
      </c>
      <c r="M352" s="1"/>
      <c r="N352" s="39" t="str">
        <f t="shared" si="39"/>
        <v/>
      </c>
      <c r="O352" s="1"/>
      <c r="P352" s="39" t="str">
        <f t="shared" si="40"/>
        <v/>
      </c>
      <c r="Q352" s="1"/>
      <c r="R352" s="39" t="str">
        <f t="shared" si="41"/>
        <v/>
      </c>
      <c r="S352" s="28"/>
      <c r="T352" s="28"/>
      <c r="U352" s="28"/>
    </row>
    <row r="353" spans="1:21" s="5" customFormat="1">
      <c r="A353" s="179" t="s">
        <v>648</v>
      </c>
      <c r="B353" s="185" t="s">
        <v>8869</v>
      </c>
      <c r="C353" s="35" t="str">
        <f t="shared" si="35"/>
        <v>AliShawkat</v>
      </c>
      <c r="E353" s="40"/>
      <c r="F353" s="14"/>
      <c r="G353" s="17"/>
      <c r="H353" s="10" t="s">
        <v>8563</v>
      </c>
      <c r="I353" s="4" t="str">
        <f t="shared" si="36"/>
        <v>|ʿAlí awkat|</v>
      </c>
      <c r="J353" s="3" t="str">
        <f t="shared" si="37"/>
        <v>|'Ali Shawkat|</v>
      </c>
      <c r="K353" s="3" t="str">
        <f t="shared" si="38"/>
        <v>Ali Shawkat</v>
      </c>
      <c r="N353" s="39" t="str">
        <f t="shared" si="39"/>
        <v/>
      </c>
      <c r="P353" s="39" t="str">
        <f t="shared" si="40"/>
        <v/>
      </c>
      <c r="R353" s="39" t="str">
        <f t="shared" si="41"/>
        <v/>
      </c>
      <c r="S353" s="28"/>
      <c r="T353" s="28"/>
      <c r="U353" s="28"/>
    </row>
    <row r="354" spans="1:21" s="5" customFormat="1">
      <c r="A354" s="179" t="s">
        <v>601</v>
      </c>
      <c r="B354" s="185" t="s">
        <v>5205</v>
      </c>
      <c r="C354" s="35" t="str">
        <f t="shared" si="35"/>
        <v>AliAbad</v>
      </c>
      <c r="E354" s="40"/>
      <c r="F354" s="14"/>
      <c r="G354" s="17"/>
      <c r="H354" s="10" t="s">
        <v>8563</v>
      </c>
      <c r="I354" s="4" t="str">
        <f t="shared" si="36"/>
        <v>|ʿAlí-Ábád|</v>
      </c>
      <c r="J354" s="3" t="str">
        <f t="shared" si="37"/>
        <v>|'Ali-Abad|</v>
      </c>
      <c r="K354" s="3" t="str">
        <f t="shared" si="38"/>
        <v>Ali-Abad</v>
      </c>
      <c r="N354" s="39" t="str">
        <f t="shared" si="39"/>
        <v/>
      </c>
      <c r="P354" s="39" t="str">
        <f t="shared" si="40"/>
        <v/>
      </c>
      <c r="R354" s="39" t="str">
        <f t="shared" si="41"/>
        <v/>
      </c>
      <c r="S354" s="28"/>
      <c r="T354" s="28"/>
      <c r="U354" s="28"/>
    </row>
    <row r="355" spans="1:21" s="5" customFormat="1">
      <c r="A355" s="179" t="s">
        <v>602</v>
      </c>
      <c r="B355" s="185" t="s">
        <v>5206</v>
      </c>
      <c r="C355" s="35" t="str">
        <f t="shared" si="35"/>
        <v>AliAhmad</v>
      </c>
      <c r="E355" s="40"/>
      <c r="F355" s="14"/>
      <c r="G355" s="17"/>
      <c r="H355" s="10" t="s">
        <v>8563</v>
      </c>
      <c r="I355" s="4" t="str">
        <f t="shared" si="36"/>
        <v>|ʿAlí-Aḥmad|</v>
      </c>
      <c r="J355" s="3" t="str">
        <f t="shared" si="37"/>
        <v>|'Ali-Ahmad|</v>
      </c>
      <c r="K355" s="3" t="str">
        <f t="shared" si="38"/>
        <v>Ali-Ahmad</v>
      </c>
      <c r="N355" s="39" t="str">
        <f t="shared" si="39"/>
        <v/>
      </c>
      <c r="P355" s="39" t="str">
        <f t="shared" si="40"/>
        <v/>
      </c>
      <c r="R355" s="39" t="str">
        <f t="shared" si="41"/>
        <v/>
      </c>
      <c r="S355" s="28"/>
      <c r="T355" s="28"/>
      <c r="U355" s="28"/>
    </row>
    <row r="356" spans="1:21" s="5" customFormat="1">
      <c r="A356" s="179" t="s">
        <v>603</v>
      </c>
      <c r="B356" s="185" t="s">
        <v>5207</v>
      </c>
      <c r="C356" s="35" t="str">
        <f t="shared" si="35"/>
        <v>AliAkbar</v>
      </c>
      <c r="E356" s="40"/>
      <c r="F356" s="14"/>
      <c r="G356" s="17"/>
      <c r="H356" s="10" t="s">
        <v>8563</v>
      </c>
      <c r="I356" s="4" t="str">
        <f t="shared" si="36"/>
        <v>|ʿAlí-Akbar|</v>
      </c>
      <c r="J356" s="3" t="str">
        <f t="shared" si="37"/>
        <v>|'Ali-Akbar|</v>
      </c>
      <c r="K356" s="3" t="str">
        <f t="shared" si="38"/>
        <v>Ali-Akbar</v>
      </c>
      <c r="N356" s="39" t="str">
        <f t="shared" si="39"/>
        <v/>
      </c>
      <c r="P356" s="39" t="str">
        <f t="shared" si="40"/>
        <v/>
      </c>
      <c r="R356" s="39" t="str">
        <f t="shared" si="41"/>
        <v/>
      </c>
      <c r="S356" s="28"/>
      <c r="T356" s="28"/>
      <c r="U356" s="28"/>
    </row>
    <row r="357" spans="1:21" s="5" customFormat="1">
      <c r="A357" s="179" t="s">
        <v>604</v>
      </c>
      <c r="B357" s="185" t="s">
        <v>5208</v>
      </c>
      <c r="C357" s="35" t="str">
        <f t="shared" si="35"/>
        <v>AliAkbariArdistani</v>
      </c>
      <c r="E357" s="40"/>
      <c r="F357" s="14"/>
      <c r="G357" s="17"/>
      <c r="H357" s="10" t="s">
        <v>8563</v>
      </c>
      <c r="I357" s="4" t="str">
        <f t="shared" si="36"/>
        <v>|ʿAlí-Akbar-i-Ardistání|</v>
      </c>
      <c r="J357" s="3" t="str">
        <f t="shared" si="37"/>
        <v>|'Ali-Akbar-i-Ardistani|</v>
      </c>
      <c r="K357" s="3" t="str">
        <f t="shared" si="38"/>
        <v>Ali-Akbar-i-Ardistani</v>
      </c>
      <c r="N357" s="39" t="str">
        <f t="shared" si="39"/>
        <v/>
      </c>
      <c r="P357" s="39" t="str">
        <f t="shared" si="40"/>
        <v/>
      </c>
      <c r="R357" s="39" t="str">
        <f t="shared" si="41"/>
        <v/>
      </c>
      <c r="S357" s="28"/>
      <c r="T357" s="28"/>
      <c r="U357" s="28"/>
    </row>
    <row r="358" spans="1:21" s="5" customFormat="1">
      <c r="A358" s="179" t="s">
        <v>605</v>
      </c>
      <c r="B358" s="185" t="s">
        <v>5209</v>
      </c>
      <c r="C358" s="35" t="str">
        <f t="shared" si="35"/>
        <v>AliAkbariMazgani</v>
      </c>
      <c r="E358" s="40" t="s">
        <v>9115</v>
      </c>
      <c r="F358" s="14"/>
      <c r="G358" s="17"/>
      <c r="H358" s="10" t="s">
        <v>8563</v>
      </c>
      <c r="I358" s="4" t="str">
        <f t="shared" si="36"/>
        <v>|ʿAlí-Akbar-i-Mazgání|</v>
      </c>
      <c r="J358" s="3" t="str">
        <f t="shared" si="37"/>
        <v>|'Ali-Akbar-i-Mazgani|</v>
      </c>
      <c r="K358" s="3" t="str">
        <f t="shared" si="38"/>
        <v>Ali-Akbar-i-Mazgani</v>
      </c>
      <c r="N358" s="39" t="str">
        <f t="shared" si="39"/>
        <v/>
      </c>
      <c r="P358" s="39" t="str">
        <f t="shared" si="40"/>
        <v/>
      </c>
      <c r="R358" s="39" t="str">
        <f t="shared" si="41"/>
        <v/>
      </c>
      <c r="S358" s="28"/>
      <c r="T358" s="28"/>
      <c r="U358" s="28"/>
    </row>
    <row r="359" spans="1:21" s="5" customFormat="1">
      <c r="A359" s="179" t="s">
        <v>606</v>
      </c>
      <c r="B359" s="185" t="s">
        <v>5210</v>
      </c>
      <c r="C359" s="35" t="str">
        <f t="shared" si="35"/>
        <v>AliAkbariMazgani</v>
      </c>
      <c r="E359" s="40" t="s">
        <v>9115</v>
      </c>
      <c r="F359" s="15"/>
      <c r="G359" s="17"/>
      <c r="H359" s="10" t="s">
        <v>8563</v>
      </c>
      <c r="I359" s="4" t="str">
        <f t="shared" si="36"/>
        <v>|ʿAlí-Akbar-i-Mázgání|</v>
      </c>
      <c r="J359" s="3" t="str">
        <f t="shared" si="37"/>
        <v>|'Ali-Akbar-i-Mazgani|</v>
      </c>
      <c r="K359" s="3" t="str">
        <f t="shared" si="38"/>
        <v>Ali-Akbar-i-Mazgani</v>
      </c>
      <c r="N359" s="39" t="str">
        <f t="shared" si="39"/>
        <v/>
      </c>
      <c r="P359" s="39" t="str">
        <f t="shared" si="40"/>
        <v/>
      </c>
      <c r="R359" s="39" t="str">
        <f t="shared" si="41"/>
        <v/>
      </c>
      <c r="S359" s="28"/>
      <c r="T359" s="28"/>
      <c r="U359" s="28"/>
    </row>
    <row r="360" spans="1:21" s="5" customFormat="1">
      <c r="A360" s="179" t="s">
        <v>607</v>
      </c>
      <c r="B360" s="185" t="s">
        <v>5211</v>
      </c>
      <c r="C360" s="35" t="str">
        <f t="shared" si="35"/>
        <v>AliAkbariNajjar</v>
      </c>
      <c r="E360" s="40"/>
      <c r="F360" s="14"/>
      <c r="G360" s="17"/>
      <c r="H360" s="10" t="s">
        <v>8563</v>
      </c>
      <c r="I360" s="4" t="str">
        <f t="shared" si="36"/>
        <v>|ʿAlí-Akbar-i-Najjár|</v>
      </c>
      <c r="J360" s="3" t="str">
        <f t="shared" si="37"/>
        <v>|'Ali-Akbar-i-Najjar|</v>
      </c>
      <c r="K360" s="3" t="str">
        <f t="shared" si="38"/>
        <v>Ali-Akbar-i-Najjar</v>
      </c>
      <c r="N360" s="39" t="str">
        <f t="shared" si="39"/>
        <v/>
      </c>
      <c r="P360" s="39" t="str">
        <f t="shared" si="40"/>
        <v/>
      </c>
      <c r="R360" s="39" t="str">
        <f t="shared" si="41"/>
        <v/>
      </c>
      <c r="S360" s="28"/>
      <c r="T360" s="28"/>
      <c r="U360" s="28"/>
    </row>
    <row r="361" spans="1:21" s="5" customFormat="1">
      <c r="A361" s="179" t="s">
        <v>608</v>
      </c>
      <c r="B361" s="185" t="s">
        <v>5212</v>
      </c>
      <c r="C361" s="35" t="str">
        <f t="shared" si="35"/>
        <v>AliAkbariNaraqi</v>
      </c>
      <c r="E361" s="40"/>
      <c r="F361" s="14"/>
      <c r="G361" s="17"/>
      <c r="H361" s="10" t="s">
        <v>8563</v>
      </c>
      <c r="I361" s="4" t="str">
        <f t="shared" si="36"/>
        <v>|ʿAlí-Akbar-i-Naráqí|</v>
      </c>
      <c r="J361" s="3" t="str">
        <f t="shared" si="37"/>
        <v>|'Ali-Akbar-i-Naraqi|</v>
      </c>
      <c r="K361" s="3" t="str">
        <f t="shared" si="38"/>
        <v>Ali-Akbar-i-Naraqi</v>
      </c>
      <c r="N361" s="39" t="str">
        <f t="shared" si="39"/>
        <v/>
      </c>
      <c r="P361" s="39" t="str">
        <f t="shared" si="40"/>
        <v/>
      </c>
      <c r="R361" s="39" t="str">
        <f t="shared" si="41"/>
        <v/>
      </c>
      <c r="S361" s="28"/>
      <c r="T361" s="28"/>
      <c r="U361" s="28"/>
    </row>
    <row r="362" spans="1:21" s="5" customFormat="1">
      <c r="A362" s="179" t="s">
        <v>609</v>
      </c>
      <c r="B362" s="185" t="s">
        <v>8866</v>
      </c>
      <c r="C362" s="35" t="str">
        <f t="shared" si="35"/>
        <v>AliAkbariQawchani</v>
      </c>
      <c r="E362" s="40"/>
      <c r="F362" s="15"/>
      <c r="G362" s="17"/>
      <c r="H362" s="10" t="s">
        <v>8563</v>
      </c>
      <c r="I362" s="4" t="str">
        <f t="shared" si="36"/>
        <v>|ʿAlí-Akbar-i-Qawání|</v>
      </c>
      <c r="J362" s="3" t="str">
        <f t="shared" si="37"/>
        <v>|'Ali-Akbar-i-Qawchani|</v>
      </c>
      <c r="K362" s="3" t="str">
        <f t="shared" si="38"/>
        <v>Ali-Akbar-i-Qawchani</v>
      </c>
      <c r="N362" s="39" t="str">
        <f t="shared" si="39"/>
        <v/>
      </c>
      <c r="P362" s="39" t="str">
        <f t="shared" si="40"/>
        <v/>
      </c>
      <c r="R362" s="39" t="str">
        <f t="shared" si="41"/>
        <v/>
      </c>
      <c r="S362" s="28"/>
      <c r="T362" s="28"/>
      <c r="U362" s="28"/>
    </row>
    <row r="363" spans="1:21" s="5" customFormat="1">
      <c r="A363" s="179" t="s">
        <v>610</v>
      </c>
      <c r="B363" s="185" t="s">
        <v>5213</v>
      </c>
      <c r="C363" s="35" t="str">
        <f t="shared" si="35"/>
        <v>AliAkbariShahmirzadi</v>
      </c>
      <c r="E363" s="40"/>
      <c r="F363" s="15"/>
      <c r="G363" s="17"/>
      <c r="H363" s="10" t="s">
        <v>8563</v>
      </c>
      <c r="I363" s="4" t="str">
        <f t="shared" si="36"/>
        <v>|ʿAlí-Akbar-i-ahmírzádí|</v>
      </c>
      <c r="J363" s="3" t="str">
        <f t="shared" si="37"/>
        <v>|'Ali-Akbar-i-Shahmirzadi|</v>
      </c>
      <c r="K363" s="3" t="str">
        <f t="shared" si="38"/>
        <v>Ali-Akbar-i-Shahmirzadi</v>
      </c>
      <c r="N363" s="39" t="str">
        <f t="shared" si="39"/>
        <v/>
      </c>
      <c r="P363" s="39" t="str">
        <f t="shared" si="40"/>
        <v/>
      </c>
      <c r="R363" s="39" t="str">
        <f t="shared" si="41"/>
        <v/>
      </c>
      <c r="S363" s="28"/>
      <c r="T363" s="28"/>
      <c r="U363" s="28"/>
    </row>
    <row r="364" spans="1:21" s="5" customFormat="1">
      <c r="A364" s="179" t="s">
        <v>611</v>
      </c>
      <c r="B364" s="185" t="s">
        <v>5214</v>
      </c>
      <c r="C364" s="35" t="str">
        <f t="shared" si="35"/>
        <v>AliAsghar</v>
      </c>
      <c r="E364" s="40"/>
      <c r="F364" s="14"/>
      <c r="G364" s="17"/>
      <c r="H364" s="10" t="s">
        <v>8563</v>
      </c>
      <c r="I364" s="4" t="str">
        <f t="shared" si="36"/>
        <v>|ʿAlí-Aṣar|</v>
      </c>
      <c r="J364" s="3" t="str">
        <f t="shared" si="37"/>
        <v>|'Ali-Asghar|</v>
      </c>
      <c r="K364" s="3" t="str">
        <f t="shared" si="38"/>
        <v>Ali-Asghar</v>
      </c>
      <c r="N364" s="39" t="str">
        <f t="shared" si="39"/>
        <v/>
      </c>
      <c r="P364" s="39" t="str">
        <f t="shared" si="40"/>
        <v/>
      </c>
      <c r="R364" s="39" t="str">
        <f t="shared" si="41"/>
        <v/>
      </c>
      <c r="S364" s="28"/>
      <c r="T364" s="28"/>
      <c r="U364" s="28"/>
    </row>
    <row r="365" spans="1:21" s="5" customFormat="1">
      <c r="A365" s="179" t="s">
        <v>612</v>
      </c>
      <c r="B365" s="185" t="s">
        <v>5215</v>
      </c>
      <c r="C365" s="35" t="str">
        <f t="shared" si="35"/>
        <v>AliAshraf</v>
      </c>
      <c r="E365" s="40"/>
      <c r="F365" s="15" t="s">
        <v>613</v>
      </c>
      <c r="G365" s="17"/>
      <c r="H365" s="10" t="s">
        <v>8563</v>
      </c>
      <c r="I365" s="4" t="str">
        <f t="shared" si="36"/>
        <v>|ʿAlí-Araf|</v>
      </c>
      <c r="J365" s="3" t="str">
        <f t="shared" si="37"/>
        <v>|'Ali-Ashraf|</v>
      </c>
      <c r="K365" s="3" t="str">
        <f t="shared" si="38"/>
        <v>Ali-Ashraf</v>
      </c>
      <c r="N365" s="39" t="str">
        <f t="shared" si="39"/>
        <v/>
      </c>
      <c r="P365" s="39" t="str">
        <f t="shared" si="40"/>
        <v/>
      </c>
      <c r="R365" s="39" t="str">
        <f t="shared" si="41"/>
        <v/>
      </c>
      <c r="S365" s="28"/>
      <c r="T365" s="28"/>
      <c r="U365" s="28"/>
    </row>
    <row r="366" spans="1:21" s="5" customFormat="1">
      <c r="A366" s="179" t="s">
        <v>614</v>
      </c>
      <c r="B366" s="185" t="s">
        <v>5216</v>
      </c>
      <c r="C366" s="35" t="str">
        <f t="shared" si="35"/>
        <v>AliAshrafi</v>
      </c>
      <c r="E366" s="40"/>
      <c r="F366" s="15"/>
      <c r="G366" s="17"/>
      <c r="H366" s="10" t="s">
        <v>8563</v>
      </c>
      <c r="I366" s="4" t="str">
        <f t="shared" si="36"/>
        <v>|ʿAlí-Araf-i|</v>
      </c>
      <c r="J366" s="3" t="str">
        <f t="shared" si="37"/>
        <v>|'Ali-Ashraf-i|</v>
      </c>
      <c r="K366" s="3" t="str">
        <f t="shared" si="38"/>
        <v>Ali-Ashraf-i</v>
      </c>
      <c r="N366" s="39" t="str">
        <f t="shared" si="39"/>
        <v/>
      </c>
      <c r="P366" s="39" t="str">
        <f t="shared" si="40"/>
        <v/>
      </c>
      <c r="R366" s="39" t="str">
        <f t="shared" si="41"/>
        <v/>
      </c>
      <c r="S366" s="28"/>
      <c r="T366" s="28"/>
      <c r="U366" s="28"/>
    </row>
    <row r="367" spans="1:21" s="5" customFormat="1">
      <c r="A367" s="179" t="s">
        <v>615</v>
      </c>
      <c r="B367" s="185" t="s">
        <v>5217</v>
      </c>
      <c r="C367" s="35" t="str">
        <f t="shared" si="35"/>
        <v>AliAskar</v>
      </c>
      <c r="E367" s="40"/>
      <c r="F367" s="14"/>
      <c r="G367" s="17"/>
      <c r="H367" s="10" t="s">
        <v>8563</v>
      </c>
      <c r="I367" s="4" t="str">
        <f t="shared" si="36"/>
        <v>|ʿAlí-ʿAskar|</v>
      </c>
      <c r="J367" s="3" t="str">
        <f t="shared" si="37"/>
        <v>|'Ali-'Askar|</v>
      </c>
      <c r="K367" s="3" t="str">
        <f t="shared" si="38"/>
        <v>Ali-Askar</v>
      </c>
      <c r="N367" s="39" t="str">
        <f t="shared" si="39"/>
        <v/>
      </c>
      <c r="P367" s="39" t="str">
        <f t="shared" si="40"/>
        <v/>
      </c>
      <c r="R367" s="39" t="str">
        <f t="shared" si="41"/>
        <v/>
      </c>
      <c r="S367" s="28"/>
      <c r="T367" s="28"/>
      <c r="U367" s="28"/>
    </row>
    <row r="368" spans="1:21" s="5" customFormat="1">
      <c r="A368" s="179" t="s">
        <v>616</v>
      </c>
      <c r="B368" s="185" t="s">
        <v>5218</v>
      </c>
      <c r="C368" s="35" t="str">
        <f t="shared" si="35"/>
        <v>AliAskariTabrizi</v>
      </c>
      <c r="E368" s="40"/>
      <c r="F368" s="14"/>
      <c r="G368" s="17"/>
      <c r="H368" s="10" t="s">
        <v>8563</v>
      </c>
      <c r="I368" s="4" t="str">
        <f t="shared" si="36"/>
        <v>|ʿAlí-ʿAskar-i-Tabrízí|</v>
      </c>
      <c r="J368" s="3" t="str">
        <f t="shared" si="37"/>
        <v>|'Ali-'Askar-i-Tabrizi|</v>
      </c>
      <c r="K368" s="3" t="str">
        <f t="shared" si="38"/>
        <v>Ali-Askar-i-Tabrizi</v>
      </c>
      <c r="N368" s="39" t="str">
        <f t="shared" si="39"/>
        <v/>
      </c>
      <c r="P368" s="39" t="str">
        <f t="shared" si="40"/>
        <v/>
      </c>
      <c r="R368" s="39" t="str">
        <f t="shared" si="41"/>
        <v/>
      </c>
      <c r="S368" s="28"/>
      <c r="T368" s="28"/>
      <c r="U368" s="28"/>
    </row>
    <row r="369" spans="1:21" s="5" customFormat="1">
      <c r="A369" s="179" t="s">
        <v>617</v>
      </c>
      <c r="B369" s="185" t="s">
        <v>5219</v>
      </c>
      <c r="C369" s="35" t="str">
        <f t="shared" si="35"/>
        <v>AliBaba</v>
      </c>
      <c r="E369" s="40"/>
      <c r="F369" s="14"/>
      <c r="G369" s="17"/>
      <c r="H369" s="10" t="s">
        <v>8563</v>
      </c>
      <c r="I369" s="4" t="str">
        <f t="shared" si="36"/>
        <v>|ʿAlí-Bábá|</v>
      </c>
      <c r="J369" s="3" t="str">
        <f t="shared" si="37"/>
        <v>|'Ali-Baba|</v>
      </c>
      <c r="K369" s="3" t="str">
        <f t="shared" si="38"/>
        <v>Ali-Baba</v>
      </c>
      <c r="N369" s="39" t="str">
        <f t="shared" si="39"/>
        <v/>
      </c>
      <c r="P369" s="39" t="str">
        <f t="shared" si="40"/>
        <v/>
      </c>
      <c r="R369" s="39" t="str">
        <f t="shared" si="41"/>
        <v/>
      </c>
      <c r="S369" s="28"/>
      <c r="T369" s="28"/>
      <c r="U369" s="28"/>
    </row>
    <row r="370" spans="1:21" s="5" customFormat="1">
      <c r="A370" s="179" t="s">
        <v>618</v>
      </c>
      <c r="B370" s="185" t="s">
        <v>5220</v>
      </c>
      <c r="C370" s="35" t="str">
        <f t="shared" si="35"/>
        <v>AliBuyih</v>
      </c>
      <c r="E370" s="40"/>
      <c r="F370" s="15"/>
      <c r="G370" s="17"/>
      <c r="H370" s="10" t="s">
        <v>8563</v>
      </c>
      <c r="I370" s="4" t="str">
        <f t="shared" si="36"/>
        <v>|Ál-i-Búyih|</v>
      </c>
      <c r="J370" s="3" t="str">
        <f t="shared" si="37"/>
        <v>|Al-i-Buyih|</v>
      </c>
      <c r="K370" s="3" t="str">
        <f t="shared" si="38"/>
        <v>Al-i-Buyih</v>
      </c>
      <c r="N370" s="39" t="str">
        <f t="shared" si="39"/>
        <v/>
      </c>
      <c r="P370" s="39" t="str">
        <f t="shared" si="40"/>
        <v/>
      </c>
      <c r="R370" s="39" t="str">
        <f t="shared" si="41"/>
        <v/>
      </c>
      <c r="S370" s="28"/>
      <c r="T370" s="28"/>
      <c r="U370" s="28"/>
    </row>
    <row r="371" spans="1:21" s="5" customFormat="1">
      <c r="A371" s="179" t="s">
        <v>619</v>
      </c>
      <c r="B371" s="185" t="s">
        <v>5221</v>
      </c>
      <c r="C371" s="35" t="str">
        <f t="shared" si="35"/>
        <v>Alif</v>
      </c>
      <c r="E371" s="40"/>
      <c r="F371" s="14"/>
      <c r="G371" s="17"/>
      <c r="H371" s="10" t="s">
        <v>8563</v>
      </c>
      <c r="I371" s="4" t="str">
        <f t="shared" si="36"/>
        <v>|Alif|</v>
      </c>
      <c r="J371" s="3" t="str">
        <f t="shared" si="37"/>
        <v>|Alif|</v>
      </c>
      <c r="K371" s="3" t="str">
        <f t="shared" si="38"/>
        <v>Alif</v>
      </c>
      <c r="N371" s="39" t="str">
        <f t="shared" si="39"/>
        <v/>
      </c>
      <c r="P371" s="39" t="str">
        <f t="shared" si="40"/>
        <v/>
      </c>
      <c r="R371" s="39" t="str">
        <f t="shared" si="41"/>
        <v/>
      </c>
      <c r="S371" s="28"/>
      <c r="T371" s="28"/>
      <c r="U371" s="28"/>
    </row>
    <row r="372" spans="1:21" s="5" customFormat="1">
      <c r="A372" s="179" t="s">
        <v>620</v>
      </c>
      <c r="B372" s="185" t="s">
        <v>5222</v>
      </c>
      <c r="C372" s="35" t="str">
        <f t="shared" si="35"/>
        <v>AliHamzih</v>
      </c>
      <c r="E372" s="40"/>
      <c r="F372" s="14"/>
      <c r="G372" s="17"/>
      <c r="H372" s="10" t="s">
        <v>8563</v>
      </c>
      <c r="I372" s="4" t="str">
        <f t="shared" si="36"/>
        <v>|ʿAlí-Ḥamzih|</v>
      </c>
      <c r="J372" s="3" t="str">
        <f t="shared" si="37"/>
        <v>|'Ali-Hamzih|</v>
      </c>
      <c r="K372" s="3" t="str">
        <f t="shared" si="38"/>
        <v>Ali-Hamzih</v>
      </c>
      <c r="N372" s="39" t="str">
        <f t="shared" si="39"/>
        <v/>
      </c>
      <c r="P372" s="39" t="str">
        <f t="shared" si="40"/>
        <v/>
      </c>
      <c r="R372" s="39" t="str">
        <f t="shared" si="41"/>
        <v/>
      </c>
      <c r="S372" s="28"/>
      <c r="T372" s="28"/>
      <c r="U372" s="28"/>
    </row>
    <row r="373" spans="1:21" s="5" customFormat="1">
      <c r="A373" s="179" t="s">
        <v>621</v>
      </c>
      <c r="B373" s="185" t="s">
        <v>5223</v>
      </c>
      <c r="C373" s="35" t="str">
        <f t="shared" si="35"/>
        <v>AliibnAbiTalib</v>
      </c>
      <c r="E373" s="40"/>
      <c r="F373" s="15" t="s">
        <v>622</v>
      </c>
      <c r="G373" s="17"/>
      <c r="H373" s="10" t="s">
        <v>8563</v>
      </c>
      <c r="I373" s="4" t="str">
        <f t="shared" si="36"/>
        <v>|ʿAlí-ibn-Abí-Ṭálib|</v>
      </c>
      <c r="J373" s="3" t="str">
        <f t="shared" si="37"/>
        <v>|'Ali-ibn-Abi-Talib|</v>
      </c>
      <c r="K373" s="3" t="str">
        <f t="shared" si="38"/>
        <v>Ali-ibn-Abi-Talib</v>
      </c>
      <c r="N373" s="39" t="str">
        <f t="shared" si="39"/>
        <v/>
      </c>
      <c r="P373" s="39" t="str">
        <f t="shared" si="40"/>
        <v/>
      </c>
      <c r="R373" s="39" t="str">
        <f t="shared" si="41"/>
        <v/>
      </c>
      <c r="S373" s="28"/>
      <c r="T373" s="28"/>
      <c r="U373" s="28"/>
    </row>
    <row r="374" spans="1:21" s="5" customFormat="1">
      <c r="A374" s="179" t="s">
        <v>623</v>
      </c>
      <c r="B374" s="185" t="s">
        <v>5224</v>
      </c>
      <c r="C374" s="35" t="str">
        <f t="shared" si="35"/>
        <v>AliIbniAbuTalib</v>
      </c>
      <c r="E374" s="40"/>
      <c r="F374" s="15"/>
      <c r="G374" s="17"/>
      <c r="H374" s="10" t="s">
        <v>8563</v>
      </c>
      <c r="I374" s="4" t="str">
        <f t="shared" si="36"/>
        <v>|ʿAlí-Ibn-i-Abú-Ṭálib|</v>
      </c>
      <c r="J374" s="3" t="str">
        <f t="shared" si="37"/>
        <v>|'Ali-Ibn-i-Abu-Talib|</v>
      </c>
      <c r="K374" s="3" t="str">
        <f t="shared" si="38"/>
        <v>Ali-Ibn-i-Abu-Talib</v>
      </c>
      <c r="N374" s="39" t="str">
        <f t="shared" si="39"/>
        <v/>
      </c>
      <c r="P374" s="39" t="str">
        <f t="shared" si="40"/>
        <v/>
      </c>
      <c r="R374" s="39" t="str">
        <f t="shared" si="41"/>
        <v/>
      </c>
      <c r="S374" s="28"/>
      <c r="T374" s="28"/>
      <c r="U374" s="28"/>
    </row>
    <row r="375" spans="1:21" s="5" customFormat="1">
      <c r="A375" s="179" t="s">
        <v>624</v>
      </c>
      <c r="B375" s="185" t="s">
        <v>5225</v>
      </c>
      <c r="C375" s="35" t="str">
        <f t="shared" si="35"/>
        <v>AliibniMuhammad</v>
      </c>
      <c r="E375" s="40"/>
      <c r="F375" s="14"/>
      <c r="G375" s="17"/>
      <c r="H375" s="10" t="s">
        <v>8563</v>
      </c>
      <c r="I375" s="4" t="str">
        <f t="shared" si="36"/>
        <v>|ʿAlí-ibn-i-Muḥammad|</v>
      </c>
      <c r="J375" s="3" t="str">
        <f t="shared" si="37"/>
        <v>|'Ali-ibn-i-Muhammad|</v>
      </c>
      <c r="K375" s="3" t="str">
        <f t="shared" si="38"/>
        <v>Ali-ibn-i-Muhammad</v>
      </c>
      <c r="N375" s="39" t="str">
        <f t="shared" si="39"/>
        <v/>
      </c>
      <c r="P375" s="39" t="str">
        <f t="shared" si="40"/>
        <v/>
      </c>
      <c r="R375" s="39" t="str">
        <f t="shared" si="41"/>
        <v/>
      </c>
      <c r="S375" s="28"/>
      <c r="T375" s="28"/>
      <c r="U375" s="28"/>
    </row>
    <row r="376" spans="1:21" s="5" customFormat="1">
      <c r="A376" s="179" t="s">
        <v>625</v>
      </c>
      <c r="B376" s="185" t="s">
        <v>5226</v>
      </c>
      <c r="C376" s="35" t="str">
        <f t="shared" si="35"/>
        <v>AliibniMusarRida</v>
      </c>
      <c r="E376" s="40"/>
      <c r="F376" s="14"/>
      <c r="G376" s="17"/>
      <c r="H376" s="10" t="s">
        <v>8563</v>
      </c>
      <c r="I376" s="4" t="str">
        <f t="shared" si="36"/>
        <v>|ʿAlí-ibn-i-Musa’r-Riḍá|</v>
      </c>
      <c r="J376" s="3" t="str">
        <f t="shared" si="37"/>
        <v>|'Ali-ibn-i-Musa'r-Rida|</v>
      </c>
      <c r="K376" s="3" t="str">
        <f t="shared" si="38"/>
        <v>Ali-ibn-i-Musar-Rida</v>
      </c>
      <c r="N376" s="39" t="str">
        <f t="shared" si="39"/>
        <v/>
      </c>
      <c r="P376" s="39" t="str">
        <f t="shared" si="40"/>
        <v/>
      </c>
      <c r="R376" s="39" t="str">
        <f t="shared" si="41"/>
        <v/>
      </c>
      <c r="S376" s="28"/>
      <c r="T376" s="28"/>
      <c r="U376" s="28"/>
    </row>
    <row r="377" spans="1:21" s="5" customFormat="1">
      <c r="A377" s="179" t="s">
        <v>626</v>
      </c>
      <c r="B377" s="185" t="s">
        <v>5227</v>
      </c>
      <c r="C377" s="35" t="str">
        <f t="shared" si="35"/>
        <v>AliJan</v>
      </c>
      <c r="E377" s="40"/>
      <c r="F377" s="14"/>
      <c r="G377" s="17"/>
      <c r="H377" s="10" t="s">
        <v>8563</v>
      </c>
      <c r="I377" s="4" t="str">
        <f t="shared" si="36"/>
        <v>|ʿAlí-Ján|</v>
      </c>
      <c r="J377" s="3" t="str">
        <f t="shared" si="37"/>
        <v>|'Ali-Jan|</v>
      </c>
      <c r="K377" s="3" t="str">
        <f t="shared" si="38"/>
        <v>Ali-Jan</v>
      </c>
      <c r="N377" s="39" t="str">
        <f t="shared" si="39"/>
        <v/>
      </c>
      <c r="P377" s="39" t="str">
        <f t="shared" si="40"/>
        <v/>
      </c>
      <c r="R377" s="39" t="str">
        <f t="shared" si="41"/>
        <v/>
      </c>
      <c r="S377" s="28"/>
      <c r="T377" s="28"/>
      <c r="U377" s="28"/>
    </row>
    <row r="378" spans="1:21" s="5" customFormat="1">
      <c r="A378" s="179" t="s">
        <v>627</v>
      </c>
      <c r="B378" s="185" t="s">
        <v>8867</v>
      </c>
      <c r="C378" s="35" t="str">
        <f t="shared" si="35"/>
        <v>alIjtihad</v>
      </c>
      <c r="E378" s="40"/>
      <c r="F378" s="15"/>
      <c r="G378" s="17"/>
      <c r="H378" s="10" t="s">
        <v>8563</v>
      </c>
      <c r="I378" s="4" t="str">
        <f t="shared" si="36"/>
        <v>|al-Ijtihád|</v>
      </c>
      <c r="J378" s="3" t="str">
        <f t="shared" si="37"/>
        <v>|al-Ijtihad|</v>
      </c>
      <c r="K378" s="3" t="str">
        <f t="shared" si="38"/>
        <v>al-Ijtihad</v>
      </c>
      <c r="N378" s="39" t="str">
        <f t="shared" si="39"/>
        <v/>
      </c>
      <c r="P378" s="39" t="str">
        <f t="shared" si="40"/>
        <v/>
      </c>
      <c r="R378" s="39" t="str">
        <f t="shared" si="41"/>
        <v/>
      </c>
      <c r="S378" s="28"/>
      <c r="T378" s="28"/>
      <c r="U378" s="28"/>
    </row>
    <row r="379" spans="1:21" s="5" customFormat="1">
      <c r="A379" s="179" t="s">
        <v>628</v>
      </c>
      <c r="B379" s="185" t="s">
        <v>5228</v>
      </c>
      <c r="C379" s="35" t="str">
        <f t="shared" si="35"/>
        <v>alIjtinab</v>
      </c>
      <c r="E379" s="40"/>
      <c r="F379" s="15"/>
      <c r="G379" s="17"/>
      <c r="H379" s="10" t="s">
        <v>8563</v>
      </c>
      <c r="I379" s="4" t="str">
        <f t="shared" si="36"/>
        <v>|al-Ijtináb|</v>
      </c>
      <c r="J379" s="3" t="str">
        <f t="shared" si="37"/>
        <v>|al-Ijtinab|</v>
      </c>
      <c r="K379" s="3" t="str">
        <f t="shared" si="38"/>
        <v>al-Ijtinab</v>
      </c>
      <c r="N379" s="39" t="str">
        <f t="shared" si="39"/>
        <v/>
      </c>
      <c r="P379" s="39" t="str">
        <f t="shared" si="40"/>
        <v/>
      </c>
      <c r="R379" s="39" t="str">
        <f t="shared" si="41"/>
        <v/>
      </c>
      <c r="S379" s="28"/>
      <c r="T379" s="28"/>
      <c r="U379" s="28"/>
    </row>
    <row r="380" spans="1:21" s="5" customFormat="1">
      <c r="A380" s="179" t="s">
        <v>629</v>
      </c>
      <c r="B380" s="185" t="s">
        <v>5229</v>
      </c>
      <c r="C380" s="35" t="str">
        <f t="shared" si="35"/>
        <v>AliKhan</v>
      </c>
      <c r="E380" s="40"/>
      <c r="F380" s="14"/>
      <c r="G380" s="17"/>
      <c r="H380" s="10" t="s">
        <v>8563</v>
      </c>
      <c r="I380" s="4" t="str">
        <f t="shared" si="36"/>
        <v>|ʿAlí-án|</v>
      </c>
      <c r="J380" s="3" t="str">
        <f t="shared" si="37"/>
        <v>|'Ali-Khan|</v>
      </c>
      <c r="K380" s="3" t="str">
        <f t="shared" si="38"/>
        <v>Ali-Khan</v>
      </c>
      <c r="N380" s="39" t="str">
        <f t="shared" si="39"/>
        <v/>
      </c>
      <c r="P380" s="39" t="str">
        <f t="shared" si="40"/>
        <v/>
      </c>
      <c r="R380" s="39" t="str">
        <f t="shared" si="41"/>
        <v/>
      </c>
      <c r="S380" s="28"/>
      <c r="T380" s="28"/>
      <c r="U380" s="28"/>
    </row>
    <row r="381" spans="1:21" s="5" customFormat="1">
      <c r="A381" s="179" t="s">
        <v>515</v>
      </c>
      <c r="B381" s="185" t="s">
        <v>5230</v>
      </c>
      <c r="C381" s="35" t="str">
        <f t="shared" si="35"/>
        <v>Alim</v>
      </c>
      <c r="E381" s="40"/>
      <c r="F381" s="15" t="s">
        <v>630</v>
      </c>
      <c r="G381" s="17"/>
      <c r="H381" s="10" t="s">
        <v>8563</v>
      </c>
      <c r="I381" s="4" t="str">
        <f t="shared" si="36"/>
        <v>|ʿÁlim|</v>
      </c>
      <c r="J381" s="3" t="str">
        <f t="shared" si="37"/>
        <v>|'Alim|</v>
      </c>
      <c r="K381" s="3" t="str">
        <f t="shared" si="38"/>
        <v>Alim</v>
      </c>
      <c r="N381" s="39" t="str">
        <f t="shared" si="39"/>
        <v/>
      </c>
      <c r="P381" s="39" t="str">
        <f t="shared" si="40"/>
        <v/>
      </c>
      <c r="R381" s="39" t="str">
        <f t="shared" si="41"/>
        <v/>
      </c>
      <c r="S381" s="28"/>
      <c r="T381" s="28"/>
      <c r="U381" s="28"/>
    </row>
    <row r="382" spans="1:21" s="5" customFormat="1">
      <c r="A382" s="179" t="s">
        <v>631</v>
      </c>
      <c r="B382" s="185" t="s">
        <v>5231</v>
      </c>
      <c r="C382" s="35" t="str">
        <f t="shared" si="35"/>
        <v>Alimah</v>
      </c>
      <c r="E382" s="40"/>
      <c r="F382" s="13" t="s">
        <v>155</v>
      </c>
      <c r="G382" s="17"/>
      <c r="H382" s="10" t="s">
        <v>8563</v>
      </c>
      <c r="I382" s="4" t="str">
        <f t="shared" si="36"/>
        <v>|ʿAlímah|</v>
      </c>
      <c r="J382" s="3" t="str">
        <f t="shared" si="37"/>
        <v>|'Alimah|</v>
      </c>
      <c r="K382" s="3" t="str">
        <f t="shared" si="38"/>
        <v>Alimah</v>
      </c>
      <c r="N382" s="39" t="str">
        <f t="shared" si="39"/>
        <v/>
      </c>
      <c r="P382" s="39" t="str">
        <f t="shared" si="40"/>
        <v/>
      </c>
      <c r="R382" s="39" t="str">
        <f t="shared" si="41"/>
        <v/>
      </c>
      <c r="S382" s="28"/>
      <c r="T382" s="28"/>
      <c r="U382" s="28"/>
    </row>
    <row r="383" spans="1:21" s="5" customFormat="1">
      <c r="A383" s="179" t="s">
        <v>632</v>
      </c>
      <c r="B383" s="185" t="s">
        <v>5232</v>
      </c>
      <c r="C383" s="35" t="str">
        <f t="shared" si="35"/>
        <v>AliMardan</v>
      </c>
      <c r="E383" s="40"/>
      <c r="F383" s="14"/>
      <c r="G383" s="17"/>
      <c r="H383" s="10" t="s">
        <v>8563</v>
      </c>
      <c r="I383" s="4" t="str">
        <f t="shared" si="36"/>
        <v>|ʿAlí-Mardán|</v>
      </c>
      <c r="J383" s="3" t="str">
        <f t="shared" si="37"/>
        <v>|'Ali-Mardan|</v>
      </c>
      <c r="K383" s="3" t="str">
        <f t="shared" si="38"/>
        <v>Ali-Mardan</v>
      </c>
      <c r="N383" s="39" t="str">
        <f t="shared" si="39"/>
        <v/>
      </c>
      <c r="P383" s="39" t="str">
        <f t="shared" si="40"/>
        <v/>
      </c>
      <c r="R383" s="39" t="str">
        <f t="shared" si="41"/>
        <v/>
      </c>
      <c r="S383" s="28"/>
      <c r="T383" s="28"/>
      <c r="U383" s="28"/>
    </row>
    <row r="384" spans="1:21" s="5" customFormat="1">
      <c r="A384" s="179" t="s">
        <v>635</v>
      </c>
      <c r="B384" s="185" t="s">
        <v>5233</v>
      </c>
      <c r="C384" s="35" t="str">
        <f t="shared" si="35"/>
        <v>AliMirzayiShirazi</v>
      </c>
      <c r="E384" s="40"/>
      <c r="F384" s="15"/>
      <c r="G384" s="17"/>
      <c r="H384" s="10" t="s">
        <v>8563</v>
      </c>
      <c r="I384" s="4" t="str">
        <f t="shared" si="36"/>
        <v>|ʿAlí-Mírzáy-i-írází|</v>
      </c>
      <c r="J384" s="3" t="str">
        <f t="shared" si="37"/>
        <v>|'Ali-Mirzay-i-Shirazi|</v>
      </c>
      <c r="K384" s="3" t="str">
        <f t="shared" si="38"/>
        <v>Ali-Mirzay-i-Shirazi</v>
      </c>
      <c r="N384" s="39" t="str">
        <f t="shared" si="39"/>
        <v/>
      </c>
      <c r="P384" s="39" t="str">
        <f t="shared" si="40"/>
        <v/>
      </c>
      <c r="R384" s="39" t="str">
        <f t="shared" si="41"/>
        <v/>
      </c>
      <c r="S384" s="28"/>
      <c r="T384" s="28"/>
      <c r="U384" s="28"/>
    </row>
    <row r="385" spans="1:21" s="5" customFormat="1">
      <c r="A385" s="179" t="s">
        <v>636</v>
      </c>
      <c r="B385" s="185" t="s">
        <v>156</v>
      </c>
      <c r="C385" s="35" t="str">
        <f t="shared" si="35"/>
        <v>AliMuhammad</v>
      </c>
      <c r="E385" s="40"/>
      <c r="F385" s="14"/>
      <c r="G385" s="17"/>
      <c r="H385" s="10" t="s">
        <v>8563</v>
      </c>
      <c r="I385" s="4" t="str">
        <f t="shared" si="36"/>
        <v>|ʿAlí-Muḥammad|</v>
      </c>
      <c r="J385" s="3" t="str">
        <f t="shared" si="37"/>
        <v>|'Ali-Muhammad|</v>
      </c>
      <c r="K385" s="3" t="str">
        <f t="shared" si="38"/>
        <v>Ali-Muhammad</v>
      </c>
      <c r="N385" s="39" t="str">
        <f t="shared" si="39"/>
        <v/>
      </c>
      <c r="P385" s="39" t="str">
        <f t="shared" si="40"/>
        <v/>
      </c>
      <c r="R385" s="39" t="str">
        <f t="shared" si="41"/>
        <v/>
      </c>
      <c r="S385" s="28"/>
      <c r="T385" s="29">
        <v>41796</v>
      </c>
      <c r="U385" s="28" t="s">
        <v>9371</v>
      </c>
    </row>
    <row r="386" spans="1:21" s="5" customFormat="1">
      <c r="A386" s="179" t="s">
        <v>637</v>
      </c>
      <c r="B386" s="185" t="s">
        <v>5234</v>
      </c>
      <c r="C386" s="35" t="str">
        <f t="shared" si="35"/>
        <v>AliMuhammadiSiraj</v>
      </c>
      <c r="E386" s="40"/>
      <c r="F386" s="15"/>
      <c r="G386" s="17"/>
      <c r="H386" s="10" t="s">
        <v>8563</v>
      </c>
      <c r="I386" s="4" t="str">
        <f t="shared" si="36"/>
        <v>|ʿAlí-Muḥammad-i-Siráj|</v>
      </c>
      <c r="J386" s="3" t="str">
        <f t="shared" si="37"/>
        <v>|'Ali-Muhammad-i-Siraj|</v>
      </c>
      <c r="K386" s="3" t="str">
        <f t="shared" si="38"/>
        <v>Ali-Muhammad-i-Siraj</v>
      </c>
      <c r="N386" s="39" t="str">
        <f t="shared" si="39"/>
        <v/>
      </c>
      <c r="P386" s="39" t="str">
        <f t="shared" si="40"/>
        <v/>
      </c>
      <c r="R386" s="39" t="str">
        <f t="shared" si="41"/>
        <v/>
      </c>
      <c r="S386" s="28"/>
      <c r="T386" s="28"/>
      <c r="U386" s="28"/>
    </row>
    <row r="387" spans="1:21" s="5" customFormat="1">
      <c r="A387" s="179" t="s">
        <v>638</v>
      </c>
      <c r="B387" s="185" t="s">
        <v>5235</v>
      </c>
      <c r="C387" s="35" t="str">
        <f t="shared" ref="C387:C450" si="42">SUBSTITUTE(SUBSTITUTE(K387,"-","")," ","")</f>
        <v>Alimurad</v>
      </c>
      <c r="E387" s="40"/>
      <c r="F387" s="15"/>
      <c r="G387" s="17"/>
      <c r="H387" s="10" t="s">
        <v>8563</v>
      </c>
      <c r="I387" s="4" t="str">
        <f t="shared" ref="I387:I450" si="43">CONCATENATE("|",B387,"|")</f>
        <v>|ʿAlímurád|</v>
      </c>
      <c r="J387" s="3" t="str">
        <f t="shared" ref="J387:J450" si="44">CONCATENATE("|",F_OutputASCII(B387),"|")</f>
        <v>|'Alimurad|</v>
      </c>
      <c r="K387" s="3" t="str">
        <f t="shared" ref="K387:K450" si="45">IF(SUBSTITUTE(MID(J387,2,LEN(J387)-2),"'","")&lt;&gt;"",SUBSTITUTE(MID(J387,2,LEN(J387)-2),"'",""),"ZZZZZ")</f>
        <v>Alimurad</v>
      </c>
      <c r="N387" s="39" t="str">
        <f t="shared" ref="N387:N450" si="46">SUBSTITUTE(SUBSTITUTE(SUBSTITUTE(F_OutputASCII(M387),"-","")," ",""),"'","")</f>
        <v/>
      </c>
      <c r="P387" s="39" t="str">
        <f t="shared" ref="P387:P450" si="47">SUBSTITUTE(SUBSTITUTE(SUBSTITUTE(F_OutputASCII(O387),"-","")," ",""),"'","")</f>
        <v/>
      </c>
      <c r="R387" s="39" t="str">
        <f t="shared" si="41"/>
        <v/>
      </c>
      <c r="S387" s="28"/>
      <c r="T387" s="28"/>
      <c r="U387" s="28"/>
    </row>
    <row r="388" spans="1:21" s="5" customFormat="1">
      <c r="A388" s="179" t="s">
        <v>639</v>
      </c>
      <c r="B388" s="185" t="s">
        <v>5236</v>
      </c>
      <c r="C388" s="35" t="str">
        <f t="shared" si="42"/>
        <v>AliNaqi</v>
      </c>
      <c r="E388" s="40"/>
      <c r="F388" s="14"/>
      <c r="G388" s="17"/>
      <c r="H388" s="10" t="s">
        <v>8563</v>
      </c>
      <c r="I388" s="4" t="str">
        <f t="shared" si="43"/>
        <v>|ʿAlí-Naqí|</v>
      </c>
      <c r="J388" s="3" t="str">
        <f t="shared" si="44"/>
        <v>|'Ali-Naqi|</v>
      </c>
      <c r="K388" s="3" t="str">
        <f t="shared" si="45"/>
        <v>Ali-Naqi</v>
      </c>
      <c r="N388" s="39" t="str">
        <f t="shared" si="46"/>
        <v/>
      </c>
      <c r="P388" s="39" t="str">
        <f t="shared" si="47"/>
        <v/>
      </c>
      <c r="R388" s="39" t="str">
        <f t="shared" ref="R388:R451" si="48">SUBSTITUTE(SUBSTITUTE(Q388,"-","")," ","")</f>
        <v/>
      </c>
      <c r="S388" s="28"/>
      <c r="T388" s="28"/>
      <c r="U388" s="28"/>
    </row>
    <row r="389" spans="1:21" s="5" customFormat="1">
      <c r="A389" s="181"/>
      <c r="B389" s="185" t="s">
        <v>8623</v>
      </c>
      <c r="C389" s="35" t="str">
        <f t="shared" si="42"/>
        <v>AliNaqiMirzaRuknudDawlih</v>
      </c>
      <c r="D389" s="1"/>
      <c r="E389" s="40"/>
      <c r="F389" s="12"/>
      <c r="G389" s="9"/>
      <c r="H389" s="12" t="s">
        <v>8622</v>
      </c>
      <c r="I389" s="4" t="str">
        <f t="shared" si="43"/>
        <v>|ʿAlí-Naqí Mírzá Ruknu’d-Dawlih|</v>
      </c>
      <c r="J389" s="3" t="str">
        <f t="shared" si="44"/>
        <v>|'Ali-Naqi Mirza Ruknu'd-Dawlih|</v>
      </c>
      <c r="K389" s="3" t="str">
        <f t="shared" si="45"/>
        <v>Ali-Naqi Mirza Ruknud-Dawlih</v>
      </c>
      <c r="N389" s="39" t="str">
        <f t="shared" si="46"/>
        <v/>
      </c>
      <c r="P389" s="39" t="str">
        <f t="shared" si="47"/>
        <v/>
      </c>
      <c r="R389" s="39" t="str">
        <f t="shared" si="48"/>
        <v/>
      </c>
      <c r="S389" s="29">
        <v>41760</v>
      </c>
      <c r="T389" s="28"/>
      <c r="U389" s="28"/>
    </row>
    <row r="390" spans="1:21" s="5" customFormat="1">
      <c r="A390" s="179" t="s">
        <v>640</v>
      </c>
      <c r="B390" s="185" t="s">
        <v>5237</v>
      </c>
      <c r="C390" s="35" t="str">
        <f t="shared" si="42"/>
        <v>alInsan</v>
      </c>
      <c r="E390" s="40"/>
      <c r="F390" s="15"/>
      <c r="G390" s="17"/>
      <c r="H390" s="10" t="s">
        <v>8563</v>
      </c>
      <c r="I390" s="4" t="str">
        <f t="shared" si="43"/>
        <v>|al-Insán|</v>
      </c>
      <c r="J390" s="3" t="str">
        <f t="shared" si="44"/>
        <v>|al-Insan|</v>
      </c>
      <c r="K390" s="3" t="str">
        <f t="shared" si="45"/>
        <v>al-Insan</v>
      </c>
      <c r="N390" s="39" t="str">
        <f t="shared" si="46"/>
        <v/>
      </c>
      <c r="P390" s="39" t="str">
        <f t="shared" si="47"/>
        <v/>
      </c>
      <c r="R390" s="39" t="str">
        <f t="shared" si="48"/>
        <v/>
      </c>
      <c r="S390" s="28"/>
      <c r="T390" s="28"/>
      <c r="U390" s="28"/>
    </row>
    <row r="391" spans="1:21" s="5" customFormat="1">
      <c r="A391" s="179" t="s">
        <v>641</v>
      </c>
      <c r="B391" s="185" t="s">
        <v>5238</v>
      </c>
      <c r="C391" s="35" t="str">
        <f t="shared" si="42"/>
        <v>AliPasha</v>
      </c>
      <c r="E391" s="40" t="s">
        <v>9115</v>
      </c>
      <c r="F391" s="15" t="s">
        <v>642</v>
      </c>
      <c r="G391" s="17"/>
      <c r="H391" s="10" t="s">
        <v>8563</v>
      </c>
      <c r="I391" s="4" t="str">
        <f t="shared" si="43"/>
        <v>|ʿAlí-Páá|</v>
      </c>
      <c r="J391" s="3" t="str">
        <f t="shared" si="44"/>
        <v>|'Ali-Pasha|</v>
      </c>
      <c r="K391" s="3" t="str">
        <f t="shared" si="45"/>
        <v>Ali-Pasha</v>
      </c>
      <c r="N391" s="39" t="str">
        <f t="shared" si="46"/>
        <v/>
      </c>
      <c r="P391" s="39" t="str">
        <f t="shared" si="47"/>
        <v/>
      </c>
      <c r="R391" s="39" t="str">
        <f t="shared" si="48"/>
        <v/>
      </c>
      <c r="S391" s="28"/>
      <c r="T391" s="28"/>
      <c r="U391" s="28"/>
    </row>
    <row r="392" spans="1:21" s="5" customFormat="1">
      <c r="A392" s="179" t="s">
        <v>643</v>
      </c>
      <c r="B392" s="185" t="s">
        <v>5239</v>
      </c>
      <c r="C392" s="35" t="str">
        <f t="shared" si="42"/>
        <v>AliQabliMuhammad</v>
      </c>
      <c r="E392" s="40"/>
      <c r="F392" s="14"/>
      <c r="G392" s="17"/>
      <c r="H392" s="10" t="s">
        <v>8563</v>
      </c>
      <c r="I392" s="4" t="str">
        <f t="shared" si="43"/>
        <v>|ʿAlí-Qabl-i-Muḥammad|</v>
      </c>
      <c r="J392" s="3" t="str">
        <f t="shared" si="44"/>
        <v>|'Ali-Qabl-i-Muhammad|</v>
      </c>
      <c r="K392" s="3" t="str">
        <f t="shared" si="45"/>
        <v>Ali-Qabl-i-Muhammad</v>
      </c>
      <c r="N392" s="39" t="str">
        <f t="shared" si="46"/>
        <v/>
      </c>
      <c r="P392" s="39" t="str">
        <f t="shared" si="47"/>
        <v/>
      </c>
      <c r="R392" s="39" t="str">
        <f t="shared" si="48"/>
        <v/>
      </c>
      <c r="S392" s="28"/>
      <c r="T392" s="28"/>
      <c r="U392" s="28"/>
    </row>
    <row r="393" spans="1:21" s="5" customFormat="1">
      <c r="A393" s="179" t="s">
        <v>644</v>
      </c>
      <c r="B393" s="185" t="s">
        <v>5240</v>
      </c>
      <c r="C393" s="35" t="str">
        <f t="shared" si="42"/>
        <v>AliQuli</v>
      </c>
      <c r="E393" s="40"/>
      <c r="F393" s="14"/>
      <c r="G393" s="17"/>
      <c r="H393" s="10" t="s">
        <v>8563</v>
      </c>
      <c r="I393" s="4" t="str">
        <f t="shared" si="43"/>
        <v>|ʿAlí-Qulí|</v>
      </c>
      <c r="J393" s="3" t="str">
        <f t="shared" si="44"/>
        <v>|'Ali-Quli|</v>
      </c>
      <c r="K393" s="3" t="str">
        <f t="shared" si="45"/>
        <v>Ali-Quli</v>
      </c>
      <c r="N393" s="39" t="str">
        <f t="shared" si="46"/>
        <v/>
      </c>
      <c r="P393" s="39" t="str">
        <f t="shared" si="47"/>
        <v/>
      </c>
      <c r="R393" s="39" t="str">
        <f t="shared" si="48"/>
        <v/>
      </c>
      <c r="S393" s="28"/>
      <c r="T393" s="28"/>
      <c r="U393" s="28"/>
    </row>
    <row r="394" spans="1:21" s="5" customFormat="1">
      <c r="A394" s="179" t="s">
        <v>645</v>
      </c>
      <c r="B394" s="185" t="s">
        <v>5241</v>
      </c>
      <c r="C394" s="35" t="str">
        <f t="shared" si="42"/>
        <v>AliQuliKhan</v>
      </c>
      <c r="E394" s="40"/>
      <c r="F394" s="15"/>
      <c r="G394" s="17"/>
      <c r="H394" s="10" t="s">
        <v>8563</v>
      </c>
      <c r="I394" s="4" t="str">
        <f t="shared" si="43"/>
        <v>|ʿAlí-Qulí-án|</v>
      </c>
      <c r="J394" s="3" t="str">
        <f t="shared" si="44"/>
        <v>|'Ali-Quli-Khan|</v>
      </c>
      <c r="K394" s="3" t="str">
        <f t="shared" si="45"/>
        <v>Ali-Quli-Khan</v>
      </c>
      <c r="N394" s="39" t="str">
        <f t="shared" si="46"/>
        <v/>
      </c>
      <c r="P394" s="39" t="str">
        <f t="shared" si="47"/>
        <v/>
      </c>
      <c r="R394" s="39" t="str">
        <f t="shared" si="48"/>
        <v/>
      </c>
      <c r="S394" s="28"/>
      <c r="T394" s="28"/>
      <c r="U394" s="28"/>
    </row>
    <row r="395" spans="1:21" s="5" customFormat="1">
      <c r="A395" s="179" t="s">
        <v>646</v>
      </c>
      <c r="B395" s="185" t="s">
        <v>5242</v>
      </c>
      <c r="C395" s="35" t="str">
        <f t="shared" si="42"/>
        <v>AliRida</v>
      </c>
      <c r="E395" s="40"/>
      <c r="F395" s="14"/>
      <c r="G395" s="17"/>
      <c r="H395" s="10" t="s">
        <v>8563</v>
      </c>
      <c r="I395" s="4" t="str">
        <f t="shared" si="43"/>
        <v>|ʿAlí-Riḍá|</v>
      </c>
      <c r="J395" s="3" t="str">
        <f t="shared" si="44"/>
        <v>|'Ali-Rida|</v>
      </c>
      <c r="K395" s="3" t="str">
        <f t="shared" si="45"/>
        <v>Ali-Rida</v>
      </c>
      <c r="N395" s="39" t="str">
        <f t="shared" si="46"/>
        <v/>
      </c>
      <c r="P395" s="39" t="str">
        <f t="shared" si="47"/>
        <v/>
      </c>
      <c r="R395" s="39" t="str">
        <f t="shared" si="48"/>
        <v/>
      </c>
      <c r="S395" s="28"/>
      <c r="T395" s="28"/>
      <c r="U395" s="28"/>
    </row>
    <row r="396" spans="1:21" s="5" customFormat="1">
      <c r="A396" s="179" t="s">
        <v>647</v>
      </c>
      <c r="B396" s="185" t="s">
        <v>5243</v>
      </c>
      <c r="C396" s="35" t="str">
        <f t="shared" si="42"/>
        <v>AliRidayiMustawfi</v>
      </c>
      <c r="E396" s="40"/>
      <c r="F396" s="15"/>
      <c r="G396" s="17"/>
      <c r="H396" s="10" t="s">
        <v>8563</v>
      </c>
      <c r="I396" s="4" t="str">
        <f t="shared" si="43"/>
        <v>|ʿAlí-Riḍáy-i-Mustawfí|</v>
      </c>
      <c r="J396" s="3" t="str">
        <f t="shared" si="44"/>
        <v>|'Ali-Riday-i-Mustawfi|</v>
      </c>
      <c r="K396" s="3" t="str">
        <f t="shared" si="45"/>
        <v>Ali-Riday-i-Mustawfi</v>
      </c>
      <c r="N396" s="39" t="str">
        <f t="shared" si="46"/>
        <v/>
      </c>
      <c r="P396" s="39" t="str">
        <f t="shared" si="47"/>
        <v/>
      </c>
      <c r="R396" s="39" t="str">
        <f t="shared" si="48"/>
        <v/>
      </c>
      <c r="S396" s="28"/>
      <c r="T396" s="28"/>
      <c r="U396" s="28"/>
    </row>
    <row r="397" spans="1:21" s="5" customFormat="1">
      <c r="A397" s="179" t="s">
        <v>649</v>
      </c>
      <c r="B397" s="185" t="s">
        <v>5244</v>
      </c>
      <c r="C397" s="35" t="str">
        <f t="shared" si="42"/>
        <v>alIslam</v>
      </c>
      <c r="E397" s="40"/>
      <c r="F397" s="15"/>
      <c r="G397" s="17"/>
      <c r="H397" s="10" t="s">
        <v>8563</v>
      </c>
      <c r="I397" s="4" t="str">
        <f t="shared" si="43"/>
        <v>|al-Islám|</v>
      </c>
      <c r="J397" s="3" t="str">
        <f t="shared" si="44"/>
        <v>|al-Islam|</v>
      </c>
      <c r="K397" s="3" t="str">
        <f t="shared" si="45"/>
        <v>al-Islam</v>
      </c>
      <c r="N397" s="39" t="str">
        <f t="shared" si="46"/>
        <v/>
      </c>
      <c r="P397" s="39" t="str">
        <f t="shared" si="47"/>
        <v/>
      </c>
      <c r="R397" s="39" t="str">
        <f t="shared" si="48"/>
        <v/>
      </c>
      <c r="S397" s="28"/>
      <c r="T397" s="28"/>
      <c r="U397" s="28"/>
    </row>
    <row r="398" spans="1:21" s="5" customFormat="1">
      <c r="A398" s="179" t="s">
        <v>8870</v>
      </c>
      <c r="B398" s="185" t="s">
        <v>8871</v>
      </c>
      <c r="C398" s="35" t="str">
        <f t="shared" si="42"/>
        <v>alIsmah</v>
      </c>
      <c r="E398" s="40"/>
      <c r="F398" s="15"/>
      <c r="G398" s="17"/>
      <c r="H398" s="10" t="s">
        <v>8563</v>
      </c>
      <c r="I398" s="4" t="str">
        <f t="shared" si="43"/>
        <v>|al-ʿIṣmah|</v>
      </c>
      <c r="J398" s="3" t="str">
        <f t="shared" si="44"/>
        <v>|al-'Ismah|</v>
      </c>
      <c r="K398" s="3" t="str">
        <f t="shared" si="45"/>
        <v>al-Ismah</v>
      </c>
      <c r="N398" s="39" t="str">
        <f t="shared" si="46"/>
        <v/>
      </c>
      <c r="P398" s="39" t="str">
        <f t="shared" si="47"/>
        <v/>
      </c>
      <c r="R398" s="39" t="str">
        <f t="shared" si="48"/>
        <v/>
      </c>
      <c r="S398" s="28"/>
      <c r="T398" s="28"/>
      <c r="U398" s="28"/>
    </row>
    <row r="399" spans="1:21" s="5" customFormat="1">
      <c r="A399" s="179" t="s">
        <v>650</v>
      </c>
      <c r="B399" s="185" t="s">
        <v>5245</v>
      </c>
      <c r="C399" s="35" t="str">
        <f t="shared" si="42"/>
        <v>alIsmatulKubra</v>
      </c>
      <c r="E399" s="40"/>
      <c r="F399" s="15"/>
      <c r="G399" s="17"/>
      <c r="H399" s="10" t="s">
        <v>8563</v>
      </c>
      <c r="I399" s="4" t="str">
        <f t="shared" si="43"/>
        <v>|al-ʿIṣmatu’l-Kubrá|</v>
      </c>
      <c r="J399" s="3" t="str">
        <f t="shared" si="44"/>
        <v>|al-'Ismatu'l-Kubra|</v>
      </c>
      <c r="K399" s="3" t="str">
        <f t="shared" si="45"/>
        <v>al-Ismatul-Kubra</v>
      </c>
      <c r="N399" s="39" t="str">
        <f t="shared" si="46"/>
        <v/>
      </c>
      <c r="P399" s="39" t="str">
        <f t="shared" si="47"/>
        <v/>
      </c>
      <c r="R399" s="39" t="str">
        <f t="shared" si="48"/>
        <v/>
      </c>
      <c r="S399" s="28"/>
      <c r="T399" s="28"/>
      <c r="U399" s="28"/>
    </row>
    <row r="400" spans="1:21" s="5" customFormat="1">
      <c r="A400" s="179" t="s">
        <v>651</v>
      </c>
      <c r="B400" s="185" t="s">
        <v>5246</v>
      </c>
      <c r="C400" s="35" t="str">
        <f t="shared" si="42"/>
        <v>alIstibsar</v>
      </c>
      <c r="E400" s="40"/>
      <c r="F400" s="15"/>
      <c r="G400" s="17"/>
      <c r="H400" s="10" t="s">
        <v>8563</v>
      </c>
      <c r="I400" s="4" t="str">
        <f t="shared" si="43"/>
        <v>|al-Istibṣár|</v>
      </c>
      <c r="J400" s="3" t="str">
        <f t="shared" si="44"/>
        <v>|al-Istibsar|</v>
      </c>
      <c r="K400" s="3" t="str">
        <f t="shared" si="45"/>
        <v>al-Istibsar</v>
      </c>
      <c r="N400" s="39" t="str">
        <f t="shared" si="46"/>
        <v/>
      </c>
      <c r="P400" s="39" t="str">
        <f t="shared" si="47"/>
        <v/>
      </c>
      <c r="R400" s="39" t="str">
        <f t="shared" si="48"/>
        <v/>
      </c>
      <c r="S400" s="28"/>
      <c r="T400" s="28"/>
      <c r="U400" s="28"/>
    </row>
    <row r="401" spans="1:21" s="5" customFormat="1">
      <c r="A401" s="179" t="s">
        <v>652</v>
      </c>
      <c r="B401" s="185" t="s">
        <v>5247</v>
      </c>
      <c r="C401" s="35" t="str">
        <f t="shared" si="42"/>
        <v>alIstiqamah</v>
      </c>
      <c r="E401" s="40"/>
      <c r="F401" s="15"/>
      <c r="G401" s="17"/>
      <c r="H401" s="10" t="s">
        <v>8563</v>
      </c>
      <c r="I401" s="4" t="str">
        <f t="shared" si="43"/>
        <v>|al-Istiqámah|</v>
      </c>
      <c r="J401" s="3" t="str">
        <f t="shared" si="44"/>
        <v>|al-Istiqamah|</v>
      </c>
      <c r="K401" s="3" t="str">
        <f t="shared" si="45"/>
        <v>al-Istiqamah</v>
      </c>
      <c r="N401" s="39" t="str">
        <f t="shared" si="46"/>
        <v/>
      </c>
      <c r="P401" s="39" t="str">
        <f t="shared" si="47"/>
        <v/>
      </c>
      <c r="R401" s="39" t="str">
        <f t="shared" si="48"/>
        <v/>
      </c>
      <c r="S401" s="28"/>
      <c r="T401" s="28"/>
      <c r="U401" s="28"/>
    </row>
    <row r="402" spans="1:21" s="5" customFormat="1">
      <c r="A402" s="179" t="s">
        <v>653</v>
      </c>
      <c r="B402" s="185" t="s">
        <v>5248</v>
      </c>
      <c r="C402" s="35" t="str">
        <f t="shared" si="42"/>
        <v>AliyiBaraqani</v>
      </c>
      <c r="E402" s="40"/>
      <c r="F402" s="14"/>
      <c r="G402" s="17"/>
      <c r="H402" s="10" t="s">
        <v>8563</v>
      </c>
      <c r="I402" s="4" t="str">
        <f t="shared" si="43"/>
        <v>|ʿAlíy-i-Baraqání|</v>
      </c>
      <c r="J402" s="3" t="str">
        <f t="shared" si="44"/>
        <v>|'Aliy-i-Baraqani|</v>
      </c>
      <c r="K402" s="3" t="str">
        <f t="shared" si="45"/>
        <v>Aliy-i-Baraqani</v>
      </c>
      <c r="N402" s="39" t="str">
        <f t="shared" si="46"/>
        <v/>
      </c>
      <c r="P402" s="39" t="str">
        <f t="shared" si="47"/>
        <v/>
      </c>
      <c r="R402" s="39" t="str">
        <f t="shared" si="48"/>
        <v/>
      </c>
      <c r="S402" s="28"/>
      <c r="T402" s="28"/>
      <c r="U402" s="28"/>
    </row>
    <row r="403" spans="1:21" s="5" customFormat="1">
      <c r="A403" s="179" t="s">
        <v>654</v>
      </c>
      <c r="B403" s="185" t="s">
        <v>5249</v>
      </c>
      <c r="C403" s="35" t="str">
        <f t="shared" si="42"/>
        <v>AliyiBarfurushi</v>
      </c>
      <c r="E403" s="40"/>
      <c r="F403" s="15" t="s">
        <v>1</v>
      </c>
      <c r="G403" s="17"/>
      <c r="H403" s="10" t="s">
        <v>8563</v>
      </c>
      <c r="I403" s="4" t="str">
        <f t="shared" si="43"/>
        <v>|ʿAlíy-i-Bárfurúí|</v>
      </c>
      <c r="J403" s="3" t="str">
        <f t="shared" si="44"/>
        <v>|'Aliy-i-Barfurushi|</v>
      </c>
      <c r="K403" s="3" t="str">
        <f t="shared" si="45"/>
        <v>Aliy-i-Barfurushi</v>
      </c>
      <c r="N403" s="39" t="str">
        <f t="shared" si="46"/>
        <v/>
      </c>
      <c r="P403" s="39" t="str">
        <f t="shared" si="47"/>
        <v/>
      </c>
      <c r="R403" s="39" t="str">
        <f t="shared" si="48"/>
        <v/>
      </c>
      <c r="S403" s="28"/>
      <c r="T403" s="28"/>
      <c r="U403" s="28"/>
    </row>
    <row r="404" spans="1:21" s="5" customFormat="1">
      <c r="A404" s="179" t="s">
        <v>655</v>
      </c>
      <c r="B404" s="185" t="s">
        <v>5250</v>
      </c>
      <c r="C404" s="35" t="str">
        <f t="shared" si="42"/>
        <v>AliyiBastami</v>
      </c>
      <c r="E404" s="40"/>
      <c r="F404" s="15" t="s">
        <v>656</v>
      </c>
      <c r="G404" s="17"/>
      <c r="H404" s="10" t="s">
        <v>8563</v>
      </c>
      <c r="I404" s="4" t="str">
        <f t="shared" si="43"/>
        <v>|ʿAlíy-i-Basṭámí|</v>
      </c>
      <c r="J404" s="3" t="str">
        <f t="shared" si="44"/>
        <v>|'Aliy-i-Bastami|</v>
      </c>
      <c r="K404" s="3" t="str">
        <f t="shared" si="45"/>
        <v>Aliy-i-Bastami</v>
      </c>
      <c r="N404" s="39" t="str">
        <f t="shared" si="46"/>
        <v/>
      </c>
      <c r="P404" s="39" t="str">
        <f t="shared" si="47"/>
        <v/>
      </c>
      <c r="R404" s="39" t="str">
        <f t="shared" si="48"/>
        <v/>
      </c>
      <c r="S404" s="28"/>
      <c r="T404" s="28"/>
      <c r="U404" s="28"/>
    </row>
    <row r="405" spans="1:21" s="5" customFormat="1">
      <c r="A405" s="179" t="s">
        <v>657</v>
      </c>
      <c r="B405" s="185" t="s">
        <v>5251</v>
      </c>
      <c r="C405" s="35" t="str">
        <f t="shared" si="42"/>
        <v>AliyiKani</v>
      </c>
      <c r="E405" s="40"/>
      <c r="F405" s="14"/>
      <c r="G405" s="17"/>
      <c r="H405" s="10" t="s">
        <v>8563</v>
      </c>
      <c r="I405" s="4" t="str">
        <f t="shared" si="43"/>
        <v>|ʿAlíy-i-Kání|</v>
      </c>
      <c r="J405" s="3" t="str">
        <f t="shared" si="44"/>
        <v>|'Aliy-i-Kani|</v>
      </c>
      <c r="K405" s="3" t="str">
        <f t="shared" si="45"/>
        <v>Aliy-i-Kani</v>
      </c>
      <c r="N405" s="39" t="str">
        <f t="shared" si="46"/>
        <v/>
      </c>
      <c r="P405" s="39" t="str">
        <f t="shared" si="47"/>
        <v/>
      </c>
      <c r="R405" s="39" t="str">
        <f t="shared" si="48"/>
        <v/>
      </c>
      <c r="S405" s="28"/>
      <c r="T405" s="28"/>
      <c r="U405" s="28"/>
    </row>
    <row r="406" spans="1:21" s="5" customFormat="1">
      <c r="A406" s="179" t="s">
        <v>658</v>
      </c>
      <c r="B406" s="185" t="s">
        <v>5252</v>
      </c>
      <c r="C406" s="35" t="str">
        <f t="shared" si="42"/>
        <v>AliyiKirmanshahi</v>
      </c>
      <c r="E406" s="40"/>
      <c r="F406" s="14"/>
      <c r="G406" s="17"/>
      <c r="H406" s="10" t="s">
        <v>8563</v>
      </c>
      <c r="I406" s="4" t="str">
        <f t="shared" si="43"/>
        <v>|ʿAlíy-i-Kirmánáhí|</v>
      </c>
      <c r="J406" s="3" t="str">
        <f t="shared" si="44"/>
        <v>|'Aliy-i-Kirmanshahi|</v>
      </c>
      <c r="K406" s="3" t="str">
        <f t="shared" si="45"/>
        <v>Aliy-i-Kirmanshahi</v>
      </c>
      <c r="N406" s="39" t="str">
        <f t="shared" si="46"/>
        <v/>
      </c>
      <c r="P406" s="39" t="str">
        <f t="shared" si="47"/>
        <v/>
      </c>
      <c r="R406" s="39" t="str">
        <f t="shared" si="48"/>
        <v/>
      </c>
      <c r="S406" s="28"/>
      <c r="T406" s="28"/>
      <c r="U406" s="28"/>
    </row>
    <row r="407" spans="1:21" s="5" customFormat="1">
      <c r="A407" s="179" t="s">
        <v>659</v>
      </c>
      <c r="B407" s="185" t="s">
        <v>5253</v>
      </c>
      <c r="C407" s="35" t="str">
        <f t="shared" si="42"/>
        <v>AliyiMiri</v>
      </c>
      <c r="E407" s="40"/>
      <c r="F407" s="14"/>
      <c r="G407" s="17"/>
      <c r="H407" s="10" t="s">
        <v>8563</v>
      </c>
      <c r="I407" s="4" t="str">
        <f t="shared" si="43"/>
        <v>|ʿAlíy-i-Mírí|</v>
      </c>
      <c r="J407" s="3" t="str">
        <f t="shared" si="44"/>
        <v>|'Aliy-i-Miri|</v>
      </c>
      <c r="K407" s="3" t="str">
        <f t="shared" si="45"/>
        <v>Aliy-i-Miri</v>
      </c>
      <c r="N407" s="39" t="str">
        <f t="shared" si="46"/>
        <v/>
      </c>
      <c r="P407" s="39" t="str">
        <f t="shared" si="47"/>
        <v/>
      </c>
      <c r="R407" s="39" t="str">
        <f t="shared" si="48"/>
        <v/>
      </c>
      <c r="S407" s="28"/>
      <c r="T407" s="28"/>
      <c r="U407" s="28"/>
    </row>
    <row r="408" spans="1:21" s="5" customFormat="1">
      <c r="A408" s="179" t="s">
        <v>660</v>
      </c>
      <c r="B408" s="185" t="s">
        <v>5254</v>
      </c>
      <c r="C408" s="35" t="str">
        <f t="shared" si="42"/>
        <v>AliyiMudhahhib</v>
      </c>
      <c r="E408" s="40"/>
      <c r="F408" s="14"/>
      <c r="G408" s="17"/>
      <c r="H408" s="10" t="s">
        <v>8563</v>
      </c>
      <c r="I408" s="4" t="str">
        <f t="shared" si="43"/>
        <v>|ʿAlíy-i-Muahhib|</v>
      </c>
      <c r="J408" s="3" t="str">
        <f t="shared" si="44"/>
        <v>|'Aliy-i-Mudhahhib|</v>
      </c>
      <c r="K408" s="3" t="str">
        <f t="shared" si="45"/>
        <v>Aliy-i-Mudhahhib</v>
      </c>
      <c r="N408" s="39" t="str">
        <f t="shared" si="46"/>
        <v/>
      </c>
      <c r="P408" s="39" t="str">
        <f t="shared" si="47"/>
        <v/>
      </c>
      <c r="R408" s="39" t="str">
        <f t="shared" si="48"/>
        <v/>
      </c>
      <c r="S408" s="28"/>
      <c r="T408" s="28"/>
      <c r="U408" s="28"/>
    </row>
    <row r="409" spans="1:21" s="5" customFormat="1">
      <c r="A409" s="179" t="s">
        <v>661</v>
      </c>
      <c r="B409" s="185" t="s">
        <v>5255</v>
      </c>
      <c r="C409" s="35" t="str">
        <f t="shared" si="42"/>
        <v>AliyiQazvini</v>
      </c>
      <c r="E409" s="40"/>
      <c r="F409" s="14"/>
      <c r="G409" s="17"/>
      <c r="H409" s="10" t="s">
        <v>8563</v>
      </c>
      <c r="I409" s="4" t="str">
        <f t="shared" si="43"/>
        <v>|ʿAlíy-i-Qazvíní|</v>
      </c>
      <c r="J409" s="3" t="str">
        <f t="shared" si="44"/>
        <v>|'Aliy-i-Qazvini|</v>
      </c>
      <c r="K409" s="3" t="str">
        <f t="shared" si="45"/>
        <v>Aliy-i-Qazvini</v>
      </c>
      <c r="N409" s="39" t="str">
        <f t="shared" si="46"/>
        <v/>
      </c>
      <c r="P409" s="39" t="str">
        <f t="shared" si="47"/>
        <v/>
      </c>
      <c r="R409" s="39" t="str">
        <f t="shared" si="48"/>
        <v/>
      </c>
      <c r="S409" s="28"/>
      <c r="T409" s="28"/>
      <c r="U409" s="28"/>
    </row>
    <row r="410" spans="1:21" s="5" customFormat="1">
      <c r="A410" s="179" t="s">
        <v>662</v>
      </c>
      <c r="B410" s="185" t="s">
        <v>5256</v>
      </c>
      <c r="C410" s="35" t="str">
        <f t="shared" si="42"/>
        <v>AliyiSabzivari</v>
      </c>
      <c r="E410" s="40"/>
      <c r="F410" s="15"/>
      <c r="G410" s="17"/>
      <c r="H410" s="10" t="s">
        <v>8563</v>
      </c>
      <c r="I410" s="4" t="str">
        <f t="shared" si="43"/>
        <v>|ʿAlíy-i-Sabzivárí|</v>
      </c>
      <c r="J410" s="3" t="str">
        <f t="shared" si="44"/>
        <v>|'Aliy-i-Sabzivari|</v>
      </c>
      <c r="K410" s="3" t="str">
        <f t="shared" si="45"/>
        <v>Aliy-i-Sabzivari</v>
      </c>
      <c r="N410" s="39" t="str">
        <f t="shared" si="46"/>
        <v/>
      </c>
      <c r="P410" s="39" t="str">
        <f t="shared" si="47"/>
        <v/>
      </c>
      <c r="R410" s="39" t="str">
        <f t="shared" si="48"/>
        <v/>
      </c>
      <c r="S410" s="28"/>
      <c r="T410" s="28"/>
      <c r="U410" s="28"/>
    </row>
    <row r="411" spans="1:21" s="5" customFormat="1">
      <c r="A411" s="179" t="s">
        <v>663</v>
      </c>
      <c r="B411" s="185" t="s">
        <v>5257</v>
      </c>
      <c r="C411" s="35" t="str">
        <f t="shared" si="42"/>
        <v>AliyiSalmani</v>
      </c>
      <c r="E411" s="40"/>
      <c r="F411" s="15"/>
      <c r="G411" s="17"/>
      <c r="H411" s="10" t="s">
        <v>8563</v>
      </c>
      <c r="I411" s="4" t="str">
        <f t="shared" si="43"/>
        <v>|ʿAlíy-i-Salmání|</v>
      </c>
      <c r="J411" s="3" t="str">
        <f t="shared" si="44"/>
        <v>|'Aliy-i-Salmani|</v>
      </c>
      <c r="K411" s="3" t="str">
        <f t="shared" si="45"/>
        <v>Aliy-i-Salmani</v>
      </c>
      <c r="N411" s="39" t="str">
        <f t="shared" si="46"/>
        <v/>
      </c>
      <c r="P411" s="39" t="str">
        <f t="shared" si="47"/>
        <v/>
      </c>
      <c r="R411" s="39" t="str">
        <f t="shared" si="48"/>
        <v/>
      </c>
      <c r="S411" s="28"/>
      <c r="T411" s="28"/>
      <c r="U411" s="28"/>
    </row>
    <row r="412" spans="1:21" s="5" customFormat="1">
      <c r="A412" s="179" t="s">
        <v>664</v>
      </c>
      <c r="B412" s="185" t="s">
        <v>5258</v>
      </c>
      <c r="C412" s="35" t="str">
        <f t="shared" si="42"/>
        <v>AliyiSardar</v>
      </c>
      <c r="E412" s="40"/>
      <c r="F412" s="14"/>
      <c r="G412" s="17"/>
      <c r="H412" s="10" t="s">
        <v>8563</v>
      </c>
      <c r="I412" s="4" t="str">
        <f t="shared" si="43"/>
        <v>|ʿAlíy-i-Sardár|</v>
      </c>
      <c r="J412" s="3" t="str">
        <f t="shared" si="44"/>
        <v>|'Aliy-i-Sardar|</v>
      </c>
      <c r="K412" s="3" t="str">
        <f t="shared" si="45"/>
        <v>Aliy-i-Sardar</v>
      </c>
      <c r="N412" s="39" t="str">
        <f t="shared" si="46"/>
        <v/>
      </c>
      <c r="P412" s="39" t="str">
        <f t="shared" si="47"/>
        <v/>
      </c>
      <c r="R412" s="39" t="str">
        <f t="shared" si="48"/>
        <v/>
      </c>
      <c r="S412" s="28"/>
      <c r="T412" s="28"/>
      <c r="U412" s="28"/>
    </row>
    <row r="413" spans="1:21" s="5" customFormat="1">
      <c r="A413" s="179" t="s">
        <v>665</v>
      </c>
      <c r="B413" s="185" t="s">
        <v>8876</v>
      </c>
      <c r="C413" s="35" t="str">
        <f t="shared" si="42"/>
        <v>AliyiSayyahiMaraghihi</v>
      </c>
      <c r="E413" s="40"/>
      <c r="F413" s="15"/>
      <c r="G413" s="17"/>
      <c r="H413" s="10" t="s">
        <v>8563</v>
      </c>
      <c r="I413" s="4" t="str">
        <f t="shared" si="43"/>
        <v>|ʿAlíy-i-Sayyáḥ-i-Maráih’í|</v>
      </c>
      <c r="J413" s="3" t="str">
        <f t="shared" si="44"/>
        <v>|'Aliy-i-Sayyah-i-Maraghih'i|</v>
      </c>
      <c r="K413" s="3" t="str">
        <f t="shared" si="45"/>
        <v>Aliy-i-Sayyah-i-Maraghihi</v>
      </c>
      <c r="N413" s="39" t="str">
        <f t="shared" si="46"/>
        <v/>
      </c>
      <c r="P413" s="39" t="str">
        <f t="shared" si="47"/>
        <v/>
      </c>
      <c r="R413" s="39" t="str">
        <f t="shared" si="48"/>
        <v/>
      </c>
      <c r="S413" s="28"/>
      <c r="T413" s="28"/>
      <c r="U413" s="28"/>
    </row>
    <row r="414" spans="1:21" s="5" customFormat="1">
      <c r="A414" s="179" t="s">
        <v>666</v>
      </c>
      <c r="B414" s="185" t="s">
        <v>5259</v>
      </c>
      <c r="C414" s="35" t="str">
        <f t="shared" si="42"/>
        <v>AliyiTabibiZanjani</v>
      </c>
      <c r="E414" s="40"/>
      <c r="F414" s="15"/>
      <c r="G414" s="17"/>
      <c r="H414" s="10" t="s">
        <v>8563</v>
      </c>
      <c r="I414" s="4" t="str">
        <f t="shared" si="43"/>
        <v>|ʿAlíy-i-Ṭabíb-i-Zanjání|</v>
      </c>
      <c r="J414" s="3" t="str">
        <f t="shared" si="44"/>
        <v>|'Aliy-i-Tabib-i-Zanjani|</v>
      </c>
      <c r="K414" s="3" t="str">
        <f t="shared" si="45"/>
        <v>Aliy-i-Tabib-i-Zanjani</v>
      </c>
      <c r="N414" s="39" t="str">
        <f t="shared" si="46"/>
        <v/>
      </c>
      <c r="P414" s="39" t="str">
        <f t="shared" si="47"/>
        <v/>
      </c>
      <c r="R414" s="39" t="str">
        <f t="shared" si="48"/>
        <v/>
      </c>
      <c r="S414" s="28"/>
      <c r="T414" s="28"/>
      <c r="U414" s="28"/>
    </row>
    <row r="415" spans="1:21" s="5" customFormat="1">
      <c r="A415" s="179" t="s">
        <v>667</v>
      </c>
      <c r="B415" s="185" t="s">
        <v>5260</v>
      </c>
      <c r="C415" s="35" t="str">
        <f t="shared" si="42"/>
        <v>AliyiTabrizi</v>
      </c>
      <c r="E415" s="40"/>
      <c r="F415" s="15"/>
      <c r="G415" s="17"/>
      <c r="H415" s="10" t="s">
        <v>8563</v>
      </c>
      <c r="I415" s="4" t="str">
        <f t="shared" si="43"/>
        <v>|ʿAlíy-i-Tabrízí|</v>
      </c>
      <c r="J415" s="3" t="str">
        <f t="shared" si="44"/>
        <v>|'Aliy-i-Tabrizi|</v>
      </c>
      <c r="K415" s="3" t="str">
        <f t="shared" si="45"/>
        <v>Aliy-i-Tabrizi</v>
      </c>
      <c r="N415" s="39" t="str">
        <f t="shared" si="46"/>
        <v/>
      </c>
      <c r="P415" s="39" t="str">
        <f t="shared" si="47"/>
        <v/>
      </c>
      <c r="R415" s="39" t="str">
        <f t="shared" si="48"/>
        <v/>
      </c>
      <c r="S415" s="28"/>
      <c r="T415" s="28"/>
      <c r="U415" s="28"/>
    </row>
    <row r="416" spans="1:21" s="5" customFormat="1">
      <c r="A416" s="179" t="s">
        <v>668</v>
      </c>
      <c r="B416" s="185" t="s">
        <v>5261</v>
      </c>
      <c r="C416" s="35" t="str">
        <f t="shared" si="42"/>
        <v>AliyiTafrishi</v>
      </c>
      <c r="E416" s="40"/>
      <c r="F416" s="14"/>
      <c r="G416" s="17"/>
      <c r="H416" s="10" t="s">
        <v>8563</v>
      </c>
      <c r="I416" s="4" t="str">
        <f t="shared" si="43"/>
        <v>|ʿAlíy-i-Tafríí|</v>
      </c>
      <c r="J416" s="3" t="str">
        <f t="shared" si="44"/>
        <v>|'Aliy-i-Tafrishi|</v>
      </c>
      <c r="K416" s="3" t="str">
        <f t="shared" si="45"/>
        <v>Aliy-i-Tafrishi</v>
      </c>
      <c r="N416" s="39" t="str">
        <f t="shared" si="46"/>
        <v/>
      </c>
      <c r="P416" s="39" t="str">
        <f t="shared" si="47"/>
        <v/>
      </c>
      <c r="R416" s="39" t="str">
        <f t="shared" si="48"/>
        <v/>
      </c>
      <c r="S416" s="28"/>
      <c r="T416" s="28"/>
      <c r="U416" s="28"/>
    </row>
    <row r="417" spans="1:21" s="5" customFormat="1">
      <c r="A417" s="179" t="s">
        <v>669</v>
      </c>
      <c r="B417" s="185" t="s">
        <v>5262</v>
      </c>
      <c r="C417" s="35" t="str">
        <f t="shared" si="42"/>
        <v>AliyiTurshizi</v>
      </c>
      <c r="E417" s="40"/>
      <c r="F417" s="14"/>
      <c r="G417" s="17"/>
      <c r="H417" s="10" t="s">
        <v>8563</v>
      </c>
      <c r="I417" s="4" t="str">
        <f t="shared" si="43"/>
        <v>|ʿAlíy-i-Turízí|</v>
      </c>
      <c r="J417" s="3" t="str">
        <f t="shared" si="44"/>
        <v>|'Aliy-i-Turshizi|</v>
      </c>
      <c r="K417" s="3" t="str">
        <f t="shared" si="45"/>
        <v>Aliy-i-Turshizi</v>
      </c>
      <c r="N417" s="39" t="str">
        <f t="shared" si="46"/>
        <v/>
      </c>
      <c r="P417" s="39" t="str">
        <f t="shared" si="47"/>
        <v/>
      </c>
      <c r="R417" s="39" t="str">
        <f t="shared" si="48"/>
        <v/>
      </c>
      <c r="S417" s="28"/>
      <c r="T417" s="28"/>
      <c r="U417" s="28"/>
    </row>
    <row r="418" spans="1:21" s="5" customFormat="1">
      <c r="A418" s="179" t="s">
        <v>670</v>
      </c>
      <c r="B418" s="185" t="s">
        <v>5263</v>
      </c>
      <c r="C418" s="35" t="str">
        <f t="shared" si="42"/>
        <v>AliyiZanjani</v>
      </c>
      <c r="E418" s="40"/>
      <c r="F418" s="14"/>
      <c r="G418" s="17"/>
      <c r="H418" s="10" t="s">
        <v>8563</v>
      </c>
      <c r="I418" s="4" t="str">
        <f t="shared" si="43"/>
        <v>|ʿAlíy-i-Zanjání|</v>
      </c>
      <c r="J418" s="3" t="str">
        <f t="shared" si="44"/>
        <v>|'Aliy-i-Zanjani|</v>
      </c>
      <c r="K418" s="3" t="str">
        <f t="shared" si="45"/>
        <v>Aliy-i-Zanjani</v>
      </c>
      <c r="N418" s="39" t="str">
        <f t="shared" si="46"/>
        <v/>
      </c>
      <c r="P418" s="39" t="str">
        <f t="shared" si="47"/>
        <v/>
      </c>
      <c r="R418" s="39" t="str">
        <f t="shared" si="48"/>
        <v/>
      </c>
      <c r="S418" s="28"/>
      <c r="T418" s="28"/>
      <c r="U418" s="28"/>
    </row>
    <row r="419" spans="1:21" s="5" customFormat="1">
      <c r="A419" s="179" t="s">
        <v>671</v>
      </c>
      <c r="B419" s="185" t="s">
        <v>5264</v>
      </c>
      <c r="C419" s="35" t="str">
        <f t="shared" si="42"/>
        <v>AliyiZargar</v>
      </c>
      <c r="E419" s="40"/>
      <c r="F419" s="14"/>
      <c r="G419" s="17"/>
      <c r="H419" s="10" t="s">
        <v>8563</v>
      </c>
      <c r="I419" s="4" t="str">
        <f t="shared" si="43"/>
        <v>|ʿAlíy-i-Zargar|</v>
      </c>
      <c r="J419" s="3" t="str">
        <f t="shared" si="44"/>
        <v>|'Aliy-i-Zargar|</v>
      </c>
      <c r="K419" s="3" t="str">
        <f t="shared" si="45"/>
        <v>Aliy-i-Zargar</v>
      </c>
      <c r="N419" s="39" t="str">
        <f t="shared" si="46"/>
        <v/>
      </c>
      <c r="P419" s="39" t="str">
        <f t="shared" si="47"/>
        <v/>
      </c>
      <c r="R419" s="39" t="str">
        <f t="shared" si="48"/>
        <v/>
      </c>
      <c r="S419" s="28"/>
      <c r="T419" s="28"/>
      <c r="U419" s="28"/>
    </row>
    <row r="420" spans="1:21" s="5" customFormat="1">
      <c r="A420" s="179" t="s">
        <v>8877</v>
      </c>
      <c r="B420" s="185" t="s">
        <v>5265</v>
      </c>
      <c r="C420" s="35" t="str">
        <f t="shared" si="42"/>
        <v>AliyiZunuzi</v>
      </c>
      <c r="E420" s="40"/>
      <c r="F420" s="14"/>
      <c r="G420" s="17"/>
      <c r="H420" s="10" t="s">
        <v>8563</v>
      </c>
      <c r="I420" s="4" t="str">
        <f t="shared" si="43"/>
        <v>|ʿAlíy-i-Zunúzí|</v>
      </c>
      <c r="J420" s="3" t="str">
        <f t="shared" si="44"/>
        <v>|'Aliy-i-Zunuzi|</v>
      </c>
      <c r="K420" s="3" t="str">
        <f t="shared" si="45"/>
        <v>Aliy-i-Zunuzi</v>
      </c>
      <c r="N420" s="39" t="str">
        <f t="shared" si="46"/>
        <v/>
      </c>
      <c r="P420" s="39" t="str">
        <f t="shared" si="47"/>
        <v/>
      </c>
      <c r="R420" s="39" t="str">
        <f t="shared" si="48"/>
        <v/>
      </c>
      <c r="S420" s="28"/>
      <c r="T420" s="28"/>
      <c r="U420" s="28"/>
    </row>
    <row r="421" spans="1:21" s="5" customFormat="1">
      <c r="A421" s="179" t="s">
        <v>673</v>
      </c>
      <c r="B421" s="185" t="s">
        <v>5266</v>
      </c>
      <c r="C421" s="35" t="str">
        <f t="shared" si="42"/>
        <v>AliyyulAla</v>
      </c>
      <c r="E421" s="40"/>
      <c r="F421" s="14"/>
      <c r="G421" s="17"/>
      <c r="H421" s="10" t="s">
        <v>8563</v>
      </c>
      <c r="I421" s="4" t="str">
        <f t="shared" si="43"/>
        <v>|ʿAlíyyu’l-Aʿlá|</v>
      </c>
      <c r="J421" s="3" t="str">
        <f t="shared" si="44"/>
        <v>|'Aliyyu'l-A'la|</v>
      </c>
      <c r="K421" s="3" t="str">
        <f t="shared" si="45"/>
        <v>Aliyyul-Ala</v>
      </c>
      <c r="N421" s="39" t="str">
        <f t="shared" si="46"/>
        <v/>
      </c>
      <c r="P421" s="39" t="str">
        <f t="shared" si="47"/>
        <v/>
      </c>
      <c r="R421" s="39" t="str">
        <f t="shared" si="48"/>
        <v/>
      </c>
      <c r="S421" s="28"/>
      <c r="T421" s="28"/>
      <c r="U421" s="28"/>
    </row>
    <row r="422" spans="1:21" s="5" customFormat="1">
      <c r="A422" s="179" t="s">
        <v>674</v>
      </c>
      <c r="B422" s="185" t="s">
        <v>5267</v>
      </c>
      <c r="C422" s="35" t="str">
        <f t="shared" si="42"/>
        <v>Alizadih</v>
      </c>
      <c r="E422" s="40"/>
      <c r="F422" s="15" t="s">
        <v>675</v>
      </c>
      <c r="G422" s="17"/>
      <c r="H422" s="10" t="s">
        <v>8563</v>
      </c>
      <c r="I422" s="4" t="str">
        <f t="shared" si="43"/>
        <v>|ʿAlízádih|</v>
      </c>
      <c r="J422" s="3" t="str">
        <f t="shared" si="44"/>
        <v>|'Alizadih|</v>
      </c>
      <c r="K422" s="3" t="str">
        <f t="shared" si="45"/>
        <v>Alizadih</v>
      </c>
      <c r="N422" s="39" t="str">
        <f t="shared" si="46"/>
        <v/>
      </c>
      <c r="P422" s="39" t="str">
        <f t="shared" si="47"/>
        <v/>
      </c>
      <c r="R422" s="39" t="str">
        <f t="shared" si="48"/>
        <v/>
      </c>
      <c r="S422" s="28"/>
      <c r="T422" s="28"/>
      <c r="U422" s="28"/>
    </row>
    <row r="423" spans="1:21" s="5" customFormat="1">
      <c r="A423" s="179" t="s">
        <v>676</v>
      </c>
      <c r="B423" s="185" t="s">
        <v>5268</v>
      </c>
      <c r="C423" s="35" t="str">
        <f t="shared" si="42"/>
        <v>alIzz</v>
      </c>
      <c r="E423" s="40"/>
      <c r="F423" s="15"/>
      <c r="G423" s="17"/>
      <c r="H423" s="10" t="s">
        <v>8563</v>
      </c>
      <c r="I423" s="4" t="str">
        <f t="shared" si="43"/>
        <v>|al-ʿIzz|</v>
      </c>
      <c r="J423" s="3" t="str">
        <f t="shared" si="44"/>
        <v>|al-'Izz|</v>
      </c>
      <c r="K423" s="3" t="str">
        <f t="shared" si="45"/>
        <v>al-Izz</v>
      </c>
      <c r="N423" s="39" t="str">
        <f t="shared" si="46"/>
        <v/>
      </c>
      <c r="P423" s="39" t="str">
        <f t="shared" si="47"/>
        <v/>
      </c>
      <c r="R423" s="39" t="str">
        <f t="shared" si="48"/>
        <v/>
      </c>
      <c r="S423" s="28"/>
      <c r="T423" s="28"/>
      <c r="U423" s="28"/>
    </row>
    <row r="424" spans="1:21" s="5" customFormat="1">
      <c r="A424" s="179" t="s">
        <v>677</v>
      </c>
      <c r="B424" s="185" t="s">
        <v>5269</v>
      </c>
      <c r="C424" s="35" t="str">
        <f t="shared" si="42"/>
        <v>alJamiah</v>
      </c>
      <c r="E424" s="40"/>
      <c r="F424" s="15"/>
      <c r="G424" s="17"/>
      <c r="H424" s="10" t="s">
        <v>8563</v>
      </c>
      <c r="I424" s="4" t="str">
        <f t="shared" si="43"/>
        <v>|al-Jámiʿah|</v>
      </c>
      <c r="J424" s="3" t="str">
        <f t="shared" si="44"/>
        <v>|al-Jami'ah|</v>
      </c>
      <c r="K424" s="3" t="str">
        <f t="shared" si="45"/>
        <v>al-Jamiah</v>
      </c>
      <c r="N424" s="39" t="str">
        <f t="shared" si="46"/>
        <v/>
      </c>
      <c r="P424" s="39" t="str">
        <f t="shared" si="47"/>
        <v/>
      </c>
      <c r="R424" s="39" t="str">
        <f t="shared" si="48"/>
        <v/>
      </c>
      <c r="S424" s="28"/>
      <c r="T424" s="28"/>
      <c r="U424" s="28"/>
    </row>
    <row r="425" spans="1:21" s="5" customFormat="1">
      <c r="A425" s="179" t="s">
        <v>678</v>
      </c>
      <c r="B425" s="185" t="s">
        <v>8878</v>
      </c>
      <c r="C425" s="35" t="str">
        <f t="shared" si="42"/>
        <v>alJannat</v>
      </c>
      <c r="E425" s="40"/>
      <c r="F425" s="15"/>
      <c r="G425" s="17"/>
      <c r="H425" s="10" t="s">
        <v>8563</v>
      </c>
      <c r="I425" s="4" t="str">
        <f t="shared" si="43"/>
        <v>|al-Jannat|</v>
      </c>
      <c r="J425" s="3" t="str">
        <f t="shared" si="44"/>
        <v>|al-Jannat|</v>
      </c>
      <c r="K425" s="3" t="str">
        <f t="shared" si="45"/>
        <v>al-Jannat</v>
      </c>
      <c r="N425" s="39" t="str">
        <f t="shared" si="46"/>
        <v/>
      </c>
      <c r="P425" s="39" t="str">
        <f t="shared" si="47"/>
        <v/>
      </c>
      <c r="R425" s="39" t="str">
        <f t="shared" si="48"/>
        <v/>
      </c>
      <c r="S425" s="28"/>
      <c r="T425" s="28"/>
      <c r="U425" s="28"/>
    </row>
    <row r="426" spans="1:21" s="5" customFormat="1">
      <c r="A426" s="179" t="s">
        <v>679</v>
      </c>
      <c r="B426" s="185" t="s">
        <v>8879</v>
      </c>
      <c r="C426" s="35" t="str">
        <f t="shared" si="42"/>
        <v>alJariyyah</v>
      </c>
      <c r="E426" s="40"/>
      <c r="F426" s="15"/>
      <c r="G426" s="17"/>
      <c r="H426" s="10" t="s">
        <v>8563</v>
      </c>
      <c r="I426" s="4" t="str">
        <f t="shared" si="43"/>
        <v>|al-Járíyyah|</v>
      </c>
      <c r="J426" s="3" t="str">
        <f t="shared" si="44"/>
        <v>|al-Jariyyah|</v>
      </c>
      <c r="K426" s="3" t="str">
        <f t="shared" si="45"/>
        <v>al-Jariyyah</v>
      </c>
      <c r="N426" s="39" t="str">
        <f t="shared" si="46"/>
        <v/>
      </c>
      <c r="P426" s="39" t="str">
        <f t="shared" si="47"/>
        <v/>
      </c>
      <c r="R426" s="39" t="str">
        <f t="shared" si="48"/>
        <v/>
      </c>
      <c r="S426" s="28"/>
      <c r="T426" s="28"/>
      <c r="U426" s="28"/>
    </row>
    <row r="427" spans="1:21" s="5" customFormat="1">
      <c r="A427" s="179" t="s">
        <v>680</v>
      </c>
      <c r="B427" s="185" t="s">
        <v>8880</v>
      </c>
      <c r="C427" s="35" t="str">
        <f t="shared" si="42"/>
        <v>alJarshi</v>
      </c>
      <c r="E427" s="40"/>
      <c r="F427" s="15"/>
      <c r="G427" s="17"/>
      <c r="H427" s="10" t="s">
        <v>8563</v>
      </c>
      <c r="I427" s="4" t="str">
        <f t="shared" si="43"/>
        <v>|al-Járí|</v>
      </c>
      <c r="J427" s="3" t="str">
        <f t="shared" si="44"/>
        <v>|al-Jarshi|</v>
      </c>
      <c r="K427" s="3" t="str">
        <f t="shared" si="45"/>
        <v>al-Jarshi</v>
      </c>
      <c r="N427" s="39" t="str">
        <f t="shared" si="46"/>
        <v/>
      </c>
      <c r="P427" s="39" t="str">
        <f t="shared" si="47"/>
        <v/>
      </c>
      <c r="R427" s="39" t="str">
        <f t="shared" si="48"/>
        <v/>
      </c>
      <c r="S427" s="28"/>
      <c r="T427" s="28"/>
      <c r="U427" s="28"/>
    </row>
    <row r="428" spans="1:21" s="5" customFormat="1">
      <c r="A428" s="179" t="s">
        <v>681</v>
      </c>
      <c r="B428" s="185" t="s">
        <v>5270</v>
      </c>
      <c r="C428" s="35" t="str">
        <f t="shared" si="42"/>
        <v>alJumhuriyyah</v>
      </c>
      <c r="E428" s="40"/>
      <c r="F428" s="15"/>
      <c r="G428" s="17"/>
      <c r="H428" s="10" t="s">
        <v>8563</v>
      </c>
      <c r="I428" s="4" t="str">
        <f t="shared" si="43"/>
        <v>|al-Jumhúriyyah|</v>
      </c>
      <c r="J428" s="3" t="str">
        <f t="shared" si="44"/>
        <v>|al-Jumhuriyyah|</v>
      </c>
      <c r="K428" s="3" t="str">
        <f t="shared" si="45"/>
        <v>al-Jumhuriyyah</v>
      </c>
      <c r="N428" s="39" t="str">
        <f t="shared" si="46"/>
        <v/>
      </c>
      <c r="P428" s="39" t="str">
        <f t="shared" si="47"/>
        <v/>
      </c>
      <c r="R428" s="39" t="str">
        <f t="shared" si="48"/>
        <v/>
      </c>
      <c r="S428" s="28"/>
      <c r="T428" s="28"/>
      <c r="U428" s="28"/>
    </row>
    <row r="429" spans="1:21" s="5" customFormat="1">
      <c r="A429" s="179" t="s">
        <v>682</v>
      </c>
      <c r="B429" s="185" t="s">
        <v>5271</v>
      </c>
      <c r="C429" s="35" t="str">
        <f t="shared" si="42"/>
        <v>alKafirun</v>
      </c>
      <c r="E429" s="40"/>
      <c r="F429" s="15" t="s">
        <v>683</v>
      </c>
      <c r="G429" s="17"/>
      <c r="H429" s="10" t="s">
        <v>8563</v>
      </c>
      <c r="I429" s="4" t="str">
        <f t="shared" si="43"/>
        <v>|al-Káfirún|</v>
      </c>
      <c r="J429" s="3" t="str">
        <f t="shared" si="44"/>
        <v>|al-Kafirun|</v>
      </c>
      <c r="K429" s="3" t="str">
        <f t="shared" si="45"/>
        <v>al-Kafirun</v>
      </c>
      <c r="N429" s="39" t="str">
        <f t="shared" si="46"/>
        <v/>
      </c>
      <c r="P429" s="39" t="str">
        <f t="shared" si="47"/>
        <v/>
      </c>
      <c r="R429" s="39" t="str">
        <f t="shared" si="48"/>
        <v/>
      </c>
      <c r="S429" s="28"/>
      <c r="T429" s="28"/>
      <c r="U429" s="28"/>
    </row>
    <row r="430" spans="1:21" s="5" customFormat="1">
      <c r="A430" s="179" t="s">
        <v>684</v>
      </c>
      <c r="B430" s="185" t="s">
        <v>5272</v>
      </c>
      <c r="C430" s="35" t="str">
        <f t="shared" si="42"/>
        <v>alKamil</v>
      </c>
      <c r="E430" s="40"/>
      <c r="F430" s="15"/>
      <c r="G430" s="17"/>
      <c r="H430" s="10" t="s">
        <v>8563</v>
      </c>
      <c r="I430" s="4" t="str">
        <f t="shared" si="43"/>
        <v>|al-Kámil|</v>
      </c>
      <c r="J430" s="3" t="str">
        <f t="shared" si="44"/>
        <v>|al-Kamil|</v>
      </c>
      <c r="K430" s="3" t="str">
        <f t="shared" si="45"/>
        <v>al-Kamil</v>
      </c>
      <c r="N430" s="39" t="str">
        <f t="shared" si="46"/>
        <v/>
      </c>
      <c r="P430" s="39" t="str">
        <f t="shared" si="47"/>
        <v/>
      </c>
      <c r="R430" s="39" t="str">
        <f t="shared" si="48"/>
        <v/>
      </c>
      <c r="S430" s="28"/>
      <c r="T430" s="28"/>
      <c r="U430" s="28"/>
    </row>
    <row r="431" spans="1:21" s="5" customFormat="1">
      <c r="A431" s="179" t="s">
        <v>685</v>
      </c>
      <c r="B431" s="185" t="s">
        <v>5273</v>
      </c>
      <c r="C431" s="35" t="str">
        <f t="shared" si="42"/>
        <v>alKatib</v>
      </c>
      <c r="E431" s="40"/>
      <c r="F431" s="15"/>
      <c r="G431" s="17"/>
      <c r="H431" s="10" t="s">
        <v>8563</v>
      </c>
      <c r="I431" s="4" t="str">
        <f t="shared" si="43"/>
        <v>|al-Káṭib|</v>
      </c>
      <c r="J431" s="3" t="str">
        <f t="shared" si="44"/>
        <v>|al-Katib|</v>
      </c>
      <c r="K431" s="3" t="str">
        <f t="shared" si="45"/>
        <v>al-Katib</v>
      </c>
      <c r="N431" s="39" t="str">
        <f t="shared" si="46"/>
        <v/>
      </c>
      <c r="P431" s="39" t="str">
        <f t="shared" si="47"/>
        <v/>
      </c>
      <c r="R431" s="39" t="str">
        <f t="shared" si="48"/>
        <v/>
      </c>
      <c r="S431" s="28"/>
      <c r="T431" s="28"/>
      <c r="U431" s="28"/>
    </row>
    <row r="432" spans="1:21" s="5" customFormat="1">
      <c r="A432" s="179" t="s">
        <v>686</v>
      </c>
      <c r="B432" s="185" t="s">
        <v>5274</v>
      </c>
      <c r="C432" s="35" t="str">
        <f t="shared" si="42"/>
        <v>alKawthar</v>
      </c>
      <c r="E432" s="40"/>
      <c r="F432" s="15"/>
      <c r="G432" s="17"/>
      <c r="H432" s="10" t="s">
        <v>8563</v>
      </c>
      <c r="I432" s="4" t="str">
        <f t="shared" si="43"/>
        <v>|al-Kawar|</v>
      </c>
      <c r="J432" s="3" t="str">
        <f t="shared" si="44"/>
        <v>|al-Kawthar|</v>
      </c>
      <c r="K432" s="3" t="str">
        <f t="shared" si="45"/>
        <v>al-Kawthar</v>
      </c>
      <c r="N432" s="39" t="str">
        <f t="shared" si="46"/>
        <v/>
      </c>
      <c r="P432" s="39" t="str">
        <f t="shared" si="47"/>
        <v/>
      </c>
      <c r="R432" s="39" t="str">
        <f t="shared" si="48"/>
        <v/>
      </c>
      <c r="S432" s="28"/>
      <c r="T432" s="28"/>
      <c r="U432" s="28"/>
    </row>
    <row r="433" spans="1:21" s="5" customFormat="1">
      <c r="A433" s="179" t="s">
        <v>687</v>
      </c>
      <c r="B433" s="185" t="s">
        <v>5275</v>
      </c>
      <c r="C433" s="35" t="str">
        <f t="shared" si="42"/>
        <v>alKazim</v>
      </c>
      <c r="E433" s="40"/>
      <c r="F433" s="15"/>
      <c r="G433" s="17"/>
      <c r="H433" s="10" t="s">
        <v>8563</v>
      </c>
      <c r="I433" s="4" t="str">
        <f t="shared" si="43"/>
        <v>|al-Káẓim|</v>
      </c>
      <c r="J433" s="3" t="str">
        <f t="shared" si="44"/>
        <v>|al-Kazim|</v>
      </c>
      <c r="K433" s="3" t="str">
        <f t="shared" si="45"/>
        <v>al-Kazim</v>
      </c>
      <c r="N433" s="39" t="str">
        <f t="shared" si="46"/>
        <v/>
      </c>
      <c r="P433" s="39" t="str">
        <f t="shared" si="47"/>
        <v/>
      </c>
      <c r="R433" s="39" t="str">
        <f t="shared" si="48"/>
        <v/>
      </c>
      <c r="S433" s="28"/>
      <c r="T433" s="28"/>
      <c r="U433" s="28"/>
    </row>
    <row r="434" spans="1:21" s="5" customFormat="1">
      <c r="A434" s="179" t="s">
        <v>688</v>
      </c>
      <c r="B434" s="185" t="s">
        <v>8881</v>
      </c>
      <c r="C434" s="35" t="str">
        <f t="shared" si="42"/>
        <v>alKhalis</v>
      </c>
      <c r="E434" s="40"/>
      <c r="F434" s="15"/>
      <c r="G434" s="17"/>
      <c r="H434" s="10" t="s">
        <v>8563</v>
      </c>
      <c r="I434" s="4" t="str">
        <f t="shared" si="43"/>
        <v>|al-áliṣ|</v>
      </c>
      <c r="J434" s="3" t="str">
        <f t="shared" si="44"/>
        <v>|al-Khalis|</v>
      </c>
      <c r="K434" s="3" t="str">
        <f t="shared" si="45"/>
        <v>al-Khalis</v>
      </c>
      <c r="N434" s="39" t="str">
        <f t="shared" si="46"/>
        <v/>
      </c>
      <c r="P434" s="39" t="str">
        <f t="shared" si="47"/>
        <v/>
      </c>
      <c r="R434" s="39" t="str">
        <f t="shared" si="48"/>
        <v/>
      </c>
      <c r="S434" s="28"/>
      <c r="T434" s="28"/>
      <c r="U434" s="28"/>
    </row>
    <row r="435" spans="1:21" s="5" customFormat="1">
      <c r="A435" s="179" t="s">
        <v>689</v>
      </c>
      <c r="B435" s="185" t="s">
        <v>5276</v>
      </c>
      <c r="C435" s="35" t="str">
        <f t="shared" si="42"/>
        <v>alKhass</v>
      </c>
      <c r="E435" s="40"/>
      <c r="F435" s="15"/>
      <c r="G435" s="17"/>
      <c r="H435" s="10" t="s">
        <v>8563</v>
      </c>
      <c r="I435" s="4" t="str">
        <f t="shared" si="43"/>
        <v>|al-áṣṣ|</v>
      </c>
      <c r="J435" s="3" t="str">
        <f t="shared" si="44"/>
        <v>|al-Khass|</v>
      </c>
      <c r="K435" s="3" t="str">
        <f t="shared" si="45"/>
        <v>al-Khass</v>
      </c>
      <c r="N435" s="39" t="str">
        <f t="shared" si="46"/>
        <v/>
      </c>
      <c r="P435" s="39" t="str">
        <f t="shared" si="47"/>
        <v/>
      </c>
      <c r="R435" s="39" t="str">
        <f t="shared" si="48"/>
        <v/>
      </c>
      <c r="S435" s="28"/>
      <c r="T435" s="28"/>
      <c r="U435" s="28"/>
    </row>
    <row r="436" spans="1:21" s="5" customFormat="1">
      <c r="A436" s="179" t="s">
        <v>690</v>
      </c>
      <c r="B436" s="185" t="s">
        <v>5277</v>
      </c>
      <c r="C436" s="35" t="str">
        <f t="shared" si="42"/>
        <v>alKhassah</v>
      </c>
      <c r="E436" s="40"/>
      <c r="F436" s="15"/>
      <c r="G436" s="17"/>
      <c r="H436" s="10" t="s">
        <v>8563</v>
      </c>
      <c r="I436" s="4" t="str">
        <f t="shared" si="43"/>
        <v>|al-áṣṣah|</v>
      </c>
      <c r="J436" s="3" t="str">
        <f t="shared" si="44"/>
        <v>|al-Khassah|</v>
      </c>
      <c r="K436" s="3" t="str">
        <f t="shared" si="45"/>
        <v>al-Khassah</v>
      </c>
      <c r="N436" s="39" t="str">
        <f t="shared" si="46"/>
        <v/>
      </c>
      <c r="P436" s="39" t="str">
        <f t="shared" si="47"/>
        <v/>
      </c>
      <c r="R436" s="39" t="str">
        <f t="shared" si="48"/>
        <v/>
      </c>
      <c r="S436" s="28"/>
      <c r="T436" s="28"/>
      <c r="U436" s="28"/>
    </row>
    <row r="437" spans="1:21" s="5" customFormat="1">
      <c r="A437" s="179" t="s">
        <v>692</v>
      </c>
      <c r="B437" s="185" t="s">
        <v>5278</v>
      </c>
      <c r="C437" s="35" t="str">
        <f t="shared" si="42"/>
        <v>alKhuld</v>
      </c>
      <c r="E437" s="40"/>
      <c r="F437" s="15"/>
      <c r="G437" s="17"/>
      <c r="H437" s="10" t="s">
        <v>8563</v>
      </c>
      <c r="I437" s="4" t="str">
        <f t="shared" si="43"/>
        <v>|al-uld|</v>
      </c>
      <c r="J437" s="3" t="str">
        <f t="shared" si="44"/>
        <v>|al-Khuld|</v>
      </c>
      <c r="K437" s="3" t="str">
        <f t="shared" si="45"/>
        <v>al-Khuld</v>
      </c>
      <c r="N437" s="39" t="str">
        <f t="shared" si="46"/>
        <v/>
      </c>
      <c r="P437" s="39" t="str">
        <f t="shared" si="47"/>
        <v/>
      </c>
      <c r="R437" s="39" t="str">
        <f t="shared" si="48"/>
        <v/>
      </c>
      <c r="S437" s="28"/>
      <c r="T437" s="28"/>
      <c r="U437" s="28"/>
    </row>
    <row r="438" spans="1:21" s="5" customFormat="1">
      <c r="A438" s="179" t="s">
        <v>693</v>
      </c>
      <c r="B438" s="185" t="s">
        <v>5279</v>
      </c>
      <c r="C438" s="35" t="str">
        <f t="shared" si="42"/>
        <v>alKhullas</v>
      </c>
      <c r="E438" s="40"/>
      <c r="F438" s="15"/>
      <c r="G438" s="17"/>
      <c r="H438" s="10" t="s">
        <v>8563</v>
      </c>
      <c r="I438" s="4" t="str">
        <f t="shared" si="43"/>
        <v>|al-ullaṣ|</v>
      </c>
      <c r="J438" s="3" t="str">
        <f t="shared" si="44"/>
        <v>|al-Khullas|</v>
      </c>
      <c r="K438" s="3" t="str">
        <f t="shared" si="45"/>
        <v>al-Khullas</v>
      </c>
      <c r="N438" s="39" t="str">
        <f t="shared" si="46"/>
        <v/>
      </c>
      <c r="P438" s="39" t="str">
        <f t="shared" si="47"/>
        <v/>
      </c>
      <c r="R438" s="39" t="str">
        <f t="shared" si="48"/>
        <v/>
      </c>
      <c r="S438" s="28"/>
      <c r="T438" s="28"/>
      <c r="U438" s="28"/>
    </row>
    <row r="439" spans="1:21" s="5" customFormat="1">
      <c r="A439" s="179" t="s">
        <v>695</v>
      </c>
      <c r="B439" s="185" t="s">
        <v>8882</v>
      </c>
      <c r="C439" s="35" t="str">
        <f t="shared" si="42"/>
        <v>alKhutabat</v>
      </c>
      <c r="E439" s="40"/>
      <c r="F439" s="15"/>
      <c r="G439" s="17"/>
      <c r="H439" s="10" t="s">
        <v>8563</v>
      </c>
      <c r="I439" s="4" t="str">
        <f t="shared" si="43"/>
        <v>|al-uṭabát|</v>
      </c>
      <c r="J439" s="3" t="str">
        <f t="shared" si="44"/>
        <v>|al-Khutabat|</v>
      </c>
      <c r="K439" s="3" t="str">
        <f t="shared" si="45"/>
        <v>al-Khutabat</v>
      </c>
      <c r="N439" s="39" t="str">
        <f t="shared" si="46"/>
        <v/>
      </c>
      <c r="P439" s="39" t="str">
        <f t="shared" si="47"/>
        <v/>
      </c>
      <c r="R439" s="39" t="str">
        <f t="shared" si="48"/>
        <v/>
      </c>
      <c r="S439" s="28"/>
      <c r="T439" s="28"/>
      <c r="U439" s="28"/>
    </row>
    <row r="440" spans="1:21" s="5" customFormat="1">
      <c r="A440" s="179" t="s">
        <v>694</v>
      </c>
      <c r="B440" s="185" t="s">
        <v>5280</v>
      </c>
      <c r="C440" s="35" t="str">
        <f t="shared" si="42"/>
        <v>alKhutbah</v>
      </c>
      <c r="E440" s="40"/>
      <c r="F440" s="15"/>
      <c r="G440" s="17"/>
      <c r="H440" s="10" t="s">
        <v>8563</v>
      </c>
      <c r="I440" s="4" t="str">
        <f t="shared" si="43"/>
        <v>|al-uṭbah|</v>
      </c>
      <c r="J440" s="3" t="str">
        <f t="shared" si="44"/>
        <v>|al-Khutbah|</v>
      </c>
      <c r="K440" s="3" t="str">
        <f t="shared" si="45"/>
        <v>al-Khutbah</v>
      </c>
      <c r="N440" s="39" t="str">
        <f t="shared" si="46"/>
        <v/>
      </c>
      <c r="P440" s="39" t="str">
        <f t="shared" si="47"/>
        <v/>
      </c>
      <c r="R440" s="39" t="str">
        <f t="shared" si="48"/>
        <v/>
      </c>
      <c r="S440" s="28"/>
      <c r="T440" s="28"/>
      <c r="U440" s="28"/>
    </row>
    <row r="441" spans="1:21" s="5" customFormat="1">
      <c r="A441" s="179" t="s">
        <v>691</v>
      </c>
      <c r="B441" s="185" t="s">
        <v>8883</v>
      </c>
      <c r="C441" s="35" t="str">
        <f t="shared" si="42"/>
        <v>alKhwarazmi</v>
      </c>
      <c r="E441" s="40"/>
      <c r="F441" s="14"/>
      <c r="G441" s="17"/>
      <c r="H441" s="10" t="s">
        <v>8563</v>
      </c>
      <c r="I441" s="4" t="str">
        <f t="shared" si="43"/>
        <v>|al-wárazmí|</v>
      </c>
      <c r="J441" s="3" t="str">
        <f t="shared" si="44"/>
        <v>|al-Khwarazmi|</v>
      </c>
      <c r="K441" s="3" t="str">
        <f t="shared" si="45"/>
        <v>al-Khwarazmi</v>
      </c>
      <c r="N441" s="39" t="str">
        <f t="shared" si="46"/>
        <v/>
      </c>
      <c r="P441" s="39" t="str">
        <f t="shared" si="47"/>
        <v/>
      </c>
      <c r="R441" s="39" t="str">
        <f t="shared" si="48"/>
        <v/>
      </c>
      <c r="S441" s="28"/>
      <c r="T441" s="28"/>
      <c r="U441" s="28"/>
    </row>
    <row r="442" spans="1:21" s="5" customFormat="1">
      <c r="A442" s="179" t="s">
        <v>685</v>
      </c>
      <c r="B442" s="185" t="s">
        <v>8884</v>
      </c>
      <c r="C442" s="35" t="str">
        <f t="shared" si="42"/>
        <v>alKitab</v>
      </c>
      <c r="E442" s="40"/>
      <c r="F442" s="15"/>
      <c r="G442" s="17"/>
      <c r="H442" s="10" t="s">
        <v>8563</v>
      </c>
      <c r="I442" s="4" t="str">
        <f t="shared" si="43"/>
        <v>|al-Kitáb|</v>
      </c>
      <c r="J442" s="3" t="str">
        <f t="shared" si="44"/>
        <v>|al-Kitab|</v>
      </c>
      <c r="K442" s="3" t="str">
        <f t="shared" si="45"/>
        <v>al-Kitab</v>
      </c>
      <c r="N442" s="39" t="str">
        <f t="shared" si="46"/>
        <v/>
      </c>
      <c r="P442" s="39" t="str">
        <f t="shared" si="47"/>
        <v/>
      </c>
      <c r="R442" s="39" t="str">
        <f t="shared" si="48"/>
        <v/>
      </c>
      <c r="S442" s="28"/>
      <c r="T442" s="28"/>
      <c r="U442" s="28"/>
    </row>
    <row r="443" spans="1:21" s="5" customFormat="1">
      <c r="A443" s="179" t="s">
        <v>696</v>
      </c>
      <c r="B443" s="185" t="s">
        <v>5281</v>
      </c>
      <c r="C443" s="35" t="str">
        <f t="shared" si="42"/>
        <v>alKubra</v>
      </c>
      <c r="E443" s="40"/>
      <c r="F443" s="15"/>
      <c r="G443" s="17"/>
      <c r="H443" s="10" t="s">
        <v>8563</v>
      </c>
      <c r="I443" s="4" t="str">
        <f t="shared" si="43"/>
        <v>|al-Kubrá|</v>
      </c>
      <c r="J443" s="3" t="str">
        <f t="shared" si="44"/>
        <v>|al-Kubra|</v>
      </c>
      <c r="K443" s="3" t="str">
        <f t="shared" si="45"/>
        <v>al-Kubra</v>
      </c>
      <c r="N443" s="39" t="str">
        <f t="shared" si="46"/>
        <v/>
      </c>
      <c r="P443" s="39" t="str">
        <f t="shared" si="47"/>
        <v/>
      </c>
      <c r="R443" s="39" t="str">
        <f t="shared" si="48"/>
        <v/>
      </c>
      <c r="S443" s="28"/>
      <c r="T443" s="28"/>
      <c r="U443" s="28"/>
    </row>
    <row r="444" spans="1:21" s="5" customFormat="1">
      <c r="A444" s="179" t="s">
        <v>697</v>
      </c>
      <c r="B444" s="185" t="s">
        <v>83</v>
      </c>
      <c r="C444" s="35" t="str">
        <f t="shared" si="42"/>
        <v>Allah</v>
      </c>
      <c r="E444" s="40"/>
      <c r="F444" s="14" t="s">
        <v>698</v>
      </c>
      <c r="G444" s="17"/>
      <c r="H444" s="10" t="s">
        <v>8563</v>
      </c>
      <c r="I444" s="4" t="str">
        <f t="shared" si="43"/>
        <v>|Alláh|</v>
      </c>
      <c r="J444" s="3" t="str">
        <f t="shared" si="44"/>
        <v>|Allah|</v>
      </c>
      <c r="K444" s="3" t="str">
        <f t="shared" si="45"/>
        <v>Allah</v>
      </c>
      <c r="N444" s="39" t="str">
        <f t="shared" si="46"/>
        <v/>
      </c>
      <c r="P444" s="39" t="str">
        <f t="shared" si="47"/>
        <v/>
      </c>
      <c r="R444" s="39" t="str">
        <f t="shared" si="48"/>
        <v/>
      </c>
      <c r="S444" s="28"/>
      <c r="T444" s="28"/>
      <c r="U444" s="28"/>
    </row>
    <row r="445" spans="1:21" s="5" customFormat="1">
      <c r="A445" s="179" t="s">
        <v>699</v>
      </c>
      <c r="B445" s="185" t="s">
        <v>5282</v>
      </c>
      <c r="C445" s="35" t="str">
        <f t="shared" si="42"/>
        <v>Allahabad</v>
      </c>
      <c r="E445" s="40"/>
      <c r="F445" s="14"/>
      <c r="G445" s="17"/>
      <c r="H445" s="10" t="s">
        <v>8563</v>
      </c>
      <c r="I445" s="4" t="str">
        <f t="shared" si="43"/>
        <v>|Alláhábád|</v>
      </c>
      <c r="J445" s="3" t="str">
        <f t="shared" si="44"/>
        <v>|Allahabad|</v>
      </c>
      <c r="K445" s="3" t="str">
        <f t="shared" si="45"/>
        <v>Allahabad</v>
      </c>
      <c r="N445" s="39" t="str">
        <f t="shared" si="46"/>
        <v/>
      </c>
      <c r="P445" s="39" t="str">
        <f t="shared" si="47"/>
        <v/>
      </c>
      <c r="R445" s="39" t="str">
        <f t="shared" si="48"/>
        <v/>
      </c>
      <c r="S445" s="28"/>
      <c r="T445" s="28"/>
      <c r="U445" s="28"/>
    </row>
    <row r="446" spans="1:21" s="5" customFormat="1">
      <c r="A446" s="179" t="s">
        <v>705</v>
      </c>
      <c r="B446" s="185" t="s">
        <v>8885</v>
      </c>
      <c r="C446" s="35" t="str">
        <f t="shared" si="42"/>
        <v>AllahuAazam</v>
      </c>
      <c r="E446" s="40"/>
      <c r="F446" s="14"/>
      <c r="G446" s="17"/>
      <c r="H446" s="10" t="s">
        <v>8563</v>
      </c>
      <c r="I446" s="4" t="str">
        <f t="shared" si="43"/>
        <v>|Alláh-u-Aʿaẓam|</v>
      </c>
      <c r="J446" s="3" t="str">
        <f t="shared" si="44"/>
        <v>|Allah-u-A'azam|</v>
      </c>
      <c r="K446" s="3" t="str">
        <f t="shared" si="45"/>
        <v>Allah-u-Aazam</v>
      </c>
      <c r="N446" s="39" t="str">
        <f t="shared" si="46"/>
        <v/>
      </c>
      <c r="P446" s="39" t="str">
        <f t="shared" si="47"/>
        <v/>
      </c>
      <c r="R446" s="39" t="str">
        <f t="shared" si="48"/>
        <v/>
      </c>
      <c r="S446" s="28"/>
      <c r="T446" s="28"/>
      <c r="U446" s="28"/>
    </row>
    <row r="447" spans="1:21" s="5" customFormat="1">
      <c r="A447" s="179" t="s">
        <v>700</v>
      </c>
      <c r="B447" s="185" t="s">
        <v>5283</v>
      </c>
      <c r="C447" s="35" t="str">
        <f t="shared" si="42"/>
        <v>AllahuAbha</v>
      </c>
      <c r="E447" s="40"/>
      <c r="F447" s="14" t="s">
        <v>701</v>
      </c>
      <c r="G447" s="17"/>
      <c r="H447" s="10" t="s">
        <v>8563</v>
      </c>
      <c r="I447" s="4" t="str">
        <f t="shared" si="43"/>
        <v>|Alláh-u-Abhá|</v>
      </c>
      <c r="J447" s="3" t="str">
        <f t="shared" si="44"/>
        <v>|Allah-u-Abha|</v>
      </c>
      <c r="K447" s="3" t="str">
        <f t="shared" si="45"/>
        <v>Allah-u-Abha</v>
      </c>
      <c r="N447" s="39" t="str">
        <f t="shared" si="46"/>
        <v/>
      </c>
      <c r="P447" s="39" t="str">
        <f t="shared" si="47"/>
        <v/>
      </c>
      <c r="R447" s="39" t="str">
        <f t="shared" si="48"/>
        <v/>
      </c>
      <c r="S447" s="28"/>
      <c r="T447" s="29">
        <v>41801</v>
      </c>
      <c r="U447" s="28" t="s">
        <v>9483</v>
      </c>
    </row>
    <row r="448" spans="1:21" s="5" customFormat="1">
      <c r="A448" s="179" t="s">
        <v>702</v>
      </c>
      <c r="B448" s="185" t="s">
        <v>5284</v>
      </c>
      <c r="C448" s="35" t="str">
        <f t="shared" si="42"/>
        <v>AllahuAjmal</v>
      </c>
      <c r="E448" s="40"/>
      <c r="F448" s="14"/>
      <c r="G448" s="17"/>
      <c r="H448" s="10" t="s">
        <v>8563</v>
      </c>
      <c r="I448" s="4" t="str">
        <f t="shared" si="43"/>
        <v>|Alláh-u-Ajmal|</v>
      </c>
      <c r="J448" s="3" t="str">
        <f t="shared" si="44"/>
        <v>|Allah-u-Ajmal|</v>
      </c>
      <c r="K448" s="3" t="str">
        <f t="shared" si="45"/>
        <v>Allah-u-Ajmal</v>
      </c>
      <c r="N448" s="39" t="str">
        <f t="shared" si="46"/>
        <v/>
      </c>
      <c r="P448" s="39" t="str">
        <f t="shared" si="47"/>
        <v/>
      </c>
      <c r="R448" s="39" t="str">
        <f t="shared" si="48"/>
        <v/>
      </c>
      <c r="S448" s="28"/>
      <c r="T448" s="28"/>
      <c r="U448" s="28"/>
    </row>
    <row r="449" spans="1:21" s="5" customFormat="1">
      <c r="A449" s="179" t="s">
        <v>703</v>
      </c>
      <c r="B449" s="185" t="s">
        <v>5285</v>
      </c>
      <c r="C449" s="35" t="str">
        <f t="shared" si="42"/>
        <v>AllahuAkbar</v>
      </c>
      <c r="E449" s="40"/>
      <c r="F449" s="14" t="s">
        <v>704</v>
      </c>
      <c r="G449" s="17"/>
      <c r="H449" s="10" t="s">
        <v>8563</v>
      </c>
      <c r="I449" s="4" t="str">
        <f t="shared" si="43"/>
        <v>|Alláh-u-Akbar|</v>
      </c>
      <c r="J449" s="3" t="str">
        <f t="shared" si="44"/>
        <v>|Allah-u-Akbar|</v>
      </c>
      <c r="K449" s="3" t="str">
        <f t="shared" si="45"/>
        <v>Allah-u-Akbar</v>
      </c>
      <c r="N449" s="39" t="str">
        <f t="shared" si="46"/>
        <v/>
      </c>
      <c r="P449" s="39" t="str">
        <f t="shared" si="47"/>
        <v/>
      </c>
      <c r="R449" s="39" t="str">
        <f t="shared" si="48"/>
        <v/>
      </c>
      <c r="S449" s="28"/>
      <c r="T449" s="28"/>
      <c r="U449" s="28"/>
    </row>
    <row r="450" spans="1:21" s="5" customFormat="1">
      <c r="A450" s="179" t="s">
        <v>706</v>
      </c>
      <c r="B450" s="185" t="s">
        <v>5286</v>
      </c>
      <c r="C450" s="35" t="str">
        <f t="shared" si="42"/>
        <v>AllahulMustaghath</v>
      </c>
      <c r="E450" s="40"/>
      <c r="F450" s="15"/>
      <c r="G450" s="17"/>
      <c r="H450" s="10" t="s">
        <v>8563</v>
      </c>
      <c r="I450" s="4" t="str">
        <f t="shared" si="43"/>
        <v>|Alláhu’l-Mustaá|</v>
      </c>
      <c r="J450" s="3" t="str">
        <f t="shared" si="44"/>
        <v>|Allahu'l-Mustaghath|</v>
      </c>
      <c r="K450" s="3" t="str">
        <f t="shared" si="45"/>
        <v>Allahul-Mustaghath</v>
      </c>
      <c r="N450" s="39" t="str">
        <f t="shared" si="46"/>
        <v/>
      </c>
      <c r="P450" s="39" t="str">
        <f t="shared" si="47"/>
        <v/>
      </c>
      <c r="R450" s="39" t="str">
        <f t="shared" si="48"/>
        <v/>
      </c>
      <c r="S450" s="28"/>
      <c r="T450" s="28"/>
      <c r="U450" s="28"/>
    </row>
    <row r="451" spans="1:21" s="5" customFormat="1">
      <c r="A451" s="179" t="s">
        <v>707</v>
      </c>
      <c r="B451" s="185" t="s">
        <v>5287</v>
      </c>
      <c r="C451" s="35" t="str">
        <f t="shared" ref="C451:C514" si="49">SUBSTITUTE(SUBSTITUTE(K451,"-","")," ","")</f>
        <v>Allahumma</v>
      </c>
      <c r="E451" s="40"/>
      <c r="F451" s="15"/>
      <c r="G451" s="17"/>
      <c r="H451" s="10" t="s">
        <v>8563</v>
      </c>
      <c r="I451" s="4" t="str">
        <f t="shared" ref="I451:I514" si="50">CONCATENATE("|",B451,"|")</f>
        <v>|Alláhumma|</v>
      </c>
      <c r="J451" s="3" t="str">
        <f t="shared" ref="J451:J514" si="51">CONCATENATE("|",F_OutputASCII(B451),"|")</f>
        <v>|Allahumma|</v>
      </c>
      <c r="K451" s="3" t="str">
        <f t="shared" ref="K451:K514" si="52">IF(SUBSTITUTE(MID(J451,2,LEN(J451)-2),"'","")&lt;&gt;"",SUBSTITUTE(MID(J451,2,LEN(J451)-2),"'",""),"ZZZZZ")</f>
        <v>Allahumma</v>
      </c>
      <c r="N451" s="39" t="str">
        <f t="shared" ref="N451:N514" si="53">SUBSTITUTE(SUBSTITUTE(SUBSTITUTE(F_OutputASCII(M451),"-","")," ",""),"'","")</f>
        <v/>
      </c>
      <c r="P451" s="39" t="str">
        <f t="shared" ref="P451:P514" si="54">SUBSTITUTE(SUBSTITUTE(SUBSTITUTE(F_OutputASCII(O451),"-","")," ",""),"'","")</f>
        <v/>
      </c>
      <c r="R451" s="39" t="str">
        <f t="shared" si="48"/>
        <v/>
      </c>
      <c r="S451" s="28"/>
      <c r="T451" s="28"/>
      <c r="U451" s="28"/>
    </row>
    <row r="452" spans="1:21" s="5" customFormat="1">
      <c r="A452" s="179" t="s">
        <v>708</v>
      </c>
      <c r="B452" s="185" t="s">
        <v>5288</v>
      </c>
      <c r="C452" s="35" t="str">
        <f t="shared" si="49"/>
        <v>AllahVirdi</v>
      </c>
      <c r="E452" s="40"/>
      <c r="F452" s="15"/>
      <c r="G452" s="17"/>
      <c r="H452" s="10" t="s">
        <v>8563</v>
      </c>
      <c r="I452" s="4" t="str">
        <f t="shared" si="50"/>
        <v>|Alláh-Virdí|</v>
      </c>
      <c r="J452" s="3" t="str">
        <f t="shared" si="51"/>
        <v>|Allah-Virdi|</v>
      </c>
      <c r="K452" s="3" t="str">
        <f t="shared" si="52"/>
        <v>Allah-Virdi</v>
      </c>
      <c r="N452" s="39" t="str">
        <f t="shared" si="53"/>
        <v/>
      </c>
      <c r="P452" s="39" t="str">
        <f t="shared" si="54"/>
        <v/>
      </c>
      <c r="R452" s="39" t="str">
        <f t="shared" ref="R452:R515" si="55">SUBSTITUTE(SUBSTITUTE(Q452,"-","")," ","")</f>
        <v/>
      </c>
      <c r="S452" s="28"/>
      <c r="T452" s="28"/>
      <c r="U452" s="28"/>
    </row>
    <row r="453" spans="1:21" s="5" customFormat="1">
      <c r="A453" s="179" t="s">
        <v>709</v>
      </c>
      <c r="B453" s="185" t="s">
        <v>5289</v>
      </c>
      <c r="C453" s="35" t="str">
        <f t="shared" si="49"/>
        <v>AllahYar</v>
      </c>
      <c r="E453" s="40"/>
      <c r="F453" s="14"/>
      <c r="G453" s="17"/>
      <c r="H453" s="10" t="s">
        <v>8563</v>
      </c>
      <c r="I453" s="4" t="str">
        <f t="shared" si="50"/>
        <v>|Alláh-Yár|</v>
      </c>
      <c r="J453" s="3" t="str">
        <f t="shared" si="51"/>
        <v>|Allah-Yar|</v>
      </c>
      <c r="K453" s="3" t="str">
        <f t="shared" si="52"/>
        <v>Allah-Yar</v>
      </c>
      <c r="N453" s="39" t="str">
        <f t="shared" si="53"/>
        <v/>
      </c>
      <c r="P453" s="39" t="str">
        <f t="shared" si="54"/>
        <v/>
      </c>
      <c r="R453" s="39" t="str">
        <f t="shared" si="55"/>
        <v/>
      </c>
      <c r="S453" s="28"/>
      <c r="T453" s="28"/>
      <c r="U453" s="28"/>
    </row>
    <row r="454" spans="1:21" s="5" customFormat="1">
      <c r="A454" s="179" t="s">
        <v>710</v>
      </c>
      <c r="B454" s="185" t="s">
        <v>5290</v>
      </c>
      <c r="C454" s="35" t="str">
        <f t="shared" si="49"/>
        <v>Allam</v>
      </c>
      <c r="E454" s="40"/>
      <c r="F454" s="15" t="s">
        <v>711</v>
      </c>
      <c r="G454" s="17"/>
      <c r="H454" s="10" t="s">
        <v>8563</v>
      </c>
      <c r="I454" s="4" t="str">
        <f t="shared" si="50"/>
        <v>|ʿAllám|</v>
      </c>
      <c r="J454" s="3" t="str">
        <f t="shared" si="51"/>
        <v>|'Allam|</v>
      </c>
      <c r="K454" s="3" t="str">
        <f t="shared" si="52"/>
        <v>Allam</v>
      </c>
      <c r="N454" s="39" t="str">
        <f t="shared" si="53"/>
        <v/>
      </c>
      <c r="P454" s="39" t="str">
        <f t="shared" si="54"/>
        <v/>
      </c>
      <c r="R454" s="39" t="str">
        <f t="shared" si="55"/>
        <v/>
      </c>
      <c r="S454" s="28"/>
      <c r="T454" s="28"/>
      <c r="U454" s="28"/>
    </row>
    <row r="455" spans="1:21" s="5" customFormat="1">
      <c r="A455" s="179" t="s">
        <v>517</v>
      </c>
      <c r="B455" s="185" t="s">
        <v>5142</v>
      </c>
      <c r="C455" s="35" t="str">
        <f t="shared" si="49"/>
        <v>Allamah</v>
      </c>
      <c r="E455" s="40"/>
      <c r="F455" s="15" t="s">
        <v>518</v>
      </c>
      <c r="G455" s="17"/>
      <c r="H455" s="10" t="s">
        <v>8563</v>
      </c>
      <c r="I455" s="4" t="str">
        <f t="shared" si="50"/>
        <v>|ʿAllámah|</v>
      </c>
      <c r="J455" s="3" t="str">
        <f t="shared" si="51"/>
        <v>|'Allamah|</v>
      </c>
      <c r="K455" s="3" t="str">
        <f t="shared" si="52"/>
        <v>Allamah</v>
      </c>
      <c r="N455" s="39" t="str">
        <f t="shared" si="53"/>
        <v/>
      </c>
      <c r="P455" s="39" t="str">
        <f t="shared" si="54"/>
        <v/>
      </c>
      <c r="R455" s="39" t="str">
        <f t="shared" si="55"/>
        <v/>
      </c>
      <c r="S455" s="28"/>
      <c r="T455" s="28"/>
      <c r="U455" s="28"/>
    </row>
    <row r="456" spans="1:21" s="5" customFormat="1">
      <c r="A456" s="179" t="s">
        <v>712</v>
      </c>
      <c r="B456" s="185" t="s">
        <v>5291</v>
      </c>
      <c r="C456" s="35" t="str">
        <f t="shared" si="49"/>
        <v>AllamiyiHilli</v>
      </c>
      <c r="E456" s="40"/>
      <c r="F456" s="15" t="s">
        <v>713</v>
      </c>
      <c r="G456" s="17"/>
      <c r="H456" s="10" t="s">
        <v>8563</v>
      </c>
      <c r="I456" s="4" t="str">
        <f t="shared" si="50"/>
        <v>|ʿAllámiy-i-Ḥillí|</v>
      </c>
      <c r="J456" s="3" t="str">
        <f t="shared" si="51"/>
        <v>|'Allamiy-i-Hilli|</v>
      </c>
      <c r="K456" s="3" t="str">
        <f t="shared" si="52"/>
        <v>Allamiy-i-Hilli</v>
      </c>
      <c r="N456" s="39" t="str">
        <f t="shared" si="53"/>
        <v/>
      </c>
      <c r="P456" s="39" t="str">
        <f t="shared" si="54"/>
        <v/>
      </c>
      <c r="R456" s="39" t="str">
        <f t="shared" si="55"/>
        <v/>
      </c>
      <c r="S456" s="28"/>
      <c r="T456" s="28"/>
      <c r="U456" s="28"/>
    </row>
    <row r="457" spans="1:21" s="5" customFormat="1">
      <c r="A457" s="179" t="s">
        <v>714</v>
      </c>
      <c r="B457" s="185" t="s">
        <v>5292</v>
      </c>
      <c r="C457" s="35" t="str">
        <f t="shared" si="49"/>
        <v>AllamiyiNuri</v>
      </c>
      <c r="E457" s="40"/>
      <c r="F457" s="15"/>
      <c r="G457" s="17"/>
      <c r="H457" s="10" t="s">
        <v>8563</v>
      </c>
      <c r="I457" s="4" t="str">
        <f t="shared" si="50"/>
        <v>|ʿAllámiy-i-Núrí|</v>
      </c>
      <c r="J457" s="3" t="str">
        <f t="shared" si="51"/>
        <v>|'Allamiy-i-Nuri|</v>
      </c>
      <c r="K457" s="3" t="str">
        <f t="shared" si="52"/>
        <v>Allamiy-i-Nuri</v>
      </c>
      <c r="N457" s="39" t="str">
        <f t="shared" si="53"/>
        <v/>
      </c>
      <c r="P457" s="39" t="str">
        <f t="shared" si="54"/>
        <v/>
      </c>
      <c r="R457" s="39" t="str">
        <f t="shared" si="55"/>
        <v/>
      </c>
      <c r="S457" s="28"/>
      <c r="T457" s="28"/>
      <c r="U457" s="28"/>
    </row>
    <row r="458" spans="1:21" s="5" customFormat="1">
      <c r="A458" s="179" t="s">
        <v>715</v>
      </c>
      <c r="B458" s="185" t="s">
        <v>5293</v>
      </c>
      <c r="C458" s="35" t="str">
        <f t="shared" si="49"/>
        <v>alLamrasaki</v>
      </c>
      <c r="E458" s="40"/>
      <c r="F458" s="15"/>
      <c r="G458" s="17"/>
      <c r="H458" s="10" t="s">
        <v>8563</v>
      </c>
      <c r="I458" s="4" t="str">
        <f t="shared" si="50"/>
        <v>|al-Lamrásakí|</v>
      </c>
      <c r="J458" s="3" t="str">
        <f t="shared" si="51"/>
        <v>|al-Lamrasaki|</v>
      </c>
      <c r="K458" s="3" t="str">
        <f t="shared" si="52"/>
        <v>al-Lamrasaki</v>
      </c>
      <c r="N458" s="39" t="str">
        <f t="shared" si="53"/>
        <v/>
      </c>
      <c r="P458" s="39" t="str">
        <f t="shared" si="54"/>
        <v/>
      </c>
      <c r="R458" s="39" t="str">
        <f t="shared" si="55"/>
        <v/>
      </c>
      <c r="S458" s="28"/>
      <c r="T458" s="28"/>
      <c r="U458" s="28"/>
    </row>
    <row r="459" spans="1:21" s="5" customFormat="1">
      <c r="A459" s="179" t="s">
        <v>716</v>
      </c>
      <c r="B459" s="185" t="s">
        <v>5294</v>
      </c>
      <c r="C459" s="35" t="str">
        <f t="shared" si="49"/>
        <v>alLawh</v>
      </c>
      <c r="E459" s="40"/>
      <c r="F459" s="15"/>
      <c r="G459" s="17"/>
      <c r="H459" s="10" t="s">
        <v>8563</v>
      </c>
      <c r="I459" s="4" t="str">
        <f t="shared" si="50"/>
        <v>|al-Lawḥ|</v>
      </c>
      <c r="J459" s="3" t="str">
        <f t="shared" si="51"/>
        <v>|al-Lawh|</v>
      </c>
      <c r="K459" s="3" t="str">
        <f t="shared" si="52"/>
        <v>al-Lawh</v>
      </c>
      <c r="N459" s="39" t="str">
        <f t="shared" si="53"/>
        <v/>
      </c>
      <c r="P459" s="39" t="str">
        <f t="shared" si="54"/>
        <v/>
      </c>
      <c r="R459" s="39" t="str">
        <f t="shared" si="55"/>
        <v/>
      </c>
      <c r="S459" s="28"/>
      <c r="T459" s="28"/>
      <c r="U459" s="28"/>
    </row>
    <row r="460" spans="1:21" s="5" customFormat="1">
      <c r="A460" s="179" t="s">
        <v>672</v>
      </c>
      <c r="B460" s="185" t="s">
        <v>5295</v>
      </c>
      <c r="C460" s="35" t="str">
        <f t="shared" si="49"/>
        <v>Alliyullahi</v>
      </c>
      <c r="E460" s="40"/>
      <c r="F460" s="14"/>
      <c r="G460" s="17"/>
      <c r="H460" s="10" t="s">
        <v>8563</v>
      </c>
      <c r="I460" s="4" t="str">
        <f t="shared" si="50"/>
        <v>|ʿAllíyu’lláhí|</v>
      </c>
      <c r="J460" s="3" t="str">
        <f t="shared" si="51"/>
        <v>|'Alliyu'llahi|</v>
      </c>
      <c r="K460" s="3" t="str">
        <f t="shared" si="52"/>
        <v>Alliyullahi</v>
      </c>
      <c r="N460" s="39" t="str">
        <f t="shared" si="53"/>
        <v/>
      </c>
      <c r="P460" s="39" t="str">
        <f t="shared" si="54"/>
        <v/>
      </c>
      <c r="R460" s="39" t="str">
        <f t="shared" si="55"/>
        <v/>
      </c>
      <c r="S460" s="28"/>
      <c r="T460" s="28"/>
      <c r="U460" s="28"/>
    </row>
    <row r="461" spans="1:21" s="5" customFormat="1">
      <c r="A461" s="179" t="s">
        <v>718</v>
      </c>
      <c r="B461" s="185" t="s">
        <v>5296</v>
      </c>
      <c r="C461" s="35" t="str">
        <f t="shared" si="49"/>
        <v>alMabath</v>
      </c>
      <c r="E461" s="40"/>
      <c r="F461" s="15"/>
      <c r="G461" s="17"/>
      <c r="H461" s="10" t="s">
        <v>8563</v>
      </c>
      <c r="I461" s="4" t="str">
        <f t="shared" si="50"/>
        <v>|al-Ma’ba|</v>
      </c>
      <c r="J461" s="3" t="str">
        <f t="shared" si="51"/>
        <v>|al-Ma'bath|</v>
      </c>
      <c r="K461" s="3" t="str">
        <f t="shared" si="52"/>
        <v>al-Mabath</v>
      </c>
      <c r="N461" s="39" t="str">
        <f t="shared" si="53"/>
        <v/>
      </c>
      <c r="P461" s="39" t="str">
        <f t="shared" si="54"/>
        <v/>
      </c>
      <c r="R461" s="39" t="str">
        <f t="shared" si="55"/>
        <v/>
      </c>
      <c r="S461" s="28"/>
      <c r="T461" s="28"/>
      <c r="U461" s="28"/>
    </row>
    <row r="462" spans="1:21" s="5" customFormat="1">
      <c r="A462" s="179" t="s">
        <v>719</v>
      </c>
      <c r="B462" s="185" t="s">
        <v>5297</v>
      </c>
      <c r="C462" s="35" t="str">
        <f t="shared" si="49"/>
        <v>AlMadinah</v>
      </c>
      <c r="E462" s="40"/>
      <c r="F462" s="14" t="s">
        <v>720</v>
      </c>
      <c r="G462" s="17"/>
      <c r="H462" s="10" t="s">
        <v>8563</v>
      </c>
      <c r="I462" s="4" t="str">
        <f t="shared" si="50"/>
        <v>|Al-Madínah|</v>
      </c>
      <c r="J462" s="3" t="str">
        <f t="shared" si="51"/>
        <v>|Al-Madinah|</v>
      </c>
      <c r="K462" s="3" t="str">
        <f t="shared" si="52"/>
        <v>Al-Madinah</v>
      </c>
      <c r="N462" s="39" t="str">
        <f t="shared" si="53"/>
        <v/>
      </c>
      <c r="P462" s="39" t="str">
        <f t="shared" si="54"/>
        <v/>
      </c>
      <c r="R462" s="39" t="str">
        <f t="shared" si="55"/>
        <v/>
      </c>
      <c r="S462" s="28"/>
      <c r="T462" s="28"/>
      <c r="U462" s="28"/>
    </row>
    <row r="463" spans="1:21" s="5" customFormat="1">
      <c r="A463" s="179" t="s">
        <v>721</v>
      </c>
      <c r="B463" s="185" t="s">
        <v>5298</v>
      </c>
      <c r="C463" s="35" t="str">
        <f t="shared" si="49"/>
        <v>alMafdul</v>
      </c>
      <c r="E463" s="40"/>
      <c r="F463" s="15"/>
      <c r="G463" s="17"/>
      <c r="H463" s="10" t="s">
        <v>8563</v>
      </c>
      <c r="I463" s="4" t="str">
        <f t="shared" si="50"/>
        <v>|al-Mafḍúl|</v>
      </c>
      <c r="J463" s="3" t="str">
        <f t="shared" si="51"/>
        <v>|al-Mafdul|</v>
      </c>
      <c r="K463" s="3" t="str">
        <f t="shared" si="52"/>
        <v>al-Mafdul</v>
      </c>
      <c r="N463" s="39" t="str">
        <f t="shared" si="53"/>
        <v/>
      </c>
      <c r="P463" s="39" t="str">
        <f t="shared" si="54"/>
        <v/>
      </c>
      <c r="R463" s="39" t="str">
        <f t="shared" si="55"/>
        <v/>
      </c>
      <c r="S463" s="28"/>
      <c r="T463" s="28"/>
      <c r="U463" s="28"/>
    </row>
    <row r="464" spans="1:21" s="5" customFormat="1">
      <c r="A464" s="179" t="s">
        <v>722</v>
      </c>
      <c r="B464" s="185" t="s">
        <v>64</v>
      </c>
      <c r="C464" s="35" t="str">
        <f t="shared" si="49"/>
        <v>alMahdi</v>
      </c>
      <c r="E464" s="40"/>
      <c r="F464" s="14"/>
      <c r="G464" s="17"/>
      <c r="H464" s="10" t="s">
        <v>8563</v>
      </c>
      <c r="I464" s="4" t="str">
        <f t="shared" si="50"/>
        <v>|al-Mahdí|</v>
      </c>
      <c r="J464" s="3" t="str">
        <f t="shared" si="51"/>
        <v>|al-Mahdi|</v>
      </c>
      <c r="K464" s="3" t="str">
        <f t="shared" si="52"/>
        <v>al-Mahdi</v>
      </c>
      <c r="N464" s="39" t="str">
        <f t="shared" si="53"/>
        <v/>
      </c>
      <c r="P464" s="39" t="str">
        <f t="shared" si="54"/>
        <v/>
      </c>
      <c r="R464" s="39" t="str">
        <f t="shared" si="55"/>
        <v/>
      </c>
      <c r="S464" s="28"/>
      <c r="T464" s="28"/>
      <c r="U464" s="28"/>
    </row>
    <row r="465" spans="1:21" s="5" customFormat="1">
      <c r="A465" s="179" t="s">
        <v>723</v>
      </c>
      <c r="B465" s="185" t="s">
        <v>5299</v>
      </c>
      <c r="C465" s="35" t="str">
        <f t="shared" si="49"/>
        <v>alMahfuz</v>
      </c>
      <c r="E465" s="40"/>
      <c r="F465" s="15"/>
      <c r="G465" s="17"/>
      <c r="H465" s="10" t="s">
        <v>8563</v>
      </c>
      <c r="I465" s="4" t="str">
        <f t="shared" si="50"/>
        <v>|al-Maḥfuẓ|</v>
      </c>
      <c r="J465" s="3" t="str">
        <f t="shared" si="51"/>
        <v>|al-Mahfuz|</v>
      </c>
      <c r="K465" s="3" t="str">
        <f t="shared" si="52"/>
        <v>al-Mahfuz</v>
      </c>
      <c r="N465" s="39" t="str">
        <f t="shared" si="53"/>
        <v/>
      </c>
      <c r="P465" s="39" t="str">
        <f t="shared" si="54"/>
        <v/>
      </c>
      <c r="R465" s="39" t="str">
        <f t="shared" si="55"/>
        <v/>
      </c>
      <c r="S465" s="28"/>
      <c r="T465" s="28"/>
      <c r="U465" s="28"/>
    </row>
    <row r="466" spans="1:21" s="5" customFormat="1">
      <c r="A466" s="179" t="s">
        <v>724</v>
      </c>
      <c r="B466" s="185" t="s">
        <v>5300</v>
      </c>
      <c r="C466" s="35" t="str">
        <f t="shared" si="49"/>
        <v>alMahi</v>
      </c>
      <c r="E466" s="40"/>
      <c r="F466" s="15" t="s">
        <v>725</v>
      </c>
      <c r="G466" s="17"/>
      <c r="H466" s="10" t="s">
        <v>8563</v>
      </c>
      <c r="I466" s="4" t="str">
        <f t="shared" si="50"/>
        <v>|al-Máḥí|</v>
      </c>
      <c r="J466" s="3" t="str">
        <f t="shared" si="51"/>
        <v>|al-Mahi|</v>
      </c>
      <c r="K466" s="3" t="str">
        <f t="shared" si="52"/>
        <v>al-Mahi</v>
      </c>
      <c r="N466" s="39" t="str">
        <f t="shared" si="53"/>
        <v/>
      </c>
      <c r="P466" s="39" t="str">
        <f t="shared" si="54"/>
        <v/>
      </c>
      <c r="R466" s="39" t="str">
        <f t="shared" si="55"/>
        <v/>
      </c>
      <c r="S466" s="28"/>
      <c r="T466" s="28"/>
      <c r="U466" s="28"/>
    </row>
    <row r="467" spans="1:21" s="5" customFormat="1">
      <c r="A467" s="179" t="s">
        <v>726</v>
      </c>
      <c r="B467" s="185" t="s">
        <v>5301</v>
      </c>
      <c r="C467" s="35" t="str">
        <f t="shared" si="49"/>
        <v>alMakhtum</v>
      </c>
      <c r="E467" s="40"/>
      <c r="F467" s="15"/>
      <c r="G467" s="17"/>
      <c r="H467" s="10" t="s">
        <v>8563</v>
      </c>
      <c r="I467" s="4" t="str">
        <f t="shared" si="50"/>
        <v>|al-Matúm|</v>
      </c>
      <c r="J467" s="3" t="str">
        <f t="shared" si="51"/>
        <v>|al-Makhtum|</v>
      </c>
      <c r="K467" s="3" t="str">
        <f t="shared" si="52"/>
        <v>al-Makhtum</v>
      </c>
      <c r="N467" s="39" t="str">
        <f t="shared" si="53"/>
        <v/>
      </c>
      <c r="P467" s="39" t="str">
        <f t="shared" si="54"/>
        <v/>
      </c>
      <c r="R467" s="39" t="str">
        <f t="shared" si="55"/>
        <v/>
      </c>
      <c r="S467" s="28"/>
      <c r="T467" s="28"/>
      <c r="U467" s="28"/>
    </row>
    <row r="468" spans="1:21" s="5" customFormat="1">
      <c r="A468" s="179" t="s">
        <v>727</v>
      </c>
      <c r="B468" s="185" t="s">
        <v>5302</v>
      </c>
      <c r="C468" s="35" t="str">
        <f t="shared" si="49"/>
        <v>AlMamun</v>
      </c>
      <c r="E468" s="40"/>
      <c r="F468" s="15"/>
      <c r="G468" s="17"/>
      <c r="H468" s="10" t="s">
        <v>8563</v>
      </c>
      <c r="I468" s="4" t="str">
        <f t="shared" si="50"/>
        <v>|Al-Ma’mún|</v>
      </c>
      <c r="J468" s="3" t="str">
        <f t="shared" si="51"/>
        <v>|Al-Ma'mun|</v>
      </c>
      <c r="K468" s="3" t="str">
        <f t="shared" si="52"/>
        <v>Al-Mamun</v>
      </c>
      <c r="N468" s="39" t="str">
        <f t="shared" si="53"/>
        <v/>
      </c>
      <c r="P468" s="39" t="str">
        <f t="shared" si="54"/>
        <v/>
      </c>
      <c r="R468" s="39" t="str">
        <f t="shared" si="55"/>
        <v/>
      </c>
      <c r="S468" s="28"/>
      <c r="T468" s="28"/>
      <c r="U468" s="28"/>
    </row>
    <row r="469" spans="1:21" s="5" customFormat="1">
      <c r="A469" s="179" t="s">
        <v>728</v>
      </c>
      <c r="B469" s="185" t="s">
        <v>5303</v>
      </c>
      <c r="C469" s="35" t="str">
        <f t="shared" si="49"/>
        <v>alMansur</v>
      </c>
      <c r="E469" s="40"/>
      <c r="F469" s="15"/>
      <c r="G469" s="17"/>
      <c r="H469" s="10" t="s">
        <v>8563</v>
      </c>
      <c r="I469" s="4" t="str">
        <f t="shared" si="50"/>
        <v>|al-Manṣúr|</v>
      </c>
      <c r="J469" s="3" t="str">
        <f t="shared" si="51"/>
        <v>|al-Mansur|</v>
      </c>
      <c r="K469" s="3" t="str">
        <f t="shared" si="52"/>
        <v>al-Mansur</v>
      </c>
      <c r="N469" s="39" t="str">
        <f t="shared" si="53"/>
        <v/>
      </c>
      <c r="P469" s="39" t="str">
        <f t="shared" si="54"/>
        <v/>
      </c>
      <c r="R469" s="39" t="str">
        <f t="shared" si="55"/>
        <v/>
      </c>
      <c r="S469" s="28"/>
      <c r="T469" s="28"/>
      <c r="U469" s="28"/>
    </row>
    <row r="470" spans="1:21" s="5" customFormat="1">
      <c r="A470" s="179" t="s">
        <v>729</v>
      </c>
      <c r="B470" s="185" t="s">
        <v>5304</v>
      </c>
      <c r="C470" s="35" t="str">
        <f t="shared" si="49"/>
        <v>alMasih</v>
      </c>
      <c r="E470" s="40"/>
      <c r="F470" s="15"/>
      <c r="G470" s="17"/>
      <c r="H470" s="10" t="s">
        <v>8563</v>
      </c>
      <c r="I470" s="4" t="str">
        <f t="shared" si="50"/>
        <v>|al-Masíḥ|</v>
      </c>
      <c r="J470" s="3" t="str">
        <f t="shared" si="51"/>
        <v>|al-Masih|</v>
      </c>
      <c r="K470" s="3" t="str">
        <f t="shared" si="52"/>
        <v>al-Masih</v>
      </c>
      <c r="N470" s="39" t="str">
        <f t="shared" si="53"/>
        <v/>
      </c>
      <c r="P470" s="39" t="str">
        <f t="shared" si="54"/>
        <v/>
      </c>
      <c r="R470" s="39" t="str">
        <f t="shared" si="55"/>
        <v/>
      </c>
      <c r="S470" s="28"/>
      <c r="T470" s="28"/>
      <c r="U470" s="28"/>
    </row>
    <row r="471" spans="1:21" s="5" customFormat="1">
      <c r="A471" s="179" t="s">
        <v>730</v>
      </c>
      <c r="B471" s="185" t="s">
        <v>5305</v>
      </c>
      <c r="C471" s="35" t="str">
        <f t="shared" si="49"/>
        <v>alMazharullah</v>
      </c>
      <c r="E471" s="40"/>
      <c r="F471" s="15"/>
      <c r="G471" s="17"/>
      <c r="H471" s="10" t="s">
        <v>8563</v>
      </c>
      <c r="I471" s="4" t="str">
        <f t="shared" si="50"/>
        <v>|al-Maẓharu’lláh|</v>
      </c>
      <c r="J471" s="3" t="str">
        <f t="shared" si="51"/>
        <v>|al-Mazharu'llah|</v>
      </c>
      <c r="K471" s="3" t="str">
        <f t="shared" si="52"/>
        <v>al-Mazharullah</v>
      </c>
      <c r="N471" s="39" t="str">
        <f t="shared" si="53"/>
        <v/>
      </c>
      <c r="P471" s="39" t="str">
        <f t="shared" si="54"/>
        <v/>
      </c>
      <c r="R471" s="39" t="str">
        <f t="shared" si="55"/>
        <v/>
      </c>
      <c r="S471" s="28"/>
      <c r="T471" s="28"/>
      <c r="U471" s="28"/>
    </row>
    <row r="472" spans="1:21" s="5" customFormat="1">
      <c r="A472" s="179" t="s">
        <v>717</v>
      </c>
      <c r="B472" s="185" t="s">
        <v>8886</v>
      </c>
      <c r="C472" s="35" t="str">
        <f t="shared" si="49"/>
        <v>AlMuathir</v>
      </c>
      <c r="E472" s="40"/>
      <c r="F472" s="15"/>
      <c r="G472" s="17"/>
      <c r="H472" s="10" t="s">
        <v>8563</v>
      </c>
      <c r="I472" s="4" t="str">
        <f t="shared" si="50"/>
        <v>|Al-Muʿáir|</v>
      </c>
      <c r="J472" s="3" t="str">
        <f t="shared" si="51"/>
        <v>|Al-Mu'athir|</v>
      </c>
      <c r="K472" s="3" t="str">
        <f t="shared" si="52"/>
        <v>Al-Muathir</v>
      </c>
      <c r="N472" s="39" t="str">
        <f t="shared" si="53"/>
        <v/>
      </c>
      <c r="P472" s="39" t="str">
        <f t="shared" si="54"/>
        <v/>
      </c>
      <c r="R472" s="39" t="str">
        <f t="shared" si="55"/>
        <v/>
      </c>
      <c r="S472" s="28"/>
      <c r="T472" s="28"/>
      <c r="U472" s="28"/>
    </row>
    <row r="473" spans="1:21" s="5" customFormat="1">
      <c r="A473" s="179" t="s">
        <v>731</v>
      </c>
      <c r="B473" s="185" t="s">
        <v>5306</v>
      </c>
      <c r="C473" s="35" t="str">
        <f t="shared" si="49"/>
        <v>alMunafiqun</v>
      </c>
      <c r="E473" s="40"/>
      <c r="F473" s="15"/>
      <c r="G473" s="17"/>
      <c r="H473" s="10" t="s">
        <v>8563</v>
      </c>
      <c r="I473" s="4" t="str">
        <f t="shared" si="50"/>
        <v>|al-Munáfiqún|</v>
      </c>
      <c r="J473" s="3" t="str">
        <f t="shared" si="51"/>
        <v>|al-Munafiqun|</v>
      </c>
      <c r="K473" s="3" t="str">
        <f t="shared" si="52"/>
        <v>al-Munafiqun</v>
      </c>
      <c r="N473" s="39" t="str">
        <f t="shared" si="53"/>
        <v/>
      </c>
      <c r="P473" s="39" t="str">
        <f t="shared" si="54"/>
        <v/>
      </c>
      <c r="R473" s="39" t="str">
        <f t="shared" si="55"/>
        <v/>
      </c>
      <c r="S473" s="28"/>
      <c r="T473" s="28"/>
      <c r="U473" s="28"/>
    </row>
    <row r="474" spans="1:21" s="5" customFormat="1">
      <c r="A474" s="179" t="s">
        <v>732</v>
      </c>
      <c r="B474" s="185" t="s">
        <v>5307</v>
      </c>
      <c r="C474" s="35" t="str">
        <f t="shared" si="49"/>
        <v>alMunfail</v>
      </c>
      <c r="E474" s="40"/>
      <c r="F474" s="15"/>
      <c r="G474" s="17"/>
      <c r="H474" s="10" t="s">
        <v>8563</v>
      </c>
      <c r="I474" s="4" t="str">
        <f t="shared" si="50"/>
        <v>|al-Munfaʿil|</v>
      </c>
      <c r="J474" s="3" t="str">
        <f t="shared" si="51"/>
        <v>|al-Munfa'il|</v>
      </c>
      <c r="K474" s="3" t="str">
        <f t="shared" si="52"/>
        <v>al-Munfail</v>
      </c>
      <c r="N474" s="39" t="str">
        <f t="shared" si="53"/>
        <v/>
      </c>
      <c r="P474" s="39" t="str">
        <f t="shared" si="54"/>
        <v/>
      </c>
      <c r="R474" s="39" t="str">
        <f t="shared" si="55"/>
        <v/>
      </c>
      <c r="S474" s="28"/>
      <c r="T474" s="28"/>
      <c r="U474" s="28"/>
    </row>
    <row r="475" spans="1:21" s="5" customFormat="1">
      <c r="A475" s="179" t="s">
        <v>733</v>
      </c>
      <c r="B475" s="185" t="s">
        <v>5308</v>
      </c>
      <c r="C475" s="35" t="str">
        <f t="shared" si="49"/>
        <v>alMunfailayn</v>
      </c>
      <c r="E475" s="40"/>
      <c r="F475" s="15"/>
      <c r="G475" s="17"/>
      <c r="H475" s="10" t="s">
        <v>8563</v>
      </c>
      <c r="I475" s="4" t="str">
        <f t="shared" si="50"/>
        <v>|al-Munfaʿilayn|</v>
      </c>
      <c r="J475" s="3" t="str">
        <f t="shared" si="51"/>
        <v>|al-Munfa'ilayn|</v>
      </c>
      <c r="K475" s="3" t="str">
        <f t="shared" si="52"/>
        <v>al-Munfailayn</v>
      </c>
      <c r="N475" s="39" t="str">
        <f t="shared" si="53"/>
        <v/>
      </c>
      <c r="P475" s="39" t="str">
        <f t="shared" si="54"/>
        <v/>
      </c>
      <c r="R475" s="39" t="str">
        <f t="shared" si="55"/>
        <v/>
      </c>
      <c r="S475" s="28"/>
      <c r="T475" s="28"/>
      <c r="U475" s="28"/>
    </row>
    <row r="476" spans="1:21" s="5" customFormat="1">
      <c r="A476" s="179" t="s">
        <v>734</v>
      </c>
      <c r="B476" s="185" t="s">
        <v>5309</v>
      </c>
      <c r="C476" s="35" t="str">
        <f t="shared" si="49"/>
        <v>alMuntazar</v>
      </c>
      <c r="E476" s="40"/>
      <c r="F476" s="15"/>
      <c r="G476" s="17"/>
      <c r="H476" s="10" t="s">
        <v>8563</v>
      </c>
      <c r="I476" s="4" t="str">
        <f t="shared" si="50"/>
        <v>|al-Muntaẓar|</v>
      </c>
      <c r="J476" s="3" t="str">
        <f t="shared" si="51"/>
        <v>|al-Muntazar|</v>
      </c>
      <c r="K476" s="3" t="str">
        <f t="shared" si="52"/>
        <v>al-Muntazar</v>
      </c>
      <c r="N476" s="39" t="str">
        <f t="shared" si="53"/>
        <v/>
      </c>
      <c r="P476" s="39" t="str">
        <f t="shared" si="54"/>
        <v/>
      </c>
      <c r="R476" s="39" t="str">
        <f t="shared" si="55"/>
        <v/>
      </c>
      <c r="S476" s="28"/>
      <c r="T476" s="28"/>
      <c r="U476" s="28"/>
    </row>
    <row r="477" spans="1:21" s="5" customFormat="1">
      <c r="A477" s="179" t="s">
        <v>735</v>
      </c>
      <c r="B477" s="185" t="s">
        <v>5310</v>
      </c>
      <c r="C477" s="35" t="str">
        <f t="shared" si="49"/>
        <v>alMushrikun</v>
      </c>
      <c r="E477" s="40"/>
      <c r="F477" s="15"/>
      <c r="G477" s="17"/>
      <c r="H477" s="10" t="s">
        <v>8563</v>
      </c>
      <c r="I477" s="4" t="str">
        <f t="shared" si="50"/>
        <v>|al-Murikún|</v>
      </c>
      <c r="J477" s="3" t="str">
        <f t="shared" si="51"/>
        <v>|al-Mushrikun|</v>
      </c>
      <c r="K477" s="3" t="str">
        <f t="shared" si="52"/>
        <v>al-Mushrikun</v>
      </c>
      <c r="N477" s="39" t="str">
        <f t="shared" si="53"/>
        <v/>
      </c>
      <c r="P477" s="39" t="str">
        <f t="shared" si="54"/>
        <v/>
      </c>
      <c r="R477" s="39" t="str">
        <f t="shared" si="55"/>
        <v/>
      </c>
      <c r="S477" s="28"/>
      <c r="T477" s="28"/>
      <c r="U477" s="28"/>
    </row>
    <row r="478" spans="1:21" s="5" customFormat="1">
      <c r="A478" s="179" t="s">
        <v>736</v>
      </c>
      <c r="B478" s="185" t="s">
        <v>5311</v>
      </c>
      <c r="C478" s="35" t="str">
        <f t="shared" si="49"/>
        <v>alMustain</v>
      </c>
      <c r="E478" s="40"/>
      <c r="F478" s="15"/>
      <c r="G478" s="17"/>
      <c r="H478" s="10" t="s">
        <v>8563</v>
      </c>
      <c r="I478" s="4" t="str">
        <f t="shared" si="50"/>
        <v>|al-Mustaʿín|</v>
      </c>
      <c r="J478" s="3" t="str">
        <f t="shared" si="51"/>
        <v>|al-Musta'in|</v>
      </c>
      <c r="K478" s="3" t="str">
        <f t="shared" si="52"/>
        <v>al-Mustain</v>
      </c>
      <c r="N478" s="39" t="str">
        <f t="shared" si="53"/>
        <v/>
      </c>
      <c r="P478" s="39" t="str">
        <f t="shared" si="54"/>
        <v/>
      </c>
      <c r="R478" s="39" t="str">
        <f t="shared" si="55"/>
        <v/>
      </c>
      <c r="S478" s="28"/>
      <c r="T478" s="28"/>
      <c r="U478" s="28"/>
    </row>
    <row r="479" spans="1:21" s="5" customFormat="1">
      <c r="A479" s="179" t="s">
        <v>737</v>
      </c>
      <c r="B479" s="185" t="s">
        <v>8887</v>
      </c>
      <c r="C479" s="35" t="str">
        <f t="shared" si="49"/>
        <v>alMutasim</v>
      </c>
      <c r="E479" s="40"/>
      <c r="F479" s="15"/>
      <c r="G479" s="17"/>
      <c r="H479" s="10" t="s">
        <v>8563</v>
      </c>
      <c r="I479" s="4" t="str">
        <f t="shared" si="50"/>
        <v>|al-Muʿtaṣim|</v>
      </c>
      <c r="J479" s="3" t="str">
        <f t="shared" si="51"/>
        <v>|al-Mu'tasim|</v>
      </c>
      <c r="K479" s="3" t="str">
        <f t="shared" si="52"/>
        <v>al-Mutasim</v>
      </c>
      <c r="N479" s="39" t="str">
        <f t="shared" si="53"/>
        <v/>
      </c>
      <c r="P479" s="39" t="str">
        <f t="shared" si="54"/>
        <v/>
      </c>
      <c r="R479" s="39" t="str">
        <f t="shared" si="55"/>
        <v/>
      </c>
      <c r="S479" s="28"/>
      <c r="T479" s="28"/>
      <c r="U479" s="28"/>
    </row>
    <row r="480" spans="1:21" s="5" customFormat="1">
      <c r="A480" s="179" t="s">
        <v>738</v>
      </c>
      <c r="B480" s="185" t="s">
        <v>5312</v>
      </c>
      <c r="C480" s="35" t="str">
        <f t="shared" si="49"/>
        <v>alNadim</v>
      </c>
      <c r="E480" s="40"/>
      <c r="F480" s="15"/>
      <c r="G480" s="17"/>
      <c r="H480" s="10" t="s">
        <v>8563</v>
      </c>
      <c r="I480" s="4" t="str">
        <f t="shared" si="50"/>
        <v>|al-Nadím|</v>
      </c>
      <c r="J480" s="3" t="str">
        <f t="shared" si="51"/>
        <v>|al-Nadim|</v>
      </c>
      <c r="K480" s="3" t="str">
        <f t="shared" si="52"/>
        <v>al-Nadim</v>
      </c>
      <c r="N480" s="39" t="str">
        <f t="shared" si="53"/>
        <v/>
      </c>
      <c r="P480" s="39" t="str">
        <f t="shared" si="54"/>
        <v/>
      </c>
      <c r="R480" s="39" t="str">
        <f t="shared" si="55"/>
        <v/>
      </c>
      <c r="S480" s="28"/>
      <c r="T480" s="28"/>
      <c r="U480" s="28"/>
    </row>
    <row r="481" spans="1:21" s="5" customFormat="1">
      <c r="A481" s="179" t="s">
        <v>739</v>
      </c>
      <c r="B481" s="185" t="s">
        <v>5313</v>
      </c>
      <c r="C481" s="35" t="str">
        <f t="shared" si="49"/>
        <v>alNaimin</v>
      </c>
      <c r="E481" s="40"/>
      <c r="F481" s="15"/>
      <c r="G481" s="17"/>
      <c r="H481" s="10" t="s">
        <v>8563</v>
      </c>
      <c r="I481" s="4" t="str">
        <f t="shared" si="50"/>
        <v>|al-Náʿimín|</v>
      </c>
      <c r="J481" s="3" t="str">
        <f t="shared" si="51"/>
        <v>|al-Na'imin|</v>
      </c>
      <c r="K481" s="3" t="str">
        <f t="shared" si="52"/>
        <v>al-Naimin</v>
      </c>
      <c r="N481" s="39" t="str">
        <f t="shared" si="53"/>
        <v/>
      </c>
      <c r="P481" s="39" t="str">
        <f t="shared" si="54"/>
        <v/>
      </c>
      <c r="R481" s="39" t="str">
        <f t="shared" si="55"/>
        <v/>
      </c>
      <c r="S481" s="28"/>
      <c r="T481" s="28"/>
      <c r="U481" s="28"/>
    </row>
    <row r="482" spans="1:21" s="5" customFormat="1">
      <c r="A482" s="179" t="s">
        <v>740</v>
      </c>
      <c r="B482" s="185" t="s">
        <v>5314</v>
      </c>
      <c r="C482" s="35" t="str">
        <f t="shared" si="49"/>
        <v>alNajafi</v>
      </c>
      <c r="E482" s="40"/>
      <c r="F482" s="15"/>
      <c r="G482" s="17"/>
      <c r="H482" s="10" t="s">
        <v>8563</v>
      </c>
      <c r="I482" s="4" t="str">
        <f t="shared" si="50"/>
        <v>|al-Najafí|</v>
      </c>
      <c r="J482" s="3" t="str">
        <f t="shared" si="51"/>
        <v>|al-Najafi|</v>
      </c>
      <c r="K482" s="3" t="str">
        <f t="shared" si="52"/>
        <v>al-Najafi</v>
      </c>
      <c r="N482" s="39" t="str">
        <f t="shared" si="53"/>
        <v/>
      </c>
      <c r="P482" s="39" t="str">
        <f t="shared" si="54"/>
        <v/>
      </c>
      <c r="R482" s="39" t="str">
        <f t="shared" si="55"/>
        <v/>
      </c>
      <c r="S482" s="28"/>
      <c r="T482" s="28"/>
      <c r="U482" s="28"/>
    </row>
    <row r="483" spans="1:21" s="5" customFormat="1">
      <c r="A483" s="179" t="s">
        <v>741</v>
      </c>
      <c r="B483" s="185" t="s">
        <v>5315</v>
      </c>
      <c r="C483" s="35" t="str">
        <f t="shared" si="49"/>
        <v>alNasib</v>
      </c>
      <c r="E483" s="40"/>
      <c r="F483" s="15"/>
      <c r="G483" s="17"/>
      <c r="H483" s="10" t="s">
        <v>8563</v>
      </c>
      <c r="I483" s="4" t="str">
        <f t="shared" si="50"/>
        <v>|al-Náṣib|</v>
      </c>
      <c r="J483" s="3" t="str">
        <f t="shared" si="51"/>
        <v>|al-Nasib|</v>
      </c>
      <c r="K483" s="3" t="str">
        <f t="shared" si="52"/>
        <v>al-Nasib</v>
      </c>
      <c r="N483" s="39" t="str">
        <f t="shared" si="53"/>
        <v/>
      </c>
      <c r="P483" s="39" t="str">
        <f t="shared" si="54"/>
        <v/>
      </c>
      <c r="R483" s="39" t="str">
        <f t="shared" si="55"/>
        <v/>
      </c>
      <c r="S483" s="28"/>
      <c r="T483" s="28"/>
      <c r="U483" s="28"/>
    </row>
    <row r="484" spans="1:21" s="5" customFormat="1">
      <c r="A484" s="179" t="s">
        <v>742</v>
      </c>
      <c r="B484" s="185" t="s">
        <v>5316</v>
      </c>
      <c r="C484" s="35" t="str">
        <f t="shared" si="49"/>
        <v>alNur</v>
      </c>
      <c r="E484" s="40"/>
      <c r="F484" s="15"/>
      <c r="G484" s="17"/>
      <c r="H484" s="10" t="s">
        <v>8563</v>
      </c>
      <c r="I484" s="4" t="str">
        <f t="shared" si="50"/>
        <v>|al-Núr|</v>
      </c>
      <c r="J484" s="3" t="str">
        <f t="shared" si="51"/>
        <v>|al-Nur|</v>
      </c>
      <c r="K484" s="3" t="str">
        <f t="shared" si="52"/>
        <v>al-Nur</v>
      </c>
      <c r="N484" s="39" t="str">
        <f t="shared" si="53"/>
        <v/>
      </c>
      <c r="P484" s="39" t="str">
        <f t="shared" si="54"/>
        <v/>
      </c>
      <c r="R484" s="39" t="str">
        <f t="shared" si="55"/>
        <v/>
      </c>
      <c r="S484" s="28"/>
      <c r="T484" s="28"/>
      <c r="U484" s="28"/>
    </row>
    <row r="485" spans="1:21" s="5" customFormat="1">
      <c r="A485" s="179" t="s">
        <v>743</v>
      </c>
      <c r="B485" s="185" t="s">
        <v>5317</v>
      </c>
      <c r="C485" s="35" t="str">
        <f t="shared" si="49"/>
        <v>alQadir</v>
      </c>
      <c r="E485" s="40"/>
      <c r="F485" s="15"/>
      <c r="G485" s="17"/>
      <c r="H485" s="10" t="s">
        <v>8563</v>
      </c>
      <c r="I485" s="4" t="str">
        <f t="shared" si="50"/>
        <v>|al-Qádir|</v>
      </c>
      <c r="J485" s="3" t="str">
        <f t="shared" si="51"/>
        <v>|al-Qadir|</v>
      </c>
      <c r="K485" s="3" t="str">
        <f t="shared" si="52"/>
        <v>al-Qadir</v>
      </c>
      <c r="N485" s="39" t="str">
        <f t="shared" si="53"/>
        <v/>
      </c>
      <c r="P485" s="39" t="str">
        <f t="shared" si="54"/>
        <v/>
      </c>
      <c r="R485" s="39" t="str">
        <f t="shared" si="55"/>
        <v/>
      </c>
      <c r="S485" s="28"/>
      <c r="T485" s="28"/>
      <c r="U485" s="28"/>
    </row>
    <row r="486" spans="1:21" s="5" customFormat="1">
      <c r="A486" s="179" t="s">
        <v>744</v>
      </c>
      <c r="B486" s="185" t="s">
        <v>5318</v>
      </c>
      <c r="C486" s="35" t="str">
        <f t="shared" si="49"/>
        <v>alQariat</v>
      </c>
      <c r="E486" s="40"/>
      <c r="F486" s="15" t="s">
        <v>745</v>
      </c>
      <c r="G486" s="17"/>
      <c r="H486" s="10" t="s">
        <v>8563</v>
      </c>
      <c r="I486" s="4" t="str">
        <f t="shared" si="50"/>
        <v>|al-Qáriʿat|</v>
      </c>
      <c r="J486" s="3" t="str">
        <f t="shared" si="51"/>
        <v>|al-Qari'at|</v>
      </c>
      <c r="K486" s="3" t="str">
        <f t="shared" si="52"/>
        <v>al-Qariat</v>
      </c>
      <c r="N486" s="39" t="str">
        <f t="shared" si="53"/>
        <v/>
      </c>
      <c r="P486" s="39" t="str">
        <f t="shared" si="54"/>
        <v/>
      </c>
      <c r="R486" s="39" t="str">
        <f t="shared" si="55"/>
        <v/>
      </c>
      <c r="S486" s="28"/>
      <c r="T486" s="28"/>
      <c r="U486" s="28"/>
    </row>
    <row r="487" spans="1:21" s="5" customFormat="1">
      <c r="A487" s="179" t="s">
        <v>746</v>
      </c>
      <c r="B487" s="185" t="s">
        <v>5319</v>
      </c>
      <c r="C487" s="35" t="str">
        <f t="shared" si="49"/>
        <v>alQatil</v>
      </c>
      <c r="E487" s="40"/>
      <c r="F487" s="15"/>
      <c r="G487" s="17"/>
      <c r="H487" s="10" t="s">
        <v>8563</v>
      </c>
      <c r="I487" s="4" t="str">
        <f t="shared" si="50"/>
        <v>|al-Qatíl|</v>
      </c>
      <c r="J487" s="3" t="str">
        <f t="shared" si="51"/>
        <v>|al-Qatil|</v>
      </c>
      <c r="K487" s="3" t="str">
        <f t="shared" si="52"/>
        <v>al-Qatil</v>
      </c>
      <c r="N487" s="39" t="str">
        <f t="shared" si="53"/>
        <v/>
      </c>
      <c r="P487" s="39" t="str">
        <f t="shared" si="54"/>
        <v/>
      </c>
      <c r="R487" s="39" t="str">
        <f t="shared" si="55"/>
        <v/>
      </c>
      <c r="S487" s="28"/>
      <c r="T487" s="28"/>
      <c r="U487" s="28"/>
    </row>
    <row r="488" spans="1:21" s="5" customFormat="1">
      <c r="A488" s="179" t="s">
        <v>747</v>
      </c>
      <c r="B488" s="185" t="s">
        <v>5320</v>
      </c>
      <c r="C488" s="35" t="str">
        <f t="shared" si="49"/>
        <v>AlQiyamat</v>
      </c>
      <c r="E488" s="40"/>
      <c r="F488" s="15" t="s">
        <v>748</v>
      </c>
      <c r="G488" s="17"/>
      <c r="H488" s="10" t="s">
        <v>8563</v>
      </c>
      <c r="I488" s="4" t="str">
        <f t="shared" si="50"/>
        <v>|Al-Qíyámat|</v>
      </c>
      <c r="J488" s="3" t="str">
        <f t="shared" si="51"/>
        <v>|Al-Qiyamat|</v>
      </c>
      <c r="K488" s="3" t="str">
        <f t="shared" si="52"/>
        <v>Al-Qiyamat</v>
      </c>
      <c r="N488" s="39" t="str">
        <f t="shared" si="53"/>
        <v/>
      </c>
      <c r="P488" s="39" t="str">
        <f t="shared" si="54"/>
        <v/>
      </c>
      <c r="R488" s="39" t="str">
        <f t="shared" si="55"/>
        <v/>
      </c>
      <c r="S488" s="28"/>
      <c r="T488" s="28"/>
      <c r="U488" s="28"/>
    </row>
    <row r="489" spans="1:21" s="5" customFormat="1">
      <c r="A489" s="179" t="s">
        <v>749</v>
      </c>
      <c r="B489" s="185" t="s">
        <v>5321</v>
      </c>
      <c r="C489" s="35" t="str">
        <f t="shared" si="49"/>
        <v>alQuran</v>
      </c>
      <c r="E489" s="40"/>
      <c r="F489" s="15"/>
      <c r="G489" s="17"/>
      <c r="H489" s="10" t="s">
        <v>8563</v>
      </c>
      <c r="I489" s="4" t="str">
        <f t="shared" si="50"/>
        <v>|al-Qur’án|</v>
      </c>
      <c r="J489" s="3" t="str">
        <f t="shared" si="51"/>
        <v>|al-Qur'an|</v>
      </c>
      <c r="K489" s="3" t="str">
        <f t="shared" si="52"/>
        <v>al-Quran</v>
      </c>
      <c r="N489" s="39" t="str">
        <f t="shared" si="53"/>
        <v/>
      </c>
      <c r="P489" s="39" t="str">
        <f t="shared" si="54"/>
        <v/>
      </c>
      <c r="R489" s="39" t="str">
        <f t="shared" si="55"/>
        <v/>
      </c>
      <c r="S489" s="28"/>
      <c r="T489" s="28"/>
      <c r="U489" s="28"/>
    </row>
    <row r="490" spans="1:21" s="5" customFormat="1">
      <c r="A490" s="179" t="s">
        <v>750</v>
      </c>
      <c r="B490" s="185" t="s">
        <v>8888</v>
      </c>
      <c r="C490" s="35" t="str">
        <f t="shared" si="49"/>
        <v>alRububiyyah</v>
      </c>
      <c r="E490" s="40"/>
      <c r="F490" s="15"/>
      <c r="G490" s="17"/>
      <c r="H490" s="10" t="s">
        <v>8563</v>
      </c>
      <c r="I490" s="4" t="str">
        <f t="shared" si="50"/>
        <v>|al-Rubúbíyyah|</v>
      </c>
      <c r="J490" s="3" t="str">
        <f t="shared" si="51"/>
        <v>|al-Rububiyyah|</v>
      </c>
      <c r="K490" s="3" t="str">
        <f t="shared" si="52"/>
        <v>al-Rububiyyah</v>
      </c>
      <c r="N490" s="39" t="str">
        <f t="shared" si="53"/>
        <v/>
      </c>
      <c r="P490" s="39" t="str">
        <f t="shared" si="54"/>
        <v/>
      </c>
      <c r="R490" s="39" t="str">
        <f t="shared" si="55"/>
        <v/>
      </c>
      <c r="S490" s="28"/>
      <c r="T490" s="28"/>
      <c r="U490" s="28"/>
    </row>
    <row r="491" spans="1:21" s="5" customFormat="1">
      <c r="A491" s="179" t="s">
        <v>751</v>
      </c>
      <c r="B491" s="185" t="s">
        <v>5322</v>
      </c>
      <c r="C491" s="35" t="str">
        <f t="shared" si="49"/>
        <v>alRuknilRabi</v>
      </c>
      <c r="E491" s="40"/>
      <c r="F491" s="15"/>
      <c r="G491" s="17"/>
      <c r="H491" s="10" t="s">
        <v>8563</v>
      </c>
      <c r="I491" s="4" t="str">
        <f t="shared" si="50"/>
        <v>|al-Rukni’l-Rábiʿ|</v>
      </c>
      <c r="J491" s="3" t="str">
        <f t="shared" si="51"/>
        <v>|al-Rukni'l-Rabi'|</v>
      </c>
      <c r="K491" s="3" t="str">
        <f t="shared" si="52"/>
        <v>al-Ruknil-Rabi</v>
      </c>
      <c r="N491" s="39" t="str">
        <f t="shared" si="53"/>
        <v/>
      </c>
      <c r="P491" s="39" t="str">
        <f t="shared" si="54"/>
        <v/>
      </c>
      <c r="R491" s="39" t="str">
        <f t="shared" si="55"/>
        <v/>
      </c>
      <c r="S491" s="28"/>
      <c r="T491" s="28"/>
      <c r="U491" s="28"/>
    </row>
    <row r="492" spans="1:21" s="5" customFormat="1">
      <c r="A492" s="179" t="s">
        <v>752</v>
      </c>
      <c r="B492" s="185" t="s">
        <v>5323</v>
      </c>
      <c r="C492" s="35" t="str">
        <f t="shared" si="49"/>
        <v>alSadiq</v>
      </c>
      <c r="E492" s="40"/>
      <c r="F492" s="15"/>
      <c r="G492" s="17"/>
      <c r="H492" s="10" t="s">
        <v>8563</v>
      </c>
      <c r="I492" s="4" t="str">
        <f t="shared" si="50"/>
        <v>|al-Ṣádiq|</v>
      </c>
      <c r="J492" s="3" t="str">
        <f t="shared" si="51"/>
        <v>|al-Sadiq|</v>
      </c>
      <c r="K492" s="3" t="str">
        <f t="shared" si="52"/>
        <v>al-Sadiq</v>
      </c>
      <c r="N492" s="39" t="str">
        <f t="shared" si="53"/>
        <v/>
      </c>
      <c r="P492" s="39" t="str">
        <f t="shared" si="54"/>
        <v/>
      </c>
      <c r="R492" s="39" t="str">
        <f t="shared" si="55"/>
        <v/>
      </c>
      <c r="S492" s="28"/>
      <c r="T492" s="28"/>
      <c r="U492" s="28"/>
    </row>
    <row r="493" spans="1:21" s="5" customFormat="1">
      <c r="A493" s="179" t="s">
        <v>753</v>
      </c>
      <c r="B493" s="185" t="s">
        <v>5324</v>
      </c>
      <c r="C493" s="35" t="str">
        <f t="shared" si="49"/>
        <v>alSafa</v>
      </c>
      <c r="E493" s="40"/>
      <c r="F493" s="15"/>
      <c r="G493" s="17"/>
      <c r="H493" s="10" t="s">
        <v>8563</v>
      </c>
      <c r="I493" s="4" t="str">
        <f t="shared" si="50"/>
        <v>|al-Safá’|</v>
      </c>
      <c r="J493" s="3" t="str">
        <f t="shared" si="51"/>
        <v>|al-Safa'|</v>
      </c>
      <c r="K493" s="3" t="str">
        <f t="shared" si="52"/>
        <v>al-Safa</v>
      </c>
      <c r="N493" s="39" t="str">
        <f t="shared" si="53"/>
        <v/>
      </c>
      <c r="P493" s="39" t="str">
        <f t="shared" si="54"/>
        <v/>
      </c>
      <c r="R493" s="39" t="str">
        <f t="shared" si="55"/>
        <v/>
      </c>
      <c r="S493" s="28"/>
      <c r="T493" s="28"/>
      <c r="U493" s="28"/>
    </row>
    <row r="494" spans="1:21" s="5" customFormat="1">
      <c r="A494" s="179" t="s">
        <v>754</v>
      </c>
      <c r="B494" s="185" t="s">
        <v>5325</v>
      </c>
      <c r="C494" s="35" t="str">
        <f t="shared" si="49"/>
        <v>alSaff</v>
      </c>
      <c r="E494" s="40"/>
      <c r="F494" s="15"/>
      <c r="G494" s="17"/>
      <c r="H494" s="10" t="s">
        <v>8563</v>
      </c>
      <c r="I494" s="4" t="str">
        <f t="shared" si="50"/>
        <v>|al-Ṣaff|</v>
      </c>
      <c r="J494" s="3" t="str">
        <f t="shared" si="51"/>
        <v>|al-Saff|</v>
      </c>
      <c r="K494" s="3" t="str">
        <f t="shared" si="52"/>
        <v>al-Saff</v>
      </c>
      <c r="N494" s="39" t="str">
        <f t="shared" si="53"/>
        <v/>
      </c>
      <c r="P494" s="39" t="str">
        <f t="shared" si="54"/>
        <v/>
      </c>
      <c r="R494" s="39" t="str">
        <f t="shared" si="55"/>
        <v/>
      </c>
      <c r="S494" s="28"/>
      <c r="T494" s="28"/>
      <c r="U494" s="28"/>
    </row>
    <row r="495" spans="1:21" s="5" customFormat="1">
      <c r="A495" s="179" t="s">
        <v>755</v>
      </c>
      <c r="B495" s="185" t="s">
        <v>8889</v>
      </c>
      <c r="C495" s="35" t="str">
        <f t="shared" si="49"/>
        <v>alSafi</v>
      </c>
      <c r="E495" s="40"/>
      <c r="F495" s="15"/>
      <c r="G495" s="17"/>
      <c r="H495" s="10" t="s">
        <v>8563</v>
      </c>
      <c r="I495" s="4" t="str">
        <f t="shared" si="50"/>
        <v>|al-Ṣafí|</v>
      </c>
      <c r="J495" s="3" t="str">
        <f t="shared" si="51"/>
        <v>|al-Safi|</v>
      </c>
      <c r="K495" s="3" t="str">
        <f t="shared" si="52"/>
        <v>al-Safi</v>
      </c>
      <c r="N495" s="39" t="str">
        <f t="shared" si="53"/>
        <v/>
      </c>
      <c r="P495" s="39" t="str">
        <f t="shared" si="54"/>
        <v/>
      </c>
      <c r="R495" s="39" t="str">
        <f t="shared" si="55"/>
        <v/>
      </c>
      <c r="S495" s="28"/>
      <c r="T495" s="28"/>
      <c r="U495" s="28"/>
    </row>
    <row r="496" spans="1:21" s="5" customFormat="1">
      <c r="A496" s="179" t="s">
        <v>756</v>
      </c>
      <c r="B496" s="185" t="s">
        <v>5326</v>
      </c>
      <c r="C496" s="35" t="str">
        <f t="shared" si="49"/>
        <v>alSalimah</v>
      </c>
      <c r="E496" s="40"/>
      <c r="F496" s="15"/>
      <c r="G496" s="17"/>
      <c r="H496" s="10" t="s">
        <v>8563</v>
      </c>
      <c r="I496" s="4" t="str">
        <f t="shared" si="50"/>
        <v>|al-Salímah|</v>
      </c>
      <c r="J496" s="3" t="str">
        <f t="shared" si="51"/>
        <v>|al-Salimah|</v>
      </c>
      <c r="K496" s="3" t="str">
        <f t="shared" si="52"/>
        <v>al-Salimah</v>
      </c>
      <c r="N496" s="39" t="str">
        <f t="shared" si="53"/>
        <v/>
      </c>
      <c r="P496" s="39" t="str">
        <f t="shared" si="54"/>
        <v/>
      </c>
      <c r="R496" s="39" t="str">
        <f t="shared" si="55"/>
        <v/>
      </c>
      <c r="S496" s="28"/>
      <c r="T496" s="28"/>
      <c r="U496" s="28"/>
    </row>
    <row r="497" spans="1:21" s="5" customFormat="1">
      <c r="A497" s="179" t="s">
        <v>757</v>
      </c>
      <c r="B497" s="185" t="s">
        <v>5327</v>
      </c>
      <c r="C497" s="35" t="str">
        <f t="shared" si="49"/>
        <v>alSaltanah</v>
      </c>
      <c r="E497" s="40"/>
      <c r="F497" s="15"/>
      <c r="G497" s="17"/>
      <c r="H497" s="10" t="s">
        <v>8563</v>
      </c>
      <c r="I497" s="4" t="str">
        <f t="shared" si="50"/>
        <v>|al-Salṭanah|</v>
      </c>
      <c r="J497" s="3" t="str">
        <f t="shared" si="51"/>
        <v>|al-Saltanah|</v>
      </c>
      <c r="K497" s="3" t="str">
        <f t="shared" si="52"/>
        <v>al-Saltanah</v>
      </c>
      <c r="N497" s="39" t="str">
        <f t="shared" si="53"/>
        <v/>
      </c>
      <c r="P497" s="39" t="str">
        <f t="shared" si="54"/>
        <v/>
      </c>
      <c r="R497" s="39" t="str">
        <f t="shared" si="55"/>
        <v/>
      </c>
      <c r="S497" s="28"/>
      <c r="T497" s="28"/>
      <c r="U497" s="28"/>
    </row>
    <row r="498" spans="1:21" s="5" customFormat="1">
      <c r="A498" s="179" t="s">
        <v>758</v>
      </c>
      <c r="B498" s="185" t="s">
        <v>5328</v>
      </c>
      <c r="C498" s="35" t="str">
        <f t="shared" si="49"/>
        <v>alSubh</v>
      </c>
      <c r="E498" s="40"/>
      <c r="F498" s="15"/>
      <c r="G498" s="17"/>
      <c r="H498" s="10" t="s">
        <v>8563</v>
      </c>
      <c r="I498" s="4" t="str">
        <f t="shared" si="50"/>
        <v>|al-Ṣubḥ|</v>
      </c>
      <c r="J498" s="3" t="str">
        <f t="shared" si="51"/>
        <v>|al-Subh|</v>
      </c>
      <c r="K498" s="3" t="str">
        <f t="shared" si="52"/>
        <v>al-Subh</v>
      </c>
      <c r="N498" s="39" t="str">
        <f t="shared" si="53"/>
        <v/>
      </c>
      <c r="P498" s="39" t="str">
        <f t="shared" si="54"/>
        <v/>
      </c>
      <c r="R498" s="39" t="str">
        <f t="shared" si="55"/>
        <v/>
      </c>
      <c r="S498" s="28"/>
      <c r="T498" s="28"/>
      <c r="U498" s="28"/>
    </row>
    <row r="499" spans="1:21" s="5" customFormat="1">
      <c r="A499" s="179" t="s">
        <v>759</v>
      </c>
      <c r="B499" s="185" t="s">
        <v>5329</v>
      </c>
      <c r="C499" s="35" t="str">
        <f t="shared" si="49"/>
        <v>alTaj</v>
      </c>
      <c r="E499" s="40"/>
      <c r="F499" s="15"/>
      <c r="G499" s="17"/>
      <c r="H499" s="10" t="s">
        <v>8563</v>
      </c>
      <c r="I499" s="4" t="str">
        <f t="shared" si="50"/>
        <v>|al-Táj|</v>
      </c>
      <c r="J499" s="3" t="str">
        <f t="shared" si="51"/>
        <v>|al-Taj|</v>
      </c>
      <c r="K499" s="3" t="str">
        <f t="shared" si="52"/>
        <v>al-Taj</v>
      </c>
      <c r="N499" s="39" t="str">
        <f t="shared" si="53"/>
        <v/>
      </c>
      <c r="P499" s="39" t="str">
        <f t="shared" si="54"/>
        <v/>
      </c>
      <c r="R499" s="39" t="str">
        <f t="shared" si="55"/>
        <v/>
      </c>
      <c r="S499" s="28"/>
      <c r="T499" s="28"/>
      <c r="U499" s="28"/>
    </row>
    <row r="500" spans="1:21" s="5" customFormat="1">
      <c r="A500" s="179" t="s">
        <v>760</v>
      </c>
      <c r="B500" s="185" t="s">
        <v>5330</v>
      </c>
      <c r="C500" s="35" t="str">
        <f t="shared" si="49"/>
        <v>alTalibin</v>
      </c>
      <c r="E500" s="40"/>
      <c r="F500" s="15"/>
      <c r="G500" s="17"/>
      <c r="H500" s="10" t="s">
        <v>8563</v>
      </c>
      <c r="I500" s="4" t="str">
        <f t="shared" si="50"/>
        <v>|al-Ṭálibín|</v>
      </c>
      <c r="J500" s="3" t="str">
        <f t="shared" si="51"/>
        <v>|al-Talibin|</v>
      </c>
      <c r="K500" s="3" t="str">
        <f t="shared" si="52"/>
        <v>al-Talibin</v>
      </c>
      <c r="N500" s="39" t="str">
        <f t="shared" si="53"/>
        <v/>
      </c>
      <c r="P500" s="39" t="str">
        <f t="shared" si="54"/>
        <v/>
      </c>
      <c r="R500" s="39" t="str">
        <f t="shared" si="55"/>
        <v/>
      </c>
      <c r="S500" s="28"/>
      <c r="T500" s="28"/>
      <c r="U500" s="28"/>
    </row>
    <row r="501" spans="1:21" s="5" customFormat="1">
      <c r="A501" s="179" t="s">
        <v>761</v>
      </c>
      <c r="B501" s="185" t="s">
        <v>5331</v>
      </c>
      <c r="C501" s="35" t="str">
        <f t="shared" si="49"/>
        <v>alTaqlid</v>
      </c>
      <c r="E501" s="40"/>
      <c r="F501" s="15"/>
      <c r="G501" s="17"/>
      <c r="H501" s="10" t="s">
        <v>8563</v>
      </c>
      <c r="I501" s="4" t="str">
        <f t="shared" si="50"/>
        <v>|al-Taqlíd|</v>
      </c>
      <c r="J501" s="3" t="str">
        <f t="shared" si="51"/>
        <v>|al-Taqlid|</v>
      </c>
      <c r="K501" s="3" t="str">
        <f t="shared" si="52"/>
        <v>al-Taqlid</v>
      </c>
      <c r="N501" s="39" t="str">
        <f t="shared" si="53"/>
        <v/>
      </c>
      <c r="P501" s="39" t="str">
        <f t="shared" si="54"/>
        <v/>
      </c>
      <c r="R501" s="39" t="str">
        <f t="shared" si="55"/>
        <v/>
      </c>
      <c r="S501" s="28"/>
      <c r="T501" s="28"/>
      <c r="U501" s="28"/>
    </row>
    <row r="502" spans="1:21" s="5" customFormat="1">
      <c r="A502" s="179" t="s">
        <v>762</v>
      </c>
      <c r="B502" s="185" t="s">
        <v>8890</v>
      </c>
      <c r="C502" s="35" t="str">
        <f t="shared" si="49"/>
        <v>alTasbih</v>
      </c>
      <c r="E502" s="40"/>
      <c r="F502" s="15"/>
      <c r="G502" s="17"/>
      <c r="H502" s="10" t="s">
        <v>8563</v>
      </c>
      <c r="I502" s="4" t="str">
        <f t="shared" si="50"/>
        <v>|al-Tasbíḥ|</v>
      </c>
      <c r="J502" s="3" t="str">
        <f t="shared" si="51"/>
        <v>|al-Tasbih|</v>
      </c>
      <c r="K502" s="3" t="str">
        <f t="shared" si="52"/>
        <v>al-Tasbih</v>
      </c>
      <c r="N502" s="39" t="str">
        <f t="shared" si="53"/>
        <v/>
      </c>
      <c r="P502" s="39" t="str">
        <f t="shared" si="54"/>
        <v/>
      </c>
      <c r="R502" s="39" t="str">
        <f t="shared" si="55"/>
        <v/>
      </c>
      <c r="S502" s="28"/>
      <c r="T502" s="28"/>
      <c r="U502" s="28"/>
    </row>
    <row r="503" spans="1:21" s="5" customFormat="1">
      <c r="A503" s="179" t="s">
        <v>763</v>
      </c>
      <c r="B503" s="185" t="s">
        <v>5332</v>
      </c>
      <c r="C503" s="35" t="str">
        <f t="shared" si="49"/>
        <v>alTavarikh</v>
      </c>
      <c r="E503" s="40"/>
      <c r="F503" s="15"/>
      <c r="G503" s="17"/>
      <c r="H503" s="10" t="s">
        <v>8563</v>
      </c>
      <c r="I503" s="4" t="str">
        <f t="shared" si="50"/>
        <v>|al-Tavári|</v>
      </c>
      <c r="J503" s="3" t="str">
        <f t="shared" si="51"/>
        <v>|al-Tavarikh|</v>
      </c>
      <c r="K503" s="3" t="str">
        <f t="shared" si="52"/>
        <v>al-Tavarikh</v>
      </c>
      <c r="N503" s="39" t="str">
        <f t="shared" si="53"/>
        <v/>
      </c>
      <c r="P503" s="39" t="str">
        <f t="shared" si="54"/>
        <v/>
      </c>
      <c r="R503" s="39" t="str">
        <f t="shared" si="55"/>
        <v/>
      </c>
      <c r="S503" s="28"/>
      <c r="T503" s="28"/>
      <c r="U503" s="28"/>
    </row>
    <row r="504" spans="1:21" s="5" customFormat="1">
      <c r="A504" s="179" t="s">
        <v>764</v>
      </c>
      <c r="B504" s="185" t="s">
        <v>5333</v>
      </c>
      <c r="C504" s="35" t="str">
        <f t="shared" si="49"/>
        <v>alThaqib</v>
      </c>
      <c r="E504" s="40"/>
      <c r="F504" s="15"/>
      <c r="G504" s="17"/>
      <c r="H504" s="10" t="s">
        <v>8563</v>
      </c>
      <c r="I504" s="4" t="str">
        <f t="shared" si="50"/>
        <v>|al-aqíb|</v>
      </c>
      <c r="J504" s="3" t="str">
        <f t="shared" si="51"/>
        <v>|al-Thaqib|</v>
      </c>
      <c r="K504" s="3" t="str">
        <f t="shared" si="52"/>
        <v>al-Thaqib</v>
      </c>
      <c r="N504" s="39" t="str">
        <f t="shared" si="53"/>
        <v/>
      </c>
      <c r="P504" s="39" t="str">
        <f t="shared" si="54"/>
        <v/>
      </c>
      <c r="R504" s="39" t="str">
        <f t="shared" si="55"/>
        <v/>
      </c>
      <c r="S504" s="28"/>
      <c r="T504" s="28"/>
      <c r="U504" s="28"/>
    </row>
    <row r="505" spans="1:21" s="5" customFormat="1">
      <c r="A505" s="179" t="s">
        <v>765</v>
      </c>
      <c r="B505" s="185" t="s">
        <v>5334</v>
      </c>
      <c r="C505" s="35" t="str">
        <f t="shared" si="49"/>
        <v>alUlama</v>
      </c>
      <c r="E505" s="40"/>
      <c r="F505" s="15"/>
      <c r="G505" s="17"/>
      <c r="H505" s="10" t="s">
        <v>8563</v>
      </c>
      <c r="I505" s="4" t="str">
        <f t="shared" si="50"/>
        <v>|al-ʿUlamá|</v>
      </c>
      <c r="J505" s="3" t="str">
        <f t="shared" si="51"/>
        <v>|al-'Ulama|</v>
      </c>
      <c r="K505" s="3" t="str">
        <f t="shared" si="52"/>
        <v>al-Ulama</v>
      </c>
      <c r="N505" s="39" t="str">
        <f t="shared" si="53"/>
        <v/>
      </c>
      <c r="P505" s="39" t="str">
        <f t="shared" si="54"/>
        <v/>
      </c>
      <c r="R505" s="39" t="str">
        <f t="shared" si="55"/>
        <v/>
      </c>
      <c r="S505" s="28"/>
      <c r="T505" s="28"/>
      <c r="U505" s="28"/>
    </row>
    <row r="506" spans="1:21" s="5" customFormat="1">
      <c r="A506" s="179" t="s">
        <v>766</v>
      </c>
      <c r="B506" s="185" t="s">
        <v>5335</v>
      </c>
      <c r="C506" s="35" t="str">
        <f t="shared" si="49"/>
        <v>alUlum</v>
      </c>
      <c r="E506" s="40"/>
      <c r="F506" s="15"/>
      <c r="G506" s="17"/>
      <c r="H506" s="10" t="s">
        <v>8563</v>
      </c>
      <c r="I506" s="4" t="str">
        <f t="shared" si="50"/>
        <v>|al-ʿUlúm|</v>
      </c>
      <c r="J506" s="3" t="str">
        <f t="shared" si="51"/>
        <v>|al-'Ulum|</v>
      </c>
      <c r="K506" s="3" t="str">
        <f t="shared" si="52"/>
        <v>al-Ulum</v>
      </c>
      <c r="N506" s="39" t="str">
        <f t="shared" si="53"/>
        <v/>
      </c>
      <c r="P506" s="39" t="str">
        <f t="shared" si="54"/>
        <v/>
      </c>
      <c r="R506" s="39" t="str">
        <f t="shared" si="55"/>
        <v/>
      </c>
      <c r="S506" s="28"/>
      <c r="T506" s="28"/>
      <c r="U506" s="28"/>
    </row>
    <row r="507" spans="1:21" s="5" customFormat="1">
      <c r="A507" s="179" t="s">
        <v>633</v>
      </c>
      <c r="B507" s="185" t="s">
        <v>8868</v>
      </c>
      <c r="C507" s="35" t="str">
        <f t="shared" si="49"/>
        <v>alUmatulKubra</v>
      </c>
      <c r="E507" s="40"/>
      <c r="F507" s="15" t="s">
        <v>634</v>
      </c>
      <c r="G507" s="17"/>
      <c r="H507" s="10" t="s">
        <v>8563</v>
      </c>
      <c r="I507" s="4" t="str">
        <f t="shared" si="50"/>
        <v>|al-ʿUmatu’l-Kubrá|</v>
      </c>
      <c r="J507" s="3" t="str">
        <f t="shared" si="51"/>
        <v>|al-'Umatu'l-Kubra|</v>
      </c>
      <c r="K507" s="3" t="str">
        <f t="shared" si="52"/>
        <v>al-Umatul-Kubra</v>
      </c>
      <c r="N507" s="39" t="str">
        <f t="shared" si="53"/>
        <v/>
      </c>
      <c r="P507" s="39" t="str">
        <f t="shared" si="54"/>
        <v/>
      </c>
      <c r="R507" s="39" t="str">
        <f t="shared" si="55"/>
        <v/>
      </c>
      <c r="S507" s="28"/>
      <c r="T507" s="28"/>
      <c r="U507" s="28"/>
    </row>
    <row r="508" spans="1:21" s="5" customFormat="1">
      <c r="A508" s="179" t="s">
        <v>767</v>
      </c>
      <c r="B508" s="185" t="s">
        <v>5336</v>
      </c>
      <c r="C508" s="35" t="str">
        <f t="shared" si="49"/>
        <v>alUmdan</v>
      </c>
      <c r="E508" s="40"/>
      <c r="F508" s="15"/>
      <c r="G508" s="17"/>
      <c r="H508" s="10" t="s">
        <v>8563</v>
      </c>
      <c r="I508" s="4" t="str">
        <f t="shared" si="50"/>
        <v>|al-ʿUmdán|</v>
      </c>
      <c r="J508" s="3" t="str">
        <f t="shared" si="51"/>
        <v>|al-'Umdan|</v>
      </c>
      <c r="K508" s="3" t="str">
        <f t="shared" si="52"/>
        <v>al-Umdan</v>
      </c>
      <c r="N508" s="39" t="str">
        <f t="shared" si="53"/>
        <v/>
      </c>
      <c r="P508" s="39" t="str">
        <f t="shared" si="54"/>
        <v/>
      </c>
      <c r="R508" s="39" t="str">
        <f t="shared" si="55"/>
        <v/>
      </c>
      <c r="S508" s="28"/>
      <c r="T508" s="28"/>
      <c r="U508" s="28"/>
    </row>
    <row r="509" spans="1:21" s="5" customFormat="1">
      <c r="A509" s="179" t="s">
        <v>768</v>
      </c>
      <c r="B509" s="185" t="s">
        <v>5337</v>
      </c>
      <c r="C509" s="35" t="str">
        <f t="shared" si="49"/>
        <v>alUmumi</v>
      </c>
      <c r="E509" s="40"/>
      <c r="F509" s="15"/>
      <c r="G509" s="17"/>
      <c r="H509" s="10" t="s">
        <v>8563</v>
      </c>
      <c r="I509" s="4" t="str">
        <f t="shared" si="50"/>
        <v>|al-ʿUmúmí|</v>
      </c>
      <c r="J509" s="3" t="str">
        <f t="shared" si="51"/>
        <v>|al-'Umumi|</v>
      </c>
      <c r="K509" s="3" t="str">
        <f t="shared" si="52"/>
        <v>al-Umumi</v>
      </c>
      <c r="N509" s="39" t="str">
        <f t="shared" si="53"/>
        <v/>
      </c>
      <c r="P509" s="39" t="str">
        <f t="shared" si="54"/>
        <v/>
      </c>
      <c r="R509" s="39" t="str">
        <f t="shared" si="55"/>
        <v/>
      </c>
      <c r="S509" s="28"/>
      <c r="T509" s="28"/>
      <c r="U509" s="28"/>
    </row>
    <row r="510" spans="1:21" s="5" customFormat="1">
      <c r="A510" s="179" t="s">
        <v>769</v>
      </c>
      <c r="B510" s="185" t="s">
        <v>5338</v>
      </c>
      <c r="C510" s="35" t="str">
        <f t="shared" si="49"/>
        <v>alUrwahulWuthqa</v>
      </c>
      <c r="E510" s="40"/>
      <c r="F510" s="15" t="s">
        <v>770</v>
      </c>
      <c r="G510" s="17"/>
      <c r="H510" s="10" t="s">
        <v>8563</v>
      </c>
      <c r="I510" s="4" t="str">
        <f t="shared" si="50"/>
        <v>|al-ʿUrwahu’l-Wuqá|</v>
      </c>
      <c r="J510" s="3" t="str">
        <f t="shared" si="51"/>
        <v>|al-'Urwahu'l-Wuthqa|</v>
      </c>
      <c r="K510" s="3" t="str">
        <f t="shared" si="52"/>
        <v>al-Urwahul-Wuthqa</v>
      </c>
      <c r="N510" s="39" t="str">
        <f t="shared" si="53"/>
        <v/>
      </c>
      <c r="P510" s="39" t="str">
        <f t="shared" si="54"/>
        <v/>
      </c>
      <c r="R510" s="39" t="str">
        <f t="shared" si="55"/>
        <v/>
      </c>
      <c r="S510" s="28"/>
      <c r="T510" s="28"/>
      <c r="U510" s="28"/>
    </row>
    <row r="511" spans="1:21" s="5" customFormat="1">
      <c r="A511" s="179" t="s">
        <v>771</v>
      </c>
      <c r="B511" s="185" t="s">
        <v>5339</v>
      </c>
      <c r="C511" s="35" t="str">
        <f t="shared" si="49"/>
        <v>Alusi</v>
      </c>
      <c r="E511" s="40"/>
      <c r="F511" s="14"/>
      <c r="G511" s="17"/>
      <c r="H511" s="10" t="s">
        <v>8563</v>
      </c>
      <c r="I511" s="4" t="str">
        <f t="shared" si="50"/>
        <v>|Álúsí|</v>
      </c>
      <c r="J511" s="3" t="str">
        <f t="shared" si="51"/>
        <v>|Alusi|</v>
      </c>
      <c r="K511" s="3" t="str">
        <f t="shared" si="52"/>
        <v>Alusi</v>
      </c>
      <c r="N511" s="39" t="str">
        <f t="shared" si="53"/>
        <v/>
      </c>
      <c r="P511" s="39" t="str">
        <f t="shared" si="54"/>
        <v/>
      </c>
      <c r="R511" s="39" t="str">
        <f t="shared" si="55"/>
        <v/>
      </c>
      <c r="S511" s="28"/>
      <c r="T511" s="28"/>
      <c r="U511" s="28"/>
    </row>
    <row r="512" spans="1:21" s="5" customFormat="1">
      <c r="A512" s="179" t="s">
        <v>772</v>
      </c>
      <c r="B512" s="185" t="s">
        <v>5340</v>
      </c>
      <c r="C512" s="35" t="str">
        <f t="shared" si="49"/>
        <v>alUzma</v>
      </c>
      <c r="E512" s="40"/>
      <c r="F512" s="15"/>
      <c r="G512" s="17"/>
      <c r="H512" s="10" t="s">
        <v>8563</v>
      </c>
      <c r="I512" s="4" t="str">
        <f t="shared" si="50"/>
        <v>|al-ʿUẓmá|</v>
      </c>
      <c r="J512" s="3" t="str">
        <f t="shared" si="51"/>
        <v>|al-'Uzma|</v>
      </c>
      <c r="K512" s="3" t="str">
        <f t="shared" si="52"/>
        <v>al-Uzma</v>
      </c>
      <c r="N512" s="39" t="str">
        <f t="shared" si="53"/>
        <v/>
      </c>
      <c r="P512" s="39" t="str">
        <f t="shared" si="54"/>
        <v/>
      </c>
      <c r="R512" s="39" t="str">
        <f t="shared" si="55"/>
        <v/>
      </c>
      <c r="S512" s="28"/>
      <c r="T512" s="28"/>
      <c r="U512" s="28"/>
    </row>
    <row r="513" spans="1:21" s="5" customFormat="1">
      <c r="A513" s="179" t="s">
        <v>773</v>
      </c>
      <c r="B513" s="185" t="s">
        <v>8891</v>
      </c>
      <c r="C513" s="35" t="str">
        <f t="shared" si="49"/>
        <v>Alvah</v>
      </c>
      <c r="E513" s="40"/>
      <c r="F513" s="14"/>
      <c r="G513" s="17"/>
      <c r="H513" s="10" t="s">
        <v>8563</v>
      </c>
      <c r="I513" s="4" t="str">
        <f t="shared" si="50"/>
        <v>|Alváḥ|</v>
      </c>
      <c r="J513" s="3" t="str">
        <f t="shared" si="51"/>
        <v>|Alvah|</v>
      </c>
      <c r="K513" s="3" t="str">
        <f t="shared" si="52"/>
        <v>Alvah</v>
      </c>
      <c r="N513" s="39" t="str">
        <f t="shared" si="53"/>
        <v/>
      </c>
      <c r="P513" s="39" t="str">
        <f t="shared" si="54"/>
        <v/>
      </c>
      <c r="R513" s="39" t="str">
        <f t="shared" si="55"/>
        <v/>
      </c>
      <c r="S513" s="28"/>
      <c r="T513" s="28"/>
      <c r="U513" s="28"/>
    </row>
    <row r="514" spans="1:21" s="5" customFormat="1">
      <c r="A514" s="179" t="s">
        <v>774</v>
      </c>
      <c r="B514" s="185" t="s">
        <v>8892</v>
      </c>
      <c r="C514" s="35" t="str">
        <f t="shared" si="49"/>
        <v>AlvahiLaylatulQuds</v>
      </c>
      <c r="E514" s="40"/>
      <c r="F514" s="15" t="s">
        <v>775</v>
      </c>
      <c r="G514" s="17"/>
      <c r="H514" s="10" t="s">
        <v>8563</v>
      </c>
      <c r="I514" s="4" t="str">
        <f t="shared" si="50"/>
        <v>|Alváḥ-i-Laylatu’l-Quds|</v>
      </c>
      <c r="J514" s="3" t="str">
        <f t="shared" si="51"/>
        <v>|Alvah-i-Laylatu'l-Quds|</v>
      </c>
      <c r="K514" s="3" t="str">
        <f t="shared" si="52"/>
        <v>Alvah-i-Laylatul-Quds</v>
      </c>
      <c r="N514" s="39" t="str">
        <f t="shared" si="53"/>
        <v/>
      </c>
      <c r="P514" s="39" t="str">
        <f t="shared" si="54"/>
        <v/>
      </c>
      <c r="R514" s="39" t="str">
        <f t="shared" si="55"/>
        <v/>
      </c>
      <c r="S514" s="28"/>
      <c r="T514" s="28"/>
      <c r="U514" s="28"/>
    </row>
    <row r="515" spans="1:21" s="5" customFormat="1">
      <c r="A515" s="179" t="s">
        <v>776</v>
      </c>
      <c r="B515" s="185" t="s">
        <v>8893</v>
      </c>
      <c r="C515" s="35" t="str">
        <f t="shared" ref="C515:C578" si="56">SUBSTITUTE(SUBSTITUTE(K515,"-","")," ","")</f>
        <v>AlvahiSalatin</v>
      </c>
      <c r="E515" s="40"/>
      <c r="F515" s="14"/>
      <c r="G515" s="17"/>
      <c r="H515" s="10" t="s">
        <v>8563</v>
      </c>
      <c r="I515" s="4" t="str">
        <f t="shared" ref="I515:I578" si="57">CONCATENATE("|",B515,"|")</f>
        <v>|Alváḥ-i-Saláṭín|</v>
      </c>
      <c r="J515" s="3" t="str">
        <f t="shared" ref="J515:J578" si="58">CONCATENATE("|",F_OutputASCII(B515),"|")</f>
        <v>|Alvah-i-Salatin|</v>
      </c>
      <c r="K515" s="3" t="str">
        <f t="shared" ref="K515:K578" si="59">IF(SUBSTITUTE(MID(J515,2,LEN(J515)-2),"'","")&lt;&gt;"",SUBSTITUTE(MID(J515,2,LEN(J515)-2),"'",""),"ZZZZZ")</f>
        <v>Alvah-i-Salatin</v>
      </c>
      <c r="N515" s="39" t="str">
        <f t="shared" ref="N515:N578" si="60">SUBSTITUTE(SUBSTITUTE(SUBSTITUTE(F_OutputASCII(M515),"-","")," ",""),"'","")</f>
        <v/>
      </c>
      <c r="P515" s="39" t="str">
        <f t="shared" ref="P515:P578" si="61">SUBSTITUTE(SUBSTITUTE(SUBSTITUTE(F_OutputASCII(O515),"-","")," ",""),"'","")</f>
        <v/>
      </c>
      <c r="R515" s="39" t="str">
        <f t="shared" si="55"/>
        <v/>
      </c>
      <c r="S515" s="28"/>
      <c r="T515" s="28"/>
      <c r="U515" s="28"/>
    </row>
    <row r="516" spans="1:21" s="5" customFormat="1">
      <c r="A516" s="179" t="s">
        <v>779</v>
      </c>
      <c r="B516" s="185" t="s">
        <v>8894</v>
      </c>
      <c r="C516" s="35" t="str">
        <f t="shared" si="56"/>
        <v>AlvahiTablighiiImrika</v>
      </c>
      <c r="E516" s="40"/>
      <c r="F516" s="15" t="s">
        <v>778</v>
      </c>
      <c r="G516" s="17"/>
      <c r="H516" s="10" t="s">
        <v>8563</v>
      </c>
      <c r="I516" s="4" t="str">
        <f t="shared" si="57"/>
        <v>|Alváḥ-i-Tablíí-i-Imríká|</v>
      </c>
      <c r="J516" s="3" t="str">
        <f t="shared" si="58"/>
        <v>|Alvah-i-Tablighi-i-Imrika|</v>
      </c>
      <c r="K516" s="3" t="str">
        <f t="shared" si="59"/>
        <v>Alvah-i-Tablighi-i-Imrika</v>
      </c>
      <c r="N516" s="39" t="str">
        <f t="shared" si="60"/>
        <v/>
      </c>
      <c r="P516" s="39" t="str">
        <f t="shared" si="61"/>
        <v/>
      </c>
      <c r="R516" s="39" t="str">
        <f t="shared" ref="R516:R579" si="62">SUBSTITUTE(SUBSTITUTE(Q516,"-","")," ","")</f>
        <v/>
      </c>
      <c r="S516" s="28"/>
      <c r="T516" s="28"/>
      <c r="U516" s="28"/>
    </row>
    <row r="517" spans="1:21" s="5" customFormat="1">
      <c r="A517" s="179" t="s">
        <v>777</v>
      </c>
      <c r="B517" s="185" t="s">
        <v>8895</v>
      </c>
      <c r="C517" s="35" t="str">
        <f t="shared" si="56"/>
        <v>AlvahiVasaya</v>
      </c>
      <c r="E517" s="40"/>
      <c r="F517" s="15" t="s">
        <v>778</v>
      </c>
      <c r="G517" s="17"/>
      <c r="H517" s="10" t="s">
        <v>8563</v>
      </c>
      <c r="I517" s="4" t="str">
        <f t="shared" si="57"/>
        <v>|Alváḥ-i-Vaṣáyá|</v>
      </c>
      <c r="J517" s="3" t="str">
        <f t="shared" si="58"/>
        <v>|Alvah-i-Vasaya|</v>
      </c>
      <c r="K517" s="3" t="str">
        <f t="shared" si="59"/>
        <v>Alvah-i-Vasaya</v>
      </c>
      <c r="N517" s="39" t="str">
        <f t="shared" si="60"/>
        <v/>
      </c>
      <c r="P517" s="39" t="str">
        <f t="shared" si="61"/>
        <v/>
      </c>
      <c r="R517" s="39" t="str">
        <f t="shared" si="62"/>
        <v/>
      </c>
      <c r="S517" s="28"/>
      <c r="T517" s="28"/>
      <c r="U517" s="28"/>
    </row>
    <row r="518" spans="1:21" s="5" customFormat="1">
      <c r="A518" s="179" t="s">
        <v>780</v>
      </c>
      <c r="B518" s="185" t="s">
        <v>8896</v>
      </c>
      <c r="C518" s="35" t="str">
        <f t="shared" si="56"/>
        <v>alVali</v>
      </c>
      <c r="E518" s="40"/>
      <c r="F518" s="15"/>
      <c r="G518" s="17"/>
      <c r="H518" s="10" t="s">
        <v>8563</v>
      </c>
      <c r="I518" s="4" t="str">
        <f t="shared" si="57"/>
        <v>|al-Valí|</v>
      </c>
      <c r="J518" s="3" t="str">
        <f t="shared" si="58"/>
        <v>|al-Vali|</v>
      </c>
      <c r="K518" s="3" t="str">
        <f t="shared" si="59"/>
        <v>al-Vali</v>
      </c>
      <c r="N518" s="39" t="str">
        <f t="shared" si="60"/>
        <v/>
      </c>
      <c r="P518" s="39" t="str">
        <f t="shared" si="61"/>
        <v/>
      </c>
      <c r="R518" s="39" t="str">
        <f t="shared" si="62"/>
        <v/>
      </c>
      <c r="S518" s="28"/>
      <c r="T518" s="28"/>
      <c r="U518" s="28"/>
    </row>
    <row r="519" spans="1:21" s="5" customFormat="1">
      <c r="A519" s="179" t="s">
        <v>781</v>
      </c>
      <c r="B519" s="185" t="s">
        <v>8897</v>
      </c>
      <c r="C519" s="35" t="str">
        <f t="shared" si="56"/>
        <v>AlValid</v>
      </c>
      <c r="E519" s="40"/>
      <c r="F519" s="15" t="s">
        <v>782</v>
      </c>
      <c r="G519" s="17"/>
      <c r="H519" s="10" t="s">
        <v>8563</v>
      </c>
      <c r="I519" s="4" t="str">
        <f t="shared" si="57"/>
        <v>|Al-Valíd|</v>
      </c>
      <c r="J519" s="3" t="str">
        <f t="shared" si="58"/>
        <v>|Al-Valid|</v>
      </c>
      <c r="K519" s="3" t="str">
        <f t="shared" si="59"/>
        <v>Al-Valid</v>
      </c>
      <c r="N519" s="39" t="str">
        <f t="shared" si="60"/>
        <v/>
      </c>
      <c r="P519" s="39" t="str">
        <f t="shared" si="61"/>
        <v/>
      </c>
      <c r="R519" s="39" t="str">
        <f t="shared" si="62"/>
        <v/>
      </c>
      <c r="S519" s="28"/>
      <c r="T519" s="28"/>
      <c r="U519" s="28"/>
    </row>
    <row r="520" spans="1:21" s="5" customFormat="1">
      <c r="A520" s="179" t="s">
        <v>783</v>
      </c>
      <c r="B520" s="185" t="s">
        <v>8898</v>
      </c>
      <c r="C520" s="35" t="str">
        <f t="shared" si="56"/>
        <v>alVaqiat</v>
      </c>
      <c r="E520" s="40"/>
      <c r="F520" s="15" t="s">
        <v>784</v>
      </c>
      <c r="G520" s="17"/>
      <c r="H520" s="10" t="s">
        <v>8563</v>
      </c>
      <c r="I520" s="4" t="str">
        <f t="shared" si="57"/>
        <v>|al-Váqiʿat|</v>
      </c>
      <c r="J520" s="3" t="str">
        <f t="shared" si="58"/>
        <v>|al-Vaqi'at|</v>
      </c>
      <c r="K520" s="3" t="str">
        <f t="shared" si="59"/>
        <v>al-Vaqiat</v>
      </c>
      <c r="N520" s="39" t="str">
        <f t="shared" si="60"/>
        <v/>
      </c>
      <c r="P520" s="39" t="str">
        <f t="shared" si="61"/>
        <v/>
      </c>
      <c r="R520" s="39" t="str">
        <f t="shared" si="62"/>
        <v/>
      </c>
      <c r="S520" s="28"/>
      <c r="T520" s="28"/>
      <c r="U520" s="28"/>
    </row>
    <row r="521" spans="1:21" s="5" customFormat="1">
      <c r="A521" s="179" t="s">
        <v>785</v>
      </c>
      <c r="B521" s="185" t="s">
        <v>8899</v>
      </c>
      <c r="C521" s="35" t="str">
        <f t="shared" si="56"/>
        <v>alVarqaiyyah</v>
      </c>
      <c r="E521" s="40"/>
      <c r="F521" s="15" t="s">
        <v>786</v>
      </c>
      <c r="G521" s="17"/>
      <c r="H521" s="10" t="s">
        <v>8563</v>
      </c>
      <c r="I521" s="4" t="str">
        <f t="shared" si="57"/>
        <v>|al-Varqá’iyyah|</v>
      </c>
      <c r="J521" s="3" t="str">
        <f t="shared" si="58"/>
        <v>|al-Varqa'iyyah|</v>
      </c>
      <c r="K521" s="3" t="str">
        <f t="shared" si="59"/>
        <v>al-Varqaiyyah</v>
      </c>
      <c r="N521" s="39" t="str">
        <f t="shared" si="60"/>
        <v/>
      </c>
      <c r="P521" s="39" t="str">
        <f t="shared" si="61"/>
        <v/>
      </c>
      <c r="R521" s="39" t="str">
        <f t="shared" si="62"/>
        <v/>
      </c>
      <c r="S521" s="28"/>
      <c r="T521" s="28"/>
      <c r="U521" s="28"/>
    </row>
    <row r="522" spans="1:21" s="5" customFormat="1">
      <c r="A522" s="179" t="s">
        <v>787</v>
      </c>
      <c r="B522" s="185" t="s">
        <v>8900</v>
      </c>
      <c r="C522" s="35" t="str">
        <f t="shared" si="56"/>
        <v>alVasvas</v>
      </c>
      <c r="E522" s="40"/>
      <c r="F522" s="15"/>
      <c r="G522" s="17"/>
      <c r="H522" s="10" t="s">
        <v>8563</v>
      </c>
      <c r="I522" s="4" t="str">
        <f t="shared" si="57"/>
        <v>|al-Vasvás|</v>
      </c>
      <c r="J522" s="3" t="str">
        <f t="shared" si="58"/>
        <v>|al-Vasvas|</v>
      </c>
      <c r="K522" s="3" t="str">
        <f t="shared" si="59"/>
        <v>al-Vasvas</v>
      </c>
      <c r="N522" s="39" t="str">
        <f t="shared" si="60"/>
        <v/>
      </c>
      <c r="P522" s="39" t="str">
        <f t="shared" si="61"/>
        <v/>
      </c>
      <c r="R522" s="39" t="str">
        <f t="shared" si="62"/>
        <v/>
      </c>
      <c r="S522" s="28"/>
      <c r="T522" s="28"/>
      <c r="U522" s="28"/>
    </row>
    <row r="523" spans="1:21" s="5" customFormat="1">
      <c r="A523" s="179" t="s">
        <v>788</v>
      </c>
      <c r="B523" s="185" t="s">
        <v>8901</v>
      </c>
      <c r="C523" s="35" t="str">
        <f t="shared" si="56"/>
        <v>alVilayah</v>
      </c>
      <c r="E523" s="40"/>
      <c r="F523" s="15"/>
      <c r="G523" s="17"/>
      <c r="H523" s="10" t="s">
        <v>8563</v>
      </c>
      <c r="I523" s="4" t="str">
        <f t="shared" si="57"/>
        <v>|al-Viláyah|</v>
      </c>
      <c r="J523" s="3" t="str">
        <f t="shared" si="58"/>
        <v>|al-Vilayah|</v>
      </c>
      <c r="K523" s="3" t="str">
        <f t="shared" si="59"/>
        <v>al-Vilayah</v>
      </c>
      <c r="N523" s="39" t="str">
        <f t="shared" si="60"/>
        <v/>
      </c>
      <c r="P523" s="39" t="str">
        <f t="shared" si="61"/>
        <v/>
      </c>
      <c r="R523" s="39" t="str">
        <f t="shared" si="62"/>
        <v/>
      </c>
      <c r="S523" s="28"/>
      <c r="T523" s="28"/>
      <c r="U523" s="28"/>
    </row>
    <row r="524" spans="1:21" s="5" customFormat="1">
      <c r="A524" s="179" t="s">
        <v>789</v>
      </c>
      <c r="B524" s="185" t="s">
        <v>5341</v>
      </c>
      <c r="C524" s="35" t="str">
        <f t="shared" si="56"/>
        <v>alYaqin</v>
      </c>
      <c r="E524" s="40"/>
      <c r="F524" s="15"/>
      <c r="G524" s="17"/>
      <c r="H524" s="10" t="s">
        <v>8563</v>
      </c>
      <c r="I524" s="4" t="str">
        <f t="shared" si="57"/>
        <v>|al-Yaqín|</v>
      </c>
      <c r="J524" s="3" t="str">
        <f t="shared" si="58"/>
        <v>|al-Yaqin|</v>
      </c>
      <c r="K524" s="3" t="str">
        <f t="shared" si="59"/>
        <v>al-Yaqin</v>
      </c>
      <c r="N524" s="39" t="str">
        <f t="shared" si="60"/>
        <v/>
      </c>
      <c r="P524" s="39" t="str">
        <f t="shared" si="61"/>
        <v/>
      </c>
      <c r="R524" s="39" t="str">
        <f t="shared" si="62"/>
        <v/>
      </c>
      <c r="S524" s="28"/>
      <c r="T524" s="28"/>
      <c r="U524" s="28"/>
    </row>
    <row r="525" spans="1:21" s="5" customFormat="1">
      <c r="A525" s="179" t="s">
        <v>790</v>
      </c>
      <c r="B525" s="185" t="s">
        <v>5342</v>
      </c>
      <c r="C525" s="35" t="str">
        <f t="shared" si="56"/>
        <v>alYazdadi</v>
      </c>
      <c r="E525" s="40"/>
      <c r="F525" s="15"/>
      <c r="G525" s="17"/>
      <c r="H525" s="10" t="s">
        <v>8563</v>
      </c>
      <c r="I525" s="4" t="str">
        <f t="shared" si="57"/>
        <v>|al-Yazdádí|</v>
      </c>
      <c r="J525" s="3" t="str">
        <f t="shared" si="58"/>
        <v>|al-Yazdadi|</v>
      </c>
      <c r="K525" s="3" t="str">
        <f t="shared" si="59"/>
        <v>al-Yazdadi</v>
      </c>
      <c r="N525" s="39" t="str">
        <f t="shared" si="60"/>
        <v/>
      </c>
      <c r="P525" s="39" t="str">
        <f t="shared" si="61"/>
        <v/>
      </c>
      <c r="R525" s="39" t="str">
        <f t="shared" si="62"/>
        <v/>
      </c>
      <c r="S525" s="28"/>
      <c r="T525" s="28"/>
      <c r="U525" s="28"/>
    </row>
    <row r="526" spans="1:21" s="5" customFormat="1">
      <c r="A526" s="179" t="s">
        <v>791</v>
      </c>
      <c r="B526" s="185" t="s">
        <v>8902</v>
      </c>
      <c r="C526" s="35" t="str">
        <f t="shared" si="56"/>
        <v>alZavraʼ</v>
      </c>
      <c r="E526" s="40"/>
      <c r="F526" s="15"/>
      <c r="G526" s="17"/>
      <c r="H526" s="10" t="s">
        <v>8563</v>
      </c>
      <c r="I526" s="4" t="str">
        <f t="shared" si="57"/>
        <v>|al-Zavráʼ|</v>
      </c>
      <c r="J526" s="3" t="str">
        <f t="shared" si="58"/>
        <v>|al-Zavraʼ|</v>
      </c>
      <c r="K526" s="3" t="str">
        <f t="shared" si="59"/>
        <v>al-Zavraʼ</v>
      </c>
      <c r="N526" s="39" t="str">
        <f t="shared" si="60"/>
        <v/>
      </c>
      <c r="P526" s="39" t="str">
        <f t="shared" si="61"/>
        <v/>
      </c>
      <c r="R526" s="39" t="str">
        <f t="shared" si="62"/>
        <v/>
      </c>
      <c r="S526" s="28"/>
      <c r="T526" s="28"/>
      <c r="U526" s="28"/>
    </row>
    <row r="527" spans="1:21" s="5" customFormat="1">
      <c r="A527" s="179" t="s">
        <v>792</v>
      </c>
      <c r="B527" s="185" t="s">
        <v>5343</v>
      </c>
      <c r="C527" s="35" t="str">
        <f t="shared" si="56"/>
        <v>alZiyarat</v>
      </c>
      <c r="E527" s="40"/>
      <c r="F527" s="15"/>
      <c r="G527" s="17"/>
      <c r="H527" s="10" t="s">
        <v>8563</v>
      </c>
      <c r="I527" s="4" t="str">
        <f t="shared" si="57"/>
        <v>|al-Zíyárat|</v>
      </c>
      <c r="J527" s="3" t="str">
        <f t="shared" si="58"/>
        <v>|al-Ziyarat|</v>
      </c>
      <c r="K527" s="3" t="str">
        <f t="shared" si="59"/>
        <v>al-Ziyarat</v>
      </c>
      <c r="N527" s="39" t="str">
        <f t="shared" si="60"/>
        <v/>
      </c>
      <c r="P527" s="39" t="str">
        <f t="shared" si="61"/>
        <v/>
      </c>
      <c r="R527" s="39" t="str">
        <f t="shared" si="62"/>
        <v/>
      </c>
      <c r="S527" s="28"/>
      <c r="T527" s="28"/>
      <c r="U527" s="28"/>
    </row>
    <row r="528" spans="1:21" s="5" customFormat="1">
      <c r="A528" s="179" t="s">
        <v>793</v>
      </c>
      <c r="B528" s="185" t="s">
        <v>5344</v>
      </c>
      <c r="C528" s="35" t="str">
        <f t="shared" si="56"/>
        <v>alZunun</v>
      </c>
      <c r="E528" s="40"/>
      <c r="F528" s="15"/>
      <c r="G528" s="17"/>
      <c r="H528" s="10" t="s">
        <v>8563</v>
      </c>
      <c r="I528" s="4" t="str">
        <f t="shared" si="57"/>
        <v>|al-Ẓunún|</v>
      </c>
      <c r="J528" s="3" t="str">
        <f t="shared" si="58"/>
        <v>|al-Zunun|</v>
      </c>
      <c r="K528" s="3" t="str">
        <f t="shared" si="59"/>
        <v>al-Zunun</v>
      </c>
      <c r="N528" s="39" t="str">
        <f t="shared" si="60"/>
        <v/>
      </c>
      <c r="P528" s="39" t="str">
        <f t="shared" si="61"/>
        <v/>
      </c>
      <c r="R528" s="39" t="str">
        <f t="shared" si="62"/>
        <v/>
      </c>
      <c r="S528" s="28"/>
      <c r="T528" s="28"/>
      <c r="U528" s="28"/>
    </row>
    <row r="529" spans="1:21" s="5" customFormat="1">
      <c r="A529" s="179" t="s">
        <v>794</v>
      </c>
      <c r="B529" s="185" t="s">
        <v>5345</v>
      </c>
      <c r="C529" s="35" t="str">
        <f t="shared" si="56"/>
        <v>Ama</v>
      </c>
      <c r="E529" s="40"/>
      <c r="F529" s="15" t="s">
        <v>795</v>
      </c>
      <c r="G529" s="17"/>
      <c r="H529" s="10" t="s">
        <v>8563</v>
      </c>
      <c r="I529" s="4" t="str">
        <f t="shared" si="57"/>
        <v>|ʿAmá|</v>
      </c>
      <c r="J529" s="3" t="str">
        <f t="shared" si="58"/>
        <v>|'Ama|</v>
      </c>
      <c r="K529" s="3" t="str">
        <f t="shared" si="59"/>
        <v>Ama</v>
      </c>
      <c r="N529" s="39" t="str">
        <f t="shared" si="60"/>
        <v/>
      </c>
      <c r="P529" s="39" t="str">
        <f t="shared" si="61"/>
        <v/>
      </c>
      <c r="R529" s="39" t="str">
        <f t="shared" si="62"/>
        <v/>
      </c>
      <c r="S529" s="28"/>
      <c r="T529" s="28"/>
      <c r="U529" s="28"/>
    </row>
    <row r="530" spans="1:21" s="5" customFormat="1">
      <c r="A530" s="179" t="s">
        <v>796</v>
      </c>
      <c r="B530" s="185" t="s">
        <v>5346</v>
      </c>
      <c r="C530" s="35" t="str">
        <f t="shared" si="56"/>
        <v>amadam</v>
      </c>
      <c r="E530" s="40"/>
      <c r="F530" s="15"/>
      <c r="G530" s="17"/>
      <c r="H530" s="10" t="s">
        <v>8563</v>
      </c>
      <c r="I530" s="4" t="str">
        <f t="shared" si="57"/>
        <v>|ámadam|</v>
      </c>
      <c r="J530" s="3" t="str">
        <f t="shared" si="58"/>
        <v>|amadam|</v>
      </c>
      <c r="K530" s="3" t="str">
        <f t="shared" si="59"/>
        <v>amadam</v>
      </c>
      <c r="N530" s="39" t="str">
        <f t="shared" si="60"/>
        <v/>
      </c>
      <c r="P530" s="39" t="str">
        <f t="shared" si="61"/>
        <v/>
      </c>
      <c r="R530" s="39" t="str">
        <f t="shared" si="62"/>
        <v/>
      </c>
      <c r="S530" s="28"/>
      <c r="T530" s="28"/>
      <c r="U530" s="28"/>
    </row>
    <row r="531" spans="1:21" s="5" customFormat="1">
      <c r="A531" s="179" t="s">
        <v>797</v>
      </c>
      <c r="B531" s="185" t="s">
        <v>5347</v>
      </c>
      <c r="C531" s="35" t="str">
        <f t="shared" si="56"/>
        <v>amadid</v>
      </c>
      <c r="E531" s="40"/>
      <c r="F531" s="15"/>
      <c r="G531" s="17"/>
      <c r="H531" s="10" t="s">
        <v>8563</v>
      </c>
      <c r="I531" s="4" t="str">
        <f t="shared" si="57"/>
        <v>|ámadíd|</v>
      </c>
      <c r="J531" s="3" t="str">
        <f t="shared" si="58"/>
        <v>|amadid|</v>
      </c>
      <c r="K531" s="3" t="str">
        <f t="shared" si="59"/>
        <v>amadid</v>
      </c>
      <c r="N531" s="39" t="str">
        <f t="shared" si="60"/>
        <v/>
      </c>
      <c r="P531" s="39" t="str">
        <f t="shared" si="61"/>
        <v/>
      </c>
      <c r="R531" s="39" t="str">
        <f t="shared" si="62"/>
        <v/>
      </c>
      <c r="S531" s="28"/>
      <c r="T531" s="28"/>
      <c r="U531" s="28"/>
    </row>
    <row r="532" spans="1:21" s="5" customFormat="1">
      <c r="A532" s="179" t="s">
        <v>798</v>
      </c>
      <c r="B532" s="185" t="s">
        <v>5348</v>
      </c>
      <c r="C532" s="35" t="str">
        <f t="shared" si="56"/>
        <v>Amanat</v>
      </c>
      <c r="E532" s="40"/>
      <c r="F532" s="14"/>
      <c r="G532" s="17"/>
      <c r="H532" s="10" t="s">
        <v>8563</v>
      </c>
      <c r="I532" s="4" t="str">
        <f t="shared" si="57"/>
        <v>|Amánat|</v>
      </c>
      <c r="J532" s="3" t="str">
        <f t="shared" si="58"/>
        <v>|Amanat|</v>
      </c>
      <c r="K532" s="3" t="str">
        <f t="shared" si="59"/>
        <v>Amanat</v>
      </c>
      <c r="N532" s="39" t="str">
        <f t="shared" si="60"/>
        <v/>
      </c>
      <c r="P532" s="39" t="str">
        <f t="shared" si="61"/>
        <v/>
      </c>
      <c r="R532" s="39" t="str">
        <f t="shared" si="62"/>
        <v/>
      </c>
      <c r="S532" s="28"/>
      <c r="T532" s="28"/>
      <c r="U532" s="28"/>
    </row>
    <row r="533" spans="1:21" s="5" customFormat="1">
      <c r="A533" s="179" t="s">
        <v>799</v>
      </c>
      <c r="B533" s="185" t="s">
        <v>5349</v>
      </c>
      <c r="C533" s="35" t="str">
        <f t="shared" si="56"/>
        <v>Amanillah</v>
      </c>
      <c r="E533" s="40"/>
      <c r="F533" s="15"/>
      <c r="G533" s="17"/>
      <c r="H533" s="10" t="s">
        <v>8563</v>
      </c>
      <c r="I533" s="4" t="str">
        <f t="shared" si="57"/>
        <v>|Amáni’lláh|</v>
      </c>
      <c r="J533" s="3" t="str">
        <f t="shared" si="58"/>
        <v>|Amani'llah|</v>
      </c>
      <c r="K533" s="3" t="str">
        <f t="shared" si="59"/>
        <v>Amanillah</v>
      </c>
      <c r="N533" s="39" t="str">
        <f t="shared" si="60"/>
        <v/>
      </c>
      <c r="P533" s="39" t="str">
        <f t="shared" si="61"/>
        <v/>
      </c>
      <c r="R533" s="39" t="str">
        <f t="shared" si="62"/>
        <v/>
      </c>
      <c r="S533" s="28"/>
      <c r="T533" s="28"/>
      <c r="U533" s="28"/>
    </row>
    <row r="534" spans="1:21" s="5" customFormat="1">
      <c r="A534" s="179" t="s">
        <v>800</v>
      </c>
      <c r="B534" s="185" t="s">
        <v>5350</v>
      </c>
      <c r="C534" s="35" t="str">
        <f t="shared" si="56"/>
        <v>AmatulBaha</v>
      </c>
      <c r="E534" s="40"/>
      <c r="F534" s="14"/>
      <c r="G534" s="17"/>
      <c r="H534" s="10" t="s">
        <v>8563</v>
      </c>
      <c r="I534" s="4" t="str">
        <f t="shared" si="57"/>
        <v>|Amatu’l-Bahá|</v>
      </c>
      <c r="J534" s="3" t="str">
        <f t="shared" si="58"/>
        <v>|Amatu'l-Baha|</v>
      </c>
      <c r="K534" s="3" t="str">
        <f t="shared" si="59"/>
        <v>Amatul-Baha</v>
      </c>
      <c r="N534" s="39" t="str">
        <f t="shared" si="60"/>
        <v/>
      </c>
      <c r="P534" s="39" t="str">
        <f t="shared" si="61"/>
        <v/>
      </c>
      <c r="R534" s="39" t="str">
        <f t="shared" si="62"/>
        <v/>
      </c>
      <c r="S534" s="28"/>
      <c r="T534" s="28"/>
      <c r="U534" s="28"/>
    </row>
    <row r="535" spans="1:21" s="5" customFormat="1">
      <c r="A535" s="179" t="s">
        <v>801</v>
      </c>
      <c r="B535" s="185" t="s">
        <v>5351</v>
      </c>
      <c r="C535" s="35" t="str">
        <f t="shared" si="56"/>
        <v>Amatullah</v>
      </c>
      <c r="E535" s="40"/>
      <c r="F535" s="15"/>
      <c r="G535" s="17"/>
      <c r="H535" s="10" t="s">
        <v>8563</v>
      </c>
      <c r="I535" s="4" t="str">
        <f t="shared" si="57"/>
        <v>|Amatu’lláh|</v>
      </c>
      <c r="J535" s="3" t="str">
        <f t="shared" si="58"/>
        <v>|Amatu'llah|</v>
      </c>
      <c r="K535" s="3" t="str">
        <f t="shared" si="59"/>
        <v>Amatullah</v>
      </c>
      <c r="N535" s="39" t="str">
        <f t="shared" si="60"/>
        <v/>
      </c>
      <c r="P535" s="39" t="str">
        <f t="shared" si="61"/>
        <v/>
      </c>
      <c r="R535" s="39" t="str">
        <f t="shared" si="62"/>
        <v/>
      </c>
      <c r="S535" s="28"/>
      <c r="T535" s="28"/>
      <c r="U535" s="28"/>
    </row>
    <row r="536" spans="1:21" s="5" customFormat="1">
      <c r="A536" s="179" t="s">
        <v>803</v>
      </c>
      <c r="B536" s="185" t="s">
        <v>5352</v>
      </c>
      <c r="C536" s="35" t="str">
        <f t="shared" si="56"/>
        <v>Amili</v>
      </c>
      <c r="E536" s="40"/>
      <c r="F536" s="15"/>
      <c r="G536" s="17"/>
      <c r="H536" s="10" t="s">
        <v>8563</v>
      </c>
      <c r="I536" s="4" t="str">
        <f t="shared" si="57"/>
        <v>|ʿÁmilí|</v>
      </c>
      <c r="J536" s="3" t="str">
        <f t="shared" si="58"/>
        <v>|'Amili|</v>
      </c>
      <c r="K536" s="3" t="str">
        <f t="shared" si="59"/>
        <v>Amili</v>
      </c>
      <c r="N536" s="39" t="str">
        <f t="shared" si="60"/>
        <v/>
      </c>
      <c r="P536" s="39" t="str">
        <f t="shared" si="61"/>
        <v/>
      </c>
      <c r="R536" s="39" t="str">
        <f t="shared" si="62"/>
        <v/>
      </c>
      <c r="S536" s="28"/>
      <c r="T536" s="28"/>
      <c r="U536" s="28"/>
    </row>
    <row r="537" spans="1:21" s="5" customFormat="1">
      <c r="A537" s="179" t="s">
        <v>804</v>
      </c>
      <c r="B537" s="185" t="s">
        <v>5353</v>
      </c>
      <c r="C537" s="35" t="str">
        <f t="shared" si="56"/>
        <v>Amin</v>
      </c>
      <c r="E537" s="40"/>
      <c r="F537" s="14" t="s">
        <v>805</v>
      </c>
      <c r="G537" s="17"/>
      <c r="H537" s="10" t="s">
        <v>8563</v>
      </c>
      <c r="I537" s="4" t="str">
        <f t="shared" si="57"/>
        <v>|Amín|</v>
      </c>
      <c r="J537" s="3" t="str">
        <f t="shared" si="58"/>
        <v>|Amin|</v>
      </c>
      <c r="K537" s="3" t="str">
        <f t="shared" si="59"/>
        <v>Amin</v>
      </c>
      <c r="N537" s="39" t="str">
        <f t="shared" si="60"/>
        <v/>
      </c>
      <c r="P537" s="39" t="str">
        <f t="shared" si="61"/>
        <v/>
      </c>
      <c r="R537" s="39" t="str">
        <f t="shared" si="62"/>
        <v/>
      </c>
      <c r="S537" s="28"/>
      <c r="T537" s="28"/>
      <c r="U537" s="28"/>
    </row>
    <row r="538" spans="1:21" s="5" customFormat="1">
      <c r="A538" s="179" t="s">
        <v>806</v>
      </c>
      <c r="B538" s="185" t="s">
        <v>5354</v>
      </c>
      <c r="C538" s="35" t="str">
        <f t="shared" si="56"/>
        <v>Amini</v>
      </c>
      <c r="E538" s="40"/>
      <c r="F538" s="15"/>
      <c r="G538" s="17"/>
      <c r="H538" s="10" t="s">
        <v>8563</v>
      </c>
      <c r="I538" s="4" t="str">
        <f t="shared" si="57"/>
        <v>|Amíní|</v>
      </c>
      <c r="J538" s="3" t="str">
        <f t="shared" si="58"/>
        <v>|Amini|</v>
      </c>
      <c r="K538" s="3" t="str">
        <f t="shared" si="59"/>
        <v>Amini</v>
      </c>
      <c r="N538" s="39" t="str">
        <f t="shared" si="60"/>
        <v/>
      </c>
      <c r="P538" s="39" t="str">
        <f t="shared" si="61"/>
        <v/>
      </c>
      <c r="R538" s="39" t="str">
        <f t="shared" si="62"/>
        <v/>
      </c>
      <c r="S538" s="28"/>
      <c r="T538" s="28"/>
      <c r="U538" s="28"/>
    </row>
    <row r="539" spans="1:21" s="5" customFormat="1">
      <c r="A539" s="179" t="s">
        <v>807</v>
      </c>
      <c r="B539" s="185" t="s">
        <v>5355</v>
      </c>
      <c r="C539" s="35" t="str">
        <f t="shared" si="56"/>
        <v>AminiHalabi</v>
      </c>
      <c r="E539" s="40"/>
      <c r="F539" s="15" t="s">
        <v>808</v>
      </c>
      <c r="G539" s="17"/>
      <c r="H539" s="10" t="s">
        <v>8563</v>
      </c>
      <c r="I539" s="4" t="str">
        <f t="shared" si="57"/>
        <v>|Amín-i-Ḥalabí|</v>
      </c>
      <c r="J539" s="3" t="str">
        <f t="shared" si="58"/>
        <v>|Amin-i-Halabi|</v>
      </c>
      <c r="K539" s="3" t="str">
        <f t="shared" si="59"/>
        <v>Amin-i-Halabi</v>
      </c>
      <c r="N539" s="39" t="str">
        <f t="shared" si="60"/>
        <v/>
      </c>
      <c r="P539" s="39" t="str">
        <f t="shared" si="61"/>
        <v/>
      </c>
      <c r="R539" s="39" t="str">
        <f t="shared" si="62"/>
        <v/>
      </c>
      <c r="S539" s="28"/>
      <c r="T539" s="28"/>
      <c r="U539" s="28"/>
    </row>
    <row r="540" spans="1:21" s="5" customFormat="1">
      <c r="A540" s="179" t="s">
        <v>809</v>
      </c>
      <c r="B540" s="185" t="s">
        <v>5356</v>
      </c>
      <c r="C540" s="35" t="str">
        <f t="shared" si="56"/>
        <v>AminiIlahi</v>
      </c>
      <c r="E540" s="40"/>
      <c r="F540" s="14"/>
      <c r="G540" s="17"/>
      <c r="H540" s="10" t="s">
        <v>8563</v>
      </c>
      <c r="I540" s="4" t="str">
        <f t="shared" si="57"/>
        <v>|Amín-i-Iláhí|</v>
      </c>
      <c r="J540" s="3" t="str">
        <f t="shared" si="58"/>
        <v>|Amin-i-Ilahi|</v>
      </c>
      <c r="K540" s="3" t="str">
        <f t="shared" si="59"/>
        <v>Amin-i-Ilahi</v>
      </c>
      <c r="N540" s="39" t="str">
        <f t="shared" si="60"/>
        <v/>
      </c>
      <c r="P540" s="39" t="str">
        <f t="shared" si="61"/>
        <v/>
      </c>
      <c r="R540" s="39" t="str">
        <f t="shared" si="62"/>
        <v/>
      </c>
      <c r="S540" s="28"/>
      <c r="T540" s="28"/>
      <c r="U540" s="28"/>
    </row>
    <row r="541" spans="1:21" s="5" customFormat="1">
      <c r="A541" s="179" t="s">
        <v>810</v>
      </c>
      <c r="B541" s="185" t="s">
        <v>5357</v>
      </c>
      <c r="C541" s="35" t="str">
        <f t="shared" si="56"/>
        <v>AminudDawlih</v>
      </c>
      <c r="E541" s="40"/>
      <c r="F541" s="14"/>
      <c r="G541" s="17"/>
      <c r="H541" s="10" t="s">
        <v>8563</v>
      </c>
      <c r="I541" s="4" t="str">
        <f t="shared" si="57"/>
        <v>|Amínu’d-Dawlih|</v>
      </c>
      <c r="J541" s="3" t="str">
        <f t="shared" si="58"/>
        <v>|Aminu'd-Dawlih|</v>
      </c>
      <c r="K541" s="3" t="str">
        <f t="shared" si="59"/>
        <v>Aminud-Dawlih</v>
      </c>
      <c r="N541" s="39" t="str">
        <f t="shared" si="60"/>
        <v/>
      </c>
      <c r="P541" s="39" t="str">
        <f t="shared" si="61"/>
        <v/>
      </c>
      <c r="R541" s="39" t="str">
        <f t="shared" si="62"/>
        <v/>
      </c>
      <c r="S541" s="28"/>
      <c r="T541" s="28"/>
      <c r="U541" s="28"/>
    </row>
    <row r="542" spans="1:21" s="5" customFormat="1">
      <c r="A542" s="179" t="s">
        <v>802</v>
      </c>
      <c r="B542" s="185" t="s">
        <v>8903</v>
      </c>
      <c r="C542" s="35" t="str">
        <f t="shared" si="56"/>
        <v>AminulAtibba</v>
      </c>
      <c r="E542" s="40"/>
      <c r="F542" s="15"/>
      <c r="G542" s="17"/>
      <c r="H542" s="10" t="s">
        <v>8563</v>
      </c>
      <c r="I542" s="4" t="str">
        <f t="shared" si="57"/>
        <v>|Amínu’l-Aṭibbá’|</v>
      </c>
      <c r="J542" s="3" t="str">
        <f t="shared" si="58"/>
        <v>|Aminu'l-Atibba'|</v>
      </c>
      <c r="K542" s="3" t="str">
        <f t="shared" si="59"/>
        <v>Aminul-Atibba</v>
      </c>
      <c r="N542" s="39" t="str">
        <f t="shared" si="60"/>
        <v/>
      </c>
      <c r="P542" s="39" t="str">
        <f t="shared" si="61"/>
        <v/>
      </c>
      <c r="R542" s="39" t="str">
        <f t="shared" si="62"/>
        <v/>
      </c>
      <c r="S542" s="28"/>
      <c r="T542" s="28"/>
      <c r="U542" s="28"/>
    </row>
    <row r="543" spans="1:21" s="5" customFormat="1">
      <c r="A543" s="179" t="s">
        <v>811</v>
      </c>
      <c r="B543" s="185" t="s">
        <v>5358</v>
      </c>
      <c r="C543" s="35" t="str">
        <f t="shared" si="56"/>
        <v>AminulBayan</v>
      </c>
      <c r="E543" s="40"/>
      <c r="F543" s="14"/>
      <c r="G543" s="17"/>
      <c r="H543" s="10" t="s">
        <v>8563</v>
      </c>
      <c r="I543" s="4" t="str">
        <f t="shared" si="57"/>
        <v>|Amínu’l-Bayán|</v>
      </c>
      <c r="J543" s="3" t="str">
        <f t="shared" si="58"/>
        <v>|Aminu'l-Bayan|</v>
      </c>
      <c r="K543" s="3" t="str">
        <f t="shared" si="59"/>
        <v>Aminul-Bayan</v>
      </c>
      <c r="N543" s="39" t="str">
        <f t="shared" si="60"/>
        <v/>
      </c>
      <c r="P543" s="39" t="str">
        <f t="shared" si="61"/>
        <v/>
      </c>
      <c r="R543" s="39" t="str">
        <f t="shared" si="62"/>
        <v/>
      </c>
      <c r="S543" s="28"/>
      <c r="T543" s="28"/>
      <c r="U543" s="28"/>
    </row>
    <row r="544" spans="1:21" s="5" customFormat="1">
      <c r="A544" s="179" t="s">
        <v>812</v>
      </c>
      <c r="B544" s="185" t="s">
        <v>5359</v>
      </c>
      <c r="C544" s="35" t="str">
        <f t="shared" si="56"/>
        <v>Aminullah</v>
      </c>
      <c r="E544" s="40"/>
      <c r="F544" s="14"/>
      <c r="G544" s="17"/>
      <c r="H544" s="10" t="s">
        <v>8563</v>
      </c>
      <c r="I544" s="4" t="str">
        <f t="shared" si="57"/>
        <v>|Amínu’lláh|</v>
      </c>
      <c r="J544" s="3" t="str">
        <f t="shared" si="58"/>
        <v>|Aminu'llah|</v>
      </c>
      <c r="K544" s="3" t="str">
        <f t="shared" si="59"/>
        <v>Aminullah</v>
      </c>
      <c r="N544" s="39" t="str">
        <f t="shared" si="60"/>
        <v/>
      </c>
      <c r="P544" s="39" t="str">
        <f t="shared" si="61"/>
        <v/>
      </c>
      <c r="R544" s="39" t="str">
        <f t="shared" si="62"/>
        <v/>
      </c>
      <c r="S544" s="28"/>
      <c r="T544" s="28"/>
      <c r="U544" s="28"/>
    </row>
    <row r="545" spans="1:21" s="5" customFormat="1">
      <c r="A545" s="179" t="s">
        <v>813</v>
      </c>
      <c r="B545" s="185" t="s">
        <v>5360</v>
      </c>
      <c r="C545" s="35" t="str">
        <f t="shared" si="56"/>
        <v>AminulUlama</v>
      </c>
      <c r="E545" s="40"/>
      <c r="F545" s="14"/>
      <c r="G545" s="17"/>
      <c r="H545" s="10" t="s">
        <v>8563</v>
      </c>
      <c r="I545" s="4" t="str">
        <f t="shared" si="57"/>
        <v>|Amínu’l-ʿUlamá|</v>
      </c>
      <c r="J545" s="3" t="str">
        <f t="shared" si="58"/>
        <v>|Aminu'l-'Ulama|</v>
      </c>
      <c r="K545" s="3" t="str">
        <f t="shared" si="59"/>
        <v>Aminul-Ulama</v>
      </c>
      <c r="N545" s="39" t="str">
        <f t="shared" si="60"/>
        <v/>
      </c>
      <c r="P545" s="39" t="str">
        <f t="shared" si="61"/>
        <v/>
      </c>
      <c r="R545" s="39" t="str">
        <f t="shared" si="62"/>
        <v/>
      </c>
      <c r="S545" s="28"/>
      <c r="T545" s="28"/>
      <c r="U545" s="28"/>
    </row>
    <row r="546" spans="1:21" s="5" customFormat="1">
      <c r="A546" s="179" t="s">
        <v>814</v>
      </c>
      <c r="B546" s="185" t="s">
        <v>5361</v>
      </c>
      <c r="C546" s="35" t="str">
        <f t="shared" si="56"/>
        <v>AminusSultan</v>
      </c>
      <c r="E546" s="40"/>
      <c r="F546" s="15" t="s">
        <v>815</v>
      </c>
      <c r="G546" s="17"/>
      <c r="H546" s="10" t="s">
        <v>8563</v>
      </c>
      <c r="I546" s="4" t="str">
        <f t="shared" si="57"/>
        <v>|Amínu’s-Sulṭán|</v>
      </c>
      <c r="J546" s="3" t="str">
        <f t="shared" si="58"/>
        <v>|Aminu's-Sultan|</v>
      </c>
      <c r="K546" s="3" t="str">
        <f t="shared" si="59"/>
        <v>Aminus-Sultan</v>
      </c>
      <c r="N546" s="39" t="str">
        <f t="shared" si="60"/>
        <v/>
      </c>
      <c r="P546" s="39" t="str">
        <f t="shared" si="61"/>
        <v/>
      </c>
      <c r="R546" s="39" t="str">
        <f t="shared" si="62"/>
        <v/>
      </c>
      <c r="S546" s="28"/>
      <c r="T546" s="28"/>
      <c r="U546" s="28"/>
    </row>
    <row r="547" spans="1:21" s="5" customFormat="1">
      <c r="A547" s="179" t="s">
        <v>816</v>
      </c>
      <c r="B547" s="185" t="s">
        <v>5362</v>
      </c>
      <c r="C547" s="35" t="str">
        <f t="shared" si="56"/>
        <v>Amir</v>
      </c>
      <c r="D547" s="1"/>
      <c r="E547" s="40"/>
      <c r="F547" s="14" t="s">
        <v>817</v>
      </c>
      <c r="G547" s="9"/>
      <c r="H547" s="10" t="s">
        <v>9076</v>
      </c>
      <c r="I547" s="4" t="str">
        <f t="shared" si="57"/>
        <v>|Amír|</v>
      </c>
      <c r="J547" s="3" t="str">
        <f t="shared" si="58"/>
        <v>|Amir|</v>
      </c>
      <c r="K547" s="3" t="str">
        <f t="shared" si="59"/>
        <v>Amir</v>
      </c>
      <c r="N547" s="39" t="str">
        <f t="shared" si="60"/>
        <v/>
      </c>
      <c r="O547" s="5" t="s">
        <v>127</v>
      </c>
      <c r="P547" s="39" t="str">
        <f t="shared" si="61"/>
        <v>Emir</v>
      </c>
      <c r="R547" s="39" t="str">
        <f t="shared" si="62"/>
        <v/>
      </c>
      <c r="S547" s="28"/>
      <c r="T547" s="28"/>
      <c r="U547" s="28"/>
    </row>
    <row r="548" spans="1:21" s="5" customFormat="1">
      <c r="A548" s="179" t="s">
        <v>818</v>
      </c>
      <c r="B548" s="185" t="s">
        <v>5363</v>
      </c>
      <c r="C548" s="35" t="str">
        <f t="shared" si="56"/>
        <v>Amir</v>
      </c>
      <c r="E548" s="40" t="s">
        <v>9115</v>
      </c>
      <c r="F548" s="14"/>
      <c r="G548" s="17" t="s">
        <v>9127</v>
      </c>
      <c r="H548" s="10" t="s">
        <v>8563</v>
      </c>
      <c r="I548" s="4" t="str">
        <f t="shared" si="57"/>
        <v>|ʿAmír|</v>
      </c>
      <c r="J548" s="3" t="str">
        <f t="shared" si="58"/>
        <v>|'Amir|</v>
      </c>
      <c r="K548" s="3" t="str">
        <f t="shared" si="59"/>
        <v>Amir</v>
      </c>
      <c r="N548" s="39" t="str">
        <f t="shared" si="60"/>
        <v/>
      </c>
      <c r="P548" s="39" t="str">
        <f t="shared" si="61"/>
        <v/>
      </c>
      <c r="R548" s="39" t="str">
        <f t="shared" si="62"/>
        <v/>
      </c>
      <c r="S548" s="28"/>
      <c r="T548" s="28"/>
      <c r="U548" s="28"/>
    </row>
    <row r="549" spans="1:21" s="5" customFormat="1">
      <c r="A549" s="179" t="s">
        <v>819</v>
      </c>
      <c r="B549" s="185" t="s">
        <v>5364</v>
      </c>
      <c r="C549" s="35" t="str">
        <f t="shared" si="56"/>
        <v>Amir</v>
      </c>
      <c r="E549" s="40" t="s">
        <v>9115</v>
      </c>
      <c r="F549" s="15" t="s">
        <v>820</v>
      </c>
      <c r="G549" s="17"/>
      <c r="H549" s="10" t="s">
        <v>8563</v>
      </c>
      <c r="I549" s="4" t="str">
        <f t="shared" si="57"/>
        <v>|ʿÁmir|</v>
      </c>
      <c r="J549" s="3" t="str">
        <f t="shared" si="58"/>
        <v>|'Amir|</v>
      </c>
      <c r="K549" s="3" t="str">
        <f t="shared" si="59"/>
        <v>Amir</v>
      </c>
      <c r="N549" s="39" t="str">
        <f t="shared" si="60"/>
        <v/>
      </c>
      <c r="P549" s="39" t="str">
        <f t="shared" si="61"/>
        <v/>
      </c>
      <c r="R549" s="39" t="str">
        <f t="shared" si="62"/>
        <v/>
      </c>
      <c r="S549" s="28"/>
      <c r="T549" s="28"/>
      <c r="U549" s="28"/>
    </row>
    <row r="550" spans="1:21" s="5" customFormat="1">
      <c r="A550" s="179" t="s">
        <v>821</v>
      </c>
      <c r="B550" s="185" t="s">
        <v>5365</v>
      </c>
      <c r="C550" s="35" t="str">
        <f t="shared" si="56"/>
        <v>AmiralMuminin</v>
      </c>
      <c r="E550" s="40"/>
      <c r="F550" s="15" t="s">
        <v>822</v>
      </c>
      <c r="G550" s="17"/>
      <c r="H550" s="10" t="s">
        <v>8563</v>
      </c>
      <c r="I550" s="4" t="str">
        <f t="shared" si="57"/>
        <v>|Amíra’l-Mu’minín|</v>
      </c>
      <c r="J550" s="3" t="str">
        <f t="shared" si="58"/>
        <v>|Amira'l-Mu'minin|</v>
      </c>
      <c r="K550" s="3" t="str">
        <f t="shared" si="59"/>
        <v>Amiral-Muminin</v>
      </c>
      <c r="N550" s="39" t="str">
        <f t="shared" si="60"/>
        <v/>
      </c>
      <c r="P550" s="39" t="str">
        <f t="shared" si="61"/>
        <v/>
      </c>
      <c r="R550" s="39" t="str">
        <f t="shared" si="62"/>
        <v/>
      </c>
      <c r="S550" s="28"/>
      <c r="T550" s="28"/>
      <c r="U550" s="28"/>
    </row>
    <row r="551" spans="1:21" s="5" customFormat="1">
      <c r="A551" s="179" t="s">
        <v>823</v>
      </c>
      <c r="B551" s="185" t="s">
        <v>5366</v>
      </c>
      <c r="C551" s="35" t="str">
        <f t="shared" si="56"/>
        <v>AmirDivan</v>
      </c>
      <c r="E551" s="40"/>
      <c r="F551" s="14"/>
      <c r="G551" s="17"/>
      <c r="H551" s="10" t="s">
        <v>8563</v>
      </c>
      <c r="I551" s="4" t="str">
        <f t="shared" si="57"/>
        <v>|Amír-Díván|</v>
      </c>
      <c r="J551" s="3" t="str">
        <f t="shared" si="58"/>
        <v>|Amir-Divan|</v>
      </c>
      <c r="K551" s="3" t="str">
        <f t="shared" si="59"/>
        <v>Amir-Divan</v>
      </c>
      <c r="N551" s="39" t="str">
        <f t="shared" si="60"/>
        <v/>
      </c>
      <c r="P551" s="39" t="str">
        <f t="shared" si="61"/>
        <v/>
      </c>
      <c r="R551" s="39" t="str">
        <f t="shared" si="62"/>
        <v/>
      </c>
      <c r="S551" s="28"/>
      <c r="T551" s="28"/>
      <c r="U551" s="28"/>
    </row>
    <row r="552" spans="1:21" s="5" customFormat="1">
      <c r="A552" s="179" t="s">
        <v>824</v>
      </c>
      <c r="B552" s="185" t="s">
        <v>5367</v>
      </c>
      <c r="C552" s="35" t="str">
        <f t="shared" si="56"/>
        <v>AmiriKabir</v>
      </c>
      <c r="E552" s="40"/>
      <c r="F552" s="15"/>
      <c r="G552" s="17"/>
      <c r="H552" s="10" t="s">
        <v>8563</v>
      </c>
      <c r="I552" s="4" t="str">
        <f t="shared" si="57"/>
        <v>|Amír-i-Kabír|</v>
      </c>
      <c r="J552" s="3" t="str">
        <f t="shared" si="58"/>
        <v>|Amir-i-Kabir|</v>
      </c>
      <c r="K552" s="3" t="str">
        <f t="shared" si="59"/>
        <v>Amir-i-Kabir</v>
      </c>
      <c r="N552" s="39" t="str">
        <f t="shared" si="60"/>
        <v/>
      </c>
      <c r="P552" s="39" t="str">
        <f t="shared" si="61"/>
        <v/>
      </c>
      <c r="R552" s="39" t="str">
        <f t="shared" si="62"/>
        <v/>
      </c>
      <c r="S552" s="28"/>
      <c r="T552" s="28"/>
      <c r="U552" s="28"/>
    </row>
    <row r="553" spans="1:21" s="5" customFormat="1">
      <c r="A553" s="179" t="s">
        <v>825</v>
      </c>
      <c r="B553" s="185" t="s">
        <v>5368</v>
      </c>
      <c r="C553" s="35" t="str">
        <f t="shared" si="56"/>
        <v>AmirKiya</v>
      </c>
      <c r="E553" s="40"/>
      <c r="F553" s="15"/>
      <c r="G553" s="17"/>
      <c r="H553" s="10" t="s">
        <v>8563</v>
      </c>
      <c r="I553" s="4" t="str">
        <f t="shared" si="57"/>
        <v>|Amír-Kíyá|</v>
      </c>
      <c r="J553" s="3" t="str">
        <f t="shared" si="58"/>
        <v>|Amir-Kiya|</v>
      </c>
      <c r="K553" s="3" t="str">
        <f t="shared" si="59"/>
        <v>Amir-Kiya</v>
      </c>
      <c r="N553" s="39" t="str">
        <f t="shared" si="60"/>
        <v/>
      </c>
      <c r="P553" s="39" t="str">
        <f t="shared" si="61"/>
        <v/>
      </c>
      <c r="R553" s="39" t="str">
        <f t="shared" si="62"/>
        <v/>
      </c>
      <c r="S553" s="28"/>
      <c r="T553" s="28"/>
      <c r="U553" s="28"/>
    </row>
    <row r="554" spans="1:21" s="5" customFormat="1">
      <c r="A554" s="179" t="s">
        <v>826</v>
      </c>
      <c r="B554" s="185" t="s">
        <v>5369</v>
      </c>
      <c r="C554" s="35" t="str">
        <f t="shared" si="56"/>
        <v>AmirNizam</v>
      </c>
      <c r="E554" s="40"/>
      <c r="F554" s="14"/>
      <c r="G554" s="17"/>
      <c r="H554" s="10" t="s">
        <v>8563</v>
      </c>
      <c r="I554" s="4" t="str">
        <f t="shared" si="57"/>
        <v>|Amír-Niẓám|</v>
      </c>
      <c r="J554" s="3" t="str">
        <f t="shared" si="58"/>
        <v>|Amir-Nizam|</v>
      </c>
      <c r="K554" s="3" t="str">
        <f t="shared" si="59"/>
        <v>Amir-Nizam</v>
      </c>
      <c r="N554" s="39" t="str">
        <f t="shared" si="60"/>
        <v/>
      </c>
      <c r="P554" s="39" t="str">
        <f t="shared" si="61"/>
        <v/>
      </c>
      <c r="R554" s="39" t="str">
        <f t="shared" si="62"/>
        <v/>
      </c>
      <c r="S554" s="28"/>
      <c r="T554" s="28"/>
      <c r="U554" s="28"/>
    </row>
    <row r="555" spans="1:21" s="5" customFormat="1">
      <c r="A555" s="179" t="s">
        <v>827</v>
      </c>
      <c r="B555" s="185" t="s">
        <v>5370</v>
      </c>
      <c r="C555" s="35" t="str">
        <f t="shared" si="56"/>
        <v>AmirTuman</v>
      </c>
      <c r="E555" s="40"/>
      <c r="F555" s="15"/>
      <c r="G555" s="17"/>
      <c r="H555" s="10" t="s">
        <v>8563</v>
      </c>
      <c r="I555" s="4" t="str">
        <f t="shared" si="57"/>
        <v>|Amír-Túmán|</v>
      </c>
      <c r="J555" s="3" t="str">
        <f t="shared" si="58"/>
        <v>|Amir-Tuman|</v>
      </c>
      <c r="K555" s="3" t="str">
        <f t="shared" si="59"/>
        <v>Amir-Tuman</v>
      </c>
      <c r="N555" s="39" t="str">
        <f t="shared" si="60"/>
        <v/>
      </c>
      <c r="P555" s="39" t="str">
        <f t="shared" si="61"/>
        <v/>
      </c>
      <c r="R555" s="39" t="str">
        <f t="shared" si="62"/>
        <v/>
      </c>
      <c r="S555" s="28"/>
      <c r="T555" s="28"/>
      <c r="U555" s="28"/>
    </row>
    <row r="556" spans="1:21" s="5" customFormat="1">
      <c r="A556" s="179" t="s">
        <v>828</v>
      </c>
      <c r="B556" s="185" t="s">
        <v>5371</v>
      </c>
      <c r="C556" s="35" t="str">
        <f t="shared" si="56"/>
        <v>AmirulIslam</v>
      </c>
      <c r="E556" s="40"/>
      <c r="F556" s="15"/>
      <c r="G556" s="17"/>
      <c r="H556" s="10" t="s">
        <v>8563</v>
      </c>
      <c r="I556" s="4" t="str">
        <f t="shared" si="57"/>
        <v>|Amíru’l-Islám|</v>
      </c>
      <c r="J556" s="3" t="str">
        <f t="shared" si="58"/>
        <v>|Amiru'l-Islam|</v>
      </c>
      <c r="K556" s="3" t="str">
        <f t="shared" si="59"/>
        <v>Amirul-Islam</v>
      </c>
      <c r="N556" s="39" t="str">
        <f t="shared" si="60"/>
        <v/>
      </c>
      <c r="P556" s="39" t="str">
        <f t="shared" si="61"/>
        <v/>
      </c>
      <c r="R556" s="39" t="str">
        <f t="shared" si="62"/>
        <v/>
      </c>
      <c r="S556" s="28"/>
      <c r="T556" s="28"/>
      <c r="U556" s="28"/>
    </row>
    <row r="557" spans="1:21" s="5" customFormat="1">
      <c r="A557" s="179" t="s">
        <v>8904</v>
      </c>
      <c r="B557" s="185" t="s">
        <v>8905</v>
      </c>
      <c r="C557" s="35" t="str">
        <f t="shared" si="56"/>
        <v>AmirulKutub</v>
      </c>
      <c r="E557" s="40"/>
      <c r="F557" s="15"/>
      <c r="G557" s="17"/>
      <c r="H557" s="10" t="s">
        <v>8563</v>
      </c>
      <c r="I557" s="4" t="str">
        <f t="shared" si="57"/>
        <v>|Amíru’l-Kutub|</v>
      </c>
      <c r="J557" s="3" t="str">
        <f t="shared" si="58"/>
        <v>|Amiru'l-Kutub|</v>
      </c>
      <c r="K557" s="3" t="str">
        <f t="shared" si="59"/>
        <v>Amirul-Kutub</v>
      </c>
      <c r="N557" s="39" t="str">
        <f t="shared" si="60"/>
        <v/>
      </c>
      <c r="P557" s="39" t="str">
        <f t="shared" si="61"/>
        <v/>
      </c>
      <c r="R557" s="39" t="str">
        <f t="shared" si="62"/>
        <v/>
      </c>
      <c r="S557" s="28"/>
      <c r="T557" s="28"/>
      <c r="U557" s="28"/>
    </row>
    <row r="558" spans="1:21" s="5" customFormat="1">
      <c r="A558" s="179" t="s">
        <v>829</v>
      </c>
      <c r="B558" s="185" t="s">
        <v>5372</v>
      </c>
      <c r="C558" s="35" t="str">
        <f t="shared" si="56"/>
        <v>AmirushShuara</v>
      </c>
      <c r="E558" s="40"/>
      <c r="F558" s="15" t="s">
        <v>830</v>
      </c>
      <c r="G558" s="17"/>
      <c r="H558" s="10" t="s">
        <v>8563</v>
      </c>
      <c r="I558" s="4" t="str">
        <f t="shared" si="57"/>
        <v>|Amíru’-uʿará|</v>
      </c>
      <c r="J558" s="3" t="str">
        <f t="shared" si="58"/>
        <v>|Amiru'sh-Shu'ara|</v>
      </c>
      <c r="K558" s="3" t="str">
        <f t="shared" si="59"/>
        <v>Amirush-Shuara</v>
      </c>
      <c r="N558" s="39" t="str">
        <f t="shared" si="60"/>
        <v/>
      </c>
      <c r="P558" s="39" t="str">
        <f t="shared" si="61"/>
        <v/>
      </c>
      <c r="R558" s="39" t="str">
        <f t="shared" si="62"/>
        <v/>
      </c>
      <c r="S558" s="28"/>
      <c r="T558" s="28"/>
      <c r="U558" s="28"/>
    </row>
    <row r="559" spans="1:21" s="5" customFormat="1">
      <c r="A559" s="179" t="s">
        <v>831</v>
      </c>
      <c r="B559" s="185" t="s">
        <v>5373</v>
      </c>
      <c r="C559" s="35" t="str">
        <f t="shared" si="56"/>
        <v>AmirZadih</v>
      </c>
      <c r="E559" s="40"/>
      <c r="F559" s="14"/>
      <c r="G559" s="17"/>
      <c r="H559" s="10" t="s">
        <v>8563</v>
      </c>
      <c r="I559" s="4" t="str">
        <f t="shared" si="57"/>
        <v>|Amír-Zádih|</v>
      </c>
      <c r="J559" s="3" t="str">
        <f t="shared" si="58"/>
        <v>|Amir-Zadih|</v>
      </c>
      <c r="K559" s="3" t="str">
        <f t="shared" si="59"/>
        <v>Amir-Zadih</v>
      </c>
      <c r="N559" s="39" t="str">
        <f t="shared" si="60"/>
        <v/>
      </c>
      <c r="P559" s="39" t="str">
        <f t="shared" si="61"/>
        <v/>
      </c>
      <c r="R559" s="39" t="str">
        <f t="shared" si="62"/>
        <v/>
      </c>
      <c r="S559" s="28"/>
      <c r="T559" s="28"/>
      <c r="U559" s="28"/>
    </row>
    <row r="560" spans="1:21" s="5" customFormat="1">
      <c r="A560" s="179" t="s">
        <v>832</v>
      </c>
      <c r="B560" s="185" t="s">
        <v>5374</v>
      </c>
      <c r="C560" s="35" t="str">
        <f t="shared" si="56"/>
        <v>Amman</v>
      </c>
      <c r="E560" s="40"/>
      <c r="F560" s="15"/>
      <c r="G560" s="17"/>
      <c r="H560" s="10" t="s">
        <v>8563</v>
      </c>
      <c r="I560" s="4" t="str">
        <f t="shared" si="57"/>
        <v>|ʿAmmán|</v>
      </c>
      <c r="J560" s="3" t="str">
        <f t="shared" si="58"/>
        <v>|'Amman|</v>
      </c>
      <c r="K560" s="3" t="str">
        <f t="shared" si="59"/>
        <v>Amman</v>
      </c>
      <c r="N560" s="39" t="str">
        <f t="shared" si="60"/>
        <v/>
      </c>
      <c r="P560" s="39" t="str">
        <f t="shared" si="61"/>
        <v/>
      </c>
      <c r="R560" s="39" t="str">
        <f t="shared" si="62"/>
        <v/>
      </c>
      <c r="S560" s="28"/>
      <c r="T560" s="28"/>
      <c r="U560" s="28"/>
    </row>
    <row r="561" spans="1:21" s="5" customFormat="1">
      <c r="A561" s="179" t="s">
        <v>8907</v>
      </c>
      <c r="B561" s="185" t="s">
        <v>8906</v>
      </c>
      <c r="C561" s="35" t="str">
        <f t="shared" si="56"/>
        <v>Amr</v>
      </c>
      <c r="E561" s="40"/>
      <c r="F561" s="14"/>
      <c r="G561" s="17"/>
      <c r="H561" s="10" t="s">
        <v>8563</v>
      </c>
      <c r="I561" s="4" t="str">
        <f t="shared" si="57"/>
        <v>|Amr|</v>
      </c>
      <c r="J561" s="3" t="str">
        <f t="shared" si="58"/>
        <v>|Amr|</v>
      </c>
      <c r="K561" s="3" t="str">
        <f t="shared" si="59"/>
        <v>Amr</v>
      </c>
      <c r="N561" s="39" t="str">
        <f t="shared" si="60"/>
        <v/>
      </c>
      <c r="P561" s="39" t="str">
        <f t="shared" si="61"/>
        <v/>
      </c>
      <c r="R561" s="39" t="str">
        <f t="shared" si="62"/>
        <v/>
      </c>
      <c r="S561" s="28"/>
      <c r="T561" s="28"/>
      <c r="U561" s="28"/>
    </row>
    <row r="562" spans="1:21" s="5" customFormat="1">
      <c r="A562" s="179" t="s">
        <v>834</v>
      </c>
      <c r="B562" s="185" t="s">
        <v>5375</v>
      </c>
      <c r="C562" s="35" t="str">
        <f t="shared" si="56"/>
        <v>AmriAbda</v>
      </c>
      <c r="E562" s="40"/>
      <c r="F562" s="15" t="s">
        <v>835</v>
      </c>
      <c r="G562" s="17"/>
      <c r="H562" s="10" t="s">
        <v>8563</v>
      </c>
      <c r="I562" s="4" t="str">
        <f t="shared" si="57"/>
        <v>|Amr-i-Abdaʿ|</v>
      </c>
      <c r="J562" s="3" t="str">
        <f t="shared" si="58"/>
        <v>|Amr-i-Abda'|</v>
      </c>
      <c r="K562" s="3" t="str">
        <f t="shared" si="59"/>
        <v>Amr-i-Abda</v>
      </c>
      <c r="N562" s="39" t="str">
        <f t="shared" si="60"/>
        <v/>
      </c>
      <c r="P562" s="39" t="str">
        <f t="shared" si="61"/>
        <v/>
      </c>
      <c r="R562" s="39" t="str">
        <f t="shared" si="62"/>
        <v/>
      </c>
      <c r="S562" s="28"/>
      <c r="T562" s="28"/>
      <c r="U562" s="28"/>
    </row>
    <row r="563" spans="1:21" s="5" customFormat="1">
      <c r="A563" s="179" t="s">
        <v>836</v>
      </c>
      <c r="B563" s="185" t="s">
        <v>5376</v>
      </c>
      <c r="C563" s="35" t="str">
        <f t="shared" si="56"/>
        <v>AmriBadi</v>
      </c>
      <c r="E563" s="40"/>
      <c r="F563" s="15" t="s">
        <v>837</v>
      </c>
      <c r="G563" s="17"/>
      <c r="H563" s="10" t="s">
        <v>8563</v>
      </c>
      <c r="I563" s="4" t="str">
        <f t="shared" si="57"/>
        <v>|Amr-i-Badíʿ|</v>
      </c>
      <c r="J563" s="3" t="str">
        <f t="shared" si="58"/>
        <v>|Amr-i-Badi'|</v>
      </c>
      <c r="K563" s="3" t="str">
        <f t="shared" si="59"/>
        <v>Amr-i-Badi</v>
      </c>
      <c r="N563" s="39" t="str">
        <f t="shared" si="60"/>
        <v/>
      </c>
      <c r="P563" s="39" t="str">
        <f t="shared" si="61"/>
        <v/>
      </c>
      <c r="R563" s="39" t="str">
        <f t="shared" si="62"/>
        <v/>
      </c>
      <c r="S563" s="28"/>
      <c r="T563" s="28"/>
      <c r="U563" s="28"/>
    </row>
    <row r="564" spans="1:21" s="5" customFormat="1">
      <c r="A564" s="180" t="s">
        <v>8908</v>
      </c>
      <c r="B564" s="185" t="s">
        <v>186</v>
      </c>
      <c r="C564" s="35" t="str">
        <f t="shared" si="56"/>
        <v>AmribnQaysibnShayban</v>
      </c>
      <c r="E564" s="40"/>
      <c r="F564" s="10"/>
      <c r="G564" s="17"/>
      <c r="H564" s="11" t="s">
        <v>77</v>
      </c>
      <c r="I564" s="4" t="str">
        <f t="shared" si="57"/>
        <v>|ʿAmr-ibn-Qays-ibn-aybán|</v>
      </c>
      <c r="J564" s="3" t="str">
        <f t="shared" si="58"/>
        <v>|'Amr-ibn-Qays-ibn-Shayban|</v>
      </c>
      <c r="K564" s="3" t="str">
        <f t="shared" si="59"/>
        <v>Amr-ibn-Qays-ibn-Shayban</v>
      </c>
      <c r="M564" s="2"/>
      <c r="N564" s="39" t="str">
        <f t="shared" si="60"/>
        <v/>
      </c>
      <c r="O564" s="2"/>
      <c r="P564" s="39" t="str">
        <f t="shared" si="61"/>
        <v/>
      </c>
      <c r="Q564" s="2"/>
      <c r="R564" s="39" t="str">
        <f t="shared" si="62"/>
        <v/>
      </c>
      <c r="S564" s="28"/>
      <c r="T564" s="28"/>
      <c r="U564" s="38"/>
    </row>
    <row r="565" spans="1:21" s="5" customFormat="1">
      <c r="A565" s="181"/>
      <c r="B565" s="185" t="s">
        <v>123</v>
      </c>
      <c r="C565" s="35" t="str">
        <f t="shared" si="56"/>
        <v>Amru</v>
      </c>
      <c r="D565" s="1"/>
      <c r="E565" s="40"/>
      <c r="F565" s="12"/>
      <c r="G565" s="9"/>
      <c r="H565" s="11" t="s">
        <v>77</v>
      </c>
      <c r="I565" s="4" t="str">
        <f t="shared" si="57"/>
        <v>|ʿAmru|</v>
      </c>
      <c r="J565" s="3" t="str">
        <f t="shared" si="58"/>
        <v>|'Amru|</v>
      </c>
      <c r="K565" s="3" t="str">
        <f t="shared" si="59"/>
        <v>Amru</v>
      </c>
      <c r="M565" s="1"/>
      <c r="N565" s="39" t="str">
        <f t="shared" si="60"/>
        <v/>
      </c>
      <c r="O565" s="1"/>
      <c r="P565" s="39" t="str">
        <f t="shared" si="61"/>
        <v/>
      </c>
      <c r="Q565" s="1"/>
      <c r="R565" s="39" t="str">
        <f t="shared" si="62"/>
        <v/>
      </c>
      <c r="S565" s="28"/>
      <c r="T565" s="28"/>
      <c r="U565" s="28"/>
    </row>
    <row r="566" spans="1:21" s="5" customFormat="1">
      <c r="A566" s="179" t="s">
        <v>838</v>
      </c>
      <c r="B566" s="185" t="s">
        <v>5377</v>
      </c>
      <c r="C566" s="35" t="str">
        <f t="shared" si="56"/>
        <v>Amrullah</v>
      </c>
      <c r="E566" s="40"/>
      <c r="F566" s="14"/>
      <c r="G566" s="17"/>
      <c r="H566" s="10" t="s">
        <v>8563</v>
      </c>
      <c r="I566" s="4" t="str">
        <f t="shared" si="57"/>
        <v>|Amru’lláh|</v>
      </c>
      <c r="J566" s="3" t="str">
        <f t="shared" si="58"/>
        <v>|Amru'llah|</v>
      </c>
      <c r="K566" s="3" t="str">
        <f t="shared" si="59"/>
        <v>Amrullah</v>
      </c>
      <c r="N566" s="39" t="str">
        <f t="shared" si="60"/>
        <v/>
      </c>
      <c r="P566" s="39" t="str">
        <f t="shared" si="61"/>
        <v/>
      </c>
      <c r="R566" s="39" t="str">
        <f t="shared" si="62"/>
        <v/>
      </c>
      <c r="S566" s="28"/>
      <c r="T566" s="28"/>
      <c r="U566" s="28"/>
    </row>
    <row r="567" spans="1:21" s="5" customFormat="1">
      <c r="A567" s="179" t="s">
        <v>839</v>
      </c>
      <c r="B567" s="185" t="s">
        <v>5378</v>
      </c>
      <c r="C567" s="35" t="str">
        <f t="shared" si="56"/>
        <v>Amu</v>
      </c>
      <c r="E567" s="40"/>
      <c r="F567" s="14"/>
      <c r="G567" s="17"/>
      <c r="H567" s="10" t="s">
        <v>8563</v>
      </c>
      <c r="I567" s="4" t="str">
        <f t="shared" si="57"/>
        <v>|ʿAmú|</v>
      </c>
      <c r="J567" s="3" t="str">
        <f t="shared" si="58"/>
        <v>|'Amu|</v>
      </c>
      <c r="K567" s="3" t="str">
        <f t="shared" si="59"/>
        <v>Amu</v>
      </c>
      <c r="N567" s="39" t="str">
        <f t="shared" si="60"/>
        <v/>
      </c>
      <c r="P567" s="39" t="str">
        <f t="shared" si="61"/>
        <v/>
      </c>
      <c r="R567" s="39" t="str">
        <f t="shared" si="62"/>
        <v/>
      </c>
      <c r="S567" s="28"/>
      <c r="T567" s="28"/>
      <c r="U567" s="28"/>
    </row>
    <row r="568" spans="1:21" s="5" customFormat="1">
      <c r="A568" s="179" t="s">
        <v>840</v>
      </c>
      <c r="B568" s="185" t="s">
        <v>5379</v>
      </c>
      <c r="C568" s="35" t="str">
        <f t="shared" si="56"/>
        <v>Amud</v>
      </c>
      <c r="E568" s="40"/>
      <c r="F568" s="15"/>
      <c r="G568" s="17"/>
      <c r="H568" s="10" t="s">
        <v>8563</v>
      </c>
      <c r="I568" s="4" t="str">
        <f t="shared" si="57"/>
        <v>|ʿAmúd|</v>
      </c>
      <c r="J568" s="3" t="str">
        <f t="shared" si="58"/>
        <v>|'Amud|</v>
      </c>
      <c r="K568" s="3" t="str">
        <f t="shared" si="59"/>
        <v>Amud</v>
      </c>
      <c r="N568" s="39" t="str">
        <f t="shared" si="60"/>
        <v/>
      </c>
      <c r="P568" s="39" t="str">
        <f t="shared" si="61"/>
        <v/>
      </c>
      <c r="R568" s="39" t="str">
        <f t="shared" si="62"/>
        <v/>
      </c>
      <c r="S568" s="28"/>
      <c r="T568" s="28"/>
      <c r="U568" s="28"/>
    </row>
    <row r="569" spans="1:21" s="5" customFormat="1">
      <c r="A569" s="179" t="s">
        <v>841</v>
      </c>
      <c r="B569" s="185" t="s">
        <v>5380</v>
      </c>
      <c r="C569" s="35" t="str">
        <f t="shared" si="56"/>
        <v>AmuJan</v>
      </c>
      <c r="E569" s="40"/>
      <c r="F569" s="15"/>
      <c r="G569" s="17"/>
      <c r="H569" s="10" t="s">
        <v>8563</v>
      </c>
      <c r="I569" s="4" t="str">
        <f t="shared" si="57"/>
        <v>|Amú-Ján|</v>
      </c>
      <c r="J569" s="3" t="str">
        <f t="shared" si="58"/>
        <v>|Amu-Jan|</v>
      </c>
      <c r="K569" s="3" t="str">
        <f t="shared" si="59"/>
        <v>Amu-Jan</v>
      </c>
      <c r="N569" s="39" t="str">
        <f t="shared" si="60"/>
        <v/>
      </c>
      <c r="P569" s="39" t="str">
        <f t="shared" si="61"/>
        <v/>
      </c>
      <c r="R569" s="39" t="str">
        <f t="shared" si="62"/>
        <v/>
      </c>
      <c r="S569" s="28"/>
      <c r="T569" s="28"/>
      <c r="U569" s="28"/>
    </row>
    <row r="570" spans="1:21" s="5" customFormat="1">
      <c r="A570" s="179" t="s">
        <v>842</v>
      </c>
      <c r="B570" s="185" t="s">
        <v>5381</v>
      </c>
      <c r="C570" s="35" t="str">
        <f t="shared" si="56"/>
        <v>Amul</v>
      </c>
      <c r="E570" s="40"/>
      <c r="F570" s="14"/>
      <c r="G570" s="17"/>
      <c r="H570" s="10" t="s">
        <v>8563</v>
      </c>
      <c r="I570" s="4" t="str">
        <f t="shared" si="57"/>
        <v>|Ámul|</v>
      </c>
      <c r="J570" s="3" t="str">
        <f t="shared" si="58"/>
        <v>|Amul|</v>
      </c>
      <c r="K570" s="3" t="str">
        <f t="shared" si="59"/>
        <v>Amul</v>
      </c>
      <c r="N570" s="39" t="str">
        <f t="shared" si="60"/>
        <v/>
      </c>
      <c r="P570" s="39" t="str">
        <f t="shared" si="61"/>
        <v/>
      </c>
      <c r="R570" s="39" t="str">
        <f t="shared" si="62"/>
        <v/>
      </c>
      <c r="S570" s="28"/>
      <c r="T570" s="28"/>
      <c r="U570" s="28"/>
    </row>
    <row r="571" spans="1:21" s="5" customFormat="1">
      <c r="A571" s="179" t="s">
        <v>843</v>
      </c>
      <c r="B571" s="185" t="s">
        <v>5382</v>
      </c>
      <c r="C571" s="35" t="str">
        <f t="shared" si="56"/>
        <v>Anab</v>
      </c>
      <c r="E571" s="40"/>
      <c r="F571" s="15"/>
      <c r="G571" s="17"/>
      <c r="H571" s="10" t="s">
        <v>8563</v>
      </c>
      <c r="I571" s="4" t="str">
        <f t="shared" si="57"/>
        <v>|Anáb|</v>
      </c>
      <c r="J571" s="3" t="str">
        <f t="shared" si="58"/>
        <v>|Anab|</v>
      </c>
      <c r="K571" s="3" t="str">
        <f t="shared" si="59"/>
        <v>Anab</v>
      </c>
      <c r="N571" s="39" t="str">
        <f t="shared" si="60"/>
        <v/>
      </c>
      <c r="P571" s="39" t="str">
        <f t="shared" si="61"/>
        <v/>
      </c>
      <c r="R571" s="39" t="str">
        <f t="shared" si="62"/>
        <v/>
      </c>
      <c r="S571" s="28"/>
      <c r="T571" s="28"/>
      <c r="U571" s="28"/>
    </row>
    <row r="572" spans="1:21" s="5" customFormat="1">
      <c r="A572" s="179" t="s">
        <v>844</v>
      </c>
      <c r="B572" s="185" t="s">
        <v>5383</v>
      </c>
      <c r="C572" s="35" t="str">
        <f t="shared" si="56"/>
        <v>Anba</v>
      </c>
      <c r="E572" s="40"/>
      <c r="F572" s="15" t="s">
        <v>845</v>
      </c>
      <c r="G572" s="17"/>
      <c r="H572" s="10" t="s">
        <v>8563</v>
      </c>
      <c r="I572" s="4" t="str">
        <f t="shared" si="57"/>
        <v>|Anbá|</v>
      </c>
      <c r="J572" s="3" t="str">
        <f t="shared" si="58"/>
        <v>|Anba|</v>
      </c>
      <c r="K572" s="3" t="str">
        <f t="shared" si="59"/>
        <v>Anba</v>
      </c>
      <c r="N572" s="39" t="str">
        <f t="shared" si="60"/>
        <v/>
      </c>
      <c r="P572" s="39" t="str">
        <f t="shared" si="61"/>
        <v/>
      </c>
      <c r="R572" s="39" t="str">
        <f t="shared" si="62"/>
        <v/>
      </c>
      <c r="S572" s="28"/>
      <c r="T572" s="28"/>
      <c r="U572" s="28"/>
    </row>
    <row r="573" spans="1:21" s="5" customFormat="1">
      <c r="A573" s="179" t="s">
        <v>846</v>
      </c>
      <c r="B573" s="185" t="s">
        <v>5384</v>
      </c>
      <c r="C573" s="35" t="str">
        <f t="shared" si="56"/>
        <v>Andalib</v>
      </c>
      <c r="E573" s="40" t="s">
        <v>9115</v>
      </c>
      <c r="F573" s="15"/>
      <c r="G573" s="17" t="s">
        <v>9125</v>
      </c>
      <c r="H573" s="10" t="s">
        <v>8563</v>
      </c>
      <c r="I573" s="4" t="str">
        <f t="shared" si="57"/>
        <v>|Andalíb|</v>
      </c>
      <c r="J573" s="3" t="str">
        <f t="shared" si="58"/>
        <v>|Andalib|</v>
      </c>
      <c r="K573" s="3" t="str">
        <f t="shared" si="59"/>
        <v>Andalib</v>
      </c>
      <c r="N573" s="39" t="str">
        <f t="shared" si="60"/>
        <v/>
      </c>
      <c r="P573" s="39" t="str">
        <f t="shared" si="61"/>
        <v/>
      </c>
      <c r="R573" s="39" t="str">
        <f t="shared" si="62"/>
        <v/>
      </c>
      <c r="S573" s="28"/>
      <c r="T573" s="28"/>
      <c r="U573" s="28"/>
    </row>
    <row r="574" spans="1:21" s="5" customFormat="1">
      <c r="A574" s="179" t="s">
        <v>847</v>
      </c>
      <c r="B574" s="185" t="s">
        <v>5385</v>
      </c>
      <c r="C574" s="35" t="str">
        <f t="shared" si="56"/>
        <v>Andalib</v>
      </c>
      <c r="E574" s="40" t="s">
        <v>9115</v>
      </c>
      <c r="F574" s="15"/>
      <c r="G574" s="17" t="s">
        <v>9125</v>
      </c>
      <c r="H574" s="10" t="s">
        <v>8563</v>
      </c>
      <c r="I574" s="4" t="str">
        <f t="shared" si="57"/>
        <v>|ʿAndalíb|</v>
      </c>
      <c r="J574" s="3" t="str">
        <f t="shared" si="58"/>
        <v>|'Andalib|</v>
      </c>
      <c r="K574" s="3" t="str">
        <f t="shared" si="59"/>
        <v>Andalib</v>
      </c>
      <c r="N574" s="39" t="str">
        <f t="shared" si="60"/>
        <v/>
      </c>
      <c r="P574" s="39" t="str">
        <f t="shared" si="61"/>
        <v/>
      </c>
      <c r="R574" s="39" t="str">
        <f t="shared" si="62"/>
        <v/>
      </c>
      <c r="S574" s="28"/>
      <c r="T574" s="28"/>
      <c r="U574" s="28"/>
    </row>
    <row r="575" spans="1:21" s="5" customFormat="1">
      <c r="A575" s="179" t="s">
        <v>848</v>
      </c>
      <c r="B575" s="185" t="s">
        <v>5386</v>
      </c>
      <c r="C575" s="35" t="str">
        <f t="shared" si="56"/>
        <v>Andarun</v>
      </c>
      <c r="E575" s="40"/>
      <c r="F575" s="15"/>
      <c r="G575" s="17"/>
      <c r="H575" s="10" t="s">
        <v>8563</v>
      </c>
      <c r="I575" s="4" t="str">
        <f t="shared" si="57"/>
        <v>|Andarún|</v>
      </c>
      <c r="J575" s="3" t="str">
        <f t="shared" si="58"/>
        <v>|Andarun|</v>
      </c>
      <c r="K575" s="3" t="str">
        <f t="shared" si="59"/>
        <v>Andarun</v>
      </c>
      <c r="N575" s="39" t="str">
        <f t="shared" si="60"/>
        <v/>
      </c>
      <c r="P575" s="39" t="str">
        <f t="shared" si="61"/>
        <v/>
      </c>
      <c r="R575" s="39" t="str">
        <f t="shared" si="62"/>
        <v/>
      </c>
      <c r="S575" s="28"/>
      <c r="T575" s="28"/>
      <c r="U575" s="28"/>
    </row>
    <row r="576" spans="1:21" s="5" customFormat="1">
      <c r="A576" s="179" t="s">
        <v>849</v>
      </c>
      <c r="B576" s="185" t="s">
        <v>5387</v>
      </c>
      <c r="C576" s="35" t="str">
        <f t="shared" si="56"/>
        <v>Andaruni</v>
      </c>
      <c r="E576" s="40"/>
      <c r="F576" s="15" t="s">
        <v>850</v>
      </c>
      <c r="G576" s="17"/>
      <c r="H576" s="10" t="s">
        <v>8563</v>
      </c>
      <c r="I576" s="4" t="str">
        <f t="shared" si="57"/>
        <v>|Andarúní|</v>
      </c>
      <c r="J576" s="3" t="str">
        <f t="shared" si="58"/>
        <v>|Andaruni|</v>
      </c>
      <c r="K576" s="3" t="str">
        <f t="shared" si="59"/>
        <v>Andaruni</v>
      </c>
      <c r="N576" s="39" t="str">
        <f t="shared" si="60"/>
        <v/>
      </c>
      <c r="P576" s="39" t="str">
        <f t="shared" si="61"/>
        <v/>
      </c>
      <c r="R576" s="39" t="str">
        <f t="shared" si="62"/>
        <v/>
      </c>
      <c r="S576" s="28"/>
      <c r="T576" s="28"/>
      <c r="U576" s="28"/>
    </row>
    <row r="577" spans="1:21" s="5" customFormat="1">
      <c r="A577" s="179" t="s">
        <v>851</v>
      </c>
      <c r="B577" s="185" t="s">
        <v>5388</v>
      </c>
      <c r="C577" s="35" t="str">
        <f t="shared" si="56"/>
        <v>Angur</v>
      </c>
      <c r="E577" s="40"/>
      <c r="F577" s="14"/>
      <c r="G577" s="17"/>
      <c r="H577" s="10" t="s">
        <v>8563</v>
      </c>
      <c r="I577" s="4" t="str">
        <f t="shared" si="57"/>
        <v>|Angúr|</v>
      </c>
      <c r="J577" s="3" t="str">
        <f t="shared" si="58"/>
        <v>|Angur|</v>
      </c>
      <c r="K577" s="3" t="str">
        <f t="shared" si="59"/>
        <v>Angur</v>
      </c>
      <c r="N577" s="39" t="str">
        <f t="shared" si="60"/>
        <v/>
      </c>
      <c r="P577" s="39" t="str">
        <f t="shared" si="61"/>
        <v/>
      </c>
      <c r="R577" s="39" t="str">
        <f t="shared" si="62"/>
        <v/>
      </c>
      <c r="S577" s="28"/>
      <c r="T577" s="28"/>
      <c r="U577" s="28"/>
    </row>
    <row r="578" spans="1:21" s="5" customFormat="1">
      <c r="A578" s="179" t="s">
        <v>852</v>
      </c>
      <c r="B578" s="185" t="s">
        <v>5389</v>
      </c>
      <c r="C578" s="35" t="str">
        <f t="shared" si="56"/>
        <v>Ani</v>
      </c>
      <c r="E578" s="40"/>
      <c r="F578" s="15"/>
      <c r="G578" s="17"/>
      <c r="H578" s="10" t="s">
        <v>8563</v>
      </c>
      <c r="I578" s="4" t="str">
        <f t="shared" si="57"/>
        <v>|Ání|</v>
      </c>
      <c r="J578" s="3" t="str">
        <f t="shared" si="58"/>
        <v>|Ani|</v>
      </c>
      <c r="K578" s="3" t="str">
        <f t="shared" si="59"/>
        <v>Ani</v>
      </c>
      <c r="N578" s="39" t="str">
        <f t="shared" si="60"/>
        <v/>
      </c>
      <c r="P578" s="39" t="str">
        <f t="shared" si="61"/>
        <v/>
      </c>
      <c r="R578" s="39" t="str">
        <f t="shared" si="62"/>
        <v/>
      </c>
      <c r="S578" s="28"/>
      <c r="T578" s="28"/>
      <c r="U578" s="28"/>
    </row>
    <row r="579" spans="1:21" s="5" customFormat="1">
      <c r="A579" s="179" t="s">
        <v>853</v>
      </c>
      <c r="B579" s="185" t="s">
        <v>5390</v>
      </c>
      <c r="C579" s="35" t="str">
        <f t="shared" ref="C579:C642" si="63">SUBSTITUTE(SUBSTITUTE(K579,"-","")," ","")</f>
        <v>anNasir</v>
      </c>
      <c r="E579" s="40"/>
      <c r="F579" s="15"/>
      <c r="G579" s="17"/>
      <c r="H579" s="10" t="s">
        <v>8563</v>
      </c>
      <c r="I579" s="4" t="str">
        <f t="shared" ref="I579:I642" si="64">CONCATENATE("|",B579,"|")</f>
        <v>|an-Náṣir|</v>
      </c>
      <c r="J579" s="3" t="str">
        <f t="shared" ref="J579:J642" si="65">CONCATENATE("|",F_OutputASCII(B579),"|")</f>
        <v>|an-Nasir|</v>
      </c>
      <c r="K579" s="3" t="str">
        <f t="shared" ref="K579:K642" si="66">IF(SUBSTITUTE(MID(J579,2,LEN(J579)-2),"'","")&lt;&gt;"",SUBSTITUTE(MID(J579,2,LEN(J579)-2),"'",""),"ZZZZZ")</f>
        <v>an-Nasir</v>
      </c>
      <c r="N579" s="39" t="str">
        <f t="shared" ref="N579:N642" si="67">SUBSTITUTE(SUBSTITUTE(SUBSTITUTE(F_OutputASCII(M579),"-","")," ",""),"'","")</f>
        <v/>
      </c>
      <c r="P579" s="39" t="str">
        <f t="shared" ref="P579:P642" si="68">SUBSTITUTE(SUBSTITUTE(SUBSTITUTE(F_OutputASCII(O579),"-","")," ",""),"'","")</f>
        <v/>
      </c>
      <c r="R579" s="39" t="str">
        <f t="shared" si="62"/>
        <v/>
      </c>
      <c r="S579" s="28"/>
      <c r="T579" s="28"/>
      <c r="U579" s="28"/>
    </row>
    <row r="580" spans="1:21" s="5" customFormat="1">
      <c r="A580" s="179" t="s">
        <v>854</v>
      </c>
      <c r="B580" s="185" t="s">
        <v>8909</v>
      </c>
      <c r="C580" s="35" t="str">
        <f t="shared" si="63"/>
        <v>anNur</v>
      </c>
      <c r="E580" s="40"/>
      <c r="F580" s="15"/>
      <c r="G580" s="17"/>
      <c r="H580" s="10" t="s">
        <v>8563</v>
      </c>
      <c r="I580" s="4" t="str">
        <f t="shared" si="64"/>
        <v>|an-Núr|</v>
      </c>
      <c r="J580" s="3" t="str">
        <f t="shared" si="65"/>
        <v>|an-Nur|</v>
      </c>
      <c r="K580" s="3" t="str">
        <f t="shared" si="66"/>
        <v>an-Nur</v>
      </c>
      <c r="N580" s="39" t="str">
        <f t="shared" si="67"/>
        <v/>
      </c>
      <c r="P580" s="39" t="str">
        <f t="shared" si="68"/>
        <v/>
      </c>
      <c r="R580" s="39" t="str">
        <f t="shared" ref="R580:R643" si="69">SUBSTITUTE(SUBSTITUTE(Q580,"-","")," ","")</f>
        <v/>
      </c>
      <c r="S580" s="28"/>
      <c r="T580" s="28"/>
      <c r="U580" s="28"/>
    </row>
    <row r="581" spans="1:21" s="5" customFormat="1">
      <c r="A581" s="179" t="s">
        <v>855</v>
      </c>
      <c r="B581" s="185" t="s">
        <v>5391</v>
      </c>
      <c r="C581" s="35" t="str">
        <f t="shared" si="63"/>
        <v>Ansar</v>
      </c>
      <c r="E581" s="40"/>
      <c r="F581" s="15" t="s">
        <v>856</v>
      </c>
      <c r="G581" s="17"/>
      <c r="H581" s="10" t="s">
        <v>8563</v>
      </c>
      <c r="I581" s="4" t="str">
        <f t="shared" si="64"/>
        <v>|Anṣár|</v>
      </c>
      <c r="J581" s="3" t="str">
        <f t="shared" si="65"/>
        <v>|Ansar|</v>
      </c>
      <c r="K581" s="3" t="str">
        <f t="shared" si="66"/>
        <v>Ansar</v>
      </c>
      <c r="N581" s="39" t="str">
        <f t="shared" si="67"/>
        <v/>
      </c>
      <c r="P581" s="39" t="str">
        <f t="shared" si="68"/>
        <v/>
      </c>
      <c r="R581" s="39" t="str">
        <f t="shared" si="69"/>
        <v/>
      </c>
      <c r="S581" s="28"/>
      <c r="T581" s="28"/>
      <c r="U581" s="28"/>
    </row>
    <row r="582" spans="1:21" s="5" customFormat="1">
      <c r="A582" s="179" t="s">
        <v>857</v>
      </c>
      <c r="B582" s="185" t="s">
        <v>5392</v>
      </c>
      <c r="C582" s="35" t="str">
        <f t="shared" si="63"/>
        <v>Ansari</v>
      </c>
      <c r="E582" s="40"/>
      <c r="F582" s="14"/>
      <c r="G582" s="17"/>
      <c r="H582" s="10" t="s">
        <v>8563</v>
      </c>
      <c r="I582" s="4" t="str">
        <f t="shared" si="64"/>
        <v>|Ansárí|</v>
      </c>
      <c r="J582" s="3" t="str">
        <f t="shared" si="65"/>
        <v>|Ansari|</v>
      </c>
      <c r="K582" s="3" t="str">
        <f t="shared" si="66"/>
        <v>Ansari</v>
      </c>
      <c r="N582" s="39" t="str">
        <f t="shared" si="67"/>
        <v/>
      </c>
      <c r="P582" s="39" t="str">
        <f t="shared" si="68"/>
        <v/>
      </c>
      <c r="R582" s="39" t="str">
        <f t="shared" si="69"/>
        <v/>
      </c>
      <c r="S582" s="28"/>
      <c r="T582" s="28"/>
      <c r="U582" s="28"/>
    </row>
    <row r="583" spans="1:21" s="5" customFormat="1">
      <c r="A583" s="179" t="s">
        <v>859</v>
      </c>
      <c r="B583" s="185" t="s">
        <v>5393</v>
      </c>
      <c r="C583" s="35" t="str">
        <f t="shared" si="63"/>
        <v>Antun</v>
      </c>
      <c r="E583" s="40"/>
      <c r="F583" s="15" t="s">
        <v>860</v>
      </c>
      <c r="G583" s="17"/>
      <c r="H583" s="10" t="s">
        <v>8563</v>
      </c>
      <c r="I583" s="4" t="str">
        <f t="shared" si="64"/>
        <v>|Anṭún|</v>
      </c>
      <c r="J583" s="3" t="str">
        <f t="shared" si="65"/>
        <v>|Antun|</v>
      </c>
      <c r="K583" s="3" t="str">
        <f t="shared" si="66"/>
        <v>Antun</v>
      </c>
      <c r="N583" s="39" t="str">
        <f t="shared" si="67"/>
        <v/>
      </c>
      <c r="P583" s="39" t="str">
        <f t="shared" si="68"/>
        <v/>
      </c>
      <c r="R583" s="39" t="str">
        <f t="shared" si="69"/>
        <v/>
      </c>
      <c r="S583" s="28"/>
      <c r="T583" s="28"/>
      <c r="U583" s="28"/>
    </row>
    <row r="584" spans="1:21" s="5" customFormat="1">
      <c r="A584" s="179" t="s">
        <v>861</v>
      </c>
      <c r="B584" s="185" t="s">
        <v>8912</v>
      </c>
      <c r="C584" s="35" t="str">
        <f t="shared" si="63"/>
        <v>Anushiravan</v>
      </c>
      <c r="E584" s="40"/>
      <c r="F584" s="14"/>
      <c r="G584" s="17"/>
      <c r="H584" s="10" t="s">
        <v>8563</v>
      </c>
      <c r="I584" s="4" t="str">
        <f t="shared" si="64"/>
        <v>|Anúíraván|</v>
      </c>
      <c r="J584" s="3" t="str">
        <f t="shared" si="65"/>
        <v>|Anushiravan|</v>
      </c>
      <c r="K584" s="3" t="str">
        <f t="shared" si="66"/>
        <v>Anushiravan</v>
      </c>
      <c r="N584" s="39" t="str">
        <f t="shared" si="67"/>
        <v/>
      </c>
      <c r="P584" s="39" t="str">
        <f t="shared" si="68"/>
        <v/>
      </c>
      <c r="R584" s="39" t="str">
        <f t="shared" si="69"/>
        <v/>
      </c>
      <c r="S584" s="28"/>
      <c r="T584" s="28"/>
      <c r="U584" s="28"/>
    </row>
    <row r="585" spans="1:21" s="5" customFormat="1">
      <c r="A585" s="179" t="s">
        <v>3549</v>
      </c>
      <c r="B585" s="185" t="s">
        <v>8911</v>
      </c>
      <c r="C585" s="35" t="str">
        <f t="shared" si="63"/>
        <v>AnushiravaniAdil</v>
      </c>
      <c r="E585" s="40"/>
      <c r="F585" s="15"/>
      <c r="G585" s="17"/>
      <c r="H585" s="10" t="s">
        <v>8563</v>
      </c>
      <c r="I585" s="4" t="str">
        <f t="shared" si="64"/>
        <v>|Anúíraván-i-ʿÁdil|</v>
      </c>
      <c r="J585" s="3" t="str">
        <f t="shared" si="65"/>
        <v>|Anushiravan-i-'Adil|</v>
      </c>
      <c r="K585" s="3" t="str">
        <f t="shared" si="66"/>
        <v>Anushiravan-i-Adil</v>
      </c>
      <c r="N585" s="39" t="str">
        <f t="shared" si="67"/>
        <v/>
      </c>
      <c r="P585" s="39" t="str">
        <f t="shared" si="68"/>
        <v/>
      </c>
      <c r="R585" s="39" t="str">
        <f t="shared" si="69"/>
        <v/>
      </c>
      <c r="S585" s="28"/>
      <c r="T585" s="28"/>
      <c r="U585" s="28"/>
    </row>
    <row r="586" spans="1:21" s="5" customFormat="1">
      <c r="A586" s="179" t="s">
        <v>862</v>
      </c>
      <c r="B586" s="185" t="s">
        <v>5394</v>
      </c>
      <c r="C586" s="35" t="str">
        <f t="shared" si="63"/>
        <v>Anvar</v>
      </c>
      <c r="E586" s="40" t="s">
        <v>9115</v>
      </c>
      <c r="F586" s="14"/>
      <c r="G586" s="17" t="s">
        <v>9125</v>
      </c>
      <c r="H586" s="10" t="s">
        <v>8563</v>
      </c>
      <c r="I586" s="4" t="str">
        <f t="shared" si="64"/>
        <v>|Anvar|</v>
      </c>
      <c r="J586" s="3" t="str">
        <f t="shared" si="65"/>
        <v>|Anvar|</v>
      </c>
      <c r="K586" s="3" t="str">
        <f t="shared" si="66"/>
        <v>Anvar</v>
      </c>
      <c r="N586" s="39" t="str">
        <f t="shared" si="67"/>
        <v/>
      </c>
      <c r="P586" s="39" t="str">
        <f t="shared" si="68"/>
        <v/>
      </c>
      <c r="R586" s="39" t="str">
        <f t="shared" si="69"/>
        <v/>
      </c>
      <c r="S586" s="28"/>
      <c r="T586" s="28"/>
      <c r="U586" s="28"/>
    </row>
    <row r="587" spans="1:21" s="5" customFormat="1">
      <c r="A587" s="179" t="s">
        <v>864</v>
      </c>
      <c r="B587" s="185" t="s">
        <v>5396</v>
      </c>
      <c r="C587" s="35" t="str">
        <f t="shared" si="63"/>
        <v>Anvar</v>
      </c>
      <c r="E587" s="40" t="s">
        <v>9115</v>
      </c>
      <c r="F587" s="15"/>
      <c r="G587" s="17" t="s">
        <v>9125</v>
      </c>
      <c r="H587" s="10" t="s">
        <v>8563</v>
      </c>
      <c r="I587" s="4" t="str">
        <f t="shared" si="64"/>
        <v>|Anvár|</v>
      </c>
      <c r="J587" s="3" t="str">
        <f t="shared" si="65"/>
        <v>|Anvar|</v>
      </c>
      <c r="K587" s="3" t="str">
        <f t="shared" si="66"/>
        <v>Anvar</v>
      </c>
      <c r="N587" s="39" t="str">
        <f t="shared" si="67"/>
        <v/>
      </c>
      <c r="P587" s="39" t="str">
        <f t="shared" si="68"/>
        <v/>
      </c>
      <c r="R587" s="39" t="str">
        <f t="shared" si="69"/>
        <v/>
      </c>
      <c r="S587" s="28"/>
      <c r="T587" s="28"/>
      <c r="U587" s="28"/>
    </row>
    <row r="588" spans="1:21" s="5" customFormat="1">
      <c r="A588" s="179" t="s">
        <v>863</v>
      </c>
      <c r="B588" s="185" t="s">
        <v>5395</v>
      </c>
      <c r="C588" s="35" t="str">
        <f t="shared" si="63"/>
        <v>Anvari</v>
      </c>
      <c r="E588" s="40"/>
      <c r="F588" s="15"/>
      <c r="G588" s="17"/>
      <c r="H588" s="10" t="s">
        <v>8563</v>
      </c>
      <c r="I588" s="4" t="str">
        <f t="shared" si="64"/>
        <v>|Anvarí|</v>
      </c>
      <c r="J588" s="3" t="str">
        <f t="shared" si="65"/>
        <v>|Anvari|</v>
      </c>
      <c r="K588" s="3" t="str">
        <f t="shared" si="66"/>
        <v>Anvari</v>
      </c>
      <c r="N588" s="39" t="str">
        <f t="shared" si="67"/>
        <v/>
      </c>
      <c r="P588" s="39" t="str">
        <f t="shared" si="68"/>
        <v/>
      </c>
      <c r="R588" s="39" t="str">
        <f t="shared" si="69"/>
        <v/>
      </c>
      <c r="S588" s="28"/>
      <c r="T588" s="28"/>
      <c r="U588" s="28"/>
    </row>
    <row r="589" spans="1:21" s="5" customFormat="1">
      <c r="A589" s="179" t="s">
        <v>865</v>
      </c>
      <c r="B589" s="185" t="s">
        <v>5397</v>
      </c>
      <c r="C589" s="35" t="str">
        <f t="shared" si="63"/>
        <v>Anzali</v>
      </c>
      <c r="E589" s="40"/>
      <c r="F589" s="14"/>
      <c r="G589" s="17"/>
      <c r="H589" s="10" t="s">
        <v>8563</v>
      </c>
      <c r="I589" s="4" t="str">
        <f t="shared" si="64"/>
        <v>|Anzalí|</v>
      </c>
      <c r="J589" s="3" t="str">
        <f t="shared" si="65"/>
        <v>|Anzali|</v>
      </c>
      <c r="K589" s="3" t="str">
        <f t="shared" si="66"/>
        <v>Anzali</v>
      </c>
      <c r="N589" s="39" t="str">
        <f t="shared" si="67"/>
        <v/>
      </c>
      <c r="P589" s="39" t="str">
        <f t="shared" si="68"/>
        <v/>
      </c>
      <c r="R589" s="39" t="str">
        <f t="shared" si="69"/>
        <v/>
      </c>
      <c r="S589" s="28"/>
      <c r="T589" s="28"/>
      <c r="U589" s="28"/>
    </row>
    <row r="590" spans="1:21" s="5" customFormat="1">
      <c r="A590" s="179" t="s">
        <v>866</v>
      </c>
      <c r="B590" s="185" t="s">
        <v>5398</v>
      </c>
      <c r="C590" s="35" t="str">
        <f t="shared" si="63"/>
        <v>Aqa</v>
      </c>
      <c r="E590" s="40"/>
      <c r="F590" s="14" t="s">
        <v>867</v>
      </c>
      <c r="G590" s="17"/>
      <c r="H590" s="10" t="s">
        <v>8563</v>
      </c>
      <c r="I590" s="4" t="str">
        <f t="shared" si="64"/>
        <v>|Áqá|</v>
      </c>
      <c r="J590" s="3" t="str">
        <f t="shared" si="65"/>
        <v>|Aqa|</v>
      </c>
      <c r="K590" s="3" t="str">
        <f t="shared" si="66"/>
        <v>Aqa</v>
      </c>
      <c r="N590" s="39" t="str">
        <f t="shared" si="67"/>
        <v/>
      </c>
      <c r="P590" s="39" t="str">
        <f t="shared" si="68"/>
        <v/>
      </c>
      <c r="R590" s="39" t="str">
        <f t="shared" si="69"/>
        <v/>
      </c>
      <c r="S590" s="28"/>
      <c r="T590" s="28"/>
      <c r="U590" s="28"/>
    </row>
    <row r="591" spans="1:21" s="5" customFormat="1">
      <c r="A591" s="179" t="s">
        <v>868</v>
      </c>
      <c r="B591" s="185" t="s">
        <v>5399</v>
      </c>
      <c r="C591" s="35" t="str">
        <f t="shared" si="63"/>
        <v>AqaBaba</v>
      </c>
      <c r="E591" s="40"/>
      <c r="F591" s="14"/>
      <c r="G591" s="17"/>
      <c r="H591" s="10" t="s">
        <v>8563</v>
      </c>
      <c r="I591" s="4" t="str">
        <f t="shared" si="64"/>
        <v>|Áqá-Bábá|</v>
      </c>
      <c r="J591" s="3" t="str">
        <f t="shared" si="65"/>
        <v>|Aqa-Baba|</v>
      </c>
      <c r="K591" s="3" t="str">
        <f t="shared" si="66"/>
        <v>Aqa-Baba</v>
      </c>
      <c r="N591" s="39" t="str">
        <f t="shared" si="67"/>
        <v/>
      </c>
      <c r="P591" s="39" t="str">
        <f t="shared" si="68"/>
        <v/>
      </c>
      <c r="R591" s="39" t="str">
        <f t="shared" si="69"/>
        <v/>
      </c>
      <c r="S591" s="28"/>
      <c r="T591" s="28"/>
      <c r="U591" s="28"/>
    </row>
    <row r="592" spans="1:21" s="5" customFormat="1">
      <c r="A592" s="179" t="s">
        <v>869</v>
      </c>
      <c r="B592" s="185" t="s">
        <v>8913</v>
      </c>
      <c r="C592" s="35" t="str">
        <f t="shared" si="63"/>
        <v>Aqaid</v>
      </c>
      <c r="E592" s="40"/>
      <c r="F592" s="15"/>
      <c r="G592" s="17"/>
      <c r="H592" s="10" t="s">
        <v>8563</v>
      </c>
      <c r="I592" s="4" t="str">
        <f t="shared" si="64"/>
        <v>|ʿAqá’id|</v>
      </c>
      <c r="J592" s="3" t="str">
        <f t="shared" si="65"/>
        <v>|'Aqa'id|</v>
      </c>
      <c r="K592" s="3" t="str">
        <f t="shared" si="66"/>
        <v>Aqaid</v>
      </c>
      <c r="N592" s="39" t="str">
        <f t="shared" si="67"/>
        <v/>
      </c>
      <c r="P592" s="39" t="str">
        <f t="shared" si="68"/>
        <v/>
      </c>
      <c r="R592" s="39" t="str">
        <f t="shared" si="69"/>
        <v/>
      </c>
      <c r="S592" s="28"/>
      <c r="T592" s="28"/>
      <c r="U592" s="28"/>
    </row>
    <row r="593" spans="1:21" s="5" customFormat="1">
      <c r="A593" s="179" t="s">
        <v>870</v>
      </c>
      <c r="B593" s="185" t="s">
        <v>5400</v>
      </c>
      <c r="C593" s="35" t="str">
        <f t="shared" si="63"/>
        <v>AqaJan</v>
      </c>
      <c r="E593" s="40"/>
      <c r="F593" s="15" t="s">
        <v>871</v>
      </c>
      <c r="G593" s="17"/>
      <c r="H593" s="10" t="s">
        <v>8563</v>
      </c>
      <c r="I593" s="4" t="str">
        <f t="shared" si="64"/>
        <v>|Áqá-Ján|</v>
      </c>
      <c r="J593" s="3" t="str">
        <f t="shared" si="65"/>
        <v>|Aqa-Jan|</v>
      </c>
      <c r="K593" s="3" t="str">
        <f t="shared" si="66"/>
        <v>Aqa-Jan</v>
      </c>
      <c r="N593" s="39" t="str">
        <f t="shared" si="67"/>
        <v/>
      </c>
      <c r="P593" s="39" t="str">
        <f t="shared" si="68"/>
        <v/>
      </c>
      <c r="R593" s="39" t="str">
        <f t="shared" si="69"/>
        <v/>
      </c>
      <c r="S593" s="28"/>
      <c r="T593" s="28"/>
      <c r="U593" s="28"/>
    </row>
    <row r="594" spans="1:21" s="5" customFormat="1">
      <c r="A594" s="179" t="s">
        <v>872</v>
      </c>
      <c r="B594" s="185" t="s">
        <v>5401</v>
      </c>
      <c r="C594" s="35" t="str">
        <f t="shared" si="63"/>
        <v>Aqasi</v>
      </c>
      <c r="E594" s="40"/>
      <c r="F594" s="14"/>
      <c r="G594" s="17"/>
      <c r="H594" s="10" t="s">
        <v>8563</v>
      </c>
      <c r="I594" s="4" t="str">
        <f t="shared" si="64"/>
        <v>|Áqásí|</v>
      </c>
      <c r="J594" s="3" t="str">
        <f t="shared" si="65"/>
        <v>|Aqasi|</v>
      </c>
      <c r="K594" s="3" t="str">
        <f t="shared" si="66"/>
        <v>Aqasi</v>
      </c>
      <c r="N594" s="39" t="str">
        <f t="shared" si="67"/>
        <v/>
      </c>
      <c r="P594" s="39" t="str">
        <f t="shared" si="68"/>
        <v/>
      </c>
      <c r="R594" s="39" t="str">
        <f t="shared" si="69"/>
        <v/>
      </c>
      <c r="S594" s="28"/>
      <c r="T594" s="28"/>
      <c r="U594" s="28"/>
    </row>
    <row r="595" spans="1:21" s="5" customFormat="1">
      <c r="A595" s="179" t="s">
        <v>873</v>
      </c>
      <c r="B595" s="185" t="s">
        <v>5402</v>
      </c>
      <c r="C595" s="35" t="str">
        <f t="shared" si="63"/>
        <v>AqayiKalim</v>
      </c>
      <c r="E595" s="40"/>
      <c r="F595" s="14"/>
      <c r="G595" s="17"/>
      <c r="H595" s="10" t="s">
        <v>8563</v>
      </c>
      <c r="I595" s="4" t="str">
        <f t="shared" si="64"/>
        <v>|Áqáy-i-Kalím|</v>
      </c>
      <c r="J595" s="3" t="str">
        <f t="shared" si="65"/>
        <v>|Aqay-i-Kalim|</v>
      </c>
      <c r="K595" s="3" t="str">
        <f t="shared" si="66"/>
        <v>Aqay-i-Kalim</v>
      </c>
      <c r="N595" s="39" t="str">
        <f t="shared" si="67"/>
        <v/>
      </c>
      <c r="P595" s="39" t="str">
        <f t="shared" si="68"/>
        <v/>
      </c>
      <c r="R595" s="39" t="str">
        <f t="shared" si="69"/>
        <v/>
      </c>
      <c r="S595" s="28"/>
      <c r="T595" s="28"/>
      <c r="U595" s="28"/>
    </row>
    <row r="596" spans="1:21" s="5" customFormat="1">
      <c r="A596" s="181"/>
      <c r="B596" s="185" t="s">
        <v>8820</v>
      </c>
      <c r="C596" s="35" t="str">
        <f t="shared" si="63"/>
        <v>AqayiKalimMirzaMusa</v>
      </c>
      <c r="D596" s="1"/>
      <c r="E596" s="40"/>
      <c r="F596" s="12"/>
      <c r="G596" s="9"/>
      <c r="H596" s="12" t="s">
        <v>8622</v>
      </c>
      <c r="I596" s="4" t="str">
        <f t="shared" si="64"/>
        <v>|Áqáy-i-Kalím Mírzá Músá|</v>
      </c>
      <c r="J596" s="3" t="str">
        <f t="shared" si="65"/>
        <v>|Aqay-i-Kalim Mirza Musa|</v>
      </c>
      <c r="K596" s="3" t="str">
        <f t="shared" si="66"/>
        <v>Aqay-i-Kalim Mirza Musa</v>
      </c>
      <c r="N596" s="39" t="str">
        <f t="shared" si="67"/>
        <v/>
      </c>
      <c r="P596" s="39" t="str">
        <f t="shared" si="68"/>
        <v/>
      </c>
      <c r="R596" s="39" t="str">
        <f t="shared" si="69"/>
        <v/>
      </c>
      <c r="S596" s="29">
        <v>41760</v>
      </c>
      <c r="T596" s="28"/>
      <c r="U596" s="28"/>
    </row>
    <row r="597" spans="1:21" s="5" customFormat="1">
      <c r="A597" s="179" t="s">
        <v>874</v>
      </c>
      <c r="B597" s="185" t="s">
        <v>5403</v>
      </c>
      <c r="C597" s="35" t="str">
        <f t="shared" si="63"/>
        <v>AqayiMunir</v>
      </c>
      <c r="E597" s="40"/>
      <c r="F597" s="14"/>
      <c r="G597" s="17"/>
      <c r="H597" s="10" t="s">
        <v>8563</v>
      </c>
      <c r="I597" s="4" t="str">
        <f t="shared" si="64"/>
        <v>|Áqáy-i-Munír|</v>
      </c>
      <c r="J597" s="3" t="str">
        <f t="shared" si="65"/>
        <v>|Aqay-i-Munir|</v>
      </c>
      <c r="K597" s="3" t="str">
        <f t="shared" si="66"/>
        <v>Aqay-i-Munir</v>
      </c>
      <c r="N597" s="39" t="str">
        <f t="shared" si="67"/>
        <v/>
      </c>
      <c r="P597" s="39" t="str">
        <f t="shared" si="68"/>
        <v/>
      </c>
      <c r="R597" s="39" t="str">
        <f t="shared" si="69"/>
        <v/>
      </c>
      <c r="S597" s="28"/>
      <c r="T597" s="28"/>
      <c r="U597" s="28"/>
    </row>
    <row r="598" spans="1:21" s="5" customFormat="1">
      <c r="A598" s="179" t="s">
        <v>875</v>
      </c>
      <c r="B598" s="185" t="s">
        <v>5404</v>
      </c>
      <c r="C598" s="35" t="str">
        <f t="shared" si="63"/>
        <v>AqayiRikabSaz</v>
      </c>
      <c r="E598" s="40"/>
      <c r="F598" s="14"/>
      <c r="G598" s="17"/>
      <c r="H598" s="10" t="s">
        <v>8563</v>
      </c>
      <c r="I598" s="4" t="str">
        <f t="shared" si="64"/>
        <v>|Áqáy-i-Rikáb-Sáz|</v>
      </c>
      <c r="J598" s="3" t="str">
        <f t="shared" si="65"/>
        <v>|Aqay-i-Rikab-Saz|</v>
      </c>
      <c r="K598" s="3" t="str">
        <f t="shared" si="66"/>
        <v>Aqay-i-Rikab-Saz</v>
      </c>
      <c r="N598" s="39" t="str">
        <f t="shared" si="67"/>
        <v/>
      </c>
      <c r="P598" s="39" t="str">
        <f t="shared" si="68"/>
        <v/>
      </c>
      <c r="R598" s="39" t="str">
        <f t="shared" si="69"/>
        <v/>
      </c>
      <c r="S598" s="28"/>
      <c r="T598" s="28"/>
      <c r="U598" s="28"/>
    </row>
    <row r="599" spans="1:21" s="5" customFormat="1">
      <c r="A599" s="179" t="s">
        <v>876</v>
      </c>
      <c r="B599" s="185" t="s">
        <v>5405</v>
      </c>
      <c r="C599" s="35" t="str">
        <f t="shared" si="63"/>
        <v>AqayiTabrizi</v>
      </c>
      <c r="E599" s="40"/>
      <c r="F599" s="14"/>
      <c r="G599" s="17"/>
      <c r="H599" s="10" t="s">
        <v>8563</v>
      </c>
      <c r="I599" s="4" t="str">
        <f t="shared" si="64"/>
        <v>|Áqáy-i-Tabrízí|</v>
      </c>
      <c r="J599" s="3" t="str">
        <f t="shared" si="65"/>
        <v>|Aqay-i-Tabrizi|</v>
      </c>
      <c r="K599" s="3" t="str">
        <f t="shared" si="66"/>
        <v>Aqay-i-Tabrizi</v>
      </c>
      <c r="N599" s="39" t="str">
        <f t="shared" si="67"/>
        <v/>
      </c>
      <c r="P599" s="39" t="str">
        <f t="shared" si="68"/>
        <v/>
      </c>
      <c r="R599" s="39" t="str">
        <f t="shared" si="69"/>
        <v/>
      </c>
      <c r="S599" s="28"/>
      <c r="T599" s="28"/>
      <c r="U599" s="28"/>
    </row>
    <row r="600" spans="1:21" s="5" customFormat="1">
      <c r="A600" s="179" t="s">
        <v>877</v>
      </c>
      <c r="B600" s="185" t="s">
        <v>92</v>
      </c>
      <c r="C600" s="35" t="str">
        <f t="shared" si="63"/>
        <v>Aqdas</v>
      </c>
      <c r="E600" s="40"/>
      <c r="F600" s="14" t="s">
        <v>878</v>
      </c>
      <c r="G600" s="17"/>
      <c r="H600" s="10" t="s">
        <v>8563</v>
      </c>
      <c r="I600" s="4" t="str">
        <f t="shared" si="64"/>
        <v>|Aqdas|</v>
      </c>
      <c r="J600" s="3" t="str">
        <f t="shared" si="65"/>
        <v>|Aqdas|</v>
      </c>
      <c r="K600" s="3" t="str">
        <f t="shared" si="66"/>
        <v>Aqdas</v>
      </c>
      <c r="N600" s="39" t="str">
        <f t="shared" si="67"/>
        <v/>
      </c>
      <c r="P600" s="39" t="str">
        <f t="shared" si="68"/>
        <v/>
      </c>
      <c r="R600" s="39" t="str">
        <f t="shared" si="69"/>
        <v/>
      </c>
      <c r="S600" s="28"/>
      <c r="T600" s="28"/>
      <c r="U600" s="28"/>
    </row>
    <row r="601" spans="1:21" s="5" customFormat="1">
      <c r="A601" s="179" t="s">
        <v>879</v>
      </c>
      <c r="B601" s="185" t="s">
        <v>5406</v>
      </c>
      <c r="C601" s="35" t="str">
        <f t="shared" si="63"/>
        <v>Aql</v>
      </c>
      <c r="E601" s="40"/>
      <c r="F601" s="15" t="s">
        <v>880</v>
      </c>
      <c r="G601" s="17"/>
      <c r="H601" s="10" t="s">
        <v>8563</v>
      </c>
      <c r="I601" s="4" t="str">
        <f t="shared" si="64"/>
        <v>|ʿAql|</v>
      </c>
      <c r="J601" s="3" t="str">
        <f t="shared" si="65"/>
        <v>|'Aql|</v>
      </c>
      <c r="K601" s="3" t="str">
        <f t="shared" si="66"/>
        <v>Aql</v>
      </c>
      <c r="N601" s="39" t="str">
        <f t="shared" si="67"/>
        <v/>
      </c>
      <c r="P601" s="39" t="str">
        <f t="shared" si="68"/>
        <v/>
      </c>
      <c r="R601" s="39" t="str">
        <f t="shared" si="69"/>
        <v/>
      </c>
      <c r="S601" s="28"/>
      <c r="T601" s="28"/>
      <c r="U601" s="28"/>
    </row>
    <row r="602" spans="1:21" s="5" customFormat="1">
      <c r="A602" s="179" t="s">
        <v>8914</v>
      </c>
      <c r="B602" s="185" t="s">
        <v>5407</v>
      </c>
      <c r="C602" s="35" t="str">
        <f t="shared" si="63"/>
        <v>Aqsa</v>
      </c>
      <c r="E602" s="40"/>
      <c r="F602" s="14"/>
      <c r="G602" s="17"/>
      <c r="H602" s="10" t="s">
        <v>8563</v>
      </c>
      <c r="I602" s="4" t="str">
        <f t="shared" si="64"/>
        <v>|Aqsá|</v>
      </c>
      <c r="J602" s="3" t="str">
        <f t="shared" si="65"/>
        <v>|Aqsa|</v>
      </c>
      <c r="K602" s="3" t="str">
        <f t="shared" si="66"/>
        <v>Aqsa</v>
      </c>
      <c r="N602" s="39" t="str">
        <f t="shared" si="67"/>
        <v/>
      </c>
      <c r="P602" s="39" t="str">
        <f t="shared" si="68"/>
        <v/>
      </c>
      <c r="R602" s="39" t="str">
        <f t="shared" si="69"/>
        <v/>
      </c>
      <c r="S602" s="28"/>
      <c r="T602" s="28"/>
      <c r="U602" s="28"/>
    </row>
    <row r="603" spans="1:21" s="5" customFormat="1">
      <c r="A603" s="179" t="s">
        <v>881</v>
      </c>
      <c r="B603" s="185" t="s">
        <v>5408</v>
      </c>
      <c r="C603" s="35" t="str">
        <f t="shared" si="63"/>
        <v>Arabi</v>
      </c>
      <c r="E603" s="40"/>
      <c r="F603" s="15"/>
      <c r="G603" s="17"/>
      <c r="H603" s="10" t="s">
        <v>8563</v>
      </c>
      <c r="I603" s="4" t="str">
        <f t="shared" si="64"/>
        <v>|ʿArabí|</v>
      </c>
      <c r="J603" s="3" t="str">
        <f t="shared" si="65"/>
        <v>|'Arabi|</v>
      </c>
      <c r="K603" s="3" t="str">
        <f t="shared" si="66"/>
        <v>Arabi</v>
      </c>
      <c r="N603" s="39" t="str">
        <f t="shared" si="67"/>
        <v/>
      </c>
      <c r="P603" s="39" t="str">
        <f t="shared" si="68"/>
        <v/>
      </c>
      <c r="R603" s="39" t="str">
        <f t="shared" si="69"/>
        <v/>
      </c>
      <c r="S603" s="28"/>
      <c r="T603" s="28"/>
      <c r="U603" s="28"/>
    </row>
    <row r="604" spans="1:21" s="5" customFormat="1">
      <c r="A604" s="179" t="s">
        <v>883</v>
      </c>
      <c r="B604" s="185" t="s">
        <v>5409</v>
      </c>
      <c r="C604" s="35" t="str">
        <f t="shared" si="63"/>
        <v>Arabistan</v>
      </c>
      <c r="E604" s="40"/>
      <c r="F604" s="14"/>
      <c r="G604" s="17"/>
      <c r="H604" s="10" t="s">
        <v>8563</v>
      </c>
      <c r="I604" s="4" t="str">
        <f t="shared" si="64"/>
        <v>|ʿArabistán|</v>
      </c>
      <c r="J604" s="3" t="str">
        <f t="shared" si="65"/>
        <v>|'Arabistan|</v>
      </c>
      <c r="K604" s="3" t="str">
        <f t="shared" si="66"/>
        <v>Arabistan</v>
      </c>
      <c r="N604" s="39" t="str">
        <f t="shared" si="67"/>
        <v/>
      </c>
      <c r="P604" s="39" t="str">
        <f t="shared" si="68"/>
        <v/>
      </c>
      <c r="R604" s="39" t="str">
        <f t="shared" si="69"/>
        <v/>
      </c>
      <c r="S604" s="28"/>
      <c r="T604" s="28"/>
      <c r="U604" s="28"/>
    </row>
    <row r="605" spans="1:21" s="5" customFormat="1">
      <c r="A605" s="179" t="s">
        <v>882</v>
      </c>
      <c r="B605" s="185" t="s">
        <v>8915</v>
      </c>
      <c r="C605" s="35" t="str">
        <f t="shared" si="63"/>
        <v>Arabiyyih</v>
      </c>
      <c r="E605" s="40"/>
      <c r="F605" s="14"/>
      <c r="G605" s="17"/>
      <c r="H605" s="10" t="s">
        <v>8563</v>
      </c>
      <c r="I605" s="4" t="str">
        <f t="shared" si="64"/>
        <v>|Arabíyyih|</v>
      </c>
      <c r="J605" s="3" t="str">
        <f t="shared" si="65"/>
        <v>|Arabiyyih|</v>
      </c>
      <c r="K605" s="3" t="str">
        <f t="shared" si="66"/>
        <v>Arabiyyih</v>
      </c>
      <c r="N605" s="39" t="str">
        <f t="shared" si="67"/>
        <v/>
      </c>
      <c r="P605" s="39" t="str">
        <f t="shared" si="68"/>
        <v/>
      </c>
      <c r="R605" s="39" t="str">
        <f t="shared" si="69"/>
        <v/>
      </c>
      <c r="S605" s="28"/>
      <c r="T605" s="28"/>
      <c r="U605" s="28"/>
    </row>
    <row r="606" spans="1:21" s="5" customFormat="1">
      <c r="A606" s="181"/>
      <c r="B606" s="185" t="s">
        <v>8817</v>
      </c>
      <c r="C606" s="35" t="str">
        <f t="shared" si="63"/>
        <v>Arafah</v>
      </c>
      <c r="D606" s="1"/>
      <c r="E606" s="40"/>
      <c r="F606" s="12"/>
      <c r="G606" s="9"/>
      <c r="H606" s="12" t="s">
        <v>8622</v>
      </c>
      <c r="I606" s="4" t="str">
        <f t="shared" si="64"/>
        <v>|ʿArafah|</v>
      </c>
      <c r="J606" s="3" t="str">
        <f t="shared" si="65"/>
        <v>|'Arafah|</v>
      </c>
      <c r="K606" s="3" t="str">
        <f t="shared" si="66"/>
        <v>Arafah</v>
      </c>
      <c r="N606" s="39" t="str">
        <f t="shared" si="67"/>
        <v/>
      </c>
      <c r="P606" s="39" t="str">
        <f t="shared" si="68"/>
        <v/>
      </c>
      <c r="R606" s="39" t="str">
        <f t="shared" si="69"/>
        <v/>
      </c>
      <c r="S606" s="29">
        <v>41760</v>
      </c>
      <c r="T606" s="28"/>
      <c r="U606" s="28"/>
    </row>
    <row r="607" spans="1:21" s="5" customFormat="1">
      <c r="A607" s="179" t="s">
        <v>884</v>
      </c>
      <c r="B607" s="185" t="s">
        <v>5410</v>
      </c>
      <c r="C607" s="35" t="str">
        <f t="shared" si="63"/>
        <v>Arafat</v>
      </c>
      <c r="E607" s="40"/>
      <c r="F607" s="15"/>
      <c r="G607" s="17"/>
      <c r="H607" s="10" t="s">
        <v>8563</v>
      </c>
      <c r="I607" s="4" t="str">
        <f t="shared" si="64"/>
        <v>|ʿArafát|</v>
      </c>
      <c r="J607" s="3" t="str">
        <f t="shared" si="65"/>
        <v>|'Arafat|</v>
      </c>
      <c r="K607" s="3" t="str">
        <f t="shared" si="66"/>
        <v>Arafat</v>
      </c>
      <c r="N607" s="39" t="str">
        <f t="shared" si="67"/>
        <v/>
      </c>
      <c r="P607" s="39" t="str">
        <f t="shared" si="68"/>
        <v/>
      </c>
      <c r="R607" s="39" t="str">
        <f t="shared" si="69"/>
        <v/>
      </c>
      <c r="S607" s="28"/>
      <c r="T607" s="28"/>
      <c r="U607" s="28"/>
    </row>
    <row r="608" spans="1:21" s="5" customFormat="1">
      <c r="A608" s="179" t="s">
        <v>885</v>
      </c>
      <c r="B608" s="185" t="s">
        <v>5411</v>
      </c>
      <c r="C608" s="35" t="str">
        <f t="shared" si="63"/>
        <v>Arafih</v>
      </c>
      <c r="E608" s="40"/>
      <c r="F608" s="14"/>
      <c r="G608" s="17"/>
      <c r="H608" s="10" t="s">
        <v>8563</v>
      </c>
      <c r="I608" s="4" t="str">
        <f t="shared" si="64"/>
        <v>|ʿÁrafih|</v>
      </c>
      <c r="J608" s="3" t="str">
        <f t="shared" si="65"/>
        <v>|'Arafih|</v>
      </c>
      <c r="K608" s="3" t="str">
        <f t="shared" si="66"/>
        <v>Arafih</v>
      </c>
      <c r="N608" s="39" t="str">
        <f t="shared" si="67"/>
        <v/>
      </c>
      <c r="P608" s="39" t="str">
        <f t="shared" si="68"/>
        <v/>
      </c>
      <c r="R608" s="39" t="str">
        <f t="shared" si="69"/>
        <v/>
      </c>
      <c r="S608" s="28"/>
      <c r="T608" s="28"/>
      <c r="U608" s="28"/>
    </row>
    <row r="609" spans="1:21" s="5" customFormat="1">
      <c r="A609" s="179" t="s">
        <v>886</v>
      </c>
      <c r="B609" s="185" t="s">
        <v>5412</v>
      </c>
      <c r="C609" s="35" t="str">
        <f t="shared" si="63"/>
        <v>Arak</v>
      </c>
      <c r="E609" s="40"/>
      <c r="F609" s="14"/>
      <c r="G609" s="17"/>
      <c r="H609" s="10" t="s">
        <v>8563</v>
      </c>
      <c r="I609" s="4" t="str">
        <f t="shared" si="64"/>
        <v>|Arák|</v>
      </c>
      <c r="J609" s="3" t="str">
        <f t="shared" si="65"/>
        <v>|Arak|</v>
      </c>
      <c r="K609" s="3" t="str">
        <f t="shared" si="66"/>
        <v>Arak</v>
      </c>
      <c r="N609" s="39" t="str">
        <f t="shared" si="67"/>
        <v/>
      </c>
      <c r="P609" s="39" t="str">
        <f t="shared" si="68"/>
        <v/>
      </c>
      <c r="R609" s="39" t="str">
        <f t="shared" si="69"/>
        <v/>
      </c>
      <c r="S609" s="28"/>
      <c r="T609" s="28"/>
      <c r="U609" s="28"/>
    </row>
    <row r="610" spans="1:21" s="5" customFormat="1">
      <c r="A610" s="179" t="s">
        <v>887</v>
      </c>
      <c r="B610" s="185" t="s">
        <v>5413</v>
      </c>
      <c r="C610" s="35" t="str">
        <f t="shared" si="63"/>
        <v>Araq</v>
      </c>
      <c r="E610" s="40"/>
      <c r="F610" s="15" t="s">
        <v>888</v>
      </c>
      <c r="G610" s="17"/>
      <c r="H610" s="10" t="s">
        <v>8563</v>
      </c>
      <c r="I610" s="4" t="str">
        <f t="shared" si="64"/>
        <v>|ʿAráq|</v>
      </c>
      <c r="J610" s="3" t="str">
        <f t="shared" si="65"/>
        <v>|'Araq|</v>
      </c>
      <c r="K610" s="3" t="str">
        <f t="shared" si="66"/>
        <v>Araq</v>
      </c>
      <c r="N610" s="39" t="str">
        <f t="shared" si="67"/>
        <v/>
      </c>
      <c r="P610" s="39" t="str">
        <f t="shared" si="68"/>
        <v/>
      </c>
      <c r="R610" s="39" t="str">
        <f t="shared" si="69"/>
        <v/>
      </c>
      <c r="S610" s="28"/>
      <c r="T610" s="28"/>
      <c r="U610" s="28"/>
    </row>
    <row r="611" spans="1:21" s="5" customFormat="1">
      <c r="A611" s="179" t="s">
        <v>889</v>
      </c>
      <c r="B611" s="185" t="s">
        <v>5414</v>
      </c>
      <c r="C611" s="35" t="str">
        <f t="shared" si="63"/>
        <v>Arastu</v>
      </c>
      <c r="E611" s="40"/>
      <c r="F611" s="14"/>
      <c r="G611" s="17"/>
      <c r="H611" s="10" t="s">
        <v>8563</v>
      </c>
      <c r="I611" s="4" t="str">
        <f t="shared" si="64"/>
        <v>|Arastú|</v>
      </c>
      <c r="J611" s="3" t="str">
        <f t="shared" si="65"/>
        <v>|Arastu|</v>
      </c>
      <c r="K611" s="3" t="str">
        <f t="shared" si="66"/>
        <v>Arastu</v>
      </c>
      <c r="N611" s="39" t="str">
        <f t="shared" si="67"/>
        <v/>
      </c>
      <c r="P611" s="39" t="str">
        <f t="shared" si="68"/>
        <v/>
      </c>
      <c r="R611" s="39" t="str">
        <f t="shared" si="69"/>
        <v/>
      </c>
      <c r="S611" s="28"/>
      <c r="T611" s="28"/>
      <c r="U611" s="28"/>
    </row>
    <row r="612" spans="1:21" s="5" customFormat="1">
      <c r="A612" s="179" t="s">
        <v>892</v>
      </c>
      <c r="B612" s="185" t="s">
        <v>5416</v>
      </c>
      <c r="C612" s="35" t="str">
        <f t="shared" si="63"/>
        <v>Arbaayn</v>
      </c>
      <c r="E612" s="40"/>
      <c r="F612" s="14"/>
      <c r="G612" s="17"/>
      <c r="H612" s="10" t="s">
        <v>8563</v>
      </c>
      <c r="I612" s="4" t="str">
        <f t="shared" si="64"/>
        <v>|Arbaʿayn|</v>
      </c>
      <c r="J612" s="3" t="str">
        <f t="shared" si="65"/>
        <v>|Arba'ayn|</v>
      </c>
      <c r="K612" s="3" t="str">
        <f t="shared" si="66"/>
        <v>Arbaayn</v>
      </c>
      <c r="N612" s="39" t="str">
        <f t="shared" si="67"/>
        <v/>
      </c>
      <c r="P612" s="39" t="str">
        <f t="shared" si="68"/>
        <v/>
      </c>
      <c r="R612" s="39" t="str">
        <f t="shared" si="69"/>
        <v/>
      </c>
      <c r="S612" s="28"/>
      <c r="T612" s="28"/>
      <c r="U612" s="28"/>
    </row>
    <row r="613" spans="1:21" s="5" customFormat="1">
      <c r="A613" s="179" t="s">
        <v>890</v>
      </c>
      <c r="B613" s="185" t="s">
        <v>5415</v>
      </c>
      <c r="C613" s="35" t="str">
        <f t="shared" si="63"/>
        <v>Arbab</v>
      </c>
      <c r="E613" s="40"/>
      <c r="F613" s="15" t="s">
        <v>891</v>
      </c>
      <c r="G613" s="17"/>
      <c r="H613" s="10" t="s">
        <v>8563</v>
      </c>
      <c r="I613" s="4" t="str">
        <f t="shared" si="64"/>
        <v>|Arbáb|</v>
      </c>
      <c r="J613" s="3" t="str">
        <f t="shared" si="65"/>
        <v>|Arbab|</v>
      </c>
      <c r="K613" s="3" t="str">
        <f t="shared" si="66"/>
        <v>Arbab</v>
      </c>
      <c r="N613" s="39" t="str">
        <f t="shared" si="67"/>
        <v/>
      </c>
      <c r="P613" s="39" t="str">
        <f t="shared" si="68"/>
        <v/>
      </c>
      <c r="R613" s="39" t="str">
        <f t="shared" si="69"/>
        <v/>
      </c>
      <c r="S613" s="28"/>
      <c r="T613" s="28"/>
      <c r="U613" s="28"/>
    </row>
    <row r="614" spans="1:21" s="5" customFormat="1">
      <c r="A614" s="179" t="s">
        <v>893</v>
      </c>
      <c r="B614" s="185" t="s">
        <v>5417</v>
      </c>
      <c r="C614" s="35" t="str">
        <f t="shared" si="63"/>
        <v>Arbil</v>
      </c>
      <c r="E614" s="40"/>
      <c r="F614" s="14"/>
      <c r="G614" s="17"/>
      <c r="H614" s="10" t="s">
        <v>8563</v>
      </c>
      <c r="I614" s="4" t="str">
        <f t="shared" si="64"/>
        <v>|Arbíl|</v>
      </c>
      <c r="J614" s="3" t="str">
        <f t="shared" si="65"/>
        <v>|Arbil|</v>
      </c>
      <c r="K614" s="3" t="str">
        <f t="shared" si="66"/>
        <v>Arbil</v>
      </c>
      <c r="N614" s="39" t="str">
        <f t="shared" si="67"/>
        <v/>
      </c>
      <c r="P614" s="39" t="str">
        <f t="shared" si="68"/>
        <v/>
      </c>
      <c r="R614" s="39" t="str">
        <f t="shared" si="69"/>
        <v/>
      </c>
      <c r="S614" s="28"/>
      <c r="T614" s="28"/>
      <c r="U614" s="28"/>
    </row>
    <row r="615" spans="1:21" s="5" customFormat="1">
      <c r="A615" s="179" t="s">
        <v>894</v>
      </c>
      <c r="B615" s="185" t="s">
        <v>5418</v>
      </c>
      <c r="C615" s="35" t="str">
        <f t="shared" si="63"/>
        <v>Arda</v>
      </c>
      <c r="E615" s="40"/>
      <c r="F615" s="15"/>
      <c r="G615" s="17"/>
      <c r="H615" s="10" t="s">
        <v>8563</v>
      </c>
      <c r="I615" s="4" t="str">
        <f t="shared" si="64"/>
        <v>|Ardá|</v>
      </c>
      <c r="J615" s="3" t="str">
        <f t="shared" si="65"/>
        <v>|Arda|</v>
      </c>
      <c r="K615" s="3" t="str">
        <f t="shared" si="66"/>
        <v>Arda</v>
      </c>
      <c r="N615" s="39" t="str">
        <f t="shared" si="67"/>
        <v/>
      </c>
      <c r="P615" s="39" t="str">
        <f t="shared" si="68"/>
        <v/>
      </c>
      <c r="R615" s="39" t="str">
        <f t="shared" si="69"/>
        <v/>
      </c>
      <c r="S615" s="28"/>
      <c r="T615" s="28"/>
      <c r="U615" s="28"/>
    </row>
    <row r="616" spans="1:21" s="5" customFormat="1">
      <c r="A616" s="179" t="s">
        <v>895</v>
      </c>
      <c r="B616" s="185" t="s">
        <v>5419</v>
      </c>
      <c r="C616" s="35" t="str">
        <f t="shared" si="63"/>
        <v>Ardabil</v>
      </c>
      <c r="E616" s="40"/>
      <c r="F616" s="14"/>
      <c r="G616" s="17"/>
      <c r="H616" s="10" t="s">
        <v>8563</v>
      </c>
      <c r="I616" s="4" t="str">
        <f t="shared" si="64"/>
        <v>|Ardabíl|</v>
      </c>
      <c r="J616" s="3" t="str">
        <f t="shared" si="65"/>
        <v>|Ardabil|</v>
      </c>
      <c r="K616" s="3" t="str">
        <f t="shared" si="66"/>
        <v>Ardabil</v>
      </c>
      <c r="N616" s="39" t="str">
        <f t="shared" si="67"/>
        <v/>
      </c>
      <c r="P616" s="39" t="str">
        <f t="shared" si="68"/>
        <v/>
      </c>
      <c r="R616" s="39" t="str">
        <f t="shared" si="69"/>
        <v/>
      </c>
      <c r="S616" s="28"/>
      <c r="T616" s="28"/>
      <c r="U616" s="28"/>
    </row>
    <row r="617" spans="1:21" s="5" customFormat="1">
      <c r="A617" s="179" t="s">
        <v>896</v>
      </c>
      <c r="B617" s="185" t="s">
        <v>5420</v>
      </c>
      <c r="C617" s="35" t="str">
        <f t="shared" si="63"/>
        <v>Ardakan</v>
      </c>
      <c r="E617" s="40"/>
      <c r="F617" s="15" t="s">
        <v>897</v>
      </c>
      <c r="G617" s="17"/>
      <c r="H617" s="10" t="s">
        <v>8563</v>
      </c>
      <c r="I617" s="4" t="str">
        <f t="shared" si="64"/>
        <v>|Ardakán|</v>
      </c>
      <c r="J617" s="3" t="str">
        <f t="shared" si="65"/>
        <v>|Ardakan|</v>
      </c>
      <c r="K617" s="3" t="str">
        <f t="shared" si="66"/>
        <v>Ardakan</v>
      </c>
      <c r="N617" s="39" t="str">
        <f t="shared" si="67"/>
        <v/>
      </c>
      <c r="P617" s="39" t="str">
        <f t="shared" si="68"/>
        <v/>
      </c>
      <c r="R617" s="39" t="str">
        <f t="shared" si="69"/>
        <v/>
      </c>
      <c r="S617" s="28"/>
      <c r="T617" s="28"/>
      <c r="U617" s="28"/>
    </row>
    <row r="618" spans="1:21" s="5" customFormat="1">
      <c r="A618" s="179" t="s">
        <v>898</v>
      </c>
      <c r="B618" s="185" t="s">
        <v>5421</v>
      </c>
      <c r="C618" s="35" t="str">
        <f t="shared" si="63"/>
        <v>Ardakani</v>
      </c>
      <c r="E618" s="40"/>
      <c r="F618" s="14"/>
      <c r="G618" s="17"/>
      <c r="H618" s="10" t="s">
        <v>8563</v>
      </c>
      <c r="I618" s="4" t="str">
        <f t="shared" si="64"/>
        <v>|Ardakání|</v>
      </c>
      <c r="J618" s="3" t="str">
        <f t="shared" si="65"/>
        <v>|Ardakani|</v>
      </c>
      <c r="K618" s="3" t="str">
        <f t="shared" si="66"/>
        <v>Ardakani</v>
      </c>
      <c r="N618" s="39" t="str">
        <f t="shared" si="67"/>
        <v/>
      </c>
      <c r="P618" s="39" t="str">
        <f t="shared" si="68"/>
        <v/>
      </c>
      <c r="R618" s="39" t="str">
        <f t="shared" si="69"/>
        <v/>
      </c>
      <c r="S618" s="28"/>
      <c r="T618" s="28"/>
      <c r="U618" s="28"/>
    </row>
    <row r="619" spans="1:21" s="5" customFormat="1">
      <c r="A619" s="179" t="s">
        <v>899</v>
      </c>
      <c r="B619" s="185" t="s">
        <v>5422</v>
      </c>
      <c r="C619" s="35" t="str">
        <f t="shared" si="63"/>
        <v>ArdiAla</v>
      </c>
      <c r="E619" s="40"/>
      <c r="F619" s="15" t="s">
        <v>900</v>
      </c>
      <c r="G619" s="17"/>
      <c r="H619" s="10" t="s">
        <v>8563</v>
      </c>
      <c r="I619" s="4" t="str">
        <f t="shared" si="64"/>
        <v>|Arḍ-i-Aʿlá|</v>
      </c>
      <c r="J619" s="3" t="str">
        <f t="shared" si="65"/>
        <v>|Ard-i-A'la|</v>
      </c>
      <c r="K619" s="3" t="str">
        <f t="shared" si="66"/>
        <v>Ard-i-Ala</v>
      </c>
      <c r="N619" s="39" t="str">
        <f t="shared" si="67"/>
        <v/>
      </c>
      <c r="P619" s="39" t="str">
        <f t="shared" si="68"/>
        <v/>
      </c>
      <c r="R619" s="39" t="str">
        <f t="shared" si="69"/>
        <v/>
      </c>
      <c r="S619" s="28"/>
      <c r="T619" s="28"/>
      <c r="U619" s="28"/>
    </row>
    <row r="620" spans="1:21" s="5" customFormat="1">
      <c r="A620" s="179" t="s">
        <v>895</v>
      </c>
      <c r="B620" s="185" t="s">
        <v>5423</v>
      </c>
      <c r="C620" s="35" t="str">
        <f t="shared" si="63"/>
        <v>Ardibil</v>
      </c>
      <c r="E620" s="40"/>
      <c r="F620" s="14"/>
      <c r="G620" s="17"/>
      <c r="H620" s="10" t="s">
        <v>8563</v>
      </c>
      <c r="I620" s="4" t="str">
        <f t="shared" si="64"/>
        <v>|Ardibíl|</v>
      </c>
      <c r="J620" s="3" t="str">
        <f t="shared" si="65"/>
        <v>|Ardibil|</v>
      </c>
      <c r="K620" s="3" t="str">
        <f t="shared" si="66"/>
        <v>Ardibil</v>
      </c>
      <c r="N620" s="39" t="str">
        <f t="shared" si="67"/>
        <v/>
      </c>
      <c r="P620" s="39" t="str">
        <f t="shared" si="68"/>
        <v/>
      </c>
      <c r="R620" s="39" t="str">
        <f t="shared" si="69"/>
        <v/>
      </c>
      <c r="S620" s="28"/>
      <c r="T620" s="28"/>
      <c r="U620" s="28"/>
    </row>
    <row r="621" spans="1:21" s="5" customFormat="1">
      <c r="A621" s="179" t="s">
        <v>901</v>
      </c>
      <c r="B621" s="185" t="s">
        <v>5424</v>
      </c>
      <c r="C621" s="35" t="str">
        <f t="shared" si="63"/>
        <v>Ardibili</v>
      </c>
      <c r="E621" s="40"/>
      <c r="F621" s="15"/>
      <c r="G621" s="17"/>
      <c r="H621" s="10" t="s">
        <v>8563</v>
      </c>
      <c r="I621" s="4" t="str">
        <f t="shared" si="64"/>
        <v>|Ardibílí|</v>
      </c>
      <c r="J621" s="3" t="str">
        <f t="shared" si="65"/>
        <v>|Ardibili|</v>
      </c>
      <c r="K621" s="3" t="str">
        <f t="shared" si="66"/>
        <v>Ardibili</v>
      </c>
      <c r="N621" s="39" t="str">
        <f t="shared" si="67"/>
        <v/>
      </c>
      <c r="P621" s="39" t="str">
        <f t="shared" si="68"/>
        <v/>
      </c>
      <c r="R621" s="39" t="str">
        <f t="shared" si="69"/>
        <v/>
      </c>
      <c r="S621" s="28"/>
      <c r="T621" s="28"/>
      <c r="U621" s="28"/>
    </row>
    <row r="622" spans="1:21" s="5" customFormat="1">
      <c r="A622" s="179" t="s">
        <v>902</v>
      </c>
      <c r="B622" s="185" t="s">
        <v>5425</v>
      </c>
      <c r="C622" s="35" t="str">
        <f t="shared" si="63"/>
        <v>ArdiJannat</v>
      </c>
      <c r="E622" s="40"/>
      <c r="F622" s="15"/>
      <c r="G622" s="17"/>
      <c r="H622" s="10" t="s">
        <v>8563</v>
      </c>
      <c r="I622" s="4" t="str">
        <f t="shared" si="64"/>
        <v>|Arḍ-i-Jannat|</v>
      </c>
      <c r="J622" s="3" t="str">
        <f t="shared" si="65"/>
        <v>|Ard-i-Jannat|</v>
      </c>
      <c r="K622" s="3" t="str">
        <f t="shared" si="66"/>
        <v>Ard-i-Jannat</v>
      </c>
      <c r="N622" s="39" t="str">
        <f t="shared" si="67"/>
        <v/>
      </c>
      <c r="P622" s="39" t="str">
        <f t="shared" si="68"/>
        <v/>
      </c>
      <c r="R622" s="39" t="str">
        <f t="shared" si="69"/>
        <v/>
      </c>
      <c r="S622" s="28"/>
      <c r="T622" s="28"/>
      <c r="U622" s="28"/>
    </row>
    <row r="623" spans="1:21" s="5" customFormat="1">
      <c r="A623" s="179" t="s">
        <v>896</v>
      </c>
      <c r="B623" s="185" t="s">
        <v>5426</v>
      </c>
      <c r="C623" s="35" t="str">
        <f t="shared" si="63"/>
        <v>Ardikan</v>
      </c>
      <c r="E623" s="40"/>
      <c r="F623" s="14"/>
      <c r="G623" s="17"/>
      <c r="H623" s="10" t="s">
        <v>8563</v>
      </c>
      <c r="I623" s="4" t="str">
        <f t="shared" si="64"/>
        <v>|Ardikán|</v>
      </c>
      <c r="J623" s="3" t="str">
        <f t="shared" si="65"/>
        <v>|Ardikan|</v>
      </c>
      <c r="K623" s="3" t="str">
        <f t="shared" si="66"/>
        <v>Ardikan</v>
      </c>
      <c r="N623" s="39" t="str">
        <f t="shared" si="67"/>
        <v/>
      </c>
      <c r="P623" s="39" t="str">
        <f t="shared" si="68"/>
        <v/>
      </c>
      <c r="R623" s="39" t="str">
        <f t="shared" si="69"/>
        <v/>
      </c>
      <c r="S623" s="28"/>
      <c r="T623" s="28"/>
      <c r="U623" s="28"/>
    </row>
    <row r="624" spans="1:21" s="5" customFormat="1">
      <c r="A624" s="179" t="s">
        <v>898</v>
      </c>
      <c r="B624" s="185" t="s">
        <v>5427</v>
      </c>
      <c r="C624" s="35" t="str">
        <f t="shared" si="63"/>
        <v>Ardikani</v>
      </c>
      <c r="E624" s="40"/>
      <c r="F624" s="15"/>
      <c r="G624" s="17"/>
      <c r="H624" s="10" t="s">
        <v>8563</v>
      </c>
      <c r="I624" s="4" t="str">
        <f t="shared" si="64"/>
        <v>|Ardikání|</v>
      </c>
      <c r="J624" s="3" t="str">
        <f t="shared" si="65"/>
        <v>|Ardikani|</v>
      </c>
      <c r="K624" s="3" t="str">
        <f t="shared" si="66"/>
        <v>Ardikani</v>
      </c>
      <c r="N624" s="39" t="str">
        <f t="shared" si="67"/>
        <v/>
      </c>
      <c r="P624" s="39" t="str">
        <f t="shared" si="68"/>
        <v/>
      </c>
      <c r="R624" s="39" t="str">
        <f t="shared" si="69"/>
        <v/>
      </c>
      <c r="S624" s="28"/>
      <c r="T624" s="28"/>
      <c r="U624" s="28"/>
    </row>
    <row r="625" spans="1:21" s="5" customFormat="1">
      <c r="A625" s="179" t="s">
        <v>903</v>
      </c>
      <c r="B625" s="185" t="s">
        <v>5428</v>
      </c>
      <c r="C625" s="35" t="str">
        <f t="shared" si="63"/>
        <v>Ardishir</v>
      </c>
      <c r="E625" s="40"/>
      <c r="F625" s="14"/>
      <c r="G625" s="17"/>
      <c r="H625" s="10" t="s">
        <v>8563</v>
      </c>
      <c r="I625" s="4" t="str">
        <f t="shared" si="64"/>
        <v>|Ardiír|</v>
      </c>
      <c r="J625" s="3" t="str">
        <f t="shared" si="65"/>
        <v>|Ardishir|</v>
      </c>
      <c r="K625" s="3" t="str">
        <f t="shared" si="66"/>
        <v>Ardishir</v>
      </c>
      <c r="N625" s="39" t="str">
        <f t="shared" si="67"/>
        <v/>
      </c>
      <c r="P625" s="39" t="str">
        <f t="shared" si="68"/>
        <v/>
      </c>
      <c r="R625" s="39" t="str">
        <f t="shared" si="69"/>
        <v/>
      </c>
      <c r="S625" s="28"/>
      <c r="T625" s="28"/>
      <c r="U625" s="28"/>
    </row>
    <row r="626" spans="1:21" s="5" customFormat="1">
      <c r="A626" s="179" t="s">
        <v>904</v>
      </c>
      <c r="B626" s="185" t="s">
        <v>5429</v>
      </c>
      <c r="C626" s="35" t="str">
        <f t="shared" si="63"/>
        <v>Ardistan</v>
      </c>
      <c r="E626" s="40"/>
      <c r="F626" s="14"/>
      <c r="G626" s="17"/>
      <c r="H626" s="10" t="s">
        <v>8563</v>
      </c>
      <c r="I626" s="4" t="str">
        <f t="shared" si="64"/>
        <v>|Ardistán|</v>
      </c>
      <c r="J626" s="3" t="str">
        <f t="shared" si="65"/>
        <v>|Ardistan|</v>
      </c>
      <c r="K626" s="3" t="str">
        <f t="shared" si="66"/>
        <v>Ardistan</v>
      </c>
      <c r="N626" s="39" t="str">
        <f t="shared" si="67"/>
        <v/>
      </c>
      <c r="P626" s="39" t="str">
        <f t="shared" si="68"/>
        <v/>
      </c>
      <c r="R626" s="39" t="str">
        <f t="shared" si="69"/>
        <v/>
      </c>
      <c r="S626" s="28"/>
      <c r="T626" s="28"/>
      <c r="U626" s="28"/>
    </row>
    <row r="627" spans="1:21" s="5" customFormat="1">
      <c r="A627" s="179" t="s">
        <v>905</v>
      </c>
      <c r="B627" s="185" t="s">
        <v>5430</v>
      </c>
      <c r="C627" s="35" t="str">
        <f t="shared" si="63"/>
        <v>Arfa</v>
      </c>
      <c r="E627" s="40"/>
      <c r="F627" s="15"/>
      <c r="G627" s="17"/>
      <c r="H627" s="10" t="s">
        <v>8563</v>
      </c>
      <c r="I627" s="4" t="str">
        <f t="shared" si="64"/>
        <v>|Arfaʿ|</v>
      </c>
      <c r="J627" s="3" t="str">
        <f t="shared" si="65"/>
        <v>|Arfa'|</v>
      </c>
      <c r="K627" s="3" t="str">
        <f t="shared" si="66"/>
        <v>Arfa</v>
      </c>
      <c r="N627" s="39" t="str">
        <f t="shared" si="67"/>
        <v/>
      </c>
      <c r="P627" s="39" t="str">
        <f t="shared" si="68"/>
        <v/>
      </c>
      <c r="R627" s="39" t="str">
        <f t="shared" si="69"/>
        <v/>
      </c>
      <c r="S627" s="28"/>
      <c r="T627" s="28"/>
      <c r="U627" s="28"/>
    </row>
    <row r="628" spans="1:21" s="5" customFormat="1">
      <c r="A628" s="179" t="s">
        <v>906</v>
      </c>
      <c r="B628" s="185" t="s">
        <v>5431</v>
      </c>
      <c r="C628" s="35" t="str">
        <f t="shared" si="63"/>
        <v>́Arid</v>
      </c>
      <c r="E628" s="40" t="s">
        <v>9115</v>
      </c>
      <c r="F628" s="15"/>
      <c r="G628" s="17" t="s">
        <v>9128</v>
      </c>
      <c r="H628" s="10" t="s">
        <v>8563</v>
      </c>
      <c r="I628" s="4" t="str">
        <f t="shared" si="64"/>
        <v>|́ʿAríḍ|</v>
      </c>
      <c r="J628" s="3" t="str">
        <f t="shared" si="65"/>
        <v>|́'Arid|</v>
      </c>
      <c r="K628" s="3" t="str">
        <f t="shared" si="66"/>
        <v>́Arid</v>
      </c>
      <c r="N628" s="39" t="str">
        <f t="shared" si="67"/>
        <v/>
      </c>
      <c r="P628" s="39" t="str">
        <f t="shared" si="68"/>
        <v/>
      </c>
      <c r="R628" s="39" t="str">
        <f t="shared" si="69"/>
        <v/>
      </c>
      <c r="S628" s="28"/>
      <c r="T628" s="28"/>
      <c r="U628" s="28"/>
    </row>
    <row r="629" spans="1:21" s="5" customFormat="1">
      <c r="A629" s="179" t="s">
        <v>907</v>
      </c>
      <c r="B629" s="185" t="s">
        <v>8916</v>
      </c>
      <c r="C629" s="35" t="str">
        <f t="shared" si="63"/>
        <v>Arif</v>
      </c>
      <c r="E629" s="40"/>
      <c r="F629" s="15" t="s">
        <v>908</v>
      </c>
      <c r="G629" s="17"/>
      <c r="H629" s="10" t="s">
        <v>8563</v>
      </c>
      <c r="I629" s="4" t="str">
        <f t="shared" si="64"/>
        <v>|ʿÁrif|</v>
      </c>
      <c r="J629" s="3" t="str">
        <f t="shared" si="65"/>
        <v>|'Arif|</v>
      </c>
      <c r="K629" s="3" t="str">
        <f t="shared" si="66"/>
        <v>Arif</v>
      </c>
      <c r="N629" s="39" t="str">
        <f t="shared" si="67"/>
        <v/>
      </c>
      <c r="P629" s="39" t="str">
        <f t="shared" si="68"/>
        <v/>
      </c>
      <c r="R629" s="39" t="str">
        <f t="shared" si="69"/>
        <v/>
      </c>
      <c r="S629" s="28"/>
      <c r="T629" s="28"/>
      <c r="U629" s="28"/>
    </row>
    <row r="630" spans="1:21" s="5" customFormat="1">
      <c r="A630" s="179" t="s">
        <v>909</v>
      </c>
      <c r="B630" s="185" t="s">
        <v>5432</v>
      </c>
      <c r="C630" s="35" t="str">
        <f t="shared" si="63"/>
        <v>arRadi</v>
      </c>
      <c r="E630" s="40"/>
      <c r="F630" s="15"/>
      <c r="G630" s="17"/>
      <c r="H630" s="10" t="s">
        <v>8563</v>
      </c>
      <c r="I630" s="4" t="str">
        <f t="shared" si="64"/>
        <v>|ar-Ráḍí|</v>
      </c>
      <c r="J630" s="3" t="str">
        <f t="shared" si="65"/>
        <v>|ar-Radi|</v>
      </c>
      <c r="K630" s="3" t="str">
        <f t="shared" si="66"/>
        <v>ar-Radi</v>
      </c>
      <c r="N630" s="39" t="str">
        <f t="shared" si="67"/>
        <v/>
      </c>
      <c r="P630" s="39" t="str">
        <f t="shared" si="68"/>
        <v/>
      </c>
      <c r="R630" s="39" t="str">
        <f t="shared" si="69"/>
        <v/>
      </c>
      <c r="S630" s="28"/>
      <c r="T630" s="28"/>
      <c r="U630" s="28"/>
    </row>
    <row r="631" spans="1:21" s="5" customFormat="1">
      <c r="A631" s="179" t="s">
        <v>910</v>
      </c>
      <c r="B631" s="185" t="s">
        <v>5433</v>
      </c>
      <c r="C631" s="35" t="str">
        <f t="shared" si="63"/>
        <v>arRashid</v>
      </c>
      <c r="E631" s="40"/>
      <c r="F631" s="15"/>
      <c r="G631" s="17"/>
      <c r="H631" s="10" t="s">
        <v>8563</v>
      </c>
      <c r="I631" s="4" t="str">
        <f t="shared" si="64"/>
        <v>|ar-Raíd|</v>
      </c>
      <c r="J631" s="3" t="str">
        <f t="shared" si="65"/>
        <v>|ar-Rashid|</v>
      </c>
      <c r="K631" s="3" t="str">
        <f t="shared" si="66"/>
        <v>ar-Rashid</v>
      </c>
      <c r="N631" s="39" t="str">
        <f t="shared" si="67"/>
        <v/>
      </c>
      <c r="P631" s="39" t="str">
        <f t="shared" si="68"/>
        <v/>
      </c>
      <c r="R631" s="39" t="str">
        <f t="shared" si="69"/>
        <v/>
      </c>
      <c r="S631" s="28"/>
      <c r="T631" s="28"/>
      <c r="U631" s="28"/>
    </row>
    <row r="632" spans="1:21" s="5" customFormat="1">
      <c r="A632" s="179" t="s">
        <v>911</v>
      </c>
      <c r="B632" s="185" t="s">
        <v>8917</v>
      </c>
      <c r="C632" s="35" t="str">
        <f t="shared" si="63"/>
        <v>arRashidiyn</v>
      </c>
      <c r="E632" s="40"/>
      <c r="F632" s="15"/>
      <c r="G632" s="17"/>
      <c r="H632" s="10" t="s">
        <v>8563</v>
      </c>
      <c r="I632" s="4" t="str">
        <f t="shared" si="64"/>
        <v>|ar-Raídiyn|</v>
      </c>
      <c r="J632" s="3" t="str">
        <f t="shared" si="65"/>
        <v>|ar-Rashidiyn|</v>
      </c>
      <c r="K632" s="3" t="str">
        <f t="shared" si="66"/>
        <v>ar-Rashidiyn</v>
      </c>
      <c r="N632" s="39" t="str">
        <f t="shared" si="67"/>
        <v/>
      </c>
      <c r="P632" s="39" t="str">
        <f t="shared" si="68"/>
        <v/>
      </c>
      <c r="R632" s="39" t="str">
        <f t="shared" si="69"/>
        <v/>
      </c>
      <c r="S632" s="28"/>
      <c r="T632" s="28"/>
      <c r="U632" s="28"/>
    </row>
    <row r="633" spans="1:21" s="5" customFormat="1">
      <c r="A633" s="179" t="s">
        <v>912</v>
      </c>
      <c r="B633" s="185" t="s">
        <v>5434</v>
      </c>
      <c r="C633" s="35" t="str">
        <f t="shared" si="63"/>
        <v>arRum</v>
      </c>
      <c r="E633" s="40"/>
      <c r="F633" s="14"/>
      <c r="G633" s="17"/>
      <c r="H633" s="10" t="s">
        <v>8563</v>
      </c>
      <c r="I633" s="4" t="str">
        <f t="shared" si="64"/>
        <v>|ar-Rúm|</v>
      </c>
      <c r="J633" s="3" t="str">
        <f t="shared" si="65"/>
        <v>|ar-Rum|</v>
      </c>
      <c r="K633" s="3" t="str">
        <f t="shared" si="66"/>
        <v>ar-Rum</v>
      </c>
      <c r="N633" s="39" t="str">
        <f t="shared" si="67"/>
        <v/>
      </c>
      <c r="P633" s="39" t="str">
        <f t="shared" si="68"/>
        <v/>
      </c>
      <c r="R633" s="39" t="str">
        <f t="shared" si="69"/>
        <v/>
      </c>
      <c r="S633" s="28"/>
      <c r="T633" s="28"/>
      <c r="U633" s="28"/>
    </row>
    <row r="634" spans="1:21" s="5" customFormat="1">
      <c r="A634" s="179" t="s">
        <v>914</v>
      </c>
      <c r="B634" s="185" t="s">
        <v>5436</v>
      </c>
      <c r="C634" s="35" t="str">
        <f t="shared" si="63"/>
        <v>Arsalan</v>
      </c>
      <c r="E634" s="40"/>
      <c r="F634" s="14"/>
      <c r="G634" s="17"/>
      <c r="H634" s="10" t="s">
        <v>8563</v>
      </c>
      <c r="I634" s="4" t="str">
        <f t="shared" si="64"/>
        <v>|Arsalán|</v>
      </c>
      <c r="J634" s="3" t="str">
        <f t="shared" si="65"/>
        <v>|Arsalan|</v>
      </c>
      <c r="K634" s="3" t="str">
        <f t="shared" si="66"/>
        <v>Arsalan</v>
      </c>
      <c r="N634" s="39" t="str">
        <f t="shared" si="67"/>
        <v/>
      </c>
      <c r="P634" s="39" t="str">
        <f t="shared" si="68"/>
        <v/>
      </c>
      <c r="R634" s="39" t="str">
        <f t="shared" si="69"/>
        <v/>
      </c>
      <c r="S634" s="28"/>
      <c r="T634" s="28"/>
      <c r="U634" s="28"/>
    </row>
    <row r="635" spans="1:21" s="5" customFormat="1">
      <c r="A635" s="179" t="s">
        <v>913</v>
      </c>
      <c r="B635" s="185" t="s">
        <v>5435</v>
      </c>
      <c r="C635" s="35" t="str">
        <f t="shared" si="63"/>
        <v>Arshiyyih</v>
      </c>
      <c r="E635" s="40"/>
      <c r="F635" s="15"/>
      <c r="G635" s="17"/>
      <c r="H635" s="10" t="s">
        <v>8563</v>
      </c>
      <c r="I635" s="4" t="str">
        <f t="shared" si="64"/>
        <v>|ʿAríyyih|</v>
      </c>
      <c r="J635" s="3" t="str">
        <f t="shared" si="65"/>
        <v>|'Arshiyyih|</v>
      </c>
      <c r="K635" s="3" t="str">
        <f t="shared" si="66"/>
        <v>Arshiyyih</v>
      </c>
      <c r="N635" s="39" t="str">
        <f t="shared" si="67"/>
        <v/>
      </c>
      <c r="P635" s="39" t="str">
        <f t="shared" si="68"/>
        <v/>
      </c>
      <c r="R635" s="39" t="str">
        <f t="shared" si="69"/>
        <v/>
      </c>
      <c r="S635" s="28"/>
      <c r="T635" s="28"/>
      <c r="U635" s="28"/>
    </row>
    <row r="636" spans="1:21" s="5" customFormat="1">
      <c r="A636" s="179" t="s">
        <v>962</v>
      </c>
      <c r="B636" s="185" t="s">
        <v>5473</v>
      </c>
      <c r="C636" s="35" t="str">
        <f t="shared" si="63"/>
        <v>Asad</v>
      </c>
      <c r="E636" s="40"/>
      <c r="F636" s="14"/>
      <c r="G636" s="17"/>
      <c r="H636" s="10" t="s">
        <v>8563</v>
      </c>
      <c r="I636" s="4" t="str">
        <f t="shared" si="64"/>
        <v>|Asad|</v>
      </c>
      <c r="J636" s="3" t="str">
        <f t="shared" si="65"/>
        <v>|Asad|</v>
      </c>
      <c r="K636" s="3" t="str">
        <f t="shared" si="66"/>
        <v>Asad</v>
      </c>
      <c r="N636" s="39" t="str">
        <f t="shared" si="67"/>
        <v/>
      </c>
      <c r="P636" s="39" t="str">
        <f t="shared" si="68"/>
        <v/>
      </c>
      <c r="R636" s="39" t="str">
        <f t="shared" si="69"/>
        <v/>
      </c>
      <c r="S636" s="28"/>
      <c r="T636" s="28"/>
      <c r="U636" s="28"/>
    </row>
    <row r="637" spans="1:21" s="5" customFormat="1">
      <c r="A637" s="179" t="s">
        <v>915</v>
      </c>
      <c r="B637" s="185" t="s">
        <v>5437</v>
      </c>
      <c r="C637" s="35" t="str">
        <f t="shared" si="63"/>
        <v>Asadullah</v>
      </c>
      <c r="E637" s="40"/>
      <c r="F637" s="14"/>
      <c r="G637" s="17"/>
      <c r="H637" s="10" t="s">
        <v>8563</v>
      </c>
      <c r="I637" s="4" t="str">
        <f t="shared" si="64"/>
        <v>|Asadu’lláh|</v>
      </c>
      <c r="J637" s="3" t="str">
        <f t="shared" si="65"/>
        <v>|Asadu'llah|</v>
      </c>
      <c r="K637" s="3" t="str">
        <f t="shared" si="66"/>
        <v>Asadullah</v>
      </c>
      <c r="N637" s="39" t="str">
        <f t="shared" si="67"/>
        <v/>
      </c>
      <c r="P637" s="39" t="str">
        <f t="shared" si="68"/>
        <v/>
      </c>
      <c r="R637" s="39" t="str">
        <f t="shared" si="69"/>
        <v/>
      </c>
      <c r="S637" s="28"/>
      <c r="T637" s="28"/>
      <c r="U637" s="28"/>
    </row>
    <row r="638" spans="1:21" s="5" customFormat="1">
      <c r="A638" s="179" t="s">
        <v>916</v>
      </c>
      <c r="B638" s="185" t="s">
        <v>5438</v>
      </c>
      <c r="C638" s="35" t="str">
        <f t="shared" si="63"/>
        <v>AsadullahiIsfahani</v>
      </c>
      <c r="E638" s="40"/>
      <c r="F638" s="15"/>
      <c r="G638" s="17"/>
      <c r="H638" s="10" t="s">
        <v>8563</v>
      </c>
      <c r="I638" s="4" t="str">
        <f t="shared" si="64"/>
        <v>|Asadu’lláh-i-Iṣfahání|</v>
      </c>
      <c r="J638" s="3" t="str">
        <f t="shared" si="65"/>
        <v>|Asadu'llah-i-Isfahani|</v>
      </c>
      <c r="K638" s="3" t="str">
        <f t="shared" si="66"/>
        <v>Asadullah-i-Isfahani</v>
      </c>
      <c r="N638" s="39" t="str">
        <f t="shared" si="67"/>
        <v/>
      </c>
      <c r="P638" s="39" t="str">
        <f t="shared" si="68"/>
        <v/>
      </c>
      <c r="R638" s="39" t="str">
        <f t="shared" si="69"/>
        <v/>
      </c>
      <c r="S638" s="28"/>
      <c r="T638" s="28"/>
      <c r="U638" s="28"/>
    </row>
    <row r="639" spans="1:21" s="5" customFormat="1">
      <c r="A639" s="179" t="s">
        <v>917</v>
      </c>
      <c r="B639" s="185" t="s">
        <v>5439</v>
      </c>
      <c r="C639" s="35" t="str">
        <f t="shared" si="63"/>
        <v>AsadullahiMazindarani</v>
      </c>
      <c r="E639" s="40"/>
      <c r="F639" s="15"/>
      <c r="G639" s="17"/>
      <c r="H639" s="10" t="s">
        <v>8563</v>
      </c>
      <c r="I639" s="4" t="str">
        <f t="shared" si="64"/>
        <v>|Asadu’lláh-i-Mázindarání|</v>
      </c>
      <c r="J639" s="3" t="str">
        <f t="shared" si="65"/>
        <v>|Asadu'llah-i-Mazindarani|</v>
      </c>
      <c r="K639" s="3" t="str">
        <f t="shared" si="66"/>
        <v>Asadullah-i-Mazindarani</v>
      </c>
      <c r="N639" s="39" t="str">
        <f t="shared" si="67"/>
        <v/>
      </c>
      <c r="P639" s="39" t="str">
        <f t="shared" si="68"/>
        <v/>
      </c>
      <c r="R639" s="39" t="str">
        <f t="shared" si="69"/>
        <v/>
      </c>
      <c r="S639" s="28"/>
      <c r="T639" s="28"/>
      <c r="U639" s="28"/>
    </row>
    <row r="640" spans="1:21" s="5" customFormat="1">
      <c r="A640" s="179" t="s">
        <v>918</v>
      </c>
      <c r="B640" s="185" t="s">
        <v>5440</v>
      </c>
      <c r="C640" s="35" t="str">
        <f t="shared" si="63"/>
        <v>AsadullahiSabbagh</v>
      </c>
      <c r="E640" s="40"/>
      <c r="F640" s="15"/>
      <c r="G640" s="17"/>
      <c r="H640" s="10" t="s">
        <v>8563</v>
      </c>
      <c r="I640" s="4" t="str">
        <f t="shared" si="64"/>
        <v>|Asadu’lláh-i-Ṣabbá|</v>
      </c>
      <c r="J640" s="3" t="str">
        <f t="shared" si="65"/>
        <v>|Asadu'llah-i-Sabbagh|</v>
      </c>
      <c r="K640" s="3" t="str">
        <f t="shared" si="66"/>
        <v>Asadullah-i-Sabbagh</v>
      </c>
      <c r="N640" s="39" t="str">
        <f t="shared" si="67"/>
        <v/>
      </c>
      <c r="P640" s="39" t="str">
        <f t="shared" si="68"/>
        <v/>
      </c>
      <c r="R640" s="39" t="str">
        <f t="shared" si="69"/>
        <v/>
      </c>
      <c r="S640" s="28"/>
      <c r="T640" s="28"/>
      <c r="U640" s="28"/>
    </row>
    <row r="641" spans="1:21" s="5" customFormat="1">
      <c r="A641" s="179" t="s">
        <v>919</v>
      </c>
      <c r="B641" s="185" t="s">
        <v>5441</v>
      </c>
      <c r="C641" s="35" t="str">
        <f t="shared" si="63"/>
        <v>Asadullahyi</v>
      </c>
      <c r="E641" s="40"/>
      <c r="F641" s="16"/>
      <c r="G641" s="17"/>
      <c r="H641" s="10" t="s">
        <v>8563</v>
      </c>
      <c r="I641" s="4" t="str">
        <f t="shared" si="64"/>
        <v>|Asadu’lláhy-i|</v>
      </c>
      <c r="J641" s="3" t="str">
        <f t="shared" si="65"/>
        <v>|Asadu'llahy-i|</v>
      </c>
      <c r="K641" s="3" t="str">
        <f t="shared" si="66"/>
        <v>Asadullahy-i</v>
      </c>
      <c r="N641" s="39" t="str">
        <f t="shared" si="67"/>
        <v/>
      </c>
      <c r="P641" s="39" t="str">
        <f t="shared" si="68"/>
        <v/>
      </c>
      <c r="R641" s="39" t="str">
        <f t="shared" si="69"/>
        <v/>
      </c>
      <c r="S641" s="28"/>
      <c r="T641" s="28"/>
      <c r="U641" s="28"/>
    </row>
    <row r="642" spans="1:21" s="5" customFormat="1">
      <c r="A642" s="179" t="s">
        <v>920</v>
      </c>
      <c r="B642" s="185" t="s">
        <v>5442</v>
      </c>
      <c r="C642" s="35" t="str">
        <f t="shared" si="63"/>
        <v>AsadullahZadih</v>
      </c>
      <c r="E642" s="40"/>
      <c r="F642" s="15" t="s">
        <v>921</v>
      </c>
      <c r="G642" s="17"/>
      <c r="H642" s="10" t="s">
        <v>8563</v>
      </c>
      <c r="I642" s="4" t="str">
        <f t="shared" si="64"/>
        <v>|Asadu’lláh-Zádih|</v>
      </c>
      <c r="J642" s="3" t="str">
        <f t="shared" si="65"/>
        <v>|Asadu'llah-Zadih|</v>
      </c>
      <c r="K642" s="3" t="str">
        <f t="shared" si="66"/>
        <v>Asadullah-Zadih</v>
      </c>
      <c r="N642" s="39" t="str">
        <f t="shared" si="67"/>
        <v/>
      </c>
      <c r="P642" s="39" t="str">
        <f t="shared" si="68"/>
        <v/>
      </c>
      <c r="R642" s="39" t="str">
        <f t="shared" si="69"/>
        <v/>
      </c>
      <c r="S642" s="28"/>
      <c r="T642" s="28"/>
      <c r="U642" s="28"/>
    </row>
    <row r="643" spans="1:21" s="5" customFormat="1">
      <c r="A643" s="179" t="s">
        <v>922</v>
      </c>
      <c r="B643" s="185" t="s">
        <v>5443</v>
      </c>
      <c r="C643" s="35" t="str">
        <f t="shared" ref="C643:C706" si="70">SUBSTITUTE(SUBSTITUTE(K643,"-","")," ","")</f>
        <v>Asadyari</v>
      </c>
      <c r="E643" s="40"/>
      <c r="F643" s="15"/>
      <c r="G643" s="17"/>
      <c r="H643" s="10" t="s">
        <v>8563</v>
      </c>
      <c r="I643" s="4" t="str">
        <f t="shared" ref="I643:I706" si="71">CONCATENATE("|",B643,"|")</f>
        <v>|Asadyárí|</v>
      </c>
      <c r="J643" s="3" t="str">
        <f t="shared" ref="J643:J706" si="72">CONCATENATE("|",F_OutputASCII(B643),"|")</f>
        <v>|Asadyari|</v>
      </c>
      <c r="K643" s="3" t="str">
        <f t="shared" ref="K643:K706" si="73">IF(SUBSTITUTE(MID(J643,2,LEN(J643)-2),"'","")&lt;&gt;"",SUBSTITUTE(MID(J643,2,LEN(J643)-2),"'",""),"ZZZZZ")</f>
        <v>Asadyari</v>
      </c>
      <c r="N643" s="39" t="str">
        <f t="shared" ref="N643:N706" si="74">SUBSTITUTE(SUBSTITUTE(SUBSTITUTE(F_OutputASCII(M643),"-","")," ",""),"'","")</f>
        <v/>
      </c>
      <c r="P643" s="39" t="str">
        <f t="shared" ref="P643:P706" si="75">SUBSTITUTE(SUBSTITUTE(SUBSTITUTE(F_OutputASCII(O643),"-","")," ",""),"'","")</f>
        <v/>
      </c>
      <c r="R643" s="39" t="str">
        <f t="shared" si="69"/>
        <v/>
      </c>
      <c r="S643" s="28"/>
      <c r="T643" s="28"/>
      <c r="U643" s="28"/>
    </row>
    <row r="644" spans="1:21" s="5" customFormat="1">
      <c r="A644" s="179" t="s">
        <v>923</v>
      </c>
      <c r="B644" s="185" t="s">
        <v>8918</v>
      </c>
      <c r="C644" s="35" t="str">
        <f t="shared" si="70"/>
        <v>AsafudDawlih</v>
      </c>
      <c r="E644" s="40"/>
      <c r="F644" s="15"/>
      <c r="G644" s="17"/>
      <c r="H644" s="10" t="s">
        <v>8563</v>
      </c>
      <c r="I644" s="4" t="str">
        <f t="shared" si="71"/>
        <v>|Áṣafu’d-Dawlih|</v>
      </c>
      <c r="J644" s="3" t="str">
        <f t="shared" si="72"/>
        <v>|Asafu'd-Dawlih|</v>
      </c>
      <c r="K644" s="3" t="str">
        <f t="shared" si="73"/>
        <v>Asafud-Dawlih</v>
      </c>
      <c r="N644" s="39" t="str">
        <f t="shared" si="74"/>
        <v/>
      </c>
      <c r="P644" s="39" t="str">
        <f t="shared" si="75"/>
        <v/>
      </c>
      <c r="R644" s="39" t="str">
        <f t="shared" ref="R644:R707" si="76">SUBSTITUTE(SUBSTITUTE(Q644,"-","")," ","")</f>
        <v/>
      </c>
      <c r="S644" s="28"/>
      <c r="T644" s="28"/>
      <c r="U644" s="28"/>
    </row>
    <row r="645" spans="1:21" s="5" customFormat="1">
      <c r="A645" s="179" t="s">
        <v>924</v>
      </c>
      <c r="B645" s="185" t="s">
        <v>5444</v>
      </c>
      <c r="C645" s="35" t="str">
        <f t="shared" si="70"/>
        <v>Asbah</v>
      </c>
      <c r="E645" s="40"/>
      <c r="F645" s="15"/>
      <c r="G645" s="17"/>
      <c r="H645" s="10" t="s">
        <v>8563</v>
      </c>
      <c r="I645" s="4" t="str">
        <f t="shared" si="71"/>
        <v>|Aṣbaḥ|</v>
      </c>
      <c r="J645" s="3" t="str">
        <f t="shared" si="72"/>
        <v>|Asbah|</v>
      </c>
      <c r="K645" s="3" t="str">
        <f t="shared" si="73"/>
        <v>Asbah</v>
      </c>
      <c r="N645" s="39" t="str">
        <f t="shared" si="74"/>
        <v/>
      </c>
      <c r="P645" s="39" t="str">
        <f t="shared" si="75"/>
        <v/>
      </c>
      <c r="R645" s="39" t="str">
        <f t="shared" si="76"/>
        <v/>
      </c>
      <c r="S645" s="28"/>
      <c r="T645" s="28"/>
      <c r="U645" s="28"/>
    </row>
    <row r="646" spans="1:21" s="5" customFormat="1">
      <c r="A646" s="179" t="s">
        <v>925</v>
      </c>
      <c r="B646" s="185" t="s">
        <v>5445</v>
      </c>
      <c r="C646" s="35" t="str">
        <f t="shared" si="70"/>
        <v>Asbahi</v>
      </c>
      <c r="E646" s="40"/>
      <c r="F646" s="15"/>
      <c r="G646" s="17"/>
      <c r="H646" s="10" t="s">
        <v>8563</v>
      </c>
      <c r="I646" s="4" t="str">
        <f t="shared" si="71"/>
        <v>|Aṣbaḥí|</v>
      </c>
      <c r="J646" s="3" t="str">
        <f t="shared" si="72"/>
        <v>|Asbahi|</v>
      </c>
      <c r="K646" s="3" t="str">
        <f t="shared" si="73"/>
        <v>Asbahi</v>
      </c>
      <c r="N646" s="39" t="str">
        <f t="shared" si="74"/>
        <v/>
      </c>
      <c r="P646" s="39" t="str">
        <f t="shared" si="75"/>
        <v/>
      </c>
      <c r="R646" s="39" t="str">
        <f t="shared" si="76"/>
        <v/>
      </c>
      <c r="S646" s="28"/>
      <c r="T646" s="28"/>
      <c r="U646" s="28"/>
    </row>
    <row r="647" spans="1:21" s="5" customFormat="1">
      <c r="A647" s="179" t="s">
        <v>926</v>
      </c>
      <c r="B647" s="185" t="s">
        <v>5446</v>
      </c>
      <c r="C647" s="35" t="str">
        <f t="shared" si="70"/>
        <v>Asdaqi</v>
      </c>
      <c r="E647" s="40"/>
      <c r="F647" s="15"/>
      <c r="G647" s="17"/>
      <c r="H647" s="10" t="s">
        <v>8563</v>
      </c>
      <c r="I647" s="4" t="str">
        <f t="shared" si="71"/>
        <v>|Aṣdaqí|</v>
      </c>
      <c r="J647" s="3" t="str">
        <f t="shared" si="72"/>
        <v>|Asdaqi|</v>
      </c>
      <c r="K647" s="3" t="str">
        <f t="shared" si="73"/>
        <v>Asdaqi</v>
      </c>
      <c r="N647" s="39" t="str">
        <f t="shared" si="74"/>
        <v/>
      </c>
      <c r="P647" s="39" t="str">
        <f t="shared" si="75"/>
        <v/>
      </c>
      <c r="R647" s="39" t="str">
        <f t="shared" si="76"/>
        <v/>
      </c>
      <c r="S647" s="28"/>
      <c r="T647" s="28"/>
      <c r="U647" s="28"/>
    </row>
    <row r="648" spans="1:21" s="5" customFormat="1">
      <c r="A648" s="179" t="s">
        <v>927</v>
      </c>
      <c r="B648" s="185" t="s">
        <v>5447</v>
      </c>
      <c r="C648" s="35" t="str">
        <f t="shared" si="70"/>
        <v>Asfar</v>
      </c>
      <c r="E648" s="40"/>
      <c r="F648" s="15"/>
      <c r="G648" s="17"/>
      <c r="H648" s="10" t="s">
        <v>8563</v>
      </c>
      <c r="I648" s="4" t="str">
        <f t="shared" si="71"/>
        <v>|Asfár|</v>
      </c>
      <c r="J648" s="3" t="str">
        <f t="shared" si="72"/>
        <v>|Asfar|</v>
      </c>
      <c r="K648" s="3" t="str">
        <f t="shared" si="73"/>
        <v>Asfar</v>
      </c>
      <c r="N648" s="39" t="str">
        <f t="shared" si="74"/>
        <v/>
      </c>
      <c r="P648" s="39" t="str">
        <f t="shared" si="75"/>
        <v/>
      </c>
      <c r="R648" s="39" t="str">
        <f t="shared" si="76"/>
        <v/>
      </c>
      <c r="S648" s="28"/>
      <c r="T648" s="28"/>
      <c r="U648" s="28"/>
    </row>
    <row r="649" spans="1:21" s="5" customFormat="1">
      <c r="A649" s="179" t="s">
        <v>928</v>
      </c>
      <c r="B649" s="185" t="s">
        <v>5448</v>
      </c>
      <c r="C649" s="35" t="str">
        <f t="shared" si="70"/>
        <v>Asghar</v>
      </c>
      <c r="E649" s="40"/>
      <c r="F649" s="15" t="s">
        <v>929</v>
      </c>
      <c r="G649" s="17"/>
      <c r="H649" s="10" t="s">
        <v>8563</v>
      </c>
      <c r="I649" s="4" t="str">
        <f t="shared" si="71"/>
        <v>|Aṣar|</v>
      </c>
      <c r="J649" s="3" t="str">
        <f t="shared" si="72"/>
        <v>|Asghar|</v>
      </c>
      <c r="K649" s="3" t="str">
        <f t="shared" si="73"/>
        <v>Asghar</v>
      </c>
      <c r="N649" s="39" t="str">
        <f t="shared" si="74"/>
        <v/>
      </c>
      <c r="P649" s="39" t="str">
        <f t="shared" si="75"/>
        <v/>
      </c>
      <c r="R649" s="39" t="str">
        <f t="shared" si="76"/>
        <v/>
      </c>
      <c r="S649" s="28"/>
      <c r="T649" s="28"/>
      <c r="U649" s="28"/>
    </row>
    <row r="650" spans="1:21" s="5" customFormat="1">
      <c r="A650" s="179" t="s">
        <v>930</v>
      </c>
      <c r="B650" s="185" t="s">
        <v>5449</v>
      </c>
      <c r="C650" s="35" t="str">
        <f t="shared" si="70"/>
        <v>Asgharzadih</v>
      </c>
      <c r="E650" s="40"/>
      <c r="F650" s="15"/>
      <c r="G650" s="17"/>
      <c r="H650" s="10" t="s">
        <v>8563</v>
      </c>
      <c r="I650" s="4" t="str">
        <f t="shared" si="71"/>
        <v>|Aṣarzádih|</v>
      </c>
      <c r="J650" s="3" t="str">
        <f t="shared" si="72"/>
        <v>|Asgharzadih|</v>
      </c>
      <c r="K650" s="3" t="str">
        <f t="shared" si="73"/>
        <v>Asgharzadih</v>
      </c>
      <c r="N650" s="39" t="str">
        <f t="shared" si="74"/>
        <v/>
      </c>
      <c r="P650" s="39" t="str">
        <f t="shared" si="75"/>
        <v/>
      </c>
      <c r="R650" s="39" t="str">
        <f t="shared" si="76"/>
        <v/>
      </c>
      <c r="S650" s="28"/>
      <c r="T650" s="28"/>
      <c r="U650" s="28"/>
    </row>
    <row r="651" spans="1:21" s="5" customFormat="1">
      <c r="A651" s="179" t="s">
        <v>932</v>
      </c>
      <c r="B651" s="185" t="s">
        <v>8919</v>
      </c>
      <c r="C651" s="35" t="str">
        <f t="shared" si="70"/>
        <v>Asharah</v>
      </c>
      <c r="E651" s="40"/>
      <c r="F651" s="15"/>
      <c r="G651" s="17"/>
      <c r="H651" s="10" t="s">
        <v>8563</v>
      </c>
      <c r="I651" s="4" t="str">
        <f t="shared" si="71"/>
        <v>|ʿAarah|</v>
      </c>
      <c r="J651" s="3" t="str">
        <f t="shared" si="72"/>
        <v>|'Asharah|</v>
      </c>
      <c r="K651" s="3" t="str">
        <f t="shared" si="73"/>
        <v>Asharah</v>
      </c>
      <c r="N651" s="39" t="str">
        <f t="shared" si="74"/>
        <v/>
      </c>
      <c r="P651" s="39" t="str">
        <f t="shared" si="75"/>
        <v/>
      </c>
      <c r="R651" s="39" t="str">
        <f t="shared" si="76"/>
        <v/>
      </c>
      <c r="S651" s="28"/>
      <c r="T651" s="28"/>
      <c r="U651" s="28"/>
    </row>
    <row r="652" spans="1:21" s="5" customFormat="1">
      <c r="A652" s="179" t="s">
        <v>933</v>
      </c>
      <c r="B652" s="185" t="s">
        <v>5451</v>
      </c>
      <c r="C652" s="35" t="str">
        <f t="shared" si="70"/>
        <v>Ashari</v>
      </c>
      <c r="E652" s="40"/>
      <c r="F652" s="15"/>
      <c r="G652" s="17"/>
      <c r="H652" s="10" t="s">
        <v>8563</v>
      </c>
      <c r="I652" s="4" t="str">
        <f t="shared" si="71"/>
        <v>|Aʿarí|</v>
      </c>
      <c r="J652" s="3" t="str">
        <f t="shared" si="72"/>
        <v>|Ash'ari|</v>
      </c>
      <c r="K652" s="3" t="str">
        <f t="shared" si="73"/>
        <v>Ashari</v>
      </c>
      <c r="N652" s="39" t="str">
        <f t="shared" si="74"/>
        <v/>
      </c>
      <c r="P652" s="39" t="str">
        <f t="shared" si="75"/>
        <v/>
      </c>
      <c r="R652" s="39" t="str">
        <f t="shared" si="76"/>
        <v/>
      </c>
      <c r="S652" s="28"/>
      <c r="T652" s="28"/>
      <c r="U652" s="28"/>
    </row>
    <row r="653" spans="1:21" s="5" customFormat="1">
      <c r="A653" s="179" t="s">
        <v>934</v>
      </c>
      <c r="B653" s="185" t="s">
        <v>5452</v>
      </c>
      <c r="C653" s="35" t="str">
        <f t="shared" si="70"/>
        <v>AshariNaim</v>
      </c>
      <c r="E653" s="40"/>
      <c r="F653" s="15" t="s">
        <v>8568</v>
      </c>
      <c r="G653" s="17"/>
      <c r="H653" s="10" t="s">
        <v>8563</v>
      </c>
      <c r="I653" s="4" t="str">
        <f t="shared" si="71"/>
        <v>|Aʿár-i-Naʿím|</v>
      </c>
      <c r="J653" s="3" t="str">
        <f t="shared" si="72"/>
        <v>|Ash'ar-i-Na'im|</v>
      </c>
      <c r="K653" s="3" t="str">
        <f t="shared" si="73"/>
        <v>Ashar-i-Naim</v>
      </c>
      <c r="N653" s="39" t="str">
        <f t="shared" si="74"/>
        <v/>
      </c>
      <c r="P653" s="39" t="str">
        <f t="shared" si="75"/>
        <v/>
      </c>
      <c r="R653" s="39" t="str">
        <f t="shared" si="76"/>
        <v/>
      </c>
      <c r="S653" s="28"/>
      <c r="T653" s="28"/>
      <c r="U653" s="28"/>
    </row>
    <row r="654" spans="1:21" s="5" customFormat="1">
      <c r="A654" s="179" t="s">
        <v>931</v>
      </c>
      <c r="B654" s="185" t="s">
        <v>5450</v>
      </c>
      <c r="C654" s="35" t="str">
        <f t="shared" si="70"/>
        <v>AshariParakandih</v>
      </c>
      <c r="E654" s="40"/>
      <c r="F654" s="15"/>
      <c r="G654" s="17"/>
      <c r="H654" s="10" t="s">
        <v>8563</v>
      </c>
      <c r="I654" s="4" t="str">
        <f t="shared" si="71"/>
        <v>|Aʿár-i-Parákandih|</v>
      </c>
      <c r="J654" s="3" t="str">
        <f t="shared" si="72"/>
        <v>|Ash'ar-i-Parakandih|</v>
      </c>
      <c r="K654" s="3" t="str">
        <f t="shared" si="73"/>
        <v>Ashar-i-Parakandih</v>
      </c>
      <c r="N654" s="39" t="str">
        <f t="shared" si="74"/>
        <v/>
      </c>
      <c r="P654" s="39" t="str">
        <f t="shared" si="75"/>
        <v/>
      </c>
      <c r="R654" s="39" t="str">
        <f t="shared" si="76"/>
        <v/>
      </c>
      <c r="S654" s="28"/>
      <c r="T654" s="28"/>
      <c r="U654" s="28"/>
    </row>
    <row r="655" spans="1:21" s="5" customFormat="1">
      <c r="A655" s="179" t="s">
        <v>935</v>
      </c>
      <c r="B655" s="185" t="s">
        <v>5453</v>
      </c>
      <c r="C655" s="35" t="str">
        <f t="shared" si="70"/>
        <v>Ashariyyah</v>
      </c>
      <c r="E655" s="40"/>
      <c r="F655" s="15"/>
      <c r="G655" s="17"/>
      <c r="H655" s="10" t="s">
        <v>8563</v>
      </c>
      <c r="I655" s="4" t="str">
        <f t="shared" si="71"/>
        <v>|Aʿaríyyah|</v>
      </c>
      <c r="J655" s="3" t="str">
        <f t="shared" si="72"/>
        <v>|Ash'ariyyah|</v>
      </c>
      <c r="K655" s="3" t="str">
        <f t="shared" si="73"/>
        <v>Ashariyyah</v>
      </c>
      <c r="N655" s="39" t="str">
        <f t="shared" si="74"/>
        <v/>
      </c>
      <c r="P655" s="39" t="str">
        <f t="shared" si="75"/>
        <v/>
      </c>
      <c r="R655" s="39" t="str">
        <f t="shared" si="76"/>
        <v/>
      </c>
      <c r="S655" s="28"/>
      <c r="T655" s="28"/>
      <c r="U655" s="28"/>
    </row>
    <row r="656" spans="1:21" s="5" customFormat="1">
      <c r="A656" s="179" t="s">
        <v>936</v>
      </c>
      <c r="B656" s="185" t="s">
        <v>5454</v>
      </c>
      <c r="C656" s="35" t="str">
        <f t="shared" si="70"/>
        <v>Ashath</v>
      </c>
      <c r="E656" s="40"/>
      <c r="F656" s="15"/>
      <c r="G656" s="17"/>
      <c r="H656" s="10" t="s">
        <v>8563</v>
      </c>
      <c r="I656" s="4" t="str">
        <f t="shared" si="71"/>
        <v>|Aʿa|</v>
      </c>
      <c r="J656" s="3" t="str">
        <f t="shared" si="72"/>
        <v>|Ash'ath|</v>
      </c>
      <c r="K656" s="3" t="str">
        <f t="shared" si="73"/>
        <v>Ashath</v>
      </c>
      <c r="N656" s="39" t="str">
        <f t="shared" si="74"/>
        <v/>
      </c>
      <c r="P656" s="39" t="str">
        <f t="shared" si="75"/>
        <v/>
      </c>
      <c r="R656" s="39" t="str">
        <f t="shared" si="76"/>
        <v/>
      </c>
      <c r="S656" s="28"/>
      <c r="T656" s="28"/>
      <c r="U656" s="28"/>
    </row>
    <row r="657" spans="1:21" s="5" customFormat="1">
      <c r="A657" s="179" t="s">
        <v>940</v>
      </c>
      <c r="B657" s="185" t="s">
        <v>5457</v>
      </c>
      <c r="C657" s="35" t="str">
        <f t="shared" si="70"/>
        <v>Ashayir</v>
      </c>
      <c r="E657" s="40"/>
      <c r="F657" s="15"/>
      <c r="G657" s="17"/>
      <c r="H657" s="10" t="s">
        <v>8563</v>
      </c>
      <c r="I657" s="4" t="str">
        <f t="shared" si="71"/>
        <v>|ʿAáyir|</v>
      </c>
      <c r="J657" s="3" t="str">
        <f t="shared" si="72"/>
        <v>|'Ashayir|</v>
      </c>
      <c r="K657" s="3" t="str">
        <f t="shared" si="73"/>
        <v>Ashayir</v>
      </c>
      <c r="N657" s="39" t="str">
        <f t="shared" si="74"/>
        <v/>
      </c>
      <c r="P657" s="39" t="str">
        <f t="shared" si="75"/>
        <v/>
      </c>
      <c r="R657" s="39" t="str">
        <f t="shared" si="76"/>
        <v/>
      </c>
      <c r="S657" s="28"/>
      <c r="T657" s="28"/>
      <c r="U657" s="28"/>
    </row>
    <row r="658" spans="1:21" s="5" customFormat="1">
      <c r="A658" s="179" t="s">
        <v>937</v>
      </c>
      <c r="B658" s="185" t="s">
        <v>8920</v>
      </c>
      <c r="C658" s="35" t="str">
        <f t="shared" si="70"/>
        <v>AshhaduanlailahaIllallah</v>
      </c>
      <c r="E658" s="40"/>
      <c r="F658" s="14"/>
      <c r="G658" s="17"/>
      <c r="H658" s="10" t="s">
        <v>8563</v>
      </c>
      <c r="I658" s="4" t="str">
        <f t="shared" si="71"/>
        <v>|Ahad-u-an-lá-iláh-a-Illa’lláh|</v>
      </c>
      <c r="J658" s="3" t="str">
        <f t="shared" si="72"/>
        <v>|Ashhad-u-an-la-ilah-a-Illa'llah|</v>
      </c>
      <c r="K658" s="3" t="str">
        <f t="shared" si="73"/>
        <v>Ashhad-u-an-la-ilah-a-Illallah</v>
      </c>
      <c r="N658" s="39" t="str">
        <f t="shared" si="74"/>
        <v/>
      </c>
      <c r="P658" s="39" t="str">
        <f t="shared" si="75"/>
        <v/>
      </c>
      <c r="R658" s="39" t="str">
        <f t="shared" si="76"/>
        <v/>
      </c>
      <c r="S658" s="28"/>
      <c r="T658" s="28"/>
      <c r="U658" s="28"/>
    </row>
    <row r="659" spans="1:21" s="5" customFormat="1">
      <c r="A659" s="182" t="s">
        <v>938</v>
      </c>
      <c r="B659" s="185" t="s">
        <v>5455</v>
      </c>
      <c r="C659" s="35" t="str">
        <f t="shared" si="70"/>
        <v>AshhaduinnaMuhammadanRasulullah</v>
      </c>
      <c r="E659" s="40"/>
      <c r="F659" s="14"/>
      <c r="G659" s="17"/>
      <c r="H659" s="10" t="s">
        <v>8563</v>
      </c>
      <c r="I659" s="4" t="str">
        <f t="shared" si="71"/>
        <v>|Ahad-u-inna-Muḥammadan-Rasúlu’lláh|</v>
      </c>
      <c r="J659" s="3" t="str">
        <f t="shared" si="72"/>
        <v>|Ashhad-u-inna-Muhammadan-Rasulu'llah|</v>
      </c>
      <c r="K659" s="3" t="str">
        <f t="shared" si="73"/>
        <v>Ashhad-u-inna-Muhammadan-Rasulullah</v>
      </c>
      <c r="N659" s="39" t="str">
        <f t="shared" si="74"/>
        <v/>
      </c>
      <c r="P659" s="39" t="str">
        <f t="shared" si="75"/>
        <v/>
      </c>
      <c r="R659" s="39" t="str">
        <f t="shared" si="76"/>
        <v/>
      </c>
      <c r="S659" s="28"/>
      <c r="T659" s="28"/>
      <c r="U659" s="28"/>
    </row>
    <row r="660" spans="1:21" s="5" customFormat="1">
      <c r="A660" s="179" t="s">
        <v>939</v>
      </c>
      <c r="B660" s="185" t="s">
        <v>5456</v>
      </c>
      <c r="C660" s="35" t="str">
        <f t="shared" si="70"/>
        <v>AshiKashk</v>
      </c>
      <c r="E660" s="40"/>
      <c r="F660" s="14"/>
      <c r="G660" s="17"/>
      <c r="H660" s="10" t="s">
        <v>8563</v>
      </c>
      <c r="I660" s="4" t="str">
        <f t="shared" si="71"/>
        <v>|Á-i-Kak|</v>
      </c>
      <c r="J660" s="3" t="str">
        <f t="shared" si="72"/>
        <v>|Ash-i-Kashk|</v>
      </c>
      <c r="K660" s="3" t="str">
        <f t="shared" si="73"/>
        <v>Ash-i-Kashk</v>
      </c>
      <c r="N660" s="39" t="str">
        <f t="shared" si="74"/>
        <v/>
      </c>
      <c r="P660" s="39" t="str">
        <f t="shared" si="75"/>
        <v/>
      </c>
      <c r="R660" s="39" t="str">
        <f t="shared" si="76"/>
        <v/>
      </c>
      <c r="S660" s="28"/>
      <c r="T660" s="28"/>
      <c r="U660" s="28"/>
    </row>
    <row r="661" spans="1:21" s="5" customFormat="1">
      <c r="A661" s="179" t="s">
        <v>941</v>
      </c>
      <c r="B661" s="185" t="s">
        <v>5458</v>
      </c>
      <c r="C661" s="35" t="str">
        <f t="shared" si="70"/>
        <v>Ashjari</v>
      </c>
      <c r="E661" s="40"/>
      <c r="F661" s="15"/>
      <c r="G661" s="17"/>
      <c r="H661" s="10" t="s">
        <v>8563</v>
      </c>
      <c r="I661" s="4" t="str">
        <f t="shared" si="71"/>
        <v>|Ajárí|</v>
      </c>
      <c r="J661" s="3" t="str">
        <f t="shared" si="72"/>
        <v>|Ashjari|</v>
      </c>
      <c r="K661" s="3" t="str">
        <f t="shared" si="73"/>
        <v>Ashjari</v>
      </c>
      <c r="N661" s="39" t="str">
        <f t="shared" si="74"/>
        <v/>
      </c>
      <c r="P661" s="39" t="str">
        <f t="shared" si="75"/>
        <v/>
      </c>
      <c r="R661" s="39" t="str">
        <f t="shared" si="76"/>
        <v/>
      </c>
      <c r="S661" s="28"/>
      <c r="T661" s="28"/>
      <c r="U661" s="28"/>
    </row>
    <row r="662" spans="1:21" s="5" customFormat="1">
      <c r="A662" s="179" t="s">
        <v>942</v>
      </c>
      <c r="B662" s="185" t="s">
        <v>5459</v>
      </c>
      <c r="C662" s="35" t="str">
        <f t="shared" si="70"/>
        <v>Ashraf</v>
      </c>
      <c r="E662" s="40"/>
      <c r="F662" s="14"/>
      <c r="G662" s="17"/>
      <c r="H662" s="10" t="s">
        <v>8563</v>
      </c>
      <c r="I662" s="4" t="str">
        <f t="shared" si="71"/>
        <v>|Araf|</v>
      </c>
      <c r="J662" s="3" t="str">
        <f t="shared" si="72"/>
        <v>|Ashraf|</v>
      </c>
      <c r="K662" s="3" t="str">
        <f t="shared" si="73"/>
        <v>Ashraf</v>
      </c>
      <c r="N662" s="39" t="str">
        <f t="shared" si="74"/>
        <v/>
      </c>
      <c r="P662" s="39" t="str">
        <f t="shared" si="75"/>
        <v/>
      </c>
      <c r="R662" s="39" t="str">
        <f t="shared" si="76"/>
        <v/>
      </c>
      <c r="S662" s="28"/>
      <c r="T662" s="28"/>
      <c r="U662" s="28"/>
    </row>
    <row r="663" spans="1:21" s="5" customFormat="1">
      <c r="A663" s="179" t="s">
        <v>943</v>
      </c>
      <c r="B663" s="185" t="s">
        <v>5460</v>
      </c>
      <c r="C663" s="35" t="str">
        <f t="shared" si="70"/>
        <v>AshrafiZanjani</v>
      </c>
      <c r="E663" s="40"/>
      <c r="F663" s="14"/>
      <c r="G663" s="17"/>
      <c r="H663" s="10" t="s">
        <v>8563</v>
      </c>
      <c r="I663" s="4" t="str">
        <f t="shared" si="71"/>
        <v>|Araf-i-Zanjání|</v>
      </c>
      <c r="J663" s="3" t="str">
        <f t="shared" si="72"/>
        <v>|Ashraf-i-Zanjani|</v>
      </c>
      <c r="K663" s="3" t="str">
        <f t="shared" si="73"/>
        <v>Ashraf-i-Zanjani</v>
      </c>
      <c r="N663" s="39" t="str">
        <f t="shared" si="74"/>
        <v/>
      </c>
      <c r="P663" s="39" t="str">
        <f t="shared" si="75"/>
        <v/>
      </c>
      <c r="R663" s="39" t="str">
        <f t="shared" si="76"/>
        <v/>
      </c>
      <c r="S663" s="28"/>
      <c r="T663" s="28"/>
      <c r="U663" s="28"/>
    </row>
    <row r="664" spans="1:21" s="5" customFormat="1">
      <c r="A664" s="179" t="s">
        <v>944</v>
      </c>
      <c r="B664" s="185" t="s">
        <v>5461</v>
      </c>
      <c r="C664" s="35" t="str">
        <f t="shared" si="70"/>
        <v>ashShahristani</v>
      </c>
      <c r="E664" s="40"/>
      <c r="F664" s="15"/>
      <c r="G664" s="17"/>
      <c r="H664" s="10" t="s">
        <v>8563</v>
      </c>
      <c r="I664" s="4" t="str">
        <f t="shared" si="71"/>
        <v>|a-ahristání|</v>
      </c>
      <c r="J664" s="3" t="str">
        <f t="shared" si="72"/>
        <v>|ash-Shahristani|</v>
      </c>
      <c r="K664" s="3" t="str">
        <f t="shared" si="73"/>
        <v>ash-Shahristani</v>
      </c>
      <c r="N664" s="39" t="str">
        <f t="shared" si="74"/>
        <v/>
      </c>
      <c r="P664" s="39" t="str">
        <f t="shared" si="75"/>
        <v/>
      </c>
      <c r="R664" s="39" t="str">
        <f t="shared" si="76"/>
        <v/>
      </c>
      <c r="S664" s="28"/>
      <c r="T664" s="28"/>
      <c r="U664" s="28"/>
    </row>
    <row r="665" spans="1:21" s="5" customFormat="1">
      <c r="A665" s="179" t="s">
        <v>945</v>
      </c>
      <c r="B665" s="185" t="s">
        <v>8921</v>
      </c>
      <c r="C665" s="35" t="str">
        <f t="shared" si="70"/>
        <v>ashShii</v>
      </c>
      <c r="E665" s="40"/>
      <c r="F665" s="15"/>
      <c r="G665" s="17"/>
      <c r="H665" s="10" t="s">
        <v>8563</v>
      </c>
      <c r="I665" s="4" t="str">
        <f t="shared" si="71"/>
        <v>|a-í’í|</v>
      </c>
      <c r="J665" s="3" t="str">
        <f t="shared" si="72"/>
        <v>|ash-Shi'i|</v>
      </c>
      <c r="K665" s="3" t="str">
        <f t="shared" si="73"/>
        <v>ash-Shii</v>
      </c>
      <c r="N665" s="39" t="str">
        <f t="shared" si="74"/>
        <v/>
      </c>
      <c r="P665" s="39" t="str">
        <f t="shared" si="75"/>
        <v/>
      </c>
      <c r="R665" s="39" t="str">
        <f t="shared" si="76"/>
        <v/>
      </c>
      <c r="S665" s="28"/>
      <c r="T665" s="28"/>
      <c r="U665" s="28"/>
    </row>
    <row r="666" spans="1:21" s="5" customFormat="1">
      <c r="A666" s="179" t="s">
        <v>946</v>
      </c>
      <c r="B666" s="185" t="s">
        <v>8922</v>
      </c>
      <c r="C666" s="35" t="str">
        <f t="shared" si="70"/>
        <v>Ashura</v>
      </c>
      <c r="E666" s="40"/>
      <c r="F666" s="15"/>
      <c r="G666" s="17"/>
      <c r="H666" s="10" t="s">
        <v>8563</v>
      </c>
      <c r="I666" s="4" t="str">
        <f t="shared" si="71"/>
        <v>|ʿÁúra|</v>
      </c>
      <c r="J666" s="3" t="str">
        <f t="shared" si="72"/>
        <v>|'Ashura|</v>
      </c>
      <c r="K666" s="3" t="str">
        <f t="shared" si="73"/>
        <v>Ashura</v>
      </c>
      <c r="N666" s="39" t="str">
        <f t="shared" si="74"/>
        <v/>
      </c>
      <c r="P666" s="39" t="str">
        <f t="shared" si="75"/>
        <v/>
      </c>
      <c r="R666" s="39" t="str">
        <f t="shared" si="76"/>
        <v/>
      </c>
      <c r="S666" s="28"/>
      <c r="T666" s="28"/>
      <c r="U666" s="28"/>
    </row>
    <row r="667" spans="1:21" s="5" customFormat="1">
      <c r="A667" s="179" t="s">
        <v>947</v>
      </c>
      <c r="B667" s="185" t="s">
        <v>5462</v>
      </c>
      <c r="C667" s="35" t="str">
        <f t="shared" si="70"/>
        <v>AsifudDawlih</v>
      </c>
      <c r="E667" s="40"/>
      <c r="F667" s="15"/>
      <c r="G667" s="17"/>
      <c r="H667" s="10" t="s">
        <v>8563</v>
      </c>
      <c r="I667" s="4" t="str">
        <f t="shared" si="71"/>
        <v>|Áṣifu’d-Dawlih|</v>
      </c>
      <c r="J667" s="3" t="str">
        <f t="shared" si="72"/>
        <v>|Asifu'd-Dawlih|</v>
      </c>
      <c r="K667" s="3" t="str">
        <f t="shared" si="73"/>
        <v>Asifud-Dawlih</v>
      </c>
      <c r="N667" s="39" t="str">
        <f t="shared" si="74"/>
        <v/>
      </c>
      <c r="P667" s="39" t="str">
        <f t="shared" si="75"/>
        <v/>
      </c>
      <c r="R667" s="39" t="str">
        <f t="shared" si="76"/>
        <v/>
      </c>
      <c r="S667" s="28"/>
      <c r="T667" s="28"/>
      <c r="U667" s="28"/>
    </row>
    <row r="668" spans="1:21" s="5" customFormat="1">
      <c r="A668" s="179" t="s">
        <v>948</v>
      </c>
      <c r="B668" s="185" t="s">
        <v>5463</v>
      </c>
      <c r="C668" s="35" t="str">
        <f t="shared" si="70"/>
        <v>Asiman</v>
      </c>
      <c r="E668" s="40"/>
      <c r="F668" s="15"/>
      <c r="G668" s="17"/>
      <c r="H668" s="10" t="s">
        <v>8563</v>
      </c>
      <c r="I668" s="4" t="str">
        <f t="shared" si="71"/>
        <v>|Ásimán|</v>
      </c>
      <c r="J668" s="3" t="str">
        <f t="shared" si="72"/>
        <v>|Asiman|</v>
      </c>
      <c r="K668" s="3" t="str">
        <f t="shared" si="73"/>
        <v>Asiman</v>
      </c>
      <c r="N668" s="39" t="str">
        <f t="shared" si="74"/>
        <v/>
      </c>
      <c r="P668" s="39" t="str">
        <f t="shared" si="75"/>
        <v/>
      </c>
      <c r="R668" s="39" t="str">
        <f t="shared" si="76"/>
        <v/>
      </c>
      <c r="S668" s="28"/>
      <c r="T668" s="28"/>
      <c r="U668" s="28"/>
    </row>
    <row r="669" spans="1:21" s="5" customFormat="1">
      <c r="A669" s="179" t="s">
        <v>958</v>
      </c>
      <c r="B669" s="185" t="s">
        <v>5470</v>
      </c>
      <c r="C669" s="35" t="str">
        <f t="shared" si="70"/>
        <v>Asimani</v>
      </c>
      <c r="E669" s="40"/>
      <c r="F669" s="15"/>
      <c r="G669" s="17"/>
      <c r="H669" s="10" t="s">
        <v>8563</v>
      </c>
      <c r="I669" s="4" t="str">
        <f t="shared" si="71"/>
        <v>|Asimání|</v>
      </c>
      <c r="J669" s="3" t="str">
        <f t="shared" si="72"/>
        <v>|Asimani|</v>
      </c>
      <c r="K669" s="3" t="str">
        <f t="shared" si="73"/>
        <v>Asimani</v>
      </c>
      <c r="N669" s="39" t="str">
        <f t="shared" si="74"/>
        <v/>
      </c>
      <c r="P669" s="39" t="str">
        <f t="shared" si="75"/>
        <v/>
      </c>
      <c r="R669" s="39" t="str">
        <f t="shared" si="76"/>
        <v/>
      </c>
      <c r="S669" s="28"/>
      <c r="T669" s="28"/>
      <c r="U669" s="28"/>
    </row>
    <row r="670" spans="1:21" s="5" customFormat="1">
      <c r="A670" s="179" t="s">
        <v>949</v>
      </c>
      <c r="B670" s="185" t="s">
        <v>5464</v>
      </c>
      <c r="C670" s="35" t="str">
        <f t="shared" si="70"/>
        <v>Asiya</v>
      </c>
      <c r="E670" s="40"/>
      <c r="F670" s="15"/>
      <c r="G670" s="17"/>
      <c r="H670" s="10" t="s">
        <v>8563</v>
      </c>
      <c r="I670" s="4" t="str">
        <f t="shared" si="71"/>
        <v>|Ásíya|</v>
      </c>
      <c r="J670" s="3" t="str">
        <f t="shared" si="72"/>
        <v>|Asiya|</v>
      </c>
      <c r="K670" s="3" t="str">
        <f t="shared" si="73"/>
        <v>Asiya</v>
      </c>
      <c r="N670" s="39" t="str">
        <f t="shared" si="74"/>
        <v/>
      </c>
      <c r="P670" s="39" t="str">
        <f t="shared" si="75"/>
        <v/>
      </c>
      <c r="R670" s="39" t="str">
        <f t="shared" si="76"/>
        <v/>
      </c>
      <c r="S670" s="28"/>
      <c r="T670" s="28"/>
      <c r="U670" s="28"/>
    </row>
    <row r="671" spans="1:21" s="5" customFormat="1">
      <c r="A671" s="179" t="s">
        <v>950</v>
      </c>
      <c r="B671" s="185" t="s">
        <v>8923</v>
      </c>
      <c r="C671" s="35" t="str">
        <f t="shared" si="70"/>
        <v>Asiyaʼi</v>
      </c>
      <c r="E671" s="40"/>
      <c r="F671" s="15"/>
      <c r="G671" s="17"/>
      <c r="H671" s="10" t="s">
        <v>8563</v>
      </c>
      <c r="I671" s="4" t="str">
        <f t="shared" si="71"/>
        <v>|Ásíyáʼí|</v>
      </c>
      <c r="J671" s="3" t="str">
        <f t="shared" si="72"/>
        <v>|Asiyaʼi|</v>
      </c>
      <c r="K671" s="3" t="str">
        <f t="shared" si="73"/>
        <v>Asiyaʼi</v>
      </c>
      <c r="N671" s="39" t="str">
        <f t="shared" si="74"/>
        <v/>
      </c>
      <c r="P671" s="39" t="str">
        <f t="shared" si="75"/>
        <v/>
      </c>
      <c r="R671" s="39" t="str">
        <f t="shared" si="76"/>
        <v/>
      </c>
      <c r="S671" s="28"/>
      <c r="T671" s="28"/>
      <c r="U671" s="28"/>
    </row>
    <row r="672" spans="1:21" s="5" customFormat="1">
      <c r="A672" s="179" t="s">
        <v>951</v>
      </c>
      <c r="B672" s="185" t="s">
        <v>5465</v>
      </c>
      <c r="C672" s="35" t="str">
        <f t="shared" si="70"/>
        <v>Asiyih</v>
      </c>
      <c r="E672" s="40"/>
      <c r="F672" s="14"/>
      <c r="G672" s="17"/>
      <c r="H672" s="10" t="s">
        <v>8563</v>
      </c>
      <c r="I672" s="4" t="str">
        <f t="shared" si="71"/>
        <v>|Ásíyih|</v>
      </c>
      <c r="J672" s="3" t="str">
        <f t="shared" si="72"/>
        <v>|Asiyih|</v>
      </c>
      <c r="K672" s="3" t="str">
        <f t="shared" si="73"/>
        <v>Asiyih</v>
      </c>
      <c r="N672" s="39" t="str">
        <f t="shared" si="74"/>
        <v/>
      </c>
      <c r="P672" s="39" t="str">
        <f t="shared" si="75"/>
        <v/>
      </c>
      <c r="R672" s="39" t="str">
        <f t="shared" si="76"/>
        <v/>
      </c>
      <c r="S672" s="28"/>
      <c r="T672" s="28"/>
      <c r="U672" s="28"/>
    </row>
    <row r="673" spans="1:21" s="5" customFormat="1">
      <c r="A673" s="179" t="s">
        <v>952</v>
      </c>
      <c r="B673" s="185" t="s">
        <v>5466</v>
      </c>
      <c r="C673" s="35" t="str">
        <f t="shared" si="70"/>
        <v>Askar</v>
      </c>
      <c r="E673" s="40"/>
      <c r="F673" s="15" t="s">
        <v>953</v>
      </c>
      <c r="G673" s="17"/>
      <c r="H673" s="10" t="s">
        <v>8563</v>
      </c>
      <c r="I673" s="4" t="str">
        <f t="shared" si="71"/>
        <v>|ʿAskar|</v>
      </c>
      <c r="J673" s="3" t="str">
        <f t="shared" si="72"/>
        <v>|'Askar|</v>
      </c>
      <c r="K673" s="3" t="str">
        <f t="shared" si="73"/>
        <v>Askar</v>
      </c>
      <c r="N673" s="39" t="str">
        <f t="shared" si="74"/>
        <v/>
      </c>
      <c r="P673" s="39" t="str">
        <f t="shared" si="75"/>
        <v/>
      </c>
      <c r="R673" s="39" t="str">
        <f t="shared" si="76"/>
        <v/>
      </c>
      <c r="S673" s="28"/>
      <c r="T673" s="28"/>
      <c r="U673" s="28"/>
    </row>
    <row r="674" spans="1:21" s="5" customFormat="1">
      <c r="A674" s="179" t="s">
        <v>954</v>
      </c>
      <c r="B674" s="185" t="s">
        <v>5467</v>
      </c>
      <c r="C674" s="35" t="str">
        <f t="shared" si="70"/>
        <v>Askari</v>
      </c>
      <c r="E674" s="40"/>
      <c r="F674" s="15"/>
      <c r="G674" s="17"/>
      <c r="H674" s="10" t="s">
        <v>8563</v>
      </c>
      <c r="I674" s="4" t="str">
        <f t="shared" si="71"/>
        <v>|ʿAskarí|</v>
      </c>
      <c r="J674" s="3" t="str">
        <f t="shared" si="72"/>
        <v>|'Askari|</v>
      </c>
      <c r="K674" s="3" t="str">
        <f t="shared" si="73"/>
        <v>Askari</v>
      </c>
      <c r="N674" s="39" t="str">
        <f t="shared" si="74"/>
        <v/>
      </c>
      <c r="P674" s="39" t="str">
        <f t="shared" si="75"/>
        <v/>
      </c>
      <c r="R674" s="39" t="str">
        <f t="shared" si="76"/>
        <v/>
      </c>
      <c r="S674" s="28"/>
      <c r="T674" s="28"/>
      <c r="U674" s="28"/>
    </row>
    <row r="675" spans="1:21" s="5" customFormat="1">
      <c r="A675" s="179" t="s">
        <v>955</v>
      </c>
      <c r="B675" s="185" t="s">
        <v>5468</v>
      </c>
      <c r="C675" s="35" t="str">
        <f t="shared" si="70"/>
        <v>AsliKullulKhayr</v>
      </c>
      <c r="E675" s="40"/>
      <c r="F675" s="15" t="s">
        <v>956</v>
      </c>
      <c r="G675" s="17"/>
      <c r="H675" s="10" t="s">
        <v>8563</v>
      </c>
      <c r="I675" s="4" t="str">
        <f t="shared" si="71"/>
        <v>|Aṣl-i-Kullu’l-ayr|</v>
      </c>
      <c r="J675" s="3" t="str">
        <f t="shared" si="72"/>
        <v>|Asl-i-Kullu'l-Khayr|</v>
      </c>
      <c r="K675" s="3" t="str">
        <f t="shared" si="73"/>
        <v>Asl-i-Kullul-Khayr</v>
      </c>
      <c r="N675" s="39" t="str">
        <f t="shared" si="74"/>
        <v/>
      </c>
      <c r="P675" s="39" t="str">
        <f t="shared" si="75"/>
        <v/>
      </c>
      <c r="R675" s="39" t="str">
        <f t="shared" si="76"/>
        <v/>
      </c>
      <c r="S675" s="28"/>
      <c r="T675" s="29">
        <v>41801</v>
      </c>
      <c r="U675" s="28" t="s">
        <v>9416</v>
      </c>
    </row>
    <row r="676" spans="1:21" s="5" customFormat="1">
      <c r="A676" s="179" t="s">
        <v>957</v>
      </c>
      <c r="B676" s="185" t="s">
        <v>5469</v>
      </c>
      <c r="C676" s="35" t="str">
        <f t="shared" si="70"/>
        <v>Asma</v>
      </c>
      <c r="E676" s="40"/>
      <c r="F676" s="14"/>
      <c r="G676" s="17"/>
      <c r="H676" s="10" t="s">
        <v>8563</v>
      </c>
      <c r="I676" s="4" t="str">
        <f t="shared" si="71"/>
        <v>|Asmá’|</v>
      </c>
      <c r="J676" s="3" t="str">
        <f t="shared" si="72"/>
        <v>|Asma'|</v>
      </c>
      <c r="K676" s="3" t="str">
        <f t="shared" si="73"/>
        <v>Asma</v>
      </c>
      <c r="N676" s="39" t="str">
        <f t="shared" si="74"/>
        <v/>
      </c>
      <c r="P676" s="39" t="str">
        <f t="shared" si="75"/>
        <v/>
      </c>
      <c r="R676" s="39" t="str">
        <f t="shared" si="76"/>
        <v/>
      </c>
      <c r="S676" s="28"/>
      <c r="T676" s="28"/>
      <c r="U676" s="28"/>
    </row>
    <row r="677" spans="1:21" s="5" customFormat="1">
      <c r="A677" s="179" t="s">
        <v>960</v>
      </c>
      <c r="B677" s="185" t="s">
        <v>8924</v>
      </c>
      <c r="C677" s="35" t="str">
        <f t="shared" si="70"/>
        <v>Asr</v>
      </c>
      <c r="E677" s="40"/>
      <c r="F677" s="15"/>
      <c r="G677" s="17"/>
      <c r="H677" s="10" t="s">
        <v>8563</v>
      </c>
      <c r="I677" s="4" t="str">
        <f t="shared" si="71"/>
        <v>|ʿAṣr|</v>
      </c>
      <c r="J677" s="3" t="str">
        <f t="shared" si="72"/>
        <v>|'Asr|</v>
      </c>
      <c r="K677" s="3" t="str">
        <f t="shared" si="73"/>
        <v>Asr</v>
      </c>
      <c r="N677" s="39" t="str">
        <f t="shared" si="74"/>
        <v/>
      </c>
      <c r="P677" s="39" t="str">
        <f t="shared" si="75"/>
        <v/>
      </c>
      <c r="R677" s="39" t="str">
        <f t="shared" si="76"/>
        <v/>
      </c>
      <c r="S677" s="28"/>
      <c r="T677" s="28"/>
      <c r="U677" s="28"/>
    </row>
    <row r="678" spans="1:21" s="5" customFormat="1">
      <c r="A678" s="179" t="s">
        <v>959</v>
      </c>
      <c r="B678" s="185" t="s">
        <v>5471</v>
      </c>
      <c r="C678" s="35" t="str">
        <f t="shared" si="70"/>
        <v>AsrariShihadatiImam</v>
      </c>
      <c r="E678" s="40"/>
      <c r="F678" s="15"/>
      <c r="G678" s="17"/>
      <c r="H678" s="10" t="s">
        <v>8563</v>
      </c>
      <c r="I678" s="4" t="str">
        <f t="shared" si="71"/>
        <v>|Asrár-i-ihádat-i-Imám|</v>
      </c>
      <c r="J678" s="3" t="str">
        <f t="shared" si="72"/>
        <v>|Asrar-i-Shihadat-i-Imam|</v>
      </c>
      <c r="K678" s="3" t="str">
        <f t="shared" si="73"/>
        <v>Asrar-i-Shihadat-i-Imam</v>
      </c>
      <c r="N678" s="39" t="str">
        <f t="shared" si="74"/>
        <v/>
      </c>
      <c r="P678" s="39" t="str">
        <f t="shared" si="75"/>
        <v/>
      </c>
      <c r="R678" s="39" t="str">
        <f t="shared" si="76"/>
        <v/>
      </c>
      <c r="S678" s="28"/>
      <c r="T678" s="28"/>
      <c r="U678" s="28"/>
    </row>
    <row r="679" spans="1:21" s="5" customFormat="1">
      <c r="A679" s="181"/>
      <c r="B679" s="185" t="s">
        <v>8821</v>
      </c>
      <c r="C679" s="35" t="str">
        <f t="shared" si="70"/>
        <v>AsrariShihadatiImamHusayn</v>
      </c>
      <c r="D679" s="1"/>
      <c r="E679" s="40"/>
      <c r="F679" s="12"/>
      <c r="G679" s="9"/>
      <c r="H679" s="12" t="s">
        <v>8622</v>
      </c>
      <c r="I679" s="4" t="str">
        <f t="shared" si="71"/>
        <v>|Asrár-i-ihádat-i-Imám Ḥusayn|</v>
      </c>
      <c r="J679" s="3" t="str">
        <f t="shared" si="72"/>
        <v>|Asrar-i-Shihadat-i-Imam Husayn|</v>
      </c>
      <c r="K679" s="3" t="str">
        <f t="shared" si="73"/>
        <v>Asrar-i-Shihadat-i-Imam Husayn</v>
      </c>
      <c r="N679" s="39" t="str">
        <f t="shared" si="74"/>
        <v/>
      </c>
      <c r="P679" s="39" t="str">
        <f t="shared" si="75"/>
        <v/>
      </c>
      <c r="R679" s="39" t="str">
        <f t="shared" si="76"/>
        <v/>
      </c>
      <c r="S679" s="29">
        <v>41760</v>
      </c>
      <c r="T679" s="28"/>
      <c r="U679" s="28"/>
    </row>
    <row r="680" spans="1:21" s="5" customFormat="1">
      <c r="A680" s="179" t="s">
        <v>961</v>
      </c>
      <c r="B680" s="185" t="s">
        <v>5472</v>
      </c>
      <c r="C680" s="35" t="str">
        <f t="shared" si="70"/>
        <v>asSabbah</v>
      </c>
      <c r="E680" s="40"/>
      <c r="F680" s="15"/>
      <c r="G680" s="17"/>
      <c r="H680" s="10" t="s">
        <v>8563</v>
      </c>
      <c r="I680" s="4" t="str">
        <f t="shared" si="71"/>
        <v>|aṣ-Ṣabbáḥ|</v>
      </c>
      <c r="J680" s="3" t="str">
        <f t="shared" si="72"/>
        <v>|as-Sabbah|</v>
      </c>
      <c r="K680" s="3" t="str">
        <f t="shared" si="73"/>
        <v>as-Sabbah</v>
      </c>
      <c r="N680" s="39" t="str">
        <f t="shared" si="74"/>
        <v/>
      </c>
      <c r="P680" s="39" t="str">
        <f t="shared" si="75"/>
        <v/>
      </c>
      <c r="R680" s="39" t="str">
        <f t="shared" si="76"/>
        <v/>
      </c>
      <c r="S680" s="28"/>
      <c r="T680" s="28"/>
      <c r="U680" s="28"/>
    </row>
    <row r="681" spans="1:21" s="5" customFormat="1">
      <c r="A681" s="179" t="s">
        <v>963</v>
      </c>
      <c r="B681" s="185" t="s">
        <v>5474</v>
      </c>
      <c r="C681" s="35" t="str">
        <f t="shared" si="70"/>
        <v>asSadiq</v>
      </c>
      <c r="E681" s="40"/>
      <c r="F681" s="15"/>
      <c r="G681" s="17"/>
      <c r="H681" s="10" t="s">
        <v>8563</v>
      </c>
      <c r="I681" s="4" t="str">
        <f t="shared" si="71"/>
        <v>|aṣ-Ṣádiq|</v>
      </c>
      <c r="J681" s="3" t="str">
        <f t="shared" si="72"/>
        <v>|as-Sadiq|</v>
      </c>
      <c r="K681" s="3" t="str">
        <f t="shared" si="73"/>
        <v>as-Sadiq</v>
      </c>
      <c r="N681" s="39" t="str">
        <f t="shared" si="74"/>
        <v/>
      </c>
      <c r="P681" s="39" t="str">
        <f t="shared" si="75"/>
        <v/>
      </c>
      <c r="R681" s="39" t="str">
        <f t="shared" si="76"/>
        <v/>
      </c>
      <c r="S681" s="28"/>
      <c r="T681" s="28"/>
      <c r="U681" s="28"/>
    </row>
    <row r="682" spans="1:21" s="5" customFormat="1">
      <c r="A682" s="179" t="s">
        <v>964</v>
      </c>
      <c r="B682" s="185" t="s">
        <v>5475</v>
      </c>
      <c r="C682" s="35" t="str">
        <f t="shared" si="70"/>
        <v>asSaghir</v>
      </c>
      <c r="E682" s="40"/>
      <c r="F682" s="15"/>
      <c r="G682" s="17"/>
      <c r="H682" s="10" t="s">
        <v>8563</v>
      </c>
      <c r="I682" s="4" t="str">
        <f t="shared" si="71"/>
        <v>|aṣ-Ṣaír|</v>
      </c>
      <c r="J682" s="3" t="str">
        <f t="shared" si="72"/>
        <v>|as-Saghir|</v>
      </c>
      <c r="K682" s="3" t="str">
        <f t="shared" si="73"/>
        <v>as-Saghir</v>
      </c>
      <c r="N682" s="39" t="str">
        <f t="shared" si="74"/>
        <v/>
      </c>
      <c r="P682" s="39" t="str">
        <f t="shared" si="75"/>
        <v/>
      </c>
      <c r="R682" s="39" t="str">
        <f t="shared" si="76"/>
        <v/>
      </c>
      <c r="S682" s="28"/>
      <c r="T682" s="28"/>
      <c r="U682" s="28"/>
    </row>
    <row r="683" spans="1:21" s="5" customFormat="1">
      <c r="A683" s="179" t="s">
        <v>965</v>
      </c>
      <c r="B683" s="185" t="s">
        <v>5476</v>
      </c>
      <c r="C683" s="35" t="str">
        <f t="shared" si="70"/>
        <v>asSahih</v>
      </c>
      <c r="E683" s="40"/>
      <c r="F683" s="15" t="s">
        <v>966</v>
      </c>
      <c r="G683" s="17"/>
      <c r="H683" s="10" t="s">
        <v>8563</v>
      </c>
      <c r="I683" s="4" t="str">
        <f t="shared" si="71"/>
        <v>|aṣ-Ṣaḥíḥ|</v>
      </c>
      <c r="J683" s="3" t="str">
        <f t="shared" si="72"/>
        <v>|as-Sahih|</v>
      </c>
      <c r="K683" s="3" t="str">
        <f t="shared" si="73"/>
        <v>as-Sahih</v>
      </c>
      <c r="N683" s="39" t="str">
        <f t="shared" si="74"/>
        <v/>
      </c>
      <c r="P683" s="39" t="str">
        <f t="shared" si="75"/>
        <v/>
      </c>
      <c r="R683" s="39" t="str">
        <f t="shared" si="76"/>
        <v/>
      </c>
      <c r="S683" s="28"/>
      <c r="T683" s="28"/>
      <c r="U683" s="28"/>
    </row>
    <row r="684" spans="1:21" s="5" customFormat="1">
      <c r="A684" s="179" t="s">
        <v>967</v>
      </c>
      <c r="B684" s="185" t="s">
        <v>5477</v>
      </c>
      <c r="C684" s="35" t="str">
        <f t="shared" si="70"/>
        <v>asSakhkhat</v>
      </c>
      <c r="E684" s="40"/>
      <c r="F684" s="15" t="s">
        <v>968</v>
      </c>
      <c r="G684" s="17"/>
      <c r="H684" s="10" t="s">
        <v>8563</v>
      </c>
      <c r="I684" s="4" t="str">
        <f t="shared" si="71"/>
        <v>|as-Sáat|</v>
      </c>
      <c r="J684" s="3" t="str">
        <f t="shared" si="72"/>
        <v>|as-Sakhkhat|</v>
      </c>
      <c r="K684" s="3" t="str">
        <f t="shared" si="73"/>
        <v>as-Sakhkhat</v>
      </c>
      <c r="N684" s="39" t="str">
        <f t="shared" si="74"/>
        <v/>
      </c>
      <c r="P684" s="39" t="str">
        <f t="shared" si="75"/>
        <v/>
      </c>
      <c r="R684" s="39" t="str">
        <f t="shared" si="76"/>
        <v/>
      </c>
      <c r="S684" s="28"/>
      <c r="T684" s="28"/>
      <c r="U684" s="28"/>
    </row>
    <row r="685" spans="1:21" s="5" customFormat="1">
      <c r="A685" s="179" t="s">
        <v>969</v>
      </c>
      <c r="B685" s="185" t="s">
        <v>5478</v>
      </c>
      <c r="C685" s="35" t="str">
        <f t="shared" si="70"/>
        <v>asSalam</v>
      </c>
      <c r="E685" s="40"/>
      <c r="F685" s="15"/>
      <c r="G685" s="17"/>
      <c r="H685" s="10" t="s">
        <v>8563</v>
      </c>
      <c r="I685" s="4" t="str">
        <f t="shared" si="71"/>
        <v>|as-Salám|</v>
      </c>
      <c r="J685" s="3" t="str">
        <f t="shared" si="72"/>
        <v>|as-Salam|</v>
      </c>
      <c r="K685" s="3" t="str">
        <f t="shared" si="73"/>
        <v>as-Salam</v>
      </c>
      <c r="N685" s="39" t="str">
        <f t="shared" si="74"/>
        <v/>
      </c>
      <c r="P685" s="39" t="str">
        <f t="shared" si="75"/>
        <v/>
      </c>
      <c r="R685" s="39" t="str">
        <f t="shared" si="76"/>
        <v/>
      </c>
      <c r="S685" s="28"/>
      <c r="T685" s="28"/>
      <c r="U685" s="28"/>
    </row>
    <row r="686" spans="1:21" s="5" customFormat="1">
      <c r="A686" s="179" t="s">
        <v>970</v>
      </c>
      <c r="B686" s="185" t="s">
        <v>5479</v>
      </c>
      <c r="C686" s="35" t="str">
        <f t="shared" si="70"/>
        <v>asSamit</v>
      </c>
      <c r="E686" s="40"/>
      <c r="F686" s="15"/>
      <c r="G686" s="17"/>
      <c r="H686" s="10" t="s">
        <v>8563</v>
      </c>
      <c r="I686" s="4" t="str">
        <f t="shared" si="71"/>
        <v>|aṣ-Ṣámit|</v>
      </c>
      <c r="J686" s="3" t="str">
        <f t="shared" si="72"/>
        <v>|as-Samit|</v>
      </c>
      <c r="K686" s="3" t="str">
        <f t="shared" si="73"/>
        <v>as-Samit</v>
      </c>
      <c r="N686" s="39" t="str">
        <f t="shared" si="74"/>
        <v/>
      </c>
      <c r="P686" s="39" t="str">
        <f t="shared" si="75"/>
        <v/>
      </c>
      <c r="R686" s="39" t="str">
        <f t="shared" si="76"/>
        <v/>
      </c>
      <c r="S686" s="28"/>
      <c r="T686" s="28"/>
      <c r="U686" s="28"/>
    </row>
    <row r="687" spans="1:21" s="5" customFormat="1">
      <c r="A687" s="179" t="s">
        <v>971</v>
      </c>
      <c r="B687" s="185" t="s">
        <v>5480</v>
      </c>
      <c r="C687" s="35" t="str">
        <f t="shared" si="70"/>
        <v>asSayrafi</v>
      </c>
      <c r="E687" s="40"/>
      <c r="F687" s="15"/>
      <c r="G687" s="17"/>
      <c r="H687" s="10" t="s">
        <v>8563</v>
      </c>
      <c r="I687" s="4" t="str">
        <f t="shared" si="71"/>
        <v>|aṣ-Ṣayrafí|</v>
      </c>
      <c r="J687" s="3" t="str">
        <f t="shared" si="72"/>
        <v>|as-Sayrafi|</v>
      </c>
      <c r="K687" s="3" t="str">
        <f t="shared" si="73"/>
        <v>as-Sayrafi</v>
      </c>
      <c r="N687" s="39" t="str">
        <f t="shared" si="74"/>
        <v/>
      </c>
      <c r="P687" s="39" t="str">
        <f t="shared" si="75"/>
        <v/>
      </c>
      <c r="R687" s="39" t="str">
        <f t="shared" si="76"/>
        <v/>
      </c>
      <c r="S687" s="28"/>
      <c r="T687" s="28"/>
      <c r="U687" s="28"/>
    </row>
    <row r="688" spans="1:21" s="5" customFormat="1">
      <c r="A688" s="179" t="s">
        <v>972</v>
      </c>
      <c r="B688" s="185" t="s">
        <v>5481</v>
      </c>
      <c r="C688" s="35" t="str">
        <f t="shared" si="70"/>
        <v>Astani</v>
      </c>
      <c r="E688" s="40"/>
      <c r="F688" s="15" t="s">
        <v>973</v>
      </c>
      <c r="G688" s="17"/>
      <c r="H688" s="10" t="s">
        <v>8563</v>
      </c>
      <c r="I688" s="4" t="str">
        <f t="shared" si="71"/>
        <v>|Ástání|</v>
      </c>
      <c r="J688" s="3" t="str">
        <f t="shared" si="72"/>
        <v>|Astani|</v>
      </c>
      <c r="K688" s="3" t="str">
        <f t="shared" si="73"/>
        <v>Astani</v>
      </c>
      <c r="N688" s="39" t="str">
        <f t="shared" si="74"/>
        <v/>
      </c>
      <c r="P688" s="39" t="str">
        <f t="shared" si="75"/>
        <v/>
      </c>
      <c r="R688" s="39" t="str">
        <f t="shared" si="76"/>
        <v/>
      </c>
      <c r="S688" s="28"/>
      <c r="T688" s="28"/>
      <c r="U688" s="28"/>
    </row>
    <row r="689" spans="1:21" s="5" customFormat="1">
      <c r="A689" s="179" t="s">
        <v>974</v>
      </c>
      <c r="B689" s="185" t="s">
        <v>5482</v>
      </c>
      <c r="C689" s="35" t="str">
        <f t="shared" si="70"/>
        <v>Astarabad</v>
      </c>
      <c r="E689" s="40"/>
      <c r="F689" s="14"/>
      <c r="G689" s="17"/>
      <c r="H689" s="10" t="s">
        <v>8563</v>
      </c>
      <c r="I689" s="4" t="str">
        <f t="shared" si="71"/>
        <v>|Astarábád|</v>
      </c>
      <c r="J689" s="3" t="str">
        <f t="shared" si="72"/>
        <v>|Astarabad|</v>
      </c>
      <c r="K689" s="3" t="str">
        <f t="shared" si="73"/>
        <v>Astarabad</v>
      </c>
      <c r="N689" s="39" t="str">
        <f t="shared" si="74"/>
        <v/>
      </c>
      <c r="P689" s="39" t="str">
        <f t="shared" si="75"/>
        <v/>
      </c>
      <c r="R689" s="39" t="str">
        <f t="shared" si="76"/>
        <v/>
      </c>
      <c r="S689" s="28"/>
      <c r="T689" s="28"/>
      <c r="U689" s="28"/>
    </row>
    <row r="690" spans="1:21" s="5" customFormat="1">
      <c r="A690" s="179" t="s">
        <v>975</v>
      </c>
      <c r="B690" s="185" t="s">
        <v>5483</v>
      </c>
      <c r="C690" s="35" t="str">
        <f t="shared" si="70"/>
        <v>Atabak</v>
      </c>
      <c r="E690" s="40"/>
      <c r="F690" s="15" t="s">
        <v>976</v>
      </c>
      <c r="G690" s="17"/>
      <c r="H690" s="10" t="s">
        <v>8563</v>
      </c>
      <c r="I690" s="4" t="str">
        <f t="shared" si="71"/>
        <v>|Atábak|</v>
      </c>
      <c r="J690" s="3" t="str">
        <f t="shared" si="72"/>
        <v>|Atabak|</v>
      </c>
      <c r="K690" s="3" t="str">
        <f t="shared" si="73"/>
        <v>Atabak</v>
      </c>
      <c r="N690" s="39" t="str">
        <f t="shared" si="74"/>
        <v/>
      </c>
      <c r="P690" s="39" t="str">
        <f t="shared" si="75"/>
        <v/>
      </c>
      <c r="R690" s="39" t="str">
        <f t="shared" si="76"/>
        <v/>
      </c>
      <c r="S690" s="28"/>
      <c r="T690" s="28"/>
      <c r="U690" s="28"/>
    </row>
    <row r="691" spans="1:21" s="5" customFormat="1">
      <c r="A691" s="179" t="s">
        <v>977</v>
      </c>
      <c r="B691" s="185" t="s">
        <v>5484</v>
      </c>
      <c r="C691" s="35" t="str">
        <f t="shared" si="70"/>
        <v>AtabakiAzam</v>
      </c>
      <c r="E691" s="40"/>
      <c r="F691" s="15"/>
      <c r="G691" s="17"/>
      <c r="H691" s="10" t="s">
        <v>8563</v>
      </c>
      <c r="I691" s="4" t="str">
        <f t="shared" si="71"/>
        <v>|Atábak-i-Aʿẓam|</v>
      </c>
      <c r="J691" s="3" t="str">
        <f t="shared" si="72"/>
        <v>|Atabak-i-A'zam|</v>
      </c>
      <c r="K691" s="3" t="str">
        <f t="shared" si="73"/>
        <v>Atabak-i-Azam</v>
      </c>
      <c r="N691" s="39" t="str">
        <f t="shared" si="74"/>
        <v/>
      </c>
      <c r="P691" s="39" t="str">
        <f t="shared" si="75"/>
        <v/>
      </c>
      <c r="R691" s="39" t="str">
        <f t="shared" si="76"/>
        <v/>
      </c>
      <c r="S691" s="28"/>
      <c r="T691" s="28"/>
      <c r="U691" s="28"/>
    </row>
    <row r="692" spans="1:21" s="5" customFormat="1">
      <c r="A692" s="179" t="s">
        <v>2109</v>
      </c>
      <c r="B692" s="185" t="s">
        <v>6341</v>
      </c>
      <c r="C692" s="35" t="str">
        <f t="shared" si="70"/>
        <v>AtabakiChupan</v>
      </c>
      <c r="E692" s="40"/>
      <c r="F692" s="14"/>
      <c r="G692" s="17"/>
      <c r="H692" s="10" t="s">
        <v>8563</v>
      </c>
      <c r="I692" s="4" t="str">
        <f t="shared" si="71"/>
        <v>|Atábak-i-úpán|</v>
      </c>
      <c r="J692" s="3" t="str">
        <f t="shared" si="72"/>
        <v>|Atabak-i-Chupan|</v>
      </c>
      <c r="K692" s="3" t="str">
        <f t="shared" si="73"/>
        <v>Atabak-i-Chupan</v>
      </c>
      <c r="N692" s="39" t="str">
        <f t="shared" si="74"/>
        <v/>
      </c>
      <c r="P692" s="39" t="str">
        <f t="shared" si="75"/>
        <v/>
      </c>
      <c r="R692" s="39" t="str">
        <f t="shared" si="76"/>
        <v/>
      </c>
      <c r="S692" s="28"/>
      <c r="T692" s="28"/>
      <c r="U692" s="28"/>
    </row>
    <row r="693" spans="1:21" s="5" customFormat="1">
      <c r="A693" s="179" t="s">
        <v>978</v>
      </c>
      <c r="B693" s="185" t="s">
        <v>5485</v>
      </c>
      <c r="C693" s="35" t="str">
        <f t="shared" si="70"/>
        <v>Atabat</v>
      </c>
      <c r="E693" s="40"/>
      <c r="F693" s="15" t="s">
        <v>979</v>
      </c>
      <c r="G693" s="17"/>
      <c r="H693" s="10" t="s">
        <v>8563</v>
      </c>
      <c r="I693" s="4" t="str">
        <f t="shared" si="71"/>
        <v>|ʿAtabát|</v>
      </c>
      <c r="J693" s="3" t="str">
        <f t="shared" si="72"/>
        <v>|'Atabat|</v>
      </c>
      <c r="K693" s="3" t="str">
        <f t="shared" si="73"/>
        <v>Atabat</v>
      </c>
      <c r="N693" s="39" t="str">
        <f t="shared" si="74"/>
        <v/>
      </c>
      <c r="P693" s="39" t="str">
        <f t="shared" si="75"/>
        <v/>
      </c>
      <c r="R693" s="39" t="str">
        <f t="shared" si="76"/>
        <v/>
      </c>
      <c r="S693" s="28"/>
      <c r="T693" s="28"/>
      <c r="U693" s="28"/>
    </row>
    <row r="694" spans="1:21" s="5" customFormat="1">
      <c r="A694" s="179" t="s">
        <v>980</v>
      </c>
      <c r="B694" s="185" t="s">
        <v>5486</v>
      </c>
      <c r="C694" s="35" t="str">
        <f t="shared" si="70"/>
        <v>AtabatiAliyat</v>
      </c>
      <c r="E694" s="40"/>
      <c r="F694" s="15" t="s">
        <v>981</v>
      </c>
      <c r="G694" s="17"/>
      <c r="H694" s="10" t="s">
        <v>8563</v>
      </c>
      <c r="I694" s="4" t="str">
        <f t="shared" si="71"/>
        <v>|ʿAtabát-i-ʿÁlíyát|</v>
      </c>
      <c r="J694" s="3" t="str">
        <f t="shared" si="72"/>
        <v>|'Atabat-i-'Aliyat|</v>
      </c>
      <c r="K694" s="3" t="str">
        <f t="shared" si="73"/>
        <v>Atabat-i-Aliyat</v>
      </c>
      <c r="N694" s="39" t="str">
        <f t="shared" si="74"/>
        <v/>
      </c>
      <c r="P694" s="39" t="str">
        <f t="shared" si="75"/>
        <v/>
      </c>
      <c r="R694" s="39" t="str">
        <f t="shared" si="76"/>
        <v/>
      </c>
      <c r="S694" s="28"/>
      <c r="T694" s="28"/>
      <c r="U694" s="28"/>
    </row>
    <row r="695" spans="1:21" s="5" customFormat="1">
      <c r="A695" s="179" t="s">
        <v>982</v>
      </c>
      <c r="B695" s="185" t="s">
        <v>8925</v>
      </c>
      <c r="C695" s="35" t="str">
        <f t="shared" si="70"/>
        <v>Ataullah</v>
      </c>
      <c r="E695" s="40"/>
      <c r="F695" s="15"/>
      <c r="G695" s="17"/>
      <c r="H695" s="10" t="s">
        <v>8563</v>
      </c>
      <c r="I695" s="4" t="str">
        <f t="shared" si="71"/>
        <v>|ʿAtá-u’lláh|</v>
      </c>
      <c r="J695" s="3" t="str">
        <f t="shared" si="72"/>
        <v>|'Ata-u'llah|</v>
      </c>
      <c r="K695" s="3" t="str">
        <f t="shared" si="73"/>
        <v>Ata-ullah</v>
      </c>
      <c r="N695" s="39" t="str">
        <f t="shared" si="74"/>
        <v/>
      </c>
      <c r="P695" s="39" t="str">
        <f t="shared" si="75"/>
        <v/>
      </c>
      <c r="R695" s="39" t="str">
        <f t="shared" si="76"/>
        <v/>
      </c>
      <c r="S695" s="28"/>
      <c r="T695" s="28"/>
      <c r="U695" s="28"/>
    </row>
    <row r="696" spans="1:21" s="5" customFormat="1">
      <c r="A696" s="179" t="s">
        <v>983</v>
      </c>
      <c r="B696" s="185" t="s">
        <v>5487</v>
      </c>
      <c r="C696" s="35" t="str">
        <f t="shared" si="70"/>
        <v>Athar</v>
      </c>
      <c r="E696" s="40"/>
      <c r="F696" s="15"/>
      <c r="G696" s="17"/>
      <c r="H696" s="10" t="s">
        <v>8563</v>
      </c>
      <c r="I696" s="4" t="str">
        <f t="shared" si="71"/>
        <v>|Áár|</v>
      </c>
      <c r="J696" s="3" t="str">
        <f t="shared" si="72"/>
        <v>|Athar|</v>
      </c>
      <c r="K696" s="3" t="str">
        <f t="shared" si="73"/>
        <v>Athar</v>
      </c>
      <c r="N696" s="39" t="str">
        <f t="shared" si="74"/>
        <v/>
      </c>
      <c r="P696" s="39" t="str">
        <f t="shared" si="75"/>
        <v/>
      </c>
      <c r="R696" s="39" t="str">
        <f t="shared" si="76"/>
        <v/>
      </c>
      <c r="S696" s="28"/>
      <c r="T696" s="28"/>
      <c r="U696" s="28"/>
    </row>
    <row r="697" spans="1:21" s="5" customFormat="1">
      <c r="A697" s="179" t="s">
        <v>984</v>
      </c>
      <c r="B697" s="185" t="s">
        <v>5488</v>
      </c>
      <c r="C697" s="35" t="str">
        <f t="shared" si="70"/>
        <v>Athari</v>
      </c>
      <c r="E697" s="40"/>
      <c r="F697" s="15"/>
      <c r="G697" s="17"/>
      <c r="H697" s="10" t="s">
        <v>8563</v>
      </c>
      <c r="I697" s="4" t="str">
        <f t="shared" si="71"/>
        <v>|Áárí|</v>
      </c>
      <c r="J697" s="3" t="str">
        <f t="shared" si="72"/>
        <v>|Athari|</v>
      </c>
      <c r="K697" s="3" t="str">
        <f t="shared" si="73"/>
        <v>Athari</v>
      </c>
      <c r="N697" s="39" t="str">
        <f t="shared" si="74"/>
        <v/>
      </c>
      <c r="P697" s="39" t="str">
        <f t="shared" si="75"/>
        <v/>
      </c>
      <c r="R697" s="39" t="str">
        <f t="shared" si="76"/>
        <v/>
      </c>
      <c r="S697" s="28"/>
      <c r="T697" s="28"/>
      <c r="U697" s="28"/>
    </row>
    <row r="698" spans="1:21" s="5" customFormat="1">
      <c r="A698" s="179" t="s">
        <v>985</v>
      </c>
      <c r="B698" s="185" t="s">
        <v>5489</v>
      </c>
      <c r="C698" s="35" t="str">
        <f t="shared" si="70"/>
        <v>AthariQalamiAla</v>
      </c>
      <c r="E698" s="40"/>
      <c r="F698" s="15"/>
      <c r="G698" s="17"/>
      <c r="H698" s="10" t="s">
        <v>8563</v>
      </c>
      <c r="I698" s="4" t="str">
        <f t="shared" si="71"/>
        <v>|Áár-i-Qalam-i-Aʿlá|</v>
      </c>
      <c r="J698" s="3" t="str">
        <f t="shared" si="72"/>
        <v>|Athar-i-Qalam-i-A'la|</v>
      </c>
      <c r="K698" s="3" t="str">
        <f t="shared" si="73"/>
        <v>Athar-i-Qalam-i-Ala</v>
      </c>
      <c r="N698" s="39" t="str">
        <f t="shared" si="74"/>
        <v/>
      </c>
      <c r="P698" s="39" t="str">
        <f t="shared" si="75"/>
        <v/>
      </c>
      <c r="R698" s="39" t="str">
        <f t="shared" si="76"/>
        <v/>
      </c>
      <c r="S698" s="28"/>
      <c r="T698" s="28"/>
      <c r="U698" s="28"/>
    </row>
    <row r="699" spans="1:21" s="5" customFormat="1">
      <c r="A699" s="179" t="s">
        <v>986</v>
      </c>
      <c r="B699" s="185" t="s">
        <v>5490</v>
      </c>
      <c r="C699" s="35" t="str">
        <f t="shared" si="70"/>
        <v>Athim</v>
      </c>
      <c r="E699" s="40"/>
      <c r="F699" s="14"/>
      <c r="G699" s="17"/>
      <c r="H699" s="10" t="s">
        <v>8563</v>
      </c>
      <c r="I699" s="4" t="str">
        <f t="shared" si="71"/>
        <v>|Áim|</v>
      </c>
      <c r="J699" s="3" t="str">
        <f t="shared" si="72"/>
        <v>|Athim|</v>
      </c>
      <c r="K699" s="3" t="str">
        <f t="shared" si="73"/>
        <v>Athim</v>
      </c>
      <c r="N699" s="39" t="str">
        <f t="shared" si="74"/>
        <v/>
      </c>
      <c r="P699" s="39" t="str">
        <f t="shared" si="75"/>
        <v/>
      </c>
      <c r="R699" s="39" t="str">
        <f t="shared" si="76"/>
        <v/>
      </c>
      <c r="S699" s="28"/>
      <c r="T699" s="28"/>
      <c r="U699" s="28"/>
    </row>
    <row r="700" spans="1:21" s="5" customFormat="1">
      <c r="A700" s="179" t="s">
        <v>8926</v>
      </c>
      <c r="B700" s="185" t="s">
        <v>5491</v>
      </c>
      <c r="C700" s="35" t="str">
        <f t="shared" si="70"/>
        <v>Athir</v>
      </c>
      <c r="E700" s="40"/>
      <c r="F700" s="15"/>
      <c r="G700" s="17"/>
      <c r="H700" s="10" t="s">
        <v>8563</v>
      </c>
      <c r="I700" s="4" t="str">
        <f t="shared" si="71"/>
        <v>|Aír|</v>
      </c>
      <c r="J700" s="3" t="str">
        <f t="shared" si="72"/>
        <v>|Athir|</v>
      </c>
      <c r="K700" s="3" t="str">
        <f t="shared" si="73"/>
        <v>Athir</v>
      </c>
      <c r="N700" s="39" t="str">
        <f t="shared" si="74"/>
        <v/>
      </c>
      <c r="P700" s="39" t="str">
        <f t="shared" si="75"/>
        <v/>
      </c>
      <c r="R700" s="39" t="str">
        <f t="shared" si="76"/>
        <v/>
      </c>
      <c r="S700" s="28"/>
      <c r="T700" s="28"/>
      <c r="U700" s="28"/>
    </row>
    <row r="701" spans="1:21" s="5" customFormat="1">
      <c r="A701" s="179" t="s">
        <v>987</v>
      </c>
      <c r="B701" s="185" t="s">
        <v>5492</v>
      </c>
      <c r="C701" s="35" t="str">
        <f t="shared" si="70"/>
        <v>athThabitah</v>
      </c>
      <c r="E701" s="40"/>
      <c r="F701" s="15"/>
      <c r="G701" s="17"/>
      <c r="H701" s="10" t="s">
        <v>8563</v>
      </c>
      <c r="I701" s="4" t="str">
        <f t="shared" si="71"/>
        <v>|a-ábitah|</v>
      </c>
      <c r="J701" s="3" t="str">
        <f t="shared" si="72"/>
        <v>|ath-Thabitah|</v>
      </c>
      <c r="K701" s="3" t="str">
        <f t="shared" si="73"/>
        <v>ath-Thabitah</v>
      </c>
      <c r="N701" s="39" t="str">
        <f t="shared" si="74"/>
        <v/>
      </c>
      <c r="P701" s="39" t="str">
        <f t="shared" si="75"/>
        <v/>
      </c>
      <c r="R701" s="39" t="str">
        <f t="shared" si="76"/>
        <v/>
      </c>
      <c r="S701" s="28"/>
      <c r="T701" s="28"/>
      <c r="U701" s="28"/>
    </row>
    <row r="702" spans="1:21" s="5" customFormat="1">
      <c r="A702" s="179" t="s">
        <v>988</v>
      </c>
      <c r="B702" s="185" t="s">
        <v>5493</v>
      </c>
      <c r="C702" s="35" t="str">
        <f t="shared" si="70"/>
        <v>Atibba</v>
      </c>
      <c r="E702" s="40"/>
      <c r="F702" s="15"/>
      <c r="G702" s="17"/>
      <c r="H702" s="10" t="s">
        <v>8563</v>
      </c>
      <c r="I702" s="4" t="str">
        <f t="shared" si="71"/>
        <v>|Aṭibbá|</v>
      </c>
      <c r="J702" s="3" t="str">
        <f t="shared" si="72"/>
        <v>|Atibba|</v>
      </c>
      <c r="K702" s="3" t="str">
        <f t="shared" si="73"/>
        <v>Atibba</v>
      </c>
      <c r="N702" s="39" t="str">
        <f t="shared" si="74"/>
        <v/>
      </c>
      <c r="P702" s="39" t="str">
        <f t="shared" si="75"/>
        <v/>
      </c>
      <c r="R702" s="39" t="str">
        <f t="shared" si="76"/>
        <v/>
      </c>
      <c r="S702" s="28"/>
      <c r="T702" s="28"/>
      <c r="U702" s="28"/>
    </row>
    <row r="703" spans="1:21" s="5" customFormat="1">
      <c r="A703" s="179" t="s">
        <v>989</v>
      </c>
      <c r="B703" s="185" t="s">
        <v>5494</v>
      </c>
      <c r="C703" s="35" t="str">
        <f t="shared" si="70"/>
        <v>Atifi</v>
      </c>
      <c r="E703" s="40"/>
      <c r="F703" s="15"/>
      <c r="G703" s="17"/>
      <c r="H703" s="10" t="s">
        <v>8563</v>
      </c>
      <c r="I703" s="4" t="str">
        <f t="shared" si="71"/>
        <v>|ʿÁṭifí|</v>
      </c>
      <c r="J703" s="3" t="str">
        <f t="shared" si="72"/>
        <v>|'Atifi|</v>
      </c>
      <c r="K703" s="3" t="str">
        <f t="shared" si="73"/>
        <v>Atifi</v>
      </c>
      <c r="N703" s="39" t="str">
        <f t="shared" si="74"/>
        <v/>
      </c>
      <c r="P703" s="39" t="str">
        <f t="shared" si="75"/>
        <v/>
      </c>
      <c r="R703" s="39" t="str">
        <f t="shared" si="76"/>
        <v/>
      </c>
      <c r="S703" s="28"/>
      <c r="T703" s="28"/>
      <c r="U703" s="28"/>
    </row>
    <row r="704" spans="1:21" s="5" customFormat="1">
      <c r="A704" s="179" t="s">
        <v>990</v>
      </c>
      <c r="B704" s="185" t="s">
        <v>5495</v>
      </c>
      <c r="C704" s="35" t="str">
        <f t="shared" si="70"/>
        <v>Atish</v>
      </c>
      <c r="E704" s="40"/>
      <c r="F704" s="15" t="s">
        <v>991</v>
      </c>
      <c r="G704" s="17"/>
      <c r="H704" s="10" t="s">
        <v>8563</v>
      </c>
      <c r="I704" s="4" t="str">
        <f t="shared" si="71"/>
        <v>|Áti|</v>
      </c>
      <c r="J704" s="3" t="str">
        <f t="shared" si="72"/>
        <v>|Atish|</v>
      </c>
      <c r="K704" s="3" t="str">
        <f t="shared" si="73"/>
        <v>Atish</v>
      </c>
      <c r="N704" s="39" t="str">
        <f t="shared" si="74"/>
        <v/>
      </c>
      <c r="P704" s="39" t="str">
        <f t="shared" si="75"/>
        <v/>
      </c>
      <c r="R704" s="39" t="str">
        <f t="shared" si="76"/>
        <v/>
      </c>
      <c r="S704" s="28"/>
      <c r="T704" s="28"/>
      <c r="U704" s="28"/>
    </row>
    <row r="705" spans="1:21" s="5" customFormat="1">
      <c r="A705" s="179" t="s">
        <v>992</v>
      </c>
      <c r="B705" s="185" t="s">
        <v>5496</v>
      </c>
      <c r="C705" s="35" t="str">
        <f t="shared" si="70"/>
        <v>Atri</v>
      </c>
      <c r="E705" s="40"/>
      <c r="F705" s="15" t="s">
        <v>993</v>
      </c>
      <c r="G705" s="17"/>
      <c r="H705" s="10" t="s">
        <v>8563</v>
      </c>
      <c r="I705" s="4" t="str">
        <f t="shared" si="71"/>
        <v>|ʿAṭrí|</v>
      </c>
      <c r="J705" s="3" t="str">
        <f t="shared" si="72"/>
        <v>|'Atri|</v>
      </c>
      <c r="K705" s="3" t="str">
        <f t="shared" si="73"/>
        <v>Atri</v>
      </c>
      <c r="N705" s="39" t="str">
        <f t="shared" si="74"/>
        <v/>
      </c>
      <c r="P705" s="39" t="str">
        <f t="shared" si="75"/>
        <v/>
      </c>
      <c r="R705" s="39" t="str">
        <f t="shared" si="76"/>
        <v/>
      </c>
      <c r="S705" s="28"/>
      <c r="T705" s="28"/>
      <c r="U705" s="28"/>
    </row>
    <row r="706" spans="1:21" s="5" customFormat="1">
      <c r="A706" s="179" t="s">
        <v>994</v>
      </c>
      <c r="B706" s="185" t="s">
        <v>5497</v>
      </c>
      <c r="C706" s="35" t="str">
        <f t="shared" si="70"/>
        <v>atTabari</v>
      </c>
      <c r="E706" s="40"/>
      <c r="F706" s="15"/>
      <c r="G706" s="17"/>
      <c r="H706" s="10" t="s">
        <v>8563</v>
      </c>
      <c r="I706" s="4" t="str">
        <f t="shared" si="71"/>
        <v>|aṭ-Ṭabarí|</v>
      </c>
      <c r="J706" s="3" t="str">
        <f t="shared" si="72"/>
        <v>|at-Tabari|</v>
      </c>
      <c r="K706" s="3" t="str">
        <f t="shared" si="73"/>
        <v>at-Tabari</v>
      </c>
      <c r="N706" s="39" t="str">
        <f t="shared" si="74"/>
        <v/>
      </c>
      <c r="P706" s="39" t="str">
        <f t="shared" si="75"/>
        <v/>
      </c>
      <c r="R706" s="39" t="str">
        <f t="shared" si="76"/>
        <v/>
      </c>
      <c r="S706" s="28"/>
      <c r="T706" s="28"/>
      <c r="U706" s="28"/>
    </row>
    <row r="707" spans="1:21" s="5" customFormat="1">
      <c r="A707" s="179" t="s">
        <v>995</v>
      </c>
      <c r="B707" s="185" t="s">
        <v>5498</v>
      </c>
      <c r="C707" s="35" t="str">
        <f t="shared" ref="C707:C770" si="77">SUBSTITUTE(SUBSTITUTE(K707,"-","")," ","")</f>
        <v>atTabarsi</v>
      </c>
      <c r="E707" s="40"/>
      <c r="F707" s="15"/>
      <c r="G707" s="17"/>
      <c r="H707" s="10" t="s">
        <v>8563</v>
      </c>
      <c r="I707" s="4" t="str">
        <f t="shared" ref="I707:I770" si="78">CONCATENATE("|",B707,"|")</f>
        <v>|aṭ-Ṭabarsí|</v>
      </c>
      <c r="J707" s="3" t="str">
        <f t="shared" ref="J707:J770" si="79">CONCATENATE("|",F_OutputASCII(B707),"|")</f>
        <v>|at-Tabarsi|</v>
      </c>
      <c r="K707" s="3" t="str">
        <f t="shared" ref="K707:K770" si="80">IF(SUBSTITUTE(MID(J707,2,LEN(J707)-2),"'","")&lt;&gt;"",SUBSTITUTE(MID(J707,2,LEN(J707)-2),"'",""),"ZZZZZ")</f>
        <v>at-Tabarsi</v>
      </c>
      <c r="N707" s="39" t="str">
        <f t="shared" ref="N707:N770" si="81">SUBSTITUTE(SUBSTITUTE(SUBSTITUTE(F_OutputASCII(M707),"-","")," ",""),"'","")</f>
        <v/>
      </c>
      <c r="P707" s="39" t="str">
        <f t="shared" ref="P707:P770" si="82">SUBSTITUTE(SUBSTITUTE(SUBSTITUTE(F_OutputASCII(O707),"-","")," ",""),"'","")</f>
        <v/>
      </c>
      <c r="R707" s="39" t="str">
        <f t="shared" si="76"/>
        <v/>
      </c>
      <c r="S707" s="28"/>
      <c r="T707" s="28"/>
      <c r="U707" s="28"/>
    </row>
    <row r="708" spans="1:21" s="5" customFormat="1">
      <c r="A708" s="179" t="s">
        <v>996</v>
      </c>
      <c r="B708" s="185" t="s">
        <v>5499</v>
      </c>
      <c r="C708" s="35" t="str">
        <f t="shared" si="77"/>
        <v>atTabatabai</v>
      </c>
      <c r="E708" s="40"/>
      <c r="F708" s="15"/>
      <c r="G708" s="17"/>
      <c r="H708" s="10" t="s">
        <v>8563</v>
      </c>
      <c r="I708" s="4" t="str">
        <f t="shared" si="78"/>
        <v>|aṭ-Ṭabáṭabá’í|</v>
      </c>
      <c r="J708" s="3" t="str">
        <f t="shared" si="79"/>
        <v>|at-Tabataba'i|</v>
      </c>
      <c r="K708" s="3" t="str">
        <f t="shared" si="80"/>
        <v>at-Tabatabai</v>
      </c>
      <c r="N708" s="39" t="str">
        <f t="shared" si="81"/>
        <v/>
      </c>
      <c r="P708" s="39" t="str">
        <f t="shared" si="82"/>
        <v/>
      </c>
      <c r="R708" s="39" t="str">
        <f t="shared" ref="R708:R771" si="83">SUBSTITUTE(SUBSTITUTE(Q708,"-","")," ","")</f>
        <v/>
      </c>
      <c r="S708" s="28"/>
      <c r="T708" s="28"/>
      <c r="U708" s="28"/>
    </row>
    <row r="709" spans="1:21" s="5" customFormat="1">
      <c r="A709" s="179" t="s">
        <v>997</v>
      </c>
      <c r="B709" s="185" t="s">
        <v>5500</v>
      </c>
      <c r="C709" s="35" t="str">
        <f t="shared" si="77"/>
        <v>atTair</v>
      </c>
      <c r="E709" s="40"/>
      <c r="F709" s="15"/>
      <c r="G709" s="17"/>
      <c r="H709" s="10" t="s">
        <v>8563</v>
      </c>
      <c r="I709" s="4" t="str">
        <f t="shared" si="78"/>
        <v>|aṭ-Ṭáʿir|</v>
      </c>
      <c r="J709" s="3" t="str">
        <f t="shared" si="79"/>
        <v>|at-Ta'ir|</v>
      </c>
      <c r="K709" s="3" t="str">
        <f t="shared" si="80"/>
        <v>at-Tair</v>
      </c>
      <c r="N709" s="39" t="str">
        <f t="shared" si="81"/>
        <v/>
      </c>
      <c r="P709" s="39" t="str">
        <f t="shared" si="82"/>
        <v/>
      </c>
      <c r="R709" s="39" t="str">
        <f t="shared" si="83"/>
        <v/>
      </c>
      <c r="S709" s="28"/>
      <c r="T709" s="28"/>
      <c r="U709" s="28"/>
    </row>
    <row r="710" spans="1:21" s="5" customFormat="1">
      <c r="A710" s="179" t="s">
        <v>998</v>
      </c>
      <c r="B710" s="185" t="s">
        <v>187</v>
      </c>
      <c r="C710" s="35" t="str">
        <f t="shared" si="77"/>
        <v>Attar</v>
      </c>
      <c r="E710" s="40"/>
      <c r="F710" s="15"/>
      <c r="G710" s="17"/>
      <c r="H710" s="10" t="s">
        <v>8563</v>
      </c>
      <c r="I710" s="4" t="str">
        <f t="shared" si="78"/>
        <v>|ʿAṭṭár|</v>
      </c>
      <c r="J710" s="3" t="str">
        <f t="shared" si="79"/>
        <v>|'Attar|</v>
      </c>
      <c r="K710" s="3" t="str">
        <f t="shared" si="80"/>
        <v>Attar</v>
      </c>
      <c r="N710" s="39" t="str">
        <f t="shared" si="81"/>
        <v/>
      </c>
      <c r="P710" s="39" t="str">
        <f t="shared" si="82"/>
        <v/>
      </c>
      <c r="R710" s="39" t="str">
        <f t="shared" si="83"/>
        <v/>
      </c>
      <c r="S710" s="28"/>
      <c r="T710" s="28"/>
      <c r="U710" s="28"/>
    </row>
    <row r="711" spans="1:21" s="5" customFormat="1">
      <c r="A711" s="179" t="s">
        <v>999</v>
      </c>
      <c r="B711" s="185" t="s">
        <v>5501</v>
      </c>
      <c r="C711" s="35" t="str">
        <f t="shared" si="77"/>
        <v>atTawhid</v>
      </c>
      <c r="E711" s="40"/>
      <c r="F711" s="15"/>
      <c r="G711" s="17"/>
      <c r="H711" s="10" t="s">
        <v>8563</v>
      </c>
      <c r="I711" s="4" t="str">
        <f t="shared" si="78"/>
        <v>|at-Tawḥíd|</v>
      </c>
      <c r="J711" s="3" t="str">
        <f t="shared" si="79"/>
        <v>|at-Tawhid|</v>
      </c>
      <c r="K711" s="3" t="str">
        <f t="shared" si="80"/>
        <v>at-Tawhid</v>
      </c>
      <c r="N711" s="39" t="str">
        <f t="shared" si="81"/>
        <v/>
      </c>
      <c r="P711" s="39" t="str">
        <f t="shared" si="82"/>
        <v/>
      </c>
      <c r="R711" s="39" t="str">
        <f t="shared" si="83"/>
        <v/>
      </c>
      <c r="S711" s="28"/>
      <c r="T711" s="28"/>
      <c r="U711" s="28"/>
    </row>
    <row r="712" spans="1:21" s="5" customFormat="1">
      <c r="A712" s="179" t="s">
        <v>1000</v>
      </c>
      <c r="B712" s="185" t="s">
        <v>5502</v>
      </c>
      <c r="C712" s="35" t="str">
        <f t="shared" si="77"/>
        <v>Avalim</v>
      </c>
      <c r="E712" s="40"/>
      <c r="F712" s="15" t="s">
        <v>8569</v>
      </c>
      <c r="G712" s="17"/>
      <c r="H712" s="10" t="s">
        <v>8563</v>
      </c>
      <c r="I712" s="4" t="str">
        <f t="shared" si="78"/>
        <v>|ʿAválim|</v>
      </c>
      <c r="J712" s="3" t="str">
        <f t="shared" si="79"/>
        <v>|'Avalim|</v>
      </c>
      <c r="K712" s="3" t="str">
        <f t="shared" si="80"/>
        <v>Avalim</v>
      </c>
      <c r="N712" s="39" t="str">
        <f t="shared" si="81"/>
        <v/>
      </c>
      <c r="P712" s="39" t="str">
        <f t="shared" si="82"/>
        <v/>
      </c>
      <c r="R712" s="39" t="str">
        <f t="shared" si="83"/>
        <v/>
      </c>
      <c r="S712" s="28"/>
      <c r="T712" s="28"/>
      <c r="U712" s="28"/>
    </row>
    <row r="713" spans="1:21" s="5" customFormat="1">
      <c r="A713" s="179" t="s">
        <v>1001</v>
      </c>
      <c r="B713" s="185" t="s">
        <v>5503</v>
      </c>
      <c r="C713" s="35" t="str">
        <f t="shared" si="77"/>
        <v>Avamid</v>
      </c>
      <c r="E713" s="40"/>
      <c r="F713" s="15" t="s">
        <v>1002</v>
      </c>
      <c r="G713" s="17"/>
      <c r="H713" s="10" t="s">
        <v>8563</v>
      </c>
      <c r="I713" s="4" t="str">
        <f t="shared" si="78"/>
        <v>|ʿAvámíd|</v>
      </c>
      <c r="J713" s="3" t="str">
        <f t="shared" si="79"/>
        <v>|'Avamid|</v>
      </c>
      <c r="K713" s="3" t="str">
        <f t="shared" si="80"/>
        <v>Avamid</v>
      </c>
      <c r="N713" s="39" t="str">
        <f t="shared" si="81"/>
        <v/>
      </c>
      <c r="P713" s="39" t="str">
        <f t="shared" si="82"/>
        <v/>
      </c>
      <c r="R713" s="39" t="str">
        <f t="shared" si="83"/>
        <v/>
      </c>
      <c r="S713" s="28"/>
      <c r="T713" s="28"/>
      <c r="U713" s="28"/>
    </row>
    <row r="714" spans="1:21" s="5" customFormat="1">
      <c r="A714" s="179" t="s">
        <v>1003</v>
      </c>
      <c r="B714" s="185" t="s">
        <v>5504</v>
      </c>
      <c r="C714" s="35" t="str">
        <f t="shared" si="77"/>
        <v>Avarigan</v>
      </c>
      <c r="E714" s="40"/>
      <c r="F714" s="15" t="s">
        <v>1004</v>
      </c>
      <c r="G714" s="17"/>
      <c r="H714" s="10" t="s">
        <v>8563</v>
      </c>
      <c r="I714" s="4" t="str">
        <f t="shared" si="78"/>
        <v>|Ávárigán|</v>
      </c>
      <c r="J714" s="3" t="str">
        <f t="shared" si="79"/>
        <v>|Avarigan|</v>
      </c>
      <c r="K714" s="3" t="str">
        <f t="shared" si="80"/>
        <v>Avarigan</v>
      </c>
      <c r="N714" s="39" t="str">
        <f t="shared" si="81"/>
        <v/>
      </c>
      <c r="P714" s="39" t="str">
        <f t="shared" si="82"/>
        <v/>
      </c>
      <c r="R714" s="39" t="str">
        <f t="shared" si="83"/>
        <v/>
      </c>
      <c r="S714" s="28"/>
      <c r="T714" s="28"/>
      <c r="U714" s="28"/>
    </row>
    <row r="715" spans="1:21" s="5" customFormat="1">
      <c r="A715" s="179" t="s">
        <v>1005</v>
      </c>
      <c r="B715" s="185" t="s">
        <v>5505</v>
      </c>
      <c r="C715" s="35" t="str">
        <f t="shared" si="77"/>
        <v>Avarih</v>
      </c>
      <c r="E715" s="40"/>
      <c r="F715" s="15" t="s">
        <v>1006</v>
      </c>
      <c r="G715" s="17"/>
      <c r="H715" s="10" t="s">
        <v>8563</v>
      </c>
      <c r="I715" s="4" t="str">
        <f t="shared" si="78"/>
        <v>|Ávárih|</v>
      </c>
      <c r="J715" s="3" t="str">
        <f t="shared" si="79"/>
        <v>|Avarih|</v>
      </c>
      <c r="K715" s="3" t="str">
        <f t="shared" si="80"/>
        <v>Avarih</v>
      </c>
      <c r="N715" s="39" t="str">
        <f t="shared" si="81"/>
        <v/>
      </c>
      <c r="P715" s="39" t="str">
        <f t="shared" si="82"/>
        <v/>
      </c>
      <c r="R715" s="39" t="str">
        <f t="shared" si="83"/>
        <v/>
      </c>
      <c r="S715" s="28"/>
      <c r="T715" s="28"/>
      <c r="U715" s="28"/>
    </row>
    <row r="716" spans="1:21" s="5" customFormat="1">
      <c r="A716" s="179" t="s">
        <v>1007</v>
      </c>
      <c r="B716" s="185" t="s">
        <v>5506</v>
      </c>
      <c r="C716" s="35" t="str">
        <f t="shared" si="77"/>
        <v>Avashiq</v>
      </c>
      <c r="E716" s="40"/>
      <c r="F716" s="14"/>
      <c r="G716" s="17"/>
      <c r="H716" s="10" t="s">
        <v>8563</v>
      </c>
      <c r="I716" s="4" t="str">
        <f t="shared" si="78"/>
        <v>|ʿAváiq|</v>
      </c>
      <c r="J716" s="3" t="str">
        <f t="shared" si="79"/>
        <v>|'Avashiq|</v>
      </c>
      <c r="K716" s="3" t="str">
        <f t="shared" si="80"/>
        <v>Avashiq</v>
      </c>
      <c r="N716" s="39" t="str">
        <f t="shared" si="81"/>
        <v/>
      </c>
      <c r="P716" s="39" t="str">
        <f t="shared" si="82"/>
        <v/>
      </c>
      <c r="R716" s="39" t="str">
        <f t="shared" si="83"/>
        <v/>
      </c>
      <c r="S716" s="28"/>
      <c r="T716" s="28"/>
      <c r="U716" s="28"/>
    </row>
    <row r="717" spans="1:21" s="5" customFormat="1">
      <c r="A717" s="179" t="s">
        <v>1008</v>
      </c>
      <c r="B717" s="185" t="s">
        <v>5507</v>
      </c>
      <c r="C717" s="35" t="str">
        <f t="shared" si="77"/>
        <v>Avih</v>
      </c>
      <c r="E717" s="40"/>
      <c r="F717" s="14"/>
      <c r="G717" s="17"/>
      <c r="H717" s="10" t="s">
        <v>8563</v>
      </c>
      <c r="I717" s="4" t="str">
        <f t="shared" si="78"/>
        <v>|Ávih|</v>
      </c>
      <c r="J717" s="3" t="str">
        <f t="shared" si="79"/>
        <v>|Avih|</v>
      </c>
      <c r="K717" s="3" t="str">
        <f t="shared" si="80"/>
        <v>Avih</v>
      </c>
      <c r="N717" s="39" t="str">
        <f t="shared" si="81"/>
        <v/>
      </c>
      <c r="P717" s="39" t="str">
        <f t="shared" si="82"/>
        <v/>
      </c>
      <c r="R717" s="39" t="str">
        <f t="shared" si="83"/>
        <v/>
      </c>
      <c r="S717" s="28"/>
      <c r="T717" s="28"/>
      <c r="U717" s="28"/>
    </row>
    <row r="718" spans="1:21" s="5" customFormat="1">
      <c r="A718" s="179" t="s">
        <v>1009</v>
      </c>
      <c r="B718" s="185" t="s">
        <v>5508</v>
      </c>
      <c r="C718" s="35" t="str">
        <f t="shared" si="77"/>
        <v>Awji</v>
      </c>
      <c r="E718" s="40"/>
      <c r="F718" s="15"/>
      <c r="G718" s="17"/>
      <c r="H718" s="10" t="s">
        <v>8563</v>
      </c>
      <c r="I718" s="4" t="str">
        <f t="shared" si="78"/>
        <v>|Awjí|</v>
      </c>
      <c r="J718" s="3" t="str">
        <f t="shared" si="79"/>
        <v>|Awji|</v>
      </c>
      <c r="K718" s="3" t="str">
        <f t="shared" si="80"/>
        <v>Awji</v>
      </c>
      <c r="N718" s="39" t="str">
        <f t="shared" si="81"/>
        <v/>
      </c>
      <c r="P718" s="39" t="str">
        <f t="shared" si="82"/>
        <v/>
      </c>
      <c r="R718" s="39" t="str">
        <f t="shared" si="83"/>
        <v/>
      </c>
      <c r="S718" s="28"/>
      <c r="T718" s="28"/>
      <c r="U718" s="28"/>
    </row>
    <row r="719" spans="1:21" s="5" customFormat="1">
      <c r="A719" s="179" t="s">
        <v>1010</v>
      </c>
      <c r="B719" s="185" t="s">
        <v>5509</v>
      </c>
      <c r="C719" s="35" t="str">
        <f t="shared" si="77"/>
        <v>AwraqiNariyyih</v>
      </c>
      <c r="E719" s="40"/>
      <c r="F719" s="15" t="s">
        <v>1011</v>
      </c>
      <c r="G719" s="17"/>
      <c r="H719" s="10" t="s">
        <v>8563</v>
      </c>
      <c r="I719" s="4" t="str">
        <f t="shared" si="78"/>
        <v>|Awráq-i-Náríyyih|</v>
      </c>
      <c r="J719" s="3" t="str">
        <f t="shared" si="79"/>
        <v>|Awraq-i-Nariyyih|</v>
      </c>
      <c r="K719" s="3" t="str">
        <f t="shared" si="80"/>
        <v>Awraq-i-Nariyyih</v>
      </c>
      <c r="N719" s="39" t="str">
        <f t="shared" si="81"/>
        <v/>
      </c>
      <c r="P719" s="39" t="str">
        <f t="shared" si="82"/>
        <v/>
      </c>
      <c r="R719" s="39" t="str">
        <f t="shared" si="83"/>
        <v/>
      </c>
      <c r="S719" s="28"/>
      <c r="T719" s="28"/>
      <c r="U719" s="28"/>
    </row>
    <row r="720" spans="1:21" s="5" customFormat="1">
      <c r="A720" s="179" t="s">
        <v>1012</v>
      </c>
      <c r="B720" s="185" t="s">
        <v>158</v>
      </c>
      <c r="C720" s="35" t="str">
        <f t="shared" si="77"/>
        <v>Awtad</v>
      </c>
      <c r="E720" s="40"/>
      <c r="F720" s="14"/>
      <c r="G720" s="17"/>
      <c r="H720" s="10" t="s">
        <v>8563</v>
      </c>
      <c r="I720" s="4" t="str">
        <f t="shared" si="78"/>
        <v>|Awtád|</v>
      </c>
      <c r="J720" s="3" t="str">
        <f t="shared" si="79"/>
        <v>|Awtad|</v>
      </c>
      <c r="K720" s="3" t="str">
        <f t="shared" si="80"/>
        <v>Awtad</v>
      </c>
      <c r="N720" s="39" t="str">
        <f t="shared" si="81"/>
        <v/>
      </c>
      <c r="P720" s="39" t="str">
        <f t="shared" si="82"/>
        <v/>
      </c>
      <c r="R720" s="39" t="str">
        <f t="shared" si="83"/>
        <v/>
      </c>
      <c r="S720" s="28"/>
      <c r="T720" s="28"/>
      <c r="U720" s="28"/>
    </row>
    <row r="721" spans="1:21" s="5" customFormat="1">
      <c r="A721" s="179" t="s">
        <v>1013</v>
      </c>
      <c r="B721" s="185" t="s">
        <v>5510</v>
      </c>
      <c r="C721" s="35" t="str">
        <f t="shared" si="77"/>
        <v>Ayadi</v>
      </c>
      <c r="E721" s="40"/>
      <c r="F721" s="14"/>
      <c r="G721" s="17"/>
      <c r="H721" s="10" t="s">
        <v>8563</v>
      </c>
      <c r="I721" s="4" t="str">
        <f t="shared" si="78"/>
        <v>|Ayádí|</v>
      </c>
      <c r="J721" s="3" t="str">
        <f t="shared" si="79"/>
        <v>|Ayadi|</v>
      </c>
      <c r="K721" s="3" t="str">
        <f t="shared" si="80"/>
        <v>Ayadi</v>
      </c>
      <c r="N721" s="39" t="str">
        <f t="shared" si="81"/>
        <v/>
      </c>
      <c r="P721" s="39" t="str">
        <f t="shared" si="82"/>
        <v/>
      </c>
      <c r="R721" s="39" t="str">
        <f t="shared" si="83"/>
        <v/>
      </c>
      <c r="S721" s="28"/>
      <c r="T721" s="28"/>
      <c r="U721" s="28"/>
    </row>
    <row r="722" spans="1:21" s="5" customFormat="1">
      <c r="A722" s="179" t="s">
        <v>1014</v>
      </c>
      <c r="B722" s="185" t="s">
        <v>5511</v>
      </c>
      <c r="C722" s="35" t="str">
        <f t="shared" si="77"/>
        <v>AyadiyiAmrullah</v>
      </c>
      <c r="E722" s="40"/>
      <c r="F722" s="15"/>
      <c r="G722" s="17"/>
      <c r="H722" s="10" t="s">
        <v>8563</v>
      </c>
      <c r="I722" s="4" t="str">
        <f t="shared" si="78"/>
        <v>|Ayádíyi-Amru’lláh|</v>
      </c>
      <c r="J722" s="3" t="str">
        <f t="shared" si="79"/>
        <v>|Ayadiyi-Amru'llah|</v>
      </c>
      <c r="K722" s="3" t="str">
        <f t="shared" si="80"/>
        <v>Ayadiyi-Amrullah</v>
      </c>
      <c r="N722" s="39" t="str">
        <f t="shared" si="81"/>
        <v/>
      </c>
      <c r="P722" s="39" t="str">
        <f t="shared" si="82"/>
        <v/>
      </c>
      <c r="R722" s="39" t="str">
        <f t="shared" si="83"/>
        <v/>
      </c>
      <c r="S722" s="28"/>
      <c r="T722" s="28"/>
      <c r="U722" s="28"/>
    </row>
    <row r="723" spans="1:21" s="5" customFormat="1">
      <c r="A723" s="179" t="s">
        <v>1016</v>
      </c>
      <c r="B723" s="185" t="s">
        <v>5513</v>
      </c>
      <c r="C723" s="35" t="str">
        <f t="shared" si="77"/>
        <v>Ayat</v>
      </c>
      <c r="E723" s="40"/>
      <c r="F723" s="15" t="s">
        <v>1017</v>
      </c>
      <c r="G723" s="17"/>
      <c r="H723" s="10" t="s">
        <v>8563</v>
      </c>
      <c r="I723" s="4" t="str">
        <f t="shared" si="78"/>
        <v>|Áyát|</v>
      </c>
      <c r="J723" s="3" t="str">
        <f t="shared" si="79"/>
        <v>|Ayat|</v>
      </c>
      <c r="K723" s="3" t="str">
        <f t="shared" si="80"/>
        <v>Ayat</v>
      </c>
      <c r="N723" s="39" t="str">
        <f t="shared" si="81"/>
        <v/>
      </c>
      <c r="P723" s="39" t="str">
        <f t="shared" si="82"/>
        <v/>
      </c>
      <c r="R723" s="39" t="str">
        <f t="shared" si="83"/>
        <v/>
      </c>
      <c r="S723" s="28"/>
      <c r="T723" s="28"/>
      <c r="U723" s="28"/>
    </row>
    <row r="724" spans="1:21" s="5" customFormat="1">
      <c r="A724" s="179" t="s">
        <v>1018</v>
      </c>
      <c r="B724" s="185" t="s">
        <v>8927</v>
      </c>
      <c r="C724" s="35" t="str">
        <f t="shared" si="77"/>
        <v>AyatiIlahi</v>
      </c>
      <c r="E724" s="40"/>
      <c r="F724" s="15"/>
      <c r="G724" s="17"/>
      <c r="H724" s="10" t="s">
        <v>8563</v>
      </c>
      <c r="I724" s="4" t="str">
        <f t="shared" si="78"/>
        <v>|Áyát-i-Iláhí|</v>
      </c>
      <c r="J724" s="3" t="str">
        <f t="shared" si="79"/>
        <v>|Ayat-i-Ilahi|</v>
      </c>
      <c r="K724" s="3" t="str">
        <f t="shared" si="80"/>
        <v>Ayat-i-Ilahi</v>
      </c>
      <c r="N724" s="39" t="str">
        <f t="shared" si="81"/>
        <v/>
      </c>
      <c r="P724" s="39" t="str">
        <f t="shared" si="82"/>
        <v/>
      </c>
      <c r="R724" s="39" t="str">
        <f t="shared" si="83"/>
        <v/>
      </c>
      <c r="S724" s="28"/>
      <c r="T724" s="28"/>
      <c r="U724" s="28"/>
    </row>
    <row r="725" spans="1:21" s="5" customFormat="1">
      <c r="A725" s="179" t="s">
        <v>1019</v>
      </c>
      <c r="B725" s="185" t="s">
        <v>5514</v>
      </c>
      <c r="C725" s="35" t="str">
        <f t="shared" si="77"/>
        <v>AyatulKursi</v>
      </c>
      <c r="E725" s="40"/>
      <c r="F725" s="15"/>
      <c r="G725" s="17"/>
      <c r="H725" s="10" t="s">
        <v>8563</v>
      </c>
      <c r="I725" s="4" t="str">
        <f t="shared" si="78"/>
        <v>|Áyatu’l-Kursí|</v>
      </c>
      <c r="J725" s="3" t="str">
        <f t="shared" si="79"/>
        <v>|Ayatu'l-Kursi|</v>
      </c>
      <c r="K725" s="3" t="str">
        <f t="shared" si="80"/>
        <v>Ayatul-Kursi</v>
      </c>
      <c r="N725" s="39" t="str">
        <f t="shared" si="81"/>
        <v/>
      </c>
      <c r="P725" s="39" t="str">
        <f t="shared" si="82"/>
        <v/>
      </c>
      <c r="R725" s="39" t="str">
        <f t="shared" si="83"/>
        <v/>
      </c>
      <c r="S725" s="28"/>
      <c r="T725" s="28"/>
      <c r="U725" s="28"/>
    </row>
    <row r="726" spans="1:21" s="5" customFormat="1">
      <c r="A726" s="179" t="s">
        <v>1020</v>
      </c>
      <c r="B726" s="185" t="s">
        <v>5515</v>
      </c>
      <c r="C726" s="35" t="str">
        <f t="shared" si="77"/>
        <v>Ayatullah</v>
      </c>
      <c r="E726" s="40"/>
      <c r="F726" s="15" t="s">
        <v>8570</v>
      </c>
      <c r="G726" s="17"/>
      <c r="H726" s="10" t="s">
        <v>8563</v>
      </c>
      <c r="I726" s="4" t="str">
        <f t="shared" si="78"/>
        <v>|Áyatu’lláh|</v>
      </c>
      <c r="J726" s="3" t="str">
        <f t="shared" si="79"/>
        <v>|Ayatu'llah|</v>
      </c>
      <c r="K726" s="3" t="str">
        <f t="shared" si="80"/>
        <v>Ayatullah</v>
      </c>
      <c r="N726" s="39" t="str">
        <f t="shared" si="81"/>
        <v/>
      </c>
      <c r="P726" s="39" t="str">
        <f t="shared" si="82"/>
        <v/>
      </c>
      <c r="R726" s="39" t="str">
        <f t="shared" si="83"/>
        <v/>
      </c>
      <c r="S726" s="28"/>
      <c r="T726" s="28"/>
      <c r="U726" s="28"/>
    </row>
    <row r="727" spans="1:21" s="5" customFormat="1">
      <c r="A727" s="179" t="s">
        <v>1021</v>
      </c>
      <c r="B727" s="185" t="s">
        <v>5516</v>
      </c>
      <c r="C727" s="35" t="str">
        <f t="shared" si="77"/>
        <v>AyatullahiKhurasani</v>
      </c>
      <c r="E727" s="40"/>
      <c r="F727" s="14"/>
      <c r="G727" s="17"/>
      <c r="H727" s="10" t="s">
        <v>8563</v>
      </c>
      <c r="I727" s="4" t="str">
        <f t="shared" si="78"/>
        <v>|Áyatu’lláh-i-urásání|</v>
      </c>
      <c r="J727" s="3" t="str">
        <f t="shared" si="79"/>
        <v>|Ayatu'llah-i-Khurasani|</v>
      </c>
      <c r="K727" s="3" t="str">
        <f t="shared" si="80"/>
        <v>Ayatullah-i-Khurasani</v>
      </c>
      <c r="N727" s="39" t="str">
        <f t="shared" si="81"/>
        <v/>
      </c>
      <c r="P727" s="39" t="str">
        <f t="shared" si="82"/>
        <v/>
      </c>
      <c r="R727" s="39" t="str">
        <f t="shared" si="83"/>
        <v/>
      </c>
      <c r="S727" s="28"/>
      <c r="T727" s="28"/>
      <c r="U727" s="28"/>
    </row>
    <row r="728" spans="1:21" s="5" customFormat="1">
      <c r="A728" s="179" t="s">
        <v>1022</v>
      </c>
      <c r="B728" s="185" t="s">
        <v>5517</v>
      </c>
      <c r="C728" s="35" t="str">
        <f t="shared" si="77"/>
        <v>Ayn</v>
      </c>
      <c r="E728" s="40"/>
      <c r="F728" s="14"/>
      <c r="G728" s="17"/>
      <c r="H728" s="10" t="s">
        <v>8563</v>
      </c>
      <c r="I728" s="4" t="str">
        <f t="shared" si="78"/>
        <v>|ʿAyn|</v>
      </c>
      <c r="J728" s="3" t="str">
        <f t="shared" si="79"/>
        <v>|'Ayn|</v>
      </c>
      <c r="K728" s="3" t="str">
        <f t="shared" si="80"/>
        <v>Ayn</v>
      </c>
      <c r="N728" s="39" t="str">
        <f t="shared" si="81"/>
        <v/>
      </c>
      <c r="P728" s="39" t="str">
        <f t="shared" si="82"/>
        <v/>
      </c>
      <c r="R728" s="39" t="str">
        <f t="shared" si="83"/>
        <v/>
      </c>
      <c r="S728" s="28"/>
      <c r="T728" s="28"/>
      <c r="U728" s="28"/>
    </row>
    <row r="729" spans="1:21" s="5" customFormat="1">
      <c r="A729" s="179" t="s">
        <v>1023</v>
      </c>
      <c r="B729" s="185" t="s">
        <v>5518</v>
      </c>
      <c r="C729" s="35" t="str">
        <f t="shared" si="77"/>
        <v>AynuʼlAyn</v>
      </c>
      <c r="E729" s="40"/>
      <c r="F729" s="15" t="s">
        <v>1024</v>
      </c>
      <c r="G729" s="17"/>
      <c r="H729" s="10" t="s">
        <v>8563</v>
      </c>
      <c r="I729" s="4" t="str">
        <f t="shared" si="78"/>
        <v>|ʿAynuʼl-ʿAyn|</v>
      </c>
      <c r="J729" s="3" t="str">
        <f t="shared" si="79"/>
        <v>|'Aynuʼl-'Ayn|</v>
      </c>
      <c r="K729" s="3" t="str">
        <f t="shared" si="80"/>
        <v>Aynuʼl-Ayn</v>
      </c>
      <c r="N729" s="39" t="str">
        <f t="shared" si="81"/>
        <v/>
      </c>
      <c r="P729" s="39" t="str">
        <f t="shared" si="82"/>
        <v/>
      </c>
      <c r="R729" s="39" t="str">
        <f t="shared" si="83"/>
        <v/>
      </c>
      <c r="S729" s="28"/>
      <c r="T729" s="28"/>
      <c r="U729" s="28"/>
    </row>
    <row r="730" spans="1:21" s="5" customFormat="1">
      <c r="A730" s="179" t="s">
        <v>1025</v>
      </c>
      <c r="B730" s="185" t="s">
        <v>5519</v>
      </c>
      <c r="C730" s="35" t="str">
        <f t="shared" si="77"/>
        <v>AynulBaqar</v>
      </c>
      <c r="E730" s="40"/>
      <c r="F730" s="15" t="s">
        <v>1026</v>
      </c>
      <c r="G730" s="17"/>
      <c r="H730" s="10" t="s">
        <v>8563</v>
      </c>
      <c r="I730" s="4" t="str">
        <f t="shared" si="78"/>
        <v>|ʿAynu’l-Baqár|</v>
      </c>
      <c r="J730" s="3" t="str">
        <f t="shared" si="79"/>
        <v>|'Aynu'l-Baqar|</v>
      </c>
      <c r="K730" s="3" t="str">
        <f t="shared" si="80"/>
        <v>Aynul-Baqar</v>
      </c>
      <c r="N730" s="39" t="str">
        <f t="shared" si="81"/>
        <v/>
      </c>
      <c r="P730" s="39" t="str">
        <f t="shared" si="82"/>
        <v/>
      </c>
      <c r="R730" s="39" t="str">
        <f t="shared" si="83"/>
        <v/>
      </c>
      <c r="S730" s="28"/>
      <c r="T730" s="28"/>
      <c r="U730" s="28"/>
    </row>
    <row r="731" spans="1:21" s="5" customFormat="1">
      <c r="A731" s="179" t="s">
        <v>1015</v>
      </c>
      <c r="B731" s="185" t="s">
        <v>5512</v>
      </c>
      <c r="C731" s="35" t="str">
        <f t="shared" si="77"/>
        <v>AyyamiButun</v>
      </c>
      <c r="E731" s="40"/>
      <c r="F731" s="15"/>
      <c r="G731" s="17"/>
      <c r="H731" s="10" t="s">
        <v>8563</v>
      </c>
      <c r="I731" s="4" t="str">
        <f t="shared" si="78"/>
        <v>|Ayyám-i-Buṭún|</v>
      </c>
      <c r="J731" s="3" t="str">
        <f t="shared" si="79"/>
        <v>|Ayyam-i-Butun|</v>
      </c>
      <c r="K731" s="3" t="str">
        <f t="shared" si="80"/>
        <v>Ayyam-i-Butun</v>
      </c>
      <c r="N731" s="39" t="str">
        <f t="shared" si="81"/>
        <v/>
      </c>
      <c r="P731" s="39" t="str">
        <f t="shared" si="82"/>
        <v/>
      </c>
      <c r="R731" s="39" t="str">
        <f t="shared" si="83"/>
        <v/>
      </c>
      <c r="S731" s="28"/>
      <c r="T731" s="28"/>
      <c r="U731" s="28"/>
    </row>
    <row r="732" spans="1:21" s="5" customFormat="1">
      <c r="A732" s="179" t="s">
        <v>1027</v>
      </c>
      <c r="B732" s="185" t="s">
        <v>5520</v>
      </c>
      <c r="C732" s="35" t="str">
        <f t="shared" si="77"/>
        <v>AyyamiHa</v>
      </c>
      <c r="E732" s="40"/>
      <c r="F732" s="14" t="s">
        <v>1028</v>
      </c>
      <c r="G732" s="17"/>
      <c r="H732" s="10" t="s">
        <v>8563</v>
      </c>
      <c r="I732" s="4" t="str">
        <f t="shared" si="78"/>
        <v>|Ayyám-i-Há|</v>
      </c>
      <c r="J732" s="3" t="str">
        <f t="shared" si="79"/>
        <v>|Ayyam-i-Ha|</v>
      </c>
      <c r="K732" s="3" t="str">
        <f t="shared" si="80"/>
        <v>Ayyam-i-Ha</v>
      </c>
      <c r="N732" s="39" t="str">
        <f t="shared" si="81"/>
        <v/>
      </c>
      <c r="P732" s="39" t="str">
        <f t="shared" si="82"/>
        <v/>
      </c>
      <c r="R732" s="39" t="str">
        <f t="shared" si="83"/>
        <v/>
      </c>
      <c r="S732" s="28"/>
      <c r="T732" s="29">
        <v>41799</v>
      </c>
      <c r="U732" s="28" t="s">
        <v>9405</v>
      </c>
    </row>
    <row r="733" spans="1:21" s="5" customFormat="1">
      <c r="A733" s="179" t="s">
        <v>1029</v>
      </c>
      <c r="B733" s="185" t="s">
        <v>5521</v>
      </c>
      <c r="C733" s="35" t="str">
        <f t="shared" si="77"/>
        <v>AyyamiShidad</v>
      </c>
      <c r="E733" s="40"/>
      <c r="F733" s="14"/>
      <c r="G733" s="17"/>
      <c r="H733" s="10" t="s">
        <v>8563</v>
      </c>
      <c r="I733" s="4" t="str">
        <f t="shared" si="78"/>
        <v>|Ayyám-i-idád|</v>
      </c>
      <c r="J733" s="3" t="str">
        <f t="shared" si="79"/>
        <v>|Ayyam-i-Shidad|</v>
      </c>
      <c r="K733" s="3" t="str">
        <f t="shared" si="80"/>
        <v>Ayyam-i-Shidad</v>
      </c>
      <c r="N733" s="39" t="str">
        <f t="shared" si="81"/>
        <v/>
      </c>
      <c r="P733" s="39" t="str">
        <f t="shared" si="82"/>
        <v/>
      </c>
      <c r="R733" s="39" t="str">
        <f t="shared" si="83"/>
        <v/>
      </c>
      <c r="S733" s="28"/>
      <c r="T733" s="28"/>
      <c r="U733" s="28"/>
    </row>
    <row r="734" spans="1:21" s="5" customFormat="1">
      <c r="A734" s="179" t="s">
        <v>1030</v>
      </c>
      <c r="B734" s="185" t="s">
        <v>5522</v>
      </c>
      <c r="C734" s="35" t="str">
        <f t="shared" si="77"/>
        <v>AyyamiTisih</v>
      </c>
      <c r="E734" s="40"/>
      <c r="F734" s="15"/>
      <c r="G734" s="17"/>
      <c r="H734" s="10" t="s">
        <v>8563</v>
      </c>
      <c r="I734" s="4" t="str">
        <f t="shared" si="78"/>
        <v>|Ayyám-i-Tisʿih|</v>
      </c>
      <c r="J734" s="3" t="str">
        <f t="shared" si="79"/>
        <v>|Ayyam-i-Tis'ih|</v>
      </c>
      <c r="K734" s="3" t="str">
        <f t="shared" si="80"/>
        <v>Ayyam-i-Tisih</v>
      </c>
      <c r="N734" s="39" t="str">
        <f t="shared" si="81"/>
        <v/>
      </c>
      <c r="P734" s="39" t="str">
        <f t="shared" si="82"/>
        <v/>
      </c>
      <c r="R734" s="39" t="str">
        <f t="shared" si="83"/>
        <v/>
      </c>
      <c r="S734" s="28"/>
      <c r="T734" s="28"/>
      <c r="U734" s="28"/>
    </row>
    <row r="735" spans="1:21" s="5" customFormat="1">
      <c r="A735" s="179" t="s">
        <v>1031</v>
      </c>
      <c r="B735" s="185" t="s">
        <v>5523</v>
      </c>
      <c r="C735" s="35" t="str">
        <f t="shared" si="77"/>
        <v>Ayyamullah</v>
      </c>
      <c r="E735" s="40"/>
      <c r="F735" s="15"/>
      <c r="G735" s="17"/>
      <c r="H735" s="10" t="s">
        <v>8563</v>
      </c>
      <c r="I735" s="4" t="str">
        <f t="shared" si="78"/>
        <v>|Ayyámu’lláh|</v>
      </c>
      <c r="J735" s="3" t="str">
        <f t="shared" si="79"/>
        <v>|Ayyamu'llah|</v>
      </c>
      <c r="K735" s="3" t="str">
        <f t="shared" si="80"/>
        <v>Ayyamullah</v>
      </c>
      <c r="N735" s="39" t="str">
        <f t="shared" si="81"/>
        <v/>
      </c>
      <c r="P735" s="39" t="str">
        <f t="shared" si="82"/>
        <v/>
      </c>
      <c r="R735" s="39" t="str">
        <f t="shared" si="83"/>
        <v/>
      </c>
      <c r="S735" s="28"/>
      <c r="T735" s="28"/>
      <c r="U735" s="28"/>
    </row>
    <row r="736" spans="1:21" s="5" customFormat="1">
      <c r="A736" s="179" t="s">
        <v>1032</v>
      </c>
      <c r="B736" s="185" t="s">
        <v>5524</v>
      </c>
      <c r="C736" s="35" t="str">
        <f t="shared" si="77"/>
        <v>Ayyub</v>
      </c>
      <c r="E736" s="40"/>
      <c r="F736" s="14"/>
      <c r="G736" s="17"/>
      <c r="H736" s="10" t="s">
        <v>8563</v>
      </c>
      <c r="I736" s="4" t="str">
        <f t="shared" si="78"/>
        <v>|Ayyúb|</v>
      </c>
      <c r="J736" s="3" t="str">
        <f t="shared" si="79"/>
        <v>|Ayyub|</v>
      </c>
      <c r="K736" s="3" t="str">
        <f t="shared" si="80"/>
        <v>Ayyub</v>
      </c>
      <c r="N736" s="39" t="str">
        <f t="shared" si="81"/>
        <v/>
      </c>
      <c r="P736" s="39" t="str">
        <f t="shared" si="82"/>
        <v/>
      </c>
      <c r="R736" s="39" t="str">
        <f t="shared" si="83"/>
        <v/>
      </c>
      <c r="S736" s="28"/>
      <c r="T736" s="28"/>
      <c r="U736" s="28"/>
    </row>
    <row r="737" spans="1:21" s="5" customFormat="1">
      <c r="A737" s="179" t="s">
        <v>1041</v>
      </c>
      <c r="B737" s="185" t="s">
        <v>8928</v>
      </c>
      <c r="C737" s="35" t="str">
        <f t="shared" si="77"/>
        <v>AzBaghiIlahi</v>
      </c>
      <c r="E737" s="40"/>
      <c r="F737" s="15" t="s">
        <v>1042</v>
      </c>
      <c r="G737" s="17"/>
      <c r="H737" s="10" t="s">
        <v>8563</v>
      </c>
      <c r="I737" s="4" t="str">
        <f t="shared" si="78"/>
        <v>|Az Bá-i-Iláhí|</v>
      </c>
      <c r="J737" s="3" t="str">
        <f t="shared" si="79"/>
        <v>|Az Bagh-i-Ilahi|</v>
      </c>
      <c r="K737" s="3" t="str">
        <f t="shared" si="80"/>
        <v>Az Bagh-i-Ilahi</v>
      </c>
      <c r="N737" s="39" t="str">
        <f t="shared" si="81"/>
        <v/>
      </c>
      <c r="P737" s="39" t="str">
        <f t="shared" si="82"/>
        <v/>
      </c>
      <c r="R737" s="39" t="str">
        <f t="shared" si="83"/>
        <v/>
      </c>
      <c r="S737" s="28"/>
      <c r="T737" s="28"/>
      <c r="U737" s="28"/>
    </row>
    <row r="738" spans="1:21" s="5" customFormat="1">
      <c r="A738" s="179" t="s">
        <v>1033</v>
      </c>
      <c r="B738" s="185" t="s">
        <v>5525</v>
      </c>
      <c r="C738" s="35" t="str">
        <f t="shared" si="77"/>
        <v>Azadi</v>
      </c>
      <c r="E738" s="40"/>
      <c r="F738" s="15"/>
      <c r="G738" s="17"/>
      <c r="H738" s="10" t="s">
        <v>8563</v>
      </c>
      <c r="I738" s="4" t="str">
        <f t="shared" si="78"/>
        <v>|Ázádí|</v>
      </c>
      <c r="J738" s="3" t="str">
        <f t="shared" si="79"/>
        <v>|Azadi|</v>
      </c>
      <c r="K738" s="3" t="str">
        <f t="shared" si="80"/>
        <v>Azadi</v>
      </c>
      <c r="N738" s="39" t="str">
        <f t="shared" si="81"/>
        <v/>
      </c>
      <c r="P738" s="39" t="str">
        <f t="shared" si="82"/>
        <v/>
      </c>
      <c r="R738" s="39" t="str">
        <f t="shared" si="83"/>
        <v/>
      </c>
      <c r="S738" s="28"/>
      <c r="T738" s="28"/>
      <c r="U738" s="28"/>
    </row>
    <row r="739" spans="1:21" s="5" customFormat="1">
      <c r="A739" s="179" t="s">
        <v>1034</v>
      </c>
      <c r="B739" s="185" t="s">
        <v>5526</v>
      </c>
      <c r="C739" s="35" t="str">
        <f t="shared" si="77"/>
        <v>Azal</v>
      </c>
      <c r="E739" s="40"/>
      <c r="F739" s="14"/>
      <c r="G739" s="17"/>
      <c r="H739" s="10" t="s">
        <v>8563</v>
      </c>
      <c r="I739" s="4" t="str">
        <f t="shared" si="78"/>
        <v>|Azal|</v>
      </c>
      <c r="J739" s="3" t="str">
        <f t="shared" si="79"/>
        <v>|Azal|</v>
      </c>
      <c r="K739" s="3" t="str">
        <f t="shared" si="80"/>
        <v>Azal</v>
      </c>
      <c r="N739" s="39" t="str">
        <f t="shared" si="81"/>
        <v/>
      </c>
      <c r="P739" s="39" t="str">
        <f t="shared" si="82"/>
        <v/>
      </c>
      <c r="R739" s="39" t="str">
        <f t="shared" si="83"/>
        <v/>
      </c>
      <c r="S739" s="28"/>
      <c r="T739" s="28"/>
      <c r="U739" s="28"/>
    </row>
    <row r="740" spans="1:21" s="5" customFormat="1">
      <c r="A740" s="179" t="s">
        <v>1035</v>
      </c>
      <c r="B740" s="185" t="s">
        <v>5527</v>
      </c>
      <c r="C740" s="35" t="str">
        <f t="shared" si="77"/>
        <v>Azali</v>
      </c>
      <c r="E740" s="40"/>
      <c r="F740" s="14"/>
      <c r="G740" s="17"/>
      <c r="H740" s="10" t="s">
        <v>8563</v>
      </c>
      <c r="I740" s="4" t="str">
        <f t="shared" si="78"/>
        <v>|Azalí|</v>
      </c>
      <c r="J740" s="3" t="str">
        <f t="shared" si="79"/>
        <v>|Azali|</v>
      </c>
      <c r="K740" s="3" t="str">
        <f t="shared" si="80"/>
        <v>Azali</v>
      </c>
      <c r="N740" s="39" t="str">
        <f t="shared" si="81"/>
        <v/>
      </c>
      <c r="P740" s="39" t="str">
        <f t="shared" si="82"/>
        <v/>
      </c>
      <c r="R740" s="39" t="str">
        <f t="shared" si="83"/>
        <v/>
      </c>
      <c r="S740" s="28"/>
      <c r="T740" s="28"/>
      <c r="U740" s="28"/>
    </row>
    <row r="741" spans="1:21" s="5" customFormat="1">
      <c r="A741" s="179" t="s">
        <v>1036</v>
      </c>
      <c r="B741" s="185" t="s">
        <v>5528</v>
      </c>
      <c r="C741" s="35" t="str">
        <f t="shared" si="77"/>
        <v>Azam</v>
      </c>
      <c r="E741" s="40"/>
      <c r="F741" s="14" t="s">
        <v>1037</v>
      </c>
      <c r="G741" s="17"/>
      <c r="H741" s="10" t="s">
        <v>8563</v>
      </c>
      <c r="I741" s="4" t="str">
        <f t="shared" si="78"/>
        <v>|Aʿẓam|</v>
      </c>
      <c r="J741" s="3" t="str">
        <f t="shared" si="79"/>
        <v>|A'zam|</v>
      </c>
      <c r="K741" s="3" t="str">
        <f t="shared" si="80"/>
        <v>Azam</v>
      </c>
      <c r="N741" s="39" t="str">
        <f t="shared" si="81"/>
        <v/>
      </c>
      <c r="P741" s="39" t="str">
        <f t="shared" si="82"/>
        <v/>
      </c>
      <c r="R741" s="39" t="str">
        <f t="shared" si="83"/>
        <v/>
      </c>
      <c r="S741" s="28"/>
      <c r="T741" s="28"/>
      <c r="U741" s="28"/>
    </row>
    <row r="742" spans="1:21" s="5" customFormat="1">
      <c r="A742" s="179" t="s">
        <v>1038</v>
      </c>
      <c r="B742" s="185" t="s">
        <v>5529</v>
      </c>
      <c r="C742" s="35" t="str">
        <f t="shared" si="77"/>
        <v>Azamat</v>
      </c>
      <c r="E742" s="40"/>
      <c r="F742" s="14" t="s">
        <v>1039</v>
      </c>
      <c r="G742" s="17"/>
      <c r="H742" s="10" t="s">
        <v>8563</v>
      </c>
      <c r="I742" s="4" t="str">
        <f t="shared" si="78"/>
        <v>|ʿAẓamat|</v>
      </c>
      <c r="J742" s="3" t="str">
        <f t="shared" si="79"/>
        <v>|'Azamat|</v>
      </c>
      <c r="K742" s="3" t="str">
        <f t="shared" si="80"/>
        <v>Azamat</v>
      </c>
      <c r="N742" s="39" t="str">
        <f t="shared" si="81"/>
        <v/>
      </c>
      <c r="P742" s="39" t="str">
        <f t="shared" si="82"/>
        <v/>
      </c>
      <c r="R742" s="39" t="str">
        <f t="shared" si="83"/>
        <v/>
      </c>
      <c r="S742" s="28"/>
      <c r="T742" s="28"/>
      <c r="U742" s="28"/>
    </row>
    <row r="743" spans="1:21" s="5" customFormat="1">
      <c r="A743" s="179" t="s">
        <v>1040</v>
      </c>
      <c r="B743" s="185" t="s">
        <v>5530</v>
      </c>
      <c r="C743" s="35" t="str">
        <f t="shared" si="77"/>
        <v>Azami</v>
      </c>
      <c r="E743" s="40"/>
      <c r="F743" s="15"/>
      <c r="G743" s="17"/>
      <c r="H743" s="10" t="s">
        <v>8563</v>
      </c>
      <c r="I743" s="4" t="str">
        <f t="shared" si="78"/>
        <v>|Aʿẓamí|</v>
      </c>
      <c r="J743" s="3" t="str">
        <f t="shared" si="79"/>
        <v>|A'zami|</v>
      </c>
      <c r="K743" s="3" t="str">
        <f t="shared" si="80"/>
        <v>Azami</v>
      </c>
      <c r="N743" s="39" t="str">
        <f t="shared" si="81"/>
        <v/>
      </c>
      <c r="P743" s="39" t="str">
        <f t="shared" si="82"/>
        <v/>
      </c>
      <c r="R743" s="39" t="str">
        <f t="shared" si="83"/>
        <v/>
      </c>
      <c r="S743" s="28"/>
      <c r="T743" s="28"/>
      <c r="U743" s="28"/>
    </row>
    <row r="744" spans="1:21" s="5" customFormat="1">
      <c r="A744" s="179" t="s">
        <v>1043</v>
      </c>
      <c r="B744" s="185" t="s">
        <v>5531</v>
      </c>
      <c r="C744" s="35" t="str">
        <f t="shared" si="77"/>
        <v>Azghand</v>
      </c>
      <c r="E744" s="40"/>
      <c r="F744" s="14"/>
      <c r="G744" s="17"/>
      <c r="H744" s="10" t="s">
        <v>8563</v>
      </c>
      <c r="I744" s="4" t="str">
        <f t="shared" si="78"/>
        <v>|Azand|</v>
      </c>
      <c r="J744" s="3" t="str">
        <f t="shared" si="79"/>
        <v>|Azghand|</v>
      </c>
      <c r="K744" s="3" t="str">
        <f t="shared" si="80"/>
        <v>Azghand</v>
      </c>
      <c r="N744" s="39" t="str">
        <f t="shared" si="81"/>
        <v/>
      </c>
      <c r="P744" s="39" t="str">
        <f t="shared" si="82"/>
        <v/>
      </c>
      <c r="R744" s="39" t="str">
        <f t="shared" si="83"/>
        <v/>
      </c>
      <c r="S744" s="28"/>
      <c r="T744" s="28"/>
      <c r="U744" s="28"/>
    </row>
    <row r="745" spans="1:21" s="5" customFormat="1">
      <c r="A745" s="179" t="s">
        <v>1044</v>
      </c>
      <c r="B745" s="185" t="s">
        <v>5532</v>
      </c>
      <c r="C745" s="35" t="str">
        <f t="shared" si="77"/>
        <v>Azhari</v>
      </c>
      <c r="E745" s="40"/>
      <c r="F745" s="15"/>
      <c r="G745" s="17"/>
      <c r="H745" s="10" t="s">
        <v>8563</v>
      </c>
      <c r="I745" s="4" t="str">
        <f t="shared" si="78"/>
        <v>|Aẓharí|</v>
      </c>
      <c r="J745" s="3" t="str">
        <f t="shared" si="79"/>
        <v>|Azhari|</v>
      </c>
      <c r="K745" s="3" t="str">
        <f t="shared" si="80"/>
        <v>Azhari</v>
      </c>
      <c r="N745" s="39" t="str">
        <f t="shared" si="81"/>
        <v/>
      </c>
      <c r="P745" s="39" t="str">
        <f t="shared" si="82"/>
        <v/>
      </c>
      <c r="R745" s="39" t="str">
        <f t="shared" si="83"/>
        <v/>
      </c>
      <c r="S745" s="28"/>
      <c r="T745" s="28"/>
      <c r="U745" s="28"/>
    </row>
    <row r="746" spans="1:21" s="5" customFormat="1">
      <c r="A746" s="179" t="s">
        <v>1045</v>
      </c>
      <c r="B746" s="185" t="s">
        <v>5533</v>
      </c>
      <c r="C746" s="35" t="str">
        <f t="shared" si="77"/>
        <v>Azim</v>
      </c>
      <c r="E746" s="40"/>
      <c r="F746" s="15" t="s">
        <v>1046</v>
      </c>
      <c r="G746" s="17"/>
      <c r="H746" s="10" t="s">
        <v>8563</v>
      </c>
      <c r="I746" s="4" t="str">
        <f t="shared" si="78"/>
        <v>|ʿAẓím|</v>
      </c>
      <c r="J746" s="3" t="str">
        <f t="shared" si="79"/>
        <v>|'Azim|</v>
      </c>
      <c r="K746" s="3" t="str">
        <f t="shared" si="80"/>
        <v>Azim</v>
      </c>
      <c r="N746" s="39" t="str">
        <f t="shared" si="81"/>
        <v/>
      </c>
      <c r="P746" s="39" t="str">
        <f t="shared" si="82"/>
        <v/>
      </c>
      <c r="R746" s="39" t="str">
        <f t="shared" si="83"/>
        <v/>
      </c>
      <c r="S746" s="28"/>
      <c r="T746" s="28"/>
      <c r="U746" s="28"/>
    </row>
    <row r="747" spans="1:21" s="5" customFormat="1">
      <c r="A747" s="179" t="s">
        <v>1047</v>
      </c>
      <c r="B747" s="185" t="s">
        <v>5534</v>
      </c>
      <c r="C747" s="35" t="str">
        <f t="shared" si="77"/>
        <v>AzimiKhuyi</v>
      </c>
      <c r="E747" s="40"/>
      <c r="F747" s="15"/>
      <c r="G747" s="17"/>
      <c r="H747" s="10" t="s">
        <v>8563</v>
      </c>
      <c r="I747" s="4" t="str">
        <f t="shared" si="78"/>
        <v>|ʿAẓím-i-uy’í|</v>
      </c>
      <c r="J747" s="3" t="str">
        <f t="shared" si="79"/>
        <v>|'Azim-i-Khuy'i|</v>
      </c>
      <c r="K747" s="3" t="str">
        <f t="shared" si="80"/>
        <v>Azim-i-Khuyi</v>
      </c>
      <c r="N747" s="39" t="str">
        <f t="shared" si="81"/>
        <v/>
      </c>
      <c r="P747" s="39" t="str">
        <f t="shared" si="82"/>
        <v/>
      </c>
      <c r="R747" s="39" t="str">
        <f t="shared" si="83"/>
        <v/>
      </c>
      <c r="S747" s="28"/>
      <c r="T747" s="28"/>
      <c r="U747" s="28"/>
    </row>
    <row r="748" spans="1:21" s="5" customFormat="1">
      <c r="A748" s="179" t="s">
        <v>1048</v>
      </c>
      <c r="B748" s="185" t="s">
        <v>5535</v>
      </c>
      <c r="C748" s="35" t="str">
        <f t="shared" si="77"/>
        <v>AzimiTafrishi</v>
      </c>
      <c r="E748" s="40"/>
      <c r="F748" s="15"/>
      <c r="G748" s="17"/>
      <c r="H748" s="10" t="s">
        <v>8563</v>
      </c>
      <c r="I748" s="4" t="str">
        <f t="shared" si="78"/>
        <v>|ʿAẓím-i-Tafríí|</v>
      </c>
      <c r="J748" s="3" t="str">
        <f t="shared" si="79"/>
        <v>|'Azim-i-Tafrishi|</v>
      </c>
      <c r="K748" s="3" t="str">
        <f t="shared" si="80"/>
        <v>Azim-i-Tafrishi</v>
      </c>
      <c r="N748" s="39" t="str">
        <f t="shared" si="81"/>
        <v/>
      </c>
      <c r="P748" s="39" t="str">
        <f t="shared" si="82"/>
        <v/>
      </c>
      <c r="R748" s="39" t="str">
        <f t="shared" si="83"/>
        <v/>
      </c>
      <c r="S748" s="28"/>
      <c r="T748" s="28"/>
      <c r="U748" s="28"/>
    </row>
    <row r="749" spans="1:21" s="5" customFormat="1">
      <c r="A749" s="179" t="s">
        <v>1049</v>
      </c>
      <c r="B749" s="185" t="s">
        <v>5536</v>
      </c>
      <c r="C749" s="35" t="str">
        <f t="shared" si="77"/>
        <v>Aziz</v>
      </c>
      <c r="E749" s="40"/>
      <c r="F749" s="14"/>
      <c r="G749" s="17"/>
      <c r="H749" s="10" t="s">
        <v>8563</v>
      </c>
      <c r="I749" s="4" t="str">
        <f t="shared" si="78"/>
        <v>|ʿAzíz|</v>
      </c>
      <c r="J749" s="3" t="str">
        <f t="shared" si="79"/>
        <v>|'Aziz|</v>
      </c>
      <c r="K749" s="3" t="str">
        <f t="shared" si="80"/>
        <v>Aziz</v>
      </c>
      <c r="N749" s="39" t="str">
        <f t="shared" si="81"/>
        <v/>
      </c>
      <c r="P749" s="39" t="str">
        <f t="shared" si="82"/>
        <v/>
      </c>
      <c r="R749" s="39" t="str">
        <f t="shared" si="83"/>
        <v/>
      </c>
      <c r="S749" s="28"/>
      <c r="T749" s="28"/>
      <c r="U749" s="28"/>
    </row>
    <row r="750" spans="1:21" s="5" customFormat="1">
      <c r="A750" s="179" t="s">
        <v>1050</v>
      </c>
      <c r="B750" s="185" t="s">
        <v>5537</v>
      </c>
      <c r="C750" s="35" t="str">
        <f t="shared" si="77"/>
        <v>Azizi</v>
      </c>
      <c r="E750" s="40"/>
      <c r="F750" s="15"/>
      <c r="G750" s="17"/>
      <c r="H750" s="10" t="s">
        <v>8563</v>
      </c>
      <c r="I750" s="4" t="str">
        <f t="shared" si="78"/>
        <v>|ʿAzízí|</v>
      </c>
      <c r="J750" s="3" t="str">
        <f t="shared" si="79"/>
        <v>|'Azizi|</v>
      </c>
      <c r="K750" s="3" t="str">
        <f t="shared" si="80"/>
        <v>Azizi</v>
      </c>
      <c r="N750" s="39" t="str">
        <f t="shared" si="81"/>
        <v/>
      </c>
      <c r="P750" s="39" t="str">
        <f t="shared" si="82"/>
        <v/>
      </c>
      <c r="R750" s="39" t="str">
        <f t="shared" si="83"/>
        <v/>
      </c>
      <c r="S750" s="28"/>
      <c r="T750" s="28"/>
      <c r="U750" s="28"/>
    </row>
    <row r="751" spans="1:21" s="5" customFormat="1">
      <c r="A751" s="179" t="s">
        <v>1051</v>
      </c>
      <c r="B751" s="185" t="s">
        <v>5538</v>
      </c>
      <c r="C751" s="35" t="str">
        <f t="shared" si="77"/>
        <v>Azizullah</v>
      </c>
      <c r="E751" s="40"/>
      <c r="F751" s="15"/>
      <c r="G751" s="17"/>
      <c r="H751" s="10" t="s">
        <v>8563</v>
      </c>
      <c r="I751" s="4" t="str">
        <f t="shared" si="78"/>
        <v>|ʿAzízu’lláh|</v>
      </c>
      <c r="J751" s="3" t="str">
        <f t="shared" si="79"/>
        <v>|'Azizu'llah|</v>
      </c>
      <c r="K751" s="3" t="str">
        <f t="shared" si="80"/>
        <v>Azizullah</v>
      </c>
      <c r="N751" s="39" t="str">
        <f t="shared" si="81"/>
        <v/>
      </c>
      <c r="P751" s="39" t="str">
        <f t="shared" si="82"/>
        <v/>
      </c>
      <c r="R751" s="39" t="str">
        <f t="shared" si="83"/>
        <v/>
      </c>
      <c r="S751" s="28"/>
      <c r="T751" s="28"/>
      <c r="U751" s="28"/>
    </row>
    <row r="752" spans="1:21" s="5" customFormat="1">
      <c r="A752" s="179" t="s">
        <v>1052</v>
      </c>
      <c r="B752" s="185" t="s">
        <v>5539</v>
      </c>
      <c r="C752" s="35" t="str">
        <f t="shared" si="77"/>
        <v>azZalimun</v>
      </c>
      <c r="E752" s="40"/>
      <c r="F752" s="15"/>
      <c r="G752" s="17"/>
      <c r="H752" s="10" t="s">
        <v>8563</v>
      </c>
      <c r="I752" s="4" t="str">
        <f t="shared" si="78"/>
        <v>|aẓ-Ẓálimún|</v>
      </c>
      <c r="J752" s="3" t="str">
        <f t="shared" si="79"/>
        <v>|az-Zalimun|</v>
      </c>
      <c r="K752" s="3" t="str">
        <f t="shared" si="80"/>
        <v>az-Zalimun</v>
      </c>
      <c r="N752" s="39" t="str">
        <f t="shared" si="81"/>
        <v/>
      </c>
      <c r="P752" s="39" t="str">
        <f t="shared" si="82"/>
        <v/>
      </c>
      <c r="R752" s="39" t="str">
        <f t="shared" si="83"/>
        <v/>
      </c>
      <c r="S752" s="28"/>
      <c r="T752" s="28"/>
      <c r="U752" s="28"/>
    </row>
    <row r="753" spans="1:21" s="5" customFormat="1">
      <c r="A753" s="179" t="s">
        <v>1053</v>
      </c>
      <c r="B753" s="185" t="s">
        <v>5540</v>
      </c>
      <c r="C753" s="35" t="str">
        <f t="shared" si="77"/>
        <v>Ba</v>
      </c>
      <c r="E753" s="40"/>
      <c r="F753" s="14"/>
      <c r="G753" s="17"/>
      <c r="H753" s="10" t="s">
        <v>8563</v>
      </c>
      <c r="I753" s="4" t="str">
        <f t="shared" si="78"/>
        <v>|Bá|</v>
      </c>
      <c r="J753" s="3" t="str">
        <f t="shared" si="79"/>
        <v>|Ba|</v>
      </c>
      <c r="K753" s="3" t="str">
        <f t="shared" si="80"/>
        <v>Ba</v>
      </c>
      <c r="N753" s="39" t="str">
        <f t="shared" si="81"/>
        <v/>
      </c>
      <c r="P753" s="39" t="str">
        <f t="shared" si="82"/>
        <v/>
      </c>
      <c r="R753" s="39" t="str">
        <f t="shared" si="83"/>
        <v/>
      </c>
      <c r="S753" s="28"/>
      <c r="T753" s="28"/>
      <c r="U753" s="28"/>
    </row>
    <row r="754" spans="1:21" s="5" customFormat="1">
      <c r="A754" s="179" t="s">
        <v>1054</v>
      </c>
      <c r="B754" s="185" t="s">
        <v>8</v>
      </c>
      <c r="C754" s="35" t="str">
        <f t="shared" si="77"/>
        <v>Bab</v>
      </c>
      <c r="E754" s="40"/>
      <c r="F754" s="14" t="s">
        <v>1055</v>
      </c>
      <c r="G754" s="17"/>
      <c r="H754" s="10" t="s">
        <v>8563</v>
      </c>
      <c r="I754" s="4" t="str">
        <f t="shared" si="78"/>
        <v>|Báb|</v>
      </c>
      <c r="J754" s="3" t="str">
        <f t="shared" si="79"/>
        <v>|Bab|</v>
      </c>
      <c r="K754" s="3" t="str">
        <f t="shared" si="80"/>
        <v>Bab</v>
      </c>
      <c r="N754" s="39" t="str">
        <f t="shared" si="81"/>
        <v/>
      </c>
      <c r="P754" s="39" t="str">
        <f t="shared" si="82"/>
        <v/>
      </c>
      <c r="R754" s="39" t="str">
        <f t="shared" si="83"/>
        <v/>
      </c>
      <c r="S754" s="28"/>
      <c r="T754" s="29">
        <v>41801</v>
      </c>
      <c r="U754" s="28" t="s">
        <v>9474</v>
      </c>
    </row>
    <row r="755" spans="1:21" s="5" customFormat="1">
      <c r="A755" s="179" t="s">
        <v>1056</v>
      </c>
      <c r="B755" s="185" t="s">
        <v>5541</v>
      </c>
      <c r="C755" s="35" t="str">
        <f t="shared" si="77"/>
        <v>Baba</v>
      </c>
      <c r="E755" s="40"/>
      <c r="F755" s="14"/>
      <c r="G755" s="17"/>
      <c r="H755" s="10" t="s">
        <v>8563</v>
      </c>
      <c r="I755" s="4" t="str">
        <f t="shared" si="78"/>
        <v>|Bábá|</v>
      </c>
      <c r="J755" s="3" t="str">
        <f t="shared" si="79"/>
        <v>|Baba|</v>
      </c>
      <c r="K755" s="3" t="str">
        <f t="shared" si="80"/>
        <v>Baba</v>
      </c>
      <c r="N755" s="39" t="str">
        <f t="shared" si="81"/>
        <v/>
      </c>
      <c r="P755" s="39" t="str">
        <f t="shared" si="82"/>
        <v/>
      </c>
      <c r="R755" s="39" t="str">
        <f t="shared" si="83"/>
        <v/>
      </c>
      <c r="S755" s="28"/>
      <c r="T755" s="28"/>
      <c r="U755" s="28"/>
    </row>
    <row r="756" spans="1:21" s="5" customFormat="1">
      <c r="A756" s="179" t="s">
        <v>1057</v>
      </c>
      <c r="B756" s="185" t="s">
        <v>5542</v>
      </c>
      <c r="C756" s="35" t="str">
        <f t="shared" si="77"/>
        <v>Babai</v>
      </c>
      <c r="E756" s="40"/>
      <c r="F756" s="15"/>
      <c r="G756" s="17"/>
      <c r="H756" s="10" t="s">
        <v>8563</v>
      </c>
      <c r="I756" s="4" t="str">
        <f t="shared" si="78"/>
        <v>|Babá’í|</v>
      </c>
      <c r="J756" s="3" t="str">
        <f t="shared" si="79"/>
        <v>|Baba'i|</v>
      </c>
      <c r="K756" s="3" t="str">
        <f t="shared" si="80"/>
        <v>Babai</v>
      </c>
      <c r="N756" s="39" t="str">
        <f t="shared" si="81"/>
        <v/>
      </c>
      <c r="P756" s="39" t="str">
        <f t="shared" si="82"/>
        <v/>
      </c>
      <c r="R756" s="39" t="str">
        <f t="shared" si="83"/>
        <v/>
      </c>
      <c r="S756" s="28"/>
      <c r="T756" s="28"/>
      <c r="U756" s="28"/>
    </row>
    <row r="757" spans="1:21" s="5" customFormat="1">
      <c r="A757" s="179" t="s">
        <v>1058</v>
      </c>
      <c r="B757" s="185" t="s">
        <v>5543</v>
      </c>
      <c r="C757" s="35" t="str">
        <f t="shared" si="77"/>
        <v>BabaIski</v>
      </c>
      <c r="E757" s="40"/>
      <c r="F757" s="14"/>
      <c r="G757" s="17"/>
      <c r="H757" s="10" t="s">
        <v>8563</v>
      </c>
      <c r="I757" s="4" t="str">
        <f t="shared" si="78"/>
        <v>|Bábá-Iskí|</v>
      </c>
      <c r="J757" s="3" t="str">
        <f t="shared" si="79"/>
        <v>|Baba-Iski|</v>
      </c>
      <c r="K757" s="3" t="str">
        <f t="shared" si="80"/>
        <v>Baba-Iski</v>
      </c>
      <c r="N757" s="39" t="str">
        <f t="shared" si="81"/>
        <v/>
      </c>
      <c r="P757" s="39" t="str">
        <f t="shared" si="82"/>
        <v/>
      </c>
      <c r="R757" s="39" t="str">
        <f t="shared" si="83"/>
        <v/>
      </c>
      <c r="S757" s="28"/>
      <c r="T757" s="28"/>
      <c r="U757" s="28"/>
    </row>
    <row r="758" spans="1:21" s="5" customFormat="1">
      <c r="A758" s="179" t="s">
        <v>1059</v>
      </c>
      <c r="B758" s="185" t="s">
        <v>8929</v>
      </c>
      <c r="C758" s="35" t="str">
        <f t="shared" si="77"/>
        <v>BabaKuhi</v>
      </c>
      <c r="E758" s="40"/>
      <c r="F758" s="15"/>
      <c r="G758" s="17"/>
      <c r="H758" s="10" t="s">
        <v>8563</v>
      </c>
      <c r="I758" s="4" t="str">
        <f t="shared" si="78"/>
        <v>|Bábá-Kúhí|</v>
      </c>
      <c r="J758" s="3" t="str">
        <f t="shared" si="79"/>
        <v>|Baba-Kuhi|</v>
      </c>
      <c r="K758" s="3" t="str">
        <f t="shared" si="80"/>
        <v>Baba-Kuhi</v>
      </c>
      <c r="N758" s="39" t="str">
        <f t="shared" si="81"/>
        <v/>
      </c>
      <c r="P758" s="39" t="str">
        <f t="shared" si="82"/>
        <v/>
      </c>
      <c r="R758" s="39" t="str">
        <f t="shared" si="83"/>
        <v/>
      </c>
      <c r="S758" s="28"/>
      <c r="T758" s="28"/>
      <c r="U758" s="28"/>
    </row>
    <row r="759" spans="1:21" s="5" customFormat="1">
      <c r="A759" s="179" t="s">
        <v>1060</v>
      </c>
      <c r="B759" s="185" t="s">
        <v>5544</v>
      </c>
      <c r="C759" s="35" t="str">
        <f t="shared" si="77"/>
        <v>Babazadih</v>
      </c>
      <c r="E759" s="40"/>
      <c r="F759" s="15" t="s">
        <v>1061</v>
      </c>
      <c r="G759" s="17"/>
      <c r="H759" s="10" t="s">
        <v>8563</v>
      </c>
      <c r="I759" s="4" t="str">
        <f t="shared" si="78"/>
        <v>|Bábázádih|</v>
      </c>
      <c r="J759" s="3" t="str">
        <f t="shared" si="79"/>
        <v>|Babazadih|</v>
      </c>
      <c r="K759" s="3" t="str">
        <f t="shared" si="80"/>
        <v>Babazadih</v>
      </c>
      <c r="N759" s="39" t="str">
        <f t="shared" si="81"/>
        <v/>
      </c>
      <c r="P759" s="39" t="str">
        <f t="shared" si="82"/>
        <v/>
      </c>
      <c r="R759" s="39" t="str">
        <f t="shared" si="83"/>
        <v/>
      </c>
      <c r="S759" s="28"/>
      <c r="T759" s="28"/>
      <c r="U759" s="28"/>
    </row>
    <row r="760" spans="1:21" s="5" customFormat="1">
      <c r="A760" s="179" t="s">
        <v>1062</v>
      </c>
      <c r="B760" s="185" t="s">
        <v>9</v>
      </c>
      <c r="C760" s="35" t="str">
        <f t="shared" si="77"/>
        <v>Babi</v>
      </c>
      <c r="E760" s="40"/>
      <c r="F760" s="14" t="s">
        <v>1063</v>
      </c>
      <c r="G760" s="17"/>
      <c r="H760" s="10" t="s">
        <v>8563</v>
      </c>
      <c r="I760" s="4" t="str">
        <f t="shared" si="78"/>
        <v>|Bábí|</v>
      </c>
      <c r="J760" s="3" t="str">
        <f t="shared" si="79"/>
        <v>|Babi|</v>
      </c>
      <c r="K760" s="3" t="str">
        <f t="shared" si="80"/>
        <v>Babi</v>
      </c>
      <c r="N760" s="39" t="str">
        <f t="shared" si="81"/>
        <v/>
      </c>
      <c r="P760" s="39" t="str">
        <f t="shared" si="82"/>
        <v/>
      </c>
      <c r="R760" s="39" t="str">
        <f t="shared" si="83"/>
        <v/>
      </c>
      <c r="S760" s="28"/>
      <c r="T760" s="29">
        <v>41801</v>
      </c>
      <c r="U760" s="28" t="s">
        <v>9475</v>
      </c>
    </row>
    <row r="761" spans="1:21" s="5" customFormat="1">
      <c r="A761" s="179" t="s">
        <v>1069</v>
      </c>
      <c r="B761" s="185" t="s">
        <v>8930</v>
      </c>
      <c r="C761" s="35" t="str">
        <f t="shared" si="77"/>
        <v>Babi,Bahai</v>
      </c>
      <c r="E761" s="40"/>
      <c r="F761" s="15"/>
      <c r="G761" s="17"/>
      <c r="H761" s="10" t="s">
        <v>8563</v>
      </c>
      <c r="I761" s="4" t="str">
        <f t="shared" si="78"/>
        <v>|Bábí, Bahá’í|</v>
      </c>
      <c r="J761" s="3" t="str">
        <f t="shared" si="79"/>
        <v>|Babi, Baha'i|</v>
      </c>
      <c r="K761" s="3" t="str">
        <f t="shared" si="80"/>
        <v>Babi, Bahai</v>
      </c>
      <c r="N761" s="39" t="str">
        <f t="shared" si="81"/>
        <v/>
      </c>
      <c r="P761" s="39" t="str">
        <f t="shared" si="82"/>
        <v/>
      </c>
      <c r="R761" s="39" t="str">
        <f t="shared" si="83"/>
        <v/>
      </c>
      <c r="S761" s="28"/>
      <c r="T761" s="28"/>
      <c r="U761" s="28"/>
    </row>
    <row r="762" spans="1:21" s="5" customFormat="1">
      <c r="A762" s="179" t="s">
        <v>1064</v>
      </c>
      <c r="B762" s="185" t="s">
        <v>5545</v>
      </c>
      <c r="C762" s="35" t="str">
        <f t="shared" si="77"/>
        <v>BabiAli</v>
      </c>
      <c r="E762" s="40"/>
      <c r="F762" s="15" t="s">
        <v>1065</v>
      </c>
      <c r="G762" s="17"/>
      <c r="H762" s="10" t="s">
        <v>8563</v>
      </c>
      <c r="I762" s="4" t="str">
        <f t="shared" si="78"/>
        <v>|Báb-i-ʿAlí|</v>
      </c>
      <c r="J762" s="3" t="str">
        <f t="shared" si="79"/>
        <v>|Bab-i-'Ali|</v>
      </c>
      <c r="K762" s="3" t="str">
        <f t="shared" si="80"/>
        <v>Bab-i-Ali</v>
      </c>
      <c r="N762" s="39" t="str">
        <f t="shared" si="81"/>
        <v/>
      </c>
      <c r="P762" s="39" t="str">
        <f t="shared" si="82"/>
        <v/>
      </c>
      <c r="R762" s="39" t="str">
        <f t="shared" si="83"/>
        <v/>
      </c>
      <c r="S762" s="28"/>
      <c r="T762" s="28"/>
      <c r="U762" s="28"/>
    </row>
    <row r="763" spans="1:21" s="5" customFormat="1">
      <c r="A763" s="179" t="s">
        <v>1066</v>
      </c>
      <c r="B763" s="185" t="s">
        <v>5546</v>
      </c>
      <c r="C763" s="35" t="str">
        <f t="shared" si="77"/>
        <v>BabiAmin</v>
      </c>
      <c r="E763" s="40"/>
      <c r="F763" s="15" t="s">
        <v>1067</v>
      </c>
      <c r="G763" s="17"/>
      <c r="H763" s="10" t="s">
        <v>8563</v>
      </c>
      <c r="I763" s="4" t="str">
        <f t="shared" si="78"/>
        <v>|Báb-i-Amín|</v>
      </c>
      <c r="J763" s="3" t="str">
        <f t="shared" si="79"/>
        <v>|Bab-i-Amin|</v>
      </c>
      <c r="K763" s="3" t="str">
        <f t="shared" si="80"/>
        <v>Bab-i-Amin</v>
      </c>
      <c r="N763" s="39" t="str">
        <f t="shared" si="81"/>
        <v/>
      </c>
      <c r="P763" s="39" t="str">
        <f t="shared" si="82"/>
        <v/>
      </c>
      <c r="R763" s="39" t="str">
        <f t="shared" si="83"/>
        <v/>
      </c>
      <c r="S763" s="28"/>
      <c r="T763" s="28"/>
      <c r="U763" s="28"/>
    </row>
    <row r="764" spans="1:21" s="5" customFormat="1">
      <c r="A764" s="179" t="s">
        <v>1068</v>
      </c>
      <c r="B764" s="185" t="s">
        <v>5547</v>
      </c>
      <c r="C764" s="35" t="str">
        <f t="shared" si="77"/>
        <v>BabiAshraf</v>
      </c>
      <c r="E764" s="40"/>
      <c r="F764" s="15" t="s">
        <v>1067</v>
      </c>
      <c r="G764" s="17"/>
      <c r="H764" s="10" t="s">
        <v>8563</v>
      </c>
      <c r="I764" s="4" t="str">
        <f t="shared" si="78"/>
        <v>|Báb-i-Araf|</v>
      </c>
      <c r="J764" s="3" t="str">
        <f t="shared" si="79"/>
        <v>|Bab-i-Ashraf|</v>
      </c>
      <c r="K764" s="3" t="str">
        <f t="shared" si="80"/>
        <v>Bab-i-Ashraf</v>
      </c>
      <c r="N764" s="39" t="str">
        <f t="shared" si="81"/>
        <v/>
      </c>
      <c r="P764" s="39" t="str">
        <f t="shared" si="82"/>
        <v/>
      </c>
      <c r="R764" s="39" t="str">
        <f t="shared" si="83"/>
        <v/>
      </c>
      <c r="S764" s="28"/>
      <c r="T764" s="28"/>
      <c r="U764" s="28"/>
    </row>
    <row r="765" spans="1:21" s="5" customFormat="1">
      <c r="A765" s="179" t="s">
        <v>1070</v>
      </c>
      <c r="B765" s="185" t="s">
        <v>5548</v>
      </c>
      <c r="C765" s="35" t="str">
        <f t="shared" si="77"/>
        <v>BabiBala</v>
      </c>
      <c r="E765" s="40"/>
      <c r="F765" s="15" t="s">
        <v>1067</v>
      </c>
      <c r="G765" s="17"/>
      <c r="H765" s="10" t="s">
        <v>8563</v>
      </c>
      <c r="I765" s="4" t="str">
        <f t="shared" si="78"/>
        <v>|Báb-i-Bálá|</v>
      </c>
      <c r="J765" s="3" t="str">
        <f t="shared" si="79"/>
        <v>|Bab-i-Bala|</v>
      </c>
      <c r="K765" s="3" t="str">
        <f t="shared" si="80"/>
        <v>Bab-i-Bala</v>
      </c>
      <c r="N765" s="39" t="str">
        <f t="shared" si="81"/>
        <v/>
      </c>
      <c r="P765" s="39" t="str">
        <f t="shared" si="82"/>
        <v/>
      </c>
      <c r="R765" s="39" t="str">
        <f t="shared" si="83"/>
        <v/>
      </c>
      <c r="S765" s="28"/>
      <c r="T765" s="28"/>
      <c r="U765" s="28"/>
    </row>
    <row r="766" spans="1:21" s="5" customFormat="1">
      <c r="A766" s="179" t="s">
        <v>1071</v>
      </c>
      <c r="B766" s="185" t="s">
        <v>5549</v>
      </c>
      <c r="C766" s="35" t="str">
        <f t="shared" si="77"/>
        <v>BabiDukhtaran</v>
      </c>
      <c r="E766" s="40"/>
      <c r="F766" s="14"/>
      <c r="G766" s="17"/>
      <c r="H766" s="10" t="s">
        <v>8563</v>
      </c>
      <c r="I766" s="4" t="str">
        <f t="shared" si="78"/>
        <v>|Bábí-Dutarán|</v>
      </c>
      <c r="J766" s="3" t="str">
        <f t="shared" si="79"/>
        <v>|Babi-Dukhtaran|</v>
      </c>
      <c r="K766" s="3" t="str">
        <f t="shared" si="80"/>
        <v>Babi-Dukhtaran</v>
      </c>
      <c r="N766" s="39" t="str">
        <f t="shared" si="81"/>
        <v/>
      </c>
      <c r="P766" s="39" t="str">
        <f t="shared" si="82"/>
        <v/>
      </c>
      <c r="R766" s="39" t="str">
        <f t="shared" si="83"/>
        <v/>
      </c>
      <c r="S766" s="28"/>
      <c r="T766" s="28"/>
      <c r="U766" s="28"/>
    </row>
    <row r="767" spans="1:21" s="5" customFormat="1">
      <c r="A767" s="179" t="s">
        <v>1072</v>
      </c>
      <c r="B767" s="185" t="s">
        <v>5550</v>
      </c>
      <c r="C767" s="35" t="str">
        <f t="shared" si="77"/>
        <v>BabiFadl</v>
      </c>
      <c r="E767" s="40"/>
      <c r="F767" s="15" t="s">
        <v>1067</v>
      </c>
      <c r="G767" s="17"/>
      <c r="H767" s="10" t="s">
        <v>8563</v>
      </c>
      <c r="I767" s="4" t="str">
        <f t="shared" si="78"/>
        <v>|Báb-i-Faḍl|</v>
      </c>
      <c r="J767" s="3" t="str">
        <f t="shared" si="79"/>
        <v>|Bab-i-Fadl|</v>
      </c>
      <c r="K767" s="3" t="str">
        <f t="shared" si="80"/>
        <v>Bab-i-Fadl</v>
      </c>
      <c r="N767" s="39" t="str">
        <f t="shared" si="81"/>
        <v/>
      </c>
      <c r="P767" s="39" t="str">
        <f t="shared" si="82"/>
        <v/>
      </c>
      <c r="R767" s="39" t="str">
        <f t="shared" si="83"/>
        <v/>
      </c>
      <c r="S767" s="28"/>
      <c r="T767" s="28"/>
      <c r="U767" s="28"/>
    </row>
    <row r="768" spans="1:21" s="5" customFormat="1">
      <c r="A768" s="179" t="s">
        <v>1073</v>
      </c>
      <c r="B768" s="185" t="s">
        <v>5551</v>
      </c>
      <c r="C768" s="35" t="str">
        <f t="shared" si="77"/>
        <v>BabiKarim</v>
      </c>
      <c r="E768" s="40"/>
      <c r="F768" s="15" t="s">
        <v>1067</v>
      </c>
      <c r="G768" s="17"/>
      <c r="H768" s="10" t="s">
        <v>8563</v>
      </c>
      <c r="I768" s="4" t="str">
        <f t="shared" si="78"/>
        <v>|Báb-i-Karím|</v>
      </c>
      <c r="J768" s="3" t="str">
        <f t="shared" si="79"/>
        <v>|Bab-i-Karim|</v>
      </c>
      <c r="K768" s="3" t="str">
        <f t="shared" si="80"/>
        <v>Bab-i-Karim</v>
      </c>
      <c r="N768" s="39" t="str">
        <f t="shared" si="81"/>
        <v/>
      </c>
      <c r="P768" s="39" t="str">
        <f t="shared" si="82"/>
        <v/>
      </c>
      <c r="R768" s="39" t="str">
        <f t="shared" si="83"/>
        <v/>
      </c>
      <c r="S768" s="28"/>
      <c r="T768" s="28"/>
      <c r="U768" s="28"/>
    </row>
    <row r="769" spans="1:21" s="5" customFormat="1">
      <c r="A769" s="179" t="s">
        <v>1075</v>
      </c>
      <c r="B769" s="185" t="s">
        <v>5552</v>
      </c>
      <c r="C769" s="35" t="str">
        <f t="shared" si="77"/>
        <v>BabiMaxwell</v>
      </c>
      <c r="E769" s="40"/>
      <c r="F769" s="15"/>
      <c r="G769" s="17"/>
      <c r="H769" s="10" t="s">
        <v>8563</v>
      </c>
      <c r="I769" s="4" t="str">
        <f t="shared" si="78"/>
        <v>|Báb-i-Maxwell|</v>
      </c>
      <c r="J769" s="3" t="str">
        <f t="shared" si="79"/>
        <v>|Bab-i-Maxwell|</v>
      </c>
      <c r="K769" s="3" t="str">
        <f t="shared" si="80"/>
        <v>Bab-i-Maxwell</v>
      </c>
      <c r="N769" s="39" t="str">
        <f t="shared" si="81"/>
        <v/>
      </c>
      <c r="P769" s="39" t="str">
        <f t="shared" si="82"/>
        <v/>
      </c>
      <c r="R769" s="39" t="str">
        <f t="shared" si="83"/>
        <v/>
      </c>
      <c r="S769" s="28"/>
      <c r="T769" s="28"/>
      <c r="U769" s="28"/>
    </row>
    <row r="770" spans="1:21" s="5" customFormat="1">
      <c r="A770" s="179" t="s">
        <v>1076</v>
      </c>
      <c r="B770" s="185" t="s">
        <v>5553</v>
      </c>
      <c r="C770" s="35" t="str">
        <f t="shared" si="77"/>
        <v>BabiQassabchi</v>
      </c>
      <c r="E770" s="40"/>
      <c r="F770" s="15"/>
      <c r="G770" s="17"/>
      <c r="H770" s="10" t="s">
        <v>8563</v>
      </c>
      <c r="I770" s="4" t="str">
        <f t="shared" si="78"/>
        <v>|Báb-i-Qaṣṣábí|</v>
      </c>
      <c r="J770" s="3" t="str">
        <f t="shared" si="79"/>
        <v>|Bab-i-Qassabchi|</v>
      </c>
      <c r="K770" s="3" t="str">
        <f t="shared" si="80"/>
        <v>Bab-i-Qassabchi</v>
      </c>
      <c r="N770" s="39" t="str">
        <f t="shared" si="81"/>
        <v/>
      </c>
      <c r="P770" s="39" t="str">
        <f t="shared" si="82"/>
        <v/>
      </c>
      <c r="R770" s="39" t="str">
        <f t="shared" si="83"/>
        <v/>
      </c>
      <c r="S770" s="28"/>
      <c r="T770" s="28"/>
      <c r="U770" s="28"/>
    </row>
    <row r="771" spans="1:21" s="5" customFormat="1">
      <c r="A771" s="179" t="s">
        <v>1077</v>
      </c>
      <c r="B771" s="185" t="s">
        <v>5554</v>
      </c>
      <c r="C771" s="35" t="str">
        <f t="shared" ref="C771:C834" si="84">SUBSTITUTE(SUBSTITUTE(K771,"-","")," ","")</f>
        <v>Babiyyat</v>
      </c>
      <c r="E771" s="40"/>
      <c r="F771" s="14"/>
      <c r="G771" s="17"/>
      <c r="H771" s="10" t="s">
        <v>8563</v>
      </c>
      <c r="I771" s="4" t="str">
        <f t="shared" ref="I771:I834" si="85">CONCATENATE("|",B771,"|")</f>
        <v>|Bábíyyat|</v>
      </c>
      <c r="J771" s="3" t="str">
        <f t="shared" ref="J771:J834" si="86">CONCATENATE("|",F_OutputASCII(B771),"|")</f>
        <v>|Babiyyat|</v>
      </c>
      <c r="K771" s="3" t="str">
        <f t="shared" ref="K771:K834" si="87">IF(SUBSTITUTE(MID(J771,2,LEN(J771)-2),"'","")&lt;&gt;"",SUBSTITUTE(MID(J771,2,LEN(J771)-2),"'",""),"ZZZZZ")</f>
        <v>Babiyyat</v>
      </c>
      <c r="N771" s="39" t="str">
        <f t="shared" ref="N771:N834" si="88">SUBSTITUTE(SUBSTITUTE(SUBSTITUTE(F_OutputASCII(M771),"-","")," ",""),"'","")</f>
        <v/>
      </c>
      <c r="P771" s="39" t="str">
        <f t="shared" ref="P771:P834" si="89">SUBSTITUTE(SUBSTITUTE(SUBSTITUTE(F_OutputASCII(O771),"-","")," ",""),"'","")</f>
        <v/>
      </c>
      <c r="R771" s="39" t="str">
        <f t="shared" si="83"/>
        <v/>
      </c>
      <c r="S771" s="28"/>
      <c r="T771" s="28"/>
      <c r="U771" s="28"/>
    </row>
    <row r="772" spans="1:21" s="5" customFormat="1">
      <c r="A772" s="179" t="s">
        <v>1078</v>
      </c>
      <c r="B772" s="185" t="s">
        <v>5555</v>
      </c>
      <c r="C772" s="35" t="str">
        <f t="shared" si="84"/>
        <v>Babiyyih</v>
      </c>
      <c r="E772" s="40"/>
      <c r="F772" s="14"/>
      <c r="G772" s="17"/>
      <c r="H772" s="10" t="s">
        <v>8563</v>
      </c>
      <c r="I772" s="4" t="str">
        <f t="shared" si="85"/>
        <v>|Bábíyyih|</v>
      </c>
      <c r="J772" s="3" t="str">
        <f t="shared" si="86"/>
        <v>|Babiyyih|</v>
      </c>
      <c r="K772" s="3" t="str">
        <f t="shared" si="87"/>
        <v>Babiyyih</v>
      </c>
      <c r="N772" s="39" t="str">
        <f t="shared" si="88"/>
        <v/>
      </c>
      <c r="P772" s="39" t="str">
        <f t="shared" si="89"/>
        <v/>
      </c>
      <c r="R772" s="39" t="str">
        <f t="shared" ref="R772:R835" si="90">SUBSTITUTE(SUBSTITUTE(Q772,"-","")," ","")</f>
        <v/>
      </c>
      <c r="S772" s="28"/>
      <c r="T772" s="28"/>
      <c r="U772" s="28"/>
    </row>
    <row r="773" spans="1:21" s="5" customFormat="1">
      <c r="A773" s="179" t="s">
        <v>1079</v>
      </c>
      <c r="B773" s="185" t="s">
        <v>5556</v>
      </c>
      <c r="C773" s="35" t="str">
        <f t="shared" si="84"/>
        <v>BabudDin</v>
      </c>
      <c r="E773" s="40"/>
      <c r="F773" s="14"/>
      <c r="G773" s="17"/>
      <c r="H773" s="10" t="s">
        <v>8563</v>
      </c>
      <c r="I773" s="4" t="str">
        <f t="shared" si="85"/>
        <v>|Bábu’d-Dín|</v>
      </c>
      <c r="J773" s="3" t="str">
        <f t="shared" si="86"/>
        <v>|Babu'd-Din|</v>
      </c>
      <c r="K773" s="3" t="str">
        <f t="shared" si="87"/>
        <v>Babud-Din</v>
      </c>
      <c r="N773" s="39" t="str">
        <f t="shared" si="88"/>
        <v/>
      </c>
      <c r="P773" s="39" t="str">
        <f t="shared" si="89"/>
        <v/>
      </c>
      <c r="R773" s="39" t="str">
        <f t="shared" si="90"/>
        <v/>
      </c>
      <c r="S773" s="28"/>
      <c r="T773" s="28"/>
      <c r="U773" s="28"/>
    </row>
    <row r="774" spans="1:21" s="5" customFormat="1">
      <c r="A774" s="179" t="s">
        <v>1074</v>
      </c>
      <c r="B774" s="185" t="s">
        <v>8931</v>
      </c>
      <c r="C774" s="35" t="str">
        <f t="shared" si="84"/>
        <v>BabulAbvab</v>
      </c>
      <c r="E774" s="40"/>
      <c r="F774" s="15"/>
      <c r="G774" s="17"/>
      <c r="H774" s="10" t="s">
        <v>8563</v>
      </c>
      <c r="I774" s="4" t="str">
        <f t="shared" si="85"/>
        <v>|Bábu’l-Abváb|</v>
      </c>
      <c r="J774" s="3" t="str">
        <f t="shared" si="86"/>
        <v>|Babu'l-Abvab|</v>
      </c>
      <c r="K774" s="3" t="str">
        <f t="shared" si="87"/>
        <v>Babul-Abvab</v>
      </c>
      <c r="N774" s="39" t="str">
        <f t="shared" si="88"/>
        <v/>
      </c>
      <c r="P774" s="39" t="str">
        <f t="shared" si="89"/>
        <v/>
      </c>
      <c r="R774" s="39" t="str">
        <f t="shared" si="90"/>
        <v/>
      </c>
      <c r="S774" s="28"/>
      <c r="T774" s="28"/>
      <c r="U774" s="28"/>
    </row>
    <row r="775" spans="1:21" s="5" customFormat="1">
      <c r="A775" s="179" t="s">
        <v>1080</v>
      </c>
      <c r="B775" s="185" t="s">
        <v>5557</v>
      </c>
      <c r="C775" s="35" t="str">
        <f t="shared" si="84"/>
        <v>BabulBab</v>
      </c>
      <c r="E775" s="40"/>
      <c r="F775" s="14" t="s">
        <v>1081</v>
      </c>
      <c r="G775" s="17"/>
      <c r="H775" s="10" t="s">
        <v>8563</v>
      </c>
      <c r="I775" s="4" t="str">
        <f t="shared" si="85"/>
        <v>|Bábu’l-Báb|</v>
      </c>
      <c r="J775" s="3" t="str">
        <f t="shared" si="86"/>
        <v>|Babu'l-Bab|</v>
      </c>
      <c r="K775" s="3" t="str">
        <f t="shared" si="87"/>
        <v>Babul-Bab</v>
      </c>
      <c r="N775" s="39" t="str">
        <f t="shared" si="88"/>
        <v/>
      </c>
      <c r="P775" s="39" t="str">
        <f t="shared" si="89"/>
        <v/>
      </c>
      <c r="R775" s="39" t="str">
        <f t="shared" si="90"/>
        <v/>
      </c>
      <c r="S775" s="28"/>
      <c r="T775" s="28"/>
      <c r="U775" s="28"/>
    </row>
    <row r="776" spans="1:21" s="5" customFormat="1">
      <c r="A776" s="179" t="s">
        <v>1082</v>
      </c>
      <c r="B776" s="185" t="s">
        <v>5558</v>
      </c>
      <c r="C776" s="35" t="str">
        <f t="shared" si="84"/>
        <v>Babullah</v>
      </c>
      <c r="E776" s="40"/>
      <c r="F776" s="14"/>
      <c r="G776" s="17"/>
      <c r="H776" s="10" t="s">
        <v>8563</v>
      </c>
      <c r="I776" s="4" t="str">
        <f t="shared" si="85"/>
        <v>|Bábu’lláh|</v>
      </c>
      <c r="J776" s="3" t="str">
        <f t="shared" si="86"/>
        <v>|Babu'llah|</v>
      </c>
      <c r="K776" s="3" t="str">
        <f t="shared" si="87"/>
        <v>Babullah</v>
      </c>
      <c r="N776" s="39" t="str">
        <f t="shared" si="88"/>
        <v/>
      </c>
      <c r="P776" s="39" t="str">
        <f t="shared" si="89"/>
        <v/>
      </c>
      <c r="R776" s="39" t="str">
        <f t="shared" si="90"/>
        <v/>
      </c>
      <c r="S776" s="28"/>
      <c r="T776" s="28"/>
      <c r="U776" s="28"/>
    </row>
    <row r="777" spans="1:21" s="5" customFormat="1">
      <c r="A777" s="179" t="s">
        <v>1083</v>
      </c>
      <c r="B777" s="185" t="s">
        <v>5559</v>
      </c>
      <c r="C777" s="35" t="str">
        <f t="shared" si="84"/>
        <v>Badakhshan</v>
      </c>
      <c r="E777" s="40"/>
      <c r="F777" s="15"/>
      <c r="G777" s="17"/>
      <c r="H777" s="10" t="s">
        <v>8563</v>
      </c>
      <c r="I777" s="4" t="str">
        <f t="shared" si="85"/>
        <v>|Badaán|</v>
      </c>
      <c r="J777" s="3" t="str">
        <f t="shared" si="86"/>
        <v>|Badakhshan|</v>
      </c>
      <c r="K777" s="3" t="str">
        <f t="shared" si="87"/>
        <v>Badakhshan</v>
      </c>
      <c r="N777" s="39" t="str">
        <f t="shared" si="88"/>
        <v/>
      </c>
      <c r="P777" s="39" t="str">
        <f t="shared" si="89"/>
        <v/>
      </c>
      <c r="R777" s="39" t="str">
        <f t="shared" si="90"/>
        <v/>
      </c>
      <c r="S777" s="28"/>
      <c r="T777" s="28"/>
      <c r="U777" s="28"/>
    </row>
    <row r="778" spans="1:21" s="5" customFormat="1">
      <c r="A778" s="179" t="s">
        <v>1084</v>
      </c>
      <c r="B778" s="185" t="s">
        <v>5560</v>
      </c>
      <c r="C778" s="35" t="str">
        <f t="shared" si="84"/>
        <v>Badasht</v>
      </c>
      <c r="E778" s="40"/>
      <c r="F778" s="14"/>
      <c r="G778" s="17"/>
      <c r="H778" s="10" t="s">
        <v>8563</v>
      </c>
      <c r="I778" s="4" t="str">
        <f t="shared" si="85"/>
        <v>|Badat|</v>
      </c>
      <c r="J778" s="3" t="str">
        <f t="shared" si="86"/>
        <v>|Badasht|</v>
      </c>
      <c r="K778" s="3" t="str">
        <f t="shared" si="87"/>
        <v>Badasht</v>
      </c>
      <c r="N778" s="39" t="str">
        <f t="shared" si="88"/>
        <v/>
      </c>
      <c r="P778" s="39" t="str">
        <f t="shared" si="89"/>
        <v/>
      </c>
      <c r="R778" s="39" t="str">
        <f t="shared" si="90"/>
        <v/>
      </c>
      <c r="S778" s="28"/>
      <c r="T778" s="28"/>
      <c r="U778" s="28"/>
    </row>
    <row r="779" spans="1:21" s="5" customFormat="1">
      <c r="A779" s="179" t="s">
        <v>1085</v>
      </c>
      <c r="B779" s="185" t="s">
        <v>5561</v>
      </c>
      <c r="C779" s="35" t="str">
        <f t="shared" si="84"/>
        <v>BadayiulAthar</v>
      </c>
      <c r="E779" s="40"/>
      <c r="F779" s="15" t="s">
        <v>1086</v>
      </c>
      <c r="G779" s="17"/>
      <c r="H779" s="10" t="s">
        <v>8563</v>
      </c>
      <c r="I779" s="4" t="str">
        <f t="shared" si="85"/>
        <v>|Badáyiʿu’l-Áár|</v>
      </c>
      <c r="J779" s="3" t="str">
        <f t="shared" si="86"/>
        <v>|Badayi'u'l-Athar|</v>
      </c>
      <c r="K779" s="3" t="str">
        <f t="shared" si="87"/>
        <v>Badayiul-Athar</v>
      </c>
      <c r="N779" s="39" t="str">
        <f t="shared" si="88"/>
        <v/>
      </c>
      <c r="P779" s="39" t="str">
        <f t="shared" si="89"/>
        <v/>
      </c>
      <c r="R779" s="39" t="str">
        <f t="shared" si="90"/>
        <v/>
      </c>
      <c r="S779" s="28"/>
      <c r="T779" s="28"/>
      <c r="U779" s="28"/>
    </row>
    <row r="780" spans="1:21" s="5" customFormat="1">
      <c r="A780" s="179" t="s">
        <v>1087</v>
      </c>
      <c r="B780" s="185" t="s">
        <v>84</v>
      </c>
      <c r="C780" s="35" t="str">
        <f t="shared" si="84"/>
        <v>Badi</v>
      </c>
      <c r="E780" s="40"/>
      <c r="F780" s="14" t="s">
        <v>1088</v>
      </c>
      <c r="G780" s="17"/>
      <c r="H780" s="10" t="s">
        <v>8563</v>
      </c>
      <c r="I780" s="4" t="str">
        <f t="shared" si="85"/>
        <v>|Badíʿ|</v>
      </c>
      <c r="J780" s="3" t="str">
        <f t="shared" si="86"/>
        <v>|Badi'|</v>
      </c>
      <c r="K780" s="3" t="str">
        <f t="shared" si="87"/>
        <v>Badi</v>
      </c>
      <c r="N780" s="39" t="str">
        <f t="shared" si="88"/>
        <v/>
      </c>
      <c r="P780" s="39" t="str">
        <f t="shared" si="89"/>
        <v/>
      </c>
      <c r="R780" s="39" t="str">
        <f t="shared" si="90"/>
        <v/>
      </c>
      <c r="S780" s="28"/>
      <c r="T780" s="29">
        <v>41801</v>
      </c>
      <c r="U780" s="28"/>
    </row>
    <row r="781" spans="1:21" s="5" customFormat="1">
      <c r="A781" s="179" t="s">
        <v>1089</v>
      </c>
      <c r="B781" s="185" t="s">
        <v>5562</v>
      </c>
      <c r="C781" s="35" t="str">
        <f t="shared" si="84"/>
        <v>Badiih</v>
      </c>
      <c r="E781" s="40"/>
      <c r="F781" s="15"/>
      <c r="G781" s="17"/>
      <c r="H781" s="10" t="s">
        <v>8563</v>
      </c>
      <c r="I781" s="4" t="str">
        <f t="shared" si="85"/>
        <v>|Badíʿih|</v>
      </c>
      <c r="J781" s="3" t="str">
        <f t="shared" si="86"/>
        <v>|Badi'ih|</v>
      </c>
      <c r="K781" s="3" t="str">
        <f t="shared" si="87"/>
        <v>Badiih</v>
      </c>
      <c r="N781" s="39" t="str">
        <f t="shared" si="88"/>
        <v/>
      </c>
      <c r="P781" s="39" t="str">
        <f t="shared" si="89"/>
        <v/>
      </c>
      <c r="R781" s="39" t="str">
        <f t="shared" si="90"/>
        <v/>
      </c>
      <c r="S781" s="28"/>
      <c r="T781" s="28"/>
      <c r="U781" s="28"/>
    </row>
    <row r="782" spans="1:21" s="5" customFormat="1">
      <c r="A782" s="179" t="s">
        <v>1090</v>
      </c>
      <c r="B782" s="185" t="s">
        <v>5563</v>
      </c>
      <c r="C782" s="35" t="str">
        <f t="shared" si="84"/>
        <v>Badinjan</v>
      </c>
      <c r="E782" s="40"/>
      <c r="F782" s="15"/>
      <c r="G782" s="17"/>
      <c r="H782" s="10" t="s">
        <v>8563</v>
      </c>
      <c r="I782" s="4" t="str">
        <f t="shared" si="85"/>
        <v>|Bádinján|</v>
      </c>
      <c r="J782" s="3" t="str">
        <f t="shared" si="86"/>
        <v>|Badinjan|</v>
      </c>
      <c r="K782" s="3" t="str">
        <f t="shared" si="87"/>
        <v>Badinjan</v>
      </c>
      <c r="N782" s="39" t="str">
        <f t="shared" si="88"/>
        <v/>
      </c>
      <c r="P782" s="39" t="str">
        <f t="shared" si="89"/>
        <v/>
      </c>
      <c r="R782" s="39" t="str">
        <f t="shared" si="90"/>
        <v/>
      </c>
      <c r="S782" s="28"/>
      <c r="T782" s="28"/>
      <c r="U782" s="28"/>
    </row>
    <row r="783" spans="1:21" s="5" customFormat="1">
      <c r="A783" s="179" t="s">
        <v>1091</v>
      </c>
      <c r="B783" s="185" t="s">
        <v>5564</v>
      </c>
      <c r="C783" s="35" t="str">
        <f t="shared" si="84"/>
        <v>BadiulHayat</v>
      </c>
      <c r="E783" s="40"/>
      <c r="F783" s="15" t="s">
        <v>1092</v>
      </c>
      <c r="G783" s="17"/>
      <c r="H783" s="10" t="s">
        <v>8563</v>
      </c>
      <c r="I783" s="4" t="str">
        <f t="shared" si="85"/>
        <v>|Badíʿu’l-Ḥayát|</v>
      </c>
      <c r="J783" s="3" t="str">
        <f t="shared" si="86"/>
        <v>|Badi'u'l-Hayat|</v>
      </c>
      <c r="K783" s="3" t="str">
        <f t="shared" si="87"/>
        <v>Badiul-Hayat</v>
      </c>
      <c r="N783" s="39" t="str">
        <f t="shared" si="88"/>
        <v/>
      </c>
      <c r="P783" s="39" t="str">
        <f t="shared" si="89"/>
        <v/>
      </c>
      <c r="R783" s="39" t="str">
        <f t="shared" si="90"/>
        <v/>
      </c>
      <c r="S783" s="28"/>
      <c r="T783" s="28"/>
      <c r="U783" s="28"/>
    </row>
    <row r="784" spans="1:21" s="5" customFormat="1">
      <c r="A784" s="179" t="s">
        <v>1093</v>
      </c>
      <c r="B784" s="185" t="s">
        <v>5565</v>
      </c>
      <c r="C784" s="35" t="str">
        <f t="shared" si="84"/>
        <v>Badiullah</v>
      </c>
      <c r="E784" s="40"/>
      <c r="F784" s="14"/>
      <c r="G784" s="17"/>
      <c r="H784" s="10" t="s">
        <v>8563</v>
      </c>
      <c r="I784" s="4" t="str">
        <f t="shared" si="85"/>
        <v>|Badíʿu’lláh|</v>
      </c>
      <c r="J784" s="3" t="str">
        <f t="shared" si="86"/>
        <v>|Badi'u'llah|</v>
      </c>
      <c r="K784" s="3" t="str">
        <f t="shared" si="87"/>
        <v>Badiullah</v>
      </c>
      <c r="N784" s="39" t="str">
        <f t="shared" si="88"/>
        <v/>
      </c>
      <c r="P784" s="39" t="str">
        <f t="shared" si="89"/>
        <v/>
      </c>
      <c r="R784" s="39" t="str">
        <f t="shared" si="90"/>
        <v/>
      </c>
      <c r="S784" s="28"/>
      <c r="T784" s="28"/>
      <c r="U784" s="28"/>
    </row>
    <row r="785" spans="1:21" s="5" customFormat="1">
      <c r="A785" s="179" t="s">
        <v>1094</v>
      </c>
      <c r="B785" s="185" t="s">
        <v>5566</v>
      </c>
      <c r="C785" s="35" t="str">
        <f t="shared" si="84"/>
        <v>Badri</v>
      </c>
      <c r="E785" s="40"/>
      <c r="F785" s="14"/>
      <c r="G785" s="17"/>
      <c r="H785" s="10" t="s">
        <v>8563</v>
      </c>
      <c r="I785" s="4" t="str">
        <f t="shared" si="85"/>
        <v>|Badrí|</v>
      </c>
      <c r="J785" s="3" t="str">
        <f t="shared" si="86"/>
        <v>|Badri|</v>
      </c>
      <c r="K785" s="3" t="str">
        <f t="shared" si="87"/>
        <v>Badri</v>
      </c>
      <c r="N785" s="39" t="str">
        <f t="shared" si="88"/>
        <v/>
      </c>
      <c r="P785" s="39" t="str">
        <f t="shared" si="89"/>
        <v/>
      </c>
      <c r="R785" s="39" t="str">
        <f t="shared" si="90"/>
        <v/>
      </c>
      <c r="S785" s="28"/>
      <c r="T785" s="28"/>
      <c r="U785" s="28"/>
    </row>
    <row r="786" spans="1:21" s="5" customFormat="1">
      <c r="A786" s="181"/>
      <c r="B786" s="185" t="s">
        <v>8656</v>
      </c>
      <c r="C786" s="35" t="str">
        <f t="shared" si="84"/>
        <v>BadriPasha</v>
      </c>
      <c r="D786" s="1"/>
      <c r="E786" s="40"/>
      <c r="F786" s="12"/>
      <c r="G786" s="9"/>
      <c r="H786" s="12" t="s">
        <v>8622</v>
      </c>
      <c r="I786" s="4" t="str">
        <f t="shared" si="85"/>
        <v>|Badrí Páá|</v>
      </c>
      <c r="J786" s="3" t="str">
        <f t="shared" si="86"/>
        <v>|Badri Pasha|</v>
      </c>
      <c r="K786" s="3" t="str">
        <f t="shared" si="87"/>
        <v>Badri Pasha</v>
      </c>
      <c r="N786" s="39" t="str">
        <f t="shared" si="88"/>
        <v/>
      </c>
      <c r="P786" s="39" t="str">
        <f t="shared" si="89"/>
        <v/>
      </c>
      <c r="R786" s="39" t="str">
        <f t="shared" si="90"/>
        <v/>
      </c>
      <c r="S786" s="29">
        <v>41760</v>
      </c>
      <c r="T786" s="28"/>
      <c r="U786" s="28"/>
    </row>
    <row r="787" spans="1:21" s="5" customFormat="1">
      <c r="A787" s="179" t="s">
        <v>1095</v>
      </c>
      <c r="B787" s="185" t="s">
        <v>5567</v>
      </c>
      <c r="C787" s="35" t="str">
        <f t="shared" si="84"/>
        <v>BadrudDin</v>
      </c>
      <c r="E787" s="40"/>
      <c r="F787" s="15"/>
      <c r="G787" s="17"/>
      <c r="H787" s="10" t="s">
        <v>8563</v>
      </c>
      <c r="I787" s="4" t="str">
        <f t="shared" si="85"/>
        <v>|Badru’d-Dín|</v>
      </c>
      <c r="J787" s="3" t="str">
        <f t="shared" si="86"/>
        <v>|Badru'd-Din|</v>
      </c>
      <c r="K787" s="3" t="str">
        <f t="shared" si="87"/>
        <v>Badrud-Din</v>
      </c>
      <c r="N787" s="39" t="str">
        <f t="shared" si="88"/>
        <v/>
      </c>
      <c r="P787" s="39" t="str">
        <f t="shared" si="89"/>
        <v/>
      </c>
      <c r="R787" s="39" t="str">
        <f t="shared" si="90"/>
        <v/>
      </c>
      <c r="S787" s="28"/>
      <c r="T787" s="28"/>
      <c r="U787" s="28"/>
    </row>
    <row r="788" spans="1:21" s="5" customFormat="1">
      <c r="A788" s="179" t="s">
        <v>1096</v>
      </c>
      <c r="B788" s="185" t="s">
        <v>5568</v>
      </c>
      <c r="C788" s="35" t="str">
        <f t="shared" si="84"/>
        <v>Bagh</v>
      </c>
      <c r="E788" s="40"/>
      <c r="F788" s="15" t="s">
        <v>1097</v>
      </c>
      <c r="G788" s="17"/>
      <c r="H788" s="10" t="s">
        <v>8563</v>
      </c>
      <c r="I788" s="4" t="str">
        <f t="shared" si="85"/>
        <v>|Bá|</v>
      </c>
      <c r="J788" s="3" t="str">
        <f t="shared" si="86"/>
        <v>|Bagh|</v>
      </c>
      <c r="K788" s="3" t="str">
        <f t="shared" si="87"/>
        <v>Bagh</v>
      </c>
      <c r="N788" s="39" t="str">
        <f t="shared" si="88"/>
        <v/>
      </c>
      <c r="P788" s="39" t="str">
        <f t="shared" si="89"/>
        <v/>
      </c>
      <c r="R788" s="39" t="str">
        <f t="shared" si="90"/>
        <v/>
      </c>
      <c r="S788" s="28"/>
      <c r="T788" s="28"/>
      <c r="U788" s="28"/>
    </row>
    <row r="789" spans="1:21" s="5" customFormat="1">
      <c r="A789" s="179" t="s">
        <v>1098</v>
      </c>
      <c r="B789" s="185" t="s">
        <v>5569</v>
      </c>
      <c r="C789" s="35" t="str">
        <f t="shared" si="84"/>
        <v>BaghbanBashi</v>
      </c>
      <c r="E789" s="40"/>
      <c r="F789" s="15"/>
      <c r="G789" s="17"/>
      <c r="H789" s="10" t="s">
        <v>8563</v>
      </c>
      <c r="I789" s="4" t="str">
        <f t="shared" si="85"/>
        <v>|Bábán-Báí|</v>
      </c>
      <c r="J789" s="3" t="str">
        <f t="shared" si="86"/>
        <v>|Baghban-Bashi|</v>
      </c>
      <c r="K789" s="3" t="str">
        <f t="shared" si="87"/>
        <v>Baghban-Bashi</v>
      </c>
      <c r="N789" s="39" t="str">
        <f t="shared" si="88"/>
        <v/>
      </c>
      <c r="P789" s="39" t="str">
        <f t="shared" si="89"/>
        <v/>
      </c>
      <c r="R789" s="39" t="str">
        <f t="shared" si="90"/>
        <v/>
      </c>
      <c r="S789" s="28"/>
      <c r="T789" s="28"/>
      <c r="U789" s="28"/>
    </row>
    <row r="790" spans="1:21" s="5" customFormat="1">
      <c r="A790" s="179" t="s">
        <v>1099</v>
      </c>
      <c r="B790" s="185" t="s">
        <v>11</v>
      </c>
      <c r="C790" s="35" t="str">
        <f t="shared" si="84"/>
        <v>Baghdad</v>
      </c>
      <c r="E790" s="40"/>
      <c r="F790" s="14"/>
      <c r="G790" s="17"/>
      <c r="H790" s="10" t="s">
        <v>8563</v>
      </c>
      <c r="I790" s="4" t="str">
        <f t="shared" si="85"/>
        <v>|Badád|</v>
      </c>
      <c r="J790" s="3" t="str">
        <f t="shared" si="86"/>
        <v>|Baghdad|</v>
      </c>
      <c r="K790" s="3" t="str">
        <f t="shared" si="87"/>
        <v>Baghdad</v>
      </c>
      <c r="N790" s="39" t="str">
        <f t="shared" si="88"/>
        <v/>
      </c>
      <c r="P790" s="39" t="str">
        <f t="shared" si="89"/>
        <v/>
      </c>
      <c r="R790" s="39" t="str">
        <f t="shared" si="90"/>
        <v/>
      </c>
      <c r="S790" s="28"/>
      <c r="T790" s="29">
        <v>41801</v>
      </c>
      <c r="U790" s="28" t="s">
        <v>9447</v>
      </c>
    </row>
    <row r="791" spans="1:21" s="5" customFormat="1">
      <c r="A791" s="181"/>
      <c r="B791" s="185" t="s">
        <v>12</v>
      </c>
      <c r="C791" s="35" t="str">
        <f t="shared" si="84"/>
        <v>Baghdader</v>
      </c>
      <c r="D791" s="1" t="s">
        <v>59</v>
      </c>
      <c r="E791" s="40"/>
      <c r="F791" s="12"/>
      <c r="G791" s="9" t="s">
        <v>5570</v>
      </c>
      <c r="H791" s="12"/>
      <c r="I791" s="4" t="str">
        <f t="shared" si="85"/>
        <v>|Badáder|</v>
      </c>
      <c r="J791" s="3" t="str">
        <f t="shared" si="86"/>
        <v>|Baghdader|</v>
      </c>
      <c r="K791" s="3" t="str">
        <f t="shared" si="87"/>
        <v>Baghdader</v>
      </c>
      <c r="M791" s="1"/>
      <c r="N791" s="39" t="str">
        <f t="shared" si="88"/>
        <v/>
      </c>
      <c r="O791" s="1"/>
      <c r="P791" s="39" t="str">
        <f t="shared" si="89"/>
        <v/>
      </c>
      <c r="Q791" s="1"/>
      <c r="R791" s="39" t="str">
        <f t="shared" si="90"/>
        <v/>
      </c>
      <c r="S791" s="28"/>
      <c r="T791" s="29">
        <v>41791</v>
      </c>
      <c r="U791" s="28" t="s">
        <v>9448</v>
      </c>
    </row>
    <row r="792" spans="1:21" s="5" customFormat="1">
      <c r="A792" s="179" t="s">
        <v>1100</v>
      </c>
      <c r="B792" s="185" t="s">
        <v>5570</v>
      </c>
      <c r="C792" s="35" t="str">
        <f t="shared" si="84"/>
        <v>Baghdadi</v>
      </c>
      <c r="E792" s="40"/>
      <c r="F792" s="14"/>
      <c r="G792" s="17"/>
      <c r="H792" s="10" t="s">
        <v>8563</v>
      </c>
      <c r="I792" s="4" t="str">
        <f t="shared" si="85"/>
        <v>|Badádí|</v>
      </c>
      <c r="J792" s="3" t="str">
        <f t="shared" si="86"/>
        <v>|Baghdadi|</v>
      </c>
      <c r="K792" s="3" t="str">
        <f t="shared" si="87"/>
        <v>Baghdadi</v>
      </c>
      <c r="N792" s="39" t="str">
        <f t="shared" si="88"/>
        <v/>
      </c>
      <c r="P792" s="39" t="str">
        <f t="shared" si="89"/>
        <v/>
      </c>
      <c r="R792" s="39" t="str">
        <f t="shared" si="90"/>
        <v/>
      </c>
      <c r="S792" s="28"/>
      <c r="T792" s="28"/>
      <c r="U792" s="28"/>
    </row>
    <row r="793" spans="1:21" s="5" customFormat="1">
      <c r="A793" s="179"/>
      <c r="B793" s="185" t="s">
        <v>9102</v>
      </c>
      <c r="C793" s="35" t="str">
        <f t="shared" si="84"/>
        <v>Baghdads</v>
      </c>
      <c r="D793" s="5" t="s">
        <v>59</v>
      </c>
      <c r="E793" s="40"/>
      <c r="F793" s="15"/>
      <c r="G793" s="17"/>
      <c r="H793" s="10"/>
      <c r="I793" s="4" t="str">
        <f t="shared" si="85"/>
        <v>|Badáds|</v>
      </c>
      <c r="J793" s="3" t="str">
        <f t="shared" si="86"/>
        <v>|Baghdads|</v>
      </c>
      <c r="K793" s="3" t="str">
        <f t="shared" si="87"/>
        <v>Baghdads</v>
      </c>
      <c r="L793" s="1"/>
      <c r="N793" s="39" t="str">
        <f t="shared" si="88"/>
        <v/>
      </c>
      <c r="P793" s="39" t="str">
        <f t="shared" si="89"/>
        <v/>
      </c>
      <c r="R793" s="39" t="str">
        <f t="shared" si="90"/>
        <v/>
      </c>
      <c r="S793" s="29">
        <v>41781</v>
      </c>
      <c r="T793" s="29">
        <v>41791</v>
      </c>
      <c r="U793" s="28" t="s">
        <v>9449</v>
      </c>
    </row>
    <row r="794" spans="1:21" s="5" customFormat="1">
      <c r="A794" s="179" t="s">
        <v>1101</v>
      </c>
      <c r="B794" s="185" t="s">
        <v>5571</v>
      </c>
      <c r="C794" s="35" t="str">
        <f t="shared" si="84"/>
        <v>Baghi</v>
      </c>
      <c r="E794" s="40"/>
      <c r="F794" s="15"/>
      <c r="G794" s="17"/>
      <c r="H794" s="10" t="s">
        <v>8563</v>
      </c>
      <c r="I794" s="4" t="str">
        <f t="shared" si="85"/>
        <v>|Baí|</v>
      </c>
      <c r="J794" s="3" t="str">
        <f t="shared" si="86"/>
        <v>|Baghi|</v>
      </c>
      <c r="K794" s="3" t="str">
        <f t="shared" si="87"/>
        <v>Baghi</v>
      </c>
      <c r="N794" s="39" t="str">
        <f t="shared" si="88"/>
        <v/>
      </c>
      <c r="P794" s="39" t="str">
        <f t="shared" si="89"/>
        <v/>
      </c>
      <c r="R794" s="39" t="str">
        <f t="shared" si="90"/>
        <v/>
      </c>
      <c r="S794" s="28"/>
      <c r="T794" s="28"/>
      <c r="U794" s="28"/>
    </row>
    <row r="795" spans="1:21" s="5" customFormat="1">
      <c r="A795" s="179" t="s">
        <v>1102</v>
      </c>
      <c r="B795" s="185" t="s">
        <v>5572</v>
      </c>
      <c r="C795" s="35" t="str">
        <f t="shared" si="84"/>
        <v>BaghiFirdaws</v>
      </c>
      <c r="E795" s="40"/>
      <c r="F795" s="14"/>
      <c r="G795" s="17"/>
      <c r="H795" s="10" t="s">
        <v>8563</v>
      </c>
      <c r="I795" s="4" t="str">
        <f t="shared" si="85"/>
        <v>|Bá-i-Firdaws|</v>
      </c>
      <c r="J795" s="3" t="str">
        <f t="shared" si="86"/>
        <v>|Bagh-i-Firdaws|</v>
      </c>
      <c r="K795" s="3" t="str">
        <f t="shared" si="87"/>
        <v>Bagh-i-Firdaws</v>
      </c>
      <c r="N795" s="39" t="str">
        <f t="shared" si="88"/>
        <v/>
      </c>
      <c r="P795" s="39" t="str">
        <f t="shared" si="89"/>
        <v/>
      </c>
      <c r="R795" s="39" t="str">
        <f t="shared" si="90"/>
        <v/>
      </c>
      <c r="S795" s="28"/>
      <c r="T795" s="28"/>
      <c r="U795" s="28"/>
    </row>
    <row r="796" spans="1:21" s="5" customFormat="1">
      <c r="A796" s="179" t="s">
        <v>1103</v>
      </c>
      <c r="B796" s="185" t="s">
        <v>5573</v>
      </c>
      <c r="C796" s="35" t="str">
        <f t="shared" si="84"/>
        <v>BaghiIlahi</v>
      </c>
      <c r="E796" s="40"/>
      <c r="F796" s="15"/>
      <c r="G796" s="17"/>
      <c r="H796" s="10" t="s">
        <v>8563</v>
      </c>
      <c r="I796" s="4" t="str">
        <f t="shared" si="85"/>
        <v>|Bá-i-Iláhí|</v>
      </c>
      <c r="J796" s="3" t="str">
        <f t="shared" si="86"/>
        <v>|Bagh-i-Ilahi|</v>
      </c>
      <c r="K796" s="3" t="str">
        <f t="shared" si="87"/>
        <v>Bagh-i-Ilahi</v>
      </c>
      <c r="N796" s="39" t="str">
        <f t="shared" si="88"/>
        <v/>
      </c>
      <c r="P796" s="39" t="str">
        <f t="shared" si="89"/>
        <v/>
      </c>
      <c r="R796" s="39" t="str">
        <f t="shared" si="90"/>
        <v/>
      </c>
      <c r="S796" s="28"/>
      <c r="T796" s="28"/>
      <c r="U796" s="28"/>
    </row>
    <row r="797" spans="1:21" s="5" customFormat="1">
      <c r="A797" s="179" t="s">
        <v>1104</v>
      </c>
      <c r="B797" s="185" t="s">
        <v>5574</v>
      </c>
      <c r="C797" s="35" t="str">
        <f t="shared" si="84"/>
        <v>BaghiJannat</v>
      </c>
      <c r="E797" s="40"/>
      <c r="F797" s="15" t="s">
        <v>1105</v>
      </c>
      <c r="G797" s="17"/>
      <c r="H797" s="10" t="s">
        <v>8563</v>
      </c>
      <c r="I797" s="4" t="str">
        <f t="shared" si="85"/>
        <v>|Bá-i-Jannat|</v>
      </c>
      <c r="J797" s="3" t="str">
        <f t="shared" si="86"/>
        <v>|Bagh-i-Jannat|</v>
      </c>
      <c r="K797" s="3" t="str">
        <f t="shared" si="87"/>
        <v>Bagh-i-Jannat</v>
      </c>
      <c r="N797" s="39" t="str">
        <f t="shared" si="88"/>
        <v/>
      </c>
      <c r="P797" s="39" t="str">
        <f t="shared" si="89"/>
        <v/>
      </c>
      <c r="R797" s="39" t="str">
        <f t="shared" si="90"/>
        <v/>
      </c>
      <c r="S797" s="28"/>
      <c r="T797" s="28"/>
      <c r="U797" s="28"/>
    </row>
    <row r="798" spans="1:21" s="5" customFormat="1">
      <c r="A798" s="179" t="s">
        <v>1106</v>
      </c>
      <c r="B798" s="185" t="s">
        <v>5575</v>
      </c>
      <c r="C798" s="35" t="str">
        <f t="shared" si="84"/>
        <v>BaghiTakht</v>
      </c>
      <c r="E798" s="40"/>
      <c r="F798" s="15"/>
      <c r="G798" s="17"/>
      <c r="H798" s="10" t="s">
        <v>8563</v>
      </c>
      <c r="I798" s="4" t="str">
        <f t="shared" si="85"/>
        <v>|Bá-i-Tat|</v>
      </c>
      <c r="J798" s="3" t="str">
        <f t="shared" si="86"/>
        <v>|Bagh-i-Takht|</v>
      </c>
      <c r="K798" s="3" t="str">
        <f t="shared" si="87"/>
        <v>Bagh-i-Takht</v>
      </c>
      <c r="N798" s="39" t="str">
        <f t="shared" si="88"/>
        <v/>
      </c>
      <c r="P798" s="39" t="str">
        <f t="shared" si="89"/>
        <v/>
      </c>
      <c r="R798" s="39" t="str">
        <f t="shared" si="90"/>
        <v/>
      </c>
      <c r="S798" s="28"/>
      <c r="T798" s="28"/>
      <c r="U798" s="28"/>
    </row>
    <row r="799" spans="1:21" s="5" customFormat="1">
      <c r="A799" s="179" t="s">
        <v>1107</v>
      </c>
      <c r="B799" s="185" t="s">
        <v>5576</v>
      </c>
      <c r="C799" s="35" t="str">
        <f t="shared" si="84"/>
        <v>BaghPanbih</v>
      </c>
      <c r="E799" s="40"/>
      <c r="F799" s="15"/>
      <c r="G799" s="17"/>
      <c r="H799" s="10" t="s">
        <v>8563</v>
      </c>
      <c r="I799" s="4" t="str">
        <f t="shared" si="85"/>
        <v>|Bá-Panbih|</v>
      </c>
      <c r="J799" s="3" t="str">
        <f t="shared" si="86"/>
        <v>|Bagh-Panbih|</v>
      </c>
      <c r="K799" s="3" t="str">
        <f t="shared" si="87"/>
        <v>Bagh-Panbih</v>
      </c>
      <c r="N799" s="39" t="str">
        <f t="shared" si="88"/>
        <v/>
      </c>
      <c r="P799" s="39" t="str">
        <f t="shared" si="89"/>
        <v/>
      </c>
      <c r="R799" s="39" t="str">
        <f t="shared" si="90"/>
        <v/>
      </c>
      <c r="S799" s="28"/>
      <c r="T799" s="28"/>
      <c r="U799" s="28"/>
    </row>
    <row r="800" spans="1:21" s="5" customFormat="1">
      <c r="A800" s="179" t="s">
        <v>1108</v>
      </c>
      <c r="B800" s="185" t="s">
        <v>5577</v>
      </c>
      <c r="C800" s="35" t="str">
        <f t="shared" si="84"/>
        <v>Bagiyyatullah</v>
      </c>
      <c r="E800" s="40"/>
      <c r="F800" s="14"/>
      <c r="G800" s="17"/>
      <c r="H800" s="10" t="s">
        <v>8563</v>
      </c>
      <c r="I800" s="4" t="str">
        <f t="shared" si="85"/>
        <v>|Bagíyyatu’lláh|</v>
      </c>
      <c r="J800" s="3" t="str">
        <f t="shared" si="86"/>
        <v>|Bagiyyatu'llah|</v>
      </c>
      <c r="K800" s="3" t="str">
        <f t="shared" si="87"/>
        <v>Bagiyyatullah</v>
      </c>
      <c r="N800" s="39" t="str">
        <f t="shared" si="88"/>
        <v/>
      </c>
      <c r="P800" s="39" t="str">
        <f t="shared" si="89"/>
        <v/>
      </c>
      <c r="R800" s="39" t="str">
        <f t="shared" si="90"/>
        <v/>
      </c>
      <c r="S800" s="28"/>
      <c r="T800" s="28"/>
      <c r="U800" s="28"/>
    </row>
    <row r="801" spans="1:22" s="5" customFormat="1">
      <c r="A801" s="179" t="s">
        <v>1109</v>
      </c>
      <c r="B801" s="185" t="s">
        <v>8932</v>
      </c>
      <c r="C801" s="35" t="str">
        <f t="shared" si="84"/>
        <v>Bahaʼ</v>
      </c>
      <c r="E801" s="40"/>
      <c r="F801" s="14" t="s">
        <v>1110</v>
      </c>
      <c r="G801" s="17"/>
      <c r="H801" s="10" t="s">
        <v>8563</v>
      </c>
      <c r="I801" s="4" t="str">
        <f t="shared" si="85"/>
        <v>|Baháʼ|</v>
      </c>
      <c r="J801" s="3" t="str">
        <f t="shared" si="86"/>
        <v>|Bahaʼ|</v>
      </c>
      <c r="K801" s="3" t="str">
        <f t="shared" si="87"/>
        <v>Bahaʼ</v>
      </c>
      <c r="N801" s="39" t="str">
        <f t="shared" si="88"/>
        <v/>
      </c>
      <c r="P801" s="39" t="str">
        <f t="shared" si="89"/>
        <v/>
      </c>
      <c r="R801" s="39" t="str">
        <f t="shared" si="90"/>
        <v/>
      </c>
      <c r="S801" s="28"/>
      <c r="T801" s="28"/>
      <c r="U801" s="28"/>
    </row>
    <row r="802" spans="1:22" s="5" customFormat="1">
      <c r="A802" s="179" t="s">
        <v>1111</v>
      </c>
      <c r="B802" s="185" t="s">
        <v>5578</v>
      </c>
      <c r="C802" s="35" t="str">
        <f t="shared" si="84"/>
        <v>Bahadur</v>
      </c>
      <c r="E802" s="40"/>
      <c r="F802" s="14"/>
      <c r="G802" s="17"/>
      <c r="H802" s="10" t="s">
        <v>8563</v>
      </c>
      <c r="I802" s="4" t="str">
        <f t="shared" si="85"/>
        <v>|Bahádur|</v>
      </c>
      <c r="J802" s="3" t="str">
        <f t="shared" si="86"/>
        <v>|Bahadur|</v>
      </c>
      <c r="K802" s="3" t="str">
        <f t="shared" si="87"/>
        <v>Bahadur</v>
      </c>
      <c r="N802" s="39" t="str">
        <f t="shared" si="88"/>
        <v/>
      </c>
      <c r="P802" s="39" t="str">
        <f t="shared" si="89"/>
        <v/>
      </c>
      <c r="R802" s="39" t="str">
        <f t="shared" si="90"/>
        <v/>
      </c>
      <c r="S802" s="28"/>
      <c r="T802" s="28"/>
      <c r="U802" s="28"/>
    </row>
    <row r="803" spans="1:22" s="5" customFormat="1">
      <c r="A803" s="179" t="s">
        <v>1057</v>
      </c>
      <c r="B803" s="185" t="s">
        <v>10</v>
      </c>
      <c r="C803" s="35" t="str">
        <f t="shared" si="84"/>
        <v>Bahai</v>
      </c>
      <c r="E803" s="40"/>
      <c r="F803" s="14" t="s">
        <v>1112</v>
      </c>
      <c r="G803" s="17"/>
      <c r="H803" s="10" t="s">
        <v>8563</v>
      </c>
      <c r="I803" s="4" t="str">
        <f t="shared" si="85"/>
        <v>|Bahá’í|</v>
      </c>
      <c r="J803" s="3" t="str">
        <f t="shared" si="86"/>
        <v>|Baha'i|</v>
      </c>
      <c r="K803" s="3" t="str">
        <f t="shared" si="87"/>
        <v>Bahai</v>
      </c>
      <c r="N803" s="39" t="str">
        <f t="shared" si="88"/>
        <v/>
      </c>
      <c r="P803" s="39" t="str">
        <f t="shared" si="89"/>
        <v/>
      </c>
      <c r="R803" s="39" t="str">
        <f t="shared" si="90"/>
        <v/>
      </c>
      <c r="S803" s="28"/>
      <c r="T803" s="29">
        <v>41801</v>
      </c>
      <c r="U803" s="28" t="s">
        <v>9496</v>
      </c>
    </row>
    <row r="804" spans="1:22" s="5" customFormat="1">
      <c r="A804" s="179" t="s">
        <v>1113</v>
      </c>
      <c r="B804" s="185" t="s">
        <v>8933</v>
      </c>
      <c r="C804" s="35" t="str">
        <f t="shared" si="84"/>
        <v>BahaiAzali</v>
      </c>
      <c r="E804" s="40" t="s">
        <v>9115</v>
      </c>
      <c r="F804" s="15"/>
      <c r="G804" s="17" t="s">
        <v>9364</v>
      </c>
      <c r="H804" s="10" t="s">
        <v>8563</v>
      </c>
      <c r="I804" s="4" t="str">
        <f t="shared" si="85"/>
        <v>|Bahá’í - Azali|</v>
      </c>
      <c r="J804" s="3" t="str">
        <f t="shared" si="86"/>
        <v>|Baha'i - Azali|</v>
      </c>
      <c r="K804" s="3" t="str">
        <f t="shared" si="87"/>
        <v>Bahai - Azali</v>
      </c>
      <c r="N804" s="39" t="str">
        <f t="shared" si="88"/>
        <v/>
      </c>
      <c r="P804" s="39" t="str">
        <f t="shared" si="89"/>
        <v/>
      </c>
      <c r="R804" s="39" t="str">
        <f t="shared" si="90"/>
        <v/>
      </c>
      <c r="S804" s="28"/>
      <c r="T804" s="28"/>
      <c r="U804" s="28"/>
    </row>
    <row r="805" spans="1:22" s="5" customFormat="1">
      <c r="A805" s="179" t="s">
        <v>1114</v>
      </c>
      <c r="B805" s="185" t="s">
        <v>5579</v>
      </c>
      <c r="C805" s="35" t="str">
        <f t="shared" si="84"/>
        <v>BahaiGemeinde</v>
      </c>
      <c r="E805" s="40" t="s">
        <v>9363</v>
      </c>
      <c r="F805" s="15"/>
      <c r="G805" s="17" t="s">
        <v>9365</v>
      </c>
      <c r="H805" s="10" t="s">
        <v>8563</v>
      </c>
      <c r="I805" s="4" t="str">
        <f t="shared" si="85"/>
        <v>|Bahá’í-Gemeinde|</v>
      </c>
      <c r="J805" s="3" t="str">
        <f t="shared" si="86"/>
        <v>|Baha'i-Gemeinde|</v>
      </c>
      <c r="K805" s="3" t="str">
        <f t="shared" si="87"/>
        <v>Bahai-Gemeinde</v>
      </c>
      <c r="N805" s="39" t="str">
        <f t="shared" si="88"/>
        <v/>
      </c>
      <c r="P805" s="39" t="str">
        <f t="shared" si="89"/>
        <v/>
      </c>
      <c r="R805" s="39" t="str">
        <f t="shared" si="90"/>
        <v/>
      </c>
      <c r="S805" s="28"/>
      <c r="T805" s="28"/>
      <c r="U805" s="28"/>
    </row>
    <row r="806" spans="1:22" s="5" customFormat="1">
      <c r="A806" s="179" t="s">
        <v>1115</v>
      </c>
      <c r="B806" s="185" t="s">
        <v>5580</v>
      </c>
      <c r="C806" s="35" t="str">
        <f t="shared" si="84"/>
        <v>BahaiLehre</v>
      </c>
      <c r="E806" s="40" t="s">
        <v>9363</v>
      </c>
      <c r="F806" s="15"/>
      <c r="G806" s="17" t="s">
        <v>9365</v>
      </c>
      <c r="H806" s="10" t="s">
        <v>8563</v>
      </c>
      <c r="I806" s="4" t="str">
        <f t="shared" si="85"/>
        <v>|Bahá’í-Lehre|</v>
      </c>
      <c r="J806" s="3" t="str">
        <f t="shared" si="86"/>
        <v>|Baha'i-Lehre|</v>
      </c>
      <c r="K806" s="3" t="str">
        <f t="shared" si="87"/>
        <v>Bahai-Lehre</v>
      </c>
      <c r="N806" s="39" t="str">
        <f t="shared" si="88"/>
        <v/>
      </c>
      <c r="P806" s="39" t="str">
        <f t="shared" si="89"/>
        <v/>
      </c>
      <c r="R806" s="39" t="str">
        <f t="shared" si="90"/>
        <v/>
      </c>
      <c r="S806" s="28"/>
      <c r="T806" s="28"/>
      <c r="U806" s="28"/>
    </row>
    <row r="807" spans="1:22" s="5" customFormat="1">
      <c r="A807" s="179" t="s">
        <v>1116</v>
      </c>
      <c r="B807" s="185" t="s">
        <v>5581</v>
      </c>
      <c r="C807" s="35" t="str">
        <f t="shared" si="84"/>
        <v>BahaiReligion</v>
      </c>
      <c r="E807" s="40" t="s">
        <v>9363</v>
      </c>
      <c r="F807" s="15"/>
      <c r="G807" s="17" t="s">
        <v>9365</v>
      </c>
      <c r="H807" s="10" t="s">
        <v>8563</v>
      </c>
      <c r="I807" s="4" t="str">
        <f t="shared" si="85"/>
        <v>|Bahá’í-Religion|</v>
      </c>
      <c r="J807" s="3" t="str">
        <f t="shared" si="86"/>
        <v>|Baha'i-Religion|</v>
      </c>
      <c r="K807" s="3" t="str">
        <f t="shared" si="87"/>
        <v>Bahai-Religion</v>
      </c>
      <c r="N807" s="39" t="str">
        <f t="shared" si="88"/>
        <v/>
      </c>
      <c r="P807" s="39" t="str">
        <f t="shared" si="89"/>
        <v/>
      </c>
      <c r="R807" s="39" t="str">
        <f t="shared" si="90"/>
        <v/>
      </c>
      <c r="S807" s="28"/>
      <c r="T807" s="28"/>
      <c r="U807" s="28"/>
    </row>
    <row r="808" spans="1:22" s="5" customFormat="1">
      <c r="A808" s="179" t="s">
        <v>1117</v>
      </c>
      <c r="B808" s="185" t="s">
        <v>5582</v>
      </c>
      <c r="C808" s="35" t="str">
        <f t="shared" si="84"/>
        <v>BahaiVerlag</v>
      </c>
      <c r="E808" s="40" t="s">
        <v>9363</v>
      </c>
      <c r="F808" s="15"/>
      <c r="G808" s="17" t="s">
        <v>9365</v>
      </c>
      <c r="H808" s="10" t="s">
        <v>8563</v>
      </c>
      <c r="I808" s="4" t="str">
        <f t="shared" si="85"/>
        <v>|Bahá’í-Verlag|</v>
      </c>
      <c r="J808" s="3" t="str">
        <f t="shared" si="86"/>
        <v>|Baha'i-Verlag|</v>
      </c>
      <c r="K808" s="3" t="str">
        <f t="shared" si="87"/>
        <v>Bahai-Verlag</v>
      </c>
      <c r="N808" s="39" t="str">
        <f t="shared" si="88"/>
        <v/>
      </c>
      <c r="P808" s="39" t="str">
        <f t="shared" si="89"/>
        <v/>
      </c>
      <c r="R808" s="39" t="str">
        <f t="shared" si="90"/>
        <v/>
      </c>
      <c r="S808" s="28"/>
      <c r="T808" s="28"/>
      <c r="U808" s="28"/>
    </row>
    <row r="809" spans="1:22" s="5" customFormat="1">
      <c r="A809" s="179" t="s">
        <v>1118</v>
      </c>
      <c r="B809" s="185" t="s">
        <v>5583</v>
      </c>
      <c r="C809" s="35" t="str">
        <f t="shared" si="84"/>
        <v>BahaiVerwaltungsordnung</v>
      </c>
      <c r="E809" s="40" t="s">
        <v>9363</v>
      </c>
      <c r="F809" s="15" t="s">
        <v>1119</v>
      </c>
      <c r="G809" s="17" t="s">
        <v>9365</v>
      </c>
      <c r="H809" s="10" t="s">
        <v>8563</v>
      </c>
      <c r="I809" s="4" t="str">
        <f t="shared" si="85"/>
        <v>|Bahá’í-Verwaltungsordnung|</v>
      </c>
      <c r="J809" s="3" t="str">
        <f t="shared" si="86"/>
        <v>|Baha'i-Verwaltungsordnung|</v>
      </c>
      <c r="K809" s="3" t="str">
        <f t="shared" si="87"/>
        <v>Bahai-Verwaltungsordnung</v>
      </c>
      <c r="N809" s="39" t="str">
        <f t="shared" si="88"/>
        <v/>
      </c>
      <c r="P809" s="39" t="str">
        <f t="shared" si="89"/>
        <v/>
      </c>
      <c r="R809" s="39" t="str">
        <f t="shared" si="90"/>
        <v/>
      </c>
      <c r="S809" s="28"/>
      <c r="T809" s="28"/>
      <c r="U809" s="28"/>
    </row>
    <row r="810" spans="1:22" s="5" customFormat="1">
      <c r="A810" s="179" t="s">
        <v>1120</v>
      </c>
      <c r="B810" s="185" t="s">
        <v>5584</v>
      </c>
      <c r="C810" s="35" t="str">
        <f t="shared" si="84"/>
        <v>Bahaiyyih</v>
      </c>
      <c r="E810" s="40"/>
      <c r="F810" s="15" t="s">
        <v>1121</v>
      </c>
      <c r="G810" s="17"/>
      <c r="H810" s="10" t="s">
        <v>8563</v>
      </c>
      <c r="I810" s="4" t="str">
        <f t="shared" si="85"/>
        <v>|Bahá’íyyih|</v>
      </c>
      <c r="J810" s="3" t="str">
        <f t="shared" si="86"/>
        <v>|Baha'iyyih|</v>
      </c>
      <c r="K810" s="3" t="str">
        <f t="shared" si="87"/>
        <v>Bahaiyyih</v>
      </c>
      <c r="N810" s="39" t="str">
        <f t="shared" si="88"/>
        <v/>
      </c>
      <c r="P810" s="39" t="str">
        <f t="shared" si="89"/>
        <v/>
      </c>
      <c r="R810" s="39" t="str">
        <f t="shared" si="90"/>
        <v/>
      </c>
      <c r="S810" s="28"/>
      <c r="T810" s="28"/>
      <c r="U810" s="28"/>
    </row>
    <row r="811" spans="1:22" s="5" customFormat="1">
      <c r="A811" s="179" t="s">
        <v>1122</v>
      </c>
      <c r="B811" s="185" t="s">
        <v>5585</v>
      </c>
      <c r="C811" s="35" t="str">
        <f t="shared" si="84"/>
        <v>Bahar</v>
      </c>
      <c r="E811" s="40"/>
      <c r="F811" s="15"/>
      <c r="G811" s="17"/>
      <c r="H811" s="10" t="s">
        <v>8563</v>
      </c>
      <c r="I811" s="4" t="str">
        <f t="shared" si="85"/>
        <v>|Bahár|</v>
      </c>
      <c r="J811" s="3" t="str">
        <f t="shared" si="86"/>
        <v>|Bahar|</v>
      </c>
      <c r="K811" s="3" t="str">
        <f t="shared" si="87"/>
        <v>Bahar</v>
      </c>
      <c r="N811" s="39" t="str">
        <f t="shared" si="88"/>
        <v/>
      </c>
      <c r="P811" s="39" t="str">
        <f t="shared" si="89"/>
        <v/>
      </c>
      <c r="R811" s="39" t="str">
        <f t="shared" si="90"/>
        <v/>
      </c>
      <c r="S811" s="28"/>
      <c r="T811" s="28"/>
      <c r="U811" s="28"/>
    </row>
    <row r="812" spans="1:22" s="5" customFormat="1">
      <c r="A812" s="179" t="s">
        <v>1123</v>
      </c>
      <c r="B812" s="185" t="s">
        <v>5586</v>
      </c>
      <c r="C812" s="35" t="str">
        <f t="shared" si="84"/>
        <v>Baharistan</v>
      </c>
      <c r="E812" s="40"/>
      <c r="F812" s="14"/>
      <c r="G812" s="17"/>
      <c r="H812" s="10" t="s">
        <v>8563</v>
      </c>
      <c r="I812" s="4" t="str">
        <f t="shared" si="85"/>
        <v>|Baháristán|</v>
      </c>
      <c r="J812" s="3" t="str">
        <f t="shared" si="86"/>
        <v>|Baharistan|</v>
      </c>
      <c r="K812" s="3" t="str">
        <f t="shared" si="87"/>
        <v>Baharistan</v>
      </c>
      <c r="N812" s="39" t="str">
        <f t="shared" si="88"/>
        <v/>
      </c>
      <c r="P812" s="39" t="str">
        <f t="shared" si="89"/>
        <v/>
      </c>
      <c r="R812" s="39" t="str">
        <f t="shared" si="90"/>
        <v/>
      </c>
      <c r="S812" s="28"/>
      <c r="T812" s="28"/>
      <c r="U812" s="28"/>
    </row>
    <row r="813" spans="1:22" s="5" customFormat="1">
      <c r="A813" s="179" t="s">
        <v>1124</v>
      </c>
      <c r="B813" s="185" t="s">
        <v>5587</v>
      </c>
      <c r="C813" s="35" t="str">
        <f t="shared" si="84"/>
        <v>BahaulAbha</v>
      </c>
      <c r="E813" s="40"/>
      <c r="F813" s="14" t="s">
        <v>1125</v>
      </c>
      <c r="G813" s="17"/>
      <c r="H813" s="10" t="s">
        <v>8563</v>
      </c>
      <c r="I813" s="4" t="str">
        <f t="shared" si="85"/>
        <v>|Bahá’u’l-Abhá|</v>
      </c>
      <c r="J813" s="3" t="str">
        <f t="shared" si="86"/>
        <v>|Baha'u'l-Abha|</v>
      </c>
      <c r="K813" s="3" t="str">
        <f t="shared" si="87"/>
        <v>Bahaul-Abha</v>
      </c>
      <c r="N813" s="39" t="str">
        <f t="shared" si="88"/>
        <v/>
      </c>
      <c r="P813" s="39" t="str">
        <f t="shared" si="89"/>
        <v/>
      </c>
      <c r="R813" s="39" t="str">
        <f t="shared" si="90"/>
        <v/>
      </c>
      <c r="S813" s="28"/>
      <c r="T813" s="28"/>
      <c r="U813" s="28"/>
      <c r="V813" s="1"/>
    </row>
    <row r="814" spans="1:22" s="5" customFormat="1">
      <c r="A814" s="179" t="s">
        <v>1126</v>
      </c>
      <c r="B814" s="185" t="s">
        <v>2</v>
      </c>
      <c r="C814" s="35" t="str">
        <f t="shared" si="84"/>
        <v>Bahaullah</v>
      </c>
      <c r="E814" s="40"/>
      <c r="F814" s="14" t="s">
        <v>1127</v>
      </c>
      <c r="G814" s="17"/>
      <c r="H814" s="10" t="s">
        <v>8563</v>
      </c>
      <c r="I814" s="4" t="str">
        <f t="shared" si="85"/>
        <v>|Bahá’u’lláh|</v>
      </c>
      <c r="J814" s="3" t="str">
        <f t="shared" si="86"/>
        <v>|Baha'u'llah|</v>
      </c>
      <c r="K814" s="3" t="str">
        <f t="shared" si="87"/>
        <v>Bahaullah</v>
      </c>
      <c r="N814" s="39" t="str">
        <f t="shared" si="88"/>
        <v/>
      </c>
      <c r="P814" s="39" t="str">
        <f t="shared" si="89"/>
        <v/>
      </c>
      <c r="R814" s="39" t="str">
        <f t="shared" si="90"/>
        <v/>
      </c>
      <c r="S814" s="28"/>
      <c r="T814" s="29">
        <v>41801</v>
      </c>
      <c r="U814" s="28" t="s">
        <v>9484</v>
      </c>
    </row>
    <row r="815" spans="1:22" s="5" customFormat="1">
      <c r="A815" s="179"/>
      <c r="B815" s="185" t="s">
        <v>9070</v>
      </c>
      <c r="C815" s="35" t="str">
        <f t="shared" si="84"/>
        <v>Bahaullahs</v>
      </c>
      <c r="D815" s="5" t="s">
        <v>59</v>
      </c>
      <c r="E815" s="40"/>
      <c r="F815" s="15"/>
      <c r="G815" s="17"/>
      <c r="H815" s="10"/>
      <c r="I815" s="4" t="str">
        <f t="shared" si="85"/>
        <v>|Bahá’u’lláhs|</v>
      </c>
      <c r="J815" s="3" t="str">
        <f t="shared" si="86"/>
        <v>|Baha'u'llahs|</v>
      </c>
      <c r="K815" s="3" t="str">
        <f t="shared" si="87"/>
        <v>Bahaullahs</v>
      </c>
      <c r="L815" s="1"/>
      <c r="N815" s="39" t="str">
        <f t="shared" si="88"/>
        <v/>
      </c>
      <c r="P815" s="39" t="str">
        <f t="shared" si="89"/>
        <v/>
      </c>
      <c r="R815" s="39" t="str">
        <f t="shared" si="90"/>
        <v/>
      </c>
      <c r="S815" s="29">
        <v>41771</v>
      </c>
      <c r="T815" s="29">
        <v>41801</v>
      </c>
      <c r="U815" s="28" t="s">
        <v>9485</v>
      </c>
    </row>
    <row r="816" spans="1:22" s="5" customFormat="1">
      <c r="A816" s="179" t="s">
        <v>1128</v>
      </c>
      <c r="B816" s="185" t="s">
        <v>5588</v>
      </c>
      <c r="C816" s="35" t="str">
        <f t="shared" si="84"/>
        <v>BahaullahulAbha</v>
      </c>
      <c r="E816" s="40"/>
      <c r="F816" s="15"/>
      <c r="G816" s="17"/>
      <c r="H816" s="10" t="s">
        <v>8563</v>
      </c>
      <c r="I816" s="4" t="str">
        <f t="shared" si="85"/>
        <v>|Bahá’u’lláhu’l-Abhá|</v>
      </c>
      <c r="J816" s="3" t="str">
        <f t="shared" si="86"/>
        <v>|Baha'u'llahu'l-Abha|</v>
      </c>
      <c r="K816" s="3" t="str">
        <f t="shared" si="87"/>
        <v>Bahaullahul-Abha</v>
      </c>
      <c r="N816" s="39" t="str">
        <f t="shared" si="88"/>
        <v/>
      </c>
      <c r="P816" s="39" t="str">
        <f t="shared" si="89"/>
        <v/>
      </c>
      <c r="R816" s="39" t="str">
        <f t="shared" si="90"/>
        <v/>
      </c>
      <c r="S816" s="28"/>
      <c r="T816" s="28"/>
      <c r="U816" s="28"/>
    </row>
    <row r="817" spans="1:21" s="5" customFormat="1">
      <c r="A817" s="179" t="s">
        <v>1129</v>
      </c>
      <c r="B817" s="185" t="s">
        <v>5589</v>
      </c>
      <c r="C817" s="35" t="str">
        <f t="shared" si="84"/>
        <v>Bahhaj</v>
      </c>
      <c r="E817" s="40"/>
      <c r="F817" s="15"/>
      <c r="G817" s="17"/>
      <c r="H817" s="10" t="s">
        <v>8563</v>
      </c>
      <c r="I817" s="4" t="str">
        <f t="shared" si="85"/>
        <v>|Bahháj|</v>
      </c>
      <c r="J817" s="3" t="str">
        <f t="shared" si="86"/>
        <v>|Bahhaj|</v>
      </c>
      <c r="K817" s="3" t="str">
        <f t="shared" si="87"/>
        <v>Bahhaj</v>
      </c>
      <c r="N817" s="39" t="str">
        <f t="shared" si="88"/>
        <v/>
      </c>
      <c r="P817" s="39" t="str">
        <f t="shared" si="89"/>
        <v/>
      </c>
      <c r="R817" s="39" t="str">
        <f t="shared" si="90"/>
        <v/>
      </c>
      <c r="S817" s="28"/>
      <c r="T817" s="28"/>
      <c r="U817" s="28"/>
    </row>
    <row r="818" spans="1:21" s="5" customFormat="1">
      <c r="A818" s="179" t="s">
        <v>1130</v>
      </c>
      <c r="B818" s="185" t="s">
        <v>5590</v>
      </c>
      <c r="C818" s="35" t="str">
        <f t="shared" si="84"/>
        <v>Bahiri</v>
      </c>
      <c r="E818" s="40"/>
      <c r="F818" s="15"/>
      <c r="G818" s="17"/>
      <c r="H818" s="10" t="s">
        <v>8563</v>
      </c>
      <c r="I818" s="4" t="str">
        <f t="shared" si="85"/>
        <v>|Báhirí|</v>
      </c>
      <c r="J818" s="3" t="str">
        <f t="shared" si="86"/>
        <v>|Bahiri|</v>
      </c>
      <c r="K818" s="3" t="str">
        <f t="shared" si="87"/>
        <v>Bahiri</v>
      </c>
      <c r="N818" s="39" t="str">
        <f t="shared" si="88"/>
        <v/>
      </c>
      <c r="P818" s="39" t="str">
        <f t="shared" si="89"/>
        <v/>
      </c>
      <c r="R818" s="39" t="str">
        <f t="shared" si="90"/>
        <v/>
      </c>
      <c r="S818" s="28"/>
      <c r="T818" s="28"/>
      <c r="U818" s="28"/>
    </row>
    <row r="819" spans="1:21" s="5" customFormat="1">
      <c r="A819" s="8" t="s">
        <v>1131</v>
      </c>
      <c r="B819" s="185" t="s">
        <v>5591</v>
      </c>
      <c r="C819" s="35" t="str">
        <f t="shared" si="84"/>
        <v>Bahiyyih</v>
      </c>
      <c r="E819" s="40"/>
      <c r="F819" s="14"/>
      <c r="G819" s="17"/>
      <c r="H819" s="10" t="s">
        <v>8563</v>
      </c>
      <c r="I819" s="4" t="str">
        <f t="shared" si="85"/>
        <v>|Bahíyyih|</v>
      </c>
      <c r="J819" s="3" t="str">
        <f t="shared" si="86"/>
        <v>|Bahiyyih|</v>
      </c>
      <c r="K819" s="3" t="str">
        <f t="shared" si="87"/>
        <v>Bahiyyih</v>
      </c>
      <c r="N819" s="39" t="str">
        <f t="shared" si="88"/>
        <v/>
      </c>
      <c r="P819" s="39" t="str">
        <f t="shared" si="89"/>
        <v/>
      </c>
      <c r="R819" s="39" t="str">
        <f t="shared" si="90"/>
        <v/>
      </c>
      <c r="S819" s="28"/>
      <c r="T819" s="28"/>
      <c r="U819" s="28"/>
    </row>
    <row r="820" spans="1:21" s="5" customFormat="1">
      <c r="A820" s="179" t="s">
        <v>1132</v>
      </c>
      <c r="B820" s="185" t="s">
        <v>5592</v>
      </c>
      <c r="C820" s="35" t="str">
        <f t="shared" si="84"/>
        <v>Bahji</v>
      </c>
      <c r="E820" s="40"/>
      <c r="F820" s="14" t="s">
        <v>1133</v>
      </c>
      <c r="G820" s="17"/>
      <c r="H820" s="10" t="s">
        <v>8563</v>
      </c>
      <c r="I820" s="4" t="str">
        <f t="shared" si="85"/>
        <v>|Bahjí|</v>
      </c>
      <c r="J820" s="3" t="str">
        <f t="shared" si="86"/>
        <v>|Bahji|</v>
      </c>
      <c r="K820" s="3" t="str">
        <f t="shared" si="87"/>
        <v>Bahji</v>
      </c>
      <c r="N820" s="39" t="str">
        <f t="shared" si="88"/>
        <v/>
      </c>
      <c r="P820" s="39" t="str">
        <f t="shared" si="89"/>
        <v/>
      </c>
      <c r="R820" s="39" t="str">
        <f t="shared" si="90"/>
        <v/>
      </c>
      <c r="S820" s="28"/>
      <c r="T820" s="28"/>
      <c r="U820" s="28"/>
    </row>
    <row r="821" spans="1:21" s="5" customFormat="1">
      <c r="A821" s="179" t="s">
        <v>1134</v>
      </c>
      <c r="B821" s="185" t="s">
        <v>159</v>
      </c>
      <c r="C821" s="35" t="str">
        <f t="shared" si="84"/>
        <v>Bahman</v>
      </c>
      <c r="E821" s="40"/>
      <c r="F821" s="14"/>
      <c r="G821" s="17"/>
      <c r="H821" s="10" t="s">
        <v>8563</v>
      </c>
      <c r="I821" s="4" t="str">
        <f t="shared" si="85"/>
        <v>|Bahman|</v>
      </c>
      <c r="J821" s="3" t="str">
        <f t="shared" si="86"/>
        <v>|Bahman|</v>
      </c>
      <c r="K821" s="3" t="str">
        <f t="shared" si="87"/>
        <v>Bahman</v>
      </c>
      <c r="N821" s="39" t="str">
        <f t="shared" si="88"/>
        <v/>
      </c>
      <c r="P821" s="39" t="str">
        <f t="shared" si="89"/>
        <v/>
      </c>
      <c r="R821" s="39" t="str">
        <f t="shared" si="90"/>
        <v/>
      </c>
      <c r="S821" s="28"/>
      <c r="T821" s="28"/>
      <c r="U821" s="28"/>
    </row>
    <row r="822" spans="1:21" s="5" customFormat="1">
      <c r="A822" s="179" t="s">
        <v>1135</v>
      </c>
      <c r="B822" s="185" t="s">
        <v>5593</v>
      </c>
      <c r="C822" s="35" t="str">
        <f t="shared" si="84"/>
        <v>Bahnimir</v>
      </c>
      <c r="E822" s="40"/>
      <c r="F822" s="15"/>
      <c r="G822" s="17"/>
      <c r="H822" s="10" t="s">
        <v>8563</v>
      </c>
      <c r="I822" s="4" t="str">
        <f t="shared" si="85"/>
        <v>|Bahnimír|</v>
      </c>
      <c r="J822" s="3" t="str">
        <f t="shared" si="86"/>
        <v>|Bahnimir|</v>
      </c>
      <c r="K822" s="3" t="str">
        <f t="shared" si="87"/>
        <v>Bahnimir</v>
      </c>
      <c r="N822" s="39" t="str">
        <f t="shared" si="88"/>
        <v/>
      </c>
      <c r="P822" s="39" t="str">
        <f t="shared" si="89"/>
        <v/>
      </c>
      <c r="R822" s="39" t="str">
        <f t="shared" si="90"/>
        <v/>
      </c>
      <c r="S822" s="28"/>
      <c r="T822" s="28"/>
      <c r="U822" s="28"/>
    </row>
    <row r="823" spans="1:21" s="5" customFormat="1">
      <c r="A823" s="179" t="s">
        <v>1136</v>
      </c>
      <c r="B823" s="185" t="s">
        <v>5594</v>
      </c>
      <c r="C823" s="35" t="str">
        <f t="shared" si="84"/>
        <v>Bahram</v>
      </c>
      <c r="E823" s="40"/>
      <c r="F823" s="14"/>
      <c r="G823" s="17"/>
      <c r="H823" s="10" t="s">
        <v>8563</v>
      </c>
      <c r="I823" s="4" t="str">
        <f t="shared" si="85"/>
        <v>|Bahrám|</v>
      </c>
      <c r="J823" s="3" t="str">
        <f t="shared" si="86"/>
        <v>|Bahram|</v>
      </c>
      <c r="K823" s="3" t="str">
        <f t="shared" si="87"/>
        <v>Bahram</v>
      </c>
      <c r="N823" s="39" t="str">
        <f t="shared" si="88"/>
        <v/>
      </c>
      <c r="P823" s="39" t="str">
        <f t="shared" si="89"/>
        <v/>
      </c>
      <c r="R823" s="39" t="str">
        <f t="shared" si="90"/>
        <v/>
      </c>
      <c r="S823" s="28"/>
      <c r="T823" s="28"/>
      <c r="U823" s="28"/>
    </row>
    <row r="824" spans="1:21" s="5" customFormat="1">
      <c r="A824" s="179" t="s">
        <v>1137</v>
      </c>
      <c r="B824" s="185" t="s">
        <v>5595</v>
      </c>
      <c r="C824" s="35" t="str">
        <f t="shared" si="84"/>
        <v>Bahrami</v>
      </c>
      <c r="E824" s="40"/>
      <c r="F824" s="15"/>
      <c r="G824" s="17"/>
      <c r="H824" s="10" t="s">
        <v>8563</v>
      </c>
      <c r="I824" s="4" t="str">
        <f t="shared" si="85"/>
        <v>|Bahrámí|</v>
      </c>
      <c r="J824" s="3" t="str">
        <f t="shared" si="86"/>
        <v>|Bahrami|</v>
      </c>
      <c r="K824" s="3" t="str">
        <f t="shared" si="87"/>
        <v>Bahrami</v>
      </c>
      <c r="N824" s="39" t="str">
        <f t="shared" si="88"/>
        <v/>
      </c>
      <c r="P824" s="39" t="str">
        <f t="shared" si="89"/>
        <v/>
      </c>
      <c r="R824" s="39" t="str">
        <f t="shared" si="90"/>
        <v/>
      </c>
      <c r="S824" s="28"/>
      <c r="T824" s="28"/>
      <c r="U824" s="28"/>
    </row>
    <row r="825" spans="1:21" s="5" customFormat="1">
      <c r="A825" s="179" t="s">
        <v>1138</v>
      </c>
      <c r="B825" s="185" t="s">
        <v>5596</v>
      </c>
      <c r="C825" s="35" t="str">
        <f t="shared" si="84"/>
        <v>Bahramshahi</v>
      </c>
      <c r="E825" s="40"/>
      <c r="F825" s="15"/>
      <c r="G825" s="17"/>
      <c r="H825" s="10" t="s">
        <v>8563</v>
      </c>
      <c r="I825" s="4" t="str">
        <f t="shared" si="85"/>
        <v>|Bahrámáhí|</v>
      </c>
      <c r="J825" s="3" t="str">
        <f t="shared" si="86"/>
        <v>|Bahramshahi|</v>
      </c>
      <c r="K825" s="3" t="str">
        <f t="shared" si="87"/>
        <v>Bahramshahi</v>
      </c>
      <c r="N825" s="39" t="str">
        <f t="shared" si="88"/>
        <v/>
      </c>
      <c r="P825" s="39" t="str">
        <f t="shared" si="89"/>
        <v/>
      </c>
      <c r="R825" s="39" t="str">
        <f t="shared" si="90"/>
        <v/>
      </c>
      <c r="S825" s="28"/>
      <c r="T825" s="28"/>
      <c r="U825" s="28"/>
    </row>
    <row r="826" spans="1:21" s="5" customFormat="1">
      <c r="A826" s="179" t="s">
        <v>1139</v>
      </c>
      <c r="B826" s="185" t="s">
        <v>5597</v>
      </c>
      <c r="C826" s="35" t="str">
        <f t="shared" si="84"/>
        <v>Bahrayn</v>
      </c>
      <c r="E826" s="40"/>
      <c r="F826" s="15" t="s">
        <v>1140</v>
      </c>
      <c r="G826" s="17"/>
      <c r="H826" s="10" t="s">
        <v>8563</v>
      </c>
      <c r="I826" s="4" t="str">
        <f t="shared" si="85"/>
        <v>|Baḥrayn|</v>
      </c>
      <c r="J826" s="3" t="str">
        <f t="shared" si="86"/>
        <v>|Bahrayn|</v>
      </c>
      <c r="K826" s="3" t="str">
        <f t="shared" si="87"/>
        <v>Bahrayn</v>
      </c>
      <c r="N826" s="39" t="str">
        <f t="shared" si="88"/>
        <v/>
      </c>
      <c r="P826" s="39" t="str">
        <f t="shared" si="89"/>
        <v/>
      </c>
      <c r="R826" s="39" t="str">
        <f t="shared" si="90"/>
        <v/>
      </c>
      <c r="S826" s="28"/>
      <c r="T826" s="28"/>
      <c r="U826" s="28"/>
    </row>
    <row r="827" spans="1:21" s="5" customFormat="1">
      <c r="A827" s="179" t="s">
        <v>1141</v>
      </c>
      <c r="B827" s="185" t="s">
        <v>5598</v>
      </c>
      <c r="C827" s="35" t="str">
        <f t="shared" si="84"/>
        <v>BahrulUlum</v>
      </c>
      <c r="E827" s="40"/>
      <c r="F827" s="15" t="s">
        <v>1142</v>
      </c>
      <c r="G827" s="17"/>
      <c r="H827" s="10" t="s">
        <v>8563</v>
      </c>
      <c r="I827" s="4" t="str">
        <f t="shared" si="85"/>
        <v>|Baḥru’l-ʿUlúm|</v>
      </c>
      <c r="J827" s="3" t="str">
        <f t="shared" si="86"/>
        <v>|Bahru'l-'Ulum|</v>
      </c>
      <c r="K827" s="3" t="str">
        <f t="shared" si="87"/>
        <v>Bahrul-Ulum</v>
      </c>
      <c r="N827" s="39" t="str">
        <f t="shared" si="88"/>
        <v/>
      </c>
      <c r="P827" s="39" t="str">
        <f t="shared" si="89"/>
        <v/>
      </c>
      <c r="R827" s="39" t="str">
        <f t="shared" si="90"/>
        <v/>
      </c>
      <c r="S827" s="28"/>
      <c r="T827" s="28"/>
      <c r="U827" s="28"/>
    </row>
    <row r="828" spans="1:21" s="5" customFormat="1">
      <c r="A828" s="179" t="s">
        <v>1143</v>
      </c>
      <c r="B828" s="185" t="s">
        <v>5599</v>
      </c>
      <c r="C828" s="35" t="str">
        <f t="shared" si="84"/>
        <v>Bahth</v>
      </c>
      <c r="E828" s="40"/>
      <c r="F828" s="15"/>
      <c r="G828" s="17"/>
      <c r="H828" s="10" t="s">
        <v>8563</v>
      </c>
      <c r="I828" s="4" t="str">
        <f t="shared" si="85"/>
        <v>|Baḥ|</v>
      </c>
      <c r="J828" s="3" t="str">
        <f t="shared" si="86"/>
        <v>|Bahth|</v>
      </c>
      <c r="K828" s="3" t="str">
        <f t="shared" si="87"/>
        <v>Bahth</v>
      </c>
      <c r="N828" s="39" t="str">
        <f t="shared" si="88"/>
        <v/>
      </c>
      <c r="P828" s="39" t="str">
        <f t="shared" si="89"/>
        <v/>
      </c>
      <c r="R828" s="39" t="str">
        <f t="shared" si="90"/>
        <v/>
      </c>
      <c r="S828" s="28"/>
      <c r="T828" s="28"/>
      <c r="U828" s="28"/>
    </row>
    <row r="829" spans="1:21" s="5" customFormat="1">
      <c r="A829" s="179" t="s">
        <v>1144</v>
      </c>
      <c r="B829" s="185" t="s">
        <v>5600</v>
      </c>
      <c r="C829" s="35" t="str">
        <f t="shared" si="84"/>
        <v>Bahthi</v>
      </c>
      <c r="E829" s="40"/>
      <c r="F829" s="15"/>
      <c r="G829" s="17"/>
      <c r="H829" s="10" t="s">
        <v>8563</v>
      </c>
      <c r="I829" s="4" t="str">
        <f t="shared" si="85"/>
        <v>|Baḥí|</v>
      </c>
      <c r="J829" s="3" t="str">
        <f t="shared" si="86"/>
        <v>|Bahthi|</v>
      </c>
      <c r="K829" s="3" t="str">
        <f t="shared" si="87"/>
        <v>Bahthi</v>
      </c>
      <c r="N829" s="39" t="str">
        <f t="shared" si="88"/>
        <v/>
      </c>
      <c r="P829" s="39" t="str">
        <f t="shared" si="89"/>
        <v/>
      </c>
      <c r="R829" s="39" t="str">
        <f t="shared" si="90"/>
        <v/>
      </c>
      <c r="S829" s="28"/>
      <c r="T829" s="28"/>
      <c r="U829" s="28"/>
    </row>
    <row r="830" spans="1:21" s="5" customFormat="1">
      <c r="A830" s="179" t="s">
        <v>1146</v>
      </c>
      <c r="B830" s="185" t="s">
        <v>5601</v>
      </c>
      <c r="C830" s="35" t="str">
        <f t="shared" si="84"/>
        <v>Baji</v>
      </c>
      <c r="E830" s="40"/>
      <c r="F830" s="15"/>
      <c r="G830" s="17"/>
      <c r="H830" s="10" t="s">
        <v>8563</v>
      </c>
      <c r="I830" s="4" t="str">
        <f t="shared" si="85"/>
        <v>|Bájí|</v>
      </c>
      <c r="J830" s="3" t="str">
        <f t="shared" si="86"/>
        <v>|Baji|</v>
      </c>
      <c r="K830" s="3" t="str">
        <f t="shared" si="87"/>
        <v>Baji</v>
      </c>
      <c r="N830" s="39" t="str">
        <f t="shared" si="88"/>
        <v/>
      </c>
      <c r="P830" s="39" t="str">
        <f t="shared" si="89"/>
        <v/>
      </c>
      <c r="R830" s="39" t="str">
        <f t="shared" si="90"/>
        <v/>
      </c>
      <c r="S830" s="28"/>
      <c r="T830" s="28"/>
      <c r="U830" s="28"/>
    </row>
    <row r="831" spans="1:21" s="5" customFormat="1">
      <c r="A831" s="179" t="s">
        <v>1147</v>
      </c>
      <c r="B831" s="185" t="s">
        <v>5602</v>
      </c>
      <c r="C831" s="35" t="str">
        <f t="shared" si="84"/>
        <v>Bajistani</v>
      </c>
      <c r="E831" s="40"/>
      <c r="F831" s="15"/>
      <c r="G831" s="17"/>
      <c r="H831" s="10" t="s">
        <v>8563</v>
      </c>
      <c r="I831" s="4" t="str">
        <f t="shared" si="85"/>
        <v>|Bajistání|</v>
      </c>
      <c r="J831" s="3" t="str">
        <f t="shared" si="86"/>
        <v>|Bajistani|</v>
      </c>
      <c r="K831" s="3" t="str">
        <f t="shared" si="87"/>
        <v>Bajistani</v>
      </c>
      <c r="N831" s="39" t="str">
        <f t="shared" si="88"/>
        <v/>
      </c>
      <c r="P831" s="39" t="str">
        <f t="shared" si="89"/>
        <v/>
      </c>
      <c r="R831" s="39" t="str">
        <f t="shared" si="90"/>
        <v/>
      </c>
      <c r="S831" s="28"/>
      <c r="T831" s="28"/>
      <c r="U831" s="28"/>
    </row>
    <row r="832" spans="1:21" s="5" customFormat="1">
      <c r="A832" s="179" t="s">
        <v>1149</v>
      </c>
      <c r="B832" s="185" t="s">
        <v>5604</v>
      </c>
      <c r="C832" s="35" t="str">
        <f t="shared" si="84"/>
        <v>BakhshAli</v>
      </c>
      <c r="E832" s="40"/>
      <c r="F832" s="14"/>
      <c r="G832" s="17"/>
      <c r="H832" s="10" t="s">
        <v>8563</v>
      </c>
      <c r="I832" s="4" t="str">
        <f t="shared" si="85"/>
        <v>|Ba-ʿAlí|</v>
      </c>
      <c r="J832" s="3" t="str">
        <f t="shared" si="86"/>
        <v>|Bakhsh-'Ali|</v>
      </c>
      <c r="K832" s="3" t="str">
        <f t="shared" si="87"/>
        <v>Bakhsh-Ali</v>
      </c>
      <c r="N832" s="39" t="str">
        <f t="shared" si="88"/>
        <v/>
      </c>
      <c r="P832" s="39" t="str">
        <f t="shared" si="89"/>
        <v/>
      </c>
      <c r="R832" s="39" t="str">
        <f t="shared" si="90"/>
        <v/>
      </c>
      <c r="S832" s="28"/>
      <c r="T832" s="28"/>
      <c r="U832" s="28"/>
    </row>
    <row r="833" spans="1:21" s="5" customFormat="1">
      <c r="A833" s="179" t="s">
        <v>1148</v>
      </c>
      <c r="B833" s="185" t="s">
        <v>5603</v>
      </c>
      <c r="C833" s="35" t="str">
        <f t="shared" si="84"/>
        <v>Bakht</v>
      </c>
      <c r="E833" s="40"/>
      <c r="F833" s="14"/>
      <c r="G833" s="17"/>
      <c r="H833" s="10" t="s">
        <v>8563</v>
      </c>
      <c r="I833" s="4" t="str">
        <f t="shared" si="85"/>
        <v>|Bat|</v>
      </c>
      <c r="J833" s="3" t="str">
        <f t="shared" si="86"/>
        <v>|Bakht|</v>
      </c>
      <c r="K833" s="3" t="str">
        <f t="shared" si="87"/>
        <v>Bakht</v>
      </c>
      <c r="N833" s="39" t="str">
        <f t="shared" si="88"/>
        <v/>
      </c>
      <c r="P833" s="39" t="str">
        <f t="shared" si="89"/>
        <v/>
      </c>
      <c r="R833" s="39" t="str">
        <f t="shared" si="90"/>
        <v/>
      </c>
      <c r="S833" s="28"/>
      <c r="T833" s="28"/>
      <c r="U833" s="28"/>
    </row>
    <row r="834" spans="1:21" s="5" customFormat="1">
      <c r="A834" s="179" t="s">
        <v>1150</v>
      </c>
      <c r="B834" s="185" t="s">
        <v>5605</v>
      </c>
      <c r="C834" s="35" t="str">
        <f t="shared" si="84"/>
        <v>Bakhtavar</v>
      </c>
      <c r="E834" s="40"/>
      <c r="F834" s="15"/>
      <c r="G834" s="17"/>
      <c r="H834" s="10" t="s">
        <v>8563</v>
      </c>
      <c r="I834" s="4" t="str">
        <f t="shared" si="85"/>
        <v>|Batávar|</v>
      </c>
      <c r="J834" s="3" t="str">
        <f t="shared" si="86"/>
        <v>|Bakhtavar|</v>
      </c>
      <c r="K834" s="3" t="str">
        <f t="shared" si="87"/>
        <v>Bakhtavar</v>
      </c>
      <c r="N834" s="39" t="str">
        <f t="shared" si="88"/>
        <v/>
      </c>
      <c r="P834" s="39" t="str">
        <f t="shared" si="89"/>
        <v/>
      </c>
      <c r="R834" s="39" t="str">
        <f t="shared" si="90"/>
        <v/>
      </c>
      <c r="S834" s="28"/>
      <c r="T834" s="28"/>
      <c r="U834" s="28"/>
    </row>
    <row r="835" spans="1:21" s="5" customFormat="1">
      <c r="A835" s="179" t="s">
        <v>1151</v>
      </c>
      <c r="B835" s="185" t="s">
        <v>5606</v>
      </c>
      <c r="C835" s="35" t="str">
        <f t="shared" ref="C835:C898" si="91">SUBSTITUTE(SUBSTITUTE(K835,"-","")," ","")</f>
        <v>Bakhtiyar</v>
      </c>
      <c r="E835" s="40"/>
      <c r="F835" s="15"/>
      <c r="G835" s="17"/>
      <c r="H835" s="10" t="s">
        <v>8563</v>
      </c>
      <c r="I835" s="4" t="str">
        <f t="shared" ref="I835:I898" si="92">CONCATENATE("|",B835,"|")</f>
        <v>|Batíyár|</v>
      </c>
      <c r="J835" s="3" t="str">
        <f t="shared" ref="J835:J898" si="93">CONCATENATE("|",F_OutputASCII(B835),"|")</f>
        <v>|Bakhtiyar|</v>
      </c>
      <c r="K835" s="3" t="str">
        <f t="shared" ref="K835:K898" si="94">IF(SUBSTITUTE(MID(J835,2,LEN(J835)-2),"'","")&lt;&gt;"",SUBSTITUTE(MID(J835,2,LEN(J835)-2),"'",""),"ZZZZZ")</f>
        <v>Bakhtiyar</v>
      </c>
      <c r="N835" s="39" t="str">
        <f t="shared" ref="N835:N898" si="95">SUBSTITUTE(SUBSTITUTE(SUBSTITUTE(F_OutputASCII(M835),"-","")," ",""),"'","")</f>
        <v/>
      </c>
      <c r="P835" s="39" t="str">
        <f t="shared" ref="P835:P898" si="96">SUBSTITUTE(SUBSTITUTE(SUBSTITUTE(F_OutputASCII(O835),"-","")," ",""),"'","")</f>
        <v/>
      </c>
      <c r="R835" s="39" t="str">
        <f t="shared" si="90"/>
        <v/>
      </c>
      <c r="S835" s="28"/>
      <c r="T835" s="28"/>
      <c r="U835" s="28"/>
    </row>
    <row r="836" spans="1:21" s="5" customFormat="1">
      <c r="A836" s="179" t="s">
        <v>1152</v>
      </c>
      <c r="B836" s="185" t="s">
        <v>5607</v>
      </c>
      <c r="C836" s="35" t="str">
        <f t="shared" si="91"/>
        <v>Bakhtiyari</v>
      </c>
      <c r="E836" s="40"/>
      <c r="F836" s="14"/>
      <c r="G836" s="17"/>
      <c r="H836" s="10" t="s">
        <v>8563</v>
      </c>
      <c r="I836" s="4" t="str">
        <f t="shared" si="92"/>
        <v>|Batíyárí|</v>
      </c>
      <c r="J836" s="3" t="str">
        <f t="shared" si="93"/>
        <v>|Bakhtiyari|</v>
      </c>
      <c r="K836" s="3" t="str">
        <f t="shared" si="94"/>
        <v>Bakhtiyari</v>
      </c>
      <c r="N836" s="39" t="str">
        <f t="shared" si="95"/>
        <v/>
      </c>
      <c r="P836" s="39" t="str">
        <f t="shared" si="96"/>
        <v/>
      </c>
      <c r="R836" s="39" t="str">
        <f t="shared" ref="R836:R899" si="97">SUBSTITUTE(SUBSTITUTE(Q836,"-","")," ","")</f>
        <v/>
      </c>
      <c r="S836" s="28"/>
      <c r="T836" s="28"/>
      <c r="U836" s="28"/>
    </row>
    <row r="837" spans="1:21" s="5" customFormat="1">
      <c r="A837" s="179" t="s">
        <v>1153</v>
      </c>
      <c r="B837" s="185" t="s">
        <v>5608</v>
      </c>
      <c r="C837" s="35" t="str">
        <f t="shared" si="91"/>
        <v>Baku</v>
      </c>
      <c r="E837" s="40"/>
      <c r="F837" s="14"/>
      <c r="G837" s="17"/>
      <c r="H837" s="10" t="s">
        <v>8563</v>
      </c>
      <c r="I837" s="4" t="str">
        <f t="shared" si="92"/>
        <v>|Bákú|</v>
      </c>
      <c r="J837" s="3" t="str">
        <f t="shared" si="93"/>
        <v>|Baku|</v>
      </c>
      <c r="K837" s="3" t="str">
        <f t="shared" si="94"/>
        <v>Baku</v>
      </c>
      <c r="N837" s="39" t="str">
        <f t="shared" si="95"/>
        <v/>
      </c>
      <c r="P837" s="39" t="str">
        <f t="shared" si="96"/>
        <v/>
      </c>
      <c r="R837" s="39" t="str">
        <f t="shared" si="97"/>
        <v/>
      </c>
      <c r="S837" s="28"/>
      <c r="T837" s="28"/>
      <c r="U837" s="28"/>
    </row>
    <row r="838" spans="1:21" s="5" customFormat="1">
      <c r="A838" s="179" t="s">
        <v>1154</v>
      </c>
      <c r="B838" s="185" t="s">
        <v>5609</v>
      </c>
      <c r="C838" s="35" t="str">
        <f t="shared" si="91"/>
        <v>Bala</v>
      </c>
      <c r="E838" s="40"/>
      <c r="F838" s="15" t="s">
        <v>1155</v>
      </c>
      <c r="G838" s="17"/>
      <c r="H838" s="10" t="s">
        <v>8563</v>
      </c>
      <c r="I838" s="4" t="str">
        <f t="shared" si="92"/>
        <v>|Bálá|</v>
      </c>
      <c r="J838" s="3" t="str">
        <f t="shared" si="93"/>
        <v>|Bala|</v>
      </c>
      <c r="K838" s="3" t="str">
        <f t="shared" si="94"/>
        <v>Bala</v>
      </c>
      <c r="N838" s="39" t="str">
        <f t="shared" si="95"/>
        <v/>
      </c>
      <c r="P838" s="39" t="str">
        <f t="shared" si="96"/>
        <v/>
      </c>
      <c r="R838" s="39" t="str">
        <f t="shared" si="97"/>
        <v/>
      </c>
      <c r="S838" s="28"/>
      <c r="T838" s="28"/>
      <c r="U838" s="28"/>
    </row>
    <row r="839" spans="1:21" s="5" customFormat="1">
      <c r="A839" s="179" t="s">
        <v>1156</v>
      </c>
      <c r="B839" s="185" t="s">
        <v>5610</v>
      </c>
      <c r="C839" s="35" t="str">
        <f t="shared" si="91"/>
        <v>BalaKhanih</v>
      </c>
      <c r="E839" s="40"/>
      <c r="F839" s="14"/>
      <c r="G839" s="17"/>
      <c r="H839" s="10" t="s">
        <v>8563</v>
      </c>
      <c r="I839" s="4" t="str">
        <f t="shared" si="92"/>
        <v>|Bálá-ánih|</v>
      </c>
      <c r="J839" s="3" t="str">
        <f t="shared" si="93"/>
        <v>|Bala-Khanih|</v>
      </c>
      <c r="K839" s="3" t="str">
        <f t="shared" si="94"/>
        <v>Bala-Khanih</v>
      </c>
      <c r="N839" s="39" t="str">
        <f t="shared" si="95"/>
        <v/>
      </c>
      <c r="P839" s="39" t="str">
        <f t="shared" si="96"/>
        <v/>
      </c>
      <c r="R839" s="39" t="str">
        <f t="shared" si="97"/>
        <v/>
      </c>
      <c r="S839" s="28"/>
      <c r="T839" s="28"/>
      <c r="U839" s="28"/>
    </row>
    <row r="840" spans="1:21" s="5" customFormat="1">
      <c r="A840" s="179" t="s">
        <v>1157</v>
      </c>
      <c r="B840" s="185" t="s">
        <v>5611</v>
      </c>
      <c r="C840" s="35" t="str">
        <f t="shared" si="91"/>
        <v>BalaKhiyaban</v>
      </c>
      <c r="E840" s="40"/>
      <c r="F840" s="15"/>
      <c r="G840" s="17"/>
      <c r="H840" s="10" t="s">
        <v>8563</v>
      </c>
      <c r="I840" s="4" t="str">
        <f t="shared" si="92"/>
        <v>|Bálá-íyábán|</v>
      </c>
      <c r="J840" s="3" t="str">
        <f t="shared" si="93"/>
        <v>|Bala-Khiyaban|</v>
      </c>
      <c r="K840" s="3" t="str">
        <f t="shared" si="94"/>
        <v>Bala-Khiyaban</v>
      </c>
      <c r="N840" s="39" t="str">
        <f t="shared" si="95"/>
        <v/>
      </c>
      <c r="P840" s="39" t="str">
        <f t="shared" si="96"/>
        <v/>
      </c>
      <c r="R840" s="39" t="str">
        <f t="shared" si="97"/>
        <v/>
      </c>
      <c r="S840" s="28"/>
      <c r="T840" s="28"/>
      <c r="U840" s="28"/>
    </row>
    <row r="841" spans="1:21" s="5" customFormat="1">
      <c r="A841" s="179" t="s">
        <v>1158</v>
      </c>
      <c r="B841" s="185" t="s">
        <v>5612</v>
      </c>
      <c r="C841" s="35" t="str">
        <f t="shared" si="91"/>
        <v>Balal</v>
      </c>
      <c r="E841" s="40"/>
      <c r="F841" s="14"/>
      <c r="G841" s="17"/>
      <c r="H841" s="10" t="s">
        <v>8563</v>
      </c>
      <c r="I841" s="4" t="str">
        <f t="shared" si="92"/>
        <v>|Balál|</v>
      </c>
      <c r="J841" s="3" t="str">
        <f t="shared" si="93"/>
        <v>|Balal|</v>
      </c>
      <c r="K841" s="3" t="str">
        <f t="shared" si="94"/>
        <v>Balal</v>
      </c>
      <c r="N841" s="39" t="str">
        <f t="shared" si="95"/>
        <v/>
      </c>
      <c r="P841" s="39" t="str">
        <f t="shared" si="96"/>
        <v/>
      </c>
      <c r="R841" s="39" t="str">
        <f t="shared" si="97"/>
        <v/>
      </c>
      <c r="S841" s="28"/>
      <c r="T841" s="28"/>
      <c r="U841" s="28"/>
    </row>
    <row r="842" spans="1:21" s="5" customFormat="1">
      <c r="A842" s="179" t="s">
        <v>1159</v>
      </c>
      <c r="B842" s="185" t="s">
        <v>5613</v>
      </c>
      <c r="C842" s="35" t="str">
        <f t="shared" si="91"/>
        <v>BalaRastaq</v>
      </c>
      <c r="E842" s="40"/>
      <c r="F842" s="15"/>
      <c r="G842" s="17"/>
      <c r="H842" s="10" t="s">
        <v>8563</v>
      </c>
      <c r="I842" s="4" t="str">
        <f t="shared" si="92"/>
        <v>|Bálá-Rastáq|</v>
      </c>
      <c r="J842" s="3" t="str">
        <f t="shared" si="93"/>
        <v>|Bala-Rastaq|</v>
      </c>
      <c r="K842" s="3" t="str">
        <f t="shared" si="94"/>
        <v>Bala-Rastaq</v>
      </c>
      <c r="N842" s="39" t="str">
        <f t="shared" si="95"/>
        <v/>
      </c>
      <c r="P842" s="39" t="str">
        <f t="shared" si="96"/>
        <v/>
      </c>
      <c r="R842" s="39" t="str">
        <f t="shared" si="97"/>
        <v/>
      </c>
      <c r="S842" s="28"/>
      <c r="T842" s="28"/>
      <c r="U842" s="28"/>
    </row>
    <row r="843" spans="1:21" s="5" customFormat="1">
      <c r="A843" s="179" t="s">
        <v>1160</v>
      </c>
      <c r="B843" s="185" t="s">
        <v>5614</v>
      </c>
      <c r="C843" s="35" t="str">
        <f t="shared" si="91"/>
        <v>BalaSari</v>
      </c>
      <c r="E843" s="40"/>
      <c r="F843" s="15"/>
      <c r="G843" s="17"/>
      <c r="H843" s="10" t="s">
        <v>8563</v>
      </c>
      <c r="I843" s="4" t="str">
        <f t="shared" si="92"/>
        <v>|Bálá-Sárí|</v>
      </c>
      <c r="J843" s="3" t="str">
        <f t="shared" si="93"/>
        <v>|Bala-Sari|</v>
      </c>
      <c r="K843" s="3" t="str">
        <f t="shared" si="94"/>
        <v>Bala-Sari</v>
      </c>
      <c r="N843" s="39" t="str">
        <f t="shared" si="95"/>
        <v/>
      </c>
      <c r="P843" s="39" t="str">
        <f t="shared" si="96"/>
        <v/>
      </c>
      <c r="R843" s="39" t="str">
        <f t="shared" si="97"/>
        <v/>
      </c>
      <c r="S843" s="28"/>
      <c r="T843" s="28"/>
      <c r="U843" s="28"/>
    </row>
    <row r="844" spans="1:21" s="5" customFormat="1">
      <c r="A844" s="179" t="s">
        <v>1161</v>
      </c>
      <c r="B844" s="185" t="s">
        <v>5615</v>
      </c>
      <c r="C844" s="35" t="str">
        <f t="shared" si="91"/>
        <v>balatar</v>
      </c>
      <c r="E844" s="40"/>
      <c r="F844" s="15"/>
      <c r="G844" s="17"/>
      <c r="H844" s="10" t="s">
        <v>8563</v>
      </c>
      <c r="I844" s="4" t="str">
        <f t="shared" si="92"/>
        <v>|bálátar|</v>
      </c>
      <c r="J844" s="3" t="str">
        <f t="shared" si="93"/>
        <v>|balatar|</v>
      </c>
      <c r="K844" s="3" t="str">
        <f t="shared" si="94"/>
        <v>balatar</v>
      </c>
      <c r="N844" s="39" t="str">
        <f t="shared" si="95"/>
        <v/>
      </c>
      <c r="P844" s="39" t="str">
        <f t="shared" si="96"/>
        <v/>
      </c>
      <c r="R844" s="39" t="str">
        <f t="shared" si="97"/>
        <v/>
      </c>
      <c r="S844" s="28"/>
      <c r="T844" s="28"/>
      <c r="U844" s="28"/>
    </row>
    <row r="845" spans="1:21" s="5" customFormat="1">
      <c r="A845" s="179" t="s">
        <v>1162</v>
      </c>
      <c r="B845" s="185" t="s">
        <v>5616</v>
      </c>
      <c r="C845" s="35" t="str">
        <f t="shared" si="91"/>
        <v>Baluch</v>
      </c>
      <c r="E845" s="40"/>
      <c r="F845" s="14"/>
      <c r="G845" s="17"/>
      <c r="H845" s="10" t="s">
        <v>8563</v>
      </c>
      <c r="I845" s="4" t="str">
        <f t="shared" si="92"/>
        <v>|Balú|</v>
      </c>
      <c r="J845" s="3" t="str">
        <f t="shared" si="93"/>
        <v>|Baluch|</v>
      </c>
      <c r="K845" s="3" t="str">
        <f t="shared" si="94"/>
        <v>Baluch</v>
      </c>
      <c r="N845" s="39" t="str">
        <f t="shared" si="95"/>
        <v/>
      </c>
      <c r="P845" s="39" t="str">
        <f t="shared" si="96"/>
        <v/>
      </c>
      <c r="R845" s="39" t="str">
        <f t="shared" si="97"/>
        <v/>
      </c>
      <c r="S845" s="28"/>
      <c r="T845" s="28"/>
      <c r="U845" s="28"/>
    </row>
    <row r="846" spans="1:21" s="5" customFormat="1">
      <c r="A846" s="179" t="s">
        <v>1163</v>
      </c>
      <c r="B846" s="185" t="s">
        <v>5617</v>
      </c>
      <c r="C846" s="35" t="str">
        <f t="shared" si="91"/>
        <v>Baluchistan</v>
      </c>
      <c r="E846" s="40"/>
      <c r="F846" s="14"/>
      <c r="G846" s="17"/>
      <c r="H846" s="10" t="s">
        <v>8563</v>
      </c>
      <c r="I846" s="4" t="str">
        <f t="shared" si="92"/>
        <v>|Balúistán|</v>
      </c>
      <c r="J846" s="3" t="str">
        <f t="shared" si="93"/>
        <v>|Baluchistan|</v>
      </c>
      <c r="K846" s="3" t="str">
        <f t="shared" si="94"/>
        <v>Baluchistan</v>
      </c>
      <c r="N846" s="39" t="str">
        <f t="shared" si="95"/>
        <v/>
      </c>
      <c r="P846" s="39" t="str">
        <f t="shared" si="96"/>
        <v/>
      </c>
      <c r="R846" s="39" t="str">
        <f t="shared" si="97"/>
        <v/>
      </c>
      <c r="S846" s="28"/>
      <c r="T846" s="28"/>
      <c r="U846" s="28"/>
    </row>
    <row r="847" spans="1:21" s="5" customFormat="1">
      <c r="A847" s="179" t="s">
        <v>1164</v>
      </c>
      <c r="B847" s="185" t="s">
        <v>5618</v>
      </c>
      <c r="C847" s="35" t="str">
        <f t="shared" si="91"/>
        <v>Banaduk</v>
      </c>
      <c r="E847" s="40"/>
      <c r="F847" s="14"/>
      <c r="G847" s="17"/>
      <c r="H847" s="10" t="s">
        <v>8563</v>
      </c>
      <c r="I847" s="4" t="str">
        <f t="shared" si="92"/>
        <v>|Banáduk|</v>
      </c>
      <c r="J847" s="3" t="str">
        <f t="shared" si="93"/>
        <v>|Banaduk|</v>
      </c>
      <c r="K847" s="3" t="str">
        <f t="shared" si="94"/>
        <v>Banaduk</v>
      </c>
      <c r="N847" s="39" t="str">
        <f t="shared" si="95"/>
        <v/>
      </c>
      <c r="P847" s="39" t="str">
        <f t="shared" si="96"/>
        <v/>
      </c>
      <c r="R847" s="39" t="str">
        <f t="shared" si="97"/>
        <v/>
      </c>
      <c r="S847" s="28"/>
      <c r="T847" s="28"/>
      <c r="U847" s="28"/>
    </row>
    <row r="848" spans="1:21" s="5" customFormat="1">
      <c r="A848" s="179" t="s">
        <v>1165</v>
      </c>
      <c r="B848" s="185" t="s">
        <v>5619</v>
      </c>
      <c r="C848" s="35" t="str">
        <f t="shared" si="91"/>
        <v>Banani</v>
      </c>
      <c r="E848" s="40"/>
      <c r="F848" s="14"/>
      <c r="G848" s="17"/>
      <c r="H848" s="10" t="s">
        <v>8563</v>
      </c>
      <c r="I848" s="4" t="str">
        <f t="shared" si="92"/>
        <v>|Banání|</v>
      </c>
      <c r="J848" s="3" t="str">
        <f t="shared" si="93"/>
        <v>|Banani|</v>
      </c>
      <c r="K848" s="3" t="str">
        <f t="shared" si="94"/>
        <v>Banani</v>
      </c>
      <c r="N848" s="39" t="str">
        <f t="shared" si="95"/>
        <v/>
      </c>
      <c r="P848" s="39" t="str">
        <f t="shared" si="96"/>
        <v/>
      </c>
      <c r="R848" s="39" t="str">
        <f t="shared" si="97"/>
        <v/>
      </c>
      <c r="S848" s="28"/>
      <c r="T848" s="28"/>
      <c r="U848" s="28"/>
    </row>
    <row r="849" spans="1:21" s="5" customFormat="1">
      <c r="A849" s="179" t="s">
        <v>1166</v>
      </c>
      <c r="B849" s="185" t="s">
        <v>5620</v>
      </c>
      <c r="C849" s="35" t="str">
        <f t="shared" si="91"/>
        <v>BandarAbbas</v>
      </c>
      <c r="E849" s="40"/>
      <c r="F849" s="14"/>
      <c r="G849" s="17"/>
      <c r="H849" s="10" t="s">
        <v>8563</v>
      </c>
      <c r="I849" s="4" t="str">
        <f t="shared" si="92"/>
        <v>|Bandar-ʿAbbás|</v>
      </c>
      <c r="J849" s="3" t="str">
        <f t="shared" si="93"/>
        <v>|Bandar-'Abbas|</v>
      </c>
      <c r="K849" s="3" t="str">
        <f t="shared" si="94"/>
        <v>Bandar-Abbas</v>
      </c>
      <c r="N849" s="39" t="str">
        <f t="shared" si="95"/>
        <v/>
      </c>
      <c r="P849" s="39" t="str">
        <f t="shared" si="96"/>
        <v/>
      </c>
      <c r="R849" s="39" t="str">
        <f t="shared" si="97"/>
        <v/>
      </c>
      <c r="S849" s="28"/>
      <c r="T849" s="28"/>
      <c r="U849" s="28"/>
    </row>
    <row r="850" spans="1:21" s="5" customFormat="1">
      <c r="A850" s="179" t="s">
        <v>1167</v>
      </c>
      <c r="B850" s="185" t="s">
        <v>5621</v>
      </c>
      <c r="C850" s="35" t="str">
        <f t="shared" si="91"/>
        <v>BandariJaz</v>
      </c>
      <c r="E850" s="40"/>
      <c r="F850" s="14"/>
      <c r="G850" s="17"/>
      <c r="H850" s="10" t="s">
        <v>8563</v>
      </c>
      <c r="I850" s="4" t="str">
        <f t="shared" si="92"/>
        <v>|Bandar-i-Jaz|</v>
      </c>
      <c r="J850" s="3" t="str">
        <f t="shared" si="93"/>
        <v>|Bandar-i-Jaz|</v>
      </c>
      <c r="K850" s="3" t="str">
        <f t="shared" si="94"/>
        <v>Bandar-i-Jaz</v>
      </c>
      <c r="N850" s="39" t="str">
        <f t="shared" si="95"/>
        <v/>
      </c>
      <c r="P850" s="39" t="str">
        <f t="shared" si="96"/>
        <v/>
      </c>
      <c r="R850" s="39" t="str">
        <f t="shared" si="97"/>
        <v/>
      </c>
      <c r="S850" s="28"/>
      <c r="T850" s="28"/>
      <c r="U850" s="28"/>
    </row>
    <row r="851" spans="1:21" s="5" customFormat="1">
      <c r="A851" s="179" t="s">
        <v>1168</v>
      </c>
      <c r="B851" s="185" t="s">
        <v>5622</v>
      </c>
      <c r="C851" s="35" t="str">
        <f t="shared" si="91"/>
        <v>BandiyibabiBaha</v>
      </c>
      <c r="E851" s="40"/>
      <c r="F851" s="14"/>
      <c r="G851" s="17"/>
      <c r="H851" s="10" t="s">
        <v>8563</v>
      </c>
      <c r="I851" s="4" t="str">
        <f t="shared" si="92"/>
        <v>|Bandiy-i-báb-i-Bahá|</v>
      </c>
      <c r="J851" s="3" t="str">
        <f t="shared" si="93"/>
        <v>|Bandiy-i-bab-i-Baha|</v>
      </c>
      <c r="K851" s="3" t="str">
        <f t="shared" si="94"/>
        <v>Bandiy-i-bab-i-Baha</v>
      </c>
      <c r="N851" s="39" t="str">
        <f t="shared" si="95"/>
        <v/>
      </c>
      <c r="P851" s="39" t="str">
        <f t="shared" si="96"/>
        <v/>
      </c>
      <c r="R851" s="39" t="str">
        <f t="shared" si="97"/>
        <v/>
      </c>
      <c r="S851" s="28"/>
      <c r="T851" s="28"/>
      <c r="U851" s="28"/>
    </row>
    <row r="852" spans="1:21" s="5" customFormat="1">
      <c r="A852" s="179" t="s">
        <v>1169</v>
      </c>
      <c r="B852" s="185" t="s">
        <v>5623</v>
      </c>
      <c r="C852" s="35" t="str">
        <f t="shared" si="91"/>
        <v>BandiyiKhuda</v>
      </c>
      <c r="E852" s="40"/>
      <c r="F852" s="15"/>
      <c r="G852" s="17"/>
      <c r="H852" s="10" t="s">
        <v>8563</v>
      </c>
      <c r="I852" s="4" t="str">
        <f t="shared" si="92"/>
        <v>|Bandiy-i-udá|</v>
      </c>
      <c r="J852" s="3" t="str">
        <f t="shared" si="93"/>
        <v>|Bandiy-i-Khuda|</v>
      </c>
      <c r="K852" s="3" t="str">
        <f t="shared" si="94"/>
        <v>Bandiy-i-Khuda</v>
      </c>
      <c r="N852" s="39" t="str">
        <f t="shared" si="95"/>
        <v/>
      </c>
      <c r="P852" s="39" t="str">
        <f t="shared" si="96"/>
        <v/>
      </c>
      <c r="R852" s="39" t="str">
        <f t="shared" si="97"/>
        <v/>
      </c>
      <c r="S852" s="28"/>
      <c r="T852" s="28"/>
      <c r="U852" s="28"/>
    </row>
    <row r="853" spans="1:21" s="5" customFormat="1">
      <c r="A853" s="179" t="s">
        <v>1170</v>
      </c>
      <c r="B853" s="185" t="s">
        <v>5624</v>
      </c>
      <c r="C853" s="35" t="str">
        <f t="shared" si="91"/>
        <v>Bani</v>
      </c>
      <c r="E853" s="40"/>
      <c r="F853" s="14"/>
      <c r="G853" s="17"/>
      <c r="H853" s="10" t="s">
        <v>8563</v>
      </c>
      <c r="I853" s="4" t="str">
        <f t="shared" si="92"/>
        <v>|Baní|</v>
      </c>
      <c r="J853" s="3" t="str">
        <f t="shared" si="93"/>
        <v>|Bani|</v>
      </c>
      <c r="K853" s="3" t="str">
        <f t="shared" si="94"/>
        <v>Bani</v>
      </c>
      <c r="N853" s="39" t="str">
        <f t="shared" si="95"/>
        <v/>
      </c>
      <c r="P853" s="39" t="str">
        <f t="shared" si="96"/>
        <v/>
      </c>
      <c r="R853" s="39" t="str">
        <f t="shared" si="97"/>
        <v/>
      </c>
      <c r="S853" s="28"/>
      <c r="T853" s="28"/>
      <c r="U853" s="28"/>
    </row>
    <row r="854" spans="1:21" s="5" customFormat="1">
      <c r="A854" s="179" t="s">
        <v>1171</v>
      </c>
      <c r="B854" s="185" t="s">
        <v>5625</v>
      </c>
      <c r="C854" s="35" t="str">
        <f t="shared" si="91"/>
        <v>BaniHashim</v>
      </c>
      <c r="E854" s="40"/>
      <c r="F854" s="14" t="s">
        <v>1172</v>
      </c>
      <c r="G854" s="17"/>
      <c r="H854" s="10" t="s">
        <v>8563</v>
      </c>
      <c r="I854" s="4" t="str">
        <f t="shared" si="92"/>
        <v>|Baní-Háim|</v>
      </c>
      <c r="J854" s="3" t="str">
        <f t="shared" si="93"/>
        <v>|Bani-Hashim|</v>
      </c>
      <c r="K854" s="3" t="str">
        <f t="shared" si="94"/>
        <v>Bani-Hashim</v>
      </c>
      <c r="N854" s="39" t="str">
        <f t="shared" si="95"/>
        <v/>
      </c>
      <c r="P854" s="39" t="str">
        <f t="shared" si="96"/>
        <v/>
      </c>
      <c r="R854" s="39" t="str">
        <f t="shared" si="97"/>
        <v/>
      </c>
      <c r="S854" s="28"/>
      <c r="T854" s="28"/>
      <c r="U854" s="28"/>
    </row>
    <row r="855" spans="1:21" s="5" customFormat="1">
      <c r="A855" s="181" t="s">
        <v>8934</v>
      </c>
      <c r="B855" s="185" t="s">
        <v>160</v>
      </c>
      <c r="C855" s="35" t="str">
        <f t="shared" si="91"/>
        <v>BaniKinanih</v>
      </c>
      <c r="D855" s="1"/>
      <c r="E855" s="40"/>
      <c r="F855" s="12"/>
      <c r="G855" s="9"/>
      <c r="H855" s="12"/>
      <c r="I855" s="4" t="str">
        <f t="shared" si="92"/>
        <v>|Baní-Kinánih|</v>
      </c>
      <c r="J855" s="3" t="str">
        <f t="shared" si="93"/>
        <v>|Bani-Kinanih|</v>
      </c>
      <c r="K855" s="3" t="str">
        <f t="shared" si="94"/>
        <v>Bani-Kinanih</v>
      </c>
      <c r="M855" s="1"/>
      <c r="N855" s="39" t="str">
        <f t="shared" si="95"/>
        <v/>
      </c>
      <c r="O855" s="1"/>
      <c r="P855" s="39" t="str">
        <f t="shared" si="96"/>
        <v/>
      </c>
      <c r="Q855" s="1"/>
      <c r="R855" s="39" t="str">
        <f t="shared" si="97"/>
        <v/>
      </c>
      <c r="S855" s="28"/>
      <c r="T855" s="28"/>
      <c r="U855" s="28"/>
    </row>
    <row r="856" spans="1:21" s="5" customFormat="1">
      <c r="A856" s="181" t="s">
        <v>8935</v>
      </c>
      <c r="B856" s="185" t="s">
        <v>162</v>
      </c>
      <c r="C856" s="35" t="str">
        <f t="shared" si="91"/>
        <v>BaniQahtan</v>
      </c>
      <c r="D856" s="1"/>
      <c r="E856" s="40"/>
      <c r="F856" s="12"/>
      <c r="G856" s="9"/>
      <c r="H856" s="12"/>
      <c r="I856" s="4" t="str">
        <f t="shared" si="92"/>
        <v>|Baní-Qahtán|</v>
      </c>
      <c r="J856" s="3" t="str">
        <f t="shared" si="93"/>
        <v>|Bani-Qahtan|</v>
      </c>
      <c r="K856" s="3" t="str">
        <f t="shared" si="94"/>
        <v>Bani-Qahtan</v>
      </c>
      <c r="M856" s="1"/>
      <c r="N856" s="39" t="str">
        <f t="shared" si="95"/>
        <v/>
      </c>
      <c r="O856" s="1"/>
      <c r="P856" s="39" t="str">
        <f t="shared" si="96"/>
        <v/>
      </c>
      <c r="Q856" s="1"/>
      <c r="R856" s="39" t="str">
        <f t="shared" si="97"/>
        <v/>
      </c>
      <c r="S856" s="28"/>
      <c r="T856" s="28"/>
      <c r="U856" s="28"/>
    </row>
    <row r="857" spans="1:21" s="5" customFormat="1">
      <c r="A857" s="181" t="s">
        <v>8936</v>
      </c>
      <c r="B857" s="185" t="s">
        <v>161</v>
      </c>
      <c r="C857" s="35" t="str">
        <f t="shared" si="91"/>
        <v>BaniQurayzih</v>
      </c>
      <c r="D857" s="1"/>
      <c r="E857" s="40"/>
      <c r="F857" s="12"/>
      <c r="G857" s="9"/>
      <c r="H857" s="12"/>
      <c r="I857" s="4" t="str">
        <f t="shared" si="92"/>
        <v>|Baní-Qurayzih|</v>
      </c>
      <c r="J857" s="3" t="str">
        <f t="shared" si="93"/>
        <v>|Bani-Qurayzih|</v>
      </c>
      <c r="K857" s="3" t="str">
        <f t="shared" si="94"/>
        <v>Bani-Qurayzih</v>
      </c>
      <c r="M857" s="1"/>
      <c r="N857" s="39" t="str">
        <f t="shared" si="95"/>
        <v/>
      </c>
      <c r="O857" s="1"/>
      <c r="P857" s="39" t="str">
        <f t="shared" si="96"/>
        <v/>
      </c>
      <c r="Q857" s="1"/>
      <c r="R857" s="39" t="str">
        <f t="shared" si="97"/>
        <v/>
      </c>
      <c r="S857" s="28"/>
      <c r="T857" s="28"/>
      <c r="U857" s="28"/>
    </row>
    <row r="858" spans="1:21" s="5" customFormat="1">
      <c r="A858" s="181" t="s">
        <v>8937</v>
      </c>
      <c r="B858" s="185" t="s">
        <v>125</v>
      </c>
      <c r="C858" s="35" t="str">
        <f t="shared" si="91"/>
        <v>BaniTamin</v>
      </c>
      <c r="D858" s="1"/>
      <c r="E858" s="40"/>
      <c r="F858" s="12"/>
      <c r="G858" s="9"/>
      <c r="H858" s="12"/>
      <c r="I858" s="4" t="str">
        <f t="shared" si="92"/>
        <v>|Baní-Tamín|</v>
      </c>
      <c r="J858" s="3" t="str">
        <f t="shared" si="93"/>
        <v>|Bani-Tamin|</v>
      </c>
      <c r="K858" s="3" t="str">
        <f t="shared" si="94"/>
        <v>Bani-Tamin</v>
      </c>
      <c r="M858" s="1"/>
      <c r="N858" s="39" t="str">
        <f t="shared" si="95"/>
        <v/>
      </c>
      <c r="O858" s="1"/>
      <c r="P858" s="39" t="str">
        <f t="shared" si="96"/>
        <v/>
      </c>
      <c r="Q858" s="1"/>
      <c r="R858" s="39" t="str">
        <f t="shared" si="97"/>
        <v/>
      </c>
      <c r="S858" s="28"/>
      <c r="T858" s="28"/>
      <c r="U858" s="28"/>
    </row>
    <row r="859" spans="1:21" s="5" customFormat="1">
      <c r="A859" s="179" t="s">
        <v>1173</v>
      </c>
      <c r="B859" s="185" t="s">
        <v>126</v>
      </c>
      <c r="C859" s="35" t="str">
        <f t="shared" si="91"/>
        <v>BaniUmayyih</v>
      </c>
      <c r="E859" s="40"/>
      <c r="F859" s="14"/>
      <c r="G859" s="17"/>
      <c r="H859" s="10" t="s">
        <v>8563</v>
      </c>
      <c r="I859" s="4" t="str">
        <f t="shared" si="92"/>
        <v>|Baní-Umayyih|</v>
      </c>
      <c r="J859" s="3" t="str">
        <f t="shared" si="93"/>
        <v>|Bani-Umayyih|</v>
      </c>
      <c r="K859" s="3" t="str">
        <f t="shared" si="94"/>
        <v>Bani-Umayyih</v>
      </c>
      <c r="N859" s="39" t="str">
        <f t="shared" si="95"/>
        <v/>
      </c>
      <c r="P859" s="39" t="str">
        <f t="shared" si="96"/>
        <v/>
      </c>
      <c r="R859" s="39" t="str">
        <f t="shared" si="97"/>
        <v/>
      </c>
      <c r="S859" s="28"/>
      <c r="T859" s="28"/>
      <c r="U859" s="28"/>
    </row>
    <row r="860" spans="1:21" s="5" customFormat="1">
      <c r="A860" s="179" t="s">
        <v>1174</v>
      </c>
      <c r="B860" s="185" t="s">
        <v>5626</v>
      </c>
      <c r="C860" s="35" t="str">
        <f t="shared" si="91"/>
        <v>Baqa</v>
      </c>
      <c r="E860" s="40"/>
      <c r="F860" s="15"/>
      <c r="G860" s="17"/>
      <c r="H860" s="10" t="s">
        <v>8563</v>
      </c>
      <c r="I860" s="4" t="str">
        <f t="shared" si="92"/>
        <v>|Baqá|</v>
      </c>
      <c r="J860" s="3" t="str">
        <f t="shared" si="93"/>
        <v>|Baqa|</v>
      </c>
      <c r="K860" s="3" t="str">
        <f t="shared" si="94"/>
        <v>Baqa</v>
      </c>
      <c r="N860" s="39" t="str">
        <f t="shared" si="95"/>
        <v/>
      </c>
      <c r="P860" s="39" t="str">
        <f t="shared" si="96"/>
        <v/>
      </c>
      <c r="R860" s="39" t="str">
        <f t="shared" si="97"/>
        <v/>
      </c>
      <c r="S860" s="28"/>
      <c r="T860" s="28"/>
      <c r="U860" s="28"/>
    </row>
    <row r="861" spans="1:21" s="5" customFormat="1">
      <c r="A861" s="179" t="s">
        <v>1176</v>
      </c>
      <c r="B861" s="185" t="s">
        <v>5628</v>
      </c>
      <c r="C861" s="35" t="str">
        <f t="shared" si="91"/>
        <v>Baqi</v>
      </c>
      <c r="E861" s="40"/>
      <c r="F861" s="15" t="s">
        <v>1177</v>
      </c>
      <c r="G861" s="17"/>
      <c r="H861" s="10" t="s">
        <v>8563</v>
      </c>
      <c r="I861" s="4" t="str">
        <f t="shared" si="92"/>
        <v>|Baqíʿ|</v>
      </c>
      <c r="J861" s="3" t="str">
        <f t="shared" si="93"/>
        <v>|Baqi'|</v>
      </c>
      <c r="K861" s="3" t="str">
        <f t="shared" si="94"/>
        <v>Baqi</v>
      </c>
      <c r="N861" s="39" t="str">
        <f t="shared" si="95"/>
        <v/>
      </c>
      <c r="P861" s="39" t="str">
        <f t="shared" si="96"/>
        <v/>
      </c>
      <c r="R861" s="39" t="str">
        <f t="shared" si="97"/>
        <v/>
      </c>
      <c r="S861" s="28"/>
      <c r="T861" s="28"/>
      <c r="U861" s="28"/>
    </row>
    <row r="862" spans="1:21" s="5" customFormat="1">
      <c r="A862" s="179" t="s">
        <v>1175</v>
      </c>
      <c r="B862" s="185" t="s">
        <v>5627</v>
      </c>
      <c r="C862" s="35" t="str">
        <f t="shared" si="91"/>
        <v>Baqi</v>
      </c>
      <c r="E862" s="40"/>
      <c r="F862" s="14"/>
      <c r="G862" s="17" t="s">
        <v>9125</v>
      </c>
      <c r="H862" s="10" t="s">
        <v>8563</v>
      </c>
      <c r="I862" s="4" t="str">
        <f t="shared" si="92"/>
        <v>|Báqí|</v>
      </c>
      <c r="J862" s="3" t="str">
        <f t="shared" si="93"/>
        <v>|Baqi|</v>
      </c>
      <c r="K862" s="3" t="str">
        <f t="shared" si="94"/>
        <v>Baqi</v>
      </c>
      <c r="N862" s="39" t="str">
        <f t="shared" si="95"/>
        <v/>
      </c>
      <c r="P862" s="39" t="str">
        <f t="shared" si="96"/>
        <v/>
      </c>
      <c r="R862" s="39" t="str">
        <f t="shared" si="97"/>
        <v/>
      </c>
      <c r="S862" s="28"/>
      <c r="T862" s="28"/>
      <c r="U862" s="28"/>
    </row>
    <row r="863" spans="1:21" s="5" customFormat="1">
      <c r="A863" s="179" t="s">
        <v>1178</v>
      </c>
      <c r="B863" s="185" t="s">
        <v>5629</v>
      </c>
      <c r="C863" s="35" t="str">
        <f t="shared" si="91"/>
        <v>Baqir</v>
      </c>
      <c r="E863" s="40"/>
      <c r="F863" s="14"/>
      <c r="G863" s="17"/>
      <c r="H863" s="10" t="s">
        <v>8563</v>
      </c>
      <c r="I863" s="4" t="str">
        <f t="shared" si="92"/>
        <v>|Báqir|</v>
      </c>
      <c r="J863" s="3" t="str">
        <f t="shared" si="93"/>
        <v>|Baqir|</v>
      </c>
      <c r="K863" s="3" t="str">
        <f t="shared" si="94"/>
        <v>Baqir</v>
      </c>
      <c r="N863" s="39" t="str">
        <f t="shared" si="95"/>
        <v/>
      </c>
      <c r="P863" s="39" t="str">
        <f t="shared" si="96"/>
        <v/>
      </c>
      <c r="R863" s="39" t="str">
        <f t="shared" si="97"/>
        <v/>
      </c>
      <c r="S863" s="28"/>
      <c r="T863" s="28"/>
      <c r="U863" s="28"/>
    </row>
    <row r="864" spans="1:21" s="5" customFormat="1">
      <c r="A864" s="179" t="s">
        <v>1179</v>
      </c>
      <c r="B864" s="185" t="s">
        <v>5630</v>
      </c>
      <c r="C864" s="35" t="str">
        <f t="shared" si="91"/>
        <v>BaqiriBastami</v>
      </c>
      <c r="E864" s="40"/>
      <c r="F864" s="15"/>
      <c r="G864" s="17"/>
      <c r="H864" s="10" t="s">
        <v>8563</v>
      </c>
      <c r="I864" s="4" t="str">
        <f t="shared" si="92"/>
        <v>|Báqir-i-Basṭámí|</v>
      </c>
      <c r="J864" s="3" t="str">
        <f t="shared" si="93"/>
        <v>|Baqir-i-Bastami|</v>
      </c>
      <c r="K864" s="3" t="str">
        <f t="shared" si="94"/>
        <v>Baqir-i-Bastami</v>
      </c>
      <c r="N864" s="39" t="str">
        <f t="shared" si="95"/>
        <v/>
      </c>
      <c r="P864" s="39" t="str">
        <f t="shared" si="96"/>
        <v/>
      </c>
      <c r="R864" s="39" t="str">
        <f t="shared" si="97"/>
        <v/>
      </c>
      <c r="S864" s="28"/>
      <c r="T864" s="28"/>
      <c r="U864" s="28"/>
    </row>
    <row r="865" spans="1:21" s="5" customFormat="1">
      <c r="A865" s="179" t="s">
        <v>1180</v>
      </c>
      <c r="B865" s="185" t="s">
        <v>5631</v>
      </c>
      <c r="C865" s="35" t="str">
        <f t="shared" si="91"/>
        <v>BaqiriKafshDuz</v>
      </c>
      <c r="E865" s="40"/>
      <c r="F865" s="15"/>
      <c r="G865" s="17"/>
      <c r="H865" s="10" t="s">
        <v>8563</v>
      </c>
      <c r="I865" s="4" t="str">
        <f t="shared" si="92"/>
        <v>|Báqir-i-Kaf-Dúz|</v>
      </c>
      <c r="J865" s="3" t="str">
        <f t="shared" si="93"/>
        <v>|Baqir-i-Kafsh-Duz|</v>
      </c>
      <c r="K865" s="3" t="str">
        <f t="shared" si="94"/>
        <v>Baqir-i-Kafsh-Duz</v>
      </c>
      <c r="N865" s="39" t="str">
        <f t="shared" si="95"/>
        <v/>
      </c>
      <c r="P865" s="39" t="str">
        <f t="shared" si="96"/>
        <v/>
      </c>
      <c r="R865" s="39" t="str">
        <f t="shared" si="97"/>
        <v/>
      </c>
      <c r="S865" s="28"/>
      <c r="T865" s="28"/>
      <c r="U865" s="28"/>
    </row>
    <row r="866" spans="1:21" s="5" customFormat="1">
      <c r="A866" s="179" t="s">
        <v>1181</v>
      </c>
      <c r="B866" s="185" t="s">
        <v>5632</v>
      </c>
      <c r="C866" s="35" t="str">
        <f t="shared" si="91"/>
        <v>BaqiriKandi</v>
      </c>
      <c r="E866" s="40"/>
      <c r="F866" s="14"/>
      <c r="G866" s="17"/>
      <c r="H866" s="10" t="s">
        <v>8563</v>
      </c>
      <c r="I866" s="4" t="str">
        <f t="shared" si="92"/>
        <v>|Báqir-i-Kandí|</v>
      </c>
      <c r="J866" s="3" t="str">
        <f t="shared" si="93"/>
        <v>|Baqir-i-Kandi|</v>
      </c>
      <c r="K866" s="3" t="str">
        <f t="shared" si="94"/>
        <v>Baqir-i-Kandi</v>
      </c>
      <c r="N866" s="39" t="str">
        <f t="shared" si="95"/>
        <v/>
      </c>
      <c r="P866" s="39" t="str">
        <f t="shared" si="96"/>
        <v/>
      </c>
      <c r="R866" s="39" t="str">
        <f t="shared" si="97"/>
        <v/>
      </c>
      <c r="S866" s="28"/>
      <c r="T866" s="28"/>
      <c r="U866" s="28"/>
    </row>
    <row r="867" spans="1:21" s="5" customFormat="1">
      <c r="A867" s="179" t="s">
        <v>1182</v>
      </c>
      <c r="B867" s="185" t="s">
        <v>5633</v>
      </c>
      <c r="C867" s="35" t="str">
        <f t="shared" si="91"/>
        <v>BaqiriKashani</v>
      </c>
      <c r="E867" s="40"/>
      <c r="F867" s="14"/>
      <c r="G867" s="17"/>
      <c r="H867" s="10" t="s">
        <v>8563</v>
      </c>
      <c r="I867" s="4" t="str">
        <f t="shared" si="92"/>
        <v>|Báqir-i-Káání|</v>
      </c>
      <c r="J867" s="3" t="str">
        <f t="shared" si="93"/>
        <v>|Baqir-i-Kashani|</v>
      </c>
      <c r="K867" s="3" t="str">
        <f t="shared" si="94"/>
        <v>Baqir-i-Kashani</v>
      </c>
      <c r="N867" s="39" t="str">
        <f t="shared" si="95"/>
        <v/>
      </c>
      <c r="P867" s="39" t="str">
        <f t="shared" si="96"/>
        <v/>
      </c>
      <c r="R867" s="39" t="str">
        <f t="shared" si="97"/>
        <v/>
      </c>
      <c r="S867" s="28"/>
      <c r="T867" s="28"/>
      <c r="U867" s="28"/>
    </row>
    <row r="868" spans="1:21" s="5" customFormat="1">
      <c r="A868" s="179" t="s">
        <v>1183</v>
      </c>
      <c r="B868" s="185" t="s">
        <v>5634</v>
      </c>
      <c r="C868" s="35" t="str">
        <f t="shared" si="91"/>
        <v>BaqiriQaini</v>
      </c>
      <c r="E868" s="40"/>
      <c r="F868" s="14"/>
      <c r="G868" s="17"/>
      <c r="H868" s="10" t="s">
        <v>8563</v>
      </c>
      <c r="I868" s="4" t="str">
        <f t="shared" si="92"/>
        <v>|Báqir-i-Qá’iní|</v>
      </c>
      <c r="J868" s="3" t="str">
        <f t="shared" si="93"/>
        <v>|Baqir-i-Qa'ini|</v>
      </c>
      <c r="K868" s="3" t="str">
        <f t="shared" si="94"/>
        <v>Baqir-i-Qaini</v>
      </c>
      <c r="N868" s="39" t="str">
        <f t="shared" si="95"/>
        <v/>
      </c>
      <c r="P868" s="39" t="str">
        <f t="shared" si="96"/>
        <v/>
      </c>
      <c r="R868" s="39" t="str">
        <f t="shared" si="97"/>
        <v/>
      </c>
      <c r="S868" s="28"/>
      <c r="T868" s="28"/>
      <c r="U868" s="28"/>
    </row>
    <row r="869" spans="1:21" s="5" customFormat="1">
      <c r="A869" s="179" t="s">
        <v>1184</v>
      </c>
      <c r="B869" s="185" t="s">
        <v>5635</v>
      </c>
      <c r="C869" s="35" t="str">
        <f t="shared" si="91"/>
        <v>BaqiriRashti</v>
      </c>
      <c r="E869" s="40"/>
      <c r="F869" s="14"/>
      <c r="G869" s="17"/>
      <c r="H869" s="10" t="s">
        <v>8563</v>
      </c>
      <c r="I869" s="4" t="str">
        <f t="shared" si="92"/>
        <v>|Báqir-i-Ratí|</v>
      </c>
      <c r="J869" s="3" t="str">
        <f t="shared" si="93"/>
        <v>|Baqir-i-Rashti|</v>
      </c>
      <c r="K869" s="3" t="str">
        <f t="shared" si="94"/>
        <v>Baqir-i-Rashti</v>
      </c>
      <c r="N869" s="39" t="str">
        <f t="shared" si="95"/>
        <v/>
      </c>
      <c r="P869" s="39" t="str">
        <f t="shared" si="96"/>
        <v/>
      </c>
      <c r="R869" s="39" t="str">
        <f t="shared" si="97"/>
        <v/>
      </c>
      <c r="S869" s="28"/>
      <c r="T869" s="28"/>
      <c r="U869" s="28"/>
    </row>
    <row r="870" spans="1:21" s="5" customFormat="1">
      <c r="A870" s="179" t="s">
        <v>1185</v>
      </c>
      <c r="B870" s="185" t="s">
        <v>5636</v>
      </c>
      <c r="C870" s="35" t="str">
        <f t="shared" si="91"/>
        <v>BaqiriSabbagh</v>
      </c>
      <c r="E870" s="40"/>
      <c r="F870" s="15"/>
      <c r="G870" s="17"/>
      <c r="H870" s="10" t="s">
        <v>8563</v>
      </c>
      <c r="I870" s="4" t="str">
        <f t="shared" si="92"/>
        <v>|Báqir-i-Sabbá|</v>
      </c>
      <c r="J870" s="3" t="str">
        <f t="shared" si="93"/>
        <v>|Baqir-i-Sabbagh|</v>
      </c>
      <c r="K870" s="3" t="str">
        <f t="shared" si="94"/>
        <v>Baqir-i-Sabbagh</v>
      </c>
      <c r="N870" s="39" t="str">
        <f t="shared" si="95"/>
        <v/>
      </c>
      <c r="P870" s="39" t="str">
        <f t="shared" si="96"/>
        <v/>
      </c>
      <c r="R870" s="39" t="str">
        <f t="shared" si="97"/>
        <v/>
      </c>
      <c r="S870" s="28"/>
      <c r="T870" s="28"/>
      <c r="U870" s="28"/>
    </row>
    <row r="871" spans="1:21" s="5" customFormat="1">
      <c r="A871" s="179" t="s">
        <v>1186</v>
      </c>
      <c r="B871" s="185" t="s">
        <v>5637</v>
      </c>
      <c r="C871" s="35" t="str">
        <f t="shared" si="91"/>
        <v>BaqiriShirazi</v>
      </c>
      <c r="E871" s="40"/>
      <c r="F871" s="14"/>
      <c r="G871" s="17"/>
      <c r="H871" s="10" t="s">
        <v>8563</v>
      </c>
      <c r="I871" s="4" t="str">
        <f t="shared" si="92"/>
        <v>|Báqir-i-írází|</v>
      </c>
      <c r="J871" s="3" t="str">
        <f t="shared" si="93"/>
        <v>|Baqir-i-Shirazi|</v>
      </c>
      <c r="K871" s="3" t="str">
        <f t="shared" si="94"/>
        <v>Baqir-i-Shirazi</v>
      </c>
      <c r="N871" s="39" t="str">
        <f t="shared" si="95"/>
        <v/>
      </c>
      <c r="P871" s="39" t="str">
        <f t="shared" si="96"/>
        <v/>
      </c>
      <c r="R871" s="39" t="str">
        <f t="shared" si="97"/>
        <v/>
      </c>
      <c r="S871" s="28"/>
      <c r="T871" s="28"/>
      <c r="U871" s="28"/>
    </row>
    <row r="872" spans="1:21" s="5" customFormat="1">
      <c r="A872" s="179" t="s">
        <v>1187</v>
      </c>
      <c r="B872" s="185" t="s">
        <v>5638</v>
      </c>
      <c r="C872" s="35" t="str">
        <f t="shared" si="91"/>
        <v>BaqiriTabrizi</v>
      </c>
      <c r="E872" s="40"/>
      <c r="F872" s="14"/>
      <c r="G872" s="17"/>
      <c r="H872" s="10" t="s">
        <v>8563</v>
      </c>
      <c r="I872" s="4" t="str">
        <f t="shared" si="92"/>
        <v>|Báqir-i-Tabrízí|</v>
      </c>
      <c r="J872" s="3" t="str">
        <f t="shared" si="93"/>
        <v>|Baqir-i-Tabrizi|</v>
      </c>
      <c r="K872" s="3" t="str">
        <f t="shared" si="94"/>
        <v>Baqir-i-Tabrizi</v>
      </c>
      <c r="N872" s="39" t="str">
        <f t="shared" si="95"/>
        <v/>
      </c>
      <c r="P872" s="39" t="str">
        <f t="shared" si="96"/>
        <v/>
      </c>
      <c r="R872" s="39" t="str">
        <f t="shared" si="97"/>
        <v/>
      </c>
      <c r="S872" s="28"/>
      <c r="T872" s="28"/>
      <c r="U872" s="28"/>
    </row>
    <row r="873" spans="1:21" s="5" customFormat="1">
      <c r="A873" s="179" t="s">
        <v>1189</v>
      </c>
      <c r="B873" s="185" t="s">
        <v>5640</v>
      </c>
      <c r="C873" s="35" t="str">
        <f t="shared" si="91"/>
        <v>Baqiyyatullah</v>
      </c>
      <c r="E873" s="40"/>
      <c r="F873" s="14" t="s">
        <v>1190</v>
      </c>
      <c r="G873" s="17"/>
      <c r="H873" s="10" t="s">
        <v>8563</v>
      </c>
      <c r="I873" s="4" t="str">
        <f t="shared" si="92"/>
        <v>|Baqíyyatu’lláh|</v>
      </c>
      <c r="J873" s="3" t="str">
        <f t="shared" si="93"/>
        <v>|Baqiyyatu'llah|</v>
      </c>
      <c r="K873" s="3" t="str">
        <f t="shared" si="94"/>
        <v>Baqiyyatullah</v>
      </c>
      <c r="N873" s="39" t="str">
        <f t="shared" si="95"/>
        <v/>
      </c>
      <c r="P873" s="39" t="str">
        <f t="shared" si="96"/>
        <v/>
      </c>
      <c r="R873" s="39" t="str">
        <f t="shared" si="97"/>
        <v/>
      </c>
      <c r="S873" s="28"/>
      <c r="T873" s="28"/>
      <c r="U873" s="28"/>
    </row>
    <row r="874" spans="1:21" s="5" customFormat="1">
      <c r="A874" s="179" t="s">
        <v>1188</v>
      </c>
      <c r="B874" s="185" t="s">
        <v>5639</v>
      </c>
      <c r="C874" s="35" t="str">
        <f t="shared" si="91"/>
        <v>Baqiyyih</v>
      </c>
      <c r="E874" s="40"/>
      <c r="F874" s="15"/>
      <c r="G874" s="17"/>
      <c r="H874" s="10" t="s">
        <v>8563</v>
      </c>
      <c r="I874" s="4" t="str">
        <f t="shared" si="92"/>
        <v>|Baqíyyih|</v>
      </c>
      <c r="J874" s="3" t="str">
        <f t="shared" si="93"/>
        <v>|Baqiyyih|</v>
      </c>
      <c r="K874" s="3" t="str">
        <f t="shared" si="94"/>
        <v>Baqiyyih</v>
      </c>
      <c r="N874" s="39" t="str">
        <f t="shared" si="95"/>
        <v/>
      </c>
      <c r="P874" s="39" t="str">
        <f t="shared" si="96"/>
        <v/>
      </c>
      <c r="R874" s="39" t="str">
        <f t="shared" si="97"/>
        <v/>
      </c>
      <c r="S874" s="28"/>
      <c r="T874" s="28"/>
      <c r="U874" s="28"/>
    </row>
    <row r="875" spans="1:21" s="5" customFormat="1">
      <c r="A875" s="179" t="s">
        <v>1191</v>
      </c>
      <c r="B875" s="185" t="s">
        <v>5641</v>
      </c>
      <c r="C875" s="35" t="str">
        <f t="shared" si="91"/>
        <v>Baqlava</v>
      </c>
      <c r="E875" s="40"/>
      <c r="F875" s="15" t="s">
        <v>1192</v>
      </c>
      <c r="G875" s="17"/>
      <c r="H875" s="10" t="s">
        <v>8563</v>
      </c>
      <c r="I875" s="4" t="str">
        <f t="shared" si="92"/>
        <v>|Báqlavá|</v>
      </c>
      <c r="J875" s="3" t="str">
        <f t="shared" si="93"/>
        <v>|Baqlava|</v>
      </c>
      <c r="K875" s="3" t="str">
        <f t="shared" si="94"/>
        <v>Baqlava</v>
      </c>
      <c r="N875" s="39" t="str">
        <f t="shared" si="95"/>
        <v/>
      </c>
      <c r="P875" s="39" t="str">
        <f t="shared" si="96"/>
        <v/>
      </c>
      <c r="R875" s="39" t="str">
        <f t="shared" si="97"/>
        <v/>
      </c>
      <c r="S875" s="28"/>
      <c r="T875" s="28"/>
      <c r="U875" s="28"/>
    </row>
    <row r="876" spans="1:21" s="5" customFormat="1">
      <c r="A876" s="179" t="s">
        <v>1193</v>
      </c>
      <c r="B876" s="185" t="s">
        <v>5642</v>
      </c>
      <c r="C876" s="35" t="str">
        <f t="shared" si="91"/>
        <v>Barafrukhtih</v>
      </c>
      <c r="E876" s="40"/>
      <c r="F876" s="15"/>
      <c r="G876" s="17"/>
      <c r="H876" s="10" t="s">
        <v>8563</v>
      </c>
      <c r="I876" s="4" t="str">
        <f t="shared" si="92"/>
        <v>|Barafrútih|</v>
      </c>
      <c r="J876" s="3" t="str">
        <f t="shared" si="93"/>
        <v>|Barafrukhtih|</v>
      </c>
      <c r="K876" s="3" t="str">
        <f t="shared" si="94"/>
        <v>Barafrukhtih</v>
      </c>
      <c r="N876" s="39" t="str">
        <f t="shared" si="95"/>
        <v/>
      </c>
      <c r="P876" s="39" t="str">
        <f t="shared" si="96"/>
        <v/>
      </c>
      <c r="R876" s="39" t="str">
        <f t="shared" si="97"/>
        <v/>
      </c>
      <c r="S876" s="28"/>
      <c r="T876" s="28"/>
      <c r="U876" s="28"/>
    </row>
    <row r="877" spans="1:21" s="5" customFormat="1">
      <c r="A877" s="179" t="s">
        <v>1194</v>
      </c>
      <c r="B877" s="185" t="s">
        <v>5643</v>
      </c>
      <c r="C877" s="35" t="str">
        <f t="shared" si="91"/>
        <v>Baraghani</v>
      </c>
      <c r="E877" s="40"/>
      <c r="F877" s="15"/>
      <c r="G877" s="17"/>
      <c r="H877" s="10" t="s">
        <v>8563</v>
      </c>
      <c r="I877" s="4" t="str">
        <f t="shared" si="92"/>
        <v>|Baraání|</v>
      </c>
      <c r="J877" s="3" t="str">
        <f t="shared" si="93"/>
        <v>|Baraghani|</v>
      </c>
      <c r="K877" s="3" t="str">
        <f t="shared" si="94"/>
        <v>Baraghani</v>
      </c>
      <c r="N877" s="39" t="str">
        <f t="shared" si="95"/>
        <v/>
      </c>
      <c r="P877" s="39" t="str">
        <f t="shared" si="96"/>
        <v/>
      </c>
      <c r="R877" s="39" t="str">
        <f t="shared" si="97"/>
        <v/>
      </c>
      <c r="S877" s="28"/>
      <c r="T877" s="28"/>
      <c r="U877" s="28"/>
    </row>
    <row r="878" spans="1:21" s="5" customFormat="1">
      <c r="A878" s="179" t="s">
        <v>1195</v>
      </c>
      <c r="B878" s="185" t="s">
        <v>5644</v>
      </c>
      <c r="C878" s="35" t="str">
        <f t="shared" si="91"/>
        <v>Barani</v>
      </c>
      <c r="E878" s="40"/>
      <c r="F878" s="15"/>
      <c r="G878" s="17"/>
      <c r="H878" s="10" t="s">
        <v>8563</v>
      </c>
      <c r="I878" s="4" t="str">
        <f t="shared" si="92"/>
        <v>|Barání|</v>
      </c>
      <c r="J878" s="3" t="str">
        <f t="shared" si="93"/>
        <v>|Barani|</v>
      </c>
      <c r="K878" s="3" t="str">
        <f t="shared" si="94"/>
        <v>Barani</v>
      </c>
      <c r="N878" s="39" t="str">
        <f t="shared" si="95"/>
        <v/>
      </c>
      <c r="P878" s="39" t="str">
        <f t="shared" si="96"/>
        <v/>
      </c>
      <c r="R878" s="39" t="str">
        <f t="shared" si="97"/>
        <v/>
      </c>
      <c r="S878" s="28"/>
      <c r="T878" s="28"/>
      <c r="U878" s="28"/>
    </row>
    <row r="879" spans="1:21" s="5" customFormat="1">
      <c r="A879" s="179" t="s">
        <v>1196</v>
      </c>
      <c r="B879" s="185" t="s">
        <v>5645</v>
      </c>
      <c r="C879" s="35" t="str">
        <f t="shared" si="91"/>
        <v>Baraqani</v>
      </c>
      <c r="E879" s="40"/>
      <c r="F879" s="14"/>
      <c r="G879" s="17"/>
      <c r="H879" s="10" t="s">
        <v>8563</v>
      </c>
      <c r="I879" s="4" t="str">
        <f t="shared" si="92"/>
        <v>|Baraqání|</v>
      </c>
      <c r="J879" s="3" t="str">
        <f t="shared" si="93"/>
        <v>|Baraqani|</v>
      </c>
      <c r="K879" s="3" t="str">
        <f t="shared" si="94"/>
        <v>Baraqani</v>
      </c>
      <c r="N879" s="39" t="str">
        <f t="shared" si="95"/>
        <v/>
      </c>
      <c r="P879" s="39" t="str">
        <f t="shared" si="96"/>
        <v/>
      </c>
      <c r="R879" s="39" t="str">
        <f t="shared" si="97"/>
        <v/>
      </c>
      <c r="S879" s="28"/>
      <c r="T879" s="28"/>
      <c r="U879" s="28"/>
    </row>
    <row r="880" spans="1:21" s="5" customFormat="1">
      <c r="A880" s="179" t="s">
        <v>1197</v>
      </c>
      <c r="B880" s="185" t="s">
        <v>5646</v>
      </c>
      <c r="C880" s="35" t="str">
        <f t="shared" si="91"/>
        <v>Baratha</v>
      </c>
      <c r="E880" s="40"/>
      <c r="F880" s="15" t="s">
        <v>8571</v>
      </c>
      <c r="G880" s="17"/>
      <c r="H880" s="10" t="s">
        <v>8563</v>
      </c>
      <c r="I880" s="4" t="str">
        <f t="shared" si="92"/>
        <v>|Baráá|</v>
      </c>
      <c r="J880" s="3" t="str">
        <f t="shared" si="93"/>
        <v>|Baratha|</v>
      </c>
      <c r="K880" s="3" t="str">
        <f t="shared" si="94"/>
        <v>Baratha</v>
      </c>
      <c r="N880" s="39" t="str">
        <f t="shared" si="95"/>
        <v/>
      </c>
      <c r="P880" s="39" t="str">
        <f t="shared" si="96"/>
        <v/>
      </c>
      <c r="R880" s="39" t="str">
        <f t="shared" si="97"/>
        <v/>
      </c>
      <c r="S880" s="28"/>
      <c r="T880" s="28"/>
      <c r="U880" s="28"/>
    </row>
    <row r="881" spans="1:21" s="5" customFormat="1">
      <c r="A881" s="179" t="s">
        <v>1198</v>
      </c>
      <c r="B881" s="185" t="s">
        <v>5647</v>
      </c>
      <c r="C881" s="35" t="str">
        <f t="shared" si="91"/>
        <v>Barfurush</v>
      </c>
      <c r="E881" s="40"/>
      <c r="F881" s="14"/>
      <c r="G881" s="17"/>
      <c r="H881" s="10" t="s">
        <v>8563</v>
      </c>
      <c r="I881" s="4" t="str">
        <f t="shared" si="92"/>
        <v>|Bárfurú|</v>
      </c>
      <c r="J881" s="3" t="str">
        <f t="shared" si="93"/>
        <v>|Barfurush|</v>
      </c>
      <c r="K881" s="3" t="str">
        <f t="shared" si="94"/>
        <v>Barfurush</v>
      </c>
      <c r="N881" s="39" t="str">
        <f t="shared" si="95"/>
        <v/>
      </c>
      <c r="P881" s="39" t="str">
        <f t="shared" si="96"/>
        <v/>
      </c>
      <c r="R881" s="39" t="str">
        <f t="shared" si="97"/>
        <v/>
      </c>
      <c r="S881" s="28"/>
      <c r="T881" s="28"/>
      <c r="U881" s="28"/>
    </row>
    <row r="882" spans="1:21" s="5" customFormat="1">
      <c r="A882" s="179" t="s">
        <v>1199</v>
      </c>
      <c r="B882" s="185" t="s">
        <v>5648</v>
      </c>
      <c r="C882" s="35" t="str">
        <f t="shared" si="91"/>
        <v>Barfurushi</v>
      </c>
      <c r="E882" s="40"/>
      <c r="F882" s="15"/>
      <c r="G882" s="17"/>
      <c r="H882" s="10" t="s">
        <v>8563</v>
      </c>
      <c r="I882" s="4" t="str">
        <f t="shared" si="92"/>
        <v>|Bárfurúí|</v>
      </c>
      <c r="J882" s="3" t="str">
        <f t="shared" si="93"/>
        <v>|Barfurushi|</v>
      </c>
      <c r="K882" s="3" t="str">
        <f t="shared" si="94"/>
        <v>Barfurushi</v>
      </c>
      <c r="N882" s="39" t="str">
        <f t="shared" si="95"/>
        <v/>
      </c>
      <c r="P882" s="39" t="str">
        <f t="shared" si="96"/>
        <v/>
      </c>
      <c r="R882" s="39" t="str">
        <f t="shared" si="97"/>
        <v/>
      </c>
      <c r="S882" s="28"/>
      <c r="T882" s="28"/>
      <c r="U882" s="28"/>
    </row>
    <row r="883" spans="1:21" s="5" customFormat="1">
      <c r="A883" s="179" t="s">
        <v>1200</v>
      </c>
      <c r="B883" s="185" t="s">
        <v>5649</v>
      </c>
      <c r="C883" s="35" t="str">
        <f t="shared" si="91"/>
        <v>Barki</v>
      </c>
      <c r="E883" s="40"/>
      <c r="F883" s="14"/>
      <c r="G883" s="17"/>
      <c r="H883" s="10" t="s">
        <v>8563</v>
      </c>
      <c r="I883" s="4" t="str">
        <f t="shared" si="92"/>
        <v>|Barkí|</v>
      </c>
      <c r="J883" s="3" t="str">
        <f t="shared" si="93"/>
        <v>|Barki|</v>
      </c>
      <c r="K883" s="3" t="str">
        <f t="shared" si="94"/>
        <v>Barki</v>
      </c>
      <c r="N883" s="39" t="str">
        <f t="shared" si="95"/>
        <v/>
      </c>
      <c r="P883" s="39" t="str">
        <f t="shared" si="96"/>
        <v/>
      </c>
      <c r="R883" s="39" t="str">
        <f t="shared" si="97"/>
        <v/>
      </c>
      <c r="S883" s="28"/>
      <c r="T883" s="28"/>
      <c r="U883" s="28"/>
    </row>
    <row r="884" spans="1:21" s="5" customFormat="1">
      <c r="A884" s="179" t="s">
        <v>1201</v>
      </c>
      <c r="B884" s="185" t="s">
        <v>5650</v>
      </c>
      <c r="C884" s="35" t="str">
        <f t="shared" si="91"/>
        <v>Bashir</v>
      </c>
      <c r="E884" s="40"/>
      <c r="F884" s="15"/>
      <c r="G884" s="17"/>
      <c r="H884" s="10" t="s">
        <v>8563</v>
      </c>
      <c r="I884" s="4" t="str">
        <f t="shared" si="92"/>
        <v>|Baír|</v>
      </c>
      <c r="J884" s="3" t="str">
        <f t="shared" si="93"/>
        <v>|Bashir|</v>
      </c>
      <c r="K884" s="3" t="str">
        <f t="shared" si="94"/>
        <v>Bashir</v>
      </c>
      <c r="N884" s="39" t="str">
        <f t="shared" si="95"/>
        <v/>
      </c>
      <c r="P884" s="39" t="str">
        <f t="shared" si="96"/>
        <v/>
      </c>
      <c r="R884" s="39" t="str">
        <f t="shared" si="97"/>
        <v/>
      </c>
      <c r="S884" s="28"/>
      <c r="T884" s="28"/>
      <c r="U884" s="28"/>
    </row>
    <row r="885" spans="1:21" s="5" customFormat="1">
      <c r="A885" s="179" t="s">
        <v>1202</v>
      </c>
      <c r="B885" s="185" t="s">
        <v>5651</v>
      </c>
      <c r="C885" s="35" t="str">
        <f t="shared" si="91"/>
        <v>BashiriIlahi</v>
      </c>
      <c r="E885" s="40"/>
      <c r="F885" s="15"/>
      <c r="G885" s="17"/>
      <c r="H885" s="10" t="s">
        <v>8563</v>
      </c>
      <c r="I885" s="4" t="str">
        <f t="shared" si="92"/>
        <v>|Baír-i-Iláhí|</v>
      </c>
      <c r="J885" s="3" t="str">
        <f t="shared" si="93"/>
        <v>|Bashir-i-Ilahi|</v>
      </c>
      <c r="K885" s="3" t="str">
        <f t="shared" si="94"/>
        <v>Bashir-i-Ilahi</v>
      </c>
      <c r="N885" s="39" t="str">
        <f t="shared" si="95"/>
        <v/>
      </c>
      <c r="P885" s="39" t="str">
        <f t="shared" si="96"/>
        <v/>
      </c>
      <c r="R885" s="39" t="str">
        <f t="shared" si="97"/>
        <v/>
      </c>
      <c r="S885" s="28"/>
      <c r="T885" s="28"/>
      <c r="U885" s="28"/>
    </row>
    <row r="886" spans="1:21" s="5" customFormat="1">
      <c r="A886" s="179" t="s">
        <v>1203</v>
      </c>
      <c r="B886" s="185" t="s">
        <v>5652</v>
      </c>
      <c r="C886" s="35" t="str">
        <f t="shared" si="91"/>
        <v>Bashnih</v>
      </c>
      <c r="E886" s="40"/>
      <c r="F886" s="14"/>
      <c r="G886" s="17"/>
      <c r="H886" s="10" t="s">
        <v>8563</v>
      </c>
      <c r="I886" s="4" t="str">
        <f t="shared" si="92"/>
        <v>|Banih|</v>
      </c>
      <c r="J886" s="3" t="str">
        <f t="shared" si="93"/>
        <v>|Bashnih|</v>
      </c>
      <c r="K886" s="3" t="str">
        <f t="shared" si="94"/>
        <v>Bashnih</v>
      </c>
      <c r="N886" s="39" t="str">
        <f t="shared" si="95"/>
        <v/>
      </c>
      <c r="P886" s="39" t="str">
        <f t="shared" si="96"/>
        <v/>
      </c>
      <c r="R886" s="39" t="str">
        <f t="shared" si="97"/>
        <v/>
      </c>
      <c r="S886" s="28"/>
      <c r="T886" s="28"/>
      <c r="U886" s="28"/>
    </row>
    <row r="887" spans="1:21" s="5" customFormat="1">
      <c r="A887" s="179" t="s">
        <v>1274</v>
      </c>
      <c r="B887" s="185" t="s">
        <v>8945</v>
      </c>
      <c r="C887" s="35" t="str">
        <f t="shared" si="91"/>
        <v>Bashshash</v>
      </c>
      <c r="E887" s="40"/>
      <c r="F887" s="15" t="s">
        <v>1275</v>
      </c>
      <c r="G887" s="17"/>
      <c r="H887" s="10" t="s">
        <v>8563</v>
      </c>
      <c r="I887" s="4" t="str">
        <f t="shared" si="92"/>
        <v>|Baá|</v>
      </c>
      <c r="J887" s="3" t="str">
        <f t="shared" si="93"/>
        <v>|Bashshash|</v>
      </c>
      <c r="K887" s="3" t="str">
        <f t="shared" si="94"/>
        <v>Bashshash</v>
      </c>
      <c r="N887" s="39" t="str">
        <f t="shared" si="95"/>
        <v/>
      </c>
      <c r="P887" s="39" t="str">
        <f t="shared" si="96"/>
        <v/>
      </c>
      <c r="R887" s="39" t="str">
        <f t="shared" si="97"/>
        <v/>
      </c>
      <c r="S887" s="28"/>
      <c r="T887" s="28"/>
      <c r="U887" s="28"/>
    </row>
    <row r="888" spans="1:21" s="5" customFormat="1">
      <c r="A888" s="179" t="s">
        <v>1204</v>
      </c>
      <c r="B888" s="185" t="s">
        <v>5653</v>
      </c>
      <c r="C888" s="35" t="str">
        <f t="shared" si="91"/>
        <v>Basir</v>
      </c>
      <c r="E888" s="40"/>
      <c r="F888" s="15" t="s">
        <v>1205</v>
      </c>
      <c r="G888" s="17"/>
      <c r="H888" s="10" t="s">
        <v>8563</v>
      </c>
      <c r="I888" s="4" t="str">
        <f t="shared" si="92"/>
        <v>|Baṣír|</v>
      </c>
      <c r="J888" s="3" t="str">
        <f t="shared" si="93"/>
        <v>|Basir|</v>
      </c>
      <c r="K888" s="3" t="str">
        <f t="shared" si="94"/>
        <v>Basir</v>
      </c>
      <c r="N888" s="39" t="str">
        <f t="shared" si="95"/>
        <v/>
      </c>
      <c r="P888" s="39" t="str">
        <f t="shared" si="96"/>
        <v/>
      </c>
      <c r="R888" s="39" t="str">
        <f t="shared" si="97"/>
        <v/>
      </c>
      <c r="S888" s="28"/>
      <c r="T888" s="28"/>
      <c r="U888" s="28"/>
    </row>
    <row r="889" spans="1:21" s="5" customFormat="1">
      <c r="A889" s="179" t="s">
        <v>1206</v>
      </c>
      <c r="B889" s="185" t="s">
        <v>5654</v>
      </c>
      <c r="C889" s="35" t="str">
        <f t="shared" si="91"/>
        <v>Basir</v>
      </c>
      <c r="E889" s="40"/>
      <c r="F889" s="14"/>
      <c r="G889" s="17" t="s">
        <v>9125</v>
      </c>
      <c r="H889" s="10" t="s">
        <v>8563</v>
      </c>
      <c r="I889" s="4" t="str">
        <f t="shared" si="92"/>
        <v>|Báṣir|</v>
      </c>
      <c r="J889" s="3" t="str">
        <f t="shared" si="93"/>
        <v>|Basir|</v>
      </c>
      <c r="K889" s="3" t="str">
        <f t="shared" si="94"/>
        <v>Basir</v>
      </c>
      <c r="N889" s="39" t="str">
        <f t="shared" si="95"/>
        <v/>
      </c>
      <c r="P889" s="39" t="str">
        <f t="shared" si="96"/>
        <v/>
      </c>
      <c r="R889" s="39" t="str">
        <f t="shared" si="97"/>
        <v/>
      </c>
      <c r="S889" s="28"/>
      <c r="T889" s="28"/>
      <c r="U889" s="28"/>
    </row>
    <row r="890" spans="1:21" s="5" customFormat="1">
      <c r="A890" s="179" t="s">
        <v>1207</v>
      </c>
      <c r="B890" s="185" t="s">
        <v>5655</v>
      </c>
      <c r="C890" s="35" t="str">
        <f t="shared" si="91"/>
        <v>BasiriHindi</v>
      </c>
      <c r="E890" s="40"/>
      <c r="F890" s="15"/>
      <c r="G890" s="17"/>
      <c r="H890" s="10" t="s">
        <v>8563</v>
      </c>
      <c r="I890" s="4" t="str">
        <f t="shared" si="92"/>
        <v>|Baṣír-i-Hindí|</v>
      </c>
      <c r="J890" s="3" t="str">
        <f t="shared" si="93"/>
        <v>|Basir-i-Hindi|</v>
      </c>
      <c r="K890" s="3" t="str">
        <f t="shared" si="94"/>
        <v>Basir-i-Hindi</v>
      </c>
      <c r="N890" s="39" t="str">
        <f t="shared" si="95"/>
        <v/>
      </c>
      <c r="P890" s="39" t="str">
        <f t="shared" si="96"/>
        <v/>
      </c>
      <c r="R890" s="39" t="str">
        <f t="shared" si="97"/>
        <v/>
      </c>
      <c r="S890" s="28"/>
      <c r="T890" s="28"/>
      <c r="U890" s="28"/>
    </row>
    <row r="891" spans="1:21" s="5" customFormat="1">
      <c r="A891" s="179" t="s">
        <v>1208</v>
      </c>
      <c r="B891" s="185" t="s">
        <v>5656</v>
      </c>
      <c r="C891" s="35" t="str">
        <f t="shared" si="91"/>
        <v>Basri</v>
      </c>
      <c r="E891" s="40"/>
      <c r="F891" s="15"/>
      <c r="G891" s="17"/>
      <c r="H891" s="10" t="s">
        <v>8563</v>
      </c>
      <c r="I891" s="4" t="str">
        <f t="shared" si="92"/>
        <v>|Baṣrí|</v>
      </c>
      <c r="J891" s="3" t="str">
        <f t="shared" si="93"/>
        <v>|Basri|</v>
      </c>
      <c r="K891" s="3" t="str">
        <f t="shared" si="94"/>
        <v>Basri</v>
      </c>
      <c r="N891" s="39" t="str">
        <f t="shared" si="95"/>
        <v/>
      </c>
      <c r="P891" s="39" t="str">
        <f t="shared" si="96"/>
        <v/>
      </c>
      <c r="R891" s="39" t="str">
        <f t="shared" si="97"/>
        <v/>
      </c>
      <c r="S891" s="28"/>
      <c r="T891" s="28"/>
      <c r="U891" s="28"/>
    </row>
    <row r="892" spans="1:21" s="5" customFormat="1">
      <c r="A892" s="179" t="s">
        <v>1209</v>
      </c>
      <c r="B892" s="185" t="s">
        <v>5657</v>
      </c>
      <c r="C892" s="35" t="str">
        <f t="shared" si="91"/>
        <v>Basrih</v>
      </c>
      <c r="E892" s="40"/>
      <c r="F892" s="14"/>
      <c r="G892" s="17"/>
      <c r="H892" s="10" t="s">
        <v>8563</v>
      </c>
      <c r="I892" s="4" t="str">
        <f t="shared" si="92"/>
        <v>|Baṣrih|</v>
      </c>
      <c r="J892" s="3" t="str">
        <f t="shared" si="93"/>
        <v>|Basrih|</v>
      </c>
      <c r="K892" s="3" t="str">
        <f t="shared" si="94"/>
        <v>Basrih</v>
      </c>
      <c r="N892" s="39" t="str">
        <f t="shared" si="95"/>
        <v/>
      </c>
      <c r="P892" s="39" t="str">
        <f t="shared" si="96"/>
        <v/>
      </c>
      <c r="R892" s="39" t="str">
        <f t="shared" si="97"/>
        <v/>
      </c>
      <c r="S892" s="28"/>
      <c r="T892" s="28"/>
      <c r="U892" s="28"/>
    </row>
    <row r="893" spans="1:21" s="5" customFormat="1">
      <c r="A893" s="179" t="s">
        <v>1210</v>
      </c>
      <c r="B893" s="185" t="s">
        <v>5658</v>
      </c>
      <c r="C893" s="35" t="str">
        <f t="shared" si="91"/>
        <v>Bastam</v>
      </c>
      <c r="E893" s="40"/>
      <c r="F893" s="15" t="s">
        <v>8572</v>
      </c>
      <c r="G893" s="17"/>
      <c r="H893" s="10" t="s">
        <v>8563</v>
      </c>
      <c r="I893" s="4" t="str">
        <f t="shared" si="92"/>
        <v>|Basṭám|</v>
      </c>
      <c r="J893" s="3" t="str">
        <f t="shared" si="93"/>
        <v>|Bastam|</v>
      </c>
      <c r="K893" s="3" t="str">
        <f t="shared" si="94"/>
        <v>Bastam</v>
      </c>
      <c r="N893" s="39" t="str">
        <f t="shared" si="95"/>
        <v/>
      </c>
      <c r="P893" s="39" t="str">
        <f t="shared" si="96"/>
        <v/>
      </c>
      <c r="R893" s="39" t="str">
        <f t="shared" si="97"/>
        <v/>
      </c>
      <c r="S893" s="28"/>
      <c r="T893" s="28"/>
      <c r="U893" s="28"/>
    </row>
    <row r="894" spans="1:21" s="5" customFormat="1">
      <c r="A894" s="179" t="s">
        <v>1211</v>
      </c>
      <c r="B894" s="185" t="s">
        <v>5659</v>
      </c>
      <c r="C894" s="35" t="str">
        <f t="shared" si="91"/>
        <v>Bastami</v>
      </c>
      <c r="E894" s="40"/>
      <c r="F894" s="15"/>
      <c r="G894" s="17"/>
      <c r="H894" s="10" t="s">
        <v>8563</v>
      </c>
      <c r="I894" s="4" t="str">
        <f t="shared" si="92"/>
        <v>|Basṭámí|</v>
      </c>
      <c r="J894" s="3" t="str">
        <f t="shared" si="93"/>
        <v>|Bastami|</v>
      </c>
      <c r="K894" s="3" t="str">
        <f t="shared" si="94"/>
        <v>Bastami</v>
      </c>
      <c r="N894" s="39" t="str">
        <f t="shared" si="95"/>
        <v/>
      </c>
      <c r="P894" s="39" t="str">
        <f t="shared" si="96"/>
        <v/>
      </c>
      <c r="R894" s="39" t="str">
        <f t="shared" si="97"/>
        <v/>
      </c>
      <c r="S894" s="28"/>
      <c r="T894" s="28"/>
      <c r="U894" s="28"/>
    </row>
    <row r="895" spans="1:21" s="5" customFormat="1">
      <c r="A895" s="179" t="s">
        <v>8938</v>
      </c>
      <c r="B895" s="185" t="s">
        <v>5660</v>
      </c>
      <c r="C895" s="35" t="str">
        <f t="shared" si="91"/>
        <v>Batha</v>
      </c>
      <c r="E895" s="40"/>
      <c r="F895" s="14"/>
      <c r="G895" s="17" t="s">
        <v>9125</v>
      </c>
      <c r="H895" s="10" t="s">
        <v>8563</v>
      </c>
      <c r="I895" s="4" t="str">
        <f t="shared" si="92"/>
        <v>|Baṭḥá|</v>
      </c>
      <c r="J895" s="3" t="str">
        <f t="shared" si="93"/>
        <v>|Batha|</v>
      </c>
      <c r="K895" s="3" t="str">
        <f t="shared" si="94"/>
        <v>Batha</v>
      </c>
      <c r="N895" s="39" t="str">
        <f t="shared" si="95"/>
        <v/>
      </c>
      <c r="P895" s="39" t="str">
        <f t="shared" si="96"/>
        <v/>
      </c>
      <c r="R895" s="39" t="str">
        <f t="shared" si="97"/>
        <v/>
      </c>
      <c r="S895" s="28"/>
      <c r="T895" s="28"/>
      <c r="U895" s="28"/>
    </row>
    <row r="896" spans="1:21" s="5" customFormat="1">
      <c r="A896" s="179" t="s">
        <v>1212</v>
      </c>
      <c r="B896" s="185" t="s">
        <v>5661</v>
      </c>
      <c r="C896" s="35" t="str">
        <f t="shared" si="91"/>
        <v>Batha</v>
      </c>
      <c r="E896" s="40"/>
      <c r="F896" s="14"/>
      <c r="G896" s="17" t="s">
        <v>9125</v>
      </c>
      <c r="H896" s="10" t="s">
        <v>8563</v>
      </c>
      <c r="I896" s="4" t="str">
        <f t="shared" si="92"/>
        <v>|Baá|</v>
      </c>
      <c r="J896" s="3" t="str">
        <f t="shared" si="93"/>
        <v>|Batha|</v>
      </c>
      <c r="K896" s="3" t="str">
        <f t="shared" si="94"/>
        <v>Batha</v>
      </c>
      <c r="N896" s="39" t="str">
        <f t="shared" si="95"/>
        <v/>
      </c>
      <c r="P896" s="39" t="str">
        <f t="shared" si="96"/>
        <v/>
      </c>
      <c r="R896" s="39" t="str">
        <f t="shared" si="97"/>
        <v/>
      </c>
      <c r="S896" s="28"/>
      <c r="T896" s="28"/>
      <c r="U896" s="28"/>
    </row>
    <row r="897" spans="1:21" s="5" customFormat="1">
      <c r="A897" s="179" t="s">
        <v>1213</v>
      </c>
      <c r="B897" s="185" t="s">
        <v>5662</v>
      </c>
      <c r="C897" s="35" t="str">
        <f t="shared" si="91"/>
        <v>Batil</v>
      </c>
      <c r="E897" s="40"/>
      <c r="F897" s="15" t="s">
        <v>1214</v>
      </c>
      <c r="G897" s="17"/>
      <c r="H897" s="10" t="s">
        <v>8563</v>
      </c>
      <c r="I897" s="4" t="str">
        <f t="shared" si="92"/>
        <v>|Báṭil|</v>
      </c>
      <c r="J897" s="3" t="str">
        <f t="shared" si="93"/>
        <v>|Batil|</v>
      </c>
      <c r="K897" s="3" t="str">
        <f t="shared" si="94"/>
        <v>Batil</v>
      </c>
      <c r="N897" s="39" t="str">
        <f t="shared" si="95"/>
        <v/>
      </c>
      <c r="P897" s="39" t="str">
        <f t="shared" si="96"/>
        <v/>
      </c>
      <c r="R897" s="39" t="str">
        <f t="shared" si="97"/>
        <v/>
      </c>
      <c r="S897" s="28"/>
      <c r="T897" s="28"/>
      <c r="U897" s="28"/>
    </row>
    <row r="898" spans="1:21" s="5" customFormat="1">
      <c r="A898" s="179" t="s">
        <v>1215</v>
      </c>
      <c r="B898" s="185" t="s">
        <v>8940</v>
      </c>
      <c r="C898" s="35" t="str">
        <f t="shared" si="91"/>
        <v>Batin</v>
      </c>
      <c r="E898" s="40"/>
      <c r="F898" s="15"/>
      <c r="G898" s="17"/>
      <c r="H898" s="10" t="s">
        <v>8563</v>
      </c>
      <c r="I898" s="4" t="str">
        <f t="shared" si="92"/>
        <v>|Báṭin|</v>
      </c>
      <c r="J898" s="3" t="str">
        <f t="shared" si="93"/>
        <v>|Batin|</v>
      </c>
      <c r="K898" s="3" t="str">
        <f t="shared" si="94"/>
        <v>Batin</v>
      </c>
      <c r="N898" s="39" t="str">
        <f t="shared" si="95"/>
        <v/>
      </c>
      <c r="P898" s="39" t="str">
        <f t="shared" si="96"/>
        <v/>
      </c>
      <c r="R898" s="39" t="str">
        <f t="shared" si="97"/>
        <v/>
      </c>
      <c r="S898" s="28"/>
      <c r="T898" s="28"/>
      <c r="U898" s="28"/>
    </row>
    <row r="899" spans="1:21" s="5" customFormat="1">
      <c r="A899" s="179" t="s">
        <v>1216</v>
      </c>
      <c r="B899" s="185" t="s">
        <v>8939</v>
      </c>
      <c r="C899" s="35" t="str">
        <f t="shared" ref="C899:C962" si="98">SUBSTITUTE(SUBSTITUTE(K899,"-","")," ","")</f>
        <v>Batini</v>
      </c>
      <c r="E899" s="40"/>
      <c r="F899" s="15"/>
      <c r="G899" s="17"/>
      <c r="H899" s="10" t="s">
        <v>8563</v>
      </c>
      <c r="I899" s="4" t="str">
        <f t="shared" ref="I899:I962" si="99">CONCATENATE("|",B899,"|")</f>
        <v>|Báṭiní|</v>
      </c>
      <c r="J899" s="3" t="str">
        <f t="shared" ref="J899:J962" si="100">CONCATENATE("|",F_OutputASCII(B899),"|")</f>
        <v>|Batini|</v>
      </c>
      <c r="K899" s="3" t="str">
        <f t="shared" ref="K899:K962" si="101">IF(SUBSTITUTE(MID(J899,2,LEN(J899)-2),"'","")&lt;&gt;"",SUBSTITUTE(MID(J899,2,LEN(J899)-2),"'",""),"ZZZZZ")</f>
        <v>Batini</v>
      </c>
      <c r="N899" s="39" t="str">
        <f t="shared" ref="N899:N962" si="102">SUBSTITUTE(SUBSTITUTE(SUBSTITUTE(F_OutputASCII(M899),"-","")," ",""),"'","")</f>
        <v/>
      </c>
      <c r="P899" s="39" t="str">
        <f t="shared" ref="P899:P962" si="103">SUBSTITUTE(SUBSTITUTE(SUBSTITUTE(F_OutputASCII(O899),"-","")," ",""),"'","")</f>
        <v/>
      </c>
      <c r="R899" s="39" t="str">
        <f t="shared" si="97"/>
        <v/>
      </c>
      <c r="S899" s="28"/>
      <c r="T899" s="28"/>
      <c r="U899" s="28"/>
    </row>
    <row r="900" spans="1:21" s="5" customFormat="1">
      <c r="A900" s="179" t="s">
        <v>1217</v>
      </c>
      <c r="B900" s="185" t="s">
        <v>5663</v>
      </c>
      <c r="C900" s="35" t="str">
        <f t="shared" si="98"/>
        <v>Batiniyyih</v>
      </c>
      <c r="E900" s="40"/>
      <c r="F900" s="15"/>
      <c r="G900" s="17"/>
      <c r="H900" s="10" t="s">
        <v>8563</v>
      </c>
      <c r="I900" s="4" t="str">
        <f t="shared" si="99"/>
        <v>|Báṭiníyyih|</v>
      </c>
      <c r="J900" s="3" t="str">
        <f t="shared" si="100"/>
        <v>|Batiniyyih|</v>
      </c>
      <c r="K900" s="3" t="str">
        <f t="shared" si="101"/>
        <v>Batiniyyih</v>
      </c>
      <c r="N900" s="39" t="str">
        <f t="shared" si="102"/>
        <v/>
      </c>
      <c r="P900" s="39" t="str">
        <f t="shared" si="103"/>
        <v/>
      </c>
      <c r="R900" s="39" t="str">
        <f t="shared" ref="R900:R963" si="104">SUBSTITUTE(SUBSTITUTE(Q900,"-","")," ","")</f>
        <v/>
      </c>
      <c r="S900" s="28"/>
      <c r="T900" s="28"/>
      <c r="U900" s="28"/>
    </row>
    <row r="901" spans="1:21" s="5" customFormat="1">
      <c r="A901" s="179" t="s">
        <v>1218</v>
      </c>
      <c r="B901" s="185" t="s">
        <v>5664</v>
      </c>
      <c r="C901" s="35" t="str">
        <f t="shared" si="98"/>
        <v>Batum</v>
      </c>
      <c r="E901" s="40"/>
      <c r="F901" s="14"/>
      <c r="G901" s="17"/>
      <c r="H901" s="10" t="s">
        <v>8563</v>
      </c>
      <c r="I901" s="4" t="str">
        <f t="shared" si="99"/>
        <v>|Báṭúm|</v>
      </c>
      <c r="J901" s="3" t="str">
        <f t="shared" si="100"/>
        <v>|Batum|</v>
      </c>
      <c r="K901" s="3" t="str">
        <f t="shared" si="101"/>
        <v>Batum</v>
      </c>
      <c r="N901" s="39" t="str">
        <f t="shared" si="102"/>
        <v/>
      </c>
      <c r="P901" s="39" t="str">
        <f t="shared" si="103"/>
        <v/>
      </c>
      <c r="R901" s="39" t="str">
        <f t="shared" si="104"/>
        <v/>
      </c>
      <c r="S901" s="28"/>
      <c r="T901" s="28"/>
      <c r="U901" s="28"/>
    </row>
    <row r="902" spans="1:21" s="5" customFormat="1">
      <c r="A902" s="179" t="s">
        <v>1219</v>
      </c>
      <c r="B902" s="185" t="s">
        <v>5665</v>
      </c>
      <c r="C902" s="35" t="str">
        <f t="shared" si="98"/>
        <v>Bavanat</v>
      </c>
      <c r="E902" s="40" t="s">
        <v>9115</v>
      </c>
      <c r="F902" s="14"/>
      <c r="G902" s="17" t="s">
        <v>9125</v>
      </c>
      <c r="H902" s="10" t="s">
        <v>8563</v>
      </c>
      <c r="I902" s="4" t="str">
        <f t="shared" si="99"/>
        <v>|Bavánat|</v>
      </c>
      <c r="J902" s="3" t="str">
        <f t="shared" si="100"/>
        <v>|Bavanat|</v>
      </c>
      <c r="K902" s="3" t="str">
        <f t="shared" si="101"/>
        <v>Bavanat</v>
      </c>
      <c r="N902" s="39" t="str">
        <f t="shared" si="102"/>
        <v/>
      </c>
      <c r="P902" s="39" t="str">
        <f t="shared" si="103"/>
        <v/>
      </c>
      <c r="R902" s="39" t="str">
        <f t="shared" si="104"/>
        <v/>
      </c>
      <c r="S902" s="28"/>
      <c r="T902" s="28"/>
      <c r="U902" s="28"/>
    </row>
    <row r="903" spans="1:21" s="5" customFormat="1">
      <c r="A903" s="179" t="s">
        <v>1220</v>
      </c>
      <c r="B903" s="185" t="s">
        <v>5666</v>
      </c>
      <c r="C903" s="35" t="str">
        <f t="shared" si="98"/>
        <v>Bavanat</v>
      </c>
      <c r="E903" s="40" t="s">
        <v>9115</v>
      </c>
      <c r="F903" s="15"/>
      <c r="G903" s="17" t="s">
        <v>9125</v>
      </c>
      <c r="H903" s="10" t="s">
        <v>8563</v>
      </c>
      <c r="I903" s="4" t="str">
        <f t="shared" si="99"/>
        <v>|Bavánát|</v>
      </c>
      <c r="J903" s="3" t="str">
        <f t="shared" si="100"/>
        <v>|Bavanat|</v>
      </c>
      <c r="K903" s="3" t="str">
        <f t="shared" si="101"/>
        <v>Bavanat</v>
      </c>
      <c r="N903" s="39" t="str">
        <f t="shared" si="102"/>
        <v/>
      </c>
      <c r="P903" s="39" t="str">
        <f t="shared" si="103"/>
        <v/>
      </c>
      <c r="R903" s="39" t="str">
        <f t="shared" si="104"/>
        <v/>
      </c>
      <c r="S903" s="28"/>
      <c r="T903" s="28"/>
      <c r="U903" s="28"/>
    </row>
    <row r="904" spans="1:21" s="5" customFormat="1">
      <c r="A904" s="179" t="s">
        <v>1221</v>
      </c>
      <c r="B904" s="185" t="s">
        <v>5667</v>
      </c>
      <c r="C904" s="35" t="str">
        <f t="shared" si="98"/>
        <v>BavanatiFars</v>
      </c>
      <c r="E904" s="40"/>
      <c r="F904" s="15"/>
      <c r="G904" s="17"/>
      <c r="H904" s="10" t="s">
        <v>8563</v>
      </c>
      <c r="I904" s="4" t="str">
        <f t="shared" si="99"/>
        <v>|Bavánát-i-Fárs|</v>
      </c>
      <c r="J904" s="3" t="str">
        <f t="shared" si="100"/>
        <v>|Bavanat-i-Fars|</v>
      </c>
      <c r="K904" s="3" t="str">
        <f t="shared" si="101"/>
        <v>Bavanat-i-Fars</v>
      </c>
      <c r="N904" s="39" t="str">
        <f t="shared" si="102"/>
        <v/>
      </c>
      <c r="P904" s="39" t="str">
        <f t="shared" si="103"/>
        <v/>
      </c>
      <c r="R904" s="39" t="str">
        <f t="shared" si="104"/>
        <v/>
      </c>
      <c r="S904" s="28"/>
      <c r="T904" s="28"/>
      <c r="U904" s="28"/>
    </row>
    <row r="905" spans="1:21" s="5" customFormat="1">
      <c r="A905" s="179" t="s">
        <v>1222</v>
      </c>
      <c r="B905" s="185" t="s">
        <v>5668</v>
      </c>
      <c r="C905" s="35" t="str">
        <f t="shared" si="98"/>
        <v>Bavand</v>
      </c>
      <c r="E905" s="40"/>
      <c r="F905" s="15"/>
      <c r="G905" s="17"/>
      <c r="H905" s="10" t="s">
        <v>8563</v>
      </c>
      <c r="I905" s="4" t="str">
        <f t="shared" si="99"/>
        <v>|Bávand|</v>
      </c>
      <c r="J905" s="3" t="str">
        <f t="shared" si="100"/>
        <v>|Bavand|</v>
      </c>
      <c r="K905" s="3" t="str">
        <f t="shared" si="101"/>
        <v>Bavand</v>
      </c>
      <c r="N905" s="39" t="str">
        <f t="shared" si="102"/>
        <v/>
      </c>
      <c r="P905" s="39" t="str">
        <f t="shared" si="103"/>
        <v/>
      </c>
      <c r="R905" s="39" t="str">
        <f t="shared" si="104"/>
        <v/>
      </c>
      <c r="S905" s="28"/>
      <c r="T905" s="28"/>
      <c r="U905" s="28"/>
    </row>
    <row r="906" spans="1:21" s="5" customFormat="1">
      <c r="A906" s="179" t="s">
        <v>1223</v>
      </c>
      <c r="B906" s="185" t="s">
        <v>5669</v>
      </c>
      <c r="C906" s="35" t="str">
        <f t="shared" si="98"/>
        <v>bayad</v>
      </c>
      <c r="E906" s="40"/>
      <c r="F906" s="15"/>
      <c r="G906" s="17"/>
      <c r="H906" s="10" t="s">
        <v>8563</v>
      </c>
      <c r="I906" s="4" t="str">
        <f t="shared" si="99"/>
        <v>|báyad|</v>
      </c>
      <c r="J906" s="3" t="str">
        <f t="shared" si="100"/>
        <v>|bayad|</v>
      </c>
      <c r="K906" s="3" t="str">
        <f t="shared" si="101"/>
        <v>bayad</v>
      </c>
      <c r="N906" s="39" t="str">
        <f t="shared" si="102"/>
        <v/>
      </c>
      <c r="P906" s="39" t="str">
        <f t="shared" si="103"/>
        <v/>
      </c>
      <c r="R906" s="39" t="str">
        <f t="shared" si="104"/>
        <v/>
      </c>
      <c r="S906" s="28"/>
      <c r="T906" s="28"/>
      <c r="U906" s="28"/>
    </row>
    <row r="907" spans="1:21" s="5" customFormat="1">
      <c r="A907" s="179" t="s">
        <v>1224</v>
      </c>
      <c r="B907" s="185" t="s">
        <v>5670</v>
      </c>
      <c r="C907" s="35" t="str">
        <f t="shared" si="98"/>
        <v>Bayan</v>
      </c>
      <c r="E907" s="40"/>
      <c r="F907" s="14" t="s">
        <v>1225</v>
      </c>
      <c r="G907" s="17"/>
      <c r="H907" s="10" t="s">
        <v>8563</v>
      </c>
      <c r="I907" s="4" t="str">
        <f t="shared" si="99"/>
        <v>|Bayán|</v>
      </c>
      <c r="J907" s="3" t="str">
        <f t="shared" si="100"/>
        <v>|Bayan|</v>
      </c>
      <c r="K907" s="3" t="str">
        <f t="shared" si="101"/>
        <v>Bayan</v>
      </c>
      <c r="N907" s="39" t="str">
        <f t="shared" si="102"/>
        <v/>
      </c>
      <c r="P907" s="39" t="str">
        <f t="shared" si="103"/>
        <v/>
      </c>
      <c r="R907" s="39" t="str">
        <f t="shared" si="104"/>
        <v/>
      </c>
      <c r="S907" s="28"/>
      <c r="T907" s="29">
        <v>41799</v>
      </c>
      <c r="U907" s="28" t="s">
        <v>9407</v>
      </c>
    </row>
    <row r="908" spans="1:21" s="5" customFormat="1">
      <c r="A908" s="179" t="s">
        <v>1226</v>
      </c>
      <c r="B908" s="185" t="s">
        <v>5671</v>
      </c>
      <c r="C908" s="35" t="str">
        <f t="shared" si="98"/>
        <v>BayaniFarsi</v>
      </c>
      <c r="E908" s="40"/>
      <c r="F908" s="15" t="s">
        <v>1227</v>
      </c>
      <c r="G908" s="17"/>
      <c r="H908" s="10" t="s">
        <v>8563</v>
      </c>
      <c r="I908" s="4" t="str">
        <f t="shared" si="99"/>
        <v>|Bayán-i-Farsí|</v>
      </c>
      <c r="J908" s="3" t="str">
        <f t="shared" si="100"/>
        <v>|Bayan-i-Farsi|</v>
      </c>
      <c r="K908" s="3" t="str">
        <f t="shared" si="101"/>
        <v>Bayan-i-Farsi</v>
      </c>
      <c r="N908" s="39" t="str">
        <f t="shared" si="102"/>
        <v/>
      </c>
      <c r="P908" s="39" t="str">
        <f t="shared" si="103"/>
        <v/>
      </c>
      <c r="R908" s="39" t="str">
        <f t="shared" si="104"/>
        <v/>
      </c>
      <c r="S908" s="28"/>
      <c r="T908" s="29">
        <v>41801</v>
      </c>
      <c r="U908" s="28" t="s">
        <v>9426</v>
      </c>
    </row>
    <row r="909" spans="1:21" s="5" customFormat="1">
      <c r="A909" s="179" t="s">
        <v>1228</v>
      </c>
      <c r="B909" s="185" t="s">
        <v>5672</v>
      </c>
      <c r="C909" s="35" t="str">
        <f t="shared" si="98"/>
        <v>Bayazid</v>
      </c>
      <c r="E909" s="40"/>
      <c r="F909" s="14"/>
      <c r="G909" s="17"/>
      <c r="H909" s="10" t="s">
        <v>8563</v>
      </c>
      <c r="I909" s="4" t="str">
        <f t="shared" si="99"/>
        <v>|Báyazíd|</v>
      </c>
      <c r="J909" s="3" t="str">
        <f t="shared" si="100"/>
        <v>|Bayazid|</v>
      </c>
      <c r="K909" s="3" t="str">
        <f t="shared" si="101"/>
        <v>Bayazid</v>
      </c>
      <c r="N909" s="39" t="str">
        <f t="shared" si="102"/>
        <v/>
      </c>
      <c r="P909" s="39" t="str">
        <f t="shared" si="103"/>
        <v/>
      </c>
      <c r="R909" s="39" t="str">
        <f t="shared" si="104"/>
        <v/>
      </c>
      <c r="S909" s="28"/>
      <c r="T909" s="28"/>
      <c r="U909" s="28"/>
    </row>
    <row r="910" spans="1:21" s="5" customFormat="1">
      <c r="A910" s="179" t="s">
        <v>1229</v>
      </c>
      <c r="B910" s="185" t="s">
        <v>5673</v>
      </c>
      <c r="C910" s="35" t="str">
        <f t="shared" si="98"/>
        <v>Baydavi</v>
      </c>
      <c r="E910" s="40"/>
      <c r="F910" s="15"/>
      <c r="G910" s="17"/>
      <c r="H910" s="10" t="s">
        <v>8563</v>
      </c>
      <c r="I910" s="4" t="str">
        <f t="shared" si="99"/>
        <v>|Bayḍáví|</v>
      </c>
      <c r="J910" s="3" t="str">
        <f t="shared" si="100"/>
        <v>|Baydavi|</v>
      </c>
      <c r="K910" s="3" t="str">
        <f t="shared" si="101"/>
        <v>Baydavi</v>
      </c>
      <c r="N910" s="39" t="str">
        <f t="shared" si="102"/>
        <v/>
      </c>
      <c r="P910" s="39" t="str">
        <f t="shared" si="103"/>
        <v/>
      </c>
      <c r="R910" s="39" t="str">
        <f t="shared" si="104"/>
        <v/>
      </c>
      <c r="S910" s="28"/>
      <c r="T910" s="28"/>
      <c r="U910" s="28"/>
    </row>
    <row r="911" spans="1:21" s="5" customFormat="1">
      <c r="A911" s="179" t="s">
        <v>1230</v>
      </c>
      <c r="B911" s="185" t="s">
        <v>5674</v>
      </c>
      <c r="C911" s="35" t="str">
        <f t="shared" si="98"/>
        <v>Baydun</v>
      </c>
      <c r="E911" s="40"/>
      <c r="F911" s="15"/>
      <c r="G911" s="17"/>
      <c r="H911" s="10" t="s">
        <v>8563</v>
      </c>
      <c r="I911" s="4" t="str">
        <f t="shared" si="99"/>
        <v>|Bayḍún|</v>
      </c>
      <c r="J911" s="3" t="str">
        <f t="shared" si="100"/>
        <v>|Baydun|</v>
      </c>
      <c r="K911" s="3" t="str">
        <f t="shared" si="101"/>
        <v>Baydun</v>
      </c>
      <c r="N911" s="39" t="str">
        <f t="shared" si="102"/>
        <v/>
      </c>
      <c r="P911" s="39" t="str">
        <f t="shared" si="103"/>
        <v/>
      </c>
      <c r="R911" s="39" t="str">
        <f t="shared" si="104"/>
        <v/>
      </c>
      <c r="S911" s="28"/>
      <c r="T911" s="28"/>
      <c r="U911" s="28"/>
    </row>
    <row r="912" spans="1:21" s="5" customFormat="1">
      <c r="A912" s="179" t="s">
        <v>1231</v>
      </c>
      <c r="B912" s="185" t="s">
        <v>5675</v>
      </c>
      <c r="C912" s="35" t="str">
        <f t="shared" si="98"/>
        <v>Bayt</v>
      </c>
      <c r="E912" s="40"/>
      <c r="F912" s="14"/>
      <c r="G912" s="17"/>
      <c r="H912" s="10" t="s">
        <v>8563</v>
      </c>
      <c r="I912" s="4" t="str">
        <f t="shared" si="99"/>
        <v>|Bayt|</v>
      </c>
      <c r="J912" s="3" t="str">
        <f t="shared" si="100"/>
        <v>|Bayt|</v>
      </c>
      <c r="K912" s="3" t="str">
        <f t="shared" si="101"/>
        <v>Bayt</v>
      </c>
      <c r="N912" s="39" t="str">
        <f t="shared" si="102"/>
        <v/>
      </c>
      <c r="P912" s="39" t="str">
        <f t="shared" si="103"/>
        <v/>
      </c>
      <c r="R912" s="39" t="str">
        <f t="shared" si="104"/>
        <v/>
      </c>
      <c r="S912" s="28"/>
      <c r="T912" s="28"/>
      <c r="U912" s="28"/>
    </row>
    <row r="913" spans="1:21" s="5" customFormat="1">
      <c r="A913" s="179" t="s">
        <v>1232</v>
      </c>
      <c r="B913" s="185" t="s">
        <v>5676</v>
      </c>
      <c r="C913" s="35" t="str">
        <f t="shared" si="98"/>
        <v>BaytiAzam</v>
      </c>
      <c r="E913" s="40"/>
      <c r="F913" s="15" t="s">
        <v>1233</v>
      </c>
      <c r="G913" s="17"/>
      <c r="H913" s="10" t="s">
        <v>8563</v>
      </c>
      <c r="I913" s="4" t="str">
        <f t="shared" si="99"/>
        <v>|Bayt-i-Aʿẓam|</v>
      </c>
      <c r="J913" s="3" t="str">
        <f t="shared" si="100"/>
        <v>|Bayt-i-A'zam|</v>
      </c>
      <c r="K913" s="3" t="str">
        <f t="shared" si="101"/>
        <v>Bayt-i-Azam</v>
      </c>
      <c r="N913" s="39" t="str">
        <f t="shared" si="102"/>
        <v/>
      </c>
      <c r="P913" s="39" t="str">
        <f t="shared" si="103"/>
        <v/>
      </c>
      <c r="R913" s="39" t="str">
        <f t="shared" si="104"/>
        <v/>
      </c>
      <c r="S913" s="28"/>
      <c r="T913" s="28"/>
      <c r="U913" s="28"/>
    </row>
    <row r="914" spans="1:21" s="5" customFormat="1">
      <c r="A914" s="179" t="s">
        <v>1145</v>
      </c>
      <c r="B914" s="185" t="s">
        <v>124</v>
      </c>
      <c r="C914" s="35" t="str">
        <f t="shared" si="98"/>
        <v>BaytulAdl</v>
      </c>
      <c r="E914" s="40"/>
      <c r="F914" s="14"/>
      <c r="G914" s="17"/>
      <c r="H914" s="10" t="s">
        <v>8563</v>
      </c>
      <c r="I914" s="4" t="str">
        <f t="shared" si="99"/>
        <v>|Baytu’l-ʿAdl|</v>
      </c>
      <c r="J914" s="3" t="str">
        <f t="shared" si="100"/>
        <v>|Baytu'l-'Adl|</v>
      </c>
      <c r="K914" s="3" t="str">
        <f t="shared" si="101"/>
        <v>Baytul-Adl</v>
      </c>
      <c r="N914" s="39" t="str">
        <f t="shared" si="102"/>
        <v/>
      </c>
      <c r="P914" s="39" t="str">
        <f t="shared" si="103"/>
        <v/>
      </c>
      <c r="R914" s="39" t="str">
        <f t="shared" si="104"/>
        <v/>
      </c>
      <c r="S914" s="28"/>
      <c r="T914" s="28"/>
      <c r="U914" s="28"/>
    </row>
    <row r="915" spans="1:21" s="5" customFormat="1">
      <c r="A915" s="179" t="s">
        <v>1234</v>
      </c>
      <c r="B915" s="185" t="s">
        <v>5677</v>
      </c>
      <c r="C915" s="35" t="str">
        <f t="shared" si="98"/>
        <v>BaytulAdliAzam</v>
      </c>
      <c r="E915" s="40"/>
      <c r="F915" s="14" t="s">
        <v>1235</v>
      </c>
      <c r="G915" s="17"/>
      <c r="H915" s="10" t="s">
        <v>8563</v>
      </c>
      <c r="I915" s="4" t="str">
        <f t="shared" si="99"/>
        <v>|Baytu’l-ʿAdl-i-Aʿẓam|</v>
      </c>
      <c r="J915" s="3" t="str">
        <f t="shared" si="100"/>
        <v>|Baytu'l-'Adl-i-A'zam|</v>
      </c>
      <c r="K915" s="3" t="str">
        <f t="shared" si="101"/>
        <v>Baytul-Adl-i-Azam</v>
      </c>
      <c r="N915" s="39" t="str">
        <f t="shared" si="102"/>
        <v/>
      </c>
      <c r="P915" s="39" t="str">
        <f t="shared" si="103"/>
        <v/>
      </c>
      <c r="R915" s="39" t="str">
        <f t="shared" si="104"/>
        <v/>
      </c>
      <c r="S915" s="28"/>
      <c r="T915" s="28"/>
      <c r="U915" s="28"/>
    </row>
    <row r="916" spans="1:21" s="5" customFormat="1">
      <c r="A916" s="179" t="s">
        <v>1236</v>
      </c>
      <c r="B916" s="185" t="s">
        <v>5678</v>
      </c>
      <c r="C916" s="35" t="str">
        <f t="shared" si="98"/>
        <v>BaytulAdliKhususi</v>
      </c>
      <c r="E916" s="40"/>
      <c r="F916" s="15"/>
      <c r="G916" s="17"/>
      <c r="H916" s="10" t="s">
        <v>8563</v>
      </c>
      <c r="I916" s="4" t="str">
        <f t="shared" si="99"/>
        <v>|Baytu’l-ʿAdl-i-uṣúṣí|</v>
      </c>
      <c r="J916" s="3" t="str">
        <f t="shared" si="100"/>
        <v>|Baytu'l-'Adl-i-Khususi|</v>
      </c>
      <c r="K916" s="3" t="str">
        <f t="shared" si="101"/>
        <v>Baytul-Adl-i-Khususi</v>
      </c>
      <c r="N916" s="39" t="str">
        <f t="shared" si="102"/>
        <v/>
      </c>
      <c r="P916" s="39" t="str">
        <f t="shared" si="103"/>
        <v/>
      </c>
      <c r="R916" s="39" t="str">
        <f t="shared" si="104"/>
        <v/>
      </c>
      <c r="S916" s="28"/>
      <c r="T916" s="28"/>
      <c r="U916" s="28"/>
    </row>
    <row r="917" spans="1:21" s="5" customFormat="1">
      <c r="A917" s="179" t="s">
        <v>1237</v>
      </c>
      <c r="B917" s="185" t="s">
        <v>5679</v>
      </c>
      <c r="C917" s="35" t="str">
        <f t="shared" si="98"/>
        <v>BaytulAdliMahalli</v>
      </c>
      <c r="E917" s="40"/>
      <c r="F917" s="15"/>
      <c r="G917" s="17"/>
      <c r="H917" s="10" t="s">
        <v>8563</v>
      </c>
      <c r="I917" s="4" t="str">
        <f t="shared" si="99"/>
        <v>|Baytu’l-ʿAdl-i-Maḥallí|</v>
      </c>
      <c r="J917" s="3" t="str">
        <f t="shared" si="100"/>
        <v>|Baytu'l-'Adl-i-Mahalli|</v>
      </c>
      <c r="K917" s="3" t="str">
        <f t="shared" si="101"/>
        <v>Baytul-Adl-i-Mahalli</v>
      </c>
      <c r="N917" s="39" t="str">
        <f t="shared" si="102"/>
        <v/>
      </c>
      <c r="P917" s="39" t="str">
        <f t="shared" si="103"/>
        <v/>
      </c>
      <c r="R917" s="39" t="str">
        <f t="shared" si="104"/>
        <v/>
      </c>
      <c r="S917" s="28"/>
      <c r="T917" s="28"/>
      <c r="U917" s="28"/>
    </row>
    <row r="918" spans="1:21" s="5" customFormat="1">
      <c r="A918" s="179" t="s">
        <v>1238</v>
      </c>
      <c r="B918" s="185" t="s">
        <v>5680</v>
      </c>
      <c r="C918" s="35" t="str">
        <f t="shared" si="98"/>
        <v>BaytulAdliMarkazi</v>
      </c>
      <c r="E918" s="40"/>
      <c r="F918" s="15"/>
      <c r="G918" s="17"/>
      <c r="H918" s="10" t="s">
        <v>8563</v>
      </c>
      <c r="I918" s="4" t="str">
        <f t="shared" si="99"/>
        <v>|Baytu’l-ʿAdl-i-Markazí|</v>
      </c>
      <c r="J918" s="3" t="str">
        <f t="shared" si="100"/>
        <v>|Baytu'l-'Adl-i-Markazi|</v>
      </c>
      <c r="K918" s="3" t="str">
        <f t="shared" si="101"/>
        <v>Baytul-Adl-i-Markazi</v>
      </c>
      <c r="N918" s="39" t="str">
        <f t="shared" si="102"/>
        <v/>
      </c>
      <c r="P918" s="39" t="str">
        <f t="shared" si="103"/>
        <v/>
      </c>
      <c r="R918" s="39" t="str">
        <f t="shared" si="104"/>
        <v/>
      </c>
      <c r="S918" s="28"/>
      <c r="T918" s="28"/>
      <c r="U918" s="28"/>
    </row>
    <row r="919" spans="1:21" s="5" customFormat="1">
      <c r="A919" s="179" t="s">
        <v>1239</v>
      </c>
      <c r="B919" s="185" t="s">
        <v>5681</v>
      </c>
      <c r="C919" s="35" t="str">
        <f t="shared" si="98"/>
        <v>BaytulAdliMilli</v>
      </c>
      <c r="E919" s="40"/>
      <c r="F919" s="15"/>
      <c r="G919" s="17"/>
      <c r="H919" s="10" t="s">
        <v>8563</v>
      </c>
      <c r="I919" s="4" t="str">
        <f t="shared" si="99"/>
        <v>|Baytu’l-ʿAdl-i-Millí|</v>
      </c>
      <c r="J919" s="3" t="str">
        <f t="shared" si="100"/>
        <v>|Baytu'l-'Adl-i-Milli|</v>
      </c>
      <c r="K919" s="3" t="str">
        <f t="shared" si="101"/>
        <v>Baytul-Adl-i-Milli</v>
      </c>
      <c r="N919" s="39" t="str">
        <f t="shared" si="102"/>
        <v/>
      </c>
      <c r="P919" s="39" t="str">
        <f t="shared" si="103"/>
        <v/>
      </c>
      <c r="R919" s="39" t="str">
        <f t="shared" si="104"/>
        <v/>
      </c>
      <c r="S919" s="28"/>
      <c r="T919" s="28"/>
      <c r="U919" s="28"/>
    </row>
    <row r="920" spans="1:21" s="5" customFormat="1">
      <c r="A920" s="179" t="s">
        <v>1240</v>
      </c>
      <c r="B920" s="185" t="s">
        <v>5682</v>
      </c>
      <c r="C920" s="35" t="str">
        <f t="shared" si="98"/>
        <v>BaytulAdliUmumi</v>
      </c>
      <c r="E920" s="40"/>
      <c r="F920" s="15"/>
      <c r="G920" s="17"/>
      <c r="H920" s="10" t="s">
        <v>8563</v>
      </c>
      <c r="I920" s="4" t="str">
        <f t="shared" si="99"/>
        <v>|Baytu’l-ʿAdl-i-ʿUmúmí|</v>
      </c>
      <c r="J920" s="3" t="str">
        <f t="shared" si="100"/>
        <v>|Baytu'l-'Adl-i-'Umumi|</v>
      </c>
      <c r="K920" s="3" t="str">
        <f t="shared" si="101"/>
        <v>Baytul-Adl-i-Umumi</v>
      </c>
      <c r="N920" s="39" t="str">
        <f t="shared" si="102"/>
        <v/>
      </c>
      <c r="P920" s="39" t="str">
        <f t="shared" si="103"/>
        <v/>
      </c>
      <c r="R920" s="39" t="str">
        <f t="shared" si="104"/>
        <v/>
      </c>
      <c r="S920" s="28"/>
      <c r="T920" s="28"/>
      <c r="U920" s="28"/>
    </row>
    <row r="921" spans="1:21" s="5" customFormat="1">
      <c r="A921" s="181" t="s">
        <v>8941</v>
      </c>
      <c r="B921" s="185" t="s">
        <v>8624</v>
      </c>
      <c r="C921" s="35" t="str">
        <f t="shared" si="98"/>
        <v>BaytulHazan</v>
      </c>
      <c r="D921" s="1"/>
      <c r="E921" s="40"/>
      <c r="F921" s="12"/>
      <c r="G921" s="9"/>
      <c r="H921" s="12" t="s">
        <v>8622</v>
      </c>
      <c r="I921" s="4" t="str">
        <f t="shared" si="99"/>
        <v>|Baytu’l-Ḥazan|</v>
      </c>
      <c r="J921" s="3" t="str">
        <f t="shared" si="100"/>
        <v>|Baytu'l-Hazan|</v>
      </c>
      <c r="K921" s="3" t="str">
        <f t="shared" si="101"/>
        <v>Baytul-Hazan</v>
      </c>
      <c r="N921" s="39" t="str">
        <f t="shared" si="102"/>
        <v/>
      </c>
      <c r="P921" s="39" t="str">
        <f t="shared" si="103"/>
        <v/>
      </c>
      <c r="R921" s="39" t="str">
        <f t="shared" si="104"/>
        <v/>
      </c>
      <c r="S921" s="29">
        <v>41760</v>
      </c>
      <c r="T921" s="28"/>
      <c r="U921" s="28"/>
    </row>
    <row r="922" spans="1:21" s="5" customFormat="1">
      <c r="A922" s="179" t="s">
        <v>1241</v>
      </c>
      <c r="B922" s="185" t="s">
        <v>5683</v>
      </c>
      <c r="C922" s="35" t="str">
        <f t="shared" si="98"/>
        <v>Baytullah</v>
      </c>
      <c r="E922" s="40"/>
      <c r="F922" s="15" t="s">
        <v>1242</v>
      </c>
      <c r="G922" s="17"/>
      <c r="H922" s="10" t="s">
        <v>8563</v>
      </c>
      <c r="I922" s="4" t="str">
        <f t="shared" si="99"/>
        <v>|Baytu’lláh|</v>
      </c>
      <c r="J922" s="3" t="str">
        <f t="shared" si="100"/>
        <v>|Baytu'llah|</v>
      </c>
      <c r="K922" s="3" t="str">
        <f t="shared" si="101"/>
        <v>Baytullah</v>
      </c>
      <c r="N922" s="39" t="str">
        <f t="shared" si="102"/>
        <v/>
      </c>
      <c r="P922" s="39" t="str">
        <f t="shared" si="103"/>
        <v/>
      </c>
      <c r="R922" s="39" t="str">
        <f t="shared" si="104"/>
        <v/>
      </c>
      <c r="S922" s="28"/>
      <c r="T922" s="28"/>
      <c r="U922" s="28"/>
    </row>
    <row r="923" spans="1:21" s="5" customFormat="1">
      <c r="A923" s="179" t="s">
        <v>1243</v>
      </c>
      <c r="B923" s="185" t="s">
        <v>5684</v>
      </c>
      <c r="C923" s="35" t="str">
        <f t="shared" si="98"/>
        <v>BaytulMamur</v>
      </c>
      <c r="E923" s="40"/>
      <c r="F923" s="15" t="s">
        <v>1244</v>
      </c>
      <c r="G923" s="17"/>
      <c r="H923" s="10" t="s">
        <v>8563</v>
      </c>
      <c r="I923" s="4" t="str">
        <f t="shared" si="99"/>
        <v>|Baytu’l-Maʿmúr|</v>
      </c>
      <c r="J923" s="3" t="str">
        <f t="shared" si="100"/>
        <v>|Baytu'l-Ma'mur|</v>
      </c>
      <c r="K923" s="3" t="str">
        <f t="shared" si="101"/>
        <v>Baytul-Mamur</v>
      </c>
      <c r="N923" s="39" t="str">
        <f t="shared" si="102"/>
        <v/>
      </c>
      <c r="P923" s="39" t="str">
        <f t="shared" si="103"/>
        <v/>
      </c>
      <c r="R923" s="39" t="str">
        <f t="shared" si="104"/>
        <v/>
      </c>
      <c r="S923" s="28"/>
      <c r="T923" s="28"/>
      <c r="U923" s="28"/>
    </row>
    <row r="924" spans="1:21" s="5" customFormat="1">
      <c r="A924" s="179" t="s">
        <v>1245</v>
      </c>
      <c r="B924" s="185" t="s">
        <v>5685</v>
      </c>
      <c r="C924" s="35" t="str">
        <f t="shared" si="98"/>
        <v>Bazar</v>
      </c>
      <c r="E924" s="40"/>
      <c r="F924" s="14"/>
      <c r="G924" s="17"/>
      <c r="H924" s="10" t="s">
        <v>8563</v>
      </c>
      <c r="I924" s="4" t="str">
        <f t="shared" si="99"/>
        <v>|Bázár|</v>
      </c>
      <c r="J924" s="3" t="str">
        <f t="shared" si="100"/>
        <v>|Bazar|</v>
      </c>
      <c r="K924" s="3" t="str">
        <f t="shared" si="101"/>
        <v>Bazar</v>
      </c>
      <c r="N924" s="39" t="str">
        <f t="shared" si="102"/>
        <v/>
      </c>
      <c r="P924" s="39" t="str">
        <f t="shared" si="103"/>
        <v/>
      </c>
      <c r="R924" s="39" t="str">
        <f t="shared" si="104"/>
        <v/>
      </c>
      <c r="S924" s="28"/>
      <c r="T924" s="28"/>
      <c r="U924" s="28"/>
    </row>
    <row r="925" spans="1:21" s="5" customFormat="1">
      <c r="A925" s="179" t="s">
        <v>1246</v>
      </c>
      <c r="B925" s="185" t="s">
        <v>5686</v>
      </c>
      <c r="C925" s="35" t="str">
        <f t="shared" si="98"/>
        <v>Bazzaz</v>
      </c>
      <c r="E925" s="40"/>
      <c r="F925" s="15" t="s">
        <v>1247</v>
      </c>
      <c r="G925" s="17"/>
      <c r="H925" s="10" t="s">
        <v>8563</v>
      </c>
      <c r="I925" s="4" t="str">
        <f t="shared" si="99"/>
        <v>|Bazzáz|</v>
      </c>
      <c r="J925" s="3" t="str">
        <f t="shared" si="100"/>
        <v>|Bazzaz|</v>
      </c>
      <c r="K925" s="3" t="str">
        <f t="shared" si="101"/>
        <v>Bazzaz</v>
      </c>
      <c r="N925" s="39" t="str">
        <f t="shared" si="102"/>
        <v/>
      </c>
      <c r="P925" s="39" t="str">
        <f t="shared" si="103"/>
        <v/>
      </c>
      <c r="R925" s="39" t="str">
        <f t="shared" si="104"/>
        <v/>
      </c>
      <c r="S925" s="28"/>
      <c r="T925" s="28"/>
      <c r="U925" s="28"/>
    </row>
    <row r="926" spans="1:21" s="5" customFormat="1">
      <c r="A926" s="179" t="s">
        <v>1248</v>
      </c>
      <c r="B926" s="185" t="s">
        <v>5687</v>
      </c>
      <c r="C926" s="35" t="str">
        <f t="shared" si="98"/>
        <v>BibiJanJanBagum</v>
      </c>
      <c r="E926" s="40"/>
      <c r="F926" s="15"/>
      <c r="G926" s="17"/>
      <c r="H926" s="10" t="s">
        <v>8563</v>
      </c>
      <c r="I926" s="4" t="str">
        <f t="shared" si="99"/>
        <v>|Bíbí-Ján-Ján-Bagum|</v>
      </c>
      <c r="J926" s="3" t="str">
        <f t="shared" si="100"/>
        <v>|Bibi-Jan-Jan-Bagum|</v>
      </c>
      <c r="K926" s="3" t="str">
        <f t="shared" si="101"/>
        <v>Bibi-Jan-Jan-Bagum</v>
      </c>
      <c r="N926" s="39" t="str">
        <f t="shared" si="102"/>
        <v/>
      </c>
      <c r="P926" s="39" t="str">
        <f t="shared" si="103"/>
        <v/>
      </c>
      <c r="R926" s="39" t="str">
        <f t="shared" si="104"/>
        <v/>
      </c>
      <c r="S926" s="28"/>
      <c r="T926" s="28"/>
      <c r="U926" s="28"/>
    </row>
    <row r="927" spans="1:21" s="5" customFormat="1">
      <c r="A927" s="179" t="s">
        <v>1249</v>
      </c>
      <c r="B927" s="185" t="s">
        <v>5688</v>
      </c>
      <c r="C927" s="35" t="str">
        <f t="shared" si="98"/>
        <v>BibiZahraBagum</v>
      </c>
      <c r="E927" s="40"/>
      <c r="F927" s="15"/>
      <c r="G927" s="17"/>
      <c r="H927" s="10" t="s">
        <v>8563</v>
      </c>
      <c r="I927" s="4" t="str">
        <f t="shared" si="99"/>
        <v>|Bíbí-Zahrá-Bagum|</v>
      </c>
      <c r="J927" s="3" t="str">
        <f t="shared" si="100"/>
        <v>|Bibi-Zahra-Bagum|</v>
      </c>
      <c r="K927" s="3" t="str">
        <f t="shared" si="101"/>
        <v>Bibi-Zahra-Bagum</v>
      </c>
      <c r="N927" s="39" t="str">
        <f t="shared" si="102"/>
        <v/>
      </c>
      <c r="P927" s="39" t="str">
        <f t="shared" si="103"/>
        <v/>
      </c>
      <c r="R927" s="39" t="str">
        <f t="shared" si="104"/>
        <v/>
      </c>
      <c r="S927" s="28"/>
      <c r="T927" s="28"/>
      <c r="U927" s="28"/>
    </row>
    <row r="928" spans="1:21" s="5" customFormat="1">
      <c r="A928" s="179" t="s">
        <v>1250</v>
      </c>
      <c r="B928" s="185" t="s">
        <v>8942</v>
      </c>
      <c r="C928" s="35" t="str">
        <f t="shared" si="98"/>
        <v>bifarmayid</v>
      </c>
      <c r="E928" s="40"/>
      <c r="F928" s="15"/>
      <c r="G928" s="17"/>
      <c r="H928" s="10" t="s">
        <v>8563</v>
      </c>
      <c r="I928" s="4" t="str">
        <f t="shared" si="99"/>
        <v>|bifarmáyíd|</v>
      </c>
      <c r="J928" s="3" t="str">
        <f t="shared" si="100"/>
        <v>|bifarmayid|</v>
      </c>
      <c r="K928" s="3" t="str">
        <f t="shared" si="101"/>
        <v>bifarmayid</v>
      </c>
      <c r="N928" s="39" t="str">
        <f t="shared" si="102"/>
        <v/>
      </c>
      <c r="P928" s="39" t="str">
        <f t="shared" si="103"/>
        <v/>
      </c>
      <c r="R928" s="39" t="str">
        <f t="shared" si="104"/>
        <v/>
      </c>
      <c r="S928" s="28"/>
      <c r="T928" s="28"/>
      <c r="U928" s="28"/>
    </row>
    <row r="929" spans="1:21" s="5" customFormat="1">
      <c r="A929" s="179" t="s">
        <v>1251</v>
      </c>
      <c r="B929" s="185" t="s">
        <v>5689</v>
      </c>
      <c r="C929" s="35" t="str">
        <f t="shared" si="98"/>
        <v>BigiSanandaji</v>
      </c>
      <c r="E929" s="40"/>
      <c r="F929" s="14"/>
      <c r="G929" s="17"/>
      <c r="H929" s="10" t="s">
        <v>8563</v>
      </c>
      <c r="I929" s="4" t="str">
        <f t="shared" si="99"/>
        <v>|Big-i-Sanandají|</v>
      </c>
      <c r="J929" s="3" t="str">
        <f t="shared" si="100"/>
        <v>|Big-i-Sanandaji|</v>
      </c>
      <c r="K929" s="3" t="str">
        <f t="shared" si="101"/>
        <v>Big-i-Sanandaji</v>
      </c>
      <c r="N929" s="39" t="str">
        <f t="shared" si="102"/>
        <v/>
      </c>
      <c r="P929" s="39" t="str">
        <f t="shared" si="103"/>
        <v/>
      </c>
      <c r="R929" s="39" t="str">
        <f t="shared" si="104"/>
        <v/>
      </c>
      <c r="S929" s="28"/>
      <c r="T929" s="28"/>
      <c r="U929" s="28"/>
    </row>
    <row r="930" spans="1:21" s="5" customFormat="1">
      <c r="A930" s="179" t="s">
        <v>1286</v>
      </c>
      <c r="B930" s="185" t="s">
        <v>8943</v>
      </c>
      <c r="C930" s="35" t="str">
        <f t="shared" si="98"/>
        <v>bigu</v>
      </c>
      <c r="E930" s="40"/>
      <c r="F930" s="15" t="s">
        <v>1287</v>
      </c>
      <c r="G930" s="17"/>
      <c r="H930" s="10" t="s">
        <v>8563</v>
      </c>
      <c r="I930" s="4" t="str">
        <f t="shared" si="99"/>
        <v>|bigú|</v>
      </c>
      <c r="J930" s="3" t="str">
        <f t="shared" si="100"/>
        <v>|bigu|</v>
      </c>
      <c r="K930" s="3" t="str">
        <f t="shared" si="101"/>
        <v>bigu</v>
      </c>
      <c r="N930" s="39" t="str">
        <f t="shared" si="102"/>
        <v/>
      </c>
      <c r="P930" s="39" t="str">
        <f t="shared" si="103"/>
        <v/>
      </c>
      <c r="R930" s="39" t="str">
        <f t="shared" si="104"/>
        <v/>
      </c>
      <c r="S930" s="28"/>
      <c r="T930" s="28"/>
      <c r="U930" s="28"/>
    </row>
    <row r="931" spans="1:21" s="5" customFormat="1">
      <c r="A931" s="179" t="s">
        <v>1252</v>
      </c>
      <c r="B931" s="185" t="s">
        <v>5690</v>
      </c>
      <c r="C931" s="35" t="str">
        <f t="shared" si="98"/>
        <v>Bigum</v>
      </c>
      <c r="E931" s="40"/>
      <c r="F931" s="15"/>
      <c r="G931" s="17"/>
      <c r="H931" s="10" t="s">
        <v>8563</v>
      </c>
      <c r="I931" s="4" t="str">
        <f t="shared" si="99"/>
        <v>|Bigúm|</v>
      </c>
      <c r="J931" s="3" t="str">
        <f t="shared" si="100"/>
        <v>|Bigum|</v>
      </c>
      <c r="K931" s="3" t="str">
        <f t="shared" si="101"/>
        <v>Bigum</v>
      </c>
      <c r="N931" s="39" t="str">
        <f t="shared" si="102"/>
        <v/>
      </c>
      <c r="P931" s="39" t="str">
        <f t="shared" si="103"/>
        <v/>
      </c>
      <c r="R931" s="39" t="str">
        <f t="shared" si="104"/>
        <v/>
      </c>
      <c r="S931" s="28"/>
      <c r="T931" s="28"/>
      <c r="U931" s="28"/>
    </row>
    <row r="932" spans="1:21" s="5" customFormat="1">
      <c r="A932" s="179" t="s">
        <v>1253</v>
      </c>
      <c r="B932" s="185" t="s">
        <v>5691</v>
      </c>
      <c r="C932" s="35" t="str">
        <f t="shared" si="98"/>
        <v>Bihar</v>
      </c>
      <c r="E932" s="40"/>
      <c r="F932" s="15" t="s">
        <v>8573</v>
      </c>
      <c r="G932" s="17"/>
      <c r="H932" s="10" t="s">
        <v>8563</v>
      </c>
      <c r="I932" s="4" t="str">
        <f t="shared" si="99"/>
        <v>|Biḥár|</v>
      </c>
      <c r="J932" s="3" t="str">
        <f t="shared" si="100"/>
        <v>|Bihar|</v>
      </c>
      <c r="K932" s="3" t="str">
        <f t="shared" si="101"/>
        <v>Bihar</v>
      </c>
      <c r="N932" s="39" t="str">
        <f t="shared" si="102"/>
        <v/>
      </c>
      <c r="P932" s="39" t="str">
        <f t="shared" si="103"/>
        <v/>
      </c>
      <c r="R932" s="39" t="str">
        <f t="shared" si="104"/>
        <v/>
      </c>
      <c r="S932" s="28"/>
      <c r="T932" s="28"/>
      <c r="U932" s="28"/>
    </row>
    <row r="933" spans="1:21" s="5" customFormat="1">
      <c r="A933" s="179" t="s">
        <v>1254</v>
      </c>
      <c r="B933" s="185" t="s">
        <v>5692</v>
      </c>
      <c r="C933" s="35" t="str">
        <f t="shared" si="98"/>
        <v>BiharulAnvar</v>
      </c>
      <c r="E933" s="40"/>
      <c r="F933" s="15" t="s">
        <v>8574</v>
      </c>
      <c r="G933" s="17"/>
      <c r="H933" s="10" t="s">
        <v>8563</v>
      </c>
      <c r="I933" s="4" t="str">
        <f t="shared" si="99"/>
        <v>|Biḥáru’l-Anvár|</v>
      </c>
      <c r="J933" s="3" t="str">
        <f t="shared" si="100"/>
        <v>|Biharu'l-Anvar|</v>
      </c>
      <c r="K933" s="3" t="str">
        <f t="shared" si="101"/>
        <v>Biharul-Anvar</v>
      </c>
      <c r="N933" s="39" t="str">
        <f t="shared" si="102"/>
        <v/>
      </c>
      <c r="P933" s="39" t="str">
        <f t="shared" si="103"/>
        <v/>
      </c>
      <c r="R933" s="39" t="str">
        <f t="shared" si="104"/>
        <v/>
      </c>
      <c r="S933" s="28"/>
      <c r="T933" s="28"/>
      <c r="U933" s="28"/>
    </row>
    <row r="934" spans="1:21" s="5" customFormat="1">
      <c r="A934" s="179" t="s">
        <v>1255</v>
      </c>
      <c r="B934" s="185" t="s">
        <v>5693</v>
      </c>
      <c r="C934" s="35" t="str">
        <f t="shared" si="98"/>
        <v>Bihbahani</v>
      </c>
      <c r="E934" s="40"/>
      <c r="F934" s="15"/>
      <c r="G934" s="17"/>
      <c r="H934" s="10" t="s">
        <v>8563</v>
      </c>
      <c r="I934" s="4" t="str">
        <f t="shared" si="99"/>
        <v>|Bihbahání|</v>
      </c>
      <c r="J934" s="3" t="str">
        <f t="shared" si="100"/>
        <v>|Bihbahani|</v>
      </c>
      <c r="K934" s="3" t="str">
        <f t="shared" si="101"/>
        <v>Bihbahani</v>
      </c>
      <c r="N934" s="39" t="str">
        <f t="shared" si="102"/>
        <v/>
      </c>
      <c r="P934" s="39" t="str">
        <f t="shared" si="103"/>
        <v/>
      </c>
      <c r="R934" s="39" t="str">
        <f t="shared" si="104"/>
        <v/>
      </c>
      <c r="S934" s="28"/>
      <c r="T934" s="28"/>
      <c r="U934" s="28"/>
    </row>
    <row r="935" spans="1:21" s="5" customFormat="1">
      <c r="A935" s="179" t="s">
        <v>1256</v>
      </c>
      <c r="B935" s="185" t="s">
        <v>5694</v>
      </c>
      <c r="C935" s="35" t="str">
        <f t="shared" si="98"/>
        <v>Bihisht</v>
      </c>
      <c r="E935" s="40"/>
      <c r="F935" s="15"/>
      <c r="G935" s="17"/>
      <c r="H935" s="10" t="s">
        <v>8563</v>
      </c>
      <c r="I935" s="4" t="str">
        <f t="shared" si="99"/>
        <v>|Bihit|</v>
      </c>
      <c r="J935" s="3" t="str">
        <f t="shared" si="100"/>
        <v>|Bihisht|</v>
      </c>
      <c r="K935" s="3" t="str">
        <f t="shared" si="101"/>
        <v>Bihisht</v>
      </c>
      <c r="N935" s="39" t="str">
        <f t="shared" si="102"/>
        <v/>
      </c>
      <c r="P935" s="39" t="str">
        <f t="shared" si="103"/>
        <v/>
      </c>
      <c r="R935" s="39" t="str">
        <f t="shared" si="104"/>
        <v/>
      </c>
      <c r="S935" s="28"/>
      <c r="T935" s="28"/>
      <c r="U935" s="28"/>
    </row>
    <row r="936" spans="1:21" s="5" customFormat="1">
      <c r="A936" s="179" t="s">
        <v>1257</v>
      </c>
      <c r="B936" s="185" t="s">
        <v>5695</v>
      </c>
      <c r="C936" s="35" t="str">
        <f t="shared" si="98"/>
        <v>Bihistun</v>
      </c>
      <c r="E936" s="40"/>
      <c r="F936" s="15"/>
      <c r="G936" s="17"/>
      <c r="H936" s="10" t="s">
        <v>8563</v>
      </c>
      <c r="I936" s="4" t="str">
        <f t="shared" si="99"/>
        <v>|Bihistún|</v>
      </c>
      <c r="J936" s="3" t="str">
        <f t="shared" si="100"/>
        <v>|Bihistun|</v>
      </c>
      <c r="K936" s="3" t="str">
        <f t="shared" si="101"/>
        <v>Bihistun</v>
      </c>
      <c r="N936" s="39" t="str">
        <f t="shared" si="102"/>
        <v/>
      </c>
      <c r="P936" s="39" t="str">
        <f t="shared" si="103"/>
        <v/>
      </c>
      <c r="R936" s="39" t="str">
        <f t="shared" si="104"/>
        <v/>
      </c>
      <c r="S936" s="28"/>
      <c r="T936" s="28"/>
      <c r="U936" s="28"/>
    </row>
    <row r="937" spans="1:21" s="5" customFormat="1">
      <c r="A937" s="179" t="s">
        <v>1258</v>
      </c>
      <c r="B937" s="185" t="s">
        <v>5696</v>
      </c>
      <c r="C937" s="35" t="str">
        <f t="shared" si="98"/>
        <v>BihjatusSaltanih</v>
      </c>
      <c r="E937" s="40"/>
      <c r="F937" s="15"/>
      <c r="G937" s="17"/>
      <c r="H937" s="10" t="s">
        <v>8563</v>
      </c>
      <c r="I937" s="4" t="str">
        <f t="shared" si="99"/>
        <v>|Bihjatu’ṣ-Salṭanih|</v>
      </c>
      <c r="J937" s="3" t="str">
        <f t="shared" si="100"/>
        <v>|Bihjatu's-Saltanih|</v>
      </c>
      <c r="K937" s="3" t="str">
        <f t="shared" si="101"/>
        <v>Bihjatus-Saltanih</v>
      </c>
      <c r="N937" s="39" t="str">
        <f t="shared" si="102"/>
        <v/>
      </c>
      <c r="P937" s="39" t="str">
        <f t="shared" si="103"/>
        <v/>
      </c>
      <c r="R937" s="39" t="str">
        <f t="shared" si="104"/>
        <v/>
      </c>
      <c r="S937" s="28"/>
      <c r="T937" s="28"/>
      <c r="U937" s="28"/>
    </row>
    <row r="938" spans="1:21" s="5" customFormat="1">
      <c r="A938" s="179" t="s">
        <v>1259</v>
      </c>
      <c r="B938" s="185" t="s">
        <v>5697</v>
      </c>
      <c r="C938" s="35" t="str">
        <f t="shared" si="98"/>
        <v>Bihmardi</v>
      </c>
      <c r="E938" s="40"/>
      <c r="F938" s="15"/>
      <c r="G938" s="17"/>
      <c r="H938" s="10" t="s">
        <v>8563</v>
      </c>
      <c r="I938" s="4" t="str">
        <f t="shared" si="99"/>
        <v>|Bihmardí|</v>
      </c>
      <c r="J938" s="3" t="str">
        <f t="shared" si="100"/>
        <v>|Bihmardi|</v>
      </c>
      <c r="K938" s="3" t="str">
        <f t="shared" si="101"/>
        <v>Bihmardi</v>
      </c>
      <c r="N938" s="39" t="str">
        <f t="shared" si="102"/>
        <v/>
      </c>
      <c r="P938" s="39" t="str">
        <f t="shared" si="103"/>
        <v/>
      </c>
      <c r="R938" s="39" t="str">
        <f t="shared" si="104"/>
        <v/>
      </c>
      <c r="S938" s="28"/>
      <c r="T938" s="28"/>
      <c r="U938" s="28"/>
    </row>
    <row r="939" spans="1:21" s="5" customFormat="1">
      <c r="A939" s="179" t="s">
        <v>1260</v>
      </c>
      <c r="B939" s="185" t="s">
        <v>5698</v>
      </c>
      <c r="C939" s="35" t="str">
        <f t="shared" si="98"/>
        <v>Bihzad</v>
      </c>
      <c r="E939" s="40"/>
      <c r="F939" s="15" t="s">
        <v>1261</v>
      </c>
      <c r="G939" s="17"/>
      <c r="H939" s="10" t="s">
        <v>8563</v>
      </c>
      <c r="I939" s="4" t="str">
        <f t="shared" si="99"/>
        <v>|Bihzád|</v>
      </c>
      <c r="J939" s="3" t="str">
        <f t="shared" si="100"/>
        <v>|Bihzad|</v>
      </c>
      <c r="K939" s="3" t="str">
        <f t="shared" si="101"/>
        <v>Bihzad</v>
      </c>
      <c r="N939" s="39" t="str">
        <f t="shared" si="102"/>
        <v/>
      </c>
      <c r="P939" s="39" t="str">
        <f t="shared" si="103"/>
        <v/>
      </c>
      <c r="R939" s="39" t="str">
        <f t="shared" si="104"/>
        <v/>
      </c>
      <c r="S939" s="28"/>
      <c r="T939" s="28"/>
      <c r="U939" s="28"/>
    </row>
    <row r="940" spans="1:21" s="5" customFormat="1">
      <c r="A940" s="179" t="s">
        <v>1262</v>
      </c>
      <c r="B940" s="185" t="s">
        <v>5699</v>
      </c>
      <c r="C940" s="35" t="str">
        <f t="shared" si="98"/>
        <v>Bimunasibat</v>
      </c>
      <c r="E940" s="40"/>
      <c r="F940" s="15"/>
      <c r="G940" s="17"/>
      <c r="H940" s="10" t="s">
        <v>8563</v>
      </c>
      <c r="I940" s="4" t="str">
        <f t="shared" si="99"/>
        <v>|Bimunásibat|</v>
      </c>
      <c r="J940" s="3" t="str">
        <f t="shared" si="100"/>
        <v>|Bimunasibat|</v>
      </c>
      <c r="K940" s="3" t="str">
        <f t="shared" si="101"/>
        <v>Bimunasibat</v>
      </c>
      <c r="N940" s="39" t="str">
        <f t="shared" si="102"/>
        <v/>
      </c>
      <c r="P940" s="39" t="str">
        <f t="shared" si="103"/>
        <v/>
      </c>
      <c r="R940" s="39" t="str">
        <f t="shared" si="104"/>
        <v/>
      </c>
      <c r="S940" s="28"/>
      <c r="T940" s="28"/>
      <c r="U940" s="28"/>
    </row>
    <row r="941" spans="1:21" s="5" customFormat="1">
      <c r="A941" s="179" t="s">
        <v>1263</v>
      </c>
      <c r="B941" s="185" t="s">
        <v>8944</v>
      </c>
      <c r="C941" s="35" t="str">
        <f t="shared" si="98"/>
        <v>binishinid</v>
      </c>
      <c r="E941" s="40"/>
      <c r="F941" s="15"/>
      <c r="G941" s="17"/>
      <c r="H941" s="10" t="s">
        <v>8563</v>
      </c>
      <c r="I941" s="4" t="str">
        <f t="shared" si="99"/>
        <v>|biniíníd|</v>
      </c>
      <c r="J941" s="3" t="str">
        <f t="shared" si="100"/>
        <v>|binishinid|</v>
      </c>
      <c r="K941" s="3" t="str">
        <f t="shared" si="101"/>
        <v>binishinid</v>
      </c>
      <c r="N941" s="39" t="str">
        <f t="shared" si="102"/>
        <v/>
      </c>
      <c r="P941" s="39" t="str">
        <f t="shared" si="103"/>
        <v/>
      </c>
      <c r="R941" s="39" t="str">
        <f t="shared" si="104"/>
        <v/>
      </c>
      <c r="S941" s="28"/>
      <c r="T941" s="28"/>
      <c r="U941" s="28"/>
    </row>
    <row r="942" spans="1:21" s="5" customFormat="1">
      <c r="A942" s="179" t="s">
        <v>1264</v>
      </c>
      <c r="B942" s="185" t="s">
        <v>5700</v>
      </c>
      <c r="C942" s="35" t="str">
        <f t="shared" si="98"/>
        <v>Binyamin</v>
      </c>
      <c r="E942" s="40"/>
      <c r="F942" s="15" t="s">
        <v>1265</v>
      </c>
      <c r="G942" s="17"/>
      <c r="H942" s="10" t="s">
        <v>8563</v>
      </c>
      <c r="I942" s="4" t="str">
        <f t="shared" si="99"/>
        <v>|Binyámín|</v>
      </c>
      <c r="J942" s="3" t="str">
        <f t="shared" si="100"/>
        <v>|Binyamin|</v>
      </c>
      <c r="K942" s="3" t="str">
        <f t="shared" si="101"/>
        <v>Binyamin</v>
      </c>
      <c r="N942" s="39" t="str">
        <f t="shared" si="102"/>
        <v/>
      </c>
      <c r="P942" s="39" t="str">
        <f t="shared" si="103"/>
        <v/>
      </c>
      <c r="R942" s="39" t="str">
        <f t="shared" si="104"/>
        <v/>
      </c>
      <c r="S942" s="28"/>
      <c r="T942" s="28"/>
      <c r="U942" s="28"/>
    </row>
    <row r="943" spans="1:21" s="5" customFormat="1">
      <c r="A943" s="179" t="s">
        <v>1266</v>
      </c>
      <c r="B943" s="185" t="s">
        <v>5701</v>
      </c>
      <c r="C943" s="35" t="str">
        <f t="shared" si="98"/>
        <v>Biqa</v>
      </c>
      <c r="E943" s="40"/>
      <c r="F943" s="15"/>
      <c r="G943" s="17"/>
      <c r="H943" s="10" t="s">
        <v>8563</v>
      </c>
      <c r="I943" s="4" t="str">
        <f t="shared" si="99"/>
        <v>|Biqáʿ|</v>
      </c>
      <c r="J943" s="3" t="str">
        <f t="shared" si="100"/>
        <v>|Biqa'|</v>
      </c>
      <c r="K943" s="3" t="str">
        <f t="shared" si="101"/>
        <v>Biqa</v>
      </c>
      <c r="N943" s="39" t="str">
        <f t="shared" si="102"/>
        <v/>
      </c>
      <c r="P943" s="39" t="str">
        <f t="shared" si="103"/>
        <v/>
      </c>
      <c r="R943" s="39" t="str">
        <f t="shared" si="104"/>
        <v/>
      </c>
      <c r="S943" s="28"/>
      <c r="T943" s="28"/>
      <c r="U943" s="28"/>
    </row>
    <row r="944" spans="1:21" s="5" customFormat="1">
      <c r="A944" s="179" t="s">
        <v>1267</v>
      </c>
      <c r="B944" s="185" t="s">
        <v>5702</v>
      </c>
      <c r="C944" s="35" t="str">
        <f t="shared" si="98"/>
        <v>Birjand</v>
      </c>
      <c r="E944" s="40"/>
      <c r="F944" s="14"/>
      <c r="G944" s="17"/>
      <c r="H944" s="10" t="s">
        <v>8563</v>
      </c>
      <c r="I944" s="4" t="str">
        <f t="shared" si="99"/>
        <v>|Bírjand|</v>
      </c>
      <c r="J944" s="3" t="str">
        <f t="shared" si="100"/>
        <v>|Birjand|</v>
      </c>
      <c r="K944" s="3" t="str">
        <f t="shared" si="101"/>
        <v>Birjand</v>
      </c>
      <c r="N944" s="39" t="str">
        <f t="shared" si="102"/>
        <v/>
      </c>
      <c r="P944" s="39" t="str">
        <f t="shared" si="103"/>
        <v/>
      </c>
      <c r="R944" s="39" t="str">
        <f t="shared" si="104"/>
        <v/>
      </c>
      <c r="S944" s="28"/>
      <c r="T944" s="28"/>
      <c r="U944" s="28"/>
    </row>
    <row r="945" spans="1:21" s="5" customFormat="1">
      <c r="A945" s="179" t="s">
        <v>1268</v>
      </c>
      <c r="B945" s="185" t="s">
        <v>5703</v>
      </c>
      <c r="C945" s="35" t="str">
        <f t="shared" si="98"/>
        <v>Birjis</v>
      </c>
      <c r="E945" s="40"/>
      <c r="F945" s="15"/>
      <c r="G945" s="17"/>
      <c r="H945" s="10" t="s">
        <v>8563</v>
      </c>
      <c r="I945" s="4" t="str">
        <f t="shared" si="99"/>
        <v>|Birjís|</v>
      </c>
      <c r="J945" s="3" t="str">
        <f t="shared" si="100"/>
        <v>|Birjis|</v>
      </c>
      <c r="K945" s="3" t="str">
        <f t="shared" si="101"/>
        <v>Birjis</v>
      </c>
      <c r="N945" s="39" t="str">
        <f t="shared" si="102"/>
        <v/>
      </c>
      <c r="P945" s="39" t="str">
        <f t="shared" si="103"/>
        <v/>
      </c>
      <c r="R945" s="39" t="str">
        <f t="shared" si="104"/>
        <v/>
      </c>
      <c r="S945" s="28"/>
      <c r="T945" s="28"/>
      <c r="U945" s="28"/>
    </row>
    <row r="946" spans="1:21" s="5" customFormat="1">
      <c r="A946" s="179" t="s">
        <v>1269</v>
      </c>
      <c r="B946" s="185" t="s">
        <v>5704</v>
      </c>
      <c r="C946" s="35" t="str">
        <f t="shared" si="98"/>
        <v>Birkas</v>
      </c>
      <c r="E946" s="40"/>
      <c r="F946" s="14"/>
      <c r="G946" s="17"/>
      <c r="H946" s="10" t="s">
        <v>8563</v>
      </c>
      <c r="I946" s="4" t="str">
        <f t="shared" si="99"/>
        <v>|Birkás|</v>
      </c>
      <c r="J946" s="3" t="str">
        <f t="shared" si="100"/>
        <v>|Birkas|</v>
      </c>
      <c r="K946" s="3" t="str">
        <f t="shared" si="101"/>
        <v>Birkas</v>
      </c>
      <c r="N946" s="39" t="str">
        <f t="shared" si="102"/>
        <v/>
      </c>
      <c r="P946" s="39" t="str">
        <f t="shared" si="103"/>
        <v/>
      </c>
      <c r="R946" s="39" t="str">
        <f t="shared" si="104"/>
        <v/>
      </c>
      <c r="S946" s="28"/>
      <c r="T946" s="28"/>
      <c r="U946" s="28"/>
    </row>
    <row r="947" spans="1:21" s="5" customFormat="1">
      <c r="A947" s="179" t="s">
        <v>1270</v>
      </c>
      <c r="B947" s="185" t="s">
        <v>5705</v>
      </c>
      <c r="C947" s="35" t="str">
        <f t="shared" si="98"/>
        <v>Biruni</v>
      </c>
      <c r="E947" s="40"/>
      <c r="F947" s="15" t="s">
        <v>1271</v>
      </c>
      <c r="G947" s="17"/>
      <c r="H947" s="10" t="s">
        <v>8563</v>
      </c>
      <c r="I947" s="4" t="str">
        <f t="shared" si="99"/>
        <v>|Bírúní|</v>
      </c>
      <c r="J947" s="3" t="str">
        <f t="shared" si="100"/>
        <v>|Biruni|</v>
      </c>
      <c r="K947" s="3" t="str">
        <f t="shared" si="101"/>
        <v>Biruni</v>
      </c>
      <c r="N947" s="39" t="str">
        <f t="shared" si="102"/>
        <v/>
      </c>
      <c r="P947" s="39" t="str">
        <f t="shared" si="103"/>
        <v/>
      </c>
      <c r="R947" s="39" t="str">
        <f t="shared" si="104"/>
        <v/>
      </c>
      <c r="S947" s="28"/>
      <c r="T947" s="28"/>
      <c r="U947" s="28"/>
    </row>
    <row r="948" spans="1:21" s="5" customFormat="1">
      <c r="A948" s="179" t="s">
        <v>1272</v>
      </c>
      <c r="B948" s="185" t="s">
        <v>5706</v>
      </c>
      <c r="C948" s="35" t="str">
        <f t="shared" si="98"/>
        <v>Bisharat</v>
      </c>
      <c r="E948" s="40"/>
      <c r="F948" s="14" t="s">
        <v>1273</v>
      </c>
      <c r="G948" s="17"/>
      <c r="H948" s="10" t="s">
        <v>8563</v>
      </c>
      <c r="I948" s="4" t="str">
        <f t="shared" si="99"/>
        <v>|Biárát|</v>
      </c>
      <c r="J948" s="3" t="str">
        <f t="shared" si="100"/>
        <v>|Bisharat|</v>
      </c>
      <c r="K948" s="3" t="str">
        <f t="shared" si="101"/>
        <v>Bisharat</v>
      </c>
      <c r="N948" s="39" t="str">
        <f t="shared" si="102"/>
        <v/>
      </c>
      <c r="P948" s="39" t="str">
        <f t="shared" si="103"/>
        <v/>
      </c>
      <c r="R948" s="39" t="str">
        <f t="shared" si="104"/>
        <v/>
      </c>
      <c r="S948" s="28"/>
      <c r="T948" s="28"/>
      <c r="U948" s="28"/>
    </row>
    <row r="949" spans="1:21" s="5" customFormat="1">
      <c r="A949" s="179" t="s">
        <v>1276</v>
      </c>
      <c r="B949" s="185" t="s">
        <v>5707</v>
      </c>
      <c r="C949" s="35" t="str">
        <f t="shared" si="98"/>
        <v>Bismillah</v>
      </c>
      <c r="E949" s="40"/>
      <c r="F949" s="14"/>
      <c r="G949" s="17"/>
      <c r="H949" s="10" t="s">
        <v>8563</v>
      </c>
      <c r="I949" s="4" t="str">
        <f t="shared" si="99"/>
        <v>|Bismi’lláh|</v>
      </c>
      <c r="J949" s="3" t="str">
        <f t="shared" si="100"/>
        <v>|Bismi'llah|</v>
      </c>
      <c r="K949" s="3" t="str">
        <f t="shared" si="101"/>
        <v>Bismillah</v>
      </c>
      <c r="N949" s="39" t="str">
        <f t="shared" si="102"/>
        <v/>
      </c>
      <c r="P949" s="39" t="str">
        <f t="shared" si="103"/>
        <v/>
      </c>
      <c r="R949" s="39" t="str">
        <f t="shared" si="104"/>
        <v/>
      </c>
      <c r="S949" s="28"/>
      <c r="T949" s="28"/>
      <c r="U949" s="28"/>
    </row>
    <row r="950" spans="1:21" s="5" customFormat="1">
      <c r="A950" s="179" t="s">
        <v>1277</v>
      </c>
      <c r="B950" s="185" t="s">
        <v>5708</v>
      </c>
      <c r="C950" s="35" t="str">
        <f t="shared" si="98"/>
        <v>BismillahulAmnaulAqdas</v>
      </c>
      <c r="E950" s="40"/>
      <c r="F950" s="15" t="s">
        <v>1278</v>
      </c>
      <c r="G950" s="17"/>
      <c r="H950" s="10" t="s">
        <v>8563</v>
      </c>
      <c r="I950" s="4" t="str">
        <f t="shared" si="99"/>
        <v>|Bismi’lláhu’l-Amnaʿu’l-Aqdas|</v>
      </c>
      <c r="J950" s="3" t="str">
        <f t="shared" si="100"/>
        <v>|Bismi'llahu'l-Amna'u'l-Aqdas|</v>
      </c>
      <c r="K950" s="3" t="str">
        <f t="shared" si="101"/>
        <v>Bismillahul-Amnaul-Aqdas</v>
      </c>
      <c r="N950" s="39" t="str">
        <f t="shared" si="102"/>
        <v/>
      </c>
      <c r="P950" s="39" t="str">
        <f t="shared" si="103"/>
        <v/>
      </c>
      <c r="R950" s="39" t="str">
        <f t="shared" si="104"/>
        <v/>
      </c>
      <c r="S950" s="28"/>
      <c r="T950" s="28"/>
      <c r="U950" s="28"/>
    </row>
    <row r="951" spans="1:21" s="5" customFormat="1">
      <c r="A951" s="179" t="s">
        <v>1279</v>
      </c>
      <c r="B951" s="185" t="s">
        <v>5709</v>
      </c>
      <c r="C951" s="35" t="str">
        <f t="shared" si="98"/>
        <v>BismillahulBahiyyulAbha</v>
      </c>
      <c r="E951" s="40"/>
      <c r="F951" s="15" t="s">
        <v>1280</v>
      </c>
      <c r="G951" s="17"/>
      <c r="H951" s="10" t="s">
        <v>8563</v>
      </c>
      <c r="I951" s="4" t="str">
        <f t="shared" si="99"/>
        <v>|Bismi’lláhu’l-Bahíyyu’l-Abhá|</v>
      </c>
      <c r="J951" s="3" t="str">
        <f t="shared" si="100"/>
        <v>|Bismi'llahu'l-Bahiyyu'l-Abha|</v>
      </c>
      <c r="K951" s="3" t="str">
        <f t="shared" si="101"/>
        <v>Bismillahul-Bahiyyul-Abha</v>
      </c>
      <c r="N951" s="39" t="str">
        <f t="shared" si="102"/>
        <v/>
      </c>
      <c r="P951" s="39" t="str">
        <f t="shared" si="103"/>
        <v/>
      </c>
      <c r="R951" s="39" t="str">
        <f t="shared" si="104"/>
        <v/>
      </c>
      <c r="S951" s="28"/>
      <c r="T951" s="28"/>
      <c r="U951" s="28"/>
    </row>
    <row r="952" spans="1:21" s="5" customFormat="1">
      <c r="A952" s="179" t="s">
        <v>1281</v>
      </c>
      <c r="B952" s="185" t="s">
        <v>5710</v>
      </c>
      <c r="C952" s="35" t="str">
        <f t="shared" si="98"/>
        <v>BismillahurRahmanurRahim</v>
      </c>
      <c r="E952" s="40"/>
      <c r="F952" s="15" t="s">
        <v>1282</v>
      </c>
      <c r="G952" s="17" t="s">
        <v>9129</v>
      </c>
      <c r="H952" s="10" t="s">
        <v>8563</v>
      </c>
      <c r="I952" s="4" t="str">
        <f t="shared" si="99"/>
        <v>|Bismi’lláhu’r-Raḥmánu’r-Rahím|</v>
      </c>
      <c r="J952" s="3" t="str">
        <f t="shared" si="100"/>
        <v>|Bismi'llahu'r-Rahmanu'r-Rahim|</v>
      </c>
      <c r="K952" s="3" t="str">
        <f t="shared" si="101"/>
        <v>Bismillahur-Rahmanur-Rahim</v>
      </c>
      <c r="N952" s="39" t="str">
        <f t="shared" si="102"/>
        <v/>
      </c>
      <c r="P952" s="39" t="str">
        <f t="shared" si="103"/>
        <v/>
      </c>
      <c r="R952" s="39" t="str">
        <f t="shared" si="104"/>
        <v/>
      </c>
      <c r="S952" s="28"/>
      <c r="T952" s="28"/>
      <c r="U952" s="28"/>
    </row>
    <row r="953" spans="1:21" s="5" customFormat="1">
      <c r="A953" s="179" t="s">
        <v>1283</v>
      </c>
      <c r="B953" s="185" t="s">
        <v>8946</v>
      </c>
      <c r="C953" s="35" t="str">
        <f t="shared" si="98"/>
        <v>bist</v>
      </c>
      <c r="E953" s="40"/>
      <c r="F953" s="15"/>
      <c r="G953" s="17"/>
      <c r="H953" s="10" t="s">
        <v>8563</v>
      </c>
      <c r="I953" s="4" t="str">
        <f t="shared" si="99"/>
        <v>|bíst|</v>
      </c>
      <c r="J953" s="3" t="str">
        <f t="shared" si="100"/>
        <v>|bist|</v>
      </c>
      <c r="K953" s="3" t="str">
        <f t="shared" si="101"/>
        <v>bist</v>
      </c>
      <c r="L953" s="5" t="s">
        <v>9069</v>
      </c>
      <c r="N953" s="39" t="str">
        <f t="shared" si="102"/>
        <v/>
      </c>
      <c r="P953" s="39" t="str">
        <f t="shared" si="103"/>
        <v/>
      </c>
      <c r="R953" s="39" t="str">
        <f t="shared" si="104"/>
        <v/>
      </c>
      <c r="S953" s="28"/>
      <c r="T953" s="28"/>
      <c r="U953" s="28"/>
    </row>
    <row r="954" spans="1:21" s="5" customFormat="1">
      <c r="A954" s="179" t="s">
        <v>1284</v>
      </c>
      <c r="B954" s="185" t="s">
        <v>5711</v>
      </c>
      <c r="C954" s="35" t="str">
        <f t="shared" si="98"/>
        <v>Bisutun</v>
      </c>
      <c r="E954" s="40"/>
      <c r="F954" s="15" t="s">
        <v>1285</v>
      </c>
      <c r="G954" s="17"/>
      <c r="H954" s="10" t="s">
        <v>8563</v>
      </c>
      <c r="I954" s="4" t="str">
        <f t="shared" si="99"/>
        <v>|Bísutún|</v>
      </c>
      <c r="J954" s="3" t="str">
        <f t="shared" si="100"/>
        <v>|Bisutun|</v>
      </c>
      <c r="K954" s="3" t="str">
        <f t="shared" si="101"/>
        <v>Bisutun</v>
      </c>
      <c r="N954" s="39" t="str">
        <f t="shared" si="102"/>
        <v/>
      </c>
      <c r="P954" s="39" t="str">
        <f t="shared" si="103"/>
        <v/>
      </c>
      <c r="R954" s="39" t="str">
        <f t="shared" si="104"/>
        <v/>
      </c>
      <c r="S954" s="28"/>
      <c r="T954" s="28"/>
      <c r="U954" s="28"/>
    </row>
    <row r="955" spans="1:21" s="5" customFormat="1">
      <c r="A955" s="179" t="s">
        <v>1288</v>
      </c>
      <c r="B955" s="185" t="s">
        <v>5712</v>
      </c>
      <c r="C955" s="35" t="str">
        <f t="shared" si="98"/>
        <v>Bujnurd</v>
      </c>
      <c r="E955" s="40"/>
      <c r="F955" s="15"/>
      <c r="G955" s="17"/>
      <c r="H955" s="10" t="s">
        <v>8563</v>
      </c>
      <c r="I955" s="4" t="str">
        <f t="shared" si="99"/>
        <v>|Bujnúrd|</v>
      </c>
      <c r="J955" s="3" t="str">
        <f t="shared" si="100"/>
        <v>|Bujnurd|</v>
      </c>
      <c r="K955" s="3" t="str">
        <f t="shared" si="101"/>
        <v>Bujnurd</v>
      </c>
      <c r="N955" s="39" t="str">
        <f t="shared" si="102"/>
        <v/>
      </c>
      <c r="P955" s="39" t="str">
        <f t="shared" si="103"/>
        <v/>
      </c>
      <c r="R955" s="39" t="str">
        <f t="shared" si="104"/>
        <v/>
      </c>
      <c r="S955" s="28"/>
      <c r="T955" s="28"/>
      <c r="U955" s="28"/>
    </row>
    <row r="956" spans="1:21" s="5" customFormat="1">
      <c r="A956" s="179" t="s">
        <v>1289</v>
      </c>
      <c r="B956" s="185" t="s">
        <v>5713</v>
      </c>
      <c r="C956" s="35" t="str">
        <f t="shared" si="98"/>
        <v>Bukhara</v>
      </c>
      <c r="E956" s="40"/>
      <c r="F956" s="14"/>
      <c r="G956" s="17"/>
      <c r="H956" s="10" t="s">
        <v>8563</v>
      </c>
      <c r="I956" s="4" t="str">
        <f t="shared" si="99"/>
        <v>|Buárá|</v>
      </c>
      <c r="J956" s="3" t="str">
        <f t="shared" si="100"/>
        <v>|Bukhara|</v>
      </c>
      <c r="K956" s="3" t="str">
        <f t="shared" si="101"/>
        <v>Bukhara</v>
      </c>
      <c r="N956" s="39" t="str">
        <f t="shared" si="102"/>
        <v/>
      </c>
      <c r="P956" s="39" t="str">
        <f t="shared" si="103"/>
        <v/>
      </c>
      <c r="R956" s="39" t="str">
        <f t="shared" si="104"/>
        <v/>
      </c>
      <c r="S956" s="28"/>
      <c r="T956" s="28"/>
      <c r="U956" s="28"/>
    </row>
    <row r="957" spans="1:21" s="5" customFormat="1">
      <c r="A957" s="179" t="s">
        <v>1290</v>
      </c>
      <c r="B957" s="185" t="s">
        <v>5714</v>
      </c>
      <c r="C957" s="35" t="str">
        <f t="shared" si="98"/>
        <v>Bukhari</v>
      </c>
      <c r="E957" s="40"/>
      <c r="F957" s="15"/>
      <c r="G957" s="17"/>
      <c r="H957" s="10" t="s">
        <v>8563</v>
      </c>
      <c r="I957" s="4" t="str">
        <f t="shared" si="99"/>
        <v>|Buárí|</v>
      </c>
      <c r="J957" s="3" t="str">
        <f t="shared" si="100"/>
        <v>|Bukhari|</v>
      </c>
      <c r="K957" s="3" t="str">
        <f t="shared" si="101"/>
        <v>Bukhari</v>
      </c>
      <c r="N957" s="39" t="str">
        <f t="shared" si="102"/>
        <v/>
      </c>
      <c r="P957" s="39" t="str">
        <f t="shared" si="103"/>
        <v/>
      </c>
      <c r="R957" s="39" t="str">
        <f t="shared" si="104"/>
        <v/>
      </c>
      <c r="S957" s="28"/>
      <c r="T957" s="28"/>
      <c r="U957" s="28"/>
    </row>
    <row r="958" spans="1:21" s="5" customFormat="1">
      <c r="A958" s="179" t="s">
        <v>1291</v>
      </c>
      <c r="B958" s="185" t="s">
        <v>5715</v>
      </c>
      <c r="C958" s="35" t="str">
        <f t="shared" si="98"/>
        <v>Bulbul</v>
      </c>
      <c r="E958" s="40"/>
      <c r="F958" s="15" t="s">
        <v>1292</v>
      </c>
      <c r="G958" s="17"/>
      <c r="H958" s="10" t="s">
        <v>8563</v>
      </c>
      <c r="I958" s="4" t="str">
        <f t="shared" si="99"/>
        <v>|Bulbul|</v>
      </c>
      <c r="J958" s="3" t="str">
        <f t="shared" si="100"/>
        <v>|Bulbul|</v>
      </c>
      <c r="K958" s="3" t="str">
        <f t="shared" si="101"/>
        <v>Bulbul</v>
      </c>
      <c r="N958" s="39" t="str">
        <f t="shared" si="102"/>
        <v/>
      </c>
      <c r="P958" s="39" t="str">
        <f t="shared" si="103"/>
        <v/>
      </c>
      <c r="R958" s="39" t="str">
        <f t="shared" si="104"/>
        <v/>
      </c>
      <c r="S958" s="28"/>
      <c r="T958" s="28"/>
      <c r="U958" s="28"/>
    </row>
    <row r="959" spans="1:21" s="5" customFormat="1">
      <c r="A959" s="179" t="s">
        <v>1293</v>
      </c>
      <c r="B959" s="185" t="s">
        <v>5716</v>
      </c>
      <c r="C959" s="35" t="str">
        <f t="shared" si="98"/>
        <v>Buluk</v>
      </c>
      <c r="E959" s="40"/>
      <c r="F959" s="15" t="s">
        <v>1294</v>
      </c>
      <c r="G959" s="17"/>
      <c r="H959" s="10" t="s">
        <v>8563</v>
      </c>
      <c r="I959" s="4" t="str">
        <f t="shared" si="99"/>
        <v>|Bulúk|</v>
      </c>
      <c r="J959" s="3" t="str">
        <f t="shared" si="100"/>
        <v>|Buluk|</v>
      </c>
      <c r="K959" s="3" t="str">
        <f t="shared" si="101"/>
        <v>Buluk</v>
      </c>
      <c r="N959" s="39" t="str">
        <f t="shared" si="102"/>
        <v/>
      </c>
      <c r="P959" s="39" t="str">
        <f t="shared" si="103"/>
        <v/>
      </c>
      <c r="R959" s="39" t="str">
        <f t="shared" si="104"/>
        <v/>
      </c>
      <c r="S959" s="28"/>
      <c r="T959" s="28"/>
      <c r="U959" s="28"/>
    </row>
    <row r="960" spans="1:21" s="5" customFormat="1">
      <c r="A960" s="179" t="s">
        <v>1295</v>
      </c>
      <c r="B960" s="185" t="s">
        <v>5717</v>
      </c>
      <c r="C960" s="35" t="str">
        <f t="shared" si="98"/>
        <v>BuqatulHamra</v>
      </c>
      <c r="E960" s="40"/>
      <c r="F960" s="15" t="s">
        <v>1296</v>
      </c>
      <c r="G960" s="17"/>
      <c r="H960" s="10" t="s">
        <v>8563</v>
      </c>
      <c r="I960" s="4" t="str">
        <f t="shared" si="99"/>
        <v>|Buqʿatu’l-Ḥamrá’|</v>
      </c>
      <c r="J960" s="3" t="str">
        <f t="shared" si="100"/>
        <v>|Buq'atu'l-Hamra'|</v>
      </c>
      <c r="K960" s="3" t="str">
        <f t="shared" si="101"/>
        <v>Buqatul-Hamra</v>
      </c>
      <c r="N960" s="39" t="str">
        <f t="shared" si="102"/>
        <v/>
      </c>
      <c r="P960" s="39" t="str">
        <f t="shared" si="103"/>
        <v/>
      </c>
      <c r="R960" s="39" t="str">
        <f t="shared" si="104"/>
        <v/>
      </c>
      <c r="S960" s="28"/>
      <c r="T960" s="28"/>
      <c r="U960" s="28"/>
    </row>
    <row r="961" spans="1:21" s="5" customFormat="1">
      <c r="A961" s="179" t="s">
        <v>1297</v>
      </c>
      <c r="B961" s="185" t="s">
        <v>5718</v>
      </c>
      <c r="C961" s="35" t="str">
        <f t="shared" si="98"/>
        <v>BuqatulKhadra</v>
      </c>
      <c r="E961" s="40"/>
      <c r="F961" s="15" t="s">
        <v>1298</v>
      </c>
      <c r="G961" s="17"/>
      <c r="H961" s="10" t="s">
        <v>8563</v>
      </c>
      <c r="I961" s="4" t="str">
        <f t="shared" si="99"/>
        <v>|Buqʿatu’l-aḍrá|</v>
      </c>
      <c r="J961" s="3" t="str">
        <f t="shared" si="100"/>
        <v>|Buq'atu'l-Khadra|</v>
      </c>
      <c r="K961" s="3" t="str">
        <f t="shared" si="101"/>
        <v>Buqatul-Khadra</v>
      </c>
      <c r="N961" s="39" t="str">
        <f t="shared" si="102"/>
        <v/>
      </c>
      <c r="P961" s="39" t="str">
        <f t="shared" si="103"/>
        <v/>
      </c>
      <c r="R961" s="39" t="str">
        <f t="shared" si="104"/>
        <v/>
      </c>
      <c r="S961" s="28"/>
      <c r="T961" s="28"/>
      <c r="U961" s="28"/>
    </row>
    <row r="962" spans="1:21" s="5" customFormat="1">
      <c r="A962" s="179" t="s">
        <v>1299</v>
      </c>
      <c r="B962" s="185" t="s">
        <v>5719</v>
      </c>
      <c r="C962" s="35" t="str">
        <f t="shared" si="98"/>
        <v>BurhanidDin</v>
      </c>
      <c r="E962" s="40"/>
      <c r="F962" s="15"/>
      <c r="G962" s="17"/>
      <c r="H962" s="10" t="s">
        <v>8563</v>
      </c>
      <c r="I962" s="4" t="str">
        <f t="shared" si="99"/>
        <v>|Burháni’d-Dín|</v>
      </c>
      <c r="J962" s="3" t="str">
        <f t="shared" si="100"/>
        <v>|Burhani'd-Din|</v>
      </c>
      <c r="K962" s="3" t="str">
        <f t="shared" si="101"/>
        <v>Burhanid-Din</v>
      </c>
      <c r="N962" s="39" t="str">
        <f t="shared" si="102"/>
        <v/>
      </c>
      <c r="P962" s="39" t="str">
        <f t="shared" si="103"/>
        <v/>
      </c>
      <c r="R962" s="39" t="str">
        <f t="shared" si="104"/>
        <v/>
      </c>
      <c r="S962" s="28"/>
      <c r="T962" s="28"/>
      <c r="U962" s="28"/>
    </row>
    <row r="963" spans="1:21" s="5" customFormat="1">
      <c r="A963" s="179" t="s">
        <v>1300</v>
      </c>
      <c r="B963" s="185" t="s">
        <v>5720</v>
      </c>
      <c r="C963" s="35" t="str">
        <f t="shared" ref="C963:C1026" si="105">SUBSTITUTE(SUBSTITUTE(K963,"-","")," ","")</f>
        <v>BurhaniLami</v>
      </c>
      <c r="E963" s="40"/>
      <c r="F963" s="15" t="s">
        <v>8575</v>
      </c>
      <c r="G963" s="17"/>
      <c r="H963" s="10" t="s">
        <v>8563</v>
      </c>
      <c r="I963" s="4" t="str">
        <f t="shared" ref="I963:I1026" si="106">CONCATENATE("|",B963,"|")</f>
        <v>|Burhán-i-Lámiʿ|</v>
      </c>
      <c r="J963" s="3" t="str">
        <f t="shared" ref="J963:J1026" si="107">CONCATENATE("|",F_OutputASCII(B963),"|")</f>
        <v>|Burhan-i-Lami'|</v>
      </c>
      <c r="K963" s="3" t="str">
        <f t="shared" ref="K963:K1026" si="108">IF(SUBSTITUTE(MID(J963,2,LEN(J963)-2),"'","")&lt;&gt;"",SUBSTITUTE(MID(J963,2,LEN(J963)-2),"'",""),"ZZZZZ")</f>
        <v>Burhan-i-Lami</v>
      </c>
      <c r="N963" s="39" t="str">
        <f t="shared" ref="N963:N1026" si="109">SUBSTITUTE(SUBSTITUTE(SUBSTITUTE(F_OutputASCII(M963),"-","")," ",""),"'","")</f>
        <v/>
      </c>
      <c r="P963" s="39" t="str">
        <f t="shared" ref="P963:P1026" si="110">SUBSTITUTE(SUBSTITUTE(SUBSTITUTE(F_OutputASCII(O963),"-","")," ",""),"'","")</f>
        <v/>
      </c>
      <c r="R963" s="39" t="str">
        <f t="shared" si="104"/>
        <v/>
      </c>
      <c r="S963" s="28"/>
      <c r="T963" s="28"/>
      <c r="U963" s="28"/>
    </row>
    <row r="964" spans="1:21" s="5" customFormat="1">
      <c r="A964" s="179" t="s">
        <v>1301</v>
      </c>
      <c r="B964" s="185" t="s">
        <v>5721</v>
      </c>
      <c r="C964" s="35" t="str">
        <f t="shared" si="105"/>
        <v>Burqui</v>
      </c>
      <c r="E964" s="40"/>
      <c r="F964" s="15"/>
      <c r="G964" s="17"/>
      <c r="H964" s="10" t="s">
        <v>8563</v>
      </c>
      <c r="I964" s="4" t="str">
        <f t="shared" si="106"/>
        <v>|Burquʿí|</v>
      </c>
      <c r="J964" s="3" t="str">
        <f t="shared" si="107"/>
        <v>|Burqu'i|</v>
      </c>
      <c r="K964" s="3" t="str">
        <f t="shared" si="108"/>
        <v>Burqui</v>
      </c>
      <c r="N964" s="39" t="str">
        <f t="shared" si="109"/>
        <v/>
      </c>
      <c r="P964" s="39" t="str">
        <f t="shared" si="110"/>
        <v/>
      </c>
      <c r="R964" s="39" t="str">
        <f t="shared" ref="R964:R1027" si="111">SUBSTITUTE(SUBSTITUTE(Q964,"-","")," ","")</f>
        <v/>
      </c>
      <c r="S964" s="28"/>
      <c r="T964" s="28"/>
      <c r="U964" s="28"/>
    </row>
    <row r="965" spans="1:21" s="5" customFormat="1">
      <c r="A965" s="179" t="s">
        <v>1302</v>
      </c>
      <c r="B965" s="185" t="s">
        <v>5722</v>
      </c>
      <c r="C965" s="35" t="str">
        <f t="shared" si="105"/>
        <v>Burujird</v>
      </c>
      <c r="E965" s="40"/>
      <c r="F965" s="14"/>
      <c r="G965" s="17"/>
      <c r="H965" s="10" t="s">
        <v>8563</v>
      </c>
      <c r="I965" s="4" t="str">
        <f t="shared" si="106"/>
        <v>|Burújird|</v>
      </c>
      <c r="J965" s="3" t="str">
        <f t="shared" si="107"/>
        <v>|Burujird|</v>
      </c>
      <c r="K965" s="3" t="str">
        <f t="shared" si="108"/>
        <v>Burujird</v>
      </c>
      <c r="N965" s="39" t="str">
        <f t="shared" si="109"/>
        <v/>
      </c>
      <c r="P965" s="39" t="str">
        <f t="shared" si="110"/>
        <v/>
      </c>
      <c r="R965" s="39" t="str">
        <f t="shared" si="111"/>
        <v/>
      </c>
      <c r="S965" s="28"/>
      <c r="T965" s="28"/>
      <c r="U965" s="28"/>
    </row>
    <row r="966" spans="1:21" s="5" customFormat="1">
      <c r="A966" s="179" t="s">
        <v>8947</v>
      </c>
      <c r="B966" s="185" t="s">
        <v>5723</v>
      </c>
      <c r="C966" s="35" t="str">
        <f t="shared" si="105"/>
        <v>Burujirdi</v>
      </c>
      <c r="E966" s="40"/>
      <c r="F966" s="15"/>
      <c r="G966" s="17"/>
      <c r="H966" s="10" t="s">
        <v>8563</v>
      </c>
      <c r="I966" s="4" t="str">
        <f t="shared" si="106"/>
        <v>|Burújirdí|</v>
      </c>
      <c r="J966" s="3" t="str">
        <f t="shared" si="107"/>
        <v>|Burujirdi|</v>
      </c>
      <c r="K966" s="3" t="str">
        <f t="shared" si="108"/>
        <v>Burujirdi</v>
      </c>
      <c r="N966" s="39" t="str">
        <f t="shared" si="109"/>
        <v/>
      </c>
      <c r="P966" s="39" t="str">
        <f t="shared" si="110"/>
        <v/>
      </c>
      <c r="R966" s="39" t="str">
        <f t="shared" si="111"/>
        <v/>
      </c>
      <c r="S966" s="28"/>
      <c r="T966" s="28"/>
      <c r="U966" s="28"/>
    </row>
    <row r="967" spans="1:21" s="5" customFormat="1">
      <c r="A967" s="179" t="s">
        <v>8948</v>
      </c>
      <c r="B967" s="185" t="s">
        <v>5724</v>
      </c>
      <c r="C967" s="35" t="str">
        <f t="shared" si="105"/>
        <v>BurzAbad</v>
      </c>
      <c r="E967" s="40"/>
      <c r="F967" s="15" t="s">
        <v>8576</v>
      </c>
      <c r="G967" s="17"/>
      <c r="H967" s="10" t="s">
        <v>8563</v>
      </c>
      <c r="I967" s="4" t="str">
        <f t="shared" si="106"/>
        <v>|Burz-Ábád|</v>
      </c>
      <c r="J967" s="3" t="str">
        <f t="shared" si="107"/>
        <v>|Burz-Abad|</v>
      </c>
      <c r="K967" s="3" t="str">
        <f t="shared" si="108"/>
        <v>Burz-Abad</v>
      </c>
      <c r="N967" s="39" t="str">
        <f t="shared" si="109"/>
        <v/>
      </c>
      <c r="P967" s="39" t="str">
        <f t="shared" si="110"/>
        <v/>
      </c>
      <c r="R967" s="39" t="str">
        <f t="shared" si="111"/>
        <v/>
      </c>
      <c r="S967" s="28"/>
      <c r="T967" s="28"/>
      <c r="U967" s="28"/>
    </row>
    <row r="968" spans="1:21" s="5" customFormat="1">
      <c r="A968" s="179" t="s">
        <v>1303</v>
      </c>
      <c r="B968" s="185" t="s">
        <v>13</v>
      </c>
      <c r="C968" s="35" t="str">
        <f t="shared" si="105"/>
        <v>Bushihr</v>
      </c>
      <c r="E968" s="40"/>
      <c r="F968" s="14"/>
      <c r="G968" s="17"/>
      <c r="H968" s="10" t="s">
        <v>8563</v>
      </c>
      <c r="I968" s="4" t="str">
        <f t="shared" si="106"/>
        <v>|Búihr|</v>
      </c>
      <c r="J968" s="3" t="str">
        <f t="shared" si="107"/>
        <v>|Bushihr|</v>
      </c>
      <c r="K968" s="3" t="str">
        <f t="shared" si="108"/>
        <v>Bushihr</v>
      </c>
      <c r="N968" s="39" t="str">
        <f t="shared" si="109"/>
        <v/>
      </c>
      <c r="P968" s="39" t="str">
        <f t="shared" si="110"/>
        <v/>
      </c>
      <c r="R968" s="39" t="str">
        <f t="shared" si="111"/>
        <v/>
      </c>
      <c r="S968" s="28"/>
      <c r="T968" s="29">
        <v>41791</v>
      </c>
      <c r="U968" s="28" t="s">
        <v>9449</v>
      </c>
    </row>
    <row r="969" spans="1:21" s="5" customFormat="1">
      <c r="A969" s="179" t="s">
        <v>1304</v>
      </c>
      <c r="B969" s="185" t="s">
        <v>5725</v>
      </c>
      <c r="C969" s="35" t="str">
        <f t="shared" si="105"/>
        <v>Bushrui</v>
      </c>
      <c r="E969" s="40"/>
      <c r="F969" s="14"/>
      <c r="G969" s="17"/>
      <c r="H969" s="10" t="s">
        <v>8563</v>
      </c>
      <c r="I969" s="4" t="str">
        <f t="shared" si="106"/>
        <v>|Burú’í|</v>
      </c>
      <c r="J969" s="3" t="str">
        <f t="shared" si="107"/>
        <v>|Bushru'i|</v>
      </c>
      <c r="K969" s="3" t="str">
        <f t="shared" si="108"/>
        <v>Bushrui</v>
      </c>
      <c r="N969" s="39" t="str">
        <f t="shared" si="109"/>
        <v/>
      </c>
      <c r="P969" s="39" t="str">
        <f t="shared" si="110"/>
        <v/>
      </c>
      <c r="R969" s="39" t="str">
        <f t="shared" si="111"/>
        <v/>
      </c>
      <c r="S969" s="28"/>
      <c r="T969" s="28"/>
      <c r="U969" s="28"/>
    </row>
    <row r="970" spans="1:21" s="5" customFormat="1">
      <c r="A970" s="179" t="s">
        <v>1305</v>
      </c>
      <c r="B970" s="185" t="s">
        <v>5726</v>
      </c>
      <c r="C970" s="35" t="str">
        <f t="shared" si="105"/>
        <v>Bushruyih</v>
      </c>
      <c r="E970" s="40"/>
      <c r="F970" s="14"/>
      <c r="G970" s="17"/>
      <c r="H970" s="10" t="s">
        <v>8563</v>
      </c>
      <c r="I970" s="4" t="str">
        <f t="shared" si="106"/>
        <v>|Burúyih|</v>
      </c>
      <c r="J970" s="3" t="str">
        <f t="shared" si="107"/>
        <v>|Bushruyih|</v>
      </c>
      <c r="K970" s="3" t="str">
        <f t="shared" si="108"/>
        <v>Bushruyih</v>
      </c>
      <c r="N970" s="39" t="str">
        <f t="shared" si="109"/>
        <v/>
      </c>
      <c r="P970" s="39" t="str">
        <f t="shared" si="110"/>
        <v/>
      </c>
      <c r="R970" s="39" t="str">
        <f t="shared" si="111"/>
        <v/>
      </c>
      <c r="S970" s="28"/>
      <c r="T970" s="28"/>
      <c r="U970" s="28"/>
    </row>
    <row r="971" spans="1:21" s="5" customFormat="1">
      <c r="A971" s="179" t="s">
        <v>1306</v>
      </c>
      <c r="B971" s="185" t="s">
        <v>5727</v>
      </c>
      <c r="C971" s="35" t="str">
        <f t="shared" si="105"/>
        <v>Bustani</v>
      </c>
      <c r="E971" s="40"/>
      <c r="F971" s="15"/>
      <c r="G971" s="17"/>
      <c r="H971" s="10" t="s">
        <v>8563</v>
      </c>
      <c r="I971" s="4" t="str">
        <f t="shared" si="106"/>
        <v>|Bustání|</v>
      </c>
      <c r="J971" s="3" t="str">
        <f t="shared" si="107"/>
        <v>|Bustani|</v>
      </c>
      <c r="K971" s="3" t="str">
        <f t="shared" si="108"/>
        <v>Bustani</v>
      </c>
      <c r="N971" s="39" t="str">
        <f t="shared" si="109"/>
        <v/>
      </c>
      <c r="P971" s="39" t="str">
        <f t="shared" si="110"/>
        <v/>
      </c>
      <c r="R971" s="39" t="str">
        <f t="shared" si="111"/>
        <v/>
      </c>
      <c r="S971" s="28"/>
      <c r="T971" s="28"/>
      <c r="U971" s="28"/>
    </row>
    <row r="972" spans="1:21" s="5" customFormat="1">
      <c r="A972" s="179" t="s">
        <v>1307</v>
      </c>
      <c r="B972" s="185" t="s">
        <v>5728</v>
      </c>
      <c r="C972" s="35" t="str">
        <f t="shared" si="105"/>
        <v>Butlan</v>
      </c>
      <c r="E972" s="40"/>
      <c r="F972" s="15"/>
      <c r="G972" s="17"/>
      <c r="H972" s="10" t="s">
        <v>8563</v>
      </c>
      <c r="I972" s="4" t="str">
        <f t="shared" si="106"/>
        <v>|Buṭlán|</v>
      </c>
      <c r="J972" s="3" t="str">
        <f t="shared" si="107"/>
        <v>|Butlan|</v>
      </c>
      <c r="K972" s="3" t="str">
        <f t="shared" si="108"/>
        <v>Butlan</v>
      </c>
      <c r="N972" s="39" t="str">
        <f t="shared" si="109"/>
        <v/>
      </c>
      <c r="P972" s="39" t="str">
        <f t="shared" si="110"/>
        <v/>
      </c>
      <c r="R972" s="39" t="str">
        <f t="shared" si="111"/>
        <v/>
      </c>
      <c r="S972" s="28"/>
      <c r="T972" s="28"/>
      <c r="U972" s="28"/>
    </row>
    <row r="973" spans="1:21" s="5" customFormat="1">
      <c r="A973" s="179" t="s">
        <v>1308</v>
      </c>
      <c r="B973" s="185" t="s">
        <v>5729</v>
      </c>
      <c r="C973" s="35" t="str">
        <f t="shared" si="105"/>
        <v>Buyih</v>
      </c>
      <c r="E973" s="40"/>
      <c r="F973" s="15"/>
      <c r="G973" s="17"/>
      <c r="H973" s="10" t="s">
        <v>8563</v>
      </c>
      <c r="I973" s="4" t="str">
        <f t="shared" si="106"/>
        <v>|Búyih|</v>
      </c>
      <c r="J973" s="3" t="str">
        <f t="shared" si="107"/>
        <v>|Buyih|</v>
      </c>
      <c r="K973" s="3" t="str">
        <f t="shared" si="108"/>
        <v>Buyih</v>
      </c>
      <c r="N973" s="39" t="str">
        <f t="shared" si="109"/>
        <v/>
      </c>
      <c r="P973" s="39" t="str">
        <f t="shared" si="110"/>
        <v/>
      </c>
      <c r="R973" s="39" t="str">
        <f t="shared" si="111"/>
        <v/>
      </c>
      <c r="S973" s="28"/>
      <c r="T973" s="28"/>
      <c r="U973" s="28"/>
    </row>
    <row r="974" spans="1:21" s="5" customFormat="1">
      <c r="A974" s="179" t="s">
        <v>1309</v>
      </c>
      <c r="B974" s="185" t="s">
        <v>5730</v>
      </c>
      <c r="C974" s="35" t="str">
        <f t="shared" si="105"/>
        <v>Buyuk</v>
      </c>
      <c r="E974" s="40"/>
      <c r="F974" s="15"/>
      <c r="G974" s="17"/>
      <c r="H974" s="10" t="s">
        <v>8563</v>
      </c>
      <c r="I974" s="4" t="str">
        <f t="shared" si="106"/>
        <v>|Búyúk|</v>
      </c>
      <c r="J974" s="3" t="str">
        <f t="shared" si="107"/>
        <v>|Buyuk|</v>
      </c>
      <c r="K974" s="3" t="str">
        <f t="shared" si="108"/>
        <v>Buyuk</v>
      </c>
      <c r="N974" s="39" t="str">
        <f t="shared" si="109"/>
        <v/>
      </c>
      <c r="P974" s="39" t="str">
        <f t="shared" si="110"/>
        <v/>
      </c>
      <c r="R974" s="39" t="str">
        <f t="shared" si="111"/>
        <v/>
      </c>
      <c r="S974" s="28"/>
      <c r="T974" s="28"/>
      <c r="U974" s="28"/>
    </row>
    <row r="975" spans="1:21" s="5" customFormat="1">
      <c r="A975" s="179" t="s">
        <v>1310</v>
      </c>
      <c r="B975" s="185" t="s">
        <v>5731</v>
      </c>
      <c r="C975" s="35" t="str">
        <f t="shared" si="105"/>
        <v>BuyukAqa</v>
      </c>
      <c r="E975" s="40"/>
      <c r="F975" s="15"/>
      <c r="G975" s="17"/>
      <c r="H975" s="10" t="s">
        <v>8563</v>
      </c>
      <c r="I975" s="4" t="str">
        <f t="shared" si="106"/>
        <v>|Búyúk-Áqá|</v>
      </c>
      <c r="J975" s="3" t="str">
        <f t="shared" si="107"/>
        <v>|Buyuk-Aqa|</v>
      </c>
      <c r="K975" s="3" t="str">
        <f t="shared" si="108"/>
        <v>Buyuk-Aqa</v>
      </c>
      <c r="N975" s="39" t="str">
        <f t="shared" si="109"/>
        <v/>
      </c>
      <c r="P975" s="39" t="str">
        <f t="shared" si="110"/>
        <v/>
      </c>
      <c r="R975" s="39" t="str">
        <f t="shared" si="111"/>
        <v/>
      </c>
      <c r="S975" s="28"/>
      <c r="T975" s="28"/>
      <c r="U975" s="28"/>
    </row>
    <row r="976" spans="1:21" s="5" customFormat="1">
      <c r="A976" s="179" t="s">
        <v>1311</v>
      </c>
      <c r="B976" s="185" t="s">
        <v>5732</v>
      </c>
      <c r="C976" s="35" t="str">
        <f t="shared" si="105"/>
        <v>BuyukChakmahChi</v>
      </c>
      <c r="E976" s="40"/>
      <c r="F976" s="15" t="s">
        <v>1312</v>
      </c>
      <c r="G976" s="17"/>
      <c r="H976" s="10" t="s">
        <v>8563</v>
      </c>
      <c r="I976" s="4" t="str">
        <f t="shared" si="106"/>
        <v>|Búyúk-akmah-í|</v>
      </c>
      <c r="J976" s="3" t="str">
        <f t="shared" si="107"/>
        <v>|Buyuk-Chakmah-Chi|</v>
      </c>
      <c r="K976" s="3" t="str">
        <f t="shared" si="108"/>
        <v>Buyuk-Chakmah-Chi</v>
      </c>
      <c r="N976" s="39" t="str">
        <f t="shared" si="109"/>
        <v/>
      </c>
      <c r="P976" s="39" t="str">
        <f t="shared" si="110"/>
        <v/>
      </c>
      <c r="R976" s="39" t="str">
        <f t="shared" si="111"/>
        <v/>
      </c>
      <c r="S976" s="28"/>
      <c r="T976" s="28"/>
      <c r="U976" s="28"/>
    </row>
    <row r="977" spans="1:21" s="5" customFormat="1">
      <c r="A977" s="179" t="s">
        <v>1313</v>
      </c>
      <c r="B977" s="185" t="s">
        <v>539</v>
      </c>
      <c r="C977" s="35" t="str">
        <f t="shared" si="105"/>
        <v>Buzurg</v>
      </c>
      <c r="E977" s="40"/>
      <c r="F977" s="14"/>
      <c r="G977" s="17"/>
      <c r="H977" s="10" t="s">
        <v>8563</v>
      </c>
      <c r="I977" s="4" t="str">
        <f t="shared" si="106"/>
        <v>|Buzurg|</v>
      </c>
      <c r="J977" s="3" t="str">
        <f t="shared" si="107"/>
        <v>|Buzurg|</v>
      </c>
      <c r="K977" s="3" t="str">
        <f t="shared" si="108"/>
        <v>Buzurg</v>
      </c>
      <c r="N977" s="39" t="str">
        <f t="shared" si="109"/>
        <v/>
      </c>
      <c r="P977" s="39" t="str">
        <f t="shared" si="110"/>
        <v/>
      </c>
      <c r="R977" s="39" t="str">
        <f t="shared" si="111"/>
        <v/>
      </c>
      <c r="S977" s="28"/>
      <c r="T977" s="28"/>
      <c r="U977" s="28"/>
    </row>
    <row r="978" spans="1:21" s="5" customFormat="1">
      <c r="A978" s="179" t="s">
        <v>1314</v>
      </c>
      <c r="B978" s="185" t="s">
        <v>5733</v>
      </c>
      <c r="C978" s="35" t="str">
        <f t="shared" si="105"/>
        <v>BuzurgBanna</v>
      </c>
      <c r="E978" s="40"/>
      <c r="F978" s="14"/>
      <c r="G978" s="17"/>
      <c r="H978" s="10" t="s">
        <v>8563</v>
      </c>
      <c r="I978" s="4" t="str">
        <f t="shared" si="106"/>
        <v>|Buzurg-Banná|</v>
      </c>
      <c r="J978" s="3" t="str">
        <f t="shared" si="107"/>
        <v>|Buzurg-Banna|</v>
      </c>
      <c r="K978" s="3" t="str">
        <f t="shared" si="108"/>
        <v>Buzurg-Banna</v>
      </c>
      <c r="N978" s="39" t="str">
        <f t="shared" si="109"/>
        <v/>
      </c>
      <c r="P978" s="39" t="str">
        <f t="shared" si="110"/>
        <v/>
      </c>
      <c r="R978" s="39" t="str">
        <f t="shared" si="111"/>
        <v/>
      </c>
      <c r="S978" s="28"/>
      <c r="T978" s="28"/>
      <c r="U978" s="28"/>
    </row>
    <row r="979" spans="1:21" s="5" customFormat="1">
      <c r="A979" s="179" t="s">
        <v>1315</v>
      </c>
      <c r="B979" s="185" t="s">
        <v>5734</v>
      </c>
      <c r="C979" s="35" t="str">
        <f t="shared" si="105"/>
        <v>BuzurgdashtiSadumin</v>
      </c>
      <c r="E979" s="40"/>
      <c r="F979" s="15"/>
      <c r="G979" s="17"/>
      <c r="H979" s="10" t="s">
        <v>8563</v>
      </c>
      <c r="I979" s="4" t="str">
        <f t="shared" si="106"/>
        <v>|Buzurgdát-i-Ṣadumín|</v>
      </c>
      <c r="J979" s="3" t="str">
        <f t="shared" si="107"/>
        <v>|Buzurgdasht-i-Sadumin|</v>
      </c>
      <c r="K979" s="3" t="str">
        <f t="shared" si="108"/>
        <v>Buzurgdasht-i-Sadumin</v>
      </c>
      <c r="N979" s="39" t="str">
        <f t="shared" si="109"/>
        <v/>
      </c>
      <c r="P979" s="39" t="str">
        <f t="shared" si="110"/>
        <v/>
      </c>
      <c r="R979" s="39" t="str">
        <f t="shared" si="111"/>
        <v/>
      </c>
      <c r="S979" s="28"/>
      <c r="T979" s="28"/>
      <c r="U979" s="28"/>
    </row>
    <row r="980" spans="1:21" s="5" customFormat="1">
      <c r="A980" s="179" t="s">
        <v>1316</v>
      </c>
      <c r="B980" s="185" t="s">
        <v>5735</v>
      </c>
      <c r="C980" s="35" t="str">
        <f t="shared" si="105"/>
        <v>BuzurgiNuri</v>
      </c>
      <c r="E980" s="40"/>
      <c r="F980" s="14"/>
      <c r="G980" s="17"/>
      <c r="H980" s="10" t="s">
        <v>8563</v>
      </c>
      <c r="I980" s="4" t="str">
        <f t="shared" si="106"/>
        <v>|Buzurg-i-Núrí|</v>
      </c>
      <c r="J980" s="3" t="str">
        <f t="shared" si="107"/>
        <v>|Buzurg-i-Nuri|</v>
      </c>
      <c r="K980" s="3" t="str">
        <f t="shared" si="108"/>
        <v>Buzurg-i-Nuri</v>
      </c>
      <c r="N980" s="39" t="str">
        <f t="shared" si="109"/>
        <v/>
      </c>
      <c r="P980" s="39" t="str">
        <f t="shared" si="110"/>
        <v/>
      </c>
      <c r="R980" s="39" t="str">
        <f t="shared" si="111"/>
        <v/>
      </c>
      <c r="S980" s="28"/>
      <c r="T980" s="28"/>
      <c r="U980" s="28"/>
    </row>
    <row r="981" spans="1:21" s="5" customFormat="1">
      <c r="A981" s="179" t="s">
        <v>1318</v>
      </c>
      <c r="B981" s="185" t="s">
        <v>5737</v>
      </c>
      <c r="C981" s="35" t="str">
        <f t="shared" si="105"/>
        <v>BuzurgMihr</v>
      </c>
      <c r="E981" s="40"/>
      <c r="F981" s="14"/>
      <c r="G981" s="17"/>
      <c r="H981" s="10" t="s">
        <v>8563</v>
      </c>
      <c r="I981" s="4" t="str">
        <f t="shared" si="106"/>
        <v>|Buzurg-Mihr|</v>
      </c>
      <c r="J981" s="3" t="str">
        <f t="shared" si="107"/>
        <v>|Buzurg-Mihr|</v>
      </c>
      <c r="K981" s="3" t="str">
        <f t="shared" si="108"/>
        <v>Buzurg-Mihr</v>
      </c>
      <c r="N981" s="39" t="str">
        <f t="shared" si="109"/>
        <v/>
      </c>
      <c r="P981" s="39" t="str">
        <f t="shared" si="110"/>
        <v/>
      </c>
      <c r="R981" s="39" t="str">
        <f t="shared" si="111"/>
        <v/>
      </c>
      <c r="S981" s="28"/>
      <c r="T981" s="28"/>
      <c r="U981" s="28"/>
    </row>
    <row r="982" spans="1:21" s="5" customFormat="1">
      <c r="A982" s="179" t="s">
        <v>1317</v>
      </c>
      <c r="B982" s="185" t="s">
        <v>5736</v>
      </c>
      <c r="C982" s="35" t="str">
        <f t="shared" si="105"/>
        <v>BuzurgVazir</v>
      </c>
      <c r="E982" s="40"/>
      <c r="F982" s="15" t="s">
        <v>8577</v>
      </c>
      <c r="G982" s="17"/>
      <c r="H982" s="10" t="s">
        <v>8563</v>
      </c>
      <c r="I982" s="4" t="str">
        <f t="shared" si="106"/>
        <v>|Buzurg-Vazír|</v>
      </c>
      <c r="J982" s="3" t="str">
        <f t="shared" si="107"/>
        <v>|Buzurg-Vazir|</v>
      </c>
      <c r="K982" s="3" t="str">
        <f t="shared" si="108"/>
        <v>Buzurg-Vazir</v>
      </c>
      <c r="N982" s="39" t="str">
        <f t="shared" si="109"/>
        <v/>
      </c>
      <c r="P982" s="39" t="str">
        <f t="shared" si="110"/>
        <v/>
      </c>
      <c r="R982" s="39" t="str">
        <f t="shared" si="111"/>
        <v/>
      </c>
      <c r="S982" s="28"/>
      <c r="T982" s="28"/>
      <c r="U982" s="28"/>
    </row>
    <row r="983" spans="1:21" s="5" customFormat="1">
      <c r="A983" s="179" t="s">
        <v>1319</v>
      </c>
      <c r="B983" s="185" t="s">
        <v>5738</v>
      </c>
      <c r="C983" s="35" t="str">
        <f t="shared" si="105"/>
        <v>Chadur</v>
      </c>
      <c r="E983" s="40"/>
      <c r="F983" s="15" t="s">
        <v>1320</v>
      </c>
      <c r="G983" s="17"/>
      <c r="H983" s="10" t="s">
        <v>8563</v>
      </c>
      <c r="I983" s="4" t="str">
        <f t="shared" si="106"/>
        <v>|ádur|</v>
      </c>
      <c r="J983" s="3" t="str">
        <f t="shared" si="107"/>
        <v>|Chadur|</v>
      </c>
      <c r="K983" s="3" t="str">
        <f t="shared" si="108"/>
        <v>Chadur</v>
      </c>
      <c r="N983" s="39" t="str">
        <f t="shared" si="109"/>
        <v/>
      </c>
      <c r="P983" s="39" t="str">
        <f t="shared" si="110"/>
        <v/>
      </c>
      <c r="R983" s="39" t="str">
        <f t="shared" si="111"/>
        <v/>
      </c>
      <c r="S983" s="28"/>
      <c r="T983" s="28"/>
      <c r="U983" s="28"/>
    </row>
    <row r="984" spans="1:21" s="5" customFormat="1">
      <c r="A984" s="179" t="s">
        <v>1321</v>
      </c>
      <c r="B984" s="185" t="s">
        <v>5739</v>
      </c>
      <c r="C984" s="35" t="str">
        <f t="shared" si="105"/>
        <v>Chahar</v>
      </c>
      <c r="E984" s="40"/>
      <c r="F984" s="15"/>
      <c r="G984" s="17"/>
      <c r="H984" s="10" t="s">
        <v>8563</v>
      </c>
      <c r="I984" s="4" t="str">
        <f t="shared" si="106"/>
        <v>|ahár|</v>
      </c>
      <c r="J984" s="3" t="str">
        <f t="shared" si="107"/>
        <v>|Chahar|</v>
      </c>
      <c r="K984" s="3" t="str">
        <f t="shared" si="108"/>
        <v>Chahar</v>
      </c>
      <c r="N984" s="39" t="str">
        <f t="shared" si="109"/>
        <v/>
      </c>
      <c r="P984" s="39" t="str">
        <f t="shared" si="110"/>
        <v/>
      </c>
      <c r="R984" s="39" t="str">
        <f t="shared" si="111"/>
        <v/>
      </c>
      <c r="S984" s="28"/>
      <c r="T984" s="28"/>
      <c r="U984" s="28"/>
    </row>
    <row r="985" spans="1:21" s="5" customFormat="1">
      <c r="A985" s="179" t="s">
        <v>1322</v>
      </c>
      <c r="B985" s="185" t="s">
        <v>5740</v>
      </c>
      <c r="C985" s="35" t="str">
        <f t="shared" si="105"/>
        <v>ChahiVizhan</v>
      </c>
      <c r="E985" s="40"/>
      <c r="F985" s="15"/>
      <c r="G985" s="17"/>
      <c r="H985" s="10" t="s">
        <v>8563</v>
      </c>
      <c r="I985" s="4" t="str">
        <f t="shared" si="106"/>
        <v>|áh-i-Vían|</v>
      </c>
      <c r="J985" s="3" t="str">
        <f t="shared" si="107"/>
        <v>|Chah-i-Vizhan|</v>
      </c>
      <c r="K985" s="3" t="str">
        <f t="shared" si="108"/>
        <v>Chah-i-Vizhan</v>
      </c>
      <c r="N985" s="39" t="str">
        <f t="shared" si="109"/>
        <v/>
      </c>
      <c r="P985" s="39" t="str">
        <f t="shared" si="110"/>
        <v/>
      </c>
      <c r="R985" s="39" t="str">
        <f t="shared" si="111"/>
        <v/>
      </c>
      <c r="S985" s="28"/>
      <c r="T985" s="28"/>
      <c r="U985" s="28"/>
    </row>
    <row r="986" spans="1:21" s="5" customFormat="1">
      <c r="A986" s="179" t="s">
        <v>1323</v>
      </c>
      <c r="B986" s="185" t="s">
        <v>5741</v>
      </c>
      <c r="C986" s="35" t="str">
        <f t="shared" si="105"/>
        <v>ChahQilan</v>
      </c>
      <c r="E986" s="40"/>
      <c r="F986" s="15"/>
      <c r="G986" s="17"/>
      <c r="H986" s="10" t="s">
        <v>8563</v>
      </c>
      <c r="I986" s="4" t="str">
        <f t="shared" si="106"/>
        <v>|áh-Qílán|</v>
      </c>
      <c r="J986" s="3" t="str">
        <f t="shared" si="107"/>
        <v>|Chah-Qilan|</v>
      </c>
      <c r="K986" s="3" t="str">
        <f t="shared" si="108"/>
        <v>Chah-Qilan</v>
      </c>
      <c r="N986" s="39" t="str">
        <f t="shared" si="109"/>
        <v/>
      </c>
      <c r="P986" s="39" t="str">
        <f t="shared" si="110"/>
        <v/>
      </c>
      <c r="R986" s="39" t="str">
        <f t="shared" si="111"/>
        <v/>
      </c>
      <c r="S986" s="28"/>
      <c r="T986" s="28"/>
      <c r="U986" s="28"/>
    </row>
    <row r="987" spans="1:21" s="5" customFormat="1">
      <c r="A987" s="179" t="s">
        <v>1324</v>
      </c>
      <c r="B987" s="185" t="s">
        <v>5742</v>
      </c>
      <c r="C987" s="35" t="str">
        <f t="shared" si="105"/>
        <v>Chai</v>
      </c>
      <c r="E987" s="40"/>
      <c r="F987" s="15" t="s">
        <v>1325</v>
      </c>
      <c r="G987" s="17"/>
      <c r="H987" s="10" t="s">
        <v>8563</v>
      </c>
      <c r="I987" s="4" t="str">
        <f t="shared" si="106"/>
        <v>|á’í|</v>
      </c>
      <c r="J987" s="3" t="str">
        <f t="shared" si="107"/>
        <v>|Cha'i|</v>
      </c>
      <c r="K987" s="3" t="str">
        <f t="shared" si="108"/>
        <v>Chai</v>
      </c>
      <c r="N987" s="39" t="str">
        <f t="shared" si="109"/>
        <v/>
      </c>
      <c r="P987" s="39" t="str">
        <f t="shared" si="110"/>
        <v/>
      </c>
      <c r="R987" s="39" t="str">
        <f t="shared" si="111"/>
        <v/>
      </c>
      <c r="S987" s="28"/>
      <c r="T987" s="28"/>
      <c r="U987" s="28"/>
    </row>
    <row r="988" spans="1:21" s="5" customFormat="1">
      <c r="A988" s="179" t="s">
        <v>1326</v>
      </c>
      <c r="B988" s="185" t="s">
        <v>5743</v>
      </c>
      <c r="C988" s="35" t="str">
        <f t="shared" si="105"/>
        <v>Chal</v>
      </c>
      <c r="E988" s="40"/>
      <c r="F988" s="14"/>
      <c r="G988" s="17"/>
      <c r="H988" s="10" t="s">
        <v>8563</v>
      </c>
      <c r="I988" s="4" t="str">
        <f t="shared" si="106"/>
        <v>|ál|</v>
      </c>
      <c r="J988" s="3" t="str">
        <f t="shared" si="107"/>
        <v>|Chal|</v>
      </c>
      <c r="K988" s="3" t="str">
        <f t="shared" si="108"/>
        <v>Chal</v>
      </c>
      <c r="N988" s="39" t="str">
        <f t="shared" si="109"/>
        <v/>
      </c>
      <c r="P988" s="39" t="str">
        <f t="shared" si="110"/>
        <v/>
      </c>
      <c r="R988" s="39" t="str">
        <f t="shared" si="111"/>
        <v/>
      </c>
      <c r="S988" s="28"/>
      <c r="T988" s="28"/>
      <c r="U988" s="28"/>
    </row>
    <row r="989" spans="1:21" s="5" customFormat="1">
      <c r="A989" s="179" t="s">
        <v>1327</v>
      </c>
      <c r="B989" s="185" t="s">
        <v>5744</v>
      </c>
      <c r="C989" s="35" t="str">
        <f t="shared" si="105"/>
        <v>Changiz</v>
      </c>
      <c r="E989" s="40"/>
      <c r="F989" s="14"/>
      <c r="G989" s="17"/>
      <c r="H989" s="10" t="s">
        <v>8563</v>
      </c>
      <c r="I989" s="4" t="str">
        <f t="shared" si="106"/>
        <v>|angíz|</v>
      </c>
      <c r="J989" s="3" t="str">
        <f t="shared" si="107"/>
        <v>|Changiz|</v>
      </c>
      <c r="K989" s="3" t="str">
        <f t="shared" si="108"/>
        <v>Changiz</v>
      </c>
      <c r="N989" s="39" t="str">
        <f t="shared" si="109"/>
        <v/>
      </c>
      <c r="P989" s="39" t="str">
        <f t="shared" si="110"/>
        <v/>
      </c>
      <c r="R989" s="39" t="str">
        <f t="shared" si="111"/>
        <v/>
      </c>
      <c r="S989" s="28"/>
      <c r="T989" s="28"/>
      <c r="U989" s="28"/>
    </row>
    <row r="990" spans="1:21" s="5" customFormat="1">
      <c r="A990" s="181" t="s">
        <v>8967</v>
      </c>
      <c r="B990" s="185" t="s">
        <v>8966</v>
      </c>
      <c r="C990" s="35" t="str">
        <f t="shared" si="105"/>
        <v>ChangizKhan</v>
      </c>
      <c r="D990" s="1"/>
      <c r="E990" s="40"/>
      <c r="F990" s="12"/>
      <c r="G990" s="9" t="s">
        <v>9130</v>
      </c>
      <c r="H990" s="12"/>
      <c r="I990" s="4" t="str">
        <f t="shared" si="106"/>
        <v>|angíz-án|</v>
      </c>
      <c r="J990" s="3" t="str">
        <f t="shared" si="107"/>
        <v>|Changiz-Khan|</v>
      </c>
      <c r="K990" s="3" t="str">
        <f t="shared" si="108"/>
        <v>Changiz-Khan</v>
      </c>
      <c r="M990" s="1"/>
      <c r="N990" s="39" t="str">
        <f t="shared" si="109"/>
        <v/>
      </c>
      <c r="O990" s="1"/>
      <c r="P990" s="39" t="str">
        <f t="shared" si="110"/>
        <v/>
      </c>
      <c r="Q990" s="1"/>
      <c r="R990" s="39" t="str">
        <f t="shared" si="111"/>
        <v/>
      </c>
      <c r="S990" s="28"/>
      <c r="T990" s="28"/>
      <c r="U990" s="28"/>
    </row>
    <row r="991" spans="1:21" s="5" customFormat="1">
      <c r="A991" s="179" t="s">
        <v>1328</v>
      </c>
      <c r="B991" s="185" t="s">
        <v>5745</v>
      </c>
      <c r="C991" s="35" t="str">
        <f t="shared" si="105"/>
        <v>Chaparchi</v>
      </c>
      <c r="E991" s="40"/>
      <c r="F991" s="15"/>
      <c r="G991" s="17"/>
      <c r="H991" s="10" t="s">
        <v>8563</v>
      </c>
      <c r="I991" s="4" t="str">
        <f t="shared" si="106"/>
        <v>|ápárí|</v>
      </c>
      <c r="J991" s="3" t="str">
        <f t="shared" si="107"/>
        <v>|Chaparchi|</v>
      </c>
      <c r="K991" s="3" t="str">
        <f t="shared" si="108"/>
        <v>Chaparchi</v>
      </c>
      <c r="N991" s="39" t="str">
        <f t="shared" si="109"/>
        <v/>
      </c>
      <c r="P991" s="39" t="str">
        <f t="shared" si="110"/>
        <v/>
      </c>
      <c r="R991" s="39" t="str">
        <f t="shared" si="111"/>
        <v/>
      </c>
      <c r="S991" s="28"/>
      <c r="T991" s="28"/>
      <c r="U991" s="28"/>
    </row>
    <row r="992" spans="1:21" s="5" customFormat="1">
      <c r="A992" s="179" t="s">
        <v>1329</v>
      </c>
      <c r="B992" s="185" t="s">
        <v>5746</v>
      </c>
      <c r="C992" s="35" t="str">
        <f t="shared" si="105"/>
        <v>Chaq</v>
      </c>
      <c r="E992" s="40"/>
      <c r="F992" s="15" t="s">
        <v>1330</v>
      </c>
      <c r="G992" s="17"/>
      <c r="H992" s="10" t="s">
        <v>8563</v>
      </c>
      <c r="I992" s="4" t="str">
        <f t="shared" si="106"/>
        <v>|áq|</v>
      </c>
      <c r="J992" s="3" t="str">
        <f t="shared" si="107"/>
        <v>|Chaq|</v>
      </c>
      <c r="K992" s="3" t="str">
        <f t="shared" si="108"/>
        <v>Chaq</v>
      </c>
      <c r="N992" s="39" t="str">
        <f t="shared" si="109"/>
        <v/>
      </c>
      <c r="P992" s="39" t="str">
        <f t="shared" si="110"/>
        <v/>
      </c>
      <c r="R992" s="39" t="str">
        <f t="shared" si="111"/>
        <v/>
      </c>
      <c r="S992" s="28"/>
      <c r="T992" s="28"/>
      <c r="U992" s="28"/>
    </row>
    <row r="993" spans="1:21" s="5" customFormat="1">
      <c r="A993" s="179" t="s">
        <v>1331</v>
      </c>
      <c r="B993" s="185" t="s">
        <v>5747</v>
      </c>
      <c r="C993" s="35" t="str">
        <f t="shared" si="105"/>
        <v>Chashm</v>
      </c>
      <c r="E993" s="40"/>
      <c r="F993" s="15"/>
      <c r="G993" s="17"/>
      <c r="H993" s="10" t="s">
        <v>8563</v>
      </c>
      <c r="I993" s="4" t="str">
        <f t="shared" si="106"/>
        <v>|am|</v>
      </c>
      <c r="J993" s="3" t="str">
        <f t="shared" si="107"/>
        <v>|Chashm|</v>
      </c>
      <c r="K993" s="3" t="str">
        <f t="shared" si="108"/>
        <v>Chashm</v>
      </c>
      <c r="N993" s="39" t="str">
        <f t="shared" si="109"/>
        <v/>
      </c>
      <c r="P993" s="39" t="str">
        <f t="shared" si="110"/>
        <v/>
      </c>
      <c r="R993" s="39" t="str">
        <f t="shared" si="111"/>
        <v/>
      </c>
      <c r="S993" s="28"/>
      <c r="T993" s="28"/>
      <c r="U993" s="28"/>
    </row>
    <row r="994" spans="1:21" s="5" customFormat="1">
      <c r="A994" s="179" t="s">
        <v>1332</v>
      </c>
      <c r="B994" s="185" t="s">
        <v>5748</v>
      </c>
      <c r="C994" s="35" t="str">
        <f t="shared" si="105"/>
        <v>ChashmihiAli</v>
      </c>
      <c r="E994" s="40"/>
      <c r="F994" s="14"/>
      <c r="G994" s="17"/>
      <c r="H994" s="10" t="s">
        <v>8563</v>
      </c>
      <c r="I994" s="4" t="str">
        <f t="shared" si="106"/>
        <v>|amih-i-ʿAlí|</v>
      </c>
      <c r="J994" s="3" t="str">
        <f t="shared" si="107"/>
        <v>|Chashmih-i-'Ali|</v>
      </c>
      <c r="K994" s="3" t="str">
        <f t="shared" si="108"/>
        <v>Chashmih-i-Ali</v>
      </c>
      <c r="N994" s="39" t="str">
        <f t="shared" si="109"/>
        <v/>
      </c>
      <c r="P994" s="39" t="str">
        <f t="shared" si="110"/>
        <v/>
      </c>
      <c r="R994" s="39" t="str">
        <f t="shared" si="111"/>
        <v/>
      </c>
      <c r="S994" s="28"/>
      <c r="T994" s="28"/>
      <c r="U994" s="28"/>
    </row>
    <row r="995" spans="1:21" s="5" customFormat="1">
      <c r="A995" s="179" t="s">
        <v>1333</v>
      </c>
      <c r="B995" s="185" t="s">
        <v>5749</v>
      </c>
      <c r="C995" s="35" t="str">
        <f t="shared" si="105"/>
        <v>ChiharVadi</v>
      </c>
      <c r="E995" s="40"/>
      <c r="F995" s="15" t="s">
        <v>1334</v>
      </c>
      <c r="G995" s="17"/>
      <c r="H995" s="10" t="s">
        <v>8563</v>
      </c>
      <c r="I995" s="4" t="str">
        <f t="shared" si="106"/>
        <v>|ihár-Vádí|</v>
      </c>
      <c r="J995" s="3" t="str">
        <f t="shared" si="107"/>
        <v>|Chihar-Vadi|</v>
      </c>
      <c r="K995" s="3" t="str">
        <f t="shared" si="108"/>
        <v>Chihar-Vadi</v>
      </c>
      <c r="N995" s="39" t="str">
        <f t="shared" si="109"/>
        <v/>
      </c>
      <c r="P995" s="39" t="str">
        <f t="shared" si="110"/>
        <v/>
      </c>
      <c r="R995" s="39" t="str">
        <f t="shared" si="111"/>
        <v/>
      </c>
      <c r="S995" s="28"/>
      <c r="T995" s="28"/>
      <c r="U995" s="28"/>
    </row>
    <row r="996" spans="1:21" s="5" customFormat="1">
      <c r="A996" s="179" t="s">
        <v>1335</v>
      </c>
      <c r="B996" s="185" t="s">
        <v>50</v>
      </c>
      <c r="C996" s="35" t="str">
        <f t="shared" si="105"/>
        <v>Chihriq</v>
      </c>
      <c r="E996" s="40"/>
      <c r="F996" s="14"/>
      <c r="G996" s="17"/>
      <c r="H996" s="10" t="s">
        <v>8563</v>
      </c>
      <c r="I996" s="4" t="str">
        <f t="shared" si="106"/>
        <v>|ihríq|</v>
      </c>
      <c r="J996" s="3" t="str">
        <f t="shared" si="107"/>
        <v>|Chihriq|</v>
      </c>
      <c r="K996" s="3" t="str">
        <f t="shared" si="108"/>
        <v>Chihriq</v>
      </c>
      <c r="N996" s="39" t="str">
        <f t="shared" si="109"/>
        <v/>
      </c>
      <c r="P996" s="39" t="str">
        <f t="shared" si="110"/>
        <v/>
      </c>
      <c r="R996" s="39" t="str">
        <f t="shared" si="111"/>
        <v/>
      </c>
      <c r="S996" s="28"/>
      <c r="T996" s="29">
        <v>41781</v>
      </c>
      <c r="U996" s="28" t="s">
        <v>9450</v>
      </c>
    </row>
    <row r="997" spans="1:21" s="5" customFormat="1">
      <c r="A997" s="179" t="s">
        <v>1336</v>
      </c>
      <c r="B997" s="185" t="s">
        <v>5750</v>
      </c>
      <c r="C997" s="35" t="str">
        <f t="shared" si="105"/>
        <v>Chinar</v>
      </c>
      <c r="E997" s="40"/>
      <c r="F997" s="15"/>
      <c r="G997" s="17"/>
      <c r="H997" s="10" t="s">
        <v>8563</v>
      </c>
      <c r="I997" s="4" t="str">
        <f t="shared" si="106"/>
        <v>|inár|</v>
      </c>
      <c r="J997" s="3" t="str">
        <f t="shared" si="107"/>
        <v>|Chinar|</v>
      </c>
      <c r="K997" s="3" t="str">
        <f t="shared" si="108"/>
        <v>Chinar</v>
      </c>
      <c r="N997" s="39" t="str">
        <f t="shared" si="109"/>
        <v/>
      </c>
      <c r="P997" s="39" t="str">
        <f t="shared" si="110"/>
        <v/>
      </c>
      <c r="R997" s="39" t="str">
        <f t="shared" si="111"/>
        <v/>
      </c>
      <c r="S997" s="28"/>
      <c r="T997" s="28"/>
      <c r="U997" s="28"/>
    </row>
    <row r="998" spans="1:21" s="5" customFormat="1">
      <c r="A998" s="179" t="s">
        <v>1337</v>
      </c>
      <c r="B998" s="185" t="s">
        <v>5751</v>
      </c>
      <c r="C998" s="35" t="str">
        <f t="shared" si="105"/>
        <v>ChinarSukhtih</v>
      </c>
      <c r="E998" s="40"/>
      <c r="F998" s="15"/>
      <c r="G998" s="17"/>
      <c r="H998" s="10" t="s">
        <v>8563</v>
      </c>
      <c r="I998" s="4" t="str">
        <f t="shared" si="106"/>
        <v>|inár-Sútih|</v>
      </c>
      <c r="J998" s="3" t="str">
        <f t="shared" si="107"/>
        <v>|Chinar-Sukhtih|</v>
      </c>
      <c r="K998" s="3" t="str">
        <f t="shared" si="108"/>
        <v>Chinar-Sukhtih</v>
      </c>
      <c r="N998" s="39" t="str">
        <f t="shared" si="109"/>
        <v/>
      </c>
      <c r="P998" s="39" t="str">
        <f t="shared" si="110"/>
        <v/>
      </c>
      <c r="R998" s="39" t="str">
        <f t="shared" si="111"/>
        <v/>
      </c>
      <c r="S998" s="28"/>
      <c r="T998" s="28"/>
      <c r="U998" s="28"/>
    </row>
    <row r="999" spans="1:21" s="5" customFormat="1">
      <c r="A999" s="179" t="s">
        <v>1338</v>
      </c>
      <c r="B999" s="185" t="s">
        <v>5752</v>
      </c>
      <c r="C999" s="35" t="str">
        <f t="shared" si="105"/>
        <v>Chukh</v>
      </c>
      <c r="E999" s="40"/>
      <c r="F999" s="15"/>
      <c r="G999" s="17"/>
      <c r="H999" s="10" t="s">
        <v>8563</v>
      </c>
      <c r="I999" s="4" t="str">
        <f t="shared" si="106"/>
        <v>|u|</v>
      </c>
      <c r="J999" s="3" t="str">
        <f t="shared" si="107"/>
        <v>|Chukh|</v>
      </c>
      <c r="K999" s="3" t="str">
        <f t="shared" si="108"/>
        <v>Chukh</v>
      </c>
      <c r="N999" s="39" t="str">
        <f t="shared" si="109"/>
        <v/>
      </c>
      <c r="P999" s="39" t="str">
        <f t="shared" si="110"/>
        <v/>
      </c>
      <c r="R999" s="39" t="str">
        <f t="shared" si="111"/>
        <v/>
      </c>
      <c r="S999" s="28"/>
      <c r="T999" s="28"/>
      <c r="U999" s="28"/>
    </row>
    <row r="1000" spans="1:21" s="5" customFormat="1">
      <c r="A1000" s="179" t="s">
        <v>1339</v>
      </c>
      <c r="B1000" s="185" t="s">
        <v>5753</v>
      </c>
      <c r="C1000" s="35" t="str">
        <f t="shared" si="105"/>
        <v>Chupan</v>
      </c>
      <c r="E1000" s="40"/>
      <c r="F1000" s="15"/>
      <c r="G1000" s="17"/>
      <c r="H1000" s="10" t="s">
        <v>8563</v>
      </c>
      <c r="I1000" s="4" t="str">
        <f t="shared" si="106"/>
        <v>|úpán|</v>
      </c>
      <c r="J1000" s="3" t="str">
        <f t="shared" si="107"/>
        <v>|Chupan|</v>
      </c>
      <c r="K1000" s="3" t="str">
        <f t="shared" si="108"/>
        <v>Chupan</v>
      </c>
      <c r="N1000" s="39" t="str">
        <f t="shared" si="109"/>
        <v/>
      </c>
      <c r="P1000" s="39" t="str">
        <f t="shared" si="110"/>
        <v/>
      </c>
      <c r="R1000" s="39" t="str">
        <f t="shared" si="111"/>
        <v/>
      </c>
      <c r="S1000" s="28"/>
      <c r="T1000" s="28"/>
      <c r="U1000" s="28"/>
    </row>
    <row r="1001" spans="1:21" s="5" customFormat="1">
      <c r="A1001" s="179" t="s">
        <v>1284</v>
      </c>
      <c r="B1001" s="185" t="s">
        <v>8949</v>
      </c>
      <c r="C1001" s="35" t="str">
        <f t="shared" si="105"/>
        <v>CtesiphonBisitun</v>
      </c>
      <c r="E1001" s="40"/>
      <c r="F1001" s="14"/>
      <c r="G1001" s="17"/>
      <c r="H1001" s="10" t="s">
        <v>8563</v>
      </c>
      <c r="I1001" s="4" t="str">
        <f t="shared" si="106"/>
        <v>|Ctesiphon  -  Bísitún|</v>
      </c>
      <c r="J1001" s="3" t="str">
        <f t="shared" si="107"/>
        <v>|Ctesiphon  -  Bisitun|</v>
      </c>
      <c r="K1001" s="3" t="str">
        <f t="shared" si="108"/>
        <v>Ctesiphon  -  Bisitun</v>
      </c>
      <c r="N1001" s="39" t="str">
        <f t="shared" si="109"/>
        <v/>
      </c>
      <c r="P1001" s="39" t="str">
        <f t="shared" si="110"/>
        <v/>
      </c>
      <c r="R1001" s="39" t="str">
        <f t="shared" si="111"/>
        <v/>
      </c>
      <c r="S1001" s="28"/>
      <c r="T1001" s="28"/>
      <c r="U1001" s="28"/>
    </row>
    <row r="1002" spans="1:21" s="5" customFormat="1">
      <c r="A1002" s="179" t="s">
        <v>1340</v>
      </c>
      <c r="B1002" s="185" t="s">
        <v>8950</v>
      </c>
      <c r="C1002" s="35" t="str">
        <f t="shared" si="105"/>
        <v>CyrusKurush</v>
      </c>
      <c r="E1002" s="40"/>
      <c r="F1002" s="14"/>
      <c r="G1002" s="17"/>
      <c r="H1002" s="10" t="s">
        <v>8563</v>
      </c>
      <c r="I1002" s="4" t="str">
        <f t="shared" si="106"/>
        <v>|Cyrus  - Kúru|</v>
      </c>
      <c r="J1002" s="3" t="str">
        <f t="shared" si="107"/>
        <v>|Cyrus  - Kurush|</v>
      </c>
      <c r="K1002" s="3" t="str">
        <f t="shared" si="108"/>
        <v>Cyrus  - Kurush</v>
      </c>
      <c r="N1002" s="39" t="str">
        <f t="shared" si="109"/>
        <v/>
      </c>
      <c r="P1002" s="39" t="str">
        <f t="shared" si="110"/>
        <v/>
      </c>
      <c r="R1002" s="39" t="str">
        <f t="shared" si="111"/>
        <v/>
      </c>
      <c r="S1002" s="28"/>
      <c r="T1002" s="28"/>
      <c r="U1002" s="28"/>
    </row>
    <row r="1003" spans="1:21" s="5" customFormat="1">
      <c r="A1003" s="179" t="s">
        <v>1341</v>
      </c>
      <c r="B1003" s="185" t="s">
        <v>5754</v>
      </c>
      <c r="C1003" s="35" t="str">
        <f t="shared" si="105"/>
        <v>d</v>
      </c>
      <c r="E1003" s="40"/>
      <c r="F1003" s="14"/>
      <c r="G1003" s="17"/>
      <c r="H1003" s="10" t="s">
        <v>8563</v>
      </c>
      <c r="I1003" s="4" t="str">
        <f t="shared" si="106"/>
        <v>|ḍ|</v>
      </c>
      <c r="J1003" s="3" t="str">
        <f t="shared" si="107"/>
        <v>|d|</v>
      </c>
      <c r="K1003" s="3" t="str">
        <f t="shared" si="108"/>
        <v>d</v>
      </c>
      <c r="L1003" s="5" t="s">
        <v>9067</v>
      </c>
      <c r="N1003" s="39" t="str">
        <f t="shared" si="109"/>
        <v/>
      </c>
      <c r="P1003" s="39" t="str">
        <f t="shared" si="110"/>
        <v/>
      </c>
      <c r="R1003" s="39" t="str">
        <f t="shared" si="111"/>
        <v/>
      </c>
      <c r="S1003" s="28"/>
      <c r="T1003" s="28"/>
      <c r="U1003" s="28"/>
    </row>
    <row r="1004" spans="1:21" s="5" customFormat="1">
      <c r="A1004" s="179" t="s">
        <v>1342</v>
      </c>
      <c r="B1004" s="185" t="s">
        <v>5755</v>
      </c>
      <c r="C1004" s="35" t="str">
        <f t="shared" si="105"/>
        <v>DabirMuayyid</v>
      </c>
      <c r="E1004" s="40"/>
      <c r="F1004" s="15"/>
      <c r="G1004" s="17"/>
      <c r="H1004" s="10" t="s">
        <v>8563</v>
      </c>
      <c r="I1004" s="4" t="str">
        <f t="shared" si="106"/>
        <v>|Dabír-Muʿayyid|</v>
      </c>
      <c r="J1004" s="3" t="str">
        <f t="shared" si="107"/>
        <v>|Dabir-Mu'ayyid|</v>
      </c>
      <c r="K1004" s="3" t="str">
        <f t="shared" si="108"/>
        <v>Dabir-Muayyid</v>
      </c>
      <c r="N1004" s="39" t="str">
        <f t="shared" si="109"/>
        <v/>
      </c>
      <c r="P1004" s="39" t="str">
        <f t="shared" si="110"/>
        <v/>
      </c>
      <c r="R1004" s="39" t="str">
        <f t="shared" si="111"/>
        <v/>
      </c>
      <c r="S1004" s="28"/>
      <c r="T1004" s="28"/>
      <c r="U1004" s="28"/>
    </row>
    <row r="1005" spans="1:21" s="5" customFormat="1">
      <c r="A1005" s="179" t="s">
        <v>1343</v>
      </c>
      <c r="B1005" s="185" t="s">
        <v>5756</v>
      </c>
      <c r="C1005" s="35" t="str">
        <f t="shared" si="105"/>
        <v>DabistanulMadhahib</v>
      </c>
      <c r="E1005" s="40"/>
      <c r="F1005" s="15"/>
      <c r="G1005" s="17"/>
      <c r="H1005" s="10" t="s">
        <v>8563</v>
      </c>
      <c r="I1005" s="4" t="str">
        <f t="shared" si="106"/>
        <v>|Dabistánu’l-Maáhib|</v>
      </c>
      <c r="J1005" s="3" t="str">
        <f t="shared" si="107"/>
        <v>|Dabistanu'l-Madhahib|</v>
      </c>
      <c r="K1005" s="3" t="str">
        <f t="shared" si="108"/>
        <v>Dabistanul-Madhahib</v>
      </c>
      <c r="N1005" s="39" t="str">
        <f t="shared" si="109"/>
        <v/>
      </c>
      <c r="P1005" s="39" t="str">
        <f t="shared" si="110"/>
        <v/>
      </c>
      <c r="R1005" s="39" t="str">
        <f t="shared" si="111"/>
        <v/>
      </c>
      <c r="S1005" s="28"/>
      <c r="T1005" s="28"/>
      <c r="U1005" s="28"/>
    </row>
    <row r="1006" spans="1:21" s="5" customFormat="1">
      <c r="A1006" s="179" t="s">
        <v>1344</v>
      </c>
      <c r="B1006" s="185" t="s">
        <v>5757</v>
      </c>
      <c r="C1006" s="35" t="str">
        <f t="shared" si="105"/>
        <v>Dadistan</v>
      </c>
      <c r="E1006" s="40"/>
      <c r="F1006" s="15"/>
      <c r="G1006" s="17"/>
      <c r="H1006" s="10" t="s">
        <v>8563</v>
      </c>
      <c r="I1006" s="4" t="str">
        <f t="shared" si="106"/>
        <v>|Dádistán|</v>
      </c>
      <c r="J1006" s="3" t="str">
        <f t="shared" si="107"/>
        <v>|Dadistan|</v>
      </c>
      <c r="K1006" s="3" t="str">
        <f t="shared" si="108"/>
        <v>Dadistan</v>
      </c>
      <c r="N1006" s="39" t="str">
        <f t="shared" si="109"/>
        <v/>
      </c>
      <c r="P1006" s="39" t="str">
        <f t="shared" si="110"/>
        <v/>
      </c>
      <c r="R1006" s="39" t="str">
        <f t="shared" si="111"/>
        <v/>
      </c>
      <c r="S1006" s="28"/>
      <c r="T1006" s="28"/>
      <c r="U1006" s="28"/>
    </row>
    <row r="1007" spans="1:21" s="5" customFormat="1">
      <c r="A1007" s="179" t="s">
        <v>1345</v>
      </c>
      <c r="B1007" s="185" t="s">
        <v>5758</v>
      </c>
      <c r="C1007" s="35" t="str">
        <f t="shared" si="105"/>
        <v>Dafur</v>
      </c>
      <c r="E1007" s="40"/>
      <c r="F1007" s="15"/>
      <c r="G1007" s="17"/>
      <c r="H1007" s="10" t="s">
        <v>8563</v>
      </c>
      <c r="I1007" s="4" t="str">
        <f t="shared" si="106"/>
        <v>|Dáfúr|</v>
      </c>
      <c r="J1007" s="3" t="str">
        <f t="shared" si="107"/>
        <v>|Dafur|</v>
      </c>
      <c r="K1007" s="3" t="str">
        <f t="shared" si="108"/>
        <v>Dafur</v>
      </c>
      <c r="N1007" s="39" t="str">
        <f t="shared" si="109"/>
        <v/>
      </c>
      <c r="P1007" s="39" t="str">
        <f t="shared" si="110"/>
        <v/>
      </c>
      <c r="R1007" s="39" t="str">
        <f t="shared" si="111"/>
        <v/>
      </c>
      <c r="S1007" s="28"/>
      <c r="T1007" s="28"/>
      <c r="U1007" s="28"/>
    </row>
    <row r="1008" spans="1:21" s="5" customFormat="1">
      <c r="A1008" s="179" t="s">
        <v>8951</v>
      </c>
      <c r="B1008" s="185" t="s">
        <v>5759</v>
      </c>
      <c r="C1008" s="35" t="str">
        <f t="shared" si="105"/>
        <v>Dahaji</v>
      </c>
      <c r="E1008" s="40"/>
      <c r="F1008" s="15"/>
      <c r="G1008" s="17"/>
      <c r="H1008" s="10" t="s">
        <v>8563</v>
      </c>
      <c r="I1008" s="4" t="str">
        <f t="shared" si="106"/>
        <v>|Dahají|</v>
      </c>
      <c r="J1008" s="3" t="str">
        <f t="shared" si="107"/>
        <v>|Dahaji|</v>
      </c>
      <c r="K1008" s="3" t="str">
        <f t="shared" si="108"/>
        <v>Dahaji</v>
      </c>
      <c r="N1008" s="39" t="str">
        <f t="shared" si="109"/>
        <v/>
      </c>
      <c r="P1008" s="39" t="str">
        <f t="shared" si="110"/>
        <v/>
      </c>
      <c r="R1008" s="39" t="str">
        <f t="shared" si="111"/>
        <v/>
      </c>
      <c r="S1008" s="28"/>
      <c r="T1008" s="28"/>
      <c r="U1008" s="28"/>
    </row>
    <row r="1009" spans="1:21" s="5" customFormat="1">
      <c r="A1009" s="179" t="s">
        <v>1346</v>
      </c>
      <c r="B1009" s="185" t="s">
        <v>5760</v>
      </c>
      <c r="C1009" s="35" t="str">
        <f t="shared" si="105"/>
        <v>dahr</v>
      </c>
      <c r="E1009" s="40"/>
      <c r="F1009" s="14"/>
      <c r="G1009" s="17"/>
      <c r="H1009" s="10" t="s">
        <v>8563</v>
      </c>
      <c r="I1009" s="4" t="str">
        <f t="shared" si="106"/>
        <v>|dahr|</v>
      </c>
      <c r="J1009" s="3" t="str">
        <f t="shared" si="107"/>
        <v>|dahr|</v>
      </c>
      <c r="K1009" s="3" t="str">
        <f t="shared" si="108"/>
        <v>dahr</v>
      </c>
      <c r="N1009" s="39" t="str">
        <f t="shared" si="109"/>
        <v/>
      </c>
      <c r="P1009" s="39" t="str">
        <f t="shared" si="110"/>
        <v/>
      </c>
      <c r="R1009" s="39" t="str">
        <f t="shared" si="111"/>
        <v/>
      </c>
      <c r="S1009" s="28"/>
      <c r="T1009" s="28"/>
      <c r="U1009" s="28"/>
    </row>
    <row r="1010" spans="1:21" s="5" customFormat="1">
      <c r="A1010" s="179" t="s">
        <v>8952</v>
      </c>
      <c r="B1010" s="185" t="s">
        <v>5761</v>
      </c>
      <c r="C1010" s="35" t="str">
        <f t="shared" si="105"/>
        <v>Dai</v>
      </c>
      <c r="E1010" s="40"/>
      <c r="F1010" s="15" t="s">
        <v>1347</v>
      </c>
      <c r="G1010" s="17"/>
      <c r="H1010" s="10" t="s">
        <v>8563</v>
      </c>
      <c r="I1010" s="4" t="str">
        <f t="shared" si="106"/>
        <v>|Dáʿí|</v>
      </c>
      <c r="J1010" s="3" t="str">
        <f t="shared" si="107"/>
        <v>|Da'i|</v>
      </c>
      <c r="K1010" s="3" t="str">
        <f t="shared" si="108"/>
        <v>Dai</v>
      </c>
      <c r="N1010" s="39" t="str">
        <f t="shared" si="109"/>
        <v/>
      </c>
      <c r="P1010" s="39" t="str">
        <f t="shared" si="110"/>
        <v/>
      </c>
      <c r="R1010" s="39" t="str">
        <f t="shared" si="111"/>
        <v/>
      </c>
      <c r="S1010" s="28"/>
      <c r="T1010" s="28"/>
      <c r="U1010" s="28"/>
    </row>
    <row r="1011" spans="1:21" s="5" customFormat="1">
      <c r="A1011" s="179" t="s">
        <v>1348</v>
      </c>
      <c r="B1011" s="185" t="s">
        <v>5762</v>
      </c>
      <c r="C1011" s="35" t="str">
        <f t="shared" si="105"/>
        <v>DaiulKabir</v>
      </c>
      <c r="E1011" s="40"/>
      <c r="F1011" s="15"/>
      <c r="G1011" s="17"/>
      <c r="H1011" s="10" t="s">
        <v>8563</v>
      </c>
      <c r="I1011" s="4" t="str">
        <f t="shared" si="106"/>
        <v>|Dá’íu’l-Kabír|</v>
      </c>
      <c r="J1011" s="3" t="str">
        <f t="shared" si="107"/>
        <v>|Da'iu'l-Kabir|</v>
      </c>
      <c r="K1011" s="3" t="str">
        <f t="shared" si="108"/>
        <v>Daiul-Kabir</v>
      </c>
      <c r="N1011" s="39" t="str">
        <f t="shared" si="109"/>
        <v/>
      </c>
      <c r="P1011" s="39" t="str">
        <f t="shared" si="110"/>
        <v/>
      </c>
      <c r="R1011" s="39" t="str">
        <f t="shared" si="111"/>
        <v/>
      </c>
      <c r="S1011" s="28"/>
      <c r="T1011" s="28"/>
      <c r="U1011" s="28"/>
    </row>
    <row r="1012" spans="1:21" s="5" customFormat="1">
      <c r="A1012" s="179" t="s">
        <v>858</v>
      </c>
      <c r="B1012" s="185" t="s">
        <v>71</v>
      </c>
      <c r="C1012" s="35" t="str">
        <f t="shared" si="105"/>
        <v>Dajjal</v>
      </c>
      <c r="E1012" s="40"/>
      <c r="F1012" s="17" t="s">
        <v>8910</v>
      </c>
      <c r="H1012" s="10" t="s">
        <v>8563</v>
      </c>
      <c r="I1012" s="4" t="str">
        <f t="shared" si="106"/>
        <v>|Dajjál|</v>
      </c>
      <c r="J1012" s="3" t="str">
        <f t="shared" si="107"/>
        <v>|Dajjal|</v>
      </c>
      <c r="K1012" s="3" t="str">
        <f t="shared" si="108"/>
        <v>Dajjal</v>
      </c>
      <c r="N1012" s="39" t="str">
        <f t="shared" si="109"/>
        <v/>
      </c>
      <c r="P1012" s="39" t="str">
        <f t="shared" si="110"/>
        <v/>
      </c>
      <c r="R1012" s="39" t="str">
        <f t="shared" si="111"/>
        <v/>
      </c>
      <c r="S1012" s="28"/>
      <c r="T1012" s="29">
        <v>41796</v>
      </c>
      <c r="U1012" s="28" t="s">
        <v>9371</v>
      </c>
    </row>
    <row r="1013" spans="1:21" s="5" customFormat="1">
      <c r="A1013" s="179" t="s">
        <v>1351</v>
      </c>
      <c r="B1013" s="185" t="s">
        <v>5764</v>
      </c>
      <c r="C1013" s="35" t="str">
        <f t="shared" si="105"/>
        <v>Dajlih</v>
      </c>
      <c r="E1013" s="40"/>
      <c r="F1013" s="15" t="s">
        <v>8578</v>
      </c>
      <c r="G1013" s="17"/>
      <c r="H1013" s="10" t="s">
        <v>8563</v>
      </c>
      <c r="I1013" s="4" t="str">
        <f t="shared" si="106"/>
        <v>|Dajlih|</v>
      </c>
      <c r="J1013" s="3" t="str">
        <f t="shared" si="107"/>
        <v>|Dajlih|</v>
      </c>
      <c r="K1013" s="3" t="str">
        <f t="shared" si="108"/>
        <v>Dajlih</v>
      </c>
      <c r="N1013" s="39" t="str">
        <f t="shared" si="109"/>
        <v/>
      </c>
      <c r="P1013" s="39" t="str">
        <f t="shared" si="110"/>
        <v/>
      </c>
      <c r="R1013" s="39" t="str">
        <f t="shared" si="111"/>
        <v/>
      </c>
      <c r="S1013" s="28"/>
      <c r="T1013" s="28"/>
      <c r="U1013" s="28"/>
    </row>
    <row r="1014" spans="1:21" s="5" customFormat="1">
      <c r="A1014" s="179" t="s">
        <v>1352</v>
      </c>
      <c r="B1014" s="185" t="s">
        <v>5765</v>
      </c>
      <c r="C1014" s="35" t="str">
        <f t="shared" si="105"/>
        <v>Dakhil</v>
      </c>
      <c r="E1014" s="40"/>
      <c r="F1014" s="15"/>
      <c r="G1014" s="17"/>
      <c r="H1014" s="10" t="s">
        <v>8563</v>
      </c>
      <c r="I1014" s="4" t="str">
        <f t="shared" si="106"/>
        <v>|Daíl|</v>
      </c>
      <c r="J1014" s="3" t="str">
        <f t="shared" si="107"/>
        <v>|Dakhil|</v>
      </c>
      <c r="K1014" s="3" t="str">
        <f t="shared" si="108"/>
        <v>Dakhil</v>
      </c>
      <c r="N1014" s="39" t="str">
        <f t="shared" si="109"/>
        <v/>
      </c>
      <c r="P1014" s="39" t="str">
        <f t="shared" si="110"/>
        <v/>
      </c>
      <c r="R1014" s="39" t="str">
        <f t="shared" si="111"/>
        <v/>
      </c>
      <c r="S1014" s="28"/>
      <c r="T1014" s="28"/>
      <c r="U1014" s="28"/>
    </row>
    <row r="1015" spans="1:21" s="5" customFormat="1">
      <c r="A1015" s="179" t="s">
        <v>1353</v>
      </c>
      <c r="B1015" s="185" t="s">
        <v>5766</v>
      </c>
      <c r="C1015" s="35" t="str">
        <f t="shared" si="105"/>
        <v>Dakhili</v>
      </c>
      <c r="E1015" s="40"/>
      <c r="F1015" s="15"/>
      <c r="G1015" s="17"/>
      <c r="H1015" s="10" t="s">
        <v>8563</v>
      </c>
      <c r="I1015" s="4" t="str">
        <f t="shared" si="106"/>
        <v>|Daílí|</v>
      </c>
      <c r="J1015" s="3" t="str">
        <f t="shared" si="107"/>
        <v>|Dakhili|</v>
      </c>
      <c r="K1015" s="3" t="str">
        <f t="shared" si="108"/>
        <v>Dakhili</v>
      </c>
      <c r="N1015" s="39" t="str">
        <f t="shared" si="109"/>
        <v/>
      </c>
      <c r="P1015" s="39" t="str">
        <f t="shared" si="110"/>
        <v/>
      </c>
      <c r="R1015" s="39" t="str">
        <f t="shared" si="111"/>
        <v/>
      </c>
      <c r="S1015" s="28"/>
      <c r="T1015" s="28"/>
      <c r="U1015" s="28"/>
    </row>
    <row r="1016" spans="1:21" s="5" customFormat="1">
      <c r="A1016" s="179" t="s">
        <v>1354</v>
      </c>
      <c r="B1016" s="185" t="s">
        <v>5767</v>
      </c>
      <c r="C1016" s="35" t="str">
        <f t="shared" si="105"/>
        <v>Dalail</v>
      </c>
      <c r="E1016" s="40"/>
      <c r="F1016" s="15"/>
      <c r="G1016" s="17"/>
      <c r="H1016" s="10" t="s">
        <v>8563</v>
      </c>
      <c r="I1016" s="4" t="str">
        <f t="shared" si="106"/>
        <v>|Dalá’il|</v>
      </c>
      <c r="J1016" s="3" t="str">
        <f t="shared" si="107"/>
        <v>|Dala'il|</v>
      </c>
      <c r="K1016" s="3" t="str">
        <f t="shared" si="108"/>
        <v>Dalail</v>
      </c>
      <c r="N1016" s="39" t="str">
        <f t="shared" si="109"/>
        <v/>
      </c>
      <c r="P1016" s="39" t="str">
        <f t="shared" si="110"/>
        <v/>
      </c>
      <c r="R1016" s="39" t="str">
        <f t="shared" si="111"/>
        <v/>
      </c>
      <c r="S1016" s="28"/>
      <c r="T1016" s="28"/>
      <c r="U1016" s="28"/>
    </row>
    <row r="1017" spans="1:21" s="5" customFormat="1">
      <c r="A1017" s="179" t="s">
        <v>1355</v>
      </c>
      <c r="B1017" s="185" t="s">
        <v>5768</v>
      </c>
      <c r="C1017" s="35" t="str">
        <f t="shared" si="105"/>
        <v>DalailiSabih</v>
      </c>
      <c r="E1017" s="40"/>
      <c r="F1017" s="14"/>
      <c r="G1017" s="17"/>
      <c r="H1017" s="10" t="s">
        <v>8563</v>
      </c>
      <c r="I1017" s="4" t="str">
        <f t="shared" si="106"/>
        <v>|Dalá’il-i-Sabʿih|</v>
      </c>
      <c r="J1017" s="3" t="str">
        <f t="shared" si="107"/>
        <v>|Dala'il-i-Sab'ih|</v>
      </c>
      <c r="K1017" s="3" t="str">
        <f t="shared" si="108"/>
        <v>Dalail-i-Sabih</v>
      </c>
      <c r="N1017" s="39" t="str">
        <f t="shared" si="109"/>
        <v/>
      </c>
      <c r="P1017" s="39" t="str">
        <f t="shared" si="110"/>
        <v/>
      </c>
      <c r="R1017" s="39" t="str">
        <f t="shared" si="111"/>
        <v/>
      </c>
      <c r="S1017" s="28"/>
      <c r="T1017" s="28"/>
      <c r="U1017" s="28"/>
    </row>
    <row r="1018" spans="1:21" s="5" customFormat="1">
      <c r="A1018" s="179" t="s">
        <v>1356</v>
      </c>
      <c r="B1018" s="185" t="s">
        <v>5769</v>
      </c>
      <c r="C1018" s="35" t="str">
        <f t="shared" si="105"/>
        <v>DalailulIrfan</v>
      </c>
      <c r="E1018" s="40"/>
      <c r="F1018" s="15"/>
      <c r="G1018" s="17"/>
      <c r="H1018" s="10" t="s">
        <v>8563</v>
      </c>
      <c r="I1018" s="4" t="str">
        <f t="shared" si="106"/>
        <v>|Dalá’ilu’l-ʿIrfán|</v>
      </c>
      <c r="J1018" s="3" t="str">
        <f t="shared" si="107"/>
        <v>|Dala'ilu'l-'Irfan|</v>
      </c>
      <c r="K1018" s="3" t="str">
        <f t="shared" si="108"/>
        <v>Dalailul-Irfan</v>
      </c>
      <c r="N1018" s="39" t="str">
        <f t="shared" si="109"/>
        <v/>
      </c>
      <c r="P1018" s="39" t="str">
        <f t="shared" si="110"/>
        <v/>
      </c>
      <c r="R1018" s="39" t="str">
        <f t="shared" si="111"/>
        <v/>
      </c>
      <c r="S1018" s="28"/>
      <c r="T1018" s="28"/>
      <c r="U1018" s="28"/>
    </row>
    <row r="1019" spans="1:21" s="5" customFormat="1">
      <c r="A1019" s="179" t="s">
        <v>1357</v>
      </c>
      <c r="B1019" s="185" t="s">
        <v>5770</v>
      </c>
      <c r="C1019" s="35" t="str">
        <f t="shared" si="105"/>
        <v>Dalalat</v>
      </c>
      <c r="E1019" s="40"/>
      <c r="F1019" s="15"/>
      <c r="G1019" s="17"/>
      <c r="H1019" s="10" t="s">
        <v>8563</v>
      </c>
      <c r="I1019" s="4" t="str">
        <f t="shared" si="106"/>
        <v>|Dalálat |</v>
      </c>
      <c r="J1019" s="3" t="str">
        <f t="shared" si="107"/>
        <v>|Dalalat |</v>
      </c>
      <c r="K1019" s="3" t="str">
        <f t="shared" si="108"/>
        <v xml:space="preserve">Dalalat </v>
      </c>
      <c r="N1019" s="39" t="str">
        <f t="shared" si="109"/>
        <v/>
      </c>
      <c r="P1019" s="39" t="str">
        <f t="shared" si="110"/>
        <v/>
      </c>
      <c r="R1019" s="39" t="str">
        <f t="shared" si="111"/>
        <v/>
      </c>
      <c r="S1019" s="28"/>
      <c r="T1019" s="28"/>
      <c r="U1019" s="28"/>
    </row>
    <row r="1020" spans="1:21" s="5" customFormat="1">
      <c r="A1020" s="179" t="s">
        <v>1358</v>
      </c>
      <c r="B1020" s="185" t="s">
        <v>5771</v>
      </c>
      <c r="C1020" s="35" t="str">
        <f t="shared" si="105"/>
        <v>DaliliTaqrir</v>
      </c>
      <c r="E1020" s="40"/>
      <c r="F1020" s="15"/>
      <c r="G1020" s="17"/>
      <c r="H1020" s="10" t="s">
        <v>8563</v>
      </c>
      <c r="I1020" s="4" t="str">
        <f t="shared" si="106"/>
        <v>|Dalíl-i-Taqrír|</v>
      </c>
      <c r="J1020" s="3" t="str">
        <f t="shared" si="107"/>
        <v>|Dalil-i-Taqrir|</v>
      </c>
      <c r="K1020" s="3" t="str">
        <f t="shared" si="108"/>
        <v>Dalil-i-Taqrir</v>
      </c>
      <c r="N1020" s="39" t="str">
        <f t="shared" si="109"/>
        <v/>
      </c>
      <c r="P1020" s="39" t="str">
        <f t="shared" si="110"/>
        <v/>
      </c>
      <c r="R1020" s="39" t="str">
        <f t="shared" si="111"/>
        <v/>
      </c>
      <c r="S1020" s="28"/>
      <c r="T1020" s="28"/>
      <c r="U1020" s="28"/>
    </row>
    <row r="1021" spans="1:21" s="5" customFormat="1">
      <c r="A1021" s="179" t="s">
        <v>1359</v>
      </c>
      <c r="B1021" s="185" t="s">
        <v>5772</v>
      </c>
      <c r="C1021" s="35" t="str">
        <f t="shared" si="105"/>
        <v>DalilulMutahayyirin</v>
      </c>
      <c r="E1021" s="40"/>
      <c r="F1021" s="14"/>
      <c r="G1021" s="17"/>
      <c r="H1021" s="10" t="s">
        <v>8563</v>
      </c>
      <c r="I1021" s="4" t="str">
        <f t="shared" si="106"/>
        <v>|Dalílu’l-Mutaḥayyirín|</v>
      </c>
      <c r="J1021" s="3" t="str">
        <f t="shared" si="107"/>
        <v>|Dalilu'l-Mutahayyirin|</v>
      </c>
      <c r="K1021" s="3" t="str">
        <f t="shared" si="108"/>
        <v>Dalilul-Mutahayyirin</v>
      </c>
      <c r="N1021" s="39" t="str">
        <f t="shared" si="109"/>
        <v/>
      </c>
      <c r="P1021" s="39" t="str">
        <f t="shared" si="110"/>
        <v/>
      </c>
      <c r="R1021" s="39" t="str">
        <f t="shared" si="111"/>
        <v/>
      </c>
      <c r="S1021" s="28"/>
      <c r="T1021" s="28"/>
      <c r="U1021" s="28"/>
    </row>
    <row r="1022" spans="1:21" s="5" customFormat="1">
      <c r="A1022" s="179" t="s">
        <v>1360</v>
      </c>
      <c r="B1022" s="185" t="s">
        <v>5773</v>
      </c>
      <c r="C1022" s="35" t="str">
        <f t="shared" si="105"/>
        <v>Dalvand</v>
      </c>
      <c r="E1022" s="40"/>
      <c r="F1022" s="15"/>
      <c r="G1022" s="17"/>
      <c r="H1022" s="10" t="s">
        <v>8563</v>
      </c>
      <c r="I1022" s="4" t="str">
        <f t="shared" si="106"/>
        <v>|Dálvand|</v>
      </c>
      <c r="J1022" s="3" t="str">
        <f t="shared" si="107"/>
        <v>|Dalvand|</v>
      </c>
      <c r="K1022" s="3" t="str">
        <f t="shared" si="108"/>
        <v>Dalvand</v>
      </c>
      <c r="N1022" s="39" t="str">
        <f t="shared" si="109"/>
        <v/>
      </c>
      <c r="P1022" s="39" t="str">
        <f t="shared" si="110"/>
        <v/>
      </c>
      <c r="R1022" s="39" t="str">
        <f t="shared" si="111"/>
        <v/>
      </c>
      <c r="S1022" s="28"/>
      <c r="T1022" s="28"/>
      <c r="U1022" s="28"/>
    </row>
    <row r="1023" spans="1:21" s="5" customFormat="1">
      <c r="A1023" s="179" t="s">
        <v>1361</v>
      </c>
      <c r="B1023" s="185" t="s">
        <v>5774</v>
      </c>
      <c r="C1023" s="35" t="str">
        <f t="shared" si="105"/>
        <v>Damagh</v>
      </c>
      <c r="E1023" s="40"/>
      <c r="F1023" s="15"/>
      <c r="G1023" s="17"/>
      <c r="H1023" s="10" t="s">
        <v>8563</v>
      </c>
      <c r="I1023" s="4" t="str">
        <f t="shared" si="106"/>
        <v>|Damá|</v>
      </c>
      <c r="J1023" s="3" t="str">
        <f t="shared" si="107"/>
        <v>|Damagh|</v>
      </c>
      <c r="K1023" s="3" t="str">
        <f t="shared" si="108"/>
        <v>Damagh</v>
      </c>
      <c r="N1023" s="39" t="str">
        <f t="shared" si="109"/>
        <v/>
      </c>
      <c r="P1023" s="39" t="str">
        <f t="shared" si="110"/>
        <v/>
      </c>
      <c r="R1023" s="39" t="str">
        <f t="shared" si="111"/>
        <v/>
      </c>
      <c r="S1023" s="28"/>
      <c r="T1023" s="28"/>
      <c r="U1023" s="28"/>
    </row>
    <row r="1024" spans="1:21" s="5" customFormat="1">
      <c r="A1024" s="179" t="s">
        <v>1362</v>
      </c>
      <c r="B1024" s="185" t="s">
        <v>5775</v>
      </c>
      <c r="C1024" s="35" t="str">
        <f t="shared" si="105"/>
        <v>Damavand</v>
      </c>
      <c r="E1024" s="40"/>
      <c r="F1024" s="14"/>
      <c r="G1024" s="17"/>
      <c r="H1024" s="10" t="s">
        <v>8563</v>
      </c>
      <c r="I1024" s="4" t="str">
        <f t="shared" si="106"/>
        <v>|Damávand|</v>
      </c>
      <c r="J1024" s="3" t="str">
        <f t="shared" si="107"/>
        <v>|Damavand|</v>
      </c>
      <c r="K1024" s="3" t="str">
        <f t="shared" si="108"/>
        <v>Damavand</v>
      </c>
      <c r="N1024" s="39" t="str">
        <f t="shared" si="109"/>
        <v/>
      </c>
      <c r="P1024" s="39" t="str">
        <f t="shared" si="110"/>
        <v/>
      </c>
      <c r="R1024" s="39" t="str">
        <f t="shared" si="111"/>
        <v/>
      </c>
      <c r="S1024" s="28"/>
      <c r="T1024" s="28"/>
      <c r="U1024" s="28"/>
    </row>
    <row r="1025" spans="1:21" s="5" customFormat="1">
      <c r="A1025" s="179" t="s">
        <v>1363</v>
      </c>
      <c r="B1025" s="185" t="s">
        <v>5776</v>
      </c>
      <c r="C1025" s="35" t="str">
        <f t="shared" si="105"/>
        <v>Damghan</v>
      </c>
      <c r="E1025" s="40"/>
      <c r="F1025" s="14"/>
      <c r="G1025" s="17"/>
      <c r="H1025" s="10" t="s">
        <v>8563</v>
      </c>
      <c r="I1025" s="4" t="str">
        <f t="shared" si="106"/>
        <v>|Dámán|</v>
      </c>
      <c r="J1025" s="3" t="str">
        <f t="shared" si="107"/>
        <v>|Damghan|</v>
      </c>
      <c r="K1025" s="3" t="str">
        <f t="shared" si="108"/>
        <v>Damghan</v>
      </c>
      <c r="N1025" s="39" t="str">
        <f t="shared" si="109"/>
        <v/>
      </c>
      <c r="P1025" s="39" t="str">
        <f t="shared" si="110"/>
        <v/>
      </c>
      <c r="R1025" s="39" t="str">
        <f t="shared" si="111"/>
        <v/>
      </c>
      <c r="S1025" s="28"/>
      <c r="T1025" s="28"/>
      <c r="U1025" s="28"/>
    </row>
    <row r="1026" spans="1:21" s="5" customFormat="1">
      <c r="A1026" s="179" t="s">
        <v>1364</v>
      </c>
      <c r="B1026" s="185" t="s">
        <v>5777</v>
      </c>
      <c r="C1026" s="35" t="str">
        <f t="shared" si="105"/>
        <v>Danish</v>
      </c>
      <c r="E1026" s="40"/>
      <c r="F1026" s="15"/>
      <c r="G1026" s="17"/>
      <c r="H1026" s="10" t="s">
        <v>8563</v>
      </c>
      <c r="I1026" s="4" t="str">
        <f t="shared" si="106"/>
        <v>|Dáni|</v>
      </c>
      <c r="J1026" s="3" t="str">
        <f t="shared" si="107"/>
        <v>|Danish|</v>
      </c>
      <c r="K1026" s="3" t="str">
        <f t="shared" si="108"/>
        <v>Danish</v>
      </c>
      <c r="N1026" s="39" t="str">
        <f t="shared" si="109"/>
        <v/>
      </c>
      <c r="P1026" s="39" t="str">
        <f t="shared" si="110"/>
        <v/>
      </c>
      <c r="R1026" s="39" t="str">
        <f t="shared" si="111"/>
        <v/>
      </c>
      <c r="S1026" s="28"/>
      <c r="T1026" s="28"/>
      <c r="U1026" s="28"/>
    </row>
    <row r="1027" spans="1:21" s="5" customFormat="1">
      <c r="A1027" s="179" t="s">
        <v>1365</v>
      </c>
      <c r="B1027" s="185" t="s">
        <v>8953</v>
      </c>
      <c r="C1027" s="35" t="str">
        <f t="shared" ref="C1027:C1090" si="112">SUBSTITUTE(SUBSTITUTE(K1027,"-","")," ","")</f>
        <v>Daniyal</v>
      </c>
      <c r="E1027" s="40"/>
      <c r="F1027" s="15"/>
      <c r="G1027" s="17"/>
      <c r="H1027" s="10" t="s">
        <v>8563</v>
      </c>
      <c r="I1027" s="4" t="str">
        <f t="shared" ref="I1027:I1090" si="113">CONCATENATE("|",B1027,"|")</f>
        <v>|Dáníyál|</v>
      </c>
      <c r="J1027" s="3" t="str">
        <f t="shared" ref="J1027:J1090" si="114">CONCATENATE("|",F_OutputASCII(B1027),"|")</f>
        <v>|Daniyal|</v>
      </c>
      <c r="K1027" s="3" t="str">
        <f t="shared" ref="K1027:K1090" si="115">IF(SUBSTITUTE(MID(J1027,2,LEN(J1027)-2),"'","")&lt;&gt;"",SUBSTITUTE(MID(J1027,2,LEN(J1027)-2),"'",""),"ZZZZZ")</f>
        <v>Daniyal</v>
      </c>
      <c r="N1027" s="39" t="str">
        <f t="shared" ref="N1027:N1090" si="116">SUBSTITUTE(SUBSTITUTE(SUBSTITUTE(F_OutputASCII(M1027),"-","")," ",""),"'","")</f>
        <v/>
      </c>
      <c r="P1027" s="39" t="str">
        <f t="shared" ref="P1027:P1090" si="117">SUBSTITUTE(SUBSTITUTE(SUBSTITUTE(F_OutputASCII(O1027),"-","")," ",""),"'","")</f>
        <v/>
      </c>
      <c r="R1027" s="39" t="str">
        <f t="shared" si="111"/>
        <v/>
      </c>
      <c r="S1027" s="28"/>
      <c r="T1027" s="28"/>
      <c r="U1027" s="28"/>
    </row>
    <row r="1028" spans="1:21" s="5" customFormat="1">
      <c r="A1028" s="179" t="s">
        <v>1366</v>
      </c>
      <c r="B1028" s="185" t="s">
        <v>5778</v>
      </c>
      <c r="C1028" s="35" t="str">
        <f t="shared" si="112"/>
        <v>Dar</v>
      </c>
      <c r="E1028" s="40"/>
      <c r="F1028" s="14"/>
      <c r="G1028" s="17" t="s">
        <v>9125</v>
      </c>
      <c r="H1028" s="10" t="s">
        <v>8563</v>
      </c>
      <c r="I1028" s="4" t="str">
        <f t="shared" si="113"/>
        <v>|Dar|</v>
      </c>
      <c r="J1028" s="3" t="str">
        <f t="shared" si="114"/>
        <v>|Dar|</v>
      </c>
      <c r="K1028" s="3" t="str">
        <f t="shared" si="115"/>
        <v>Dar</v>
      </c>
      <c r="L1028" s="5" t="s">
        <v>59</v>
      </c>
      <c r="N1028" s="39" t="str">
        <f t="shared" si="116"/>
        <v/>
      </c>
      <c r="P1028" s="39" t="str">
        <f t="shared" si="117"/>
        <v/>
      </c>
      <c r="R1028" s="39" t="str">
        <f t="shared" ref="R1028:R1091" si="118">SUBSTITUTE(SUBSTITUTE(Q1028,"-","")," ","")</f>
        <v/>
      </c>
      <c r="S1028" s="28"/>
      <c r="T1028" s="28"/>
      <c r="U1028" s="28"/>
    </row>
    <row r="1029" spans="1:21" s="5" customFormat="1">
      <c r="A1029" s="179" t="s">
        <v>1367</v>
      </c>
      <c r="B1029" s="185" t="s">
        <v>5779</v>
      </c>
      <c r="C1029" s="35" t="str">
        <f t="shared" si="112"/>
        <v>Dar</v>
      </c>
      <c r="E1029" s="40"/>
      <c r="F1029" s="15" t="s">
        <v>1368</v>
      </c>
      <c r="G1029" s="17"/>
      <c r="H1029" s="10" t="s">
        <v>8563</v>
      </c>
      <c r="I1029" s="4" t="str">
        <f t="shared" si="113"/>
        <v>|Dár|</v>
      </c>
      <c r="J1029" s="3" t="str">
        <f t="shared" si="114"/>
        <v>|Dar|</v>
      </c>
      <c r="K1029" s="3" t="str">
        <f t="shared" si="115"/>
        <v>Dar</v>
      </c>
      <c r="L1029" s="5" t="s">
        <v>59</v>
      </c>
      <c r="N1029" s="39" t="str">
        <f t="shared" si="116"/>
        <v/>
      </c>
      <c r="P1029" s="39" t="str">
        <f t="shared" si="117"/>
        <v/>
      </c>
      <c r="R1029" s="39" t="str">
        <f t="shared" si="118"/>
        <v/>
      </c>
      <c r="S1029" s="28"/>
      <c r="T1029" s="28"/>
      <c r="U1029" s="28"/>
    </row>
    <row r="1030" spans="1:21" s="5" customFormat="1">
      <c r="A1030" s="179" t="s">
        <v>1369</v>
      </c>
      <c r="B1030" s="185" t="s">
        <v>5780</v>
      </c>
      <c r="C1030" s="35" t="str">
        <f t="shared" si="112"/>
        <v>Dara</v>
      </c>
      <c r="E1030" s="40"/>
      <c r="F1030" s="15"/>
      <c r="G1030" s="17"/>
      <c r="H1030" s="10" t="s">
        <v>8563</v>
      </c>
      <c r="I1030" s="4" t="str">
        <f t="shared" si="113"/>
        <v>|Dárá|</v>
      </c>
      <c r="J1030" s="3" t="str">
        <f t="shared" si="114"/>
        <v>|Dara|</v>
      </c>
      <c r="K1030" s="3" t="str">
        <f t="shared" si="115"/>
        <v>Dara</v>
      </c>
      <c r="N1030" s="39" t="str">
        <f t="shared" si="116"/>
        <v/>
      </c>
      <c r="P1030" s="39" t="str">
        <f t="shared" si="117"/>
        <v/>
      </c>
      <c r="R1030" s="39" t="str">
        <f t="shared" si="118"/>
        <v/>
      </c>
      <c r="S1030" s="28"/>
      <c r="T1030" s="28"/>
      <c r="U1030" s="28"/>
    </row>
    <row r="1031" spans="1:21" s="5" customFormat="1">
      <c r="A1031" s="179" t="s">
        <v>1370</v>
      </c>
      <c r="B1031" s="185" t="s">
        <v>5781</v>
      </c>
      <c r="C1031" s="35" t="str">
        <f t="shared" si="112"/>
        <v>Darab</v>
      </c>
      <c r="E1031" s="40"/>
      <c r="F1031" s="15" t="s">
        <v>1371</v>
      </c>
      <c r="G1031" s="17"/>
      <c r="H1031" s="10" t="s">
        <v>8563</v>
      </c>
      <c r="I1031" s="4" t="str">
        <f t="shared" si="113"/>
        <v>|Dáráb|</v>
      </c>
      <c r="J1031" s="3" t="str">
        <f t="shared" si="114"/>
        <v>|Darab|</v>
      </c>
      <c r="K1031" s="3" t="str">
        <f t="shared" si="115"/>
        <v>Darab</v>
      </c>
      <c r="N1031" s="39" t="str">
        <f t="shared" si="116"/>
        <v/>
      </c>
      <c r="P1031" s="39" t="str">
        <f t="shared" si="117"/>
        <v/>
      </c>
      <c r="R1031" s="39" t="str">
        <f t="shared" si="118"/>
        <v/>
      </c>
      <c r="S1031" s="28"/>
      <c r="T1031" s="28"/>
      <c r="U1031" s="28"/>
    </row>
    <row r="1032" spans="1:21" s="5" customFormat="1">
      <c r="A1032" s="179" t="s">
        <v>1372</v>
      </c>
      <c r="B1032" s="185" t="s">
        <v>5782</v>
      </c>
      <c r="C1032" s="35" t="str">
        <f t="shared" si="112"/>
        <v>dari</v>
      </c>
      <c r="E1032" s="40"/>
      <c r="F1032" s="15"/>
      <c r="G1032" s="17"/>
      <c r="H1032" s="10" t="s">
        <v>8563</v>
      </c>
      <c r="I1032" s="4" t="str">
        <f t="shared" si="113"/>
        <v>|dárí|</v>
      </c>
      <c r="J1032" s="3" t="str">
        <f t="shared" si="114"/>
        <v>|dari|</v>
      </c>
      <c r="K1032" s="3" t="str">
        <f t="shared" si="115"/>
        <v>dari</v>
      </c>
      <c r="N1032" s="39" t="str">
        <f t="shared" si="116"/>
        <v/>
      </c>
      <c r="P1032" s="39" t="str">
        <f t="shared" si="117"/>
        <v/>
      </c>
      <c r="R1032" s="39" t="str">
        <f t="shared" si="118"/>
        <v/>
      </c>
      <c r="S1032" s="28"/>
      <c r="T1032" s="28"/>
      <c r="U1032" s="28"/>
    </row>
    <row r="1033" spans="1:21" s="5" customFormat="1">
      <c r="A1033" s="179" t="s">
        <v>1373</v>
      </c>
      <c r="B1033" s="185" t="s">
        <v>5783</v>
      </c>
      <c r="C1033" s="35" t="str">
        <f t="shared" si="112"/>
        <v>DarKala</v>
      </c>
      <c r="E1033" s="40"/>
      <c r="F1033" s="15" t="s">
        <v>1374</v>
      </c>
      <c r="G1033" s="17"/>
      <c r="H1033" s="10" t="s">
        <v>8563</v>
      </c>
      <c r="I1033" s="4" t="str">
        <f t="shared" si="113"/>
        <v>|Dár-Kalá|</v>
      </c>
      <c r="J1033" s="3" t="str">
        <f t="shared" si="114"/>
        <v>|Dar-Kala|</v>
      </c>
      <c r="K1033" s="3" t="str">
        <f t="shared" si="115"/>
        <v>Dar-Kala</v>
      </c>
      <c r="N1033" s="39" t="str">
        <f t="shared" si="116"/>
        <v/>
      </c>
      <c r="P1033" s="39" t="str">
        <f t="shared" si="117"/>
        <v/>
      </c>
      <c r="R1033" s="39" t="str">
        <f t="shared" si="118"/>
        <v/>
      </c>
      <c r="S1033" s="28"/>
      <c r="T1033" s="28"/>
      <c r="U1033" s="28"/>
    </row>
    <row r="1034" spans="1:21" s="5" customFormat="1">
      <c r="A1034" s="179" t="s">
        <v>1375</v>
      </c>
      <c r="B1034" s="185" t="s">
        <v>5784</v>
      </c>
      <c r="C1034" s="35" t="str">
        <f t="shared" si="112"/>
        <v>DarsiAkhlaq</v>
      </c>
      <c r="E1034" s="40"/>
      <c r="F1034" s="15" t="s">
        <v>1376</v>
      </c>
      <c r="G1034" s="17"/>
      <c r="H1034" s="10" t="s">
        <v>8563</v>
      </c>
      <c r="I1034" s="4" t="str">
        <f t="shared" si="113"/>
        <v>|Dars-i-Aláq|</v>
      </c>
      <c r="J1034" s="3" t="str">
        <f t="shared" si="114"/>
        <v>|Dars-i-Akhlaq|</v>
      </c>
      <c r="K1034" s="3" t="str">
        <f t="shared" si="115"/>
        <v>Dars-i-Akhlaq</v>
      </c>
      <c r="N1034" s="39" t="str">
        <f t="shared" si="116"/>
        <v/>
      </c>
      <c r="P1034" s="39" t="str">
        <f t="shared" si="117"/>
        <v/>
      </c>
      <c r="R1034" s="39" t="str">
        <f t="shared" si="118"/>
        <v/>
      </c>
      <c r="S1034" s="28"/>
      <c r="T1034" s="28"/>
      <c r="U1034" s="28"/>
    </row>
    <row r="1035" spans="1:21" s="5" customFormat="1">
      <c r="A1035" s="179" t="s">
        <v>1377</v>
      </c>
      <c r="B1035" s="185" t="s">
        <v>5785</v>
      </c>
      <c r="C1035" s="35" t="str">
        <f t="shared" si="112"/>
        <v>Darughih</v>
      </c>
      <c r="E1035" s="40"/>
      <c r="F1035" s="14" t="s">
        <v>1378</v>
      </c>
      <c r="G1035" s="17"/>
      <c r="H1035" s="10" t="s">
        <v>8563</v>
      </c>
      <c r="I1035" s="4" t="str">
        <f t="shared" si="113"/>
        <v>|Dárúih|</v>
      </c>
      <c r="J1035" s="3" t="str">
        <f t="shared" si="114"/>
        <v>|Darughih|</v>
      </c>
      <c r="K1035" s="3" t="str">
        <f t="shared" si="115"/>
        <v>Darughih</v>
      </c>
      <c r="N1035" s="39" t="str">
        <f t="shared" si="116"/>
        <v/>
      </c>
      <c r="P1035" s="39" t="str">
        <f t="shared" si="117"/>
        <v/>
      </c>
      <c r="R1035" s="39" t="str">
        <f t="shared" si="118"/>
        <v/>
      </c>
      <c r="S1035" s="28"/>
      <c r="T1035" s="28"/>
      <c r="U1035" s="28"/>
    </row>
    <row r="1036" spans="1:21" s="5" customFormat="1">
      <c r="A1036" s="179" t="s">
        <v>1379</v>
      </c>
      <c r="B1036" s="185" t="s">
        <v>5786</v>
      </c>
      <c r="C1036" s="35" t="str">
        <f t="shared" si="112"/>
        <v>DarulAthar</v>
      </c>
      <c r="E1036" s="40"/>
      <c r="F1036" s="15" t="s">
        <v>1380</v>
      </c>
      <c r="G1036" s="17"/>
      <c r="H1036" s="10" t="s">
        <v>8563</v>
      </c>
      <c r="I1036" s="4" t="str">
        <f t="shared" si="113"/>
        <v>|Dáru’l-Áár|</v>
      </c>
      <c r="J1036" s="3" t="str">
        <f t="shared" si="114"/>
        <v>|Daru'l-Athar|</v>
      </c>
      <c r="K1036" s="3" t="str">
        <f t="shared" si="115"/>
        <v>Darul-Athar</v>
      </c>
      <c r="N1036" s="39" t="str">
        <f t="shared" si="116"/>
        <v/>
      </c>
      <c r="P1036" s="39" t="str">
        <f t="shared" si="117"/>
        <v/>
      </c>
      <c r="R1036" s="39" t="str">
        <f t="shared" si="118"/>
        <v/>
      </c>
      <c r="S1036" s="28"/>
      <c r="T1036" s="28"/>
      <c r="U1036" s="28"/>
    </row>
    <row r="1037" spans="1:21" s="5" customFormat="1">
      <c r="A1037" s="179" t="s">
        <v>1381</v>
      </c>
      <c r="B1037" s="185" t="s">
        <v>5787</v>
      </c>
      <c r="C1037" s="35" t="str">
        <f t="shared" si="112"/>
        <v>DarulFunun</v>
      </c>
      <c r="E1037" s="40"/>
      <c r="F1037" s="15" t="s">
        <v>1382</v>
      </c>
      <c r="G1037" s="17"/>
      <c r="H1037" s="10" t="s">
        <v>8563</v>
      </c>
      <c r="I1037" s="4" t="str">
        <f t="shared" si="113"/>
        <v>|Dáru’l-Funún|</v>
      </c>
      <c r="J1037" s="3" t="str">
        <f t="shared" si="114"/>
        <v>|Daru'l-Funun|</v>
      </c>
      <c r="K1037" s="3" t="str">
        <f t="shared" si="115"/>
        <v>Darul-Funun</v>
      </c>
      <c r="N1037" s="39" t="str">
        <f t="shared" si="116"/>
        <v/>
      </c>
      <c r="P1037" s="39" t="str">
        <f t="shared" si="117"/>
        <v/>
      </c>
      <c r="R1037" s="39" t="str">
        <f t="shared" si="118"/>
        <v/>
      </c>
      <c r="S1037" s="28"/>
      <c r="T1037" s="28"/>
      <c r="U1037" s="28"/>
    </row>
    <row r="1038" spans="1:21" s="5" customFormat="1">
      <c r="A1038" s="179" t="s">
        <v>1383</v>
      </c>
      <c r="B1038" s="185" t="s">
        <v>5788</v>
      </c>
      <c r="C1038" s="35" t="str">
        <f t="shared" si="112"/>
        <v>DarulTabligh</v>
      </c>
      <c r="E1038" s="40"/>
      <c r="F1038" s="15" t="s">
        <v>1384</v>
      </c>
      <c r="G1038" s="17"/>
      <c r="H1038" s="10" t="s">
        <v>8563</v>
      </c>
      <c r="I1038" s="4" t="str">
        <f t="shared" si="113"/>
        <v>|Dáru’l-Tablí|</v>
      </c>
      <c r="J1038" s="3" t="str">
        <f t="shared" si="114"/>
        <v>|Daru'l-Tabligh|</v>
      </c>
      <c r="K1038" s="3" t="str">
        <f t="shared" si="115"/>
        <v>Darul-Tabligh</v>
      </c>
      <c r="N1038" s="39" t="str">
        <f t="shared" si="116"/>
        <v/>
      </c>
      <c r="P1038" s="39" t="str">
        <f t="shared" si="117"/>
        <v/>
      </c>
      <c r="R1038" s="39" t="str">
        <f t="shared" si="118"/>
        <v/>
      </c>
      <c r="S1038" s="28"/>
      <c r="T1038" s="28"/>
      <c r="U1038" s="28"/>
    </row>
    <row r="1039" spans="1:21" s="5" customFormat="1">
      <c r="A1039" s="179" t="s">
        <v>1385</v>
      </c>
      <c r="B1039" s="185" t="s">
        <v>5789</v>
      </c>
      <c r="C1039" s="35" t="str">
        <f t="shared" si="112"/>
        <v>DarulTarvij</v>
      </c>
      <c r="E1039" s="40"/>
      <c r="F1039" s="15" t="s">
        <v>1386</v>
      </c>
      <c r="G1039" s="17"/>
      <c r="H1039" s="10" t="s">
        <v>8563</v>
      </c>
      <c r="I1039" s="4" t="str">
        <f t="shared" si="113"/>
        <v>|Dáru’l-Tarvíj|</v>
      </c>
      <c r="J1039" s="3" t="str">
        <f t="shared" si="114"/>
        <v>|Daru'l-Tarvij|</v>
      </c>
      <c r="K1039" s="3" t="str">
        <f t="shared" si="115"/>
        <v>Darul-Tarvij</v>
      </c>
      <c r="N1039" s="39" t="str">
        <f t="shared" si="116"/>
        <v/>
      </c>
      <c r="P1039" s="39" t="str">
        <f t="shared" si="117"/>
        <v/>
      </c>
      <c r="R1039" s="39" t="str">
        <f t="shared" si="118"/>
        <v/>
      </c>
      <c r="S1039" s="28"/>
      <c r="T1039" s="28"/>
      <c r="U1039" s="28"/>
    </row>
    <row r="1040" spans="1:21" s="5" customFormat="1">
      <c r="A1040" s="179" t="s">
        <v>1387</v>
      </c>
      <c r="B1040" s="185" t="s">
        <v>5790</v>
      </c>
      <c r="C1040" s="35" t="str">
        <f t="shared" si="112"/>
        <v>DarulTashri</v>
      </c>
      <c r="E1040" s="40"/>
      <c r="F1040" s="15" t="s">
        <v>1388</v>
      </c>
      <c r="G1040" s="17"/>
      <c r="H1040" s="10" t="s">
        <v>8563</v>
      </c>
      <c r="I1040" s="4" t="str">
        <f t="shared" si="113"/>
        <v>|Dáru’l-Taríʿ|</v>
      </c>
      <c r="J1040" s="3" t="str">
        <f t="shared" si="114"/>
        <v>|Daru'l-Tashri'|</v>
      </c>
      <c r="K1040" s="3" t="str">
        <f t="shared" si="115"/>
        <v>Darul-Tashri</v>
      </c>
      <c r="N1040" s="39" t="str">
        <f t="shared" si="116"/>
        <v/>
      </c>
      <c r="P1040" s="39" t="str">
        <f t="shared" si="117"/>
        <v/>
      </c>
      <c r="R1040" s="39" t="str">
        <f t="shared" si="118"/>
        <v/>
      </c>
      <c r="S1040" s="28"/>
      <c r="T1040" s="28"/>
      <c r="U1040" s="28"/>
    </row>
    <row r="1041" spans="1:21" s="5" customFormat="1">
      <c r="A1041" s="179" t="s">
        <v>1389</v>
      </c>
      <c r="B1041" s="185" t="s">
        <v>5791</v>
      </c>
      <c r="C1041" s="35" t="str">
        <f t="shared" si="112"/>
        <v>DarushShafayiMasjidiShah</v>
      </c>
      <c r="E1041" s="40"/>
      <c r="F1041" s="15"/>
      <c r="G1041" s="17"/>
      <c r="H1041" s="10" t="s">
        <v>8563</v>
      </c>
      <c r="I1041" s="4" t="str">
        <f t="shared" si="113"/>
        <v>|Dáru’-afáy-i-Masjid-i-áh|</v>
      </c>
      <c r="J1041" s="3" t="str">
        <f t="shared" si="114"/>
        <v>|Daru'sh-Shafay-i-Masjid-i-Shah|</v>
      </c>
      <c r="K1041" s="3" t="str">
        <f t="shared" si="115"/>
        <v>Darush-Shafay-i-Masjid-i-Shah</v>
      </c>
      <c r="N1041" s="39" t="str">
        <f t="shared" si="116"/>
        <v/>
      </c>
      <c r="P1041" s="39" t="str">
        <f t="shared" si="117"/>
        <v/>
      </c>
      <c r="R1041" s="39" t="str">
        <f t="shared" si="118"/>
        <v/>
      </c>
      <c r="S1041" s="28"/>
      <c r="T1041" s="28"/>
      <c r="U1041" s="28"/>
    </row>
    <row r="1042" spans="1:21" s="5" customFormat="1">
      <c r="A1042" s="179" t="s">
        <v>1390</v>
      </c>
      <c r="B1042" s="185" t="s">
        <v>5792</v>
      </c>
      <c r="C1042" s="35" t="str">
        <f t="shared" si="112"/>
        <v>DarusSalam</v>
      </c>
      <c r="E1042" s="40"/>
      <c r="F1042" s="15" t="s">
        <v>8579</v>
      </c>
      <c r="G1042" s="17"/>
      <c r="H1042" s="10" t="s">
        <v>8563</v>
      </c>
      <c r="I1042" s="4" t="str">
        <f t="shared" si="113"/>
        <v>|Dáru’s-Salám|</v>
      </c>
      <c r="J1042" s="3" t="str">
        <f t="shared" si="114"/>
        <v>|Daru's-Salam|</v>
      </c>
      <c r="K1042" s="3" t="str">
        <f t="shared" si="115"/>
        <v>Darus-Salam</v>
      </c>
      <c r="N1042" s="39" t="str">
        <f t="shared" si="116"/>
        <v/>
      </c>
      <c r="P1042" s="39" t="str">
        <f t="shared" si="117"/>
        <v/>
      </c>
      <c r="R1042" s="39" t="str">
        <f t="shared" si="118"/>
        <v/>
      </c>
      <c r="S1042" s="28"/>
      <c r="T1042" s="28"/>
      <c r="U1042" s="28"/>
    </row>
    <row r="1043" spans="1:21" s="5" customFormat="1">
      <c r="A1043" s="179" t="s">
        <v>1391</v>
      </c>
      <c r="B1043" s="185" t="s">
        <v>5793</v>
      </c>
      <c r="C1043" s="35" t="str">
        <f t="shared" si="112"/>
        <v>DarusSurur</v>
      </c>
      <c r="E1043" s="40"/>
      <c r="F1043" s="15" t="s">
        <v>1312</v>
      </c>
      <c r="G1043" s="17"/>
      <c r="H1043" s="10" t="s">
        <v>8563</v>
      </c>
      <c r="I1043" s="4" t="str">
        <f t="shared" si="113"/>
        <v>|Dáru’s-Surúr|</v>
      </c>
      <c r="J1043" s="3" t="str">
        <f t="shared" si="114"/>
        <v>|Daru's-Surur|</v>
      </c>
      <c r="K1043" s="3" t="str">
        <f t="shared" si="115"/>
        <v>Darus-Surur</v>
      </c>
      <c r="N1043" s="39" t="str">
        <f t="shared" si="116"/>
        <v/>
      </c>
      <c r="P1043" s="39" t="str">
        <f t="shared" si="117"/>
        <v/>
      </c>
      <c r="R1043" s="39" t="str">
        <f t="shared" si="118"/>
        <v/>
      </c>
      <c r="S1043" s="28"/>
      <c r="T1043" s="28"/>
      <c r="U1043" s="28"/>
    </row>
    <row r="1044" spans="1:21" s="5" customFormat="1">
      <c r="A1044" s="179" t="s">
        <v>1392</v>
      </c>
      <c r="B1044" s="185" t="s">
        <v>5794</v>
      </c>
      <c r="C1044" s="35" t="str">
        <f t="shared" si="112"/>
        <v>Darvish</v>
      </c>
      <c r="E1044" s="40"/>
      <c r="F1044" s="14"/>
      <c r="G1044" s="17"/>
      <c r="H1044" s="10" t="s">
        <v>8563</v>
      </c>
      <c r="I1044" s="4" t="str">
        <f t="shared" si="113"/>
        <v>|Darví|</v>
      </c>
      <c r="J1044" s="3" t="str">
        <f t="shared" si="114"/>
        <v>|Darvish|</v>
      </c>
      <c r="K1044" s="3" t="str">
        <f t="shared" si="115"/>
        <v>Darvish</v>
      </c>
      <c r="N1044" s="39" t="str">
        <f t="shared" si="116"/>
        <v/>
      </c>
      <c r="P1044" s="39" t="str">
        <f t="shared" si="117"/>
        <v/>
      </c>
      <c r="R1044" s="39" t="str">
        <f t="shared" si="118"/>
        <v/>
      </c>
      <c r="S1044" s="28"/>
      <c r="T1044" s="28"/>
      <c r="U1044" s="28"/>
    </row>
    <row r="1045" spans="1:21" s="5" customFormat="1">
      <c r="A1045" s="179" t="s">
        <v>1393</v>
      </c>
      <c r="B1045" s="185" t="s">
        <v>5795</v>
      </c>
      <c r="C1045" s="35" t="str">
        <f t="shared" si="112"/>
        <v>DarvishSalah</v>
      </c>
      <c r="E1045" s="40"/>
      <c r="F1045" s="15"/>
      <c r="G1045" s="17"/>
      <c r="H1045" s="10" t="s">
        <v>8563</v>
      </c>
      <c r="I1045" s="4" t="str">
        <f t="shared" si="113"/>
        <v>|Darví-Ṣaláḥ|</v>
      </c>
      <c r="J1045" s="3" t="str">
        <f t="shared" si="114"/>
        <v>|Darvish-Salah|</v>
      </c>
      <c r="K1045" s="3" t="str">
        <f t="shared" si="115"/>
        <v>Darvish-Salah</v>
      </c>
      <c r="N1045" s="39" t="str">
        <f t="shared" si="116"/>
        <v/>
      </c>
      <c r="P1045" s="39" t="str">
        <f t="shared" si="117"/>
        <v/>
      </c>
      <c r="R1045" s="39" t="str">
        <f t="shared" si="118"/>
        <v/>
      </c>
      <c r="S1045" s="28"/>
      <c r="T1045" s="28"/>
      <c r="U1045" s="28"/>
    </row>
    <row r="1046" spans="1:21" s="5" customFormat="1">
      <c r="A1046" s="179" t="s">
        <v>1394</v>
      </c>
      <c r="B1046" s="185" t="s">
        <v>5796</v>
      </c>
      <c r="C1046" s="35" t="str">
        <f t="shared" si="112"/>
        <v>DaryayiKhazar</v>
      </c>
      <c r="E1046" s="40"/>
      <c r="F1046" s="15"/>
      <c r="G1046" s="17"/>
      <c r="H1046" s="10" t="s">
        <v>8563</v>
      </c>
      <c r="I1046" s="4" t="str">
        <f t="shared" si="113"/>
        <v>|Daryáy-i-azar|</v>
      </c>
      <c r="J1046" s="3" t="str">
        <f t="shared" si="114"/>
        <v>|Daryay-i-Khazar|</v>
      </c>
      <c r="K1046" s="3" t="str">
        <f t="shared" si="115"/>
        <v>Daryay-i-Khazar</v>
      </c>
      <c r="N1046" s="39" t="str">
        <f t="shared" si="116"/>
        <v/>
      </c>
      <c r="P1046" s="39" t="str">
        <f t="shared" si="117"/>
        <v/>
      </c>
      <c r="R1046" s="39" t="str">
        <f t="shared" si="118"/>
        <v/>
      </c>
      <c r="S1046" s="28"/>
      <c r="T1046" s="28"/>
      <c r="U1046" s="28"/>
    </row>
    <row r="1047" spans="1:21" s="5" customFormat="1">
      <c r="A1047" s="179" t="s">
        <v>1349</v>
      </c>
      <c r="B1047" s="185" t="s">
        <v>5763</v>
      </c>
      <c r="C1047" s="35" t="str">
        <f t="shared" si="112"/>
        <v>DaryayiNur</v>
      </c>
      <c r="E1047" s="40"/>
      <c r="F1047" s="15" t="s">
        <v>1350</v>
      </c>
      <c r="G1047" s="17"/>
      <c r="H1047" s="10" t="s">
        <v>8563</v>
      </c>
      <c r="I1047" s="4" t="str">
        <f t="shared" si="113"/>
        <v>|Daryáy-i-Núr|</v>
      </c>
      <c r="J1047" s="3" t="str">
        <f t="shared" si="114"/>
        <v>|Daryay-i-Nur|</v>
      </c>
      <c r="K1047" s="3" t="str">
        <f t="shared" si="115"/>
        <v>Daryay-i-Nur</v>
      </c>
      <c r="N1047" s="39" t="str">
        <f t="shared" si="116"/>
        <v/>
      </c>
      <c r="P1047" s="39" t="str">
        <f t="shared" si="117"/>
        <v/>
      </c>
      <c r="R1047" s="39" t="str">
        <f t="shared" si="118"/>
        <v/>
      </c>
      <c r="S1047" s="28"/>
      <c r="T1047" s="28"/>
      <c r="U1047" s="28"/>
    </row>
    <row r="1048" spans="1:21" s="5" customFormat="1">
      <c r="A1048" s="179" t="s">
        <v>1395</v>
      </c>
      <c r="B1048" s="185" t="s">
        <v>5797</v>
      </c>
      <c r="C1048" s="35" t="str">
        <f t="shared" si="112"/>
        <v>Daryun</v>
      </c>
      <c r="E1048" s="40"/>
      <c r="F1048" s="15" t="s">
        <v>1396</v>
      </c>
      <c r="G1048" s="17"/>
      <c r="H1048" s="10" t="s">
        <v>8563</v>
      </c>
      <c r="I1048" s="4" t="str">
        <f t="shared" si="113"/>
        <v>|Dáryún|</v>
      </c>
      <c r="J1048" s="3" t="str">
        <f t="shared" si="114"/>
        <v>|Daryun|</v>
      </c>
      <c r="K1048" s="3" t="str">
        <f t="shared" si="115"/>
        <v>Daryun</v>
      </c>
      <c r="N1048" s="39" t="str">
        <f t="shared" si="116"/>
        <v/>
      </c>
      <c r="P1048" s="39" t="str">
        <f t="shared" si="117"/>
        <v/>
      </c>
      <c r="R1048" s="39" t="str">
        <f t="shared" si="118"/>
        <v/>
      </c>
      <c r="S1048" s="28"/>
      <c r="T1048" s="28"/>
      <c r="U1048" s="28"/>
    </row>
    <row r="1049" spans="1:21" s="5" customFormat="1">
      <c r="A1049" s="179" t="s">
        <v>1397</v>
      </c>
      <c r="B1049" s="185" t="s">
        <v>5798</v>
      </c>
      <c r="C1049" s="35" t="str">
        <f t="shared" si="112"/>
        <v>Darzi</v>
      </c>
      <c r="E1049" s="40"/>
      <c r="F1049" s="15" t="s">
        <v>1398</v>
      </c>
      <c r="G1049" s="17"/>
      <c r="H1049" s="10" t="s">
        <v>8563</v>
      </c>
      <c r="I1049" s="4" t="str">
        <f t="shared" si="113"/>
        <v>|Darzí|</v>
      </c>
      <c r="J1049" s="3" t="str">
        <f t="shared" si="114"/>
        <v>|Darzi|</v>
      </c>
      <c r="K1049" s="3" t="str">
        <f t="shared" si="115"/>
        <v>Darzi</v>
      </c>
      <c r="N1049" s="39" t="str">
        <f t="shared" si="116"/>
        <v/>
      </c>
      <c r="P1049" s="39" t="str">
        <f t="shared" si="117"/>
        <v/>
      </c>
      <c r="R1049" s="39" t="str">
        <f t="shared" si="118"/>
        <v/>
      </c>
      <c r="S1049" s="28"/>
      <c r="T1049" s="28"/>
      <c r="U1049" s="28"/>
    </row>
    <row r="1050" spans="1:21" s="5" customFormat="1">
      <c r="A1050" s="179" t="s">
        <v>1399</v>
      </c>
      <c r="B1050" s="185" t="s">
        <v>5799</v>
      </c>
      <c r="C1050" s="35" t="str">
        <f t="shared" si="112"/>
        <v>Dastan</v>
      </c>
      <c r="E1050" s="40"/>
      <c r="F1050" s="15"/>
      <c r="G1050" s="17"/>
      <c r="H1050" s="10" t="s">
        <v>8563</v>
      </c>
      <c r="I1050" s="4" t="str">
        <f t="shared" si="113"/>
        <v>|Dastán|</v>
      </c>
      <c r="J1050" s="3" t="str">
        <f t="shared" si="114"/>
        <v>|Dastan|</v>
      </c>
      <c r="K1050" s="3" t="str">
        <f t="shared" si="115"/>
        <v>Dastan</v>
      </c>
      <c r="N1050" s="39" t="str">
        <f t="shared" si="116"/>
        <v/>
      </c>
      <c r="P1050" s="39" t="str">
        <f t="shared" si="117"/>
        <v/>
      </c>
      <c r="R1050" s="39" t="str">
        <f t="shared" si="118"/>
        <v/>
      </c>
      <c r="S1050" s="28"/>
      <c r="T1050" s="28"/>
      <c r="U1050" s="28"/>
    </row>
    <row r="1051" spans="1:21" s="5" customFormat="1">
      <c r="A1051" s="179" t="s">
        <v>1400</v>
      </c>
      <c r="B1051" s="185" t="s">
        <v>5800</v>
      </c>
      <c r="C1051" s="35" t="str">
        <f t="shared" si="112"/>
        <v>Dastghayb</v>
      </c>
      <c r="E1051" s="40"/>
      <c r="F1051" s="15"/>
      <c r="G1051" s="17"/>
      <c r="H1051" s="10" t="s">
        <v>8563</v>
      </c>
      <c r="I1051" s="4" t="str">
        <f t="shared" si="113"/>
        <v>|Dastayb|</v>
      </c>
      <c r="J1051" s="3" t="str">
        <f t="shared" si="114"/>
        <v>|Dastghayb|</v>
      </c>
      <c r="K1051" s="3" t="str">
        <f t="shared" si="115"/>
        <v>Dastghayb</v>
      </c>
      <c r="N1051" s="39" t="str">
        <f t="shared" si="116"/>
        <v/>
      </c>
      <c r="P1051" s="39" t="str">
        <f t="shared" si="117"/>
        <v/>
      </c>
      <c r="R1051" s="39" t="str">
        <f t="shared" si="118"/>
        <v/>
      </c>
      <c r="S1051" s="28"/>
      <c r="T1051" s="28"/>
      <c r="U1051" s="28"/>
    </row>
    <row r="1052" spans="1:21" s="5" customFormat="1">
      <c r="A1052" s="179" t="s">
        <v>1401</v>
      </c>
      <c r="B1052" s="185" t="s">
        <v>5801</v>
      </c>
      <c r="C1052" s="35" t="str">
        <f t="shared" si="112"/>
        <v>DastmalGirihZan</v>
      </c>
      <c r="E1052" s="40"/>
      <c r="F1052" s="14"/>
      <c r="G1052" s="17"/>
      <c r="H1052" s="10" t="s">
        <v>8563</v>
      </c>
      <c r="I1052" s="4" t="str">
        <f t="shared" si="113"/>
        <v>|Dastmál-Girih-Zan|</v>
      </c>
      <c r="J1052" s="3" t="str">
        <f t="shared" si="114"/>
        <v>|Dastmal-Girih-Zan|</v>
      </c>
      <c r="K1052" s="3" t="str">
        <f t="shared" si="115"/>
        <v>Dastmal-Girih-Zan</v>
      </c>
      <c r="N1052" s="39" t="str">
        <f t="shared" si="116"/>
        <v/>
      </c>
      <c r="P1052" s="39" t="str">
        <f t="shared" si="117"/>
        <v/>
      </c>
      <c r="R1052" s="39" t="str">
        <f t="shared" si="118"/>
        <v/>
      </c>
      <c r="S1052" s="28"/>
      <c r="T1052" s="28"/>
      <c r="U1052" s="28"/>
    </row>
    <row r="1053" spans="1:21" s="5" customFormat="1">
      <c r="A1053" s="179" t="s">
        <v>1402</v>
      </c>
      <c r="B1053" s="185" t="s">
        <v>5802</v>
      </c>
      <c r="C1053" s="35" t="str">
        <f t="shared" si="112"/>
        <v>Dastur</v>
      </c>
      <c r="E1053" s="40"/>
      <c r="F1053" s="15" t="s">
        <v>1403</v>
      </c>
      <c r="G1053" s="17"/>
      <c r="H1053" s="10" t="s">
        <v>8563</v>
      </c>
      <c r="I1053" s="4" t="str">
        <f t="shared" si="113"/>
        <v>|Dastúr|</v>
      </c>
      <c r="J1053" s="3" t="str">
        <f t="shared" si="114"/>
        <v>|Dastur|</v>
      </c>
      <c r="K1053" s="3" t="str">
        <f t="shared" si="115"/>
        <v>Dastur</v>
      </c>
      <c r="N1053" s="39" t="str">
        <f t="shared" si="116"/>
        <v/>
      </c>
      <c r="P1053" s="39" t="str">
        <f t="shared" si="117"/>
        <v/>
      </c>
      <c r="R1053" s="39" t="str">
        <f t="shared" si="118"/>
        <v/>
      </c>
      <c r="S1053" s="28"/>
      <c r="T1053" s="28"/>
      <c r="U1053" s="28"/>
    </row>
    <row r="1054" spans="1:21" s="5" customFormat="1">
      <c r="A1054" s="179" t="s">
        <v>1406</v>
      </c>
      <c r="B1054" s="185" t="s">
        <v>5805</v>
      </c>
      <c r="C1054" s="35" t="str">
        <f t="shared" si="112"/>
        <v>Dava</v>
      </c>
      <c r="E1054" s="40"/>
      <c r="F1054" s="15"/>
      <c r="G1054" s="17"/>
      <c r="H1054" s="10" t="s">
        <v>8563</v>
      </c>
      <c r="I1054" s="4" t="str">
        <f t="shared" si="113"/>
        <v>|Daʿvá|</v>
      </c>
      <c r="J1054" s="3" t="str">
        <f t="shared" si="114"/>
        <v>|Da'va|</v>
      </c>
      <c r="K1054" s="3" t="str">
        <f t="shared" si="115"/>
        <v>Dava</v>
      </c>
      <c r="N1054" s="39" t="str">
        <f t="shared" si="116"/>
        <v/>
      </c>
      <c r="P1054" s="39" t="str">
        <f t="shared" si="117"/>
        <v/>
      </c>
      <c r="R1054" s="39" t="str">
        <f t="shared" si="118"/>
        <v/>
      </c>
      <c r="S1054" s="28"/>
      <c r="T1054" s="28"/>
      <c r="U1054" s="28"/>
    </row>
    <row r="1055" spans="1:21" s="5" customFormat="1">
      <c r="A1055" s="179" t="s">
        <v>1404</v>
      </c>
      <c r="B1055" s="185" t="s">
        <v>5803</v>
      </c>
      <c r="C1055" s="35" t="str">
        <f t="shared" si="112"/>
        <v>Davud</v>
      </c>
      <c r="E1055" s="40"/>
      <c r="F1055" s="14"/>
      <c r="G1055" s="17"/>
      <c r="H1055" s="10" t="s">
        <v>8563</v>
      </c>
      <c r="I1055" s="4" t="str">
        <f t="shared" si="113"/>
        <v>|Dávúd|</v>
      </c>
      <c r="J1055" s="3" t="str">
        <f t="shared" si="114"/>
        <v>|Davud|</v>
      </c>
      <c r="K1055" s="3" t="str">
        <f t="shared" si="115"/>
        <v>Davud</v>
      </c>
      <c r="N1055" s="39" t="str">
        <f t="shared" si="116"/>
        <v/>
      </c>
      <c r="P1055" s="39" t="str">
        <f t="shared" si="117"/>
        <v/>
      </c>
      <c r="R1055" s="39" t="str">
        <f t="shared" si="118"/>
        <v/>
      </c>
      <c r="S1055" s="28"/>
      <c r="T1055" s="28"/>
      <c r="U1055" s="28"/>
    </row>
    <row r="1056" spans="1:21" s="5" customFormat="1">
      <c r="A1056" s="179" t="s">
        <v>1405</v>
      </c>
      <c r="B1056" s="185" t="s">
        <v>5804</v>
      </c>
      <c r="C1056" s="35" t="str">
        <f t="shared" si="112"/>
        <v>Davudi</v>
      </c>
      <c r="E1056" s="40"/>
      <c r="F1056" s="14"/>
      <c r="G1056" s="17"/>
      <c r="H1056" s="10" t="s">
        <v>8563</v>
      </c>
      <c r="I1056" s="4" t="str">
        <f t="shared" si="113"/>
        <v>|Dávúdí|</v>
      </c>
      <c r="J1056" s="3" t="str">
        <f t="shared" si="114"/>
        <v>|Davudi|</v>
      </c>
      <c r="K1056" s="3" t="str">
        <f t="shared" si="115"/>
        <v>Davudi</v>
      </c>
      <c r="N1056" s="39" t="str">
        <f t="shared" si="116"/>
        <v/>
      </c>
      <c r="P1056" s="39" t="str">
        <f t="shared" si="117"/>
        <v/>
      </c>
      <c r="R1056" s="39" t="str">
        <f t="shared" si="118"/>
        <v/>
      </c>
      <c r="S1056" s="28"/>
      <c r="T1056" s="28"/>
      <c r="U1056" s="28"/>
    </row>
    <row r="1057" spans="1:21" s="5" customFormat="1">
      <c r="A1057" s="179" t="s">
        <v>1407</v>
      </c>
      <c r="B1057" s="185" t="s">
        <v>5806</v>
      </c>
      <c r="C1057" s="35" t="str">
        <f t="shared" si="112"/>
        <v>DawlatAbad</v>
      </c>
      <c r="E1057" s="40"/>
      <c r="F1057" s="14"/>
      <c r="G1057" s="17"/>
      <c r="H1057" s="10" t="s">
        <v>8563</v>
      </c>
      <c r="I1057" s="4" t="str">
        <f t="shared" si="113"/>
        <v>|Dawlat-Ábád|</v>
      </c>
      <c r="J1057" s="3" t="str">
        <f t="shared" si="114"/>
        <v>|Dawlat-Abad|</v>
      </c>
      <c r="K1057" s="3" t="str">
        <f t="shared" si="115"/>
        <v>Dawlat-Abad</v>
      </c>
      <c r="N1057" s="39" t="str">
        <f t="shared" si="116"/>
        <v/>
      </c>
      <c r="P1057" s="39" t="str">
        <f t="shared" si="117"/>
        <v/>
      </c>
      <c r="R1057" s="39" t="str">
        <f t="shared" si="118"/>
        <v/>
      </c>
      <c r="S1057" s="28"/>
      <c r="T1057" s="28"/>
      <c r="U1057" s="28"/>
    </row>
    <row r="1058" spans="1:21" s="5" customFormat="1">
      <c r="A1058" s="179" t="s">
        <v>1408</v>
      </c>
      <c r="B1058" s="185" t="s">
        <v>5807</v>
      </c>
      <c r="C1058" s="35" t="str">
        <f t="shared" si="112"/>
        <v>DawlatAbadi</v>
      </c>
      <c r="E1058" s="40"/>
      <c r="F1058" s="14"/>
      <c r="G1058" s="17"/>
      <c r="H1058" s="10" t="s">
        <v>8563</v>
      </c>
      <c r="I1058" s="4" t="str">
        <f t="shared" si="113"/>
        <v>|Dawlat-Ábádí|</v>
      </c>
      <c r="J1058" s="3" t="str">
        <f t="shared" si="114"/>
        <v>|Dawlat-Abadi|</v>
      </c>
      <c r="K1058" s="3" t="str">
        <f t="shared" si="115"/>
        <v>Dawlat-Abadi</v>
      </c>
      <c r="N1058" s="39" t="str">
        <f t="shared" si="116"/>
        <v/>
      </c>
      <c r="P1058" s="39" t="str">
        <f t="shared" si="117"/>
        <v/>
      </c>
      <c r="R1058" s="39" t="str">
        <f t="shared" si="118"/>
        <v/>
      </c>
      <c r="S1058" s="28"/>
      <c r="T1058" s="28"/>
      <c r="U1058" s="28"/>
    </row>
    <row r="1059" spans="1:21" s="5" customFormat="1">
      <c r="A1059" s="179" t="s">
        <v>1409</v>
      </c>
      <c r="B1059" s="185" t="s">
        <v>5808</v>
      </c>
      <c r="C1059" s="35" t="str">
        <f t="shared" si="112"/>
        <v>DawlatShah</v>
      </c>
      <c r="E1059" s="40"/>
      <c r="F1059" s="15"/>
      <c r="G1059" s="17"/>
      <c r="H1059" s="10" t="s">
        <v>8563</v>
      </c>
      <c r="I1059" s="4" t="str">
        <f t="shared" si="113"/>
        <v>|Dawlat-áh|</v>
      </c>
      <c r="J1059" s="3" t="str">
        <f t="shared" si="114"/>
        <v>|Dawlat-Shah|</v>
      </c>
      <c r="K1059" s="3" t="str">
        <f t="shared" si="115"/>
        <v>Dawlat-Shah</v>
      </c>
      <c r="N1059" s="39" t="str">
        <f t="shared" si="116"/>
        <v/>
      </c>
      <c r="P1059" s="39" t="str">
        <f t="shared" si="117"/>
        <v/>
      </c>
      <c r="R1059" s="39" t="str">
        <f t="shared" si="118"/>
        <v/>
      </c>
      <c r="S1059" s="28"/>
      <c r="T1059" s="28"/>
      <c r="U1059" s="28"/>
    </row>
    <row r="1060" spans="1:21" s="5" customFormat="1">
      <c r="A1060" s="179" t="s">
        <v>1410</v>
      </c>
      <c r="B1060" s="185" t="s">
        <v>5809</v>
      </c>
      <c r="C1060" s="35" t="str">
        <f t="shared" si="112"/>
        <v>Dawlih</v>
      </c>
      <c r="E1060" s="40"/>
      <c r="F1060" s="14" t="s">
        <v>1411</v>
      </c>
      <c r="G1060" s="17"/>
      <c r="H1060" s="10" t="s">
        <v>8563</v>
      </c>
      <c r="I1060" s="4" t="str">
        <f t="shared" si="113"/>
        <v>|Dawlih|</v>
      </c>
      <c r="J1060" s="3" t="str">
        <f t="shared" si="114"/>
        <v>|Dawlih|</v>
      </c>
      <c r="K1060" s="3" t="str">
        <f t="shared" si="115"/>
        <v>Dawlih</v>
      </c>
      <c r="N1060" s="39" t="str">
        <f t="shared" si="116"/>
        <v/>
      </c>
      <c r="P1060" s="39" t="str">
        <f t="shared" si="117"/>
        <v/>
      </c>
      <c r="R1060" s="39" t="str">
        <f t="shared" si="118"/>
        <v/>
      </c>
      <c r="S1060" s="28"/>
      <c r="T1060" s="28"/>
      <c r="U1060" s="28"/>
    </row>
    <row r="1061" spans="1:21" s="5" customFormat="1">
      <c r="A1061" s="179" t="s">
        <v>1412</v>
      </c>
      <c r="B1061" s="185" t="s">
        <v>5810</v>
      </c>
      <c r="C1061" s="35" t="str">
        <f t="shared" si="112"/>
        <v>DawriBahai</v>
      </c>
      <c r="E1061" s="40"/>
      <c r="F1061" s="15" t="s">
        <v>1413</v>
      </c>
      <c r="G1061" s="17"/>
      <c r="H1061" s="10" t="s">
        <v>8563</v>
      </c>
      <c r="I1061" s="4" t="str">
        <f t="shared" si="113"/>
        <v>|Dawr-i-Bahá’í|</v>
      </c>
      <c r="J1061" s="3" t="str">
        <f t="shared" si="114"/>
        <v>|Dawr-i-Baha'i|</v>
      </c>
      <c r="K1061" s="3" t="str">
        <f t="shared" si="115"/>
        <v>Dawr-i-Bahai</v>
      </c>
      <c r="N1061" s="39" t="str">
        <f t="shared" si="116"/>
        <v/>
      </c>
      <c r="P1061" s="39" t="str">
        <f t="shared" si="117"/>
        <v/>
      </c>
      <c r="R1061" s="39" t="str">
        <f t="shared" si="118"/>
        <v/>
      </c>
      <c r="S1061" s="28"/>
      <c r="T1061" s="28"/>
      <c r="U1061" s="28"/>
    </row>
    <row r="1062" spans="1:21" s="5" customFormat="1">
      <c r="A1062" s="179" t="s">
        <v>1414</v>
      </c>
      <c r="B1062" s="185" t="s">
        <v>5811</v>
      </c>
      <c r="C1062" s="35" t="str">
        <f t="shared" si="112"/>
        <v>Dayana</v>
      </c>
      <c r="E1062" s="40"/>
      <c r="F1062" s="15"/>
      <c r="G1062" s="17"/>
      <c r="H1062" s="10" t="s">
        <v>8563</v>
      </c>
      <c r="I1062" s="4" t="str">
        <f t="shared" si="113"/>
        <v>|Dáyáná|</v>
      </c>
      <c r="J1062" s="3" t="str">
        <f t="shared" si="114"/>
        <v>|Dayana|</v>
      </c>
      <c r="K1062" s="3" t="str">
        <f t="shared" si="115"/>
        <v>Dayana</v>
      </c>
      <c r="N1062" s="39" t="str">
        <f t="shared" si="116"/>
        <v/>
      </c>
      <c r="P1062" s="39" t="str">
        <f t="shared" si="117"/>
        <v/>
      </c>
      <c r="R1062" s="39" t="str">
        <f t="shared" si="118"/>
        <v/>
      </c>
      <c r="S1062" s="28"/>
      <c r="T1062" s="28"/>
      <c r="U1062" s="28"/>
    </row>
    <row r="1063" spans="1:21" s="5" customFormat="1">
      <c r="A1063" s="179" t="s">
        <v>1415</v>
      </c>
      <c r="B1063" s="185" t="s">
        <v>5812</v>
      </c>
      <c r="C1063" s="35" t="str">
        <f t="shared" si="112"/>
        <v>Daylami</v>
      </c>
      <c r="E1063" s="40"/>
      <c r="F1063" s="15"/>
      <c r="G1063" s="17"/>
      <c r="H1063" s="10" t="s">
        <v>8563</v>
      </c>
      <c r="I1063" s="4" t="str">
        <f t="shared" si="113"/>
        <v>|Daylamí|</v>
      </c>
      <c r="J1063" s="3" t="str">
        <f t="shared" si="114"/>
        <v>|Daylami|</v>
      </c>
      <c r="K1063" s="3" t="str">
        <f t="shared" si="115"/>
        <v>Daylami</v>
      </c>
      <c r="N1063" s="39" t="str">
        <f t="shared" si="116"/>
        <v/>
      </c>
      <c r="P1063" s="39" t="str">
        <f t="shared" si="117"/>
        <v/>
      </c>
      <c r="R1063" s="39" t="str">
        <f t="shared" si="118"/>
        <v/>
      </c>
      <c r="S1063" s="28"/>
      <c r="T1063" s="28"/>
      <c r="U1063" s="28"/>
    </row>
    <row r="1064" spans="1:21" s="5" customFormat="1">
      <c r="A1064" s="179" t="s">
        <v>1416</v>
      </c>
      <c r="B1064" s="185" t="s">
        <v>5813</v>
      </c>
      <c r="C1064" s="35" t="str">
        <f t="shared" si="112"/>
        <v>Daylamistan</v>
      </c>
      <c r="E1064" s="40"/>
      <c r="F1064" s="15"/>
      <c r="G1064" s="17"/>
      <c r="H1064" s="10" t="s">
        <v>8563</v>
      </c>
      <c r="I1064" s="4" t="str">
        <f t="shared" si="113"/>
        <v>|Daylamistán|</v>
      </c>
      <c r="J1064" s="3" t="str">
        <f t="shared" si="114"/>
        <v>|Daylamistan|</v>
      </c>
      <c r="K1064" s="3" t="str">
        <f t="shared" si="115"/>
        <v>Daylamistan</v>
      </c>
      <c r="N1064" s="39" t="str">
        <f t="shared" si="116"/>
        <v/>
      </c>
      <c r="P1064" s="39" t="str">
        <f t="shared" si="117"/>
        <v/>
      </c>
      <c r="R1064" s="39" t="str">
        <f t="shared" si="118"/>
        <v/>
      </c>
      <c r="S1064" s="28"/>
      <c r="T1064" s="28"/>
      <c r="U1064" s="28"/>
    </row>
    <row r="1065" spans="1:21" s="5" customFormat="1">
      <c r="A1065" s="179" t="s">
        <v>1417</v>
      </c>
      <c r="B1065" s="185" t="s">
        <v>5814</v>
      </c>
      <c r="C1065" s="35" t="str">
        <f t="shared" si="112"/>
        <v>Dayyan</v>
      </c>
      <c r="E1065" s="40"/>
      <c r="F1065" s="14"/>
      <c r="G1065" s="17"/>
      <c r="H1065" s="10" t="s">
        <v>8563</v>
      </c>
      <c r="I1065" s="4" t="str">
        <f t="shared" si="113"/>
        <v>|Dayyán|</v>
      </c>
      <c r="J1065" s="3" t="str">
        <f t="shared" si="114"/>
        <v>|Dayyan|</v>
      </c>
      <c r="K1065" s="3" t="str">
        <f t="shared" si="115"/>
        <v>Dayyan</v>
      </c>
      <c r="N1065" s="39" t="str">
        <f t="shared" si="116"/>
        <v/>
      </c>
      <c r="P1065" s="39" t="str">
        <f t="shared" si="117"/>
        <v/>
      </c>
      <c r="R1065" s="39" t="str">
        <f t="shared" si="118"/>
        <v/>
      </c>
      <c r="S1065" s="28"/>
      <c r="T1065" s="28"/>
      <c r="U1065" s="28"/>
    </row>
    <row r="1066" spans="1:21" s="5" customFormat="1">
      <c r="A1066" s="179" t="s">
        <v>1418</v>
      </c>
      <c r="B1066" s="185" t="s">
        <v>5815</v>
      </c>
      <c r="C1066" s="35" t="str">
        <f t="shared" si="112"/>
        <v>Dhabih</v>
      </c>
      <c r="E1066" s="40"/>
      <c r="F1066" s="14"/>
      <c r="G1066" s="17"/>
      <c r="H1066" s="10" t="s">
        <v>8563</v>
      </c>
      <c r="I1066" s="4" t="str">
        <f t="shared" si="113"/>
        <v>|abíḥ|</v>
      </c>
      <c r="J1066" s="3" t="str">
        <f t="shared" si="114"/>
        <v>|Dhabih|</v>
      </c>
      <c r="K1066" s="3" t="str">
        <f t="shared" si="115"/>
        <v>Dhabih</v>
      </c>
      <c r="N1066" s="39" t="str">
        <f t="shared" si="116"/>
        <v/>
      </c>
      <c r="P1066" s="39" t="str">
        <f t="shared" si="117"/>
        <v/>
      </c>
      <c r="R1066" s="39" t="str">
        <f t="shared" si="118"/>
        <v/>
      </c>
      <c r="S1066" s="28"/>
      <c r="T1066" s="28"/>
      <c r="U1066" s="28"/>
    </row>
    <row r="1067" spans="1:21" s="5" customFormat="1">
      <c r="A1067" s="179" t="s">
        <v>1419</v>
      </c>
      <c r="B1067" s="185" t="s">
        <v>5816</v>
      </c>
      <c r="C1067" s="35" t="str">
        <f t="shared" si="112"/>
        <v>Dhabihiyan</v>
      </c>
      <c r="E1067" s="40"/>
      <c r="F1067" s="15"/>
      <c r="G1067" s="17"/>
      <c r="H1067" s="10" t="s">
        <v>8563</v>
      </c>
      <c r="I1067" s="4" t="str">
        <f t="shared" si="113"/>
        <v>|abíhíyán|</v>
      </c>
      <c r="J1067" s="3" t="str">
        <f t="shared" si="114"/>
        <v>|Dhabihiyan|</v>
      </c>
      <c r="K1067" s="3" t="str">
        <f t="shared" si="115"/>
        <v>Dhabihiyan</v>
      </c>
      <c r="N1067" s="39" t="str">
        <f t="shared" si="116"/>
        <v/>
      </c>
      <c r="P1067" s="39" t="str">
        <f t="shared" si="117"/>
        <v/>
      </c>
      <c r="R1067" s="39" t="str">
        <f t="shared" si="118"/>
        <v/>
      </c>
      <c r="S1067" s="28"/>
      <c r="T1067" s="28"/>
      <c r="U1067" s="28"/>
    </row>
    <row r="1068" spans="1:21" s="5" customFormat="1">
      <c r="A1068" s="179" t="s">
        <v>1420</v>
      </c>
      <c r="B1068" s="185" t="s">
        <v>5817</v>
      </c>
      <c r="C1068" s="35" t="str">
        <f t="shared" si="112"/>
        <v>Dhabihullah</v>
      </c>
      <c r="E1068" s="40"/>
      <c r="F1068" s="15"/>
      <c r="G1068" s="17"/>
      <c r="H1068" s="10" t="s">
        <v>8563</v>
      </c>
      <c r="I1068" s="4" t="str">
        <f t="shared" si="113"/>
        <v>|abíḥu’lláh|</v>
      </c>
      <c r="J1068" s="3" t="str">
        <f t="shared" si="114"/>
        <v>|Dhabihu'llah|</v>
      </c>
      <c r="K1068" s="3" t="str">
        <f t="shared" si="115"/>
        <v>Dhabihullah</v>
      </c>
      <c r="N1068" s="39" t="str">
        <f t="shared" si="116"/>
        <v/>
      </c>
      <c r="P1068" s="39" t="str">
        <f t="shared" si="117"/>
        <v/>
      </c>
      <c r="R1068" s="39" t="str">
        <f t="shared" si="118"/>
        <v/>
      </c>
      <c r="S1068" s="28"/>
      <c r="T1068" s="28"/>
      <c r="U1068" s="28"/>
    </row>
    <row r="1069" spans="1:21" s="5" customFormat="1">
      <c r="A1069" s="179" t="s">
        <v>1421</v>
      </c>
      <c r="B1069" s="185" t="s">
        <v>5818</v>
      </c>
      <c r="C1069" s="35" t="str">
        <f t="shared" si="112"/>
        <v>Dhahabi</v>
      </c>
      <c r="E1069" s="40"/>
      <c r="F1069" s="14"/>
      <c r="G1069" s="17"/>
      <c r="H1069" s="10" t="s">
        <v>8563</v>
      </c>
      <c r="I1069" s="4" t="str">
        <f t="shared" si="113"/>
        <v>|ahábí|</v>
      </c>
      <c r="J1069" s="3" t="str">
        <f t="shared" si="114"/>
        <v>|Dhahabi|</v>
      </c>
      <c r="K1069" s="3" t="str">
        <f t="shared" si="115"/>
        <v>Dhahabi</v>
      </c>
      <c r="N1069" s="39" t="str">
        <f t="shared" si="116"/>
        <v/>
      </c>
      <c r="P1069" s="39" t="str">
        <f t="shared" si="117"/>
        <v/>
      </c>
      <c r="R1069" s="39" t="str">
        <f t="shared" si="118"/>
        <v/>
      </c>
      <c r="S1069" s="28"/>
      <c r="T1069" s="28"/>
      <c r="U1069" s="28"/>
    </row>
    <row r="1070" spans="1:21" s="5" customFormat="1">
      <c r="A1070" s="179" t="s">
        <v>1422</v>
      </c>
      <c r="B1070" s="185" t="s">
        <v>5819</v>
      </c>
      <c r="C1070" s="35" t="str">
        <f t="shared" si="112"/>
        <v>Dhaki</v>
      </c>
      <c r="E1070" s="40"/>
      <c r="F1070" s="15"/>
      <c r="G1070" s="17"/>
      <c r="H1070" s="10" t="s">
        <v>8563</v>
      </c>
      <c r="I1070" s="4" t="str">
        <f t="shared" si="113"/>
        <v>|akí|</v>
      </c>
      <c r="J1070" s="3" t="str">
        <f t="shared" si="114"/>
        <v>|Dhaki|</v>
      </c>
      <c r="K1070" s="3" t="str">
        <f t="shared" si="115"/>
        <v>Dhaki</v>
      </c>
      <c r="N1070" s="39" t="str">
        <f t="shared" si="116"/>
        <v/>
      </c>
      <c r="P1070" s="39" t="str">
        <f t="shared" si="117"/>
        <v/>
      </c>
      <c r="R1070" s="39" t="str">
        <f t="shared" si="118"/>
        <v/>
      </c>
      <c r="S1070" s="28"/>
      <c r="T1070" s="28"/>
      <c r="U1070" s="28"/>
    </row>
    <row r="1071" spans="1:21" s="5" customFormat="1">
      <c r="A1071" s="179" t="s">
        <v>1423</v>
      </c>
      <c r="B1071" s="185" t="s">
        <v>5820</v>
      </c>
      <c r="C1071" s="35" t="str">
        <f t="shared" si="112"/>
        <v>Dhat</v>
      </c>
      <c r="E1071" s="40"/>
      <c r="F1071" s="15"/>
      <c r="G1071" s="17"/>
      <c r="H1071" s="10" t="s">
        <v>8563</v>
      </c>
      <c r="I1071" s="4" t="str">
        <f t="shared" si="113"/>
        <v>|át|</v>
      </c>
      <c r="J1071" s="3" t="str">
        <f t="shared" si="114"/>
        <v>|Dhat|</v>
      </c>
      <c r="K1071" s="3" t="str">
        <f t="shared" si="115"/>
        <v>Dhat</v>
      </c>
      <c r="N1071" s="39" t="str">
        <f t="shared" si="116"/>
        <v/>
      </c>
      <c r="P1071" s="39" t="str">
        <f t="shared" si="117"/>
        <v/>
      </c>
      <c r="R1071" s="39" t="str">
        <f t="shared" si="118"/>
        <v/>
      </c>
      <c r="S1071" s="28"/>
      <c r="T1071" s="28"/>
      <c r="U1071" s="28"/>
    </row>
    <row r="1072" spans="1:21" s="5" customFormat="1">
      <c r="A1072" s="179" t="s">
        <v>1424</v>
      </c>
      <c r="B1072" s="185" t="s">
        <v>5821</v>
      </c>
      <c r="C1072" s="35" t="str">
        <f t="shared" si="112"/>
        <v>Dhib</v>
      </c>
      <c r="E1072" s="40"/>
      <c r="F1072" s="14" t="s">
        <v>1425</v>
      </c>
      <c r="G1072" s="17"/>
      <c r="H1072" s="10" t="s">
        <v>8563</v>
      </c>
      <c r="I1072" s="4" t="str">
        <f t="shared" si="113"/>
        <v>|i’b|</v>
      </c>
      <c r="J1072" s="3" t="str">
        <f t="shared" si="114"/>
        <v>|Dhi'b|</v>
      </c>
      <c r="K1072" s="3" t="str">
        <f t="shared" si="115"/>
        <v>Dhib</v>
      </c>
      <c r="N1072" s="39" t="str">
        <f t="shared" si="116"/>
        <v/>
      </c>
      <c r="P1072" s="39" t="str">
        <f t="shared" si="117"/>
        <v/>
      </c>
      <c r="R1072" s="39" t="str">
        <f t="shared" si="118"/>
        <v/>
      </c>
      <c r="S1072" s="28"/>
      <c r="T1072" s="28"/>
      <c r="U1072" s="28"/>
    </row>
    <row r="1073" spans="1:21" s="5" customFormat="1">
      <c r="A1073" s="179" t="s">
        <v>1426</v>
      </c>
      <c r="B1073" s="185" t="s">
        <v>5822</v>
      </c>
      <c r="C1073" s="35" t="str">
        <f t="shared" si="112"/>
        <v>Dhibh</v>
      </c>
      <c r="E1073" s="40"/>
      <c r="F1073" s="15" t="s">
        <v>1427</v>
      </c>
      <c r="G1073" s="17"/>
      <c r="H1073" s="10" t="s">
        <v>8563</v>
      </c>
      <c r="I1073" s="4" t="str">
        <f t="shared" si="113"/>
        <v>|ibḥ|</v>
      </c>
      <c r="J1073" s="3" t="str">
        <f t="shared" si="114"/>
        <v>|Dhibh|</v>
      </c>
      <c r="K1073" s="3" t="str">
        <f t="shared" si="115"/>
        <v>Dhibh</v>
      </c>
      <c r="N1073" s="39" t="str">
        <f t="shared" si="116"/>
        <v/>
      </c>
      <c r="P1073" s="39" t="str">
        <f t="shared" si="117"/>
        <v/>
      </c>
      <c r="R1073" s="39" t="str">
        <f t="shared" si="118"/>
        <v/>
      </c>
      <c r="S1073" s="28"/>
      <c r="T1073" s="28"/>
      <c r="U1073" s="28"/>
    </row>
    <row r="1074" spans="1:21" s="5" customFormat="1">
      <c r="A1074" s="179" t="s">
        <v>1428</v>
      </c>
      <c r="B1074" s="185" t="s">
        <v>5823</v>
      </c>
      <c r="C1074" s="35" t="str">
        <f t="shared" si="112"/>
        <v>Dhikr</v>
      </c>
      <c r="E1074" s="40"/>
      <c r="F1074" s="14" t="s">
        <v>1429</v>
      </c>
      <c r="G1074" s="17"/>
      <c r="H1074" s="10" t="s">
        <v>8563</v>
      </c>
      <c r="I1074" s="4" t="str">
        <f t="shared" si="113"/>
        <v>|ikr|</v>
      </c>
      <c r="J1074" s="3" t="str">
        <f t="shared" si="114"/>
        <v>|Dhikr|</v>
      </c>
      <c r="K1074" s="3" t="str">
        <f t="shared" si="115"/>
        <v>Dhikr</v>
      </c>
      <c r="N1074" s="39" t="str">
        <f t="shared" si="116"/>
        <v/>
      </c>
      <c r="P1074" s="39" t="str">
        <f t="shared" si="117"/>
        <v/>
      </c>
      <c r="R1074" s="39" t="str">
        <f t="shared" si="118"/>
        <v/>
      </c>
      <c r="S1074" s="28"/>
      <c r="T1074" s="28"/>
      <c r="U1074" s="28"/>
    </row>
    <row r="1075" spans="1:21" s="5" customFormat="1">
      <c r="A1075" s="179" t="s">
        <v>1430</v>
      </c>
      <c r="B1075" s="185" t="s">
        <v>8957</v>
      </c>
      <c r="C1075" s="35" t="str">
        <f t="shared" si="112"/>
        <v>Dhikriyyih</v>
      </c>
      <c r="E1075" s="40"/>
      <c r="F1075" s="15"/>
      <c r="G1075" s="17"/>
      <c r="H1075" s="10" t="s">
        <v>8563</v>
      </c>
      <c r="I1075" s="4" t="str">
        <f t="shared" si="113"/>
        <v>|ikríyyih|</v>
      </c>
      <c r="J1075" s="3" t="str">
        <f t="shared" si="114"/>
        <v>|Dhikriyyih|</v>
      </c>
      <c r="K1075" s="3" t="str">
        <f t="shared" si="115"/>
        <v>Dhikriyyih</v>
      </c>
      <c r="N1075" s="39" t="str">
        <f t="shared" si="116"/>
        <v/>
      </c>
      <c r="P1075" s="39" t="str">
        <f t="shared" si="117"/>
        <v/>
      </c>
      <c r="R1075" s="39" t="str">
        <f t="shared" si="118"/>
        <v/>
      </c>
      <c r="S1075" s="28"/>
      <c r="T1075" s="28"/>
      <c r="U1075" s="28"/>
    </row>
    <row r="1076" spans="1:21" s="5" customFormat="1">
      <c r="A1076" s="179" t="s">
        <v>1431</v>
      </c>
      <c r="B1076" s="185" t="s">
        <v>5824</v>
      </c>
      <c r="C1076" s="35" t="str">
        <f t="shared" si="112"/>
        <v>Dhikrullah</v>
      </c>
      <c r="E1076" s="40"/>
      <c r="F1076" s="14"/>
      <c r="G1076" s="17"/>
      <c r="H1076" s="10" t="s">
        <v>8563</v>
      </c>
      <c r="I1076" s="4" t="str">
        <f t="shared" si="113"/>
        <v>|ikru’lláh|</v>
      </c>
      <c r="J1076" s="3" t="str">
        <f t="shared" si="114"/>
        <v>|Dhikru'llah|</v>
      </c>
      <c r="K1076" s="3" t="str">
        <f t="shared" si="115"/>
        <v>Dhikrullah</v>
      </c>
      <c r="N1076" s="39" t="str">
        <f t="shared" si="116"/>
        <v/>
      </c>
      <c r="P1076" s="39" t="str">
        <f t="shared" si="117"/>
        <v/>
      </c>
      <c r="R1076" s="39" t="str">
        <f t="shared" si="118"/>
        <v/>
      </c>
      <c r="S1076" s="28"/>
      <c r="T1076" s="28"/>
      <c r="U1076" s="28"/>
    </row>
    <row r="1077" spans="1:21" s="5" customFormat="1">
      <c r="A1077" s="179" t="s">
        <v>1432</v>
      </c>
      <c r="B1077" s="185" t="s">
        <v>5825</v>
      </c>
      <c r="C1077" s="35" t="str">
        <f t="shared" si="112"/>
        <v>DhikrullahiAzam</v>
      </c>
      <c r="E1077" s="40"/>
      <c r="F1077" s="15"/>
      <c r="G1077" s="17"/>
      <c r="H1077" s="10" t="s">
        <v>8563</v>
      </c>
      <c r="I1077" s="4" t="str">
        <f t="shared" si="113"/>
        <v>|ikru’lláh-i-Aʿẓam|</v>
      </c>
      <c r="J1077" s="3" t="str">
        <f t="shared" si="114"/>
        <v>|Dhikru'llah-i-A'zam|</v>
      </c>
      <c r="K1077" s="3" t="str">
        <f t="shared" si="115"/>
        <v>Dhikrullah-i-Azam</v>
      </c>
      <c r="N1077" s="39" t="str">
        <f t="shared" si="116"/>
        <v/>
      </c>
      <c r="P1077" s="39" t="str">
        <f t="shared" si="117"/>
        <v/>
      </c>
      <c r="R1077" s="39" t="str">
        <f t="shared" si="118"/>
        <v/>
      </c>
      <c r="S1077" s="28"/>
      <c r="T1077" s="28"/>
      <c r="U1077" s="28"/>
    </row>
    <row r="1078" spans="1:21" s="5" customFormat="1">
      <c r="A1078" s="179" t="s">
        <v>8958</v>
      </c>
      <c r="B1078" s="185" t="s">
        <v>8644</v>
      </c>
      <c r="C1078" s="35" t="str">
        <f t="shared" si="112"/>
        <v>DhilHajjih</v>
      </c>
      <c r="E1078" s="40"/>
      <c r="F1078" s="15"/>
      <c r="G1078" s="17"/>
      <c r="H1078" s="10" t="s">
        <v>8563</v>
      </c>
      <c r="I1078" s="4" t="str">
        <f t="shared" si="113"/>
        <v>|i’l-Ḥajjih|</v>
      </c>
      <c r="J1078" s="3" t="str">
        <f t="shared" si="114"/>
        <v>|Dhi'l-Hajjih|</v>
      </c>
      <c r="K1078" s="3" t="str">
        <f t="shared" si="115"/>
        <v>Dhil-Hajjih</v>
      </c>
      <c r="N1078" s="39" t="str">
        <f t="shared" si="116"/>
        <v/>
      </c>
      <c r="P1078" s="39" t="str">
        <f t="shared" si="117"/>
        <v/>
      </c>
      <c r="R1078" s="39" t="str">
        <f t="shared" si="118"/>
        <v/>
      </c>
      <c r="S1078" s="28"/>
      <c r="T1078" s="28"/>
      <c r="U1078" s="28"/>
    </row>
    <row r="1079" spans="1:21" s="5" customFormat="1">
      <c r="A1079" s="179" t="s">
        <v>1433</v>
      </c>
      <c r="B1079" s="185" t="s">
        <v>5826</v>
      </c>
      <c r="C1079" s="35" t="str">
        <f t="shared" si="112"/>
        <v>DhilJawshan</v>
      </c>
      <c r="E1079" s="40"/>
      <c r="F1079" s="14"/>
      <c r="G1079" s="17"/>
      <c r="H1079" s="10" t="s">
        <v>8563</v>
      </c>
      <c r="I1079" s="4" t="str">
        <f t="shared" si="113"/>
        <v>|i’l-Jawan|</v>
      </c>
      <c r="J1079" s="3" t="str">
        <f t="shared" si="114"/>
        <v>|Dhi'l-Jawshan|</v>
      </c>
      <c r="K1079" s="3" t="str">
        <f t="shared" si="115"/>
        <v>Dhil-Jawshan</v>
      </c>
      <c r="N1079" s="39" t="str">
        <f t="shared" si="116"/>
        <v/>
      </c>
      <c r="P1079" s="39" t="str">
        <f t="shared" si="117"/>
        <v/>
      </c>
      <c r="R1079" s="39" t="str">
        <f t="shared" si="118"/>
        <v/>
      </c>
      <c r="S1079" s="28"/>
      <c r="T1079" s="28"/>
      <c r="U1079" s="28"/>
    </row>
    <row r="1080" spans="1:21" s="5" customFormat="1">
      <c r="A1080" s="181" t="s">
        <v>8959</v>
      </c>
      <c r="B1080" s="185" t="s">
        <v>8645</v>
      </c>
      <c r="C1080" s="35" t="str">
        <f t="shared" si="112"/>
        <v>DhilQadih</v>
      </c>
      <c r="D1080" s="1"/>
      <c r="E1080" s="40"/>
      <c r="F1080" s="12"/>
      <c r="G1080" s="9"/>
      <c r="H1080" s="12" t="s">
        <v>8622</v>
      </c>
      <c r="I1080" s="4" t="str">
        <f t="shared" si="113"/>
        <v>|i’l-Qaʿdih|</v>
      </c>
      <c r="J1080" s="3" t="str">
        <f t="shared" si="114"/>
        <v>|Dhi'l-Qa'dih|</v>
      </c>
      <c r="K1080" s="3" t="str">
        <f t="shared" si="115"/>
        <v>Dhil-Qadih</v>
      </c>
      <c r="N1080" s="39" t="str">
        <f t="shared" si="116"/>
        <v/>
      </c>
      <c r="P1080" s="39" t="str">
        <f t="shared" si="117"/>
        <v/>
      </c>
      <c r="R1080" s="39" t="str">
        <f t="shared" si="118"/>
        <v/>
      </c>
      <c r="S1080" s="29">
        <v>41760</v>
      </c>
      <c r="T1080" s="28"/>
      <c r="U1080" s="28"/>
    </row>
    <row r="1081" spans="1:21" s="5" customFormat="1">
      <c r="A1081" s="179" t="s">
        <v>1434</v>
      </c>
      <c r="B1081" s="185" t="s">
        <v>5827</v>
      </c>
      <c r="C1081" s="35" t="str">
        <f t="shared" si="112"/>
        <v>DhilQaidih</v>
      </c>
      <c r="E1081" s="40"/>
      <c r="F1081" s="15"/>
      <c r="G1081" s="17"/>
      <c r="H1081" s="10" t="s">
        <v>8563</v>
      </c>
      <c r="I1081" s="4" t="str">
        <f t="shared" si="113"/>
        <v>|i’l-Qáʿidih|</v>
      </c>
      <c r="J1081" s="3" t="str">
        <f t="shared" si="114"/>
        <v>|Dhi'l-Qa'idih|</v>
      </c>
      <c r="K1081" s="3" t="str">
        <f t="shared" si="115"/>
        <v>Dhil-Qaidih</v>
      </c>
      <c r="N1081" s="39" t="str">
        <f t="shared" si="116"/>
        <v/>
      </c>
      <c r="P1081" s="39" t="str">
        <f t="shared" si="117"/>
        <v/>
      </c>
      <c r="R1081" s="39" t="str">
        <f t="shared" si="118"/>
        <v/>
      </c>
      <c r="S1081" s="28"/>
      <c r="T1081" s="28"/>
      <c r="U1081" s="28"/>
    </row>
    <row r="1082" spans="1:21" s="5" customFormat="1">
      <c r="A1082" s="179" t="s">
        <v>1435</v>
      </c>
      <c r="B1082" s="185" t="s">
        <v>5828</v>
      </c>
      <c r="C1082" s="35" t="str">
        <f t="shared" si="112"/>
        <v>Dhira</v>
      </c>
      <c r="E1082" s="40"/>
      <c r="F1082" s="15"/>
      <c r="G1082" s="17"/>
      <c r="H1082" s="10" t="s">
        <v>8563</v>
      </c>
      <c r="I1082" s="4" t="str">
        <f t="shared" si="113"/>
        <v>|iráʿ|</v>
      </c>
      <c r="J1082" s="3" t="str">
        <f t="shared" si="114"/>
        <v>|Dhira'|</v>
      </c>
      <c r="K1082" s="3" t="str">
        <f t="shared" si="115"/>
        <v>Dhira</v>
      </c>
      <c r="N1082" s="39" t="str">
        <f t="shared" si="116"/>
        <v/>
      </c>
      <c r="P1082" s="39" t="str">
        <f t="shared" si="117"/>
        <v/>
      </c>
      <c r="R1082" s="39" t="str">
        <f t="shared" si="118"/>
        <v/>
      </c>
      <c r="S1082" s="28"/>
      <c r="T1082" s="28"/>
      <c r="U1082" s="28"/>
    </row>
    <row r="1083" spans="1:21" s="5" customFormat="1">
      <c r="A1083" s="179" t="s">
        <v>1436</v>
      </c>
      <c r="B1083" s="185" t="s">
        <v>163</v>
      </c>
      <c r="C1083" s="35" t="str">
        <f t="shared" si="112"/>
        <v>DhulAwtad</v>
      </c>
      <c r="E1083" s="40"/>
      <c r="F1083" s="14"/>
      <c r="G1083" s="17"/>
      <c r="H1083" s="10" t="s">
        <v>8563</v>
      </c>
      <c r="I1083" s="4" t="str">
        <f t="shared" si="113"/>
        <v>|u’l-Awtád|</v>
      </c>
      <c r="J1083" s="3" t="str">
        <f t="shared" si="114"/>
        <v>|Dhu'l-Awtad|</v>
      </c>
      <c r="K1083" s="3" t="str">
        <f t="shared" si="115"/>
        <v>Dhul-Awtad</v>
      </c>
      <c r="N1083" s="39" t="str">
        <f t="shared" si="116"/>
        <v/>
      </c>
      <c r="P1083" s="39" t="str">
        <f t="shared" si="117"/>
        <v/>
      </c>
      <c r="R1083" s="39" t="str">
        <f t="shared" si="118"/>
        <v/>
      </c>
      <c r="S1083" s="28"/>
      <c r="T1083" s="28"/>
      <c r="U1083" s="28"/>
    </row>
    <row r="1084" spans="1:21" s="5" customFormat="1">
      <c r="A1084" s="179" t="s">
        <v>1437</v>
      </c>
      <c r="B1084" s="185" t="s">
        <v>5829</v>
      </c>
      <c r="C1084" s="35" t="str">
        <f t="shared" si="112"/>
        <v>DhulFaqar</v>
      </c>
      <c r="E1084" s="40"/>
      <c r="F1084" s="15"/>
      <c r="G1084" s="17"/>
      <c r="H1084" s="10" t="s">
        <v>8563</v>
      </c>
      <c r="I1084" s="4" t="str">
        <f t="shared" si="113"/>
        <v>|u’l-Faqár|</v>
      </c>
      <c r="J1084" s="3" t="str">
        <f t="shared" si="114"/>
        <v>|Dhu'l-Faqar|</v>
      </c>
      <c r="K1084" s="3" t="str">
        <f t="shared" si="115"/>
        <v>Dhul-Faqar</v>
      </c>
      <c r="N1084" s="39" t="str">
        <f t="shared" si="116"/>
        <v/>
      </c>
      <c r="P1084" s="39" t="str">
        <f t="shared" si="117"/>
        <v/>
      </c>
      <c r="R1084" s="39" t="str">
        <f t="shared" si="118"/>
        <v/>
      </c>
      <c r="S1084" s="28"/>
      <c r="T1084" s="28"/>
      <c r="U1084" s="28"/>
    </row>
    <row r="1085" spans="1:21" s="5" customFormat="1">
      <c r="A1085" s="179" t="s">
        <v>1438</v>
      </c>
      <c r="B1085" s="185" t="s">
        <v>5830</v>
      </c>
      <c r="C1085" s="35" t="str">
        <f t="shared" si="112"/>
        <v>DhulJanahayn</v>
      </c>
      <c r="E1085" s="40"/>
      <c r="F1085" s="15"/>
      <c r="G1085" s="17"/>
      <c r="H1085" s="10" t="s">
        <v>8563</v>
      </c>
      <c r="I1085" s="4" t="str">
        <f t="shared" si="113"/>
        <v>|ú’l-Janáḥayn|</v>
      </c>
      <c r="J1085" s="3" t="str">
        <f t="shared" si="114"/>
        <v>|Dhu'l-Janahayn|</v>
      </c>
      <c r="K1085" s="3" t="str">
        <f t="shared" si="115"/>
        <v>Dhul-Janahayn</v>
      </c>
      <c r="N1085" s="39" t="str">
        <f t="shared" si="116"/>
        <v/>
      </c>
      <c r="P1085" s="39" t="str">
        <f t="shared" si="117"/>
        <v/>
      </c>
      <c r="R1085" s="39" t="str">
        <f t="shared" si="118"/>
        <v/>
      </c>
      <c r="S1085" s="28"/>
      <c r="T1085" s="28"/>
      <c r="U1085" s="28"/>
    </row>
    <row r="1086" spans="1:21" s="5" customFormat="1">
      <c r="A1086" s="179" t="s">
        <v>1439</v>
      </c>
      <c r="B1086" s="185" t="s">
        <v>5831</v>
      </c>
      <c r="C1086" s="35" t="str">
        <f t="shared" si="112"/>
        <v>DhulQaranayn</v>
      </c>
      <c r="E1086" s="40"/>
      <c r="F1086" s="15"/>
      <c r="G1086" s="17"/>
      <c r="H1086" s="10" t="s">
        <v>8563</v>
      </c>
      <c r="I1086" s="4" t="str">
        <f t="shared" si="113"/>
        <v>|ú’l-Qaranayn|</v>
      </c>
      <c r="J1086" s="3" t="str">
        <f t="shared" si="114"/>
        <v>|Dhu'l-Qaranayn|</v>
      </c>
      <c r="K1086" s="3" t="str">
        <f t="shared" si="115"/>
        <v>Dhul-Qaranayn</v>
      </c>
      <c r="N1086" s="39" t="str">
        <f t="shared" si="116"/>
        <v/>
      </c>
      <c r="P1086" s="39" t="str">
        <f t="shared" si="117"/>
        <v/>
      </c>
      <c r="R1086" s="39" t="str">
        <f t="shared" si="118"/>
        <v/>
      </c>
      <c r="S1086" s="28"/>
      <c r="T1086" s="28"/>
      <c r="U1086" s="28"/>
    </row>
    <row r="1087" spans="1:21" s="5" customFormat="1">
      <c r="A1087" s="179" t="s">
        <v>1441</v>
      </c>
      <c r="B1087" s="185" t="s">
        <v>8543</v>
      </c>
      <c r="C1087" s="35" t="str">
        <f t="shared" si="112"/>
        <v>Diaullah</v>
      </c>
      <c r="E1087" s="40"/>
      <c r="F1087" s="14"/>
      <c r="G1087" s="17"/>
      <c r="H1087" s="10" t="s">
        <v>8563</v>
      </c>
      <c r="I1087" s="4" t="str">
        <f t="shared" si="113"/>
        <v>|Ḍíá’u’lláh|</v>
      </c>
      <c r="J1087" s="3" t="str">
        <f t="shared" si="114"/>
        <v>|Dia'u'llah|</v>
      </c>
      <c r="K1087" s="3" t="str">
        <f t="shared" si="115"/>
        <v>Diaullah</v>
      </c>
      <c r="N1087" s="39" t="str">
        <f t="shared" si="116"/>
        <v/>
      </c>
      <c r="P1087" s="39" t="str">
        <f t="shared" si="117"/>
        <v/>
      </c>
      <c r="R1087" s="39" t="str">
        <f t="shared" si="118"/>
        <v/>
      </c>
      <c r="S1087" s="28"/>
      <c r="T1087" s="28"/>
      <c r="U1087" s="28"/>
    </row>
    <row r="1088" spans="1:21" s="5" customFormat="1">
      <c r="A1088" s="179" t="s">
        <v>1442</v>
      </c>
      <c r="B1088" s="185" t="s">
        <v>8960</v>
      </c>
      <c r="C1088" s="35" t="str">
        <f t="shared" si="112"/>
        <v>didam</v>
      </c>
      <c r="E1088" s="40"/>
      <c r="F1088" s="15"/>
      <c r="G1088" s="17"/>
      <c r="H1088" s="10" t="s">
        <v>8563</v>
      </c>
      <c r="I1088" s="4" t="str">
        <f t="shared" si="113"/>
        <v>|dídam|</v>
      </c>
      <c r="J1088" s="3" t="str">
        <f t="shared" si="114"/>
        <v>|didam|</v>
      </c>
      <c r="K1088" s="3" t="str">
        <f t="shared" si="115"/>
        <v>didam</v>
      </c>
      <c r="N1088" s="39" t="str">
        <f t="shared" si="116"/>
        <v/>
      </c>
      <c r="P1088" s="39" t="str">
        <f t="shared" si="117"/>
        <v/>
      </c>
      <c r="R1088" s="39" t="str">
        <f t="shared" si="118"/>
        <v/>
      </c>
      <c r="S1088" s="28"/>
      <c r="T1088" s="28"/>
      <c r="U1088" s="28"/>
    </row>
    <row r="1089" spans="1:21" s="5" customFormat="1">
      <c r="A1089" s="179" t="s">
        <v>1443</v>
      </c>
      <c r="B1089" s="185" t="s">
        <v>8961</v>
      </c>
      <c r="C1089" s="35" t="str">
        <f t="shared" si="112"/>
        <v>DihiBala</v>
      </c>
      <c r="E1089" s="40"/>
      <c r="F1089" s="14"/>
      <c r="G1089" s="17"/>
      <c r="H1089" s="10" t="s">
        <v>8563</v>
      </c>
      <c r="I1089" s="4" t="str">
        <f t="shared" si="113"/>
        <v>|Dih-i-Bálá|</v>
      </c>
      <c r="J1089" s="3" t="str">
        <f t="shared" si="114"/>
        <v>|Dih-i-Bala|</v>
      </c>
      <c r="K1089" s="3" t="str">
        <f t="shared" si="115"/>
        <v>Dih-i-Bala</v>
      </c>
      <c r="N1089" s="39" t="str">
        <f t="shared" si="116"/>
        <v/>
      </c>
      <c r="P1089" s="39" t="str">
        <f t="shared" si="117"/>
        <v/>
      </c>
      <c r="R1089" s="39" t="str">
        <f t="shared" si="118"/>
        <v/>
      </c>
      <c r="S1089" s="28"/>
      <c r="T1089" s="28"/>
      <c r="U1089" s="28"/>
    </row>
    <row r="1090" spans="1:21" s="5" customFormat="1">
      <c r="A1090" s="179" t="s">
        <v>1444</v>
      </c>
      <c r="B1090" s="185" t="s">
        <v>8962</v>
      </c>
      <c r="C1090" s="35" t="str">
        <f t="shared" si="112"/>
        <v>DihiChah</v>
      </c>
      <c r="E1090" s="40"/>
      <c r="F1090" s="14"/>
      <c r="G1090" s="17"/>
      <c r="H1090" s="10" t="s">
        <v>8563</v>
      </c>
      <c r="I1090" s="4" t="str">
        <f t="shared" si="113"/>
        <v>|Dih-i-áh|</v>
      </c>
      <c r="J1090" s="3" t="str">
        <f t="shared" si="114"/>
        <v>|Dih-i-Chah|</v>
      </c>
      <c r="K1090" s="3" t="str">
        <f t="shared" si="115"/>
        <v>Dih-i-Chah</v>
      </c>
      <c r="N1090" s="39" t="str">
        <f t="shared" si="116"/>
        <v/>
      </c>
      <c r="P1090" s="39" t="str">
        <f t="shared" si="117"/>
        <v/>
      </c>
      <c r="R1090" s="39" t="str">
        <f t="shared" si="118"/>
        <v/>
      </c>
      <c r="S1090" s="28"/>
      <c r="T1090" s="28"/>
      <c r="U1090" s="28"/>
    </row>
    <row r="1091" spans="1:21" s="5" customFormat="1">
      <c r="A1091" s="179" t="s">
        <v>1445</v>
      </c>
      <c r="B1091" s="185" t="s">
        <v>8963</v>
      </c>
      <c r="C1091" s="35" t="str">
        <f t="shared" ref="C1091:C1154" si="119">SUBSTITUTE(SUBSTITUTE(K1091,"-","")," ","")</f>
        <v>DihMabadi</v>
      </c>
      <c r="E1091" s="40"/>
      <c r="F1091" s="15"/>
      <c r="G1091" s="17"/>
      <c r="H1091" s="10" t="s">
        <v>8563</v>
      </c>
      <c r="I1091" s="4" t="str">
        <f t="shared" ref="I1091:I1154" si="120">CONCATENATE("|",B1091,"|")</f>
        <v>|Dih-Maʿbadí|</v>
      </c>
      <c r="J1091" s="3" t="str">
        <f t="shared" ref="J1091:J1154" si="121">CONCATENATE("|",F_OutputASCII(B1091),"|")</f>
        <v>|Dih-Ma'badi|</v>
      </c>
      <c r="K1091" s="3" t="str">
        <f t="shared" ref="K1091:K1154" si="122">IF(SUBSTITUTE(MID(J1091,2,LEN(J1091)-2),"'","")&lt;&gt;"",SUBSTITUTE(MID(J1091,2,LEN(J1091)-2),"'",""),"ZZZZZ")</f>
        <v>Dih-Mabadi</v>
      </c>
      <c r="N1091" s="39" t="str">
        <f t="shared" ref="N1091:N1154" si="123">SUBSTITUTE(SUBSTITUTE(SUBSTITUTE(F_OutputASCII(M1091),"-","")," ",""),"'","")</f>
        <v/>
      </c>
      <c r="P1091" s="39" t="str">
        <f t="shared" ref="P1091:P1154" si="124">SUBSTITUTE(SUBSTITUTE(SUBSTITUTE(F_OutputASCII(O1091),"-","")," ",""),"'","")</f>
        <v/>
      </c>
      <c r="R1091" s="39" t="str">
        <f t="shared" si="118"/>
        <v/>
      </c>
      <c r="S1091" s="28"/>
      <c r="T1091" s="28"/>
      <c r="U1091" s="28"/>
    </row>
    <row r="1092" spans="1:21" s="5" customFormat="1">
      <c r="A1092" s="179" t="s">
        <v>1446</v>
      </c>
      <c r="B1092" s="185" t="s">
        <v>5834</v>
      </c>
      <c r="C1092" s="35" t="str">
        <f t="shared" si="119"/>
        <v>Dihqani</v>
      </c>
      <c r="E1092" s="40"/>
      <c r="F1092" s="15"/>
      <c r="G1092" s="17"/>
      <c r="H1092" s="10" t="s">
        <v>8563</v>
      </c>
      <c r="I1092" s="4" t="str">
        <f t="shared" si="120"/>
        <v>|Dihqání|</v>
      </c>
      <c r="J1092" s="3" t="str">
        <f t="shared" si="121"/>
        <v>|Dihqani|</v>
      </c>
      <c r="K1092" s="3" t="str">
        <f t="shared" si="122"/>
        <v>Dihqani</v>
      </c>
      <c r="N1092" s="39" t="str">
        <f t="shared" si="123"/>
        <v/>
      </c>
      <c r="P1092" s="39" t="str">
        <f t="shared" si="124"/>
        <v/>
      </c>
      <c r="R1092" s="39" t="str">
        <f t="shared" ref="R1092:R1155" si="125">SUBSTITUTE(SUBSTITUTE(Q1092,"-","")," ","")</f>
        <v/>
      </c>
      <c r="S1092" s="28"/>
      <c r="T1092" s="28"/>
      <c r="U1092" s="28"/>
    </row>
    <row r="1093" spans="1:21" s="5" customFormat="1">
      <c r="A1093" s="179" t="s">
        <v>1447</v>
      </c>
      <c r="B1093" s="185" t="s">
        <v>5835</v>
      </c>
      <c r="C1093" s="35" t="str">
        <f t="shared" si="119"/>
        <v>Dildari</v>
      </c>
      <c r="E1093" s="40"/>
      <c r="F1093" s="15"/>
      <c r="G1093" s="17"/>
      <c r="H1093" s="10" t="s">
        <v>8563</v>
      </c>
      <c r="I1093" s="4" t="str">
        <f t="shared" si="120"/>
        <v>|Dildárí|</v>
      </c>
      <c r="J1093" s="3" t="str">
        <f t="shared" si="121"/>
        <v>|Dildari|</v>
      </c>
      <c r="K1093" s="3" t="str">
        <f t="shared" si="122"/>
        <v>Dildari</v>
      </c>
      <c r="N1093" s="39" t="str">
        <f t="shared" si="123"/>
        <v/>
      </c>
      <c r="P1093" s="39" t="str">
        <f t="shared" si="124"/>
        <v/>
      </c>
      <c r="R1093" s="39" t="str">
        <f t="shared" si="125"/>
        <v/>
      </c>
      <c r="S1093" s="28"/>
      <c r="T1093" s="28"/>
      <c r="U1093" s="28"/>
    </row>
    <row r="1094" spans="1:21" s="5" customFormat="1">
      <c r="A1094" s="179" t="s">
        <v>1448</v>
      </c>
      <c r="B1094" s="185" t="s">
        <v>5836</v>
      </c>
      <c r="C1094" s="35" t="str">
        <f t="shared" si="119"/>
        <v>Dilgusha</v>
      </c>
      <c r="E1094" s="40"/>
      <c r="F1094" s="15" t="s">
        <v>1449</v>
      </c>
      <c r="G1094" s="17"/>
      <c r="H1094" s="10" t="s">
        <v>8563</v>
      </c>
      <c r="I1094" s="4" t="str">
        <f t="shared" si="120"/>
        <v>|Dilguá|</v>
      </c>
      <c r="J1094" s="3" t="str">
        <f t="shared" si="121"/>
        <v>|Dilgusha|</v>
      </c>
      <c r="K1094" s="3" t="str">
        <f t="shared" si="122"/>
        <v>Dilgusha</v>
      </c>
      <c r="N1094" s="39" t="str">
        <f t="shared" si="123"/>
        <v/>
      </c>
      <c r="P1094" s="39" t="str">
        <f t="shared" si="124"/>
        <v/>
      </c>
      <c r="R1094" s="39" t="str">
        <f t="shared" si="125"/>
        <v/>
      </c>
      <c r="S1094" s="28"/>
      <c r="T1094" s="28"/>
      <c r="U1094" s="28"/>
    </row>
    <row r="1095" spans="1:21" s="5" customFormat="1">
      <c r="A1095" s="179" t="s">
        <v>1450</v>
      </c>
      <c r="B1095" s="185" t="s">
        <v>5837</v>
      </c>
      <c r="C1095" s="35" t="str">
        <f t="shared" si="119"/>
        <v>Din</v>
      </c>
      <c r="E1095" s="40"/>
      <c r="F1095" s="14"/>
      <c r="G1095" s="17"/>
      <c r="H1095" s="10" t="s">
        <v>8563</v>
      </c>
      <c r="I1095" s="4" t="str">
        <f t="shared" si="120"/>
        <v>|Dín|</v>
      </c>
      <c r="J1095" s="3" t="str">
        <f t="shared" si="121"/>
        <v>|Din|</v>
      </c>
      <c r="K1095" s="3" t="str">
        <f t="shared" si="122"/>
        <v>Din</v>
      </c>
      <c r="N1095" s="39" t="str">
        <f t="shared" si="123"/>
        <v/>
      </c>
      <c r="P1095" s="39" t="str">
        <f t="shared" si="124"/>
        <v/>
      </c>
      <c r="R1095" s="39" t="str">
        <f t="shared" si="125"/>
        <v/>
      </c>
      <c r="S1095" s="28"/>
      <c r="T1095" s="28"/>
      <c r="U1095" s="28"/>
    </row>
    <row r="1096" spans="1:21" s="5" customFormat="1">
      <c r="A1096" s="179" t="s">
        <v>1451</v>
      </c>
      <c r="B1096" s="185" t="s">
        <v>5838</v>
      </c>
      <c r="C1096" s="35" t="str">
        <f t="shared" si="119"/>
        <v>Dina</v>
      </c>
      <c r="E1096" s="40"/>
      <c r="F1096" s="15"/>
      <c r="G1096" s="17"/>
      <c r="H1096" s="10" t="s">
        <v>8563</v>
      </c>
      <c r="I1096" s="4" t="str">
        <f t="shared" si="120"/>
        <v>|Díná|</v>
      </c>
      <c r="J1096" s="3" t="str">
        <f t="shared" si="121"/>
        <v>|Dina|</v>
      </c>
      <c r="K1096" s="3" t="str">
        <f t="shared" si="122"/>
        <v>Dina</v>
      </c>
      <c r="N1096" s="39" t="str">
        <f t="shared" si="123"/>
        <v/>
      </c>
      <c r="P1096" s="39" t="str">
        <f t="shared" si="124"/>
        <v/>
      </c>
      <c r="R1096" s="39" t="str">
        <f t="shared" si="125"/>
        <v/>
      </c>
      <c r="S1096" s="28"/>
      <c r="T1096" s="28"/>
      <c r="U1096" s="28"/>
    </row>
    <row r="1097" spans="1:21" s="5" customFormat="1">
      <c r="A1097" s="179" t="s">
        <v>1452</v>
      </c>
      <c r="B1097" s="185" t="s">
        <v>5839</v>
      </c>
      <c r="C1097" s="35" t="str">
        <f t="shared" si="119"/>
        <v>dinar</v>
      </c>
      <c r="E1097" s="40"/>
      <c r="F1097" s="15"/>
      <c r="G1097" s="17"/>
      <c r="H1097" s="10" t="s">
        <v>8563</v>
      </c>
      <c r="I1097" s="4" t="str">
        <f t="shared" si="120"/>
        <v>|dínár|</v>
      </c>
      <c r="J1097" s="3" t="str">
        <f t="shared" si="121"/>
        <v>|dinar|</v>
      </c>
      <c r="K1097" s="3" t="str">
        <f t="shared" si="122"/>
        <v>dinar</v>
      </c>
      <c r="N1097" s="39" t="str">
        <f t="shared" si="123"/>
        <v/>
      </c>
      <c r="P1097" s="39" t="str">
        <f t="shared" si="124"/>
        <v/>
      </c>
      <c r="R1097" s="39" t="str">
        <f t="shared" si="125"/>
        <v/>
      </c>
      <c r="S1097" s="28"/>
      <c r="T1097" s="28"/>
      <c r="U1097" s="28"/>
    </row>
    <row r="1098" spans="1:21" s="5" customFormat="1">
      <c r="A1098" s="179" t="s">
        <v>1453</v>
      </c>
      <c r="B1098" s="185" t="s">
        <v>5840</v>
      </c>
      <c r="C1098" s="35" t="str">
        <f t="shared" si="119"/>
        <v>DinMuhammad</v>
      </c>
      <c r="E1098" s="40"/>
      <c r="F1098" s="14"/>
      <c r="G1098" s="17"/>
      <c r="H1098" s="10" t="s">
        <v>8563</v>
      </c>
      <c r="I1098" s="4" t="str">
        <f t="shared" si="120"/>
        <v>|Dín-Muḥammad|</v>
      </c>
      <c r="J1098" s="3" t="str">
        <f t="shared" si="121"/>
        <v>|Din-Muhammad|</v>
      </c>
      <c r="K1098" s="3" t="str">
        <f t="shared" si="122"/>
        <v>Din-Muhammad</v>
      </c>
      <c r="N1098" s="39" t="str">
        <f t="shared" si="123"/>
        <v/>
      </c>
      <c r="P1098" s="39" t="str">
        <f t="shared" si="124"/>
        <v/>
      </c>
      <c r="R1098" s="39" t="str">
        <f t="shared" si="125"/>
        <v/>
      </c>
      <c r="S1098" s="28"/>
      <c r="T1098" s="28"/>
      <c r="U1098" s="28"/>
    </row>
    <row r="1099" spans="1:21" s="5" customFormat="1">
      <c r="A1099" s="179" t="s">
        <v>1454</v>
      </c>
      <c r="B1099" s="185" t="s">
        <v>5841</v>
      </c>
      <c r="C1099" s="35" t="str">
        <f t="shared" si="119"/>
        <v>DinMuhammadVazir</v>
      </c>
      <c r="E1099" s="40"/>
      <c r="F1099" s="14"/>
      <c r="G1099" s="17"/>
      <c r="H1099" s="10" t="s">
        <v>8563</v>
      </c>
      <c r="I1099" s="4" t="str">
        <f t="shared" si="120"/>
        <v>|Dín-Muḥammad-Vazír|</v>
      </c>
      <c r="J1099" s="3" t="str">
        <f t="shared" si="121"/>
        <v>|Din-Muhammad-Vazir|</v>
      </c>
      <c r="K1099" s="3" t="str">
        <f t="shared" si="122"/>
        <v>Din-Muhammad-Vazir</v>
      </c>
      <c r="N1099" s="39" t="str">
        <f t="shared" si="123"/>
        <v/>
      </c>
      <c r="P1099" s="39" t="str">
        <f t="shared" si="124"/>
        <v/>
      </c>
      <c r="R1099" s="39" t="str">
        <f t="shared" si="125"/>
        <v/>
      </c>
      <c r="S1099" s="28"/>
      <c r="T1099" s="28"/>
      <c r="U1099" s="28"/>
    </row>
    <row r="1100" spans="1:21" s="5" customFormat="1">
      <c r="A1100" s="179" t="s">
        <v>1455</v>
      </c>
      <c r="B1100" s="185" t="s">
        <v>8964</v>
      </c>
      <c r="C1100" s="35" t="str">
        <f t="shared" si="119"/>
        <v>DiQadih</v>
      </c>
      <c r="E1100" s="40"/>
      <c r="F1100" s="15"/>
      <c r="G1100" s="17"/>
      <c r="H1100" s="10" t="s">
        <v>8563</v>
      </c>
      <c r="I1100" s="4" t="str">
        <f t="shared" si="120"/>
        <v>|Ḍí-Qaʿdih|</v>
      </c>
      <c r="J1100" s="3" t="str">
        <f t="shared" si="121"/>
        <v>|Di-Qa'dih|</v>
      </c>
      <c r="K1100" s="3" t="str">
        <f t="shared" si="122"/>
        <v>Di-Qadih</v>
      </c>
      <c r="N1100" s="39" t="str">
        <f t="shared" si="123"/>
        <v/>
      </c>
      <c r="P1100" s="39" t="str">
        <f t="shared" si="124"/>
        <v/>
      </c>
      <c r="R1100" s="39" t="str">
        <f t="shared" si="125"/>
        <v/>
      </c>
      <c r="S1100" s="28"/>
      <c r="T1100" s="28"/>
      <c r="U1100" s="28"/>
    </row>
    <row r="1101" spans="1:21" s="5" customFormat="1">
      <c r="A1101" s="179" t="s">
        <v>1456</v>
      </c>
      <c r="B1101" s="185" t="s">
        <v>5842</v>
      </c>
      <c r="C1101" s="35" t="str">
        <f t="shared" si="119"/>
        <v>Dirakhshan</v>
      </c>
      <c r="E1101" s="40"/>
      <c r="F1101" s="15"/>
      <c r="G1101" s="17"/>
      <c r="H1101" s="10" t="s">
        <v>8563</v>
      </c>
      <c r="I1101" s="4" t="str">
        <f t="shared" si="120"/>
        <v>|Diraán|</v>
      </c>
      <c r="J1101" s="3" t="str">
        <f t="shared" si="121"/>
        <v>|Dirakhshan|</v>
      </c>
      <c r="K1101" s="3" t="str">
        <f t="shared" si="122"/>
        <v>Dirakhshan</v>
      </c>
      <c r="N1101" s="39" t="str">
        <f t="shared" si="123"/>
        <v/>
      </c>
      <c r="P1101" s="39" t="str">
        <f t="shared" si="124"/>
        <v/>
      </c>
      <c r="R1101" s="39" t="str">
        <f t="shared" si="125"/>
        <v/>
      </c>
      <c r="S1101" s="28"/>
      <c r="T1101" s="28"/>
      <c r="U1101" s="28"/>
    </row>
    <row r="1102" spans="1:21" s="5" customFormat="1">
      <c r="A1102" s="181" t="s">
        <v>1392</v>
      </c>
      <c r="B1102" s="185" t="s">
        <v>8955</v>
      </c>
      <c r="C1102" s="35" t="str">
        <f t="shared" si="119"/>
        <v>Dirvish</v>
      </c>
      <c r="D1102" s="1"/>
      <c r="E1102" s="40" t="s">
        <v>9115</v>
      </c>
      <c r="F1102" s="12"/>
      <c r="G1102" s="9" t="s">
        <v>9510</v>
      </c>
      <c r="H1102" s="12"/>
      <c r="I1102" s="4" t="str">
        <f t="shared" si="120"/>
        <v>|Dirví|</v>
      </c>
      <c r="J1102" s="3" t="str">
        <f t="shared" si="121"/>
        <v>|Dirvish|</v>
      </c>
      <c r="K1102" s="3" t="str">
        <f t="shared" si="122"/>
        <v>Dirvish</v>
      </c>
      <c r="M1102" s="1"/>
      <c r="N1102" s="39" t="str">
        <f t="shared" si="123"/>
        <v/>
      </c>
      <c r="O1102" s="1" t="s">
        <v>14</v>
      </c>
      <c r="P1102" s="39" t="str">
        <f t="shared" si="124"/>
        <v>Derwisch</v>
      </c>
      <c r="Q1102" s="1"/>
      <c r="R1102" s="39" t="str">
        <f t="shared" si="125"/>
        <v/>
      </c>
      <c r="S1102" s="28"/>
      <c r="T1102" s="29">
        <v>41801</v>
      </c>
      <c r="U1102" s="28"/>
    </row>
    <row r="1103" spans="1:21" s="5" customFormat="1">
      <c r="A1103" s="181" t="s">
        <v>8956</v>
      </c>
      <c r="B1103" s="185" t="s">
        <v>8954</v>
      </c>
      <c r="C1103" s="35" t="str">
        <f t="shared" si="119"/>
        <v>DirvishMuhammad</v>
      </c>
      <c r="D1103" s="1"/>
      <c r="E1103" s="40"/>
      <c r="F1103" s="12"/>
      <c r="G1103" s="9"/>
      <c r="H1103" s="12"/>
      <c r="I1103" s="4" t="str">
        <f t="shared" si="120"/>
        <v>|Dirví Muḥammad|</v>
      </c>
      <c r="J1103" s="3" t="str">
        <f t="shared" si="121"/>
        <v>|Dirvish Muhammad|</v>
      </c>
      <c r="K1103" s="3" t="str">
        <f t="shared" si="122"/>
        <v>Dirvish Muhammad</v>
      </c>
      <c r="M1103" s="1"/>
      <c r="N1103" s="39" t="str">
        <f t="shared" si="123"/>
        <v/>
      </c>
      <c r="O1103" s="1" t="s">
        <v>58</v>
      </c>
      <c r="P1103" s="39" t="str">
        <f t="shared" si="124"/>
        <v>DerwischMuhammad</v>
      </c>
      <c r="Q1103" s="1"/>
      <c r="R1103" s="39" t="str">
        <f t="shared" si="125"/>
        <v/>
      </c>
      <c r="S1103" s="28"/>
      <c r="T1103" s="29">
        <v>41801</v>
      </c>
      <c r="U1103" s="28"/>
    </row>
    <row r="1104" spans="1:21" s="5" customFormat="1">
      <c r="A1104" s="179" t="s">
        <v>1457</v>
      </c>
      <c r="B1104" s="185" t="s">
        <v>65</v>
      </c>
      <c r="C1104" s="35" t="str">
        <f t="shared" si="119"/>
        <v>Divan</v>
      </c>
      <c r="E1104" s="40"/>
      <c r="F1104" s="14"/>
      <c r="G1104" s="17"/>
      <c r="H1104" s="10" t="s">
        <v>8563</v>
      </c>
      <c r="I1104" s="4" t="str">
        <f t="shared" si="120"/>
        <v>|Díván|</v>
      </c>
      <c r="J1104" s="3" t="str">
        <f t="shared" si="121"/>
        <v>|Divan|</v>
      </c>
      <c r="K1104" s="3" t="str">
        <f t="shared" si="122"/>
        <v>Divan</v>
      </c>
      <c r="N1104" s="39" t="str">
        <f t="shared" si="123"/>
        <v/>
      </c>
      <c r="P1104" s="39" t="str">
        <f t="shared" si="124"/>
        <v/>
      </c>
      <c r="R1104" s="39" t="str">
        <f t="shared" si="125"/>
        <v/>
      </c>
      <c r="S1104" s="28"/>
      <c r="T1104" s="29">
        <v>41796</v>
      </c>
      <c r="U1104" s="28" t="s">
        <v>9373</v>
      </c>
    </row>
    <row r="1105" spans="1:21" s="5" customFormat="1">
      <c r="A1105" s="179" t="s">
        <v>1458</v>
      </c>
      <c r="B1105" s="185" t="s">
        <v>5843</v>
      </c>
      <c r="C1105" s="35" t="str">
        <f t="shared" si="119"/>
        <v>Diya</v>
      </c>
      <c r="E1105" s="40"/>
      <c r="F1105" s="15"/>
      <c r="G1105" s="17"/>
      <c r="H1105" s="10" t="s">
        <v>8563</v>
      </c>
      <c r="I1105" s="4" t="str">
        <f t="shared" si="120"/>
        <v>|Ḍíyá|</v>
      </c>
      <c r="J1105" s="3" t="str">
        <f t="shared" si="121"/>
        <v>|Diya|</v>
      </c>
      <c r="K1105" s="3" t="str">
        <f t="shared" si="122"/>
        <v>Diya</v>
      </c>
      <c r="N1105" s="39" t="str">
        <f t="shared" si="123"/>
        <v/>
      </c>
      <c r="P1105" s="39" t="str">
        <f t="shared" si="124"/>
        <v/>
      </c>
      <c r="R1105" s="39" t="str">
        <f t="shared" si="125"/>
        <v/>
      </c>
      <c r="S1105" s="28"/>
      <c r="T1105" s="28"/>
      <c r="U1105" s="28"/>
    </row>
    <row r="1106" spans="1:21" s="5" customFormat="1">
      <c r="A1106" s="179" t="s">
        <v>1459</v>
      </c>
      <c r="B1106" s="185" t="s">
        <v>5844</v>
      </c>
      <c r="C1106" s="35" t="str">
        <f t="shared" si="119"/>
        <v>Diyai</v>
      </c>
      <c r="E1106" s="40"/>
      <c r="F1106" s="15"/>
      <c r="G1106" s="17"/>
      <c r="H1106" s="10" t="s">
        <v>8563</v>
      </c>
      <c r="I1106" s="4" t="str">
        <f t="shared" si="120"/>
        <v>|Ḍíyá’í|</v>
      </c>
      <c r="J1106" s="3" t="str">
        <f t="shared" si="121"/>
        <v>|Diya'i|</v>
      </c>
      <c r="K1106" s="3" t="str">
        <f t="shared" si="122"/>
        <v>Diyai</v>
      </c>
      <c r="N1106" s="39" t="str">
        <f t="shared" si="123"/>
        <v/>
      </c>
      <c r="P1106" s="39" t="str">
        <f t="shared" si="124"/>
        <v/>
      </c>
      <c r="R1106" s="39" t="str">
        <f t="shared" si="125"/>
        <v/>
      </c>
      <c r="S1106" s="28"/>
      <c r="T1106" s="28"/>
      <c r="U1106" s="28"/>
    </row>
    <row r="1107" spans="1:21" s="5" customFormat="1">
      <c r="A1107" s="179" t="s">
        <v>1440</v>
      </c>
      <c r="B1107" s="185" t="s">
        <v>5832</v>
      </c>
      <c r="C1107" s="35" t="str">
        <f t="shared" si="119"/>
        <v>Diyaiyyih</v>
      </c>
      <c r="E1107" s="40"/>
      <c r="F1107" s="15"/>
      <c r="G1107" s="17"/>
      <c r="H1107" s="10" t="s">
        <v>8563</v>
      </c>
      <c r="I1107" s="4" t="str">
        <f t="shared" si="120"/>
        <v>|Ḍíyá’íyyih|</v>
      </c>
      <c r="J1107" s="3" t="str">
        <f t="shared" si="121"/>
        <v>|Diya'iyyih|</v>
      </c>
      <c r="K1107" s="3" t="str">
        <f t="shared" si="122"/>
        <v>Diyaiyyih</v>
      </c>
      <c r="N1107" s="39" t="str">
        <f t="shared" si="123"/>
        <v/>
      </c>
      <c r="P1107" s="39" t="str">
        <f t="shared" si="124"/>
        <v/>
      </c>
      <c r="R1107" s="39" t="str">
        <f t="shared" si="125"/>
        <v/>
      </c>
      <c r="S1107" s="28"/>
      <c r="T1107" s="28"/>
      <c r="U1107" s="28"/>
    </row>
    <row r="1108" spans="1:21" s="5" customFormat="1">
      <c r="A1108" s="179" t="s">
        <v>1460</v>
      </c>
      <c r="B1108" s="185" t="s">
        <v>5845</v>
      </c>
      <c r="C1108" s="35" t="str">
        <f t="shared" si="119"/>
        <v>DiyarBakr</v>
      </c>
      <c r="E1108" s="40"/>
      <c r="F1108" s="14"/>
      <c r="G1108" s="17"/>
      <c r="H1108" s="10" t="s">
        <v>8563</v>
      </c>
      <c r="I1108" s="4" t="str">
        <f t="shared" si="120"/>
        <v>|Díyár-Bakr|</v>
      </c>
      <c r="J1108" s="3" t="str">
        <f t="shared" si="121"/>
        <v>|Diyar-Bakr|</v>
      </c>
      <c r="K1108" s="3" t="str">
        <f t="shared" si="122"/>
        <v>Diyar-Bakr</v>
      </c>
      <c r="N1108" s="39" t="str">
        <f t="shared" si="123"/>
        <v/>
      </c>
      <c r="P1108" s="39" t="str">
        <f t="shared" si="124"/>
        <v/>
      </c>
      <c r="R1108" s="39" t="str">
        <f t="shared" si="125"/>
        <v/>
      </c>
      <c r="S1108" s="28"/>
      <c r="T1108" s="28"/>
      <c r="U1108" s="28"/>
    </row>
    <row r="1109" spans="1:21" s="5" customFormat="1">
      <c r="A1109" s="179" t="s">
        <v>1461</v>
      </c>
      <c r="B1109" s="185" t="s">
        <v>5846</v>
      </c>
      <c r="C1109" s="35" t="str">
        <f t="shared" si="119"/>
        <v>DiyariKhatt</v>
      </c>
      <c r="E1109" s="40"/>
      <c r="F1109" s="14"/>
      <c r="G1109" s="17"/>
      <c r="H1109" s="10" t="s">
        <v>8563</v>
      </c>
      <c r="I1109" s="4" t="str">
        <f t="shared" si="120"/>
        <v>|Díyár-i-aṭṭ|</v>
      </c>
      <c r="J1109" s="3" t="str">
        <f t="shared" si="121"/>
        <v>|Diyar-i-Khatt|</v>
      </c>
      <c r="K1109" s="3" t="str">
        <f t="shared" si="122"/>
        <v>Diyar-i-Khatt</v>
      </c>
      <c r="N1109" s="39" t="str">
        <f t="shared" si="123"/>
        <v/>
      </c>
      <c r="P1109" s="39" t="str">
        <f t="shared" si="124"/>
        <v/>
      </c>
      <c r="R1109" s="39" t="str">
        <f t="shared" si="125"/>
        <v/>
      </c>
      <c r="S1109" s="28"/>
      <c r="T1109" s="28"/>
      <c r="U1109" s="28"/>
    </row>
    <row r="1110" spans="1:21" s="5" customFormat="1">
      <c r="A1110" s="179" t="s">
        <v>1462</v>
      </c>
      <c r="B1110" s="185" t="s">
        <v>8965</v>
      </c>
      <c r="C1110" s="35" t="str">
        <f t="shared" si="119"/>
        <v>DiyauʼdDin</v>
      </c>
      <c r="E1110" s="40"/>
      <c r="F1110" s="15"/>
      <c r="G1110" s="17"/>
      <c r="H1110" s="10" t="s">
        <v>8563</v>
      </c>
      <c r="I1110" s="4" t="str">
        <f t="shared" si="120"/>
        <v>|Ḍíyá’uʼd-Dín|</v>
      </c>
      <c r="J1110" s="3" t="str">
        <f t="shared" si="121"/>
        <v>|Diya'uʼd-Din|</v>
      </c>
      <c r="K1110" s="3" t="str">
        <f t="shared" si="122"/>
        <v>Diyauʼd-Din</v>
      </c>
      <c r="N1110" s="39" t="str">
        <f t="shared" si="123"/>
        <v/>
      </c>
      <c r="P1110" s="39" t="str">
        <f t="shared" si="124"/>
        <v/>
      </c>
      <c r="R1110" s="39" t="str">
        <f t="shared" si="125"/>
        <v/>
      </c>
      <c r="S1110" s="28"/>
      <c r="T1110" s="28"/>
      <c r="U1110" s="28"/>
    </row>
    <row r="1111" spans="1:21" s="5" customFormat="1">
      <c r="A1111" s="179" t="s">
        <v>1441</v>
      </c>
      <c r="B1111" s="185" t="s">
        <v>5833</v>
      </c>
      <c r="C1111" s="35" t="str">
        <f t="shared" si="119"/>
        <v>Diyaullah</v>
      </c>
      <c r="E1111" s="40"/>
      <c r="F1111" s="15"/>
      <c r="G1111" s="17"/>
      <c r="H1111" s="10" t="s">
        <v>8563</v>
      </c>
      <c r="I1111" s="4" t="str">
        <f t="shared" si="120"/>
        <v>|Ḍíyá’u’lláh|</v>
      </c>
      <c r="J1111" s="3" t="str">
        <f t="shared" si="121"/>
        <v>|Diya'u'llah|</v>
      </c>
      <c r="K1111" s="3" t="str">
        <f t="shared" si="122"/>
        <v>Diyaullah</v>
      </c>
      <c r="N1111" s="39" t="str">
        <f t="shared" si="123"/>
        <v/>
      </c>
      <c r="P1111" s="39" t="str">
        <f t="shared" si="124"/>
        <v/>
      </c>
      <c r="R1111" s="39" t="str">
        <f t="shared" si="125"/>
        <v/>
      </c>
      <c r="S1111" s="28"/>
      <c r="T1111" s="28"/>
      <c r="U1111" s="28"/>
    </row>
    <row r="1112" spans="1:21" s="5" customFormat="1">
      <c r="A1112" s="179" t="s">
        <v>1463</v>
      </c>
      <c r="B1112" s="185" t="s">
        <v>5847</v>
      </c>
      <c r="C1112" s="35" t="str">
        <f t="shared" si="119"/>
        <v>Dizva</v>
      </c>
      <c r="E1112" s="40"/>
      <c r="F1112" s="15"/>
      <c r="G1112" s="17"/>
      <c r="H1112" s="10" t="s">
        <v>8563</v>
      </c>
      <c r="I1112" s="4" t="str">
        <f t="shared" si="120"/>
        <v>|Dízvá|</v>
      </c>
      <c r="J1112" s="3" t="str">
        <f t="shared" si="121"/>
        <v>|Dizva|</v>
      </c>
      <c r="K1112" s="3" t="str">
        <f t="shared" si="122"/>
        <v>Dizva</v>
      </c>
      <c r="N1112" s="39" t="str">
        <f t="shared" si="123"/>
        <v/>
      </c>
      <c r="P1112" s="39" t="str">
        <f t="shared" si="124"/>
        <v/>
      </c>
      <c r="R1112" s="39" t="str">
        <f t="shared" si="125"/>
        <v/>
      </c>
      <c r="S1112" s="28"/>
      <c r="T1112" s="28"/>
      <c r="U1112" s="28"/>
    </row>
    <row r="1113" spans="1:21" s="5" customFormat="1">
      <c r="A1113" s="179" t="s">
        <v>1464</v>
      </c>
      <c r="B1113" s="185" t="s">
        <v>5848</v>
      </c>
      <c r="C1113" s="35" t="str">
        <f t="shared" si="119"/>
        <v>Dua</v>
      </c>
      <c r="E1113" s="40"/>
      <c r="F1113" s="15" t="s">
        <v>1465</v>
      </c>
      <c r="G1113" s="17"/>
      <c r="H1113" s="10" t="s">
        <v>8563</v>
      </c>
      <c r="I1113" s="4" t="str">
        <f t="shared" si="120"/>
        <v>|Duʿá|</v>
      </c>
      <c r="J1113" s="3" t="str">
        <f t="shared" si="121"/>
        <v>|Du'a|</v>
      </c>
      <c r="K1113" s="3" t="str">
        <f t="shared" si="122"/>
        <v>Dua</v>
      </c>
      <c r="N1113" s="39" t="str">
        <f t="shared" si="123"/>
        <v/>
      </c>
      <c r="P1113" s="39" t="str">
        <f t="shared" si="124"/>
        <v/>
      </c>
      <c r="R1113" s="39" t="str">
        <f t="shared" si="125"/>
        <v/>
      </c>
      <c r="S1113" s="28"/>
      <c r="T1113" s="28"/>
      <c r="U1113" s="28"/>
    </row>
    <row r="1114" spans="1:21" s="5" customFormat="1">
      <c r="A1114" s="179" t="s">
        <v>1466</v>
      </c>
      <c r="B1114" s="185" t="s">
        <v>5849</v>
      </c>
      <c r="C1114" s="35" t="str">
        <f t="shared" si="119"/>
        <v>DuayiSahar</v>
      </c>
      <c r="E1114" s="40"/>
      <c r="F1114" s="15" t="s">
        <v>1467</v>
      </c>
      <c r="G1114" s="17"/>
      <c r="H1114" s="10" t="s">
        <v>8563</v>
      </c>
      <c r="I1114" s="4" t="str">
        <f t="shared" si="120"/>
        <v>|Duʿáy-i-Saḥar|</v>
      </c>
      <c r="J1114" s="3" t="str">
        <f t="shared" si="121"/>
        <v>|Du'ay-i-Sahar|</v>
      </c>
      <c r="K1114" s="3" t="str">
        <f t="shared" si="122"/>
        <v>Duay-i-Sahar</v>
      </c>
      <c r="N1114" s="39" t="str">
        <f t="shared" si="123"/>
        <v/>
      </c>
      <c r="P1114" s="39" t="str">
        <f t="shared" si="124"/>
        <v/>
      </c>
      <c r="R1114" s="39" t="str">
        <f t="shared" si="125"/>
        <v/>
      </c>
      <c r="S1114" s="28"/>
      <c r="T1114" s="28"/>
      <c r="U1114" s="28"/>
    </row>
    <row r="1115" spans="1:21" s="5" customFormat="1">
      <c r="A1115" s="179" t="s">
        <v>1468</v>
      </c>
      <c r="B1115" s="185" t="s">
        <v>5850</v>
      </c>
      <c r="C1115" s="35" t="str">
        <f t="shared" si="119"/>
        <v>DuayiUmmiDavud</v>
      </c>
      <c r="E1115" s="40"/>
      <c r="F1115" s="15" t="s">
        <v>1467</v>
      </c>
      <c r="G1115" s="17"/>
      <c r="H1115" s="10" t="s">
        <v>8563</v>
      </c>
      <c r="I1115" s="4" t="str">
        <f t="shared" si="120"/>
        <v>|Duʿáy-i-Umm-i-Dávúd|</v>
      </c>
      <c r="J1115" s="3" t="str">
        <f t="shared" si="121"/>
        <v>|Du'ay-i-Umm-i-Davud|</v>
      </c>
      <c r="K1115" s="3" t="str">
        <f t="shared" si="122"/>
        <v>Duay-i-Umm-i-Davud</v>
      </c>
      <c r="N1115" s="39" t="str">
        <f t="shared" si="123"/>
        <v/>
      </c>
      <c r="P1115" s="39" t="str">
        <f t="shared" si="124"/>
        <v/>
      </c>
      <c r="R1115" s="39" t="str">
        <f t="shared" si="125"/>
        <v/>
      </c>
      <c r="S1115" s="28"/>
      <c r="T1115" s="28"/>
      <c r="U1115" s="28"/>
    </row>
    <row r="1116" spans="1:21" s="5" customFormat="1">
      <c r="A1116" s="179" t="s">
        <v>8968</v>
      </c>
      <c r="B1116" s="185" t="s">
        <v>8969</v>
      </c>
      <c r="C1116" s="35" t="str">
        <f t="shared" si="119"/>
        <v>Dudangih</v>
      </c>
      <c r="E1116" s="40"/>
      <c r="F1116" s="17" t="s">
        <v>8970</v>
      </c>
      <c r="H1116" s="10" t="s">
        <v>8563</v>
      </c>
      <c r="I1116" s="4" t="str">
        <f t="shared" si="120"/>
        <v>|Dúdángih|</v>
      </c>
      <c r="J1116" s="3" t="str">
        <f t="shared" si="121"/>
        <v>|Dudangih|</v>
      </c>
      <c r="K1116" s="3" t="str">
        <f t="shared" si="122"/>
        <v>Dudangih</v>
      </c>
      <c r="N1116" s="39" t="str">
        <f t="shared" si="123"/>
        <v/>
      </c>
      <c r="P1116" s="39" t="str">
        <f t="shared" si="124"/>
        <v/>
      </c>
      <c r="R1116" s="39" t="str">
        <f t="shared" si="125"/>
        <v/>
      </c>
      <c r="S1116" s="28"/>
      <c r="T1116" s="28"/>
      <c r="U1116" s="28"/>
    </row>
    <row r="1117" spans="1:21" s="5" customFormat="1">
      <c r="A1117" s="179" t="s">
        <v>1469</v>
      </c>
      <c r="B1117" s="185" t="s">
        <v>5851</v>
      </c>
      <c r="C1117" s="35" t="str">
        <f t="shared" si="119"/>
        <v>DughAbad</v>
      </c>
      <c r="E1117" s="40"/>
      <c r="F1117" s="14"/>
      <c r="G1117" s="17"/>
      <c r="H1117" s="10" t="s">
        <v>8563</v>
      </c>
      <c r="I1117" s="4" t="str">
        <f t="shared" si="120"/>
        <v>|Dú-Ábád|</v>
      </c>
      <c r="J1117" s="3" t="str">
        <f t="shared" si="121"/>
        <v>|Dugh-Abad|</v>
      </c>
      <c r="K1117" s="3" t="str">
        <f t="shared" si="122"/>
        <v>Dugh-Abad</v>
      </c>
      <c r="N1117" s="39" t="str">
        <f t="shared" si="123"/>
        <v/>
      </c>
      <c r="P1117" s="39" t="str">
        <f t="shared" si="124"/>
        <v/>
      </c>
      <c r="R1117" s="39" t="str">
        <f t="shared" si="125"/>
        <v/>
      </c>
      <c r="S1117" s="28"/>
      <c r="T1117" s="28"/>
      <c r="U1117" s="28"/>
    </row>
    <row r="1118" spans="1:21" s="5" customFormat="1">
      <c r="A1118" s="179" t="s">
        <v>1470</v>
      </c>
      <c r="B1118" s="185" t="s">
        <v>5852</v>
      </c>
      <c r="C1118" s="35" t="str">
        <f t="shared" si="119"/>
        <v>Dunbawand</v>
      </c>
      <c r="E1118" s="40"/>
      <c r="F1118" s="15"/>
      <c r="G1118" s="17"/>
      <c r="H1118" s="10" t="s">
        <v>8563</v>
      </c>
      <c r="I1118" s="4" t="str">
        <f t="shared" si="120"/>
        <v>|Dunbáwand|</v>
      </c>
      <c r="J1118" s="3" t="str">
        <f t="shared" si="121"/>
        <v>|Dunbawand|</v>
      </c>
      <c r="K1118" s="3" t="str">
        <f t="shared" si="122"/>
        <v>Dunbawand</v>
      </c>
      <c r="N1118" s="39" t="str">
        <f t="shared" si="123"/>
        <v/>
      </c>
      <c r="P1118" s="39" t="str">
        <f t="shared" si="124"/>
        <v/>
      </c>
      <c r="R1118" s="39" t="str">
        <f t="shared" si="125"/>
        <v/>
      </c>
      <c r="S1118" s="28"/>
      <c r="T1118" s="28"/>
      <c r="U1118" s="28"/>
    </row>
    <row r="1119" spans="1:21" s="5" customFormat="1">
      <c r="A1119" s="179" t="s">
        <v>1471</v>
      </c>
      <c r="B1119" s="185" t="s">
        <v>5853</v>
      </c>
      <c r="C1119" s="35" t="str">
        <f t="shared" si="119"/>
        <v>Dur</v>
      </c>
      <c r="E1119" s="40"/>
      <c r="F1119" s="15" t="s">
        <v>1472</v>
      </c>
      <c r="G1119" s="17"/>
      <c r="H1119" s="10" t="s">
        <v>8563</v>
      </c>
      <c r="I1119" s="4" t="str">
        <f t="shared" si="120"/>
        <v>|Dúr|</v>
      </c>
      <c r="J1119" s="3" t="str">
        <f t="shared" si="121"/>
        <v>|Dur|</v>
      </c>
      <c r="K1119" s="3" t="str">
        <f t="shared" si="122"/>
        <v>Dur</v>
      </c>
      <c r="N1119" s="39" t="str">
        <f t="shared" si="123"/>
        <v/>
      </c>
      <c r="P1119" s="39" t="str">
        <f t="shared" si="124"/>
        <v/>
      </c>
      <c r="R1119" s="39" t="str">
        <f t="shared" si="125"/>
        <v/>
      </c>
      <c r="S1119" s="28"/>
      <c r="T1119" s="28"/>
      <c r="U1119" s="28"/>
    </row>
    <row r="1120" spans="1:21" s="5" customFormat="1">
      <c r="A1120" s="179" t="s">
        <v>1473</v>
      </c>
      <c r="B1120" s="185" t="s">
        <v>5854</v>
      </c>
      <c r="C1120" s="35" t="str">
        <f t="shared" si="119"/>
        <v>DustMuhammad</v>
      </c>
      <c r="E1120" s="40"/>
      <c r="F1120" s="14"/>
      <c r="G1120" s="17"/>
      <c r="H1120" s="10" t="s">
        <v>8563</v>
      </c>
      <c r="I1120" s="4" t="str">
        <f t="shared" si="120"/>
        <v>|Dúst-Muḥammad|</v>
      </c>
      <c r="J1120" s="3" t="str">
        <f t="shared" si="121"/>
        <v>|Dust-Muhammad|</v>
      </c>
      <c r="K1120" s="3" t="str">
        <f t="shared" si="122"/>
        <v>Dust-Muhammad</v>
      </c>
      <c r="N1120" s="39" t="str">
        <f t="shared" si="123"/>
        <v/>
      </c>
      <c r="P1120" s="39" t="str">
        <f t="shared" si="124"/>
        <v/>
      </c>
      <c r="R1120" s="39" t="str">
        <f t="shared" si="125"/>
        <v/>
      </c>
      <c r="S1120" s="28"/>
      <c r="T1120" s="28"/>
      <c r="U1120" s="28"/>
    </row>
    <row r="1121" spans="1:21" s="5" customFormat="1">
      <c r="A1121" s="179" t="s">
        <v>1474</v>
      </c>
      <c r="B1121" s="185" t="s">
        <v>5855</v>
      </c>
      <c r="C1121" s="35" t="str">
        <f t="shared" si="119"/>
        <v>Duzdab</v>
      </c>
      <c r="E1121" s="40"/>
      <c r="F1121" s="14"/>
      <c r="G1121" s="17"/>
      <c r="H1121" s="10" t="s">
        <v>8563</v>
      </c>
      <c r="I1121" s="4" t="str">
        <f t="shared" si="120"/>
        <v>|Duzdáb|</v>
      </c>
      <c r="J1121" s="3" t="str">
        <f t="shared" si="121"/>
        <v>|Duzdab|</v>
      </c>
      <c r="K1121" s="3" t="str">
        <f t="shared" si="122"/>
        <v>Duzdab</v>
      </c>
      <c r="N1121" s="39" t="str">
        <f t="shared" si="123"/>
        <v/>
      </c>
      <c r="P1121" s="39" t="str">
        <f t="shared" si="124"/>
        <v/>
      </c>
      <c r="R1121" s="39" t="str">
        <f t="shared" si="125"/>
        <v/>
      </c>
      <c r="S1121" s="28"/>
      <c r="T1121" s="28"/>
      <c r="U1121" s="28"/>
    </row>
    <row r="1122" spans="1:21" s="5" customFormat="1">
      <c r="A1122" s="179" t="s">
        <v>1475</v>
      </c>
      <c r="B1122" s="185" t="s">
        <v>5856</v>
      </c>
      <c r="C1122" s="35" t="str">
        <f t="shared" si="119"/>
        <v>Fadail</v>
      </c>
      <c r="E1122" s="40"/>
      <c r="F1122" s="15" t="s">
        <v>1476</v>
      </c>
      <c r="G1122" s="17"/>
      <c r="H1122" s="10" t="s">
        <v>8563</v>
      </c>
      <c r="I1122" s="4" t="str">
        <f t="shared" si="120"/>
        <v>|Faḍá’il|</v>
      </c>
      <c r="J1122" s="3" t="str">
        <f t="shared" si="121"/>
        <v>|Fada'il|</v>
      </c>
      <c r="K1122" s="3" t="str">
        <f t="shared" si="122"/>
        <v>Fadail</v>
      </c>
      <c r="N1122" s="39" t="str">
        <f t="shared" si="123"/>
        <v/>
      </c>
      <c r="P1122" s="39" t="str">
        <f t="shared" si="124"/>
        <v/>
      </c>
      <c r="R1122" s="39" t="str">
        <f t="shared" si="125"/>
        <v/>
      </c>
      <c r="S1122" s="28"/>
      <c r="T1122" s="28"/>
      <c r="U1122" s="28"/>
    </row>
    <row r="1123" spans="1:21" s="5" customFormat="1">
      <c r="A1123" s="179" t="s">
        <v>1477</v>
      </c>
      <c r="B1123" s="185" t="s">
        <v>5857</v>
      </c>
      <c r="C1123" s="35" t="str">
        <f t="shared" si="119"/>
        <v>Fadil</v>
      </c>
      <c r="E1123" s="40"/>
      <c r="F1123" s="15" t="s">
        <v>1478</v>
      </c>
      <c r="G1123" s="17"/>
      <c r="H1123" s="10" t="s">
        <v>8563</v>
      </c>
      <c r="I1123" s="4" t="str">
        <f t="shared" si="120"/>
        <v>|Fáḍil|</v>
      </c>
      <c r="J1123" s="3" t="str">
        <f t="shared" si="121"/>
        <v>|Fadil|</v>
      </c>
      <c r="K1123" s="3" t="str">
        <f t="shared" si="122"/>
        <v>Fadil</v>
      </c>
      <c r="N1123" s="39" t="str">
        <f t="shared" si="123"/>
        <v/>
      </c>
      <c r="P1123" s="39" t="str">
        <f t="shared" si="124"/>
        <v/>
      </c>
      <c r="R1123" s="39" t="str">
        <f t="shared" si="125"/>
        <v/>
      </c>
      <c r="S1123" s="28"/>
      <c r="T1123" s="28"/>
      <c r="U1123" s="28"/>
    </row>
    <row r="1124" spans="1:21" s="5" customFormat="1">
      <c r="A1124" s="179" t="s">
        <v>1479</v>
      </c>
      <c r="B1124" s="185" t="s">
        <v>5858</v>
      </c>
      <c r="C1124" s="35" t="str">
        <f t="shared" si="119"/>
        <v>FadiliMazindarani</v>
      </c>
      <c r="E1124" s="40"/>
      <c r="F1124" s="15"/>
      <c r="G1124" s="17"/>
      <c r="H1124" s="10" t="s">
        <v>8563</v>
      </c>
      <c r="I1124" s="4" t="str">
        <f t="shared" si="120"/>
        <v>|Fáḍil-i-Mázindarání|</v>
      </c>
      <c r="J1124" s="3" t="str">
        <f t="shared" si="121"/>
        <v>|Fadil-i-Mazindarani|</v>
      </c>
      <c r="K1124" s="3" t="str">
        <f t="shared" si="122"/>
        <v>Fadil-i-Mazindarani</v>
      </c>
      <c r="N1124" s="39" t="str">
        <f t="shared" si="123"/>
        <v/>
      </c>
      <c r="P1124" s="39" t="str">
        <f t="shared" si="124"/>
        <v/>
      </c>
      <c r="R1124" s="39" t="str">
        <f t="shared" si="125"/>
        <v/>
      </c>
      <c r="S1124" s="28"/>
      <c r="T1124" s="28"/>
      <c r="U1124" s="28"/>
    </row>
    <row r="1125" spans="1:21" s="5" customFormat="1">
      <c r="A1125" s="179" t="s">
        <v>1480</v>
      </c>
      <c r="B1125" s="185" t="s">
        <v>5859</v>
      </c>
      <c r="C1125" s="35" t="str">
        <f t="shared" si="119"/>
        <v>FadiliQaini</v>
      </c>
      <c r="E1125" s="40"/>
      <c r="F1125" s="15" t="s">
        <v>1481</v>
      </c>
      <c r="G1125" s="17"/>
      <c r="H1125" s="10" t="s">
        <v>8563</v>
      </c>
      <c r="I1125" s="4" t="str">
        <f t="shared" si="120"/>
        <v>|Fáḍil-i-Qá’iní|</v>
      </c>
      <c r="J1125" s="3" t="str">
        <f t="shared" si="121"/>
        <v>|Fadil-i-Qa'ini|</v>
      </c>
      <c r="K1125" s="3" t="str">
        <f t="shared" si="122"/>
        <v>Fadil-i-Qaini</v>
      </c>
      <c r="N1125" s="39" t="str">
        <f t="shared" si="123"/>
        <v/>
      </c>
      <c r="P1125" s="39" t="str">
        <f t="shared" si="124"/>
        <v/>
      </c>
      <c r="R1125" s="39" t="str">
        <f t="shared" si="125"/>
        <v/>
      </c>
      <c r="S1125" s="28"/>
      <c r="T1125" s="28"/>
      <c r="U1125" s="28"/>
    </row>
    <row r="1126" spans="1:21" s="5" customFormat="1">
      <c r="A1126" s="179" t="s">
        <v>1482</v>
      </c>
      <c r="B1126" s="185" t="s">
        <v>5860</v>
      </c>
      <c r="C1126" s="35" t="str">
        <f t="shared" si="119"/>
        <v>Fadl</v>
      </c>
      <c r="E1126" s="40"/>
      <c r="F1126" s="15" t="s">
        <v>1483</v>
      </c>
      <c r="G1126" s="17"/>
      <c r="H1126" s="10" t="s">
        <v>8563</v>
      </c>
      <c r="I1126" s="4" t="str">
        <f t="shared" si="120"/>
        <v>|Faḍl|</v>
      </c>
      <c r="J1126" s="3" t="str">
        <f t="shared" si="121"/>
        <v>|Fadl|</v>
      </c>
      <c r="K1126" s="3" t="str">
        <f t="shared" si="122"/>
        <v>Fadl</v>
      </c>
      <c r="N1126" s="39" t="str">
        <f t="shared" si="123"/>
        <v/>
      </c>
      <c r="P1126" s="39" t="str">
        <f t="shared" si="124"/>
        <v/>
      </c>
      <c r="R1126" s="39" t="str">
        <f t="shared" si="125"/>
        <v/>
      </c>
      <c r="S1126" s="28"/>
      <c r="T1126" s="28"/>
      <c r="U1126" s="28"/>
    </row>
    <row r="1127" spans="1:21" s="5" customFormat="1">
      <c r="A1127" s="179" t="s">
        <v>1484</v>
      </c>
      <c r="B1127" s="185" t="s">
        <v>5861</v>
      </c>
      <c r="C1127" s="35" t="str">
        <f t="shared" si="119"/>
        <v>Fadlan</v>
      </c>
      <c r="E1127" s="40"/>
      <c r="F1127" s="15"/>
      <c r="G1127" s="17"/>
      <c r="H1127" s="10" t="s">
        <v>8563</v>
      </c>
      <c r="I1127" s="4" t="str">
        <f t="shared" si="120"/>
        <v>|Faḍlán|</v>
      </c>
      <c r="J1127" s="3" t="str">
        <f t="shared" si="121"/>
        <v>|Fadlan|</v>
      </c>
      <c r="K1127" s="3" t="str">
        <f t="shared" si="122"/>
        <v>Fadlan</v>
      </c>
      <c r="N1127" s="39" t="str">
        <f t="shared" si="123"/>
        <v/>
      </c>
      <c r="P1127" s="39" t="str">
        <f t="shared" si="124"/>
        <v/>
      </c>
      <c r="R1127" s="39" t="str">
        <f t="shared" si="125"/>
        <v/>
      </c>
      <c r="S1127" s="28"/>
      <c r="T1127" s="28"/>
      <c r="U1127" s="28"/>
    </row>
    <row r="1128" spans="1:21" s="5" customFormat="1">
      <c r="A1128" s="179" t="s">
        <v>1485</v>
      </c>
      <c r="B1128" s="185" t="s">
        <v>5862</v>
      </c>
      <c r="C1128" s="35" t="str">
        <f t="shared" si="119"/>
        <v>Fadlullah</v>
      </c>
      <c r="E1128" s="40"/>
      <c r="F1128" s="15"/>
      <c r="G1128" s="17"/>
      <c r="H1128" s="10" t="s">
        <v>8563</v>
      </c>
      <c r="I1128" s="4" t="str">
        <f t="shared" si="120"/>
        <v>|Faḍlu’lláh|</v>
      </c>
      <c r="J1128" s="3" t="str">
        <f t="shared" si="121"/>
        <v>|Fadlu'llah|</v>
      </c>
      <c r="K1128" s="3" t="str">
        <f t="shared" si="122"/>
        <v>Fadlullah</v>
      </c>
      <c r="N1128" s="39" t="str">
        <f t="shared" si="123"/>
        <v/>
      </c>
      <c r="P1128" s="39" t="str">
        <f t="shared" si="124"/>
        <v/>
      </c>
      <c r="R1128" s="39" t="str">
        <f t="shared" si="125"/>
        <v/>
      </c>
      <c r="S1128" s="28"/>
      <c r="T1128" s="28"/>
      <c r="U1128" s="28"/>
    </row>
    <row r="1129" spans="1:21" s="5" customFormat="1">
      <c r="A1129" s="179" t="s">
        <v>1486</v>
      </c>
      <c r="B1129" s="185" t="s">
        <v>5863</v>
      </c>
      <c r="C1129" s="35" t="str">
        <f t="shared" si="119"/>
        <v>Fahandizh</v>
      </c>
      <c r="E1129" s="40"/>
      <c r="F1129" s="15"/>
      <c r="G1129" s="17"/>
      <c r="H1129" s="10" t="s">
        <v>8563</v>
      </c>
      <c r="I1129" s="4" t="str">
        <f t="shared" si="120"/>
        <v>|Fahandi|</v>
      </c>
      <c r="J1129" s="3" t="str">
        <f t="shared" si="121"/>
        <v>|Fahandizh|</v>
      </c>
      <c r="K1129" s="3" t="str">
        <f t="shared" si="122"/>
        <v>Fahandizh</v>
      </c>
      <c r="N1129" s="39" t="str">
        <f t="shared" si="123"/>
        <v/>
      </c>
      <c r="P1129" s="39" t="str">
        <f t="shared" si="124"/>
        <v/>
      </c>
      <c r="R1129" s="39" t="str">
        <f t="shared" si="125"/>
        <v/>
      </c>
      <c r="S1129" s="28"/>
      <c r="T1129" s="28"/>
      <c r="U1129" s="28"/>
    </row>
    <row r="1130" spans="1:21" s="5" customFormat="1">
      <c r="A1130" s="179" t="s">
        <v>1487</v>
      </c>
      <c r="B1130" s="185" t="s">
        <v>5864</v>
      </c>
      <c r="C1130" s="35" t="str">
        <f t="shared" si="119"/>
        <v>Faiq</v>
      </c>
      <c r="E1130" s="40"/>
      <c r="F1130" s="15" t="s">
        <v>1488</v>
      </c>
      <c r="G1130" s="17"/>
      <c r="H1130" s="10" t="s">
        <v>8563</v>
      </c>
      <c r="I1130" s="4" t="str">
        <f t="shared" si="120"/>
        <v>|Fá’iq|</v>
      </c>
      <c r="J1130" s="3" t="str">
        <f t="shared" si="121"/>
        <v>|Fa'iq|</v>
      </c>
      <c r="K1130" s="3" t="str">
        <f t="shared" si="122"/>
        <v>Faiq</v>
      </c>
      <c r="N1130" s="39" t="str">
        <f t="shared" si="123"/>
        <v/>
      </c>
      <c r="P1130" s="39" t="str">
        <f t="shared" si="124"/>
        <v/>
      </c>
      <c r="R1130" s="39" t="str">
        <f t="shared" si="125"/>
        <v/>
      </c>
      <c r="S1130" s="28"/>
      <c r="T1130" s="28"/>
      <c r="U1130" s="28"/>
    </row>
    <row r="1131" spans="1:21" s="5" customFormat="1">
      <c r="A1131" s="179" t="s">
        <v>1489</v>
      </c>
      <c r="B1131" s="185" t="s">
        <v>5865</v>
      </c>
      <c r="C1131" s="35" t="str">
        <f t="shared" si="119"/>
        <v>Faizih</v>
      </c>
      <c r="E1131" s="40"/>
      <c r="F1131" s="15" t="s">
        <v>1490</v>
      </c>
      <c r="G1131" s="17"/>
      <c r="H1131" s="10" t="s">
        <v>8563</v>
      </c>
      <c r="I1131" s="4" t="str">
        <f t="shared" si="120"/>
        <v>|Fáʿizih|</v>
      </c>
      <c r="J1131" s="3" t="str">
        <f t="shared" si="121"/>
        <v>|Fa'izih|</v>
      </c>
      <c r="K1131" s="3" t="str">
        <f t="shared" si="122"/>
        <v>Faizih</v>
      </c>
      <c r="N1131" s="39" t="str">
        <f t="shared" si="123"/>
        <v/>
      </c>
      <c r="P1131" s="39" t="str">
        <f t="shared" si="124"/>
        <v/>
      </c>
      <c r="R1131" s="39" t="str">
        <f t="shared" si="125"/>
        <v/>
      </c>
      <c r="S1131" s="28"/>
      <c r="T1131" s="28"/>
      <c r="U1131" s="28"/>
    </row>
    <row r="1132" spans="1:21" s="5" customFormat="1">
      <c r="A1132" s="179" t="s">
        <v>1491</v>
      </c>
      <c r="B1132" s="185" t="s">
        <v>5866</v>
      </c>
      <c r="C1132" s="35" t="str">
        <f t="shared" si="119"/>
        <v>Fakhri</v>
      </c>
      <c r="E1132" s="40"/>
      <c r="F1132" s="15"/>
      <c r="G1132" s="17"/>
      <c r="H1132" s="10" t="s">
        <v>8563</v>
      </c>
      <c r="I1132" s="4" t="str">
        <f t="shared" si="120"/>
        <v>|Farí|</v>
      </c>
      <c r="J1132" s="3" t="str">
        <f t="shared" si="121"/>
        <v>|Fakhri|</v>
      </c>
      <c r="K1132" s="3" t="str">
        <f t="shared" si="122"/>
        <v>Fakhri</v>
      </c>
      <c r="N1132" s="39" t="str">
        <f t="shared" si="123"/>
        <v/>
      </c>
      <c r="P1132" s="39" t="str">
        <f t="shared" si="124"/>
        <v/>
      </c>
      <c r="R1132" s="39" t="str">
        <f t="shared" si="125"/>
        <v/>
      </c>
      <c r="S1132" s="28"/>
      <c r="T1132" s="28"/>
      <c r="U1132" s="28"/>
    </row>
    <row r="1133" spans="1:21" s="5" customFormat="1">
      <c r="A1133" s="179" t="s">
        <v>1492</v>
      </c>
      <c r="B1133" s="185" t="s">
        <v>5867</v>
      </c>
      <c r="C1133" s="35" t="str">
        <f t="shared" si="119"/>
        <v>FakhrudDawlih</v>
      </c>
      <c r="E1133" s="40"/>
      <c r="F1133" s="14"/>
      <c r="G1133" s="17"/>
      <c r="H1133" s="10" t="s">
        <v>8563</v>
      </c>
      <c r="I1133" s="4" t="str">
        <f t="shared" si="120"/>
        <v>|Faru’d-Dawlih|</v>
      </c>
      <c r="J1133" s="3" t="str">
        <f t="shared" si="121"/>
        <v>|Fakhru'd-Dawlih|</v>
      </c>
      <c r="K1133" s="3" t="str">
        <f t="shared" si="122"/>
        <v>Fakhrud-Dawlih</v>
      </c>
      <c r="N1133" s="39" t="str">
        <f t="shared" si="123"/>
        <v/>
      </c>
      <c r="P1133" s="39" t="str">
        <f t="shared" si="124"/>
        <v/>
      </c>
      <c r="R1133" s="39" t="str">
        <f t="shared" si="125"/>
        <v/>
      </c>
      <c r="S1133" s="28"/>
      <c r="T1133" s="28"/>
      <c r="U1133" s="28"/>
    </row>
    <row r="1134" spans="1:21" s="5" customFormat="1">
      <c r="A1134" s="179" t="s">
        <v>1493</v>
      </c>
      <c r="B1134" s="185" t="s">
        <v>5868</v>
      </c>
      <c r="C1134" s="35" t="str">
        <f t="shared" si="119"/>
        <v>FakhrudDin</v>
      </c>
      <c r="E1134" s="40"/>
      <c r="F1134" s="15" t="s">
        <v>1494</v>
      </c>
      <c r="G1134" s="17"/>
      <c r="H1134" s="10" t="s">
        <v>8563</v>
      </c>
      <c r="I1134" s="4" t="str">
        <f t="shared" si="120"/>
        <v>|Faru’d-Dín|</v>
      </c>
      <c r="J1134" s="3" t="str">
        <f t="shared" si="121"/>
        <v>|Fakhru'd-Din|</v>
      </c>
      <c r="K1134" s="3" t="str">
        <f t="shared" si="122"/>
        <v>Fakhrud-Din</v>
      </c>
      <c r="N1134" s="39" t="str">
        <f t="shared" si="123"/>
        <v/>
      </c>
      <c r="P1134" s="39" t="str">
        <f t="shared" si="124"/>
        <v/>
      </c>
      <c r="R1134" s="39" t="str">
        <f t="shared" si="125"/>
        <v/>
      </c>
      <c r="S1134" s="28"/>
      <c r="T1134" s="28"/>
      <c r="U1134" s="28"/>
    </row>
    <row r="1135" spans="1:21" s="5" customFormat="1">
      <c r="A1135" s="179" t="s">
        <v>1495</v>
      </c>
      <c r="B1135" s="185" t="s">
        <v>5869</v>
      </c>
      <c r="C1135" s="35" t="str">
        <f t="shared" si="119"/>
        <v>FakhrulMulk</v>
      </c>
      <c r="E1135" s="40"/>
      <c r="F1135" s="15"/>
      <c r="G1135" s="17"/>
      <c r="H1135" s="10" t="s">
        <v>8563</v>
      </c>
      <c r="I1135" s="4" t="str">
        <f t="shared" si="120"/>
        <v>|Faru’l-Mulk|</v>
      </c>
      <c r="J1135" s="3" t="str">
        <f t="shared" si="121"/>
        <v>|Fakhru'l-Mulk|</v>
      </c>
      <c r="K1135" s="3" t="str">
        <f t="shared" si="122"/>
        <v>Fakhrul-Mulk</v>
      </c>
      <c r="N1135" s="39" t="str">
        <f t="shared" si="123"/>
        <v/>
      </c>
      <c r="P1135" s="39" t="str">
        <f t="shared" si="124"/>
        <v/>
      </c>
      <c r="R1135" s="39" t="str">
        <f t="shared" si="125"/>
        <v/>
      </c>
      <c r="S1135" s="28"/>
      <c r="T1135" s="28"/>
      <c r="U1135" s="28"/>
    </row>
    <row r="1136" spans="1:21" s="5" customFormat="1">
      <c r="A1136" s="179" t="s">
        <v>1496</v>
      </c>
      <c r="B1136" s="185" t="s">
        <v>5870</v>
      </c>
      <c r="C1136" s="35" t="str">
        <f t="shared" si="119"/>
        <v>FakhrushShuhada</v>
      </c>
      <c r="E1136" s="40"/>
      <c r="F1136" s="15"/>
      <c r="G1136" s="17"/>
      <c r="H1136" s="10" t="s">
        <v>8563</v>
      </c>
      <c r="I1136" s="4" t="str">
        <f t="shared" si="120"/>
        <v>|Faru’-uhadá’|</v>
      </c>
      <c r="J1136" s="3" t="str">
        <f t="shared" si="121"/>
        <v>|Fakhru'sh-Shuhada'|</v>
      </c>
      <c r="K1136" s="3" t="str">
        <f t="shared" si="122"/>
        <v>Fakhrush-Shuhada</v>
      </c>
      <c r="N1136" s="39" t="str">
        <f t="shared" si="123"/>
        <v/>
      </c>
      <c r="P1136" s="39" t="str">
        <f t="shared" si="124"/>
        <v/>
      </c>
      <c r="R1136" s="39" t="str">
        <f t="shared" si="125"/>
        <v/>
      </c>
      <c r="S1136" s="28"/>
      <c r="T1136" s="28"/>
      <c r="U1136" s="28"/>
    </row>
    <row r="1137" spans="1:21" s="5" customFormat="1">
      <c r="A1137" s="179" t="s">
        <v>1497</v>
      </c>
      <c r="B1137" s="185" t="s">
        <v>5871</v>
      </c>
      <c r="C1137" s="35" t="str">
        <f t="shared" si="119"/>
        <v>Faqih</v>
      </c>
      <c r="E1137" s="40"/>
      <c r="F1137" s="15" t="s">
        <v>1498</v>
      </c>
      <c r="G1137" s="17"/>
      <c r="H1137" s="10" t="s">
        <v>8563</v>
      </c>
      <c r="I1137" s="4" t="str">
        <f t="shared" si="120"/>
        <v>|Faqíh|</v>
      </c>
      <c r="J1137" s="3" t="str">
        <f t="shared" si="121"/>
        <v>|Faqih|</v>
      </c>
      <c r="K1137" s="3" t="str">
        <f t="shared" si="122"/>
        <v>Faqih</v>
      </c>
      <c r="N1137" s="39" t="str">
        <f t="shared" si="123"/>
        <v/>
      </c>
      <c r="P1137" s="39" t="str">
        <f t="shared" si="124"/>
        <v/>
      </c>
      <c r="R1137" s="39" t="str">
        <f t="shared" si="125"/>
        <v/>
      </c>
      <c r="S1137" s="28"/>
      <c r="T1137" s="28"/>
      <c r="U1137" s="28"/>
    </row>
    <row r="1138" spans="1:21" s="5" customFormat="1">
      <c r="A1138" s="179" t="s">
        <v>1499</v>
      </c>
      <c r="B1138" s="185" t="s">
        <v>5872</v>
      </c>
      <c r="C1138" s="35" t="str">
        <f t="shared" si="119"/>
        <v>Faqir</v>
      </c>
      <c r="E1138" s="40"/>
      <c r="F1138" s="15" t="s">
        <v>1500</v>
      </c>
      <c r="G1138" s="17"/>
      <c r="H1138" s="10" t="s">
        <v>8563</v>
      </c>
      <c r="I1138" s="4" t="str">
        <f t="shared" si="120"/>
        <v>|Faqír|</v>
      </c>
      <c r="J1138" s="3" t="str">
        <f t="shared" si="121"/>
        <v>|Faqir|</v>
      </c>
      <c r="K1138" s="3" t="str">
        <f t="shared" si="122"/>
        <v>Faqir</v>
      </c>
      <c r="N1138" s="39" t="str">
        <f t="shared" si="123"/>
        <v/>
      </c>
      <c r="P1138" s="39" t="str">
        <f t="shared" si="124"/>
        <v/>
      </c>
      <c r="R1138" s="39" t="str">
        <f t="shared" si="125"/>
        <v/>
      </c>
      <c r="S1138" s="28"/>
      <c r="T1138" s="28"/>
      <c r="U1138" s="28"/>
    </row>
    <row r="1139" spans="1:21" s="5" customFormat="1">
      <c r="A1139" s="179" t="s">
        <v>1501</v>
      </c>
      <c r="B1139" s="185" t="s">
        <v>5873</v>
      </c>
      <c r="C1139" s="35" t="str">
        <f t="shared" si="119"/>
        <v>Farabi</v>
      </c>
      <c r="E1139" s="40"/>
      <c r="F1139" s="15" t="s">
        <v>1502</v>
      </c>
      <c r="G1139" s="17"/>
      <c r="H1139" s="10" t="s">
        <v>8563</v>
      </c>
      <c r="I1139" s="4" t="str">
        <f t="shared" si="120"/>
        <v>|Fárábí|</v>
      </c>
      <c r="J1139" s="3" t="str">
        <f t="shared" si="121"/>
        <v>|Farabi|</v>
      </c>
      <c r="K1139" s="3" t="str">
        <f t="shared" si="122"/>
        <v>Farabi</v>
      </c>
      <c r="N1139" s="39" t="str">
        <f t="shared" si="123"/>
        <v/>
      </c>
      <c r="P1139" s="39" t="str">
        <f t="shared" si="124"/>
        <v/>
      </c>
      <c r="R1139" s="39" t="str">
        <f t="shared" si="125"/>
        <v/>
      </c>
      <c r="S1139" s="28"/>
      <c r="T1139" s="28"/>
      <c r="U1139" s="28"/>
    </row>
    <row r="1140" spans="1:21" s="5" customFormat="1">
      <c r="A1140" s="179" t="s">
        <v>1503</v>
      </c>
      <c r="B1140" s="185" t="s">
        <v>5874</v>
      </c>
      <c r="C1140" s="35" t="str">
        <f t="shared" si="119"/>
        <v>FarahAbad</v>
      </c>
      <c r="E1140" s="40"/>
      <c r="F1140" s="15" t="s">
        <v>1504</v>
      </c>
      <c r="G1140" s="17"/>
      <c r="H1140" s="10" t="s">
        <v>8563</v>
      </c>
      <c r="I1140" s="4" t="str">
        <f t="shared" si="120"/>
        <v>|Faraḥ-Ábád|</v>
      </c>
      <c r="J1140" s="3" t="str">
        <f t="shared" si="121"/>
        <v>|Farah-Abad|</v>
      </c>
      <c r="K1140" s="3" t="str">
        <f t="shared" si="122"/>
        <v>Farah-Abad</v>
      </c>
      <c r="N1140" s="39" t="str">
        <f t="shared" si="123"/>
        <v/>
      </c>
      <c r="P1140" s="39" t="str">
        <f t="shared" si="124"/>
        <v/>
      </c>
      <c r="R1140" s="39" t="str">
        <f t="shared" si="125"/>
        <v/>
      </c>
      <c r="S1140" s="28"/>
      <c r="T1140" s="28"/>
      <c r="U1140" s="28"/>
    </row>
    <row r="1141" spans="1:21" s="5" customFormat="1">
      <c r="A1141" s="179" t="s">
        <v>1505</v>
      </c>
      <c r="B1141" s="185" t="s">
        <v>5875</v>
      </c>
      <c r="C1141" s="35" t="str">
        <f t="shared" si="119"/>
        <v>Farahadi</v>
      </c>
      <c r="E1141" s="40"/>
      <c r="F1141" s="15"/>
      <c r="G1141" s="17"/>
      <c r="H1141" s="10" t="s">
        <v>8563</v>
      </c>
      <c r="I1141" s="4" t="str">
        <f t="shared" si="120"/>
        <v>|Farahádí|</v>
      </c>
      <c r="J1141" s="3" t="str">
        <f t="shared" si="121"/>
        <v>|Farahadi|</v>
      </c>
      <c r="K1141" s="3" t="str">
        <f t="shared" si="122"/>
        <v>Farahadi</v>
      </c>
      <c r="N1141" s="39" t="str">
        <f t="shared" si="123"/>
        <v/>
      </c>
      <c r="P1141" s="39" t="str">
        <f t="shared" si="124"/>
        <v/>
      </c>
      <c r="R1141" s="39" t="str">
        <f t="shared" si="125"/>
        <v/>
      </c>
      <c r="S1141" s="28"/>
      <c r="T1141" s="28"/>
      <c r="U1141" s="28"/>
    </row>
    <row r="1142" spans="1:21" s="5" customFormat="1">
      <c r="A1142" s="179" t="s">
        <v>1506</v>
      </c>
      <c r="B1142" s="185" t="s">
        <v>5876</v>
      </c>
      <c r="C1142" s="35" t="str">
        <f t="shared" si="119"/>
        <v>Farahan</v>
      </c>
      <c r="E1142" s="40"/>
      <c r="F1142" s="15" t="s">
        <v>1312</v>
      </c>
      <c r="G1142" s="17"/>
      <c r="H1142" s="10" t="s">
        <v>8563</v>
      </c>
      <c r="I1142" s="4" t="str">
        <f t="shared" si="120"/>
        <v>|Faráhán|</v>
      </c>
      <c r="J1142" s="3" t="str">
        <f t="shared" si="121"/>
        <v>|Farahan|</v>
      </c>
      <c r="K1142" s="3" t="str">
        <f t="shared" si="122"/>
        <v>Farahan</v>
      </c>
      <c r="N1142" s="39" t="str">
        <f t="shared" si="123"/>
        <v/>
      </c>
      <c r="P1142" s="39" t="str">
        <f t="shared" si="124"/>
        <v/>
      </c>
      <c r="R1142" s="39" t="str">
        <f t="shared" si="125"/>
        <v/>
      </c>
      <c r="S1142" s="28"/>
      <c r="T1142" s="28"/>
      <c r="U1142" s="28"/>
    </row>
    <row r="1143" spans="1:21" s="5" customFormat="1">
      <c r="A1143" s="179" t="s">
        <v>1507</v>
      </c>
      <c r="B1143" s="185" t="s">
        <v>5877</v>
      </c>
      <c r="C1143" s="35" t="str">
        <f t="shared" si="119"/>
        <v>Farahani</v>
      </c>
      <c r="E1143" s="40"/>
      <c r="F1143" s="14"/>
      <c r="G1143" s="17"/>
      <c r="H1143" s="10" t="s">
        <v>8563</v>
      </c>
      <c r="I1143" s="4" t="str">
        <f t="shared" si="120"/>
        <v>|Faráhání|</v>
      </c>
      <c r="J1143" s="3" t="str">
        <f t="shared" si="121"/>
        <v>|Farahani|</v>
      </c>
      <c r="K1143" s="3" t="str">
        <f t="shared" si="122"/>
        <v>Farahani</v>
      </c>
      <c r="N1143" s="39" t="str">
        <f t="shared" si="123"/>
        <v/>
      </c>
      <c r="P1143" s="39" t="str">
        <f t="shared" si="124"/>
        <v/>
      </c>
      <c r="R1143" s="39" t="str">
        <f t="shared" si="125"/>
        <v/>
      </c>
      <c r="S1143" s="28"/>
      <c r="T1143" s="28"/>
      <c r="U1143" s="28"/>
    </row>
    <row r="1144" spans="1:21" s="5" customFormat="1">
      <c r="A1144" s="179" t="s">
        <v>1508</v>
      </c>
      <c r="B1144" s="185" t="s">
        <v>5878</v>
      </c>
      <c r="C1144" s="35" t="str">
        <f t="shared" si="119"/>
        <v>Faraid</v>
      </c>
      <c r="E1144" s="40"/>
      <c r="F1144" s="14"/>
      <c r="G1144" s="17"/>
      <c r="H1144" s="10" t="s">
        <v>8563</v>
      </c>
      <c r="I1144" s="4" t="str">
        <f t="shared" si="120"/>
        <v>|Fará’id|</v>
      </c>
      <c r="J1144" s="3" t="str">
        <f t="shared" si="121"/>
        <v>|Fara'id|</v>
      </c>
      <c r="K1144" s="3" t="str">
        <f t="shared" si="122"/>
        <v>Faraid</v>
      </c>
      <c r="N1144" s="39" t="str">
        <f t="shared" si="123"/>
        <v/>
      </c>
      <c r="P1144" s="39" t="str">
        <f t="shared" si="124"/>
        <v/>
      </c>
      <c r="R1144" s="39" t="str">
        <f t="shared" si="125"/>
        <v/>
      </c>
      <c r="S1144" s="28"/>
      <c r="T1144" s="28"/>
      <c r="U1144" s="28"/>
    </row>
    <row r="1145" spans="1:21" s="5" customFormat="1">
      <c r="A1145" s="179" t="s">
        <v>1509</v>
      </c>
      <c r="B1145" s="185" t="s">
        <v>5879</v>
      </c>
      <c r="C1145" s="35" t="str">
        <f t="shared" si="119"/>
        <v>Faraj</v>
      </c>
      <c r="E1145" s="40"/>
      <c r="F1145" s="14"/>
      <c r="G1145" s="17"/>
      <c r="H1145" s="10" t="s">
        <v>8563</v>
      </c>
      <c r="I1145" s="4" t="str">
        <f t="shared" si="120"/>
        <v>|Faraj|</v>
      </c>
      <c r="J1145" s="3" t="str">
        <f t="shared" si="121"/>
        <v>|Faraj|</v>
      </c>
      <c r="K1145" s="3" t="str">
        <f t="shared" si="122"/>
        <v>Faraj</v>
      </c>
      <c r="N1145" s="39" t="str">
        <f t="shared" si="123"/>
        <v/>
      </c>
      <c r="P1145" s="39" t="str">
        <f t="shared" si="124"/>
        <v/>
      </c>
      <c r="R1145" s="39" t="str">
        <f t="shared" si="125"/>
        <v/>
      </c>
      <c r="S1145" s="28"/>
      <c r="T1145" s="28"/>
      <c r="U1145" s="28"/>
    </row>
    <row r="1146" spans="1:21" s="5" customFormat="1">
      <c r="A1146" s="179" t="s">
        <v>1510</v>
      </c>
      <c r="B1146" s="185" t="s">
        <v>9513</v>
      </c>
      <c r="C1146" s="35" t="str">
        <f t="shared" si="119"/>
        <v>Farajullah</v>
      </c>
      <c r="E1146" s="40" t="s">
        <v>9115</v>
      </c>
      <c r="F1146" s="14"/>
      <c r="G1146" s="17" t="s">
        <v>9514</v>
      </c>
      <c r="H1146" s="10" t="s">
        <v>8563</v>
      </c>
      <c r="I1146" s="4" t="str">
        <f t="shared" si="120"/>
        <v>|Faraju’lláh|</v>
      </c>
      <c r="J1146" s="3" t="str">
        <f t="shared" si="121"/>
        <v>|Faraju'llah|</v>
      </c>
      <c r="K1146" s="3" t="str">
        <f t="shared" si="122"/>
        <v>Farajullah</v>
      </c>
      <c r="N1146" s="39" t="str">
        <f t="shared" si="123"/>
        <v/>
      </c>
      <c r="P1146" s="39" t="str">
        <f t="shared" si="124"/>
        <v/>
      </c>
      <c r="R1146" s="39" t="str">
        <f t="shared" si="125"/>
        <v/>
      </c>
      <c r="S1146" s="28"/>
      <c r="T1146" s="28"/>
      <c r="U1146" s="28"/>
    </row>
    <row r="1147" spans="1:21" s="5" customFormat="1">
      <c r="A1147" s="179" t="s">
        <v>1511</v>
      </c>
      <c r="B1147" s="185" t="s">
        <v>5880</v>
      </c>
      <c r="C1147" s="35" t="str">
        <f t="shared" si="119"/>
        <v>Faramarz</v>
      </c>
      <c r="E1147" s="40"/>
      <c r="F1147" s="15"/>
      <c r="G1147" s="17"/>
      <c r="H1147" s="10" t="s">
        <v>8563</v>
      </c>
      <c r="I1147" s="4" t="str">
        <f t="shared" si="120"/>
        <v>|Farámarz|</v>
      </c>
      <c r="J1147" s="3" t="str">
        <f t="shared" si="121"/>
        <v>|Faramarz|</v>
      </c>
      <c r="K1147" s="3" t="str">
        <f t="shared" si="122"/>
        <v>Faramarz</v>
      </c>
      <c r="N1147" s="39" t="str">
        <f t="shared" si="123"/>
        <v/>
      </c>
      <c r="P1147" s="39" t="str">
        <f t="shared" si="124"/>
        <v/>
      </c>
      <c r="R1147" s="39" t="str">
        <f t="shared" si="125"/>
        <v/>
      </c>
      <c r="S1147" s="28"/>
      <c r="T1147" s="28"/>
      <c r="U1147" s="28"/>
    </row>
    <row r="1148" spans="1:21" s="5" customFormat="1">
      <c r="A1148" s="179" t="s">
        <v>1512</v>
      </c>
      <c r="B1148" s="185" t="s">
        <v>8971</v>
      </c>
      <c r="C1148" s="35" t="str">
        <f t="shared" si="119"/>
        <v>FaramushKhanih</v>
      </c>
      <c r="E1148" s="40"/>
      <c r="F1148" s="15" t="s">
        <v>1513</v>
      </c>
      <c r="G1148" s="17"/>
      <c r="H1148" s="10" t="s">
        <v>8563</v>
      </c>
      <c r="I1148" s="4" t="str">
        <f t="shared" si="120"/>
        <v>|Farámú-ánih|</v>
      </c>
      <c r="J1148" s="3" t="str">
        <f t="shared" si="121"/>
        <v>|Faramush-Khanih|</v>
      </c>
      <c r="K1148" s="3" t="str">
        <f t="shared" si="122"/>
        <v>Faramush-Khanih</v>
      </c>
      <c r="N1148" s="39" t="str">
        <f t="shared" si="123"/>
        <v/>
      </c>
      <c r="P1148" s="39" t="str">
        <f t="shared" si="124"/>
        <v/>
      </c>
      <c r="R1148" s="39" t="str">
        <f t="shared" si="125"/>
        <v/>
      </c>
      <c r="S1148" s="28"/>
      <c r="T1148" s="28"/>
      <c r="U1148" s="28"/>
    </row>
    <row r="1149" spans="1:21" s="5" customFormat="1">
      <c r="A1149" s="179" t="s">
        <v>1514</v>
      </c>
      <c r="B1149" s="185" t="s">
        <v>5881</v>
      </c>
      <c r="C1149" s="35" t="str">
        <f t="shared" si="119"/>
        <v>Faran</v>
      </c>
      <c r="E1149" s="40"/>
      <c r="F1149" s="14"/>
      <c r="G1149" s="17"/>
      <c r="H1149" s="10" t="s">
        <v>8563</v>
      </c>
      <c r="I1149" s="4" t="str">
        <f t="shared" si="120"/>
        <v>|Fárán|</v>
      </c>
      <c r="J1149" s="3" t="str">
        <f t="shared" si="121"/>
        <v>|Faran|</v>
      </c>
      <c r="K1149" s="3" t="str">
        <f t="shared" si="122"/>
        <v>Faran</v>
      </c>
      <c r="N1149" s="39" t="str">
        <f t="shared" si="123"/>
        <v/>
      </c>
      <c r="P1149" s="39" t="str">
        <f t="shared" si="124"/>
        <v/>
      </c>
      <c r="R1149" s="39" t="str">
        <f t="shared" si="125"/>
        <v/>
      </c>
      <c r="S1149" s="28"/>
      <c r="T1149" s="28"/>
      <c r="U1149" s="28"/>
    </row>
    <row r="1150" spans="1:21" s="5" customFormat="1">
      <c r="A1150" s="179" t="s">
        <v>1515</v>
      </c>
      <c r="B1150" s="185" t="s">
        <v>5882</v>
      </c>
      <c r="C1150" s="35" t="str">
        <f t="shared" si="119"/>
        <v>Farangi</v>
      </c>
      <c r="E1150" s="40"/>
      <c r="F1150" s="15" t="s">
        <v>1516</v>
      </c>
      <c r="G1150" s="17"/>
      <c r="H1150" s="10" t="s">
        <v>8563</v>
      </c>
      <c r="I1150" s="4" t="str">
        <f t="shared" si="120"/>
        <v>|Farangí|</v>
      </c>
      <c r="J1150" s="3" t="str">
        <f t="shared" si="121"/>
        <v>|Farangi|</v>
      </c>
      <c r="K1150" s="3" t="str">
        <f t="shared" si="122"/>
        <v>Farangi</v>
      </c>
      <c r="N1150" s="39" t="str">
        <f t="shared" si="123"/>
        <v/>
      </c>
      <c r="P1150" s="39" t="str">
        <f t="shared" si="124"/>
        <v/>
      </c>
      <c r="R1150" s="39" t="str">
        <f t="shared" si="125"/>
        <v/>
      </c>
      <c r="S1150" s="28"/>
      <c r="T1150" s="28"/>
      <c r="U1150" s="28"/>
    </row>
    <row r="1151" spans="1:21" s="5" customFormat="1">
      <c r="A1151" s="179" t="s">
        <v>1517</v>
      </c>
      <c r="B1151" s="185" t="s">
        <v>5883</v>
      </c>
      <c r="C1151" s="35" t="str">
        <f t="shared" si="119"/>
        <v>faraqlit</v>
      </c>
      <c r="E1151" s="40"/>
      <c r="F1151" s="15"/>
      <c r="G1151" s="17"/>
      <c r="H1151" s="10" t="s">
        <v>8563</v>
      </c>
      <c r="I1151" s="4" t="str">
        <f t="shared" si="120"/>
        <v>|fáraqlíṭ|</v>
      </c>
      <c r="J1151" s="3" t="str">
        <f t="shared" si="121"/>
        <v>|faraqlit|</v>
      </c>
      <c r="K1151" s="3" t="str">
        <f t="shared" si="122"/>
        <v>faraqlit</v>
      </c>
      <c r="N1151" s="39" t="str">
        <f t="shared" si="123"/>
        <v/>
      </c>
      <c r="P1151" s="39" t="str">
        <f t="shared" si="124"/>
        <v/>
      </c>
      <c r="R1151" s="39" t="str">
        <f t="shared" si="125"/>
        <v/>
      </c>
      <c r="S1151" s="28"/>
      <c r="T1151" s="28"/>
      <c r="U1151" s="28"/>
    </row>
    <row r="1152" spans="1:21" s="5" customFormat="1">
      <c r="A1152" s="179" t="s">
        <v>1518</v>
      </c>
      <c r="B1152" s="185" t="s">
        <v>5884</v>
      </c>
      <c r="C1152" s="35" t="str">
        <f t="shared" si="119"/>
        <v>Farashah</v>
      </c>
      <c r="E1152" s="40"/>
      <c r="F1152" s="14"/>
      <c r="G1152" s="17"/>
      <c r="H1152" s="10" t="s">
        <v>8563</v>
      </c>
      <c r="I1152" s="4" t="str">
        <f t="shared" si="120"/>
        <v>|Farááh|</v>
      </c>
      <c r="J1152" s="3" t="str">
        <f t="shared" si="121"/>
        <v>|Farashah|</v>
      </c>
      <c r="K1152" s="3" t="str">
        <f t="shared" si="122"/>
        <v>Farashah</v>
      </c>
      <c r="N1152" s="39" t="str">
        <f t="shared" si="123"/>
        <v/>
      </c>
      <c r="P1152" s="39" t="str">
        <f t="shared" si="124"/>
        <v/>
      </c>
      <c r="R1152" s="39" t="str">
        <f t="shared" si="125"/>
        <v/>
      </c>
      <c r="S1152" s="28"/>
      <c r="T1152" s="28"/>
      <c r="U1152" s="28"/>
    </row>
    <row r="1153" spans="1:21" s="5" customFormat="1">
      <c r="A1153" s="179" t="s">
        <v>1519</v>
      </c>
      <c r="B1153" s="185" t="s">
        <v>5885</v>
      </c>
      <c r="C1153" s="35" t="str">
        <f t="shared" si="119"/>
        <v>farda</v>
      </c>
      <c r="E1153" s="40"/>
      <c r="F1153" s="15"/>
      <c r="G1153" s="17"/>
      <c r="H1153" s="10" t="s">
        <v>8563</v>
      </c>
      <c r="I1153" s="4" t="str">
        <f t="shared" si="120"/>
        <v>|fardá|</v>
      </c>
      <c r="J1153" s="3" t="str">
        <f t="shared" si="121"/>
        <v>|farda|</v>
      </c>
      <c r="K1153" s="3" t="str">
        <f t="shared" si="122"/>
        <v>farda</v>
      </c>
      <c r="N1153" s="39" t="str">
        <f t="shared" si="123"/>
        <v/>
      </c>
      <c r="P1153" s="39" t="str">
        <f t="shared" si="124"/>
        <v/>
      </c>
      <c r="R1153" s="39" t="str">
        <f t="shared" si="125"/>
        <v/>
      </c>
      <c r="S1153" s="28"/>
      <c r="T1153" s="28"/>
      <c r="U1153" s="28"/>
    </row>
    <row r="1154" spans="1:21" s="5" customFormat="1">
      <c r="A1154" s="179" t="s">
        <v>1520</v>
      </c>
      <c r="B1154" s="185" t="s">
        <v>5886</v>
      </c>
      <c r="C1154" s="35" t="str">
        <f t="shared" si="119"/>
        <v>Farhad</v>
      </c>
      <c r="E1154" s="40"/>
      <c r="F1154" s="14"/>
      <c r="G1154" s="17"/>
      <c r="H1154" s="10" t="s">
        <v>8563</v>
      </c>
      <c r="I1154" s="4" t="str">
        <f t="shared" si="120"/>
        <v>|Farhád|</v>
      </c>
      <c r="J1154" s="3" t="str">
        <f t="shared" si="121"/>
        <v>|Farhad|</v>
      </c>
      <c r="K1154" s="3" t="str">
        <f t="shared" si="122"/>
        <v>Farhad</v>
      </c>
      <c r="N1154" s="39" t="str">
        <f t="shared" si="123"/>
        <v/>
      </c>
      <c r="P1154" s="39" t="str">
        <f t="shared" si="124"/>
        <v/>
      </c>
      <c r="R1154" s="39" t="str">
        <f t="shared" si="125"/>
        <v/>
      </c>
      <c r="S1154" s="28"/>
      <c r="T1154" s="28"/>
      <c r="U1154" s="28"/>
    </row>
    <row r="1155" spans="1:21" s="5" customFormat="1">
      <c r="A1155" s="179" t="s">
        <v>1521</v>
      </c>
      <c r="B1155" s="185" t="s">
        <v>5887</v>
      </c>
      <c r="C1155" s="35" t="str">
        <f t="shared" ref="C1155:C1218" si="126">SUBSTITUTE(SUBSTITUTE(K1155,"-","")," ","")</f>
        <v>Fariburz</v>
      </c>
      <c r="E1155" s="40"/>
      <c r="F1155" s="15"/>
      <c r="G1155" s="17"/>
      <c r="H1155" s="10" t="s">
        <v>8563</v>
      </c>
      <c r="I1155" s="4" t="str">
        <f t="shared" ref="I1155:I1218" si="127">CONCATENATE("|",B1155,"|")</f>
        <v>|Faríbúrz|</v>
      </c>
      <c r="J1155" s="3" t="str">
        <f t="shared" ref="J1155:J1218" si="128">CONCATENATE("|",F_OutputASCII(B1155),"|")</f>
        <v>|Fariburz|</v>
      </c>
      <c r="K1155" s="3" t="str">
        <f t="shared" ref="K1155:K1218" si="129">IF(SUBSTITUTE(MID(J1155,2,LEN(J1155)-2),"'","")&lt;&gt;"",SUBSTITUTE(MID(J1155,2,LEN(J1155)-2),"'",""),"ZZZZZ")</f>
        <v>Fariburz</v>
      </c>
      <c r="N1155" s="39" t="str">
        <f t="shared" ref="N1155:N1218" si="130">SUBSTITUTE(SUBSTITUTE(SUBSTITUTE(F_OutputASCII(M1155),"-","")," ",""),"'","")</f>
        <v/>
      </c>
      <c r="P1155" s="39" t="str">
        <f t="shared" ref="P1155:P1218" si="131">SUBSTITUTE(SUBSTITUTE(SUBSTITUTE(F_OutputASCII(O1155),"-","")," ",""),"'","")</f>
        <v/>
      </c>
      <c r="R1155" s="39" t="str">
        <f t="shared" si="125"/>
        <v/>
      </c>
      <c r="S1155" s="28"/>
      <c r="T1155" s="28"/>
      <c r="U1155" s="28"/>
    </row>
    <row r="1156" spans="1:21" s="5" customFormat="1">
      <c r="A1156" s="179" t="s">
        <v>1522</v>
      </c>
      <c r="B1156" s="185" t="s">
        <v>5888</v>
      </c>
      <c r="C1156" s="35" t="str">
        <f t="shared" si="126"/>
        <v>Farid</v>
      </c>
      <c r="E1156" s="40"/>
      <c r="F1156" s="15"/>
      <c r="G1156" s="17"/>
      <c r="H1156" s="10" t="s">
        <v>8563</v>
      </c>
      <c r="I1156" s="4" t="str">
        <f t="shared" si="127"/>
        <v>|Faríd|</v>
      </c>
      <c r="J1156" s="3" t="str">
        <f t="shared" si="128"/>
        <v>|Farid|</v>
      </c>
      <c r="K1156" s="3" t="str">
        <f t="shared" si="129"/>
        <v>Farid</v>
      </c>
      <c r="N1156" s="39" t="str">
        <f t="shared" si="130"/>
        <v/>
      </c>
      <c r="P1156" s="39" t="str">
        <f t="shared" si="131"/>
        <v/>
      </c>
      <c r="R1156" s="39" t="str">
        <f t="shared" ref="R1156:R1219" si="132">SUBSTITUTE(SUBSTITUTE(Q1156,"-","")," ","")</f>
        <v/>
      </c>
      <c r="S1156" s="28"/>
      <c r="T1156" s="28"/>
      <c r="U1156" s="28"/>
    </row>
    <row r="1157" spans="1:21" s="5" customFormat="1">
      <c r="A1157" s="179" t="s">
        <v>1523</v>
      </c>
      <c r="B1157" s="185" t="s">
        <v>5889</v>
      </c>
      <c r="C1157" s="35" t="str">
        <f t="shared" si="126"/>
        <v>Faridani</v>
      </c>
      <c r="E1157" s="40"/>
      <c r="F1157" s="15"/>
      <c r="G1157" s="17"/>
      <c r="H1157" s="10" t="s">
        <v>8563</v>
      </c>
      <c r="I1157" s="4" t="str">
        <f t="shared" si="127"/>
        <v>|Farídání|</v>
      </c>
      <c r="J1157" s="3" t="str">
        <f t="shared" si="128"/>
        <v>|Faridani|</v>
      </c>
      <c r="K1157" s="3" t="str">
        <f t="shared" si="129"/>
        <v>Faridani</v>
      </c>
      <c r="N1157" s="39" t="str">
        <f t="shared" si="130"/>
        <v/>
      </c>
      <c r="P1157" s="39" t="str">
        <f t="shared" si="131"/>
        <v/>
      </c>
      <c r="R1157" s="39" t="str">
        <f t="shared" si="132"/>
        <v/>
      </c>
      <c r="S1157" s="28"/>
      <c r="T1157" s="28"/>
      <c r="U1157" s="28"/>
    </row>
    <row r="1158" spans="1:21" s="5" customFormat="1">
      <c r="A1158" s="179" t="s">
        <v>1524</v>
      </c>
      <c r="B1158" s="185" t="s">
        <v>5890</v>
      </c>
      <c r="C1158" s="35" t="str">
        <f t="shared" si="126"/>
        <v>FaridudDin</v>
      </c>
      <c r="E1158" s="40"/>
      <c r="F1158" s="14"/>
      <c r="G1158" s="17"/>
      <c r="H1158" s="10" t="s">
        <v>8563</v>
      </c>
      <c r="I1158" s="4" t="str">
        <f t="shared" si="127"/>
        <v>|Farídu’d-Dín|</v>
      </c>
      <c r="J1158" s="3" t="str">
        <f t="shared" si="128"/>
        <v>|Faridu'd-Din|</v>
      </c>
      <c r="K1158" s="3" t="str">
        <f t="shared" si="129"/>
        <v>Faridud-Din</v>
      </c>
      <c r="N1158" s="39" t="str">
        <f t="shared" si="130"/>
        <v/>
      </c>
      <c r="P1158" s="39" t="str">
        <f t="shared" si="131"/>
        <v/>
      </c>
      <c r="R1158" s="39" t="str">
        <f t="shared" si="132"/>
        <v/>
      </c>
      <c r="S1158" s="28"/>
      <c r="T1158" s="28"/>
      <c r="U1158" s="28"/>
    </row>
    <row r="1159" spans="1:21" s="5" customFormat="1">
      <c r="A1159" s="179" t="s">
        <v>1525</v>
      </c>
      <c r="B1159" s="185" t="s">
        <v>5891</v>
      </c>
      <c r="C1159" s="35" t="str">
        <f t="shared" si="126"/>
        <v>Faris</v>
      </c>
      <c r="E1159" s="40"/>
      <c r="F1159" s="15"/>
      <c r="G1159" s="17"/>
      <c r="H1159" s="10" t="s">
        <v>8563</v>
      </c>
      <c r="I1159" s="4" t="str">
        <f t="shared" si="127"/>
        <v>|Fáris|</v>
      </c>
      <c r="J1159" s="3" t="str">
        <f t="shared" si="128"/>
        <v>|Faris|</v>
      </c>
      <c r="K1159" s="3" t="str">
        <f t="shared" si="129"/>
        <v>Faris</v>
      </c>
      <c r="N1159" s="39" t="str">
        <f t="shared" si="130"/>
        <v/>
      </c>
      <c r="P1159" s="39" t="str">
        <f t="shared" si="131"/>
        <v/>
      </c>
      <c r="R1159" s="39" t="str">
        <f t="shared" si="132"/>
        <v/>
      </c>
      <c r="S1159" s="28"/>
      <c r="T1159" s="28"/>
      <c r="U1159" s="28"/>
    </row>
    <row r="1160" spans="1:21" s="5" customFormat="1">
      <c r="A1160" s="179" t="s">
        <v>1526</v>
      </c>
      <c r="B1160" s="185" t="s">
        <v>5892</v>
      </c>
      <c r="C1160" s="35" t="str">
        <f t="shared" si="126"/>
        <v>Farkhundih</v>
      </c>
      <c r="E1160" s="40"/>
      <c r="F1160" s="15"/>
      <c r="G1160" s="17"/>
      <c r="H1160" s="10" t="s">
        <v>8563</v>
      </c>
      <c r="I1160" s="4" t="str">
        <f t="shared" si="127"/>
        <v>|Farundih|</v>
      </c>
      <c r="J1160" s="3" t="str">
        <f t="shared" si="128"/>
        <v>|Farkhundih|</v>
      </c>
      <c r="K1160" s="3" t="str">
        <f t="shared" si="129"/>
        <v>Farkhundih</v>
      </c>
      <c r="N1160" s="39" t="str">
        <f t="shared" si="130"/>
        <v/>
      </c>
      <c r="P1160" s="39" t="str">
        <f t="shared" si="131"/>
        <v/>
      </c>
      <c r="R1160" s="39" t="str">
        <f t="shared" si="132"/>
        <v/>
      </c>
      <c r="S1160" s="28"/>
      <c r="T1160" s="28"/>
      <c r="U1160" s="28"/>
    </row>
    <row r="1161" spans="1:21" s="5" customFormat="1">
      <c r="A1161" s="179" t="s">
        <v>1527</v>
      </c>
      <c r="B1161" s="185" t="s">
        <v>5893</v>
      </c>
      <c r="C1161" s="35" t="str">
        <f t="shared" si="126"/>
        <v>Farman</v>
      </c>
      <c r="E1161" s="40"/>
      <c r="F1161" s="14" t="s">
        <v>1528</v>
      </c>
      <c r="G1161" s="17"/>
      <c r="H1161" s="10" t="s">
        <v>8563</v>
      </c>
      <c r="I1161" s="4" t="str">
        <f t="shared" si="127"/>
        <v>|Farmán|</v>
      </c>
      <c r="J1161" s="3" t="str">
        <f t="shared" si="128"/>
        <v>|Farman|</v>
      </c>
      <c r="K1161" s="3" t="str">
        <f t="shared" si="129"/>
        <v>Farman</v>
      </c>
      <c r="N1161" s="39" t="str">
        <f t="shared" si="130"/>
        <v/>
      </c>
      <c r="P1161" s="39" t="str">
        <f t="shared" si="131"/>
        <v/>
      </c>
      <c r="R1161" s="39" t="str">
        <f t="shared" si="132"/>
        <v/>
      </c>
      <c r="S1161" s="28"/>
      <c r="T1161" s="28"/>
      <c r="U1161" s="28"/>
    </row>
    <row r="1162" spans="1:21" s="5" customFormat="1">
      <c r="A1162" s="179" t="s">
        <v>1529</v>
      </c>
      <c r="B1162" s="185" t="s">
        <v>5894</v>
      </c>
      <c r="C1162" s="35" t="str">
        <f t="shared" si="126"/>
        <v>Farmandihan</v>
      </c>
      <c r="E1162" s="40"/>
      <c r="F1162" s="15"/>
      <c r="G1162" s="17"/>
      <c r="H1162" s="10" t="s">
        <v>8563</v>
      </c>
      <c r="I1162" s="4" t="str">
        <f t="shared" si="127"/>
        <v>|Farmándihán|</v>
      </c>
      <c r="J1162" s="3" t="str">
        <f t="shared" si="128"/>
        <v>|Farmandihan|</v>
      </c>
      <c r="K1162" s="3" t="str">
        <f t="shared" si="129"/>
        <v>Farmandihan</v>
      </c>
      <c r="N1162" s="39" t="str">
        <f t="shared" si="130"/>
        <v/>
      </c>
      <c r="P1162" s="39" t="str">
        <f t="shared" si="131"/>
        <v/>
      </c>
      <c r="R1162" s="39" t="str">
        <f t="shared" si="132"/>
        <v/>
      </c>
      <c r="S1162" s="28"/>
      <c r="T1162" s="28"/>
      <c r="U1162" s="28"/>
    </row>
    <row r="1163" spans="1:21" s="5" customFormat="1">
      <c r="A1163" s="179" t="s">
        <v>1530</v>
      </c>
      <c r="B1163" s="185" t="s">
        <v>5895</v>
      </c>
      <c r="C1163" s="35" t="str">
        <f t="shared" si="126"/>
        <v>FarmanFarma</v>
      </c>
      <c r="E1163" s="40"/>
      <c r="F1163" s="14"/>
      <c r="G1163" s="17"/>
      <c r="H1163" s="10" t="s">
        <v>8563</v>
      </c>
      <c r="I1163" s="4" t="str">
        <f t="shared" si="127"/>
        <v>|Farmán-Farmá|</v>
      </c>
      <c r="J1163" s="3" t="str">
        <f t="shared" si="128"/>
        <v>|Farman-Farma|</v>
      </c>
      <c r="K1163" s="3" t="str">
        <f t="shared" si="129"/>
        <v>Farman-Farma</v>
      </c>
      <c r="N1163" s="39" t="str">
        <f t="shared" si="130"/>
        <v/>
      </c>
      <c r="P1163" s="39" t="str">
        <f t="shared" si="131"/>
        <v/>
      </c>
      <c r="R1163" s="39" t="str">
        <f t="shared" si="132"/>
        <v/>
      </c>
      <c r="S1163" s="28"/>
      <c r="T1163" s="28"/>
      <c r="U1163" s="28"/>
    </row>
    <row r="1164" spans="1:21" s="5" customFormat="1">
      <c r="A1164" s="179" t="s">
        <v>1531</v>
      </c>
      <c r="B1164" s="185" t="s">
        <v>5896</v>
      </c>
      <c r="C1164" s="35" t="str">
        <f t="shared" si="126"/>
        <v>Farmaniyyih</v>
      </c>
      <c r="E1164" s="40"/>
      <c r="F1164" s="15" t="s">
        <v>1312</v>
      </c>
      <c r="G1164" s="17"/>
      <c r="H1164" s="10" t="s">
        <v>8563</v>
      </c>
      <c r="I1164" s="4" t="str">
        <f t="shared" si="127"/>
        <v>|Farmáníyyih|</v>
      </c>
      <c r="J1164" s="3" t="str">
        <f t="shared" si="128"/>
        <v>|Farmaniyyih|</v>
      </c>
      <c r="K1164" s="3" t="str">
        <f t="shared" si="129"/>
        <v>Farmaniyyih</v>
      </c>
      <c r="N1164" s="39" t="str">
        <f t="shared" si="130"/>
        <v/>
      </c>
      <c r="P1164" s="39" t="str">
        <f t="shared" si="131"/>
        <v/>
      </c>
      <c r="R1164" s="39" t="str">
        <f t="shared" si="132"/>
        <v/>
      </c>
      <c r="S1164" s="28"/>
      <c r="T1164" s="28"/>
      <c r="U1164" s="28"/>
    </row>
    <row r="1165" spans="1:21" s="5" customFormat="1">
      <c r="A1165" s="179" t="s">
        <v>1532</v>
      </c>
      <c r="B1165" s="185" t="s">
        <v>5897</v>
      </c>
      <c r="C1165" s="35" t="str">
        <f t="shared" si="126"/>
        <v>Farnush</v>
      </c>
      <c r="E1165" s="40"/>
      <c r="F1165" s="15"/>
      <c r="G1165" s="17"/>
      <c r="H1165" s="10" t="s">
        <v>8563</v>
      </c>
      <c r="I1165" s="4" t="str">
        <f t="shared" si="127"/>
        <v>|Farnú|</v>
      </c>
      <c r="J1165" s="3" t="str">
        <f t="shared" si="128"/>
        <v>|Farnush|</v>
      </c>
      <c r="K1165" s="3" t="str">
        <f t="shared" si="129"/>
        <v>Farnush</v>
      </c>
      <c r="N1165" s="39" t="str">
        <f t="shared" si="130"/>
        <v/>
      </c>
      <c r="P1165" s="39" t="str">
        <f t="shared" si="131"/>
        <v/>
      </c>
      <c r="R1165" s="39" t="str">
        <f t="shared" si="132"/>
        <v/>
      </c>
      <c r="S1165" s="28"/>
      <c r="T1165" s="28"/>
      <c r="U1165" s="28"/>
    </row>
    <row r="1166" spans="1:21" s="5" customFormat="1">
      <c r="A1166" s="179" t="s">
        <v>1533</v>
      </c>
      <c r="B1166" s="185" t="s">
        <v>5898</v>
      </c>
      <c r="C1166" s="35" t="str">
        <f t="shared" si="126"/>
        <v>Farrash</v>
      </c>
      <c r="E1166" s="40"/>
      <c r="F1166" s="14" t="s">
        <v>1534</v>
      </c>
      <c r="G1166" s="17"/>
      <c r="H1166" s="10" t="s">
        <v>8563</v>
      </c>
      <c r="I1166" s="4" t="str">
        <f t="shared" si="127"/>
        <v>|Farrá|</v>
      </c>
      <c r="J1166" s="3" t="str">
        <f t="shared" si="128"/>
        <v>|Farrash|</v>
      </c>
      <c r="K1166" s="3" t="str">
        <f t="shared" si="129"/>
        <v>Farrash</v>
      </c>
      <c r="N1166" s="39" t="str">
        <f t="shared" si="130"/>
        <v/>
      </c>
      <c r="P1166" s="39" t="str">
        <f t="shared" si="131"/>
        <v/>
      </c>
      <c r="R1166" s="39" t="str">
        <f t="shared" si="132"/>
        <v/>
      </c>
      <c r="S1166" s="28"/>
      <c r="T1166" s="28"/>
      <c r="U1166" s="28"/>
    </row>
    <row r="1167" spans="1:21" s="5" customFormat="1">
      <c r="A1167" s="179" t="s">
        <v>1535</v>
      </c>
      <c r="B1167" s="185" t="s">
        <v>5899</v>
      </c>
      <c r="C1167" s="35" t="str">
        <f t="shared" si="126"/>
        <v>FarrashBashi</v>
      </c>
      <c r="E1167" s="40"/>
      <c r="F1167" s="14" t="s">
        <v>1536</v>
      </c>
      <c r="G1167" s="17"/>
      <c r="H1167" s="10" t="s">
        <v>8563</v>
      </c>
      <c r="I1167" s="4" t="str">
        <f t="shared" si="127"/>
        <v>|Farrá-Báí|</v>
      </c>
      <c r="J1167" s="3" t="str">
        <f t="shared" si="128"/>
        <v>|Farrash-Bashi|</v>
      </c>
      <c r="K1167" s="3" t="str">
        <f t="shared" si="129"/>
        <v>Farrash-Bashi</v>
      </c>
      <c r="N1167" s="39" t="str">
        <f t="shared" si="130"/>
        <v/>
      </c>
      <c r="P1167" s="39" t="str">
        <f t="shared" si="131"/>
        <v/>
      </c>
      <c r="R1167" s="39" t="str">
        <f t="shared" si="132"/>
        <v/>
      </c>
      <c r="S1167" s="28"/>
      <c r="T1167" s="28"/>
      <c r="U1167" s="28"/>
    </row>
    <row r="1168" spans="1:21" s="5" customFormat="1">
      <c r="A1168" s="179" t="s">
        <v>1537</v>
      </c>
      <c r="B1168" s="185" t="s">
        <v>8972</v>
      </c>
      <c r="C1168" s="35" t="str">
        <f t="shared" si="126"/>
        <v>Farrashun</v>
      </c>
      <c r="E1168" s="40"/>
      <c r="F1168" s="15" t="s">
        <v>8580</v>
      </c>
      <c r="G1168" s="17"/>
      <c r="H1168" s="10" t="s">
        <v>8563</v>
      </c>
      <c r="I1168" s="4" t="str">
        <f t="shared" si="127"/>
        <v>|Farráún|</v>
      </c>
      <c r="J1168" s="3" t="str">
        <f t="shared" si="128"/>
        <v>|Farrashun|</v>
      </c>
      <c r="K1168" s="3" t="str">
        <f t="shared" si="129"/>
        <v>Farrashun</v>
      </c>
      <c r="N1168" s="39" t="str">
        <f t="shared" si="130"/>
        <v/>
      </c>
      <c r="P1168" s="39" t="str">
        <f t="shared" si="131"/>
        <v/>
      </c>
      <c r="R1168" s="39" t="str">
        <f t="shared" si="132"/>
        <v/>
      </c>
      <c r="S1168" s="28"/>
      <c r="T1168" s="28"/>
      <c r="U1168" s="28"/>
    </row>
    <row r="1169" spans="1:21" s="5" customFormat="1">
      <c r="A1169" s="179" t="s">
        <v>1538</v>
      </c>
      <c r="B1169" s="185" t="s">
        <v>5900</v>
      </c>
      <c r="C1169" s="35" t="str">
        <f t="shared" si="126"/>
        <v>Farrukh</v>
      </c>
      <c r="E1169" s="40"/>
      <c r="F1169" s="14"/>
      <c r="G1169" s="17"/>
      <c r="H1169" s="10" t="s">
        <v>8563</v>
      </c>
      <c r="I1169" s="4" t="str">
        <f t="shared" si="127"/>
        <v>|Farru|</v>
      </c>
      <c r="J1169" s="3" t="str">
        <f t="shared" si="128"/>
        <v>|Farrukh|</v>
      </c>
      <c r="K1169" s="3" t="str">
        <f t="shared" si="129"/>
        <v>Farrukh</v>
      </c>
      <c r="N1169" s="39" t="str">
        <f t="shared" si="130"/>
        <v/>
      </c>
      <c r="P1169" s="39" t="str">
        <f t="shared" si="131"/>
        <v/>
      </c>
      <c r="R1169" s="39" t="str">
        <f t="shared" si="132"/>
        <v/>
      </c>
      <c r="S1169" s="28"/>
      <c r="T1169" s="28"/>
      <c r="U1169" s="28"/>
    </row>
    <row r="1170" spans="1:21" s="5" customFormat="1">
      <c r="A1170" s="179" t="s">
        <v>1539</v>
      </c>
      <c r="B1170" s="185" t="s">
        <v>5901</v>
      </c>
      <c r="C1170" s="35" t="str">
        <f t="shared" si="126"/>
        <v>Farrukhan</v>
      </c>
      <c r="E1170" s="40"/>
      <c r="F1170" s="15"/>
      <c r="G1170" s="17"/>
      <c r="H1170" s="10" t="s">
        <v>8563</v>
      </c>
      <c r="I1170" s="4" t="str">
        <f t="shared" si="127"/>
        <v>|Farruán|</v>
      </c>
      <c r="J1170" s="3" t="str">
        <f t="shared" si="128"/>
        <v>|Farrukhan|</v>
      </c>
      <c r="K1170" s="3" t="str">
        <f t="shared" si="129"/>
        <v>Farrukhan</v>
      </c>
      <c r="N1170" s="39" t="str">
        <f t="shared" si="130"/>
        <v/>
      </c>
      <c r="P1170" s="39" t="str">
        <f t="shared" si="131"/>
        <v/>
      </c>
      <c r="R1170" s="39" t="str">
        <f t="shared" si="132"/>
        <v/>
      </c>
      <c r="S1170" s="28"/>
      <c r="T1170" s="28"/>
      <c r="U1170" s="28"/>
    </row>
    <row r="1171" spans="1:21" s="5" customFormat="1">
      <c r="A1171" s="179" t="s">
        <v>1540</v>
      </c>
      <c r="B1171" s="185" t="s">
        <v>93</v>
      </c>
      <c r="C1171" s="35" t="str">
        <f t="shared" si="126"/>
        <v>Fars</v>
      </c>
      <c r="E1171" s="40"/>
      <c r="F1171" s="14"/>
      <c r="G1171" s="17"/>
      <c r="H1171" s="10" t="s">
        <v>8563</v>
      </c>
      <c r="I1171" s="4" t="str">
        <f t="shared" si="127"/>
        <v>|Fárs|</v>
      </c>
      <c r="J1171" s="3" t="str">
        <f t="shared" si="128"/>
        <v>|Fars|</v>
      </c>
      <c r="K1171" s="3" t="str">
        <f t="shared" si="129"/>
        <v>Fars</v>
      </c>
      <c r="N1171" s="39" t="str">
        <f t="shared" si="130"/>
        <v/>
      </c>
      <c r="P1171" s="39" t="str">
        <f t="shared" si="131"/>
        <v/>
      </c>
      <c r="R1171" s="39" t="str">
        <f t="shared" si="132"/>
        <v/>
      </c>
      <c r="S1171" s="28"/>
      <c r="T1171" s="28"/>
      <c r="U1171" s="28"/>
    </row>
    <row r="1172" spans="1:21" s="5" customFormat="1">
      <c r="A1172" s="179" t="s">
        <v>1541</v>
      </c>
      <c r="B1172" s="185" t="s">
        <v>5902</v>
      </c>
      <c r="C1172" s="35" t="str">
        <f t="shared" si="126"/>
        <v>Farsakh</v>
      </c>
      <c r="E1172" s="40"/>
      <c r="F1172" s="14" t="s">
        <v>1542</v>
      </c>
      <c r="G1172" s="17"/>
      <c r="H1172" s="10" t="s">
        <v>8563</v>
      </c>
      <c r="I1172" s="4" t="str">
        <f t="shared" si="127"/>
        <v>|Farsa|</v>
      </c>
      <c r="J1172" s="3" t="str">
        <f t="shared" si="128"/>
        <v>|Farsakh|</v>
      </c>
      <c r="K1172" s="3" t="str">
        <f t="shared" si="129"/>
        <v>Farsakh</v>
      </c>
      <c r="N1172" s="39" t="str">
        <f t="shared" si="130"/>
        <v/>
      </c>
      <c r="P1172" s="39" t="str">
        <f t="shared" si="131"/>
        <v/>
      </c>
      <c r="R1172" s="39" t="str">
        <f t="shared" si="132"/>
        <v/>
      </c>
      <c r="S1172" s="28"/>
      <c r="T1172" s="28"/>
      <c r="U1172" s="28"/>
    </row>
    <row r="1173" spans="1:21" s="5" customFormat="1">
      <c r="A1173" s="179" t="s">
        <v>1543</v>
      </c>
      <c r="B1173" s="185" t="s">
        <v>5903</v>
      </c>
      <c r="C1173" s="35" t="str">
        <f t="shared" si="126"/>
        <v>Farsang</v>
      </c>
      <c r="E1173" s="40"/>
      <c r="F1173" s="14"/>
      <c r="G1173" s="17"/>
      <c r="H1173" s="10" t="s">
        <v>8563</v>
      </c>
      <c r="I1173" s="4" t="str">
        <f t="shared" si="127"/>
        <v>|Farsang|</v>
      </c>
      <c r="J1173" s="3" t="str">
        <f t="shared" si="128"/>
        <v>|Farsang|</v>
      </c>
      <c r="K1173" s="3" t="str">
        <f t="shared" si="129"/>
        <v>Farsang</v>
      </c>
      <c r="N1173" s="39" t="str">
        <f t="shared" si="130"/>
        <v/>
      </c>
      <c r="P1173" s="39" t="str">
        <f t="shared" si="131"/>
        <v/>
      </c>
      <c r="R1173" s="39" t="str">
        <f t="shared" si="132"/>
        <v/>
      </c>
      <c r="S1173" s="28"/>
      <c r="T1173" s="28"/>
      <c r="U1173" s="28"/>
    </row>
    <row r="1174" spans="1:21" s="5" customFormat="1">
      <c r="A1174" s="179" t="s">
        <v>1544</v>
      </c>
      <c r="B1174" s="185" t="s">
        <v>5904</v>
      </c>
      <c r="C1174" s="35" t="str">
        <f t="shared" si="126"/>
        <v>FarsNamih</v>
      </c>
      <c r="E1174" s="40"/>
      <c r="F1174" s="14"/>
      <c r="G1174" s="17"/>
      <c r="H1174" s="10" t="s">
        <v>8563</v>
      </c>
      <c r="I1174" s="4" t="str">
        <f t="shared" si="127"/>
        <v>|Fárs-Námih|</v>
      </c>
      <c r="J1174" s="3" t="str">
        <f t="shared" si="128"/>
        <v>|Fars-Namih|</v>
      </c>
      <c r="K1174" s="3" t="str">
        <f t="shared" si="129"/>
        <v>Fars-Namih</v>
      </c>
      <c r="N1174" s="39" t="str">
        <f t="shared" si="130"/>
        <v/>
      </c>
      <c r="P1174" s="39" t="str">
        <f t="shared" si="131"/>
        <v/>
      </c>
      <c r="R1174" s="39" t="str">
        <f t="shared" si="132"/>
        <v/>
      </c>
      <c r="S1174" s="28"/>
      <c r="T1174" s="28"/>
      <c r="U1174" s="28"/>
    </row>
    <row r="1175" spans="1:21" s="5" customFormat="1">
      <c r="A1175" s="179" t="s">
        <v>1545</v>
      </c>
      <c r="B1175" s="185" t="s">
        <v>5905</v>
      </c>
      <c r="C1175" s="35" t="str">
        <f t="shared" si="126"/>
        <v>FarzanihMuʼayyid</v>
      </c>
      <c r="E1175" s="40"/>
      <c r="F1175" s="15"/>
      <c r="G1175" s="17"/>
      <c r="H1175" s="10" t="s">
        <v>8563</v>
      </c>
      <c r="I1175" s="4" t="str">
        <f t="shared" si="127"/>
        <v>|Farzánih-Muʼayyid|</v>
      </c>
      <c r="J1175" s="3" t="str">
        <f t="shared" si="128"/>
        <v>|Farzanih-Muʼayyid|</v>
      </c>
      <c r="K1175" s="3" t="str">
        <f t="shared" si="129"/>
        <v>Farzanih-Muʼayyid</v>
      </c>
      <c r="N1175" s="39" t="str">
        <f t="shared" si="130"/>
        <v/>
      </c>
      <c r="P1175" s="39" t="str">
        <f t="shared" si="131"/>
        <v/>
      </c>
      <c r="R1175" s="39" t="str">
        <f t="shared" si="132"/>
        <v/>
      </c>
      <c r="S1175" s="28"/>
      <c r="T1175" s="28"/>
      <c r="U1175" s="28"/>
    </row>
    <row r="1176" spans="1:21" s="5" customFormat="1">
      <c r="A1176" s="179" t="s">
        <v>1546</v>
      </c>
      <c r="B1176" s="185" t="s">
        <v>5906</v>
      </c>
      <c r="C1176" s="35" t="str">
        <f t="shared" si="126"/>
        <v>Fasa</v>
      </c>
      <c r="E1176" s="40"/>
      <c r="F1176" s="15"/>
      <c r="G1176" s="17"/>
      <c r="H1176" s="10" t="s">
        <v>8563</v>
      </c>
      <c r="I1176" s="4" t="str">
        <f t="shared" si="127"/>
        <v>|Fasá|</v>
      </c>
      <c r="J1176" s="3" t="str">
        <f t="shared" si="128"/>
        <v>|Fasa|</v>
      </c>
      <c r="K1176" s="3" t="str">
        <f t="shared" si="129"/>
        <v>Fasa</v>
      </c>
      <c r="N1176" s="39" t="str">
        <f t="shared" si="130"/>
        <v/>
      </c>
      <c r="P1176" s="39" t="str">
        <f t="shared" si="131"/>
        <v/>
      </c>
      <c r="R1176" s="39" t="str">
        <f t="shared" si="132"/>
        <v/>
      </c>
      <c r="S1176" s="28"/>
      <c r="T1176" s="28"/>
      <c r="U1176" s="28"/>
    </row>
    <row r="1177" spans="1:21" s="5" customFormat="1">
      <c r="A1177" s="179" t="s">
        <v>1547</v>
      </c>
      <c r="B1177" s="185" t="s">
        <v>5907</v>
      </c>
      <c r="C1177" s="35" t="str">
        <f t="shared" si="126"/>
        <v>Fasiqun</v>
      </c>
      <c r="E1177" s="40"/>
      <c r="F1177" s="15" t="s">
        <v>1548</v>
      </c>
      <c r="G1177" s="17"/>
      <c r="H1177" s="10" t="s">
        <v>8563</v>
      </c>
      <c r="I1177" s="4" t="str">
        <f t="shared" si="127"/>
        <v>|Fásiqún|</v>
      </c>
      <c r="J1177" s="3" t="str">
        <f t="shared" si="128"/>
        <v>|Fasiqun|</v>
      </c>
      <c r="K1177" s="3" t="str">
        <f t="shared" si="129"/>
        <v>Fasiqun</v>
      </c>
      <c r="N1177" s="39" t="str">
        <f t="shared" si="130"/>
        <v/>
      </c>
      <c r="P1177" s="39" t="str">
        <f t="shared" si="131"/>
        <v/>
      </c>
      <c r="R1177" s="39" t="str">
        <f t="shared" si="132"/>
        <v/>
      </c>
      <c r="S1177" s="28"/>
      <c r="T1177" s="28"/>
      <c r="U1177" s="28"/>
    </row>
    <row r="1178" spans="1:21" s="5" customFormat="1">
      <c r="A1178" s="179" t="s">
        <v>1549</v>
      </c>
      <c r="B1178" s="185" t="s">
        <v>5908</v>
      </c>
      <c r="C1178" s="35" t="str">
        <f t="shared" si="126"/>
        <v>Fasl</v>
      </c>
      <c r="E1178" s="40"/>
      <c r="F1178" s="15"/>
      <c r="G1178" s="17"/>
      <c r="H1178" s="10" t="s">
        <v>8563</v>
      </c>
      <c r="I1178" s="4" t="str">
        <f t="shared" si="127"/>
        <v>|Faṣl|</v>
      </c>
      <c r="J1178" s="3" t="str">
        <f t="shared" si="128"/>
        <v>|Fasl|</v>
      </c>
      <c r="K1178" s="3" t="str">
        <f t="shared" si="129"/>
        <v>Fasl</v>
      </c>
      <c r="N1178" s="39" t="str">
        <f t="shared" si="130"/>
        <v/>
      </c>
      <c r="P1178" s="39" t="str">
        <f t="shared" si="131"/>
        <v/>
      </c>
      <c r="R1178" s="39" t="str">
        <f t="shared" si="132"/>
        <v/>
      </c>
      <c r="S1178" s="28"/>
      <c r="T1178" s="28"/>
      <c r="U1178" s="28"/>
    </row>
    <row r="1179" spans="1:21" s="5" customFormat="1">
      <c r="A1179" s="179" t="s">
        <v>1550</v>
      </c>
      <c r="B1179" s="185" t="s">
        <v>5909</v>
      </c>
      <c r="C1179" s="35" t="str">
        <f t="shared" si="126"/>
        <v>FaslulKhitab</v>
      </c>
      <c r="E1179" s="40"/>
      <c r="F1179" s="15" t="s">
        <v>1551</v>
      </c>
      <c r="G1179" s="17"/>
      <c r="H1179" s="10" t="s">
        <v>8563</v>
      </c>
      <c r="I1179" s="4" t="str">
        <f t="shared" si="127"/>
        <v>|Faṣlu’l-iṭáb|</v>
      </c>
      <c r="J1179" s="3" t="str">
        <f t="shared" si="128"/>
        <v>|Faslu'l-Khitab|</v>
      </c>
      <c r="K1179" s="3" t="str">
        <f t="shared" si="129"/>
        <v>Faslul-Khitab</v>
      </c>
      <c r="N1179" s="39" t="str">
        <f t="shared" si="130"/>
        <v/>
      </c>
      <c r="P1179" s="39" t="str">
        <f t="shared" si="131"/>
        <v/>
      </c>
      <c r="R1179" s="39" t="str">
        <f t="shared" si="132"/>
        <v/>
      </c>
      <c r="S1179" s="28"/>
      <c r="T1179" s="28"/>
      <c r="U1179" s="28"/>
    </row>
    <row r="1180" spans="1:21" s="5" customFormat="1">
      <c r="A1180" s="179" t="s">
        <v>1552</v>
      </c>
      <c r="B1180" s="185" t="s">
        <v>5910</v>
      </c>
      <c r="C1180" s="35" t="str">
        <f t="shared" si="126"/>
        <v>Fata</v>
      </c>
      <c r="E1180" s="40"/>
      <c r="F1180" s="15"/>
      <c r="G1180" s="17"/>
      <c r="H1180" s="10" t="s">
        <v>8563</v>
      </c>
      <c r="I1180" s="4" t="str">
        <f t="shared" si="127"/>
        <v>|Fatá|</v>
      </c>
      <c r="J1180" s="3" t="str">
        <f t="shared" si="128"/>
        <v>|Fata|</v>
      </c>
      <c r="K1180" s="3" t="str">
        <f t="shared" si="129"/>
        <v>Fata</v>
      </c>
      <c r="N1180" s="39" t="str">
        <f t="shared" si="130"/>
        <v/>
      </c>
      <c r="P1180" s="39" t="str">
        <f t="shared" si="131"/>
        <v/>
      </c>
      <c r="R1180" s="39" t="str">
        <f t="shared" si="132"/>
        <v/>
      </c>
      <c r="S1180" s="28"/>
      <c r="T1180" s="28"/>
      <c r="U1180" s="28"/>
    </row>
    <row r="1181" spans="1:21" s="5" customFormat="1">
      <c r="A1181" s="179" t="s">
        <v>1553</v>
      </c>
      <c r="B1181" s="185" t="s">
        <v>8973</v>
      </c>
      <c r="C1181" s="35" t="str">
        <f t="shared" si="126"/>
        <v>Fatahiyyih</v>
      </c>
      <c r="E1181" s="40"/>
      <c r="F1181" s="15"/>
      <c r="G1181" s="17"/>
      <c r="H1181" s="10" t="s">
        <v>8563</v>
      </c>
      <c r="I1181" s="4" t="str">
        <f t="shared" si="127"/>
        <v>|Faṭaḥíyyih|</v>
      </c>
      <c r="J1181" s="3" t="str">
        <f t="shared" si="128"/>
        <v>|Fatahiyyih|</v>
      </c>
      <c r="K1181" s="3" t="str">
        <f t="shared" si="129"/>
        <v>Fatahiyyih</v>
      </c>
      <c r="N1181" s="39" t="str">
        <f t="shared" si="130"/>
        <v/>
      </c>
      <c r="P1181" s="39" t="str">
        <f t="shared" si="131"/>
        <v/>
      </c>
      <c r="R1181" s="39" t="str">
        <f t="shared" si="132"/>
        <v/>
      </c>
      <c r="S1181" s="28"/>
      <c r="T1181" s="28"/>
      <c r="U1181" s="28"/>
    </row>
    <row r="1182" spans="1:21" s="5" customFormat="1">
      <c r="A1182" s="179" t="s">
        <v>1554</v>
      </c>
      <c r="B1182" s="185" t="s">
        <v>5911</v>
      </c>
      <c r="C1182" s="35" t="str">
        <f t="shared" si="126"/>
        <v>Fath</v>
      </c>
      <c r="E1182" s="40"/>
      <c r="F1182" s="14"/>
      <c r="G1182" s="17"/>
      <c r="H1182" s="10" t="s">
        <v>8563</v>
      </c>
      <c r="I1182" s="4" t="str">
        <f t="shared" si="127"/>
        <v>|Fatḥ|</v>
      </c>
      <c r="J1182" s="3" t="str">
        <f t="shared" si="128"/>
        <v>|Fath|</v>
      </c>
      <c r="K1182" s="3" t="str">
        <f t="shared" si="129"/>
        <v>Fath</v>
      </c>
      <c r="N1182" s="39" t="str">
        <f t="shared" si="130"/>
        <v/>
      </c>
      <c r="P1182" s="39" t="str">
        <f t="shared" si="131"/>
        <v/>
      </c>
      <c r="R1182" s="39" t="str">
        <f t="shared" si="132"/>
        <v/>
      </c>
      <c r="S1182" s="28"/>
      <c r="T1182" s="28"/>
      <c r="U1182" s="28"/>
    </row>
    <row r="1183" spans="1:21" s="5" customFormat="1">
      <c r="A1183" s="179" t="s">
        <v>1555</v>
      </c>
      <c r="B1183" s="185" t="s">
        <v>5912</v>
      </c>
      <c r="C1183" s="35" t="str">
        <f t="shared" si="126"/>
        <v>FathAli</v>
      </c>
      <c r="E1183" s="40"/>
      <c r="F1183" s="14"/>
      <c r="G1183" s="17"/>
      <c r="H1183" s="10" t="s">
        <v>8563</v>
      </c>
      <c r="I1183" s="4" t="str">
        <f t="shared" si="127"/>
        <v>|Fatḥ-ʿAlí|</v>
      </c>
      <c r="J1183" s="3" t="str">
        <f t="shared" si="128"/>
        <v>|Fath-'Ali|</v>
      </c>
      <c r="K1183" s="3" t="str">
        <f t="shared" si="129"/>
        <v>Fath-Ali</v>
      </c>
      <c r="N1183" s="39" t="str">
        <f t="shared" si="130"/>
        <v/>
      </c>
      <c r="P1183" s="39" t="str">
        <f t="shared" si="131"/>
        <v/>
      </c>
      <c r="R1183" s="39" t="str">
        <f t="shared" si="132"/>
        <v/>
      </c>
      <c r="S1183" s="28"/>
      <c r="T1183" s="28"/>
      <c r="U1183" s="28"/>
    </row>
    <row r="1184" spans="1:21" s="5" customFormat="1">
      <c r="A1184" s="181"/>
      <c r="B1184" s="185" t="s">
        <v>8655</v>
      </c>
      <c r="C1184" s="35" t="str">
        <f t="shared" si="126"/>
        <v>FathAliShah</v>
      </c>
      <c r="D1184" s="1"/>
      <c r="E1184" s="40"/>
      <c r="F1184" s="12"/>
      <c r="G1184" s="9"/>
      <c r="H1184" s="12" t="s">
        <v>8622</v>
      </c>
      <c r="I1184" s="4" t="str">
        <f t="shared" si="127"/>
        <v>|Fatḥ-ʿAlí áh|</v>
      </c>
      <c r="J1184" s="3" t="str">
        <f t="shared" si="128"/>
        <v>|Fath-'Ali Shah|</v>
      </c>
      <c r="K1184" s="3" t="str">
        <f t="shared" si="129"/>
        <v>Fath-Ali Shah</v>
      </c>
      <c r="N1184" s="39" t="str">
        <f t="shared" si="130"/>
        <v/>
      </c>
      <c r="P1184" s="39" t="str">
        <f t="shared" si="131"/>
        <v/>
      </c>
      <c r="R1184" s="39" t="str">
        <f t="shared" si="132"/>
        <v/>
      </c>
      <c r="S1184" s="29">
        <v>41760</v>
      </c>
      <c r="T1184" s="28"/>
      <c r="U1184" s="28"/>
    </row>
    <row r="1185" spans="1:21" s="5" customFormat="1">
      <c r="A1185" s="179" t="s">
        <v>1556</v>
      </c>
      <c r="B1185" s="185" t="s">
        <v>5913</v>
      </c>
      <c r="C1185" s="35" t="str">
        <f t="shared" si="126"/>
        <v>Fathullah</v>
      </c>
      <c r="E1185" s="40"/>
      <c r="F1185" s="15" t="s">
        <v>1557</v>
      </c>
      <c r="G1185" s="17"/>
      <c r="H1185" s="10" t="s">
        <v>8563</v>
      </c>
      <c r="I1185" s="4" t="str">
        <f t="shared" si="127"/>
        <v>|Fatḥu’lláh|</v>
      </c>
      <c r="J1185" s="3" t="str">
        <f t="shared" si="128"/>
        <v>|Fathu'llah|</v>
      </c>
      <c r="K1185" s="3" t="str">
        <f t="shared" si="129"/>
        <v>Fathullah</v>
      </c>
      <c r="N1185" s="39" t="str">
        <f t="shared" si="130"/>
        <v/>
      </c>
      <c r="P1185" s="39" t="str">
        <f t="shared" si="131"/>
        <v/>
      </c>
      <c r="R1185" s="39" t="str">
        <f t="shared" si="132"/>
        <v/>
      </c>
      <c r="S1185" s="28"/>
      <c r="T1185" s="28"/>
      <c r="U1185" s="28"/>
    </row>
    <row r="1186" spans="1:21" s="5" customFormat="1">
      <c r="A1186" s="179" t="s">
        <v>1558</v>
      </c>
      <c r="B1186" s="185" t="s">
        <v>5914</v>
      </c>
      <c r="C1186" s="35" t="str">
        <f t="shared" si="126"/>
        <v>FathullahiHakkak</v>
      </c>
      <c r="E1186" s="40"/>
      <c r="F1186" s="15"/>
      <c r="G1186" s="17"/>
      <c r="H1186" s="10" t="s">
        <v>8563</v>
      </c>
      <c r="I1186" s="4" t="str">
        <f t="shared" si="127"/>
        <v>|Fatḥu’lláh-i-Ḥakkák|</v>
      </c>
      <c r="J1186" s="3" t="str">
        <f t="shared" si="128"/>
        <v>|Fathu'llah-i-Hakkak|</v>
      </c>
      <c r="K1186" s="3" t="str">
        <f t="shared" si="129"/>
        <v>Fathullah-i-Hakkak</v>
      </c>
      <c r="N1186" s="39" t="str">
        <f t="shared" si="130"/>
        <v/>
      </c>
      <c r="P1186" s="39" t="str">
        <f t="shared" si="131"/>
        <v/>
      </c>
      <c r="R1186" s="39" t="str">
        <f t="shared" si="132"/>
        <v/>
      </c>
      <c r="S1186" s="28"/>
      <c r="T1186" s="28"/>
      <c r="U1186" s="28"/>
    </row>
    <row r="1187" spans="1:21" s="5" customFormat="1">
      <c r="A1187" s="179" t="s">
        <v>1559</v>
      </c>
      <c r="B1187" s="185" t="s">
        <v>5915</v>
      </c>
      <c r="C1187" s="35" t="str">
        <f t="shared" si="126"/>
        <v>FathullahiHakkakiQumi</v>
      </c>
      <c r="E1187" s="40"/>
      <c r="F1187" s="15"/>
      <c r="G1187" s="17"/>
      <c r="H1187" s="10" t="s">
        <v>8563</v>
      </c>
      <c r="I1187" s="4" t="str">
        <f t="shared" si="127"/>
        <v>|Fatḥu’lláh-i-Ḥakkák-i-Qumí|</v>
      </c>
      <c r="J1187" s="3" t="str">
        <f t="shared" si="128"/>
        <v>|Fathu'llah-i-Hakkak-i-Qumi|</v>
      </c>
      <c r="K1187" s="3" t="str">
        <f t="shared" si="129"/>
        <v>Fathullah-i-Hakkak-i-Qumi</v>
      </c>
      <c r="N1187" s="39" t="str">
        <f t="shared" si="130"/>
        <v/>
      </c>
      <c r="P1187" s="39" t="str">
        <f t="shared" si="131"/>
        <v/>
      </c>
      <c r="R1187" s="39" t="str">
        <f t="shared" si="132"/>
        <v/>
      </c>
      <c r="S1187" s="28"/>
      <c r="T1187" s="28"/>
      <c r="U1187" s="28"/>
    </row>
    <row r="1188" spans="1:21" s="5" customFormat="1">
      <c r="A1188" s="179" t="s">
        <v>1560</v>
      </c>
      <c r="B1188" s="185" t="s">
        <v>5916</v>
      </c>
      <c r="C1188" s="35" t="str">
        <f t="shared" si="126"/>
        <v>FathullahiQumi</v>
      </c>
      <c r="E1188" s="40"/>
      <c r="F1188" s="14"/>
      <c r="G1188" s="17"/>
      <c r="H1188" s="10" t="s">
        <v>8563</v>
      </c>
      <c r="I1188" s="4" t="str">
        <f t="shared" si="127"/>
        <v>|Fatḥu’lláh-i-Qumí|</v>
      </c>
      <c r="J1188" s="3" t="str">
        <f t="shared" si="128"/>
        <v>|Fathu'llah-i-Qumi|</v>
      </c>
      <c r="K1188" s="3" t="str">
        <f t="shared" si="129"/>
        <v>Fathullah-i-Qumi</v>
      </c>
      <c r="N1188" s="39" t="str">
        <f t="shared" si="130"/>
        <v/>
      </c>
      <c r="P1188" s="39" t="str">
        <f t="shared" si="131"/>
        <v/>
      </c>
      <c r="R1188" s="39" t="str">
        <f t="shared" si="132"/>
        <v/>
      </c>
      <c r="S1188" s="28"/>
      <c r="T1188" s="28"/>
      <c r="U1188" s="28"/>
    </row>
    <row r="1189" spans="1:21" s="5" customFormat="1">
      <c r="A1189" s="179" t="s">
        <v>1561</v>
      </c>
      <c r="B1189" s="185" t="s">
        <v>5917</v>
      </c>
      <c r="C1189" s="35" t="str">
        <f t="shared" si="126"/>
        <v>Fatimih</v>
      </c>
      <c r="E1189" s="40"/>
      <c r="F1189" s="14"/>
      <c r="G1189" s="17"/>
      <c r="H1189" s="10" t="s">
        <v>8563</v>
      </c>
      <c r="I1189" s="4" t="str">
        <f t="shared" si="127"/>
        <v>|Fáṭimih|</v>
      </c>
      <c r="J1189" s="3" t="str">
        <f t="shared" si="128"/>
        <v>|Fatimih|</v>
      </c>
      <c r="K1189" s="3" t="str">
        <f t="shared" si="129"/>
        <v>Fatimih</v>
      </c>
      <c r="N1189" s="39" t="str">
        <f t="shared" si="130"/>
        <v/>
      </c>
      <c r="P1189" s="39" t="str">
        <f t="shared" si="131"/>
        <v/>
      </c>
      <c r="R1189" s="39" t="str">
        <f t="shared" si="132"/>
        <v/>
      </c>
      <c r="S1189" s="28"/>
      <c r="T1189" s="28"/>
      <c r="U1189" s="28"/>
    </row>
    <row r="1190" spans="1:21" s="5" customFormat="1">
      <c r="A1190" s="179" t="s">
        <v>1562</v>
      </c>
      <c r="B1190" s="185" t="s">
        <v>5918</v>
      </c>
      <c r="C1190" s="35" t="str">
        <f t="shared" si="126"/>
        <v>FatimihBagum</v>
      </c>
      <c r="E1190" s="40"/>
      <c r="F1190" s="15"/>
      <c r="G1190" s="17"/>
      <c r="H1190" s="10" t="s">
        <v>8563</v>
      </c>
      <c r="I1190" s="4" t="str">
        <f t="shared" si="127"/>
        <v>|Fáṭimih-Bagum|</v>
      </c>
      <c r="J1190" s="3" t="str">
        <f t="shared" si="128"/>
        <v>|Fatimih-Bagum|</v>
      </c>
      <c r="K1190" s="3" t="str">
        <f t="shared" si="129"/>
        <v>Fatimih-Bagum</v>
      </c>
      <c r="N1190" s="39" t="str">
        <f t="shared" si="130"/>
        <v/>
      </c>
      <c r="P1190" s="39" t="str">
        <f t="shared" si="131"/>
        <v/>
      </c>
      <c r="R1190" s="39" t="str">
        <f t="shared" si="132"/>
        <v/>
      </c>
      <c r="S1190" s="28"/>
      <c r="T1190" s="28"/>
      <c r="U1190" s="28"/>
    </row>
    <row r="1191" spans="1:21" s="5" customFormat="1">
      <c r="A1191" s="179" t="s">
        <v>1563</v>
      </c>
      <c r="B1191" s="185" t="s">
        <v>5919</v>
      </c>
      <c r="C1191" s="35" t="str">
        <f t="shared" si="126"/>
        <v>FatimihyiMasumih</v>
      </c>
      <c r="E1191" s="40"/>
      <c r="F1191" s="14"/>
      <c r="G1191" s="17"/>
      <c r="H1191" s="10" t="s">
        <v>8563</v>
      </c>
      <c r="I1191" s="4" t="str">
        <f t="shared" si="127"/>
        <v>|Fátimihy-i-Maʿṣúmih|</v>
      </c>
      <c r="J1191" s="3" t="str">
        <f t="shared" si="128"/>
        <v>|Fatimihy-i-Ma'sumih|</v>
      </c>
      <c r="K1191" s="3" t="str">
        <f t="shared" si="129"/>
        <v>Fatimihy-i-Masumih</v>
      </c>
      <c r="N1191" s="39" t="str">
        <f t="shared" si="130"/>
        <v/>
      </c>
      <c r="P1191" s="39" t="str">
        <f t="shared" si="131"/>
        <v/>
      </c>
      <c r="R1191" s="39" t="str">
        <f t="shared" si="132"/>
        <v/>
      </c>
      <c r="S1191" s="28"/>
      <c r="T1191" s="28"/>
      <c r="U1191" s="28"/>
    </row>
    <row r="1192" spans="1:21" s="5" customFormat="1">
      <c r="A1192" s="181" t="s">
        <v>8975</v>
      </c>
      <c r="B1192" s="185" t="s">
        <v>8974</v>
      </c>
      <c r="C1192" s="35" t="str">
        <f t="shared" si="126"/>
        <v>Fatimiyyih</v>
      </c>
      <c r="D1192" s="1"/>
      <c r="E1192" s="40"/>
      <c r="F1192" s="12"/>
      <c r="G1192" s="9" t="s">
        <v>9131</v>
      </c>
      <c r="H1192" s="11" t="s">
        <v>77</v>
      </c>
      <c r="I1192" s="4" t="str">
        <f t="shared" si="127"/>
        <v>|Fáṭimíyyih|</v>
      </c>
      <c r="J1192" s="3" t="str">
        <f t="shared" si="128"/>
        <v>|Fatimiyyih|</v>
      </c>
      <c r="K1192" s="3" t="str">
        <f t="shared" si="129"/>
        <v>Fatimiyyih</v>
      </c>
      <c r="M1192" s="1"/>
      <c r="N1192" s="39" t="str">
        <f t="shared" si="130"/>
        <v/>
      </c>
      <c r="O1192" s="1"/>
      <c r="P1192" s="39" t="str">
        <f t="shared" si="131"/>
        <v/>
      </c>
      <c r="Q1192" s="1"/>
      <c r="R1192" s="39" t="str">
        <f t="shared" si="132"/>
        <v/>
      </c>
      <c r="S1192" s="28"/>
      <c r="T1192" s="28"/>
      <c r="U1192" s="28"/>
    </row>
    <row r="1193" spans="1:21" s="5" customFormat="1">
      <c r="A1193" s="179" t="s">
        <v>1564</v>
      </c>
      <c r="B1193" s="185" t="s">
        <v>5920</v>
      </c>
      <c r="C1193" s="35" t="str">
        <f t="shared" si="126"/>
        <v>Fattah</v>
      </c>
      <c r="E1193" s="40"/>
      <c r="F1193" s="15" t="s">
        <v>1565</v>
      </c>
      <c r="G1193" s="17"/>
      <c r="H1193" s="10" t="s">
        <v>8563</v>
      </c>
      <c r="I1193" s="4" t="str">
        <f t="shared" si="127"/>
        <v>|Faṭṭáḥ|</v>
      </c>
      <c r="J1193" s="3" t="str">
        <f t="shared" si="128"/>
        <v>|Fattah|</v>
      </c>
      <c r="K1193" s="3" t="str">
        <f t="shared" si="129"/>
        <v>Fattah</v>
      </c>
      <c r="N1193" s="39" t="str">
        <f t="shared" si="130"/>
        <v/>
      </c>
      <c r="P1193" s="39" t="str">
        <f t="shared" si="131"/>
        <v/>
      </c>
      <c r="R1193" s="39" t="str">
        <f t="shared" si="132"/>
        <v/>
      </c>
      <c r="S1193" s="28"/>
      <c r="T1193" s="28"/>
      <c r="U1193" s="28"/>
    </row>
    <row r="1194" spans="1:21" s="5" customFormat="1">
      <c r="A1194" s="179" t="s">
        <v>1566</v>
      </c>
      <c r="B1194" s="185" t="s">
        <v>5921</v>
      </c>
      <c r="C1194" s="35" t="str">
        <f t="shared" si="126"/>
        <v>Fatva</v>
      </c>
      <c r="E1194" s="40"/>
      <c r="F1194" s="14" t="s">
        <v>1567</v>
      </c>
      <c r="G1194" s="17"/>
      <c r="H1194" s="10" t="s">
        <v>8563</v>
      </c>
      <c r="I1194" s="4" t="str">
        <f t="shared" si="127"/>
        <v>|Fatvá|</v>
      </c>
      <c r="J1194" s="3" t="str">
        <f t="shared" si="128"/>
        <v>|Fatva|</v>
      </c>
      <c r="K1194" s="3" t="str">
        <f t="shared" si="129"/>
        <v>Fatva</v>
      </c>
      <c r="N1194" s="39" t="str">
        <f t="shared" si="130"/>
        <v/>
      </c>
      <c r="P1194" s="39" t="str">
        <f t="shared" si="131"/>
        <v/>
      </c>
      <c r="R1194" s="39" t="str">
        <f t="shared" si="132"/>
        <v/>
      </c>
      <c r="S1194" s="28"/>
      <c r="T1194" s="28"/>
      <c r="U1194" s="28"/>
    </row>
    <row r="1195" spans="1:21" s="5" customFormat="1">
      <c r="A1195" s="179" t="s">
        <v>1568</v>
      </c>
      <c r="B1195" s="185" t="s">
        <v>5922</v>
      </c>
      <c r="C1195" s="35" t="str">
        <f t="shared" si="126"/>
        <v>Faydbakhsh</v>
      </c>
      <c r="E1195" s="40"/>
      <c r="F1195" s="15"/>
      <c r="G1195" s="17"/>
      <c r="H1195" s="10" t="s">
        <v>8563</v>
      </c>
      <c r="I1195" s="4" t="str">
        <f t="shared" si="127"/>
        <v>|Fayḍba|</v>
      </c>
      <c r="J1195" s="3" t="str">
        <f t="shared" si="128"/>
        <v>|Faydbakhsh|</v>
      </c>
      <c r="K1195" s="3" t="str">
        <f t="shared" si="129"/>
        <v>Faydbakhsh</v>
      </c>
      <c r="N1195" s="39" t="str">
        <f t="shared" si="130"/>
        <v/>
      </c>
      <c r="P1195" s="39" t="str">
        <f t="shared" si="131"/>
        <v/>
      </c>
      <c r="R1195" s="39" t="str">
        <f t="shared" si="132"/>
        <v/>
      </c>
      <c r="S1195" s="28"/>
      <c r="T1195" s="28"/>
      <c r="U1195" s="28"/>
    </row>
    <row r="1196" spans="1:21" s="5" customFormat="1">
      <c r="A1196" s="179" t="s">
        <v>1569</v>
      </c>
      <c r="B1196" s="185" t="s">
        <v>5923</v>
      </c>
      <c r="C1196" s="35" t="str">
        <f t="shared" si="126"/>
        <v>Faydi</v>
      </c>
      <c r="E1196" s="40"/>
      <c r="F1196" s="15" t="s">
        <v>1570</v>
      </c>
      <c r="G1196" s="17"/>
      <c r="H1196" s="10" t="s">
        <v>8563</v>
      </c>
      <c r="I1196" s="4" t="str">
        <f t="shared" si="127"/>
        <v>|Fayḍí|</v>
      </c>
      <c r="J1196" s="3" t="str">
        <f t="shared" si="128"/>
        <v>|Faydi|</v>
      </c>
      <c r="K1196" s="3" t="str">
        <f t="shared" si="129"/>
        <v>Faydi</v>
      </c>
      <c r="N1196" s="39" t="str">
        <f t="shared" si="130"/>
        <v/>
      </c>
      <c r="P1196" s="39" t="str">
        <f t="shared" si="131"/>
        <v/>
      </c>
      <c r="R1196" s="39" t="str">
        <f t="shared" si="132"/>
        <v/>
      </c>
      <c r="S1196" s="28"/>
      <c r="T1196" s="28"/>
      <c r="U1196" s="28"/>
    </row>
    <row r="1197" spans="1:21" s="5" customFormat="1">
      <c r="A1197" s="179" t="s">
        <v>1571</v>
      </c>
      <c r="B1197" s="185" t="s">
        <v>8976</v>
      </c>
      <c r="C1197" s="35" t="str">
        <f t="shared" si="126"/>
        <v>FaydiAqdas</v>
      </c>
      <c r="E1197" s="40"/>
      <c r="F1197" s="15" t="s">
        <v>1572</v>
      </c>
      <c r="G1197" s="17"/>
      <c r="H1197" s="10" t="s">
        <v>8563</v>
      </c>
      <c r="I1197" s="4" t="str">
        <f t="shared" si="127"/>
        <v>|Fayḍ-i-Aqdas|</v>
      </c>
      <c r="J1197" s="3" t="str">
        <f t="shared" si="128"/>
        <v>|Fayd-i-Aqdas|</v>
      </c>
      <c r="K1197" s="3" t="str">
        <f t="shared" si="129"/>
        <v>Fayd-i-Aqdas</v>
      </c>
      <c r="N1197" s="39" t="str">
        <f t="shared" si="130"/>
        <v/>
      </c>
      <c r="P1197" s="39" t="str">
        <f t="shared" si="131"/>
        <v/>
      </c>
      <c r="R1197" s="39" t="str">
        <f t="shared" si="132"/>
        <v/>
      </c>
      <c r="S1197" s="28"/>
      <c r="T1197" s="28"/>
      <c r="U1197" s="28"/>
    </row>
    <row r="1198" spans="1:21" s="5" customFormat="1">
      <c r="A1198" s="179" t="s">
        <v>1573</v>
      </c>
      <c r="B1198" s="185" t="s">
        <v>8977</v>
      </c>
      <c r="C1198" s="35" t="str">
        <f t="shared" si="126"/>
        <v>FaydiMuqaddas</v>
      </c>
      <c r="E1198" s="40"/>
      <c r="F1198" s="15" t="s">
        <v>1574</v>
      </c>
      <c r="G1198" s="17"/>
      <c r="H1198" s="10" t="s">
        <v>8563</v>
      </c>
      <c r="I1198" s="4" t="str">
        <f t="shared" si="127"/>
        <v>|Fayḍ-i-Muqaddas|</v>
      </c>
      <c r="J1198" s="3" t="str">
        <f t="shared" si="128"/>
        <v>|Fayd-i-Muqaddas|</v>
      </c>
      <c r="K1198" s="3" t="str">
        <f t="shared" si="129"/>
        <v>Fayd-i-Muqaddas</v>
      </c>
      <c r="N1198" s="39" t="str">
        <f t="shared" si="130"/>
        <v/>
      </c>
      <c r="P1198" s="39" t="str">
        <f t="shared" si="131"/>
        <v/>
      </c>
      <c r="R1198" s="39" t="str">
        <f t="shared" si="132"/>
        <v/>
      </c>
      <c r="S1198" s="28"/>
      <c r="T1198" s="28"/>
      <c r="U1198" s="28"/>
    </row>
    <row r="1199" spans="1:21" s="5" customFormat="1">
      <c r="A1199" s="179" t="s">
        <v>1575</v>
      </c>
      <c r="B1199" s="185" t="s">
        <v>5924</v>
      </c>
      <c r="C1199" s="35" t="str">
        <f t="shared" si="126"/>
        <v>Faydiyyih</v>
      </c>
      <c r="E1199" s="40"/>
      <c r="F1199" s="15"/>
      <c r="G1199" s="17"/>
      <c r="H1199" s="10" t="s">
        <v>8563</v>
      </c>
      <c r="I1199" s="4" t="str">
        <f t="shared" si="127"/>
        <v>|Fayḍíyyih|</v>
      </c>
      <c r="J1199" s="3" t="str">
        <f t="shared" si="128"/>
        <v>|Faydiyyih|</v>
      </c>
      <c r="K1199" s="3" t="str">
        <f t="shared" si="129"/>
        <v>Faydiyyih</v>
      </c>
      <c r="N1199" s="39" t="str">
        <f t="shared" si="130"/>
        <v/>
      </c>
      <c r="P1199" s="39" t="str">
        <f t="shared" si="131"/>
        <v/>
      </c>
      <c r="R1199" s="39" t="str">
        <f t="shared" si="132"/>
        <v/>
      </c>
      <c r="S1199" s="28"/>
      <c r="T1199" s="28"/>
      <c r="U1199" s="28"/>
    </row>
    <row r="1200" spans="1:21" s="5" customFormat="1">
      <c r="A1200" s="179" t="s">
        <v>1576</v>
      </c>
      <c r="B1200" s="185" t="s">
        <v>5925</v>
      </c>
      <c r="C1200" s="35" t="str">
        <f t="shared" si="126"/>
        <v>Faydullah</v>
      </c>
      <c r="E1200" s="40"/>
      <c r="F1200" s="15"/>
      <c r="G1200" s="17"/>
      <c r="H1200" s="10" t="s">
        <v>8563</v>
      </c>
      <c r="I1200" s="4" t="str">
        <f t="shared" si="127"/>
        <v>|Fayḍu’lláh|</v>
      </c>
      <c r="J1200" s="3" t="str">
        <f t="shared" si="128"/>
        <v>|Faydu'llah|</v>
      </c>
      <c r="K1200" s="3" t="str">
        <f t="shared" si="129"/>
        <v>Faydullah</v>
      </c>
      <c r="N1200" s="39" t="str">
        <f t="shared" si="130"/>
        <v/>
      </c>
      <c r="P1200" s="39" t="str">
        <f t="shared" si="131"/>
        <v/>
      </c>
      <c r="R1200" s="39" t="str">
        <f t="shared" si="132"/>
        <v/>
      </c>
      <c r="S1200" s="28"/>
      <c r="T1200" s="28"/>
      <c r="U1200" s="28"/>
    </row>
    <row r="1201" spans="1:21" s="5" customFormat="1">
      <c r="A1201" s="179" t="s">
        <v>1577</v>
      </c>
      <c r="B1201" s="185" t="s">
        <v>5926</v>
      </c>
      <c r="C1201" s="35" t="str">
        <f t="shared" si="126"/>
        <v>Fayha</v>
      </c>
      <c r="E1201" s="40"/>
      <c r="F1201" s="14"/>
      <c r="G1201" s="17"/>
      <c r="H1201" s="10" t="s">
        <v>8563</v>
      </c>
      <c r="I1201" s="4" t="str">
        <f t="shared" si="127"/>
        <v>|Fayḥá’|</v>
      </c>
      <c r="J1201" s="3" t="str">
        <f t="shared" si="128"/>
        <v>|Fayha'|</v>
      </c>
      <c r="K1201" s="3" t="str">
        <f t="shared" si="129"/>
        <v>Fayha</v>
      </c>
      <c r="N1201" s="39" t="str">
        <f t="shared" si="130"/>
        <v/>
      </c>
      <c r="P1201" s="39" t="str">
        <f t="shared" si="131"/>
        <v/>
      </c>
      <c r="R1201" s="39" t="str">
        <f t="shared" si="132"/>
        <v/>
      </c>
      <c r="S1201" s="28"/>
      <c r="T1201" s="28"/>
      <c r="U1201" s="28"/>
    </row>
    <row r="1202" spans="1:21" s="5" customFormat="1">
      <c r="A1202" s="179" t="s">
        <v>1578</v>
      </c>
      <c r="B1202" s="185" t="s">
        <v>5927</v>
      </c>
      <c r="C1202" s="35" t="str">
        <f t="shared" si="126"/>
        <v>Fazl</v>
      </c>
      <c r="E1202" s="40"/>
      <c r="F1202" s="14"/>
      <c r="G1202" s="17"/>
      <c r="H1202" s="10" t="s">
        <v>8563</v>
      </c>
      <c r="I1202" s="4" t="str">
        <f t="shared" si="127"/>
        <v>|Fazl|</v>
      </c>
      <c r="J1202" s="3" t="str">
        <f t="shared" si="128"/>
        <v>|Fazl|</v>
      </c>
      <c r="K1202" s="3" t="str">
        <f t="shared" si="129"/>
        <v>Fazl</v>
      </c>
      <c r="N1202" s="39" t="str">
        <f t="shared" si="130"/>
        <v/>
      </c>
      <c r="P1202" s="39" t="str">
        <f t="shared" si="131"/>
        <v/>
      </c>
      <c r="R1202" s="39" t="str">
        <f t="shared" si="132"/>
        <v/>
      </c>
      <c r="S1202" s="28"/>
      <c r="T1202" s="28"/>
      <c r="U1202" s="28"/>
    </row>
    <row r="1203" spans="1:21" s="5" customFormat="1">
      <c r="A1203" s="179" t="s">
        <v>1580</v>
      </c>
      <c r="B1203" s="185" t="s">
        <v>5928</v>
      </c>
      <c r="C1203" s="35" t="str">
        <f t="shared" si="126"/>
        <v>fi</v>
      </c>
      <c r="E1203" s="40"/>
      <c r="F1203" s="14"/>
      <c r="G1203" s="17"/>
      <c r="H1203" s="10" t="s">
        <v>8563</v>
      </c>
      <c r="I1203" s="4" t="str">
        <f t="shared" si="127"/>
        <v>|fí|</v>
      </c>
      <c r="J1203" s="3" t="str">
        <f t="shared" si="128"/>
        <v>|fi|</v>
      </c>
      <c r="K1203" s="3" t="str">
        <f t="shared" si="129"/>
        <v>fi</v>
      </c>
      <c r="N1203" s="39" t="str">
        <f t="shared" si="130"/>
        <v/>
      </c>
      <c r="P1203" s="39" t="str">
        <f t="shared" si="131"/>
        <v/>
      </c>
      <c r="R1203" s="39" t="str">
        <f t="shared" si="132"/>
        <v/>
      </c>
      <c r="S1203" s="28"/>
      <c r="T1203" s="28"/>
      <c r="U1203" s="28"/>
    </row>
    <row r="1204" spans="1:21" s="5" customFormat="1">
      <c r="A1204" s="179" t="s">
        <v>1581</v>
      </c>
      <c r="B1204" s="185" t="s">
        <v>5929</v>
      </c>
      <c r="C1204" s="35" t="str">
        <f t="shared" si="126"/>
        <v>Fidayi</v>
      </c>
      <c r="E1204" s="40"/>
      <c r="F1204" s="15"/>
      <c r="G1204" s="17"/>
      <c r="H1204" s="10" t="s">
        <v>8563</v>
      </c>
      <c r="I1204" s="4" t="str">
        <f t="shared" si="127"/>
        <v>|Fidáy-i-|</v>
      </c>
      <c r="J1204" s="3" t="str">
        <f t="shared" si="128"/>
        <v>|Fiday-i-|</v>
      </c>
      <c r="K1204" s="3" t="str">
        <f t="shared" si="129"/>
        <v>Fiday-i-</v>
      </c>
      <c r="N1204" s="39" t="str">
        <f t="shared" si="130"/>
        <v/>
      </c>
      <c r="P1204" s="39" t="str">
        <f t="shared" si="131"/>
        <v/>
      </c>
      <c r="R1204" s="39" t="str">
        <f t="shared" si="132"/>
        <v/>
      </c>
      <c r="S1204" s="28"/>
      <c r="T1204" s="28"/>
      <c r="U1204" s="28"/>
    </row>
    <row r="1205" spans="1:21" s="5" customFormat="1">
      <c r="A1205" s="179" t="s">
        <v>1582</v>
      </c>
      <c r="B1205" s="185" t="s">
        <v>5930</v>
      </c>
      <c r="C1205" s="35" t="str">
        <f t="shared" si="126"/>
        <v>Fikum</v>
      </c>
      <c r="E1205" s="40"/>
      <c r="F1205" s="15"/>
      <c r="G1205" s="17"/>
      <c r="H1205" s="10" t="s">
        <v>8563</v>
      </c>
      <c r="I1205" s="4" t="str">
        <f t="shared" si="127"/>
        <v>|Fíkum|</v>
      </c>
      <c r="J1205" s="3" t="str">
        <f t="shared" si="128"/>
        <v>|Fikum|</v>
      </c>
      <c r="K1205" s="3" t="str">
        <f t="shared" si="129"/>
        <v>Fikum</v>
      </c>
      <c r="N1205" s="39" t="str">
        <f t="shared" si="130"/>
        <v/>
      </c>
      <c r="P1205" s="39" t="str">
        <f t="shared" si="131"/>
        <v/>
      </c>
      <c r="R1205" s="39" t="str">
        <f t="shared" si="132"/>
        <v/>
      </c>
      <c r="S1205" s="28"/>
      <c r="T1205" s="28"/>
      <c r="U1205" s="28"/>
    </row>
    <row r="1206" spans="1:21" s="5" customFormat="1">
      <c r="A1206" s="179" t="s">
        <v>1583</v>
      </c>
      <c r="B1206" s="185" t="s">
        <v>5931</v>
      </c>
      <c r="C1206" s="35" t="str">
        <f t="shared" si="126"/>
        <v>Fin</v>
      </c>
      <c r="E1206" s="40"/>
      <c r="F1206" s="14"/>
      <c r="G1206" s="17"/>
      <c r="H1206" s="10" t="s">
        <v>8563</v>
      </c>
      <c r="I1206" s="4" t="str">
        <f t="shared" si="127"/>
        <v>|Fín|</v>
      </c>
      <c r="J1206" s="3" t="str">
        <f t="shared" si="128"/>
        <v>|Fin|</v>
      </c>
      <c r="K1206" s="3" t="str">
        <f t="shared" si="129"/>
        <v>Fin</v>
      </c>
      <c r="N1206" s="39" t="str">
        <f t="shared" si="130"/>
        <v/>
      </c>
      <c r="P1206" s="39" t="str">
        <f t="shared" si="131"/>
        <v/>
      </c>
      <c r="R1206" s="39" t="str">
        <f t="shared" si="132"/>
        <v/>
      </c>
      <c r="S1206" s="28"/>
      <c r="T1206" s="28"/>
      <c r="U1206" s="28"/>
    </row>
    <row r="1207" spans="1:21" s="5" customFormat="1">
      <c r="A1207" s="179" t="s">
        <v>1584</v>
      </c>
      <c r="B1207" s="185" t="s">
        <v>5932</v>
      </c>
      <c r="C1207" s="35" t="str">
        <f t="shared" si="126"/>
        <v>Findik</v>
      </c>
      <c r="E1207" s="40"/>
      <c r="F1207" s="14"/>
      <c r="G1207" s="17"/>
      <c r="H1207" s="10" t="s">
        <v>8563</v>
      </c>
      <c r="I1207" s="4" t="str">
        <f t="shared" si="127"/>
        <v>|Findík|</v>
      </c>
      <c r="J1207" s="3" t="str">
        <f t="shared" si="128"/>
        <v>|Findik|</v>
      </c>
      <c r="K1207" s="3" t="str">
        <f t="shared" si="129"/>
        <v>Findik</v>
      </c>
      <c r="N1207" s="39" t="str">
        <f t="shared" si="130"/>
        <v/>
      </c>
      <c r="P1207" s="39" t="str">
        <f t="shared" si="131"/>
        <v/>
      </c>
      <c r="R1207" s="39" t="str">
        <f t="shared" si="132"/>
        <v/>
      </c>
      <c r="S1207" s="28"/>
      <c r="T1207" s="28"/>
      <c r="U1207" s="28"/>
    </row>
    <row r="1208" spans="1:21" s="5" customFormat="1">
      <c r="A1208" s="179" t="s">
        <v>1579</v>
      </c>
      <c r="B1208" s="185" t="s">
        <v>164</v>
      </c>
      <c r="C1208" s="35" t="str">
        <f t="shared" si="126"/>
        <v>Firaydun</v>
      </c>
      <c r="E1208" s="40"/>
      <c r="F1208" s="15"/>
      <c r="G1208" s="17"/>
      <c r="H1208" s="10" t="s">
        <v>8563</v>
      </c>
      <c r="I1208" s="4" t="str">
        <f t="shared" si="127"/>
        <v>|Firaydún|</v>
      </c>
      <c r="J1208" s="3" t="str">
        <f t="shared" si="128"/>
        <v>|Firaydun|</v>
      </c>
      <c r="K1208" s="3" t="str">
        <f t="shared" si="129"/>
        <v>Firaydun</v>
      </c>
      <c r="N1208" s="39" t="str">
        <f t="shared" si="130"/>
        <v/>
      </c>
      <c r="P1208" s="39" t="str">
        <f t="shared" si="131"/>
        <v/>
      </c>
      <c r="R1208" s="39" t="str">
        <f t="shared" si="132"/>
        <v/>
      </c>
      <c r="S1208" s="28"/>
      <c r="T1208" s="28"/>
      <c r="U1208" s="28"/>
    </row>
    <row r="1209" spans="1:21" s="5" customFormat="1">
      <c r="A1209" s="179" t="s">
        <v>1585</v>
      </c>
      <c r="B1209" s="185" t="s">
        <v>5933</v>
      </c>
      <c r="C1209" s="35" t="str">
        <f t="shared" si="126"/>
        <v>Firdaws</v>
      </c>
      <c r="E1209" s="40"/>
      <c r="F1209" s="14"/>
      <c r="G1209" s="17"/>
      <c r="H1209" s="10" t="s">
        <v>8563</v>
      </c>
      <c r="I1209" s="4" t="str">
        <f t="shared" si="127"/>
        <v>|Firdaws|</v>
      </c>
      <c r="J1209" s="3" t="str">
        <f t="shared" si="128"/>
        <v>|Firdaws|</v>
      </c>
      <c r="K1209" s="3" t="str">
        <f t="shared" si="129"/>
        <v>Firdaws</v>
      </c>
      <c r="N1209" s="39" t="str">
        <f t="shared" si="130"/>
        <v/>
      </c>
      <c r="P1209" s="39" t="str">
        <f t="shared" si="131"/>
        <v/>
      </c>
      <c r="R1209" s="39" t="str">
        <f t="shared" si="132"/>
        <v/>
      </c>
      <c r="S1209" s="28"/>
      <c r="T1209" s="28"/>
      <c r="U1209" s="28"/>
    </row>
    <row r="1210" spans="1:21" s="5" customFormat="1">
      <c r="A1210" s="179" t="s">
        <v>1586</v>
      </c>
      <c r="B1210" s="185" t="s">
        <v>5934</v>
      </c>
      <c r="C1210" s="35" t="str">
        <f t="shared" si="126"/>
        <v>Firdawsi</v>
      </c>
      <c r="E1210" s="40"/>
      <c r="F1210" s="14"/>
      <c r="G1210" s="17"/>
      <c r="H1210" s="10" t="s">
        <v>8563</v>
      </c>
      <c r="I1210" s="4" t="str">
        <f t="shared" si="127"/>
        <v>|Firdawsí|</v>
      </c>
      <c r="J1210" s="3" t="str">
        <f t="shared" si="128"/>
        <v>|Firdawsi|</v>
      </c>
      <c r="K1210" s="3" t="str">
        <f t="shared" si="129"/>
        <v>Firdawsi</v>
      </c>
      <c r="N1210" s="39" t="str">
        <f t="shared" si="130"/>
        <v/>
      </c>
      <c r="P1210" s="39" t="str">
        <f t="shared" si="131"/>
        <v/>
      </c>
      <c r="R1210" s="39" t="str">
        <f t="shared" si="132"/>
        <v/>
      </c>
      <c r="S1210" s="28"/>
      <c r="T1210" s="28"/>
      <c r="U1210" s="28"/>
    </row>
    <row r="1211" spans="1:21" s="5" customFormat="1">
      <c r="A1211" s="179" t="s">
        <v>1587</v>
      </c>
      <c r="B1211" s="185" t="s">
        <v>5935</v>
      </c>
      <c r="C1211" s="35" t="str">
        <f t="shared" si="126"/>
        <v>FirdawsiAla</v>
      </c>
      <c r="E1211" s="40"/>
      <c r="F1211" s="15"/>
      <c r="G1211" s="17"/>
      <c r="H1211" s="10" t="s">
        <v>8563</v>
      </c>
      <c r="I1211" s="4" t="str">
        <f t="shared" si="127"/>
        <v>|Firdaws-i-A’lá|</v>
      </c>
      <c r="J1211" s="3" t="str">
        <f t="shared" si="128"/>
        <v>|Firdaws-i-A'la|</v>
      </c>
      <c r="K1211" s="3" t="str">
        <f t="shared" si="129"/>
        <v>Firdaws-i-Ala</v>
      </c>
      <c r="N1211" s="39" t="str">
        <f t="shared" si="130"/>
        <v/>
      </c>
      <c r="P1211" s="39" t="str">
        <f t="shared" si="131"/>
        <v/>
      </c>
      <c r="R1211" s="39" t="str">
        <f t="shared" si="132"/>
        <v/>
      </c>
      <c r="S1211" s="28"/>
      <c r="T1211" s="28"/>
      <c r="U1211" s="28"/>
    </row>
    <row r="1212" spans="1:21" s="5" customFormat="1">
      <c r="A1212" s="179" t="s">
        <v>1588</v>
      </c>
      <c r="B1212" s="185" t="s">
        <v>5936</v>
      </c>
      <c r="C1212" s="35" t="str">
        <f t="shared" si="126"/>
        <v>Firishtih</v>
      </c>
      <c r="E1212" s="40"/>
      <c r="F1212" s="15"/>
      <c r="G1212" s="17"/>
      <c r="H1212" s="10" t="s">
        <v>8563</v>
      </c>
      <c r="I1212" s="4" t="str">
        <f t="shared" si="127"/>
        <v>|Firitih|</v>
      </c>
      <c r="J1212" s="3" t="str">
        <f t="shared" si="128"/>
        <v>|Firishtih|</v>
      </c>
      <c r="K1212" s="3" t="str">
        <f t="shared" si="129"/>
        <v>Firishtih</v>
      </c>
      <c r="N1212" s="39" t="str">
        <f t="shared" si="130"/>
        <v/>
      </c>
      <c r="P1212" s="39" t="str">
        <f t="shared" si="131"/>
        <v/>
      </c>
      <c r="R1212" s="39" t="str">
        <f t="shared" si="132"/>
        <v/>
      </c>
      <c r="S1212" s="28"/>
      <c r="T1212" s="28"/>
      <c r="U1212" s="28"/>
    </row>
    <row r="1213" spans="1:21" s="5" customFormat="1">
      <c r="A1213" s="179" t="s">
        <v>1589</v>
      </c>
      <c r="B1213" s="185" t="s">
        <v>5937</v>
      </c>
      <c r="C1213" s="35" t="str">
        <f t="shared" si="126"/>
        <v>Firuz</v>
      </c>
      <c r="E1213" s="40"/>
      <c r="F1213" s="14"/>
      <c r="G1213" s="17"/>
      <c r="H1213" s="10" t="s">
        <v>8563</v>
      </c>
      <c r="I1213" s="4" t="str">
        <f t="shared" si="127"/>
        <v>|Fírúz|</v>
      </c>
      <c r="J1213" s="3" t="str">
        <f t="shared" si="128"/>
        <v>|Firuz|</v>
      </c>
      <c r="K1213" s="3" t="str">
        <f t="shared" si="129"/>
        <v>Firuz</v>
      </c>
      <c r="N1213" s="39" t="str">
        <f t="shared" si="130"/>
        <v/>
      </c>
      <c r="P1213" s="39" t="str">
        <f t="shared" si="131"/>
        <v/>
      </c>
      <c r="R1213" s="39" t="str">
        <f t="shared" si="132"/>
        <v/>
      </c>
      <c r="S1213" s="28"/>
      <c r="T1213" s="28"/>
      <c r="U1213" s="28"/>
    </row>
    <row r="1214" spans="1:21" s="5" customFormat="1">
      <c r="A1214" s="179" t="s">
        <v>1590</v>
      </c>
      <c r="B1214" s="185" t="s">
        <v>5938</v>
      </c>
      <c r="C1214" s="35" t="str">
        <f t="shared" si="126"/>
        <v>FiruzKuh</v>
      </c>
      <c r="E1214" s="40"/>
      <c r="F1214" s="14"/>
      <c r="G1214" s="17"/>
      <c r="H1214" s="10" t="s">
        <v>8563</v>
      </c>
      <c r="I1214" s="4" t="str">
        <f t="shared" si="127"/>
        <v>|Fírúz-Kúh|</v>
      </c>
      <c r="J1214" s="3" t="str">
        <f t="shared" si="128"/>
        <v>|Firuz-Kuh|</v>
      </c>
      <c r="K1214" s="3" t="str">
        <f t="shared" si="129"/>
        <v>Firuz-Kuh</v>
      </c>
      <c r="N1214" s="39" t="str">
        <f t="shared" si="130"/>
        <v/>
      </c>
      <c r="P1214" s="39" t="str">
        <f t="shared" si="131"/>
        <v/>
      </c>
      <c r="R1214" s="39" t="str">
        <f t="shared" si="132"/>
        <v/>
      </c>
      <c r="S1214" s="28"/>
      <c r="T1214" s="28"/>
      <c r="U1214" s="28"/>
    </row>
    <row r="1215" spans="1:21" s="5" customFormat="1">
      <c r="A1215" s="179" t="s">
        <v>1591</v>
      </c>
      <c r="B1215" s="185" t="s">
        <v>5939</v>
      </c>
      <c r="C1215" s="35" t="str">
        <f t="shared" si="126"/>
        <v>FishariQabr</v>
      </c>
      <c r="E1215" s="40"/>
      <c r="F1215" s="15" t="s">
        <v>1592</v>
      </c>
      <c r="G1215" s="17"/>
      <c r="H1215" s="10" t="s">
        <v>8563</v>
      </c>
      <c r="I1215" s="4" t="str">
        <f t="shared" si="127"/>
        <v>|Fiár-i-Qabr|</v>
      </c>
      <c r="J1215" s="3" t="str">
        <f t="shared" si="128"/>
        <v>|Fishar-i-Qabr|</v>
      </c>
      <c r="K1215" s="3" t="str">
        <f t="shared" si="129"/>
        <v>Fishar-i-Qabr</v>
      </c>
      <c r="N1215" s="39" t="str">
        <f t="shared" si="130"/>
        <v/>
      </c>
      <c r="P1215" s="39" t="str">
        <f t="shared" si="131"/>
        <v/>
      </c>
      <c r="R1215" s="39" t="str">
        <f t="shared" si="132"/>
        <v/>
      </c>
      <c r="S1215" s="28"/>
      <c r="T1215" s="28"/>
      <c r="U1215" s="28"/>
    </row>
    <row r="1216" spans="1:21" s="5" customFormat="1">
      <c r="A1216" s="179" t="s">
        <v>1593</v>
      </c>
      <c r="B1216" s="185" t="s">
        <v>5940</v>
      </c>
      <c r="C1216" s="35" t="str">
        <f t="shared" si="126"/>
        <v>Fitr</v>
      </c>
      <c r="E1216" s="40"/>
      <c r="F1216" s="15"/>
      <c r="G1216" s="17"/>
      <c r="H1216" s="10" t="s">
        <v>8563</v>
      </c>
      <c r="I1216" s="4" t="str">
        <f t="shared" si="127"/>
        <v>|Fiṭr|</v>
      </c>
      <c r="J1216" s="3" t="str">
        <f t="shared" si="128"/>
        <v>|Fitr|</v>
      </c>
      <c r="K1216" s="3" t="str">
        <f t="shared" si="129"/>
        <v>Fitr</v>
      </c>
      <c r="N1216" s="39" t="str">
        <f t="shared" si="130"/>
        <v/>
      </c>
      <c r="P1216" s="39" t="str">
        <f t="shared" si="131"/>
        <v/>
      </c>
      <c r="R1216" s="39" t="str">
        <f t="shared" si="132"/>
        <v/>
      </c>
      <c r="S1216" s="28"/>
      <c r="T1216" s="28"/>
      <c r="U1216" s="28"/>
    </row>
    <row r="1217" spans="1:21" s="5" customFormat="1">
      <c r="A1217" s="179" t="s">
        <v>1594</v>
      </c>
      <c r="B1217" s="185" t="s">
        <v>5941</v>
      </c>
      <c r="C1217" s="35" t="str">
        <f t="shared" si="126"/>
        <v>Fizan</v>
      </c>
      <c r="E1217" s="40"/>
      <c r="F1217" s="15" t="s">
        <v>1595</v>
      </c>
      <c r="G1217" s="17"/>
      <c r="H1217" s="10" t="s">
        <v>8563</v>
      </c>
      <c r="I1217" s="4" t="str">
        <f t="shared" si="127"/>
        <v>|Fízán|</v>
      </c>
      <c r="J1217" s="3" t="str">
        <f t="shared" si="128"/>
        <v>|Fizan|</v>
      </c>
      <c r="K1217" s="3" t="str">
        <f t="shared" si="129"/>
        <v>Fizan</v>
      </c>
      <c r="N1217" s="39" t="str">
        <f t="shared" si="130"/>
        <v/>
      </c>
      <c r="P1217" s="39" t="str">
        <f t="shared" si="131"/>
        <v/>
      </c>
      <c r="R1217" s="39" t="str">
        <f t="shared" si="132"/>
        <v/>
      </c>
      <c r="S1217" s="28"/>
      <c r="T1217" s="28"/>
      <c r="U1217" s="28"/>
    </row>
    <row r="1218" spans="1:21" s="5" customFormat="1">
      <c r="A1218" s="179" t="s">
        <v>1596</v>
      </c>
      <c r="B1218" s="185" t="s">
        <v>5942</v>
      </c>
      <c r="C1218" s="35" t="str">
        <f t="shared" si="126"/>
        <v>Fuad</v>
      </c>
      <c r="E1218" s="40"/>
      <c r="F1218" s="14"/>
      <c r="G1218" s="17"/>
      <c r="H1218" s="10" t="s">
        <v>8563</v>
      </c>
      <c r="I1218" s="4" t="str">
        <f t="shared" si="127"/>
        <v>|Fuád|</v>
      </c>
      <c r="J1218" s="3" t="str">
        <f t="shared" si="128"/>
        <v>|Fuad|</v>
      </c>
      <c r="K1218" s="3" t="str">
        <f t="shared" si="129"/>
        <v>Fuad</v>
      </c>
      <c r="N1218" s="39" t="str">
        <f t="shared" si="130"/>
        <v/>
      </c>
      <c r="P1218" s="39" t="str">
        <f t="shared" si="131"/>
        <v/>
      </c>
      <c r="R1218" s="39" t="str">
        <f t="shared" si="132"/>
        <v/>
      </c>
      <c r="S1218" s="28"/>
      <c r="T1218" s="28"/>
      <c r="U1218" s="28"/>
    </row>
    <row r="1219" spans="1:21" s="5" customFormat="1">
      <c r="A1219" s="179" t="s">
        <v>1597</v>
      </c>
      <c r="B1219" s="185" t="s">
        <v>5943</v>
      </c>
      <c r="C1219" s="35" t="str">
        <f t="shared" ref="C1219:C1282" si="133">SUBSTITUTE(SUBSTITUTE(K1219,"-","")," ","")</f>
        <v>Funun</v>
      </c>
      <c r="E1219" s="40"/>
      <c r="F1219" s="15" t="s">
        <v>1598</v>
      </c>
      <c r="G1219" s="17"/>
      <c r="H1219" s="10" t="s">
        <v>8563</v>
      </c>
      <c r="I1219" s="4" t="str">
        <f t="shared" ref="I1219:I1282" si="134">CONCATENATE("|",B1219,"|")</f>
        <v>|Funún|</v>
      </c>
      <c r="J1219" s="3" t="str">
        <f t="shared" ref="J1219:J1282" si="135">CONCATENATE("|",F_OutputASCII(B1219),"|")</f>
        <v>|Funun|</v>
      </c>
      <c r="K1219" s="3" t="str">
        <f t="shared" ref="K1219:K1282" si="136">IF(SUBSTITUTE(MID(J1219,2,LEN(J1219)-2),"'","")&lt;&gt;"",SUBSTITUTE(MID(J1219,2,LEN(J1219)-2),"'",""),"ZZZZZ")</f>
        <v>Funun</v>
      </c>
      <c r="N1219" s="39" t="str">
        <f t="shared" ref="N1219:N1282" si="137">SUBSTITUTE(SUBSTITUTE(SUBSTITUTE(F_OutputASCII(M1219),"-","")," ",""),"'","")</f>
        <v/>
      </c>
      <c r="P1219" s="39" t="str">
        <f t="shared" ref="P1219:P1282" si="138">SUBSTITUTE(SUBSTITUTE(SUBSTITUTE(F_OutputASCII(O1219),"-","")," ",""),"'","")</f>
        <v/>
      </c>
      <c r="R1219" s="39" t="str">
        <f t="shared" si="132"/>
        <v/>
      </c>
      <c r="S1219" s="28"/>
      <c r="T1219" s="28"/>
      <c r="U1219" s="28"/>
    </row>
    <row r="1220" spans="1:21" s="5" customFormat="1">
      <c r="A1220" s="179" t="s">
        <v>1599</v>
      </c>
      <c r="B1220" s="185" t="s">
        <v>5944</v>
      </c>
      <c r="C1220" s="35" t="str">
        <f t="shared" si="133"/>
        <v>Fur</v>
      </c>
      <c r="E1220" s="40"/>
      <c r="F1220" s="15"/>
      <c r="G1220" s="17"/>
      <c r="H1220" s="10" t="s">
        <v>8563</v>
      </c>
      <c r="I1220" s="4" t="str">
        <f t="shared" si="134"/>
        <v>|Fúr|</v>
      </c>
      <c r="J1220" s="3" t="str">
        <f t="shared" si="135"/>
        <v>|Fur|</v>
      </c>
      <c r="K1220" s="3" t="str">
        <f t="shared" si="136"/>
        <v>Fur</v>
      </c>
      <c r="N1220" s="39" t="str">
        <f t="shared" si="137"/>
        <v/>
      </c>
      <c r="P1220" s="39" t="str">
        <f t="shared" si="138"/>
        <v/>
      </c>
      <c r="R1220" s="39" t="str">
        <f t="shared" ref="R1220:R1283" si="139">SUBSTITUTE(SUBSTITUTE(Q1220,"-","")," ","")</f>
        <v/>
      </c>
      <c r="S1220" s="28"/>
      <c r="T1220" s="28"/>
      <c r="U1220" s="28"/>
    </row>
    <row r="1221" spans="1:21" s="5" customFormat="1">
      <c r="A1221" s="179" t="s">
        <v>1600</v>
      </c>
      <c r="B1221" s="185" t="s">
        <v>94</v>
      </c>
      <c r="C1221" s="35" t="str">
        <f t="shared" si="133"/>
        <v>Furqan</v>
      </c>
      <c r="E1221" s="40"/>
      <c r="F1221" s="14"/>
      <c r="G1221" s="17"/>
      <c r="H1221" s="10" t="s">
        <v>8563</v>
      </c>
      <c r="I1221" s="4" t="str">
        <f t="shared" si="134"/>
        <v>|Furqán|</v>
      </c>
      <c r="J1221" s="3" t="str">
        <f t="shared" si="135"/>
        <v>|Furqan|</v>
      </c>
      <c r="K1221" s="3" t="str">
        <f t="shared" si="136"/>
        <v>Furqan</v>
      </c>
      <c r="N1221" s="39" t="str">
        <f t="shared" si="137"/>
        <v/>
      </c>
      <c r="P1221" s="39" t="str">
        <f t="shared" si="138"/>
        <v/>
      </c>
      <c r="R1221" s="39" t="str">
        <f t="shared" si="139"/>
        <v/>
      </c>
      <c r="S1221" s="28"/>
      <c r="T1221" s="28"/>
      <c r="U1221" s="28"/>
    </row>
    <row r="1222" spans="1:21" s="5" customFormat="1">
      <c r="A1222" s="179" t="s">
        <v>1601</v>
      </c>
      <c r="B1222" s="185" t="s">
        <v>5945</v>
      </c>
      <c r="C1222" s="35" t="str">
        <f t="shared" si="133"/>
        <v>Furu</v>
      </c>
      <c r="E1222" s="40"/>
      <c r="F1222" s="14"/>
      <c r="G1222" s="17"/>
      <c r="H1222" s="10" t="s">
        <v>8563</v>
      </c>
      <c r="I1222" s="4" t="str">
        <f t="shared" si="134"/>
        <v>|Furúʿ|</v>
      </c>
      <c r="J1222" s="3" t="str">
        <f t="shared" si="135"/>
        <v>|Furu'|</v>
      </c>
      <c r="K1222" s="3" t="str">
        <f t="shared" si="136"/>
        <v>Furu</v>
      </c>
      <c r="N1222" s="39" t="str">
        <f t="shared" si="137"/>
        <v/>
      </c>
      <c r="P1222" s="39" t="str">
        <f t="shared" si="138"/>
        <v/>
      </c>
      <c r="R1222" s="39" t="str">
        <f t="shared" si="139"/>
        <v/>
      </c>
      <c r="S1222" s="28"/>
      <c r="T1222" s="28"/>
      <c r="U1222" s="28"/>
    </row>
    <row r="1223" spans="1:21" s="5" customFormat="1">
      <c r="A1223" s="179" t="s">
        <v>1602</v>
      </c>
      <c r="B1223" s="185" t="s">
        <v>5946</v>
      </c>
      <c r="C1223" s="35" t="str">
        <f t="shared" si="133"/>
        <v>Furugh</v>
      </c>
      <c r="E1223" s="40"/>
      <c r="F1223" s="15" t="s">
        <v>1603</v>
      </c>
      <c r="G1223" s="17"/>
      <c r="H1223" s="10" t="s">
        <v>8563</v>
      </c>
      <c r="I1223" s="4" t="str">
        <f t="shared" si="134"/>
        <v>|Furú|</v>
      </c>
      <c r="J1223" s="3" t="str">
        <f t="shared" si="135"/>
        <v>|Furugh|</v>
      </c>
      <c r="K1223" s="3" t="str">
        <f t="shared" si="136"/>
        <v>Furugh</v>
      </c>
      <c r="N1223" s="39" t="str">
        <f t="shared" si="137"/>
        <v/>
      </c>
      <c r="P1223" s="39" t="str">
        <f t="shared" si="138"/>
        <v/>
      </c>
      <c r="R1223" s="39" t="str">
        <f t="shared" si="139"/>
        <v/>
      </c>
      <c r="S1223" s="28"/>
      <c r="T1223" s="28"/>
      <c r="U1223" s="28"/>
    </row>
    <row r="1224" spans="1:21" s="5" customFormat="1">
      <c r="A1224" s="179" t="s">
        <v>1604</v>
      </c>
      <c r="B1224" s="185" t="s">
        <v>5947</v>
      </c>
      <c r="C1224" s="35" t="str">
        <f t="shared" si="133"/>
        <v>Furughi</v>
      </c>
      <c r="E1224" s="40"/>
      <c r="F1224" s="15"/>
      <c r="G1224" s="17"/>
      <c r="H1224" s="10" t="s">
        <v>8563</v>
      </c>
      <c r="I1224" s="4" t="str">
        <f t="shared" si="134"/>
        <v>|Furúí|</v>
      </c>
      <c r="J1224" s="3" t="str">
        <f t="shared" si="135"/>
        <v>|Furughi|</v>
      </c>
      <c r="K1224" s="3" t="str">
        <f t="shared" si="136"/>
        <v>Furughi</v>
      </c>
      <c r="N1224" s="39" t="str">
        <f t="shared" si="137"/>
        <v/>
      </c>
      <c r="P1224" s="39" t="str">
        <f t="shared" si="138"/>
        <v/>
      </c>
      <c r="R1224" s="39" t="str">
        <f t="shared" si="139"/>
        <v/>
      </c>
      <c r="S1224" s="28"/>
      <c r="T1224" s="28"/>
      <c r="U1224" s="28"/>
    </row>
    <row r="1225" spans="1:21" s="5" customFormat="1">
      <c r="A1225" s="179" t="s">
        <v>1605</v>
      </c>
      <c r="B1225" s="185" t="s">
        <v>5948</v>
      </c>
      <c r="C1225" s="35" t="str">
        <f t="shared" si="133"/>
        <v>Furughiyyih</v>
      </c>
      <c r="E1225" s="40"/>
      <c r="F1225" s="14"/>
      <c r="G1225" s="17"/>
      <c r="H1225" s="10" t="s">
        <v>8563</v>
      </c>
      <c r="I1225" s="4" t="str">
        <f t="shared" si="134"/>
        <v>|Furúíyyih|</v>
      </c>
      <c r="J1225" s="3" t="str">
        <f t="shared" si="135"/>
        <v>|Furughiyyih|</v>
      </c>
      <c r="K1225" s="3" t="str">
        <f t="shared" si="136"/>
        <v>Furughiyyih</v>
      </c>
      <c r="N1225" s="39" t="str">
        <f t="shared" si="137"/>
        <v/>
      </c>
      <c r="P1225" s="39" t="str">
        <f t="shared" si="138"/>
        <v/>
      </c>
      <c r="R1225" s="39" t="str">
        <f t="shared" si="139"/>
        <v/>
      </c>
      <c r="S1225" s="28"/>
      <c r="T1225" s="28"/>
      <c r="U1225" s="28"/>
    </row>
    <row r="1226" spans="1:21" s="5" customFormat="1">
      <c r="A1226" s="179" t="s">
        <v>1606</v>
      </c>
      <c r="B1226" s="185" t="s">
        <v>5949</v>
      </c>
      <c r="C1226" s="35" t="str">
        <f t="shared" si="133"/>
        <v>Furutan</v>
      </c>
      <c r="E1226" s="40"/>
      <c r="F1226" s="14"/>
      <c r="G1226" s="17"/>
      <c r="H1226" s="10" t="s">
        <v>8563</v>
      </c>
      <c r="I1226" s="4" t="str">
        <f t="shared" si="134"/>
        <v>|Furútan|</v>
      </c>
      <c r="J1226" s="3" t="str">
        <f t="shared" si="135"/>
        <v>|Furutan|</v>
      </c>
      <c r="K1226" s="3" t="str">
        <f t="shared" si="136"/>
        <v>Furutan</v>
      </c>
      <c r="N1226" s="39" t="str">
        <f t="shared" si="137"/>
        <v/>
      </c>
      <c r="P1226" s="39" t="str">
        <f t="shared" si="138"/>
        <v/>
      </c>
      <c r="R1226" s="39" t="str">
        <f t="shared" si="139"/>
        <v/>
      </c>
      <c r="S1226" s="28"/>
      <c r="T1226" s="28"/>
      <c r="U1226" s="28"/>
    </row>
    <row r="1227" spans="1:21" s="5" customFormat="1">
      <c r="A1227" s="179" t="s">
        <v>1607</v>
      </c>
      <c r="B1227" s="185" t="s">
        <v>5950</v>
      </c>
      <c r="C1227" s="35" t="str">
        <f t="shared" si="133"/>
        <v>FutuhatiMakkiyyih</v>
      </c>
      <c r="E1227" s="40"/>
      <c r="F1227" s="15"/>
      <c r="G1227" s="17"/>
      <c r="H1227" s="10" t="s">
        <v>8563</v>
      </c>
      <c r="I1227" s="4" t="str">
        <f t="shared" si="134"/>
        <v>|Futúḥát-i-Makkíyyih|</v>
      </c>
      <c r="J1227" s="3" t="str">
        <f t="shared" si="135"/>
        <v>|Futuhat-i-Makkiyyih|</v>
      </c>
      <c r="K1227" s="3" t="str">
        <f t="shared" si="136"/>
        <v>Futuhat-i-Makkiyyih</v>
      </c>
      <c r="N1227" s="39" t="str">
        <f t="shared" si="137"/>
        <v/>
      </c>
      <c r="P1227" s="39" t="str">
        <f t="shared" si="138"/>
        <v/>
      </c>
      <c r="R1227" s="39" t="str">
        <f t="shared" si="139"/>
        <v/>
      </c>
      <c r="S1227" s="28"/>
      <c r="T1227" s="28"/>
      <c r="U1227" s="28"/>
    </row>
    <row r="1228" spans="1:21" s="5" customFormat="1">
      <c r="A1228" s="179" t="s">
        <v>1608</v>
      </c>
      <c r="B1228" s="185" t="s">
        <v>5951</v>
      </c>
      <c r="C1228" s="35" t="str">
        <f t="shared" si="133"/>
        <v>Gach</v>
      </c>
      <c r="E1228" s="40"/>
      <c r="F1228" s="15"/>
      <c r="G1228" s="17"/>
      <c r="H1228" s="10" t="s">
        <v>8563</v>
      </c>
      <c r="I1228" s="4" t="str">
        <f t="shared" si="134"/>
        <v>|Ga|</v>
      </c>
      <c r="J1228" s="3" t="str">
        <f t="shared" si="135"/>
        <v>|Gach|</v>
      </c>
      <c r="K1228" s="3" t="str">
        <f t="shared" si="136"/>
        <v>Gach</v>
      </c>
      <c r="N1228" s="39" t="str">
        <f t="shared" si="137"/>
        <v/>
      </c>
      <c r="P1228" s="39" t="str">
        <f t="shared" si="138"/>
        <v/>
      </c>
      <c r="R1228" s="39" t="str">
        <f t="shared" si="139"/>
        <v/>
      </c>
      <c r="S1228" s="28"/>
      <c r="T1228" s="28"/>
      <c r="U1228" s="28"/>
    </row>
    <row r="1229" spans="1:21" s="5" customFormat="1">
      <c r="A1229" s="179" t="s">
        <v>1609</v>
      </c>
      <c r="B1229" s="185" t="s">
        <v>5952</v>
      </c>
      <c r="C1229" s="35" t="str">
        <f t="shared" si="133"/>
        <v>Gaf</v>
      </c>
      <c r="E1229" s="40"/>
      <c r="F1229" s="14"/>
      <c r="G1229" s="17"/>
      <c r="H1229" s="10" t="s">
        <v>8563</v>
      </c>
      <c r="I1229" s="4" t="str">
        <f t="shared" si="134"/>
        <v>|Gáf|</v>
      </c>
      <c r="J1229" s="3" t="str">
        <f t="shared" si="135"/>
        <v>|Gaf|</v>
      </c>
      <c r="K1229" s="3" t="str">
        <f t="shared" si="136"/>
        <v>Gaf</v>
      </c>
      <c r="N1229" s="39" t="str">
        <f t="shared" si="137"/>
        <v/>
      </c>
      <c r="P1229" s="39" t="str">
        <f t="shared" si="138"/>
        <v/>
      </c>
      <c r="R1229" s="39" t="str">
        <f t="shared" si="139"/>
        <v/>
      </c>
      <c r="S1229" s="28"/>
      <c r="T1229" s="28"/>
      <c r="U1229" s="28"/>
    </row>
    <row r="1230" spans="1:21" s="5" customFormat="1">
      <c r="A1230" s="179" t="s">
        <v>1610</v>
      </c>
      <c r="B1230" s="185" t="s">
        <v>5953</v>
      </c>
      <c r="C1230" s="35" t="str">
        <f t="shared" si="133"/>
        <v>Galin</v>
      </c>
      <c r="E1230" s="40"/>
      <c r="F1230" s="17" t="s">
        <v>8978</v>
      </c>
      <c r="H1230" s="10" t="s">
        <v>8563</v>
      </c>
      <c r="I1230" s="4" t="str">
        <f t="shared" si="134"/>
        <v>|Galín|</v>
      </c>
      <c r="J1230" s="3" t="str">
        <f t="shared" si="135"/>
        <v>|Galin|</v>
      </c>
      <c r="K1230" s="3" t="str">
        <f t="shared" si="136"/>
        <v>Galin</v>
      </c>
      <c r="N1230" s="39" t="str">
        <f t="shared" si="137"/>
        <v/>
      </c>
      <c r="P1230" s="39" t="str">
        <f t="shared" si="138"/>
        <v/>
      </c>
      <c r="R1230" s="39" t="str">
        <f t="shared" si="139"/>
        <v/>
      </c>
      <c r="S1230" s="28"/>
      <c r="T1230" s="28"/>
      <c r="U1230" s="28"/>
    </row>
    <row r="1231" spans="1:21" s="5" customFormat="1">
      <c r="A1231" s="179" t="s">
        <v>1611</v>
      </c>
      <c r="B1231" s="185" t="s">
        <v>5954</v>
      </c>
      <c r="C1231" s="35" t="str">
        <f t="shared" si="133"/>
        <v>GandumPakKun</v>
      </c>
      <c r="E1231" s="40"/>
      <c r="F1231" s="14"/>
      <c r="G1231" s="17"/>
      <c r="H1231" s="10" t="s">
        <v>8563</v>
      </c>
      <c r="I1231" s="4" t="str">
        <f t="shared" si="134"/>
        <v>|Gandum-Pák-Kun|</v>
      </c>
      <c r="J1231" s="3" t="str">
        <f t="shared" si="135"/>
        <v>|Gandum-Pak-Kun|</v>
      </c>
      <c r="K1231" s="3" t="str">
        <f t="shared" si="136"/>
        <v>Gandum-Pak-Kun</v>
      </c>
      <c r="N1231" s="39" t="str">
        <f t="shared" si="137"/>
        <v/>
      </c>
      <c r="P1231" s="39" t="str">
        <f t="shared" si="138"/>
        <v/>
      </c>
      <c r="R1231" s="39" t="str">
        <f t="shared" si="139"/>
        <v/>
      </c>
      <c r="S1231" s="28"/>
      <c r="T1231" s="28"/>
      <c r="U1231" s="28"/>
    </row>
    <row r="1232" spans="1:21" s="5" customFormat="1">
      <c r="A1232" s="179" t="s">
        <v>1612</v>
      </c>
      <c r="B1232" s="185" t="s">
        <v>5955</v>
      </c>
      <c r="C1232" s="35" t="str">
        <f t="shared" si="133"/>
        <v>Ganjih</v>
      </c>
      <c r="E1232" s="40"/>
      <c r="F1232" s="14"/>
      <c r="G1232" s="17"/>
      <c r="H1232" s="10" t="s">
        <v>8563</v>
      </c>
      <c r="I1232" s="4" t="str">
        <f t="shared" si="134"/>
        <v>|Ganjih|</v>
      </c>
      <c r="J1232" s="3" t="str">
        <f t="shared" si="135"/>
        <v>|Ganjih|</v>
      </c>
      <c r="K1232" s="3" t="str">
        <f t="shared" si="136"/>
        <v>Ganjih</v>
      </c>
      <c r="N1232" s="39" t="str">
        <f t="shared" si="137"/>
        <v/>
      </c>
      <c r="P1232" s="39" t="str">
        <f t="shared" si="138"/>
        <v/>
      </c>
      <c r="R1232" s="39" t="str">
        <f t="shared" si="139"/>
        <v/>
      </c>
      <c r="S1232" s="28"/>
      <c r="T1232" s="28"/>
      <c r="U1232" s="28"/>
    </row>
    <row r="1233" spans="1:21" s="5" customFormat="1">
      <c r="A1233" s="179" t="s">
        <v>1613</v>
      </c>
      <c r="B1233" s="185" t="s">
        <v>5956</v>
      </c>
      <c r="C1233" s="35" t="str">
        <f t="shared" si="133"/>
        <v>GanjiniyiHududvaAhkam</v>
      </c>
      <c r="E1233" s="40"/>
      <c r="F1233" s="15"/>
      <c r="G1233" s="17"/>
      <c r="H1233" s="10" t="s">
        <v>8563</v>
      </c>
      <c r="I1233" s="4" t="str">
        <f t="shared" si="134"/>
        <v>|Ganjíniy-i-Ḥudúd-va-Aḥkám|</v>
      </c>
      <c r="J1233" s="3" t="str">
        <f t="shared" si="135"/>
        <v>|Ganjiniy-i-Hudud-va-Ahkam|</v>
      </c>
      <c r="K1233" s="3" t="str">
        <f t="shared" si="136"/>
        <v>Ganjiniy-i-Hudud-va-Ahkam</v>
      </c>
      <c r="N1233" s="39" t="str">
        <f t="shared" si="137"/>
        <v/>
      </c>
      <c r="P1233" s="39" t="str">
        <f t="shared" si="138"/>
        <v/>
      </c>
      <c r="R1233" s="39" t="str">
        <f t="shared" si="139"/>
        <v/>
      </c>
      <c r="S1233" s="28"/>
      <c r="T1233" s="28"/>
      <c r="U1233" s="28"/>
    </row>
    <row r="1234" spans="1:21" s="5" customFormat="1">
      <c r="A1234" s="179" t="s">
        <v>1614</v>
      </c>
      <c r="B1234" s="185" t="s">
        <v>5957</v>
      </c>
      <c r="C1234" s="35" t="str">
        <f t="shared" si="133"/>
        <v>Garmsir</v>
      </c>
      <c r="E1234" s="40"/>
      <c r="F1234" s="15"/>
      <c r="G1234" s="17"/>
      <c r="H1234" s="10" t="s">
        <v>8563</v>
      </c>
      <c r="I1234" s="4" t="str">
        <f t="shared" si="134"/>
        <v>|Garmsír|</v>
      </c>
      <c r="J1234" s="3" t="str">
        <f t="shared" si="135"/>
        <v>|Garmsir|</v>
      </c>
      <c r="K1234" s="3" t="str">
        <f t="shared" si="136"/>
        <v>Garmsir</v>
      </c>
      <c r="N1234" s="39" t="str">
        <f t="shared" si="137"/>
        <v/>
      </c>
      <c r="P1234" s="39" t="str">
        <f t="shared" si="138"/>
        <v/>
      </c>
      <c r="R1234" s="39" t="str">
        <f t="shared" si="139"/>
        <v/>
      </c>
      <c r="S1234" s="28"/>
      <c r="T1234" s="28"/>
      <c r="U1234" s="28"/>
    </row>
    <row r="1235" spans="1:21" s="5" customFormat="1">
      <c r="A1235" s="179" t="s">
        <v>1615</v>
      </c>
      <c r="B1235" s="185" t="s">
        <v>5958</v>
      </c>
      <c r="C1235" s="35" t="str">
        <f t="shared" si="133"/>
        <v>Garmsiri</v>
      </c>
      <c r="E1235" s="40"/>
      <c r="F1235" s="14"/>
      <c r="G1235" s="17"/>
      <c r="H1235" s="10" t="s">
        <v>8563</v>
      </c>
      <c r="I1235" s="4" t="str">
        <f t="shared" si="134"/>
        <v>|Garmsírí|</v>
      </c>
      <c r="J1235" s="3" t="str">
        <f t="shared" si="135"/>
        <v>|Garmsiri|</v>
      </c>
      <c r="K1235" s="3" t="str">
        <f t="shared" si="136"/>
        <v>Garmsiri</v>
      </c>
      <c r="N1235" s="39" t="str">
        <f t="shared" si="137"/>
        <v/>
      </c>
      <c r="P1235" s="39" t="str">
        <f t="shared" si="138"/>
        <v/>
      </c>
      <c r="R1235" s="39" t="str">
        <f t="shared" si="139"/>
        <v/>
      </c>
      <c r="S1235" s="28"/>
      <c r="T1235" s="28"/>
      <c r="U1235" s="28"/>
    </row>
    <row r="1236" spans="1:21" s="5" customFormat="1">
      <c r="A1236" s="179" t="s">
        <v>1616</v>
      </c>
      <c r="B1236" s="185" t="s">
        <v>5959</v>
      </c>
      <c r="C1236" s="35" t="str">
        <f t="shared" si="133"/>
        <v>Garrus</v>
      </c>
      <c r="E1236" s="40"/>
      <c r="F1236" s="15" t="s">
        <v>1312</v>
      </c>
      <c r="G1236" s="17"/>
      <c r="H1236" s="10" t="s">
        <v>8563</v>
      </c>
      <c r="I1236" s="4" t="str">
        <f t="shared" si="134"/>
        <v>|Garrús|</v>
      </c>
      <c r="J1236" s="3" t="str">
        <f t="shared" si="135"/>
        <v>|Garrus|</v>
      </c>
      <c r="K1236" s="3" t="str">
        <f t="shared" si="136"/>
        <v>Garrus</v>
      </c>
      <c r="N1236" s="39" t="str">
        <f t="shared" si="137"/>
        <v/>
      </c>
      <c r="P1236" s="39" t="str">
        <f t="shared" si="138"/>
        <v/>
      </c>
      <c r="R1236" s="39" t="str">
        <f t="shared" si="139"/>
        <v/>
      </c>
      <c r="S1236" s="28"/>
      <c r="T1236" s="28"/>
      <c r="U1236" s="28"/>
    </row>
    <row r="1237" spans="1:21" s="5" customFormat="1">
      <c r="A1237" s="179" t="s">
        <v>1617</v>
      </c>
      <c r="B1237" s="185" t="s">
        <v>5960</v>
      </c>
      <c r="C1237" s="35" t="str">
        <f t="shared" si="133"/>
        <v>GavGan</v>
      </c>
      <c r="E1237" s="40"/>
      <c r="F1237" s="14"/>
      <c r="G1237" s="17"/>
      <c r="H1237" s="10" t="s">
        <v>8563</v>
      </c>
      <c r="I1237" s="4" t="str">
        <f t="shared" si="134"/>
        <v>|Gáv-Gán|</v>
      </c>
      <c r="J1237" s="3" t="str">
        <f t="shared" si="135"/>
        <v>|Gav-Gan|</v>
      </c>
      <c r="K1237" s="3" t="str">
        <f t="shared" si="136"/>
        <v>Gav-Gan</v>
      </c>
      <c r="N1237" s="39" t="str">
        <f t="shared" si="137"/>
        <v/>
      </c>
      <c r="P1237" s="39" t="str">
        <f t="shared" si="138"/>
        <v/>
      </c>
      <c r="R1237" s="39" t="str">
        <f t="shared" si="139"/>
        <v/>
      </c>
      <c r="S1237" s="28"/>
      <c r="T1237" s="28"/>
      <c r="U1237" s="28"/>
    </row>
    <row r="1238" spans="1:21" s="5" customFormat="1">
      <c r="A1238" s="179" t="s">
        <v>1618</v>
      </c>
      <c r="B1238" s="185" t="s">
        <v>5961</v>
      </c>
      <c r="C1238" s="35" t="str">
        <f t="shared" si="133"/>
        <v>Gawhar</v>
      </c>
      <c r="E1238" s="40"/>
      <c r="F1238" s="14"/>
      <c r="G1238" s="17"/>
      <c r="H1238" s="10" t="s">
        <v>8563</v>
      </c>
      <c r="I1238" s="4" t="str">
        <f t="shared" si="134"/>
        <v>|Gawhar|</v>
      </c>
      <c r="J1238" s="3" t="str">
        <f t="shared" si="135"/>
        <v>|Gawhar|</v>
      </c>
      <c r="K1238" s="3" t="str">
        <f t="shared" si="136"/>
        <v>Gawhar</v>
      </c>
      <c r="N1238" s="39" t="str">
        <f t="shared" si="137"/>
        <v/>
      </c>
      <c r="P1238" s="39" t="str">
        <f t="shared" si="138"/>
        <v/>
      </c>
      <c r="R1238" s="39" t="str">
        <f t="shared" si="139"/>
        <v/>
      </c>
      <c r="S1238" s="28"/>
      <c r="T1238" s="28"/>
      <c r="U1238" s="28"/>
    </row>
    <row r="1239" spans="1:21" s="5" customFormat="1">
      <c r="A1239" s="179" t="s">
        <v>1619</v>
      </c>
      <c r="B1239" s="185" t="s">
        <v>5962</v>
      </c>
      <c r="C1239" s="35" t="str">
        <f t="shared" si="133"/>
        <v>GawharShad</v>
      </c>
      <c r="E1239" s="40"/>
      <c r="F1239" s="14"/>
      <c r="G1239" s="17"/>
      <c r="H1239" s="10" t="s">
        <v>8563</v>
      </c>
      <c r="I1239" s="4" t="str">
        <f t="shared" si="134"/>
        <v>|Gawhar-ád|</v>
      </c>
      <c r="J1239" s="3" t="str">
        <f t="shared" si="135"/>
        <v>|Gawhar-Shad|</v>
      </c>
      <c r="K1239" s="3" t="str">
        <f t="shared" si="136"/>
        <v>Gawhar-Shad</v>
      </c>
      <c r="N1239" s="39" t="str">
        <f t="shared" si="137"/>
        <v/>
      </c>
      <c r="P1239" s="39" t="str">
        <f t="shared" si="138"/>
        <v/>
      </c>
      <c r="R1239" s="39" t="str">
        <f t="shared" si="139"/>
        <v/>
      </c>
      <c r="S1239" s="28"/>
      <c r="T1239" s="28"/>
      <c r="U1239" s="28"/>
    </row>
    <row r="1240" spans="1:21" s="5" customFormat="1">
      <c r="A1240" s="179" t="s">
        <v>1622</v>
      </c>
      <c r="B1240" s="185" t="s">
        <v>5964</v>
      </c>
      <c r="C1240" s="35" t="str">
        <f t="shared" si="133"/>
        <v>GhadiriKhumm</v>
      </c>
      <c r="E1240" s="40"/>
      <c r="F1240" s="15"/>
      <c r="G1240" s="17"/>
      <c r="H1240" s="10" t="s">
        <v>8563</v>
      </c>
      <c r="I1240" s="4" t="str">
        <f t="shared" si="134"/>
        <v>|adír-i-umm|</v>
      </c>
      <c r="J1240" s="3" t="str">
        <f t="shared" si="135"/>
        <v>|Ghadir-i-Khumm|</v>
      </c>
      <c r="K1240" s="3" t="str">
        <f t="shared" si="136"/>
        <v>Ghadir-i-Khumm</v>
      </c>
      <c r="N1240" s="39" t="str">
        <f t="shared" si="137"/>
        <v/>
      </c>
      <c r="P1240" s="39" t="str">
        <f t="shared" si="138"/>
        <v/>
      </c>
      <c r="R1240" s="39" t="str">
        <f t="shared" si="139"/>
        <v/>
      </c>
      <c r="S1240" s="28"/>
      <c r="T1240" s="28"/>
      <c r="U1240" s="28"/>
    </row>
    <row r="1241" spans="1:21" s="5" customFormat="1">
      <c r="A1241" s="179" t="s">
        <v>1623</v>
      </c>
      <c r="B1241" s="185" t="s">
        <v>5965</v>
      </c>
      <c r="C1241" s="35" t="str">
        <f t="shared" si="133"/>
        <v>Ghaffari</v>
      </c>
      <c r="E1241" s="40"/>
      <c r="F1241" s="15"/>
      <c r="G1241" s="17"/>
      <c r="H1241" s="10" t="s">
        <v>8563</v>
      </c>
      <c r="I1241" s="4" t="str">
        <f t="shared" si="134"/>
        <v>|affárí|</v>
      </c>
      <c r="J1241" s="3" t="str">
        <f t="shared" si="135"/>
        <v>|Ghaffari|</v>
      </c>
      <c r="K1241" s="3" t="str">
        <f t="shared" si="136"/>
        <v>Ghaffari</v>
      </c>
      <c r="N1241" s="39" t="str">
        <f t="shared" si="137"/>
        <v/>
      </c>
      <c r="P1241" s="39" t="str">
        <f t="shared" si="138"/>
        <v/>
      </c>
      <c r="R1241" s="39" t="str">
        <f t="shared" si="139"/>
        <v/>
      </c>
      <c r="S1241" s="28"/>
      <c r="T1241" s="28"/>
      <c r="U1241" s="28"/>
    </row>
    <row r="1242" spans="1:21" s="5" customFormat="1">
      <c r="A1242" s="179" t="s">
        <v>1624</v>
      </c>
      <c r="B1242" s="185" t="s">
        <v>5966</v>
      </c>
      <c r="C1242" s="35" t="str">
        <f t="shared" si="133"/>
        <v>Ghani</v>
      </c>
      <c r="E1242" s="40"/>
      <c r="F1242" s="15"/>
      <c r="G1242" s="17"/>
      <c r="H1242" s="10" t="s">
        <v>8563</v>
      </c>
      <c r="I1242" s="4" t="str">
        <f t="shared" si="134"/>
        <v>|aní|</v>
      </c>
      <c r="J1242" s="3" t="str">
        <f t="shared" si="135"/>
        <v>|Ghani|</v>
      </c>
      <c r="K1242" s="3" t="str">
        <f t="shared" si="136"/>
        <v>Ghani</v>
      </c>
      <c r="N1242" s="39" t="str">
        <f t="shared" si="137"/>
        <v/>
      </c>
      <c r="P1242" s="39" t="str">
        <f t="shared" si="138"/>
        <v/>
      </c>
      <c r="R1242" s="39" t="str">
        <f t="shared" si="139"/>
        <v/>
      </c>
      <c r="S1242" s="28"/>
      <c r="T1242" s="28"/>
      <c r="U1242" s="28"/>
    </row>
    <row r="1243" spans="1:21" s="5" customFormat="1">
      <c r="A1243" s="179" t="s">
        <v>1625</v>
      </c>
      <c r="B1243" s="185" t="s">
        <v>5967</v>
      </c>
      <c r="C1243" s="35" t="str">
        <f t="shared" si="133"/>
        <v>Gharasi</v>
      </c>
      <c r="E1243" s="40"/>
      <c r="F1243" s="14"/>
      <c r="G1243" s="17"/>
      <c r="H1243" s="10" t="s">
        <v>8563</v>
      </c>
      <c r="I1243" s="4" t="str">
        <f t="shared" si="134"/>
        <v>|arasí|</v>
      </c>
      <c r="J1243" s="3" t="str">
        <f t="shared" si="135"/>
        <v>|Gharasi|</v>
      </c>
      <c r="K1243" s="3" t="str">
        <f t="shared" si="136"/>
        <v>Gharasi</v>
      </c>
      <c r="N1243" s="39" t="str">
        <f t="shared" si="137"/>
        <v/>
      </c>
      <c r="P1243" s="39" t="str">
        <f t="shared" si="138"/>
        <v/>
      </c>
      <c r="R1243" s="39" t="str">
        <f t="shared" si="139"/>
        <v/>
      </c>
      <c r="S1243" s="28"/>
      <c r="T1243" s="28"/>
      <c r="U1243" s="28"/>
    </row>
    <row r="1244" spans="1:21" s="5" customFormat="1">
      <c r="A1244" s="179" t="s">
        <v>1626</v>
      </c>
      <c r="B1244" s="185" t="s">
        <v>5968</v>
      </c>
      <c r="C1244" s="35" t="str">
        <f t="shared" si="133"/>
        <v>Gharasih</v>
      </c>
      <c r="E1244" s="40"/>
      <c r="F1244" s="14"/>
      <c r="G1244" s="17"/>
      <c r="H1244" s="10" t="s">
        <v>8563</v>
      </c>
      <c r="I1244" s="4" t="str">
        <f t="shared" si="134"/>
        <v>|arásih|</v>
      </c>
      <c r="J1244" s="3" t="str">
        <f t="shared" si="135"/>
        <v>|Gharasih|</v>
      </c>
      <c r="K1244" s="3" t="str">
        <f t="shared" si="136"/>
        <v>Gharasih</v>
      </c>
      <c r="N1244" s="39" t="str">
        <f t="shared" si="137"/>
        <v/>
      </c>
      <c r="P1244" s="39" t="str">
        <f t="shared" si="138"/>
        <v/>
      </c>
      <c r="R1244" s="39" t="str">
        <f t="shared" si="139"/>
        <v/>
      </c>
      <c r="S1244" s="28"/>
      <c r="T1244" s="28"/>
      <c r="U1244" s="28"/>
    </row>
    <row r="1245" spans="1:21" s="5" customFormat="1">
      <c r="A1245" s="179" t="s">
        <v>1627</v>
      </c>
      <c r="B1245" s="185" t="s">
        <v>5969</v>
      </c>
      <c r="C1245" s="35" t="str">
        <f t="shared" si="133"/>
        <v>Ghariq</v>
      </c>
      <c r="E1245" s="40"/>
      <c r="F1245" s="14"/>
      <c r="G1245" s="17"/>
      <c r="H1245" s="10" t="s">
        <v>8563</v>
      </c>
      <c r="I1245" s="4" t="str">
        <f t="shared" si="134"/>
        <v>|aríq|</v>
      </c>
      <c r="J1245" s="3" t="str">
        <f t="shared" si="135"/>
        <v>|Ghariq|</v>
      </c>
      <c r="K1245" s="3" t="str">
        <f t="shared" si="136"/>
        <v>Ghariq</v>
      </c>
      <c r="N1245" s="39" t="str">
        <f t="shared" si="137"/>
        <v/>
      </c>
      <c r="P1245" s="39" t="str">
        <f t="shared" si="138"/>
        <v/>
      </c>
      <c r="R1245" s="39" t="str">
        <f t="shared" si="139"/>
        <v/>
      </c>
      <c r="S1245" s="28"/>
      <c r="T1245" s="28"/>
      <c r="U1245" s="28"/>
    </row>
    <row r="1246" spans="1:21" s="5" customFormat="1">
      <c r="A1246" s="179" t="s">
        <v>1628</v>
      </c>
      <c r="B1246" s="185" t="s">
        <v>5970</v>
      </c>
      <c r="C1246" s="35" t="str">
        <f t="shared" si="133"/>
        <v>Ghars</v>
      </c>
      <c r="E1246" s="40"/>
      <c r="F1246" s="14"/>
      <c r="G1246" s="17"/>
      <c r="H1246" s="10" t="s">
        <v>8563</v>
      </c>
      <c r="I1246" s="4" t="str">
        <f t="shared" si="134"/>
        <v>|ars|</v>
      </c>
      <c r="J1246" s="3" t="str">
        <f t="shared" si="135"/>
        <v>|Ghars|</v>
      </c>
      <c r="K1246" s="3" t="str">
        <f t="shared" si="136"/>
        <v>Ghars</v>
      </c>
      <c r="N1246" s="39" t="str">
        <f t="shared" si="137"/>
        <v/>
      </c>
      <c r="P1246" s="39" t="str">
        <f t="shared" si="138"/>
        <v/>
      </c>
      <c r="R1246" s="39" t="str">
        <f t="shared" si="139"/>
        <v/>
      </c>
      <c r="S1246" s="28"/>
      <c r="T1246" s="28"/>
      <c r="U1246" s="28"/>
    </row>
    <row r="1247" spans="1:21" s="5" customFormat="1">
      <c r="A1247" s="179" t="s">
        <v>1629</v>
      </c>
      <c r="B1247" s="185" t="s">
        <v>5971</v>
      </c>
      <c r="C1247" s="35" t="str">
        <f t="shared" si="133"/>
        <v>Ghawr</v>
      </c>
      <c r="E1247" s="40"/>
      <c r="F1247" s="14"/>
      <c r="G1247" s="17"/>
      <c r="H1247" s="10" t="s">
        <v>8563</v>
      </c>
      <c r="I1247" s="4" t="str">
        <f t="shared" si="134"/>
        <v>|awr|</v>
      </c>
      <c r="J1247" s="3" t="str">
        <f t="shared" si="135"/>
        <v>|Ghawr|</v>
      </c>
      <c r="K1247" s="3" t="str">
        <f t="shared" si="136"/>
        <v>Ghawr</v>
      </c>
      <c r="N1247" s="39" t="str">
        <f t="shared" si="137"/>
        <v/>
      </c>
      <c r="P1247" s="39" t="str">
        <f t="shared" si="138"/>
        <v/>
      </c>
      <c r="R1247" s="39" t="str">
        <f t="shared" si="139"/>
        <v/>
      </c>
      <c r="S1247" s="28"/>
      <c r="T1247" s="28"/>
      <c r="U1247" s="28"/>
    </row>
    <row r="1248" spans="1:21" s="5" customFormat="1">
      <c r="A1248" s="179" t="s">
        <v>1630</v>
      </c>
      <c r="B1248" s="185" t="s">
        <v>5972</v>
      </c>
      <c r="C1248" s="35" t="str">
        <f t="shared" si="133"/>
        <v>Ghawthiyyih</v>
      </c>
      <c r="E1248" s="40"/>
      <c r="F1248" s="14"/>
      <c r="G1248" s="17"/>
      <c r="H1248" s="10" t="s">
        <v>8563</v>
      </c>
      <c r="I1248" s="4" t="str">
        <f t="shared" si="134"/>
        <v>|awíyyih|</v>
      </c>
      <c r="J1248" s="3" t="str">
        <f t="shared" si="135"/>
        <v>|Ghawthiyyih|</v>
      </c>
      <c r="K1248" s="3" t="str">
        <f t="shared" si="136"/>
        <v>Ghawthiyyih</v>
      </c>
      <c r="N1248" s="39" t="str">
        <f t="shared" si="137"/>
        <v/>
      </c>
      <c r="P1248" s="39" t="str">
        <f t="shared" si="138"/>
        <v/>
      </c>
      <c r="R1248" s="39" t="str">
        <f t="shared" si="139"/>
        <v/>
      </c>
      <c r="S1248" s="28"/>
      <c r="T1248" s="28"/>
      <c r="U1248" s="28"/>
    </row>
    <row r="1249" spans="1:21" s="5" customFormat="1">
      <c r="A1249" s="179" t="s">
        <v>1631</v>
      </c>
      <c r="B1249" s="185" t="s">
        <v>5973</v>
      </c>
      <c r="C1249" s="35" t="str">
        <f t="shared" si="133"/>
        <v>Ghayb</v>
      </c>
      <c r="E1249" s="40"/>
      <c r="F1249" s="15" t="s">
        <v>1632</v>
      </c>
      <c r="G1249" s="17"/>
      <c r="H1249" s="10" t="s">
        <v>8563</v>
      </c>
      <c r="I1249" s="4" t="str">
        <f t="shared" si="134"/>
        <v>|ayb|</v>
      </c>
      <c r="J1249" s="3" t="str">
        <f t="shared" si="135"/>
        <v>|Ghayb|</v>
      </c>
      <c r="K1249" s="3" t="str">
        <f t="shared" si="136"/>
        <v>Ghayb</v>
      </c>
      <c r="N1249" s="39" t="str">
        <f t="shared" si="137"/>
        <v/>
      </c>
      <c r="P1249" s="39" t="str">
        <f t="shared" si="138"/>
        <v/>
      </c>
      <c r="R1249" s="39" t="str">
        <f t="shared" si="139"/>
        <v/>
      </c>
      <c r="S1249" s="28"/>
      <c r="T1249" s="28"/>
      <c r="U1249" s="28"/>
    </row>
    <row r="1250" spans="1:21" s="5" customFormat="1">
      <c r="A1250" s="179" t="s">
        <v>1633</v>
      </c>
      <c r="B1250" s="185" t="s">
        <v>5974</v>
      </c>
      <c r="C1250" s="35" t="str">
        <f t="shared" si="133"/>
        <v>Ghaybat</v>
      </c>
      <c r="E1250" s="40"/>
      <c r="F1250" s="14"/>
      <c r="G1250" s="17"/>
      <c r="H1250" s="10" t="s">
        <v>8563</v>
      </c>
      <c r="I1250" s="4" t="str">
        <f t="shared" si="134"/>
        <v>|aybat|</v>
      </c>
      <c r="J1250" s="3" t="str">
        <f t="shared" si="135"/>
        <v>|Ghaybat|</v>
      </c>
      <c r="K1250" s="3" t="str">
        <f t="shared" si="136"/>
        <v>Ghaybat</v>
      </c>
      <c r="N1250" s="39" t="str">
        <f t="shared" si="137"/>
        <v/>
      </c>
      <c r="P1250" s="39" t="str">
        <f t="shared" si="138"/>
        <v/>
      </c>
      <c r="R1250" s="39" t="str">
        <f t="shared" si="139"/>
        <v/>
      </c>
      <c r="S1250" s="28"/>
      <c r="T1250" s="28"/>
      <c r="U1250" s="28"/>
    </row>
    <row r="1251" spans="1:21" s="5" customFormat="1">
      <c r="A1251" s="179" t="s">
        <v>1634</v>
      </c>
      <c r="B1251" s="185" t="s">
        <v>5975</v>
      </c>
      <c r="C1251" s="35" t="str">
        <f t="shared" si="133"/>
        <v>GhaybatiKubra</v>
      </c>
      <c r="E1251" s="40"/>
      <c r="F1251" s="14"/>
      <c r="G1251" s="17"/>
      <c r="H1251" s="10" t="s">
        <v>8563</v>
      </c>
      <c r="I1251" s="4" t="str">
        <f t="shared" si="134"/>
        <v>|aybat-i-Kubrá|</v>
      </c>
      <c r="J1251" s="3" t="str">
        <f t="shared" si="135"/>
        <v>|Ghaybat-i-Kubra|</v>
      </c>
      <c r="K1251" s="3" t="str">
        <f t="shared" si="136"/>
        <v>Ghaybat-i-Kubra</v>
      </c>
      <c r="N1251" s="39" t="str">
        <f t="shared" si="137"/>
        <v/>
      </c>
      <c r="P1251" s="39" t="str">
        <f t="shared" si="138"/>
        <v/>
      </c>
      <c r="R1251" s="39" t="str">
        <f t="shared" si="139"/>
        <v/>
      </c>
      <c r="S1251" s="28"/>
      <c r="T1251" s="28"/>
      <c r="U1251" s="28"/>
    </row>
    <row r="1252" spans="1:21" s="5" customFormat="1">
      <c r="A1252" s="179" t="s">
        <v>1635</v>
      </c>
      <c r="B1252" s="185" t="s">
        <v>5976</v>
      </c>
      <c r="C1252" s="35" t="str">
        <f t="shared" si="133"/>
        <v>GhaybatiSughra</v>
      </c>
      <c r="E1252" s="40"/>
      <c r="F1252" s="15" t="s">
        <v>1636</v>
      </c>
      <c r="G1252" s="17"/>
      <c r="H1252" s="10" t="s">
        <v>8563</v>
      </c>
      <c r="I1252" s="4" t="str">
        <f t="shared" si="134"/>
        <v>|aybat-i-Ṣurá|</v>
      </c>
      <c r="J1252" s="3" t="str">
        <f t="shared" si="135"/>
        <v>|Ghaybat-i-Sughra|</v>
      </c>
      <c r="K1252" s="3" t="str">
        <f t="shared" si="136"/>
        <v>Ghaybat-i-Sughra</v>
      </c>
      <c r="N1252" s="39" t="str">
        <f t="shared" si="137"/>
        <v/>
      </c>
      <c r="P1252" s="39" t="str">
        <f t="shared" si="138"/>
        <v/>
      </c>
      <c r="R1252" s="39" t="str">
        <f t="shared" si="139"/>
        <v/>
      </c>
      <c r="S1252" s="28"/>
      <c r="T1252" s="28"/>
      <c r="U1252" s="28"/>
    </row>
    <row r="1253" spans="1:21" s="5" customFormat="1">
      <c r="A1253" s="179" t="s">
        <v>1637</v>
      </c>
      <c r="B1253" s="185" t="s">
        <v>5977</v>
      </c>
      <c r="C1253" s="35" t="str">
        <f t="shared" si="133"/>
        <v>GhaybiBaqa</v>
      </c>
      <c r="E1253" s="40"/>
      <c r="F1253" s="15"/>
      <c r="G1253" s="17"/>
      <c r="H1253" s="10" t="s">
        <v>8563</v>
      </c>
      <c r="I1253" s="4" t="str">
        <f t="shared" si="134"/>
        <v>|ayb-i-Baqá|</v>
      </c>
      <c r="J1253" s="3" t="str">
        <f t="shared" si="135"/>
        <v>|Ghayb-i-Baqa|</v>
      </c>
      <c r="K1253" s="3" t="str">
        <f t="shared" si="136"/>
        <v>Ghayb-i-Baqa</v>
      </c>
      <c r="N1253" s="39" t="str">
        <f t="shared" si="137"/>
        <v/>
      </c>
      <c r="P1253" s="39" t="str">
        <f t="shared" si="138"/>
        <v/>
      </c>
      <c r="R1253" s="39" t="str">
        <f t="shared" si="139"/>
        <v/>
      </c>
      <c r="S1253" s="28"/>
      <c r="T1253" s="28"/>
      <c r="U1253" s="28"/>
    </row>
    <row r="1254" spans="1:21" s="5" customFormat="1">
      <c r="A1254" s="179" t="s">
        <v>1638</v>
      </c>
      <c r="B1254" s="185" t="s">
        <v>5978</v>
      </c>
      <c r="C1254" s="35" t="str">
        <f t="shared" si="133"/>
        <v>Ghayn</v>
      </c>
      <c r="E1254" s="40"/>
      <c r="F1254" s="15"/>
      <c r="G1254" s="17"/>
      <c r="H1254" s="10" t="s">
        <v>8563</v>
      </c>
      <c r="I1254" s="4" t="str">
        <f t="shared" si="134"/>
        <v>|ayn|</v>
      </c>
      <c r="J1254" s="3" t="str">
        <f t="shared" si="135"/>
        <v>|Ghayn|</v>
      </c>
      <c r="K1254" s="3" t="str">
        <f t="shared" si="136"/>
        <v>Ghayn</v>
      </c>
      <c r="N1254" s="39" t="str">
        <f t="shared" si="137"/>
        <v/>
      </c>
      <c r="P1254" s="39" t="str">
        <f t="shared" si="138"/>
        <v/>
      </c>
      <c r="R1254" s="39" t="str">
        <f t="shared" si="139"/>
        <v/>
      </c>
      <c r="S1254" s="28"/>
      <c r="T1254" s="28"/>
      <c r="U1254" s="28"/>
    </row>
    <row r="1255" spans="1:21" s="5" customFormat="1">
      <c r="A1255" s="179" t="s">
        <v>1639</v>
      </c>
      <c r="B1255" s="185" t="s">
        <v>5979</v>
      </c>
      <c r="C1255" s="35" t="str">
        <f t="shared" si="133"/>
        <v>Ghazal</v>
      </c>
      <c r="E1255" s="40"/>
      <c r="F1255" s="14"/>
      <c r="G1255" s="17"/>
      <c r="H1255" s="10" t="s">
        <v>8563</v>
      </c>
      <c r="I1255" s="4" t="str">
        <f t="shared" si="134"/>
        <v>|azál|</v>
      </c>
      <c r="J1255" s="3" t="str">
        <f t="shared" si="135"/>
        <v>|Ghazal|</v>
      </c>
      <c r="K1255" s="3" t="str">
        <f t="shared" si="136"/>
        <v>Ghazal</v>
      </c>
      <c r="N1255" s="39" t="str">
        <f t="shared" si="137"/>
        <v/>
      </c>
      <c r="P1255" s="39" t="str">
        <f t="shared" si="138"/>
        <v/>
      </c>
      <c r="R1255" s="39" t="str">
        <f t="shared" si="139"/>
        <v/>
      </c>
      <c r="S1255" s="28"/>
      <c r="T1255" s="28"/>
      <c r="U1255" s="28"/>
    </row>
    <row r="1256" spans="1:21" s="5" customFormat="1">
      <c r="A1256" s="179" t="s">
        <v>1640</v>
      </c>
      <c r="B1256" s="185" t="s">
        <v>5980</v>
      </c>
      <c r="C1256" s="35" t="str">
        <f t="shared" si="133"/>
        <v>Ghazna</v>
      </c>
      <c r="E1256" s="40"/>
      <c r="F1256" s="14"/>
      <c r="G1256" s="17"/>
      <c r="H1256" s="10" t="s">
        <v>8563</v>
      </c>
      <c r="I1256" s="4" t="str">
        <f t="shared" si="134"/>
        <v>|azná|</v>
      </c>
      <c r="J1256" s="3" t="str">
        <f t="shared" si="135"/>
        <v>|Ghazna|</v>
      </c>
      <c r="K1256" s="3" t="str">
        <f t="shared" si="136"/>
        <v>Ghazna</v>
      </c>
      <c r="N1256" s="39" t="str">
        <f t="shared" si="137"/>
        <v/>
      </c>
      <c r="P1256" s="39" t="str">
        <f t="shared" si="138"/>
        <v/>
      </c>
      <c r="R1256" s="39" t="str">
        <f t="shared" si="139"/>
        <v/>
      </c>
      <c r="S1256" s="28"/>
      <c r="T1256" s="28"/>
      <c r="U1256" s="28"/>
    </row>
    <row r="1257" spans="1:21" s="5" customFormat="1">
      <c r="A1257" s="179" t="s">
        <v>1641</v>
      </c>
      <c r="B1257" s="185" t="s">
        <v>5981</v>
      </c>
      <c r="C1257" s="35" t="str">
        <f t="shared" si="133"/>
        <v>Ghaznavi</v>
      </c>
      <c r="E1257" s="40"/>
      <c r="F1257" s="15"/>
      <c r="G1257" s="17"/>
      <c r="H1257" s="10" t="s">
        <v>8563</v>
      </c>
      <c r="I1257" s="4" t="str">
        <f t="shared" si="134"/>
        <v>|aznaví|</v>
      </c>
      <c r="J1257" s="3" t="str">
        <f t="shared" si="135"/>
        <v>|Ghaznavi|</v>
      </c>
      <c r="K1257" s="3" t="str">
        <f t="shared" si="136"/>
        <v>Ghaznavi</v>
      </c>
      <c r="N1257" s="39" t="str">
        <f t="shared" si="137"/>
        <v/>
      </c>
      <c r="P1257" s="39" t="str">
        <f t="shared" si="138"/>
        <v/>
      </c>
      <c r="R1257" s="39" t="str">
        <f t="shared" si="139"/>
        <v/>
      </c>
      <c r="S1257" s="28"/>
      <c r="T1257" s="28"/>
      <c r="U1257" s="28"/>
    </row>
    <row r="1258" spans="1:21" s="5" customFormat="1">
      <c r="A1258" s="179" t="s">
        <v>1642</v>
      </c>
      <c r="B1258" s="185" t="s">
        <v>5982</v>
      </c>
      <c r="C1258" s="35" t="str">
        <f t="shared" si="133"/>
        <v>Ghina</v>
      </c>
      <c r="E1258" s="40"/>
      <c r="F1258" s="15" t="s">
        <v>1643</v>
      </c>
      <c r="G1258" s="17"/>
      <c r="H1258" s="10" t="s">
        <v>8563</v>
      </c>
      <c r="I1258" s="4" t="str">
        <f t="shared" si="134"/>
        <v>|iná|</v>
      </c>
      <c r="J1258" s="3" t="str">
        <f t="shared" si="135"/>
        <v>|Ghina|</v>
      </c>
      <c r="K1258" s="3" t="str">
        <f t="shared" si="136"/>
        <v>Ghina</v>
      </c>
      <c r="N1258" s="39" t="str">
        <f t="shared" si="137"/>
        <v/>
      </c>
      <c r="P1258" s="39" t="str">
        <f t="shared" si="138"/>
        <v/>
      </c>
      <c r="R1258" s="39" t="str">
        <f t="shared" si="139"/>
        <v/>
      </c>
      <c r="S1258" s="28"/>
      <c r="T1258" s="28"/>
      <c r="U1258" s="28"/>
    </row>
    <row r="1259" spans="1:21" s="5" customFormat="1">
      <c r="A1259" s="179" t="s">
        <v>1644</v>
      </c>
      <c r="B1259" s="185" t="s">
        <v>5983</v>
      </c>
      <c r="C1259" s="35" t="str">
        <f t="shared" si="133"/>
        <v>Ghita</v>
      </c>
      <c r="E1259" s="40"/>
      <c r="F1259" s="15"/>
      <c r="G1259" s="17"/>
      <c r="H1259" s="10" t="s">
        <v>8563</v>
      </c>
      <c r="I1259" s="4" t="str">
        <f t="shared" si="134"/>
        <v>|iṭá|</v>
      </c>
      <c r="J1259" s="3" t="str">
        <f t="shared" si="135"/>
        <v>|Ghita|</v>
      </c>
      <c r="K1259" s="3" t="str">
        <f t="shared" si="136"/>
        <v>Ghita</v>
      </c>
      <c r="N1259" s="39" t="str">
        <f t="shared" si="137"/>
        <v/>
      </c>
      <c r="P1259" s="39" t="str">
        <f t="shared" si="138"/>
        <v/>
      </c>
      <c r="R1259" s="39" t="str">
        <f t="shared" si="139"/>
        <v/>
      </c>
      <c r="S1259" s="28"/>
      <c r="T1259" s="28"/>
      <c r="U1259" s="28"/>
    </row>
    <row r="1260" spans="1:21" s="5" customFormat="1">
      <c r="A1260" s="179" t="s">
        <v>1645</v>
      </c>
      <c r="B1260" s="185" t="s">
        <v>8979</v>
      </c>
      <c r="C1260" s="35" t="str">
        <f t="shared" si="133"/>
        <v>Ghiyath</v>
      </c>
      <c r="E1260" s="40"/>
      <c r="F1260" s="15"/>
      <c r="G1260" s="17"/>
      <c r="H1260" s="10" t="s">
        <v>8563</v>
      </c>
      <c r="I1260" s="4" t="str">
        <f t="shared" si="134"/>
        <v>|íyá|</v>
      </c>
      <c r="J1260" s="3" t="str">
        <f t="shared" si="135"/>
        <v>|Ghiyath|</v>
      </c>
      <c r="K1260" s="3" t="str">
        <f t="shared" si="136"/>
        <v>Ghiyath</v>
      </c>
      <c r="N1260" s="39" t="str">
        <f t="shared" si="137"/>
        <v/>
      </c>
      <c r="P1260" s="39" t="str">
        <f t="shared" si="138"/>
        <v/>
      </c>
      <c r="R1260" s="39" t="str">
        <f t="shared" si="139"/>
        <v/>
      </c>
      <c r="S1260" s="28"/>
      <c r="T1260" s="28"/>
      <c r="U1260" s="28"/>
    </row>
    <row r="1261" spans="1:21" s="5" customFormat="1">
      <c r="A1261" s="179" t="s">
        <v>1646</v>
      </c>
      <c r="B1261" s="185" t="s">
        <v>5984</v>
      </c>
      <c r="C1261" s="35" t="str">
        <f t="shared" si="133"/>
        <v>Ghufrani</v>
      </c>
      <c r="E1261" s="40"/>
      <c r="F1261" s="15" t="s">
        <v>8581</v>
      </c>
      <c r="G1261" s="17"/>
      <c r="H1261" s="10" t="s">
        <v>8563</v>
      </c>
      <c r="I1261" s="4" t="str">
        <f t="shared" si="134"/>
        <v>|ufrání|</v>
      </c>
      <c r="J1261" s="3" t="str">
        <f t="shared" si="135"/>
        <v>|Ghufrani|</v>
      </c>
      <c r="K1261" s="3" t="str">
        <f t="shared" si="136"/>
        <v>Ghufrani</v>
      </c>
      <c r="N1261" s="39" t="str">
        <f t="shared" si="137"/>
        <v/>
      </c>
      <c r="P1261" s="39" t="str">
        <f t="shared" si="138"/>
        <v/>
      </c>
      <c r="R1261" s="39" t="str">
        <f t="shared" si="139"/>
        <v/>
      </c>
      <c r="S1261" s="28"/>
      <c r="T1261" s="28"/>
      <c r="U1261" s="28"/>
    </row>
    <row r="1262" spans="1:21" s="5" customFormat="1">
      <c r="A1262" s="179" t="s">
        <v>1647</v>
      </c>
      <c r="B1262" s="185" t="s">
        <v>5985</v>
      </c>
      <c r="C1262" s="35" t="str">
        <f t="shared" si="133"/>
        <v>Ghulam</v>
      </c>
      <c r="E1262" s="40"/>
      <c r="F1262" s="14"/>
      <c r="G1262" s="17"/>
      <c r="H1262" s="10" t="s">
        <v>8563</v>
      </c>
      <c r="I1262" s="4" t="str">
        <f t="shared" si="134"/>
        <v>|ulám|</v>
      </c>
      <c r="J1262" s="3" t="str">
        <f t="shared" si="135"/>
        <v>|Ghulam|</v>
      </c>
      <c r="K1262" s="3" t="str">
        <f t="shared" si="136"/>
        <v>Ghulam</v>
      </c>
      <c r="N1262" s="39" t="str">
        <f t="shared" si="137"/>
        <v/>
      </c>
      <c r="P1262" s="39" t="str">
        <f t="shared" si="138"/>
        <v/>
      </c>
      <c r="R1262" s="39" t="str">
        <f t="shared" si="139"/>
        <v/>
      </c>
      <c r="S1262" s="28"/>
      <c r="T1262" s="28"/>
      <c r="U1262" s="28"/>
    </row>
    <row r="1263" spans="1:21" s="5" customFormat="1">
      <c r="A1263" s="179" t="s">
        <v>1648</v>
      </c>
      <c r="B1263" s="185" t="s">
        <v>5986</v>
      </c>
      <c r="C1263" s="35" t="str">
        <f t="shared" si="133"/>
        <v>GhulamAli</v>
      </c>
      <c r="E1263" s="40"/>
      <c r="F1263" s="14"/>
      <c r="G1263" s="17"/>
      <c r="H1263" s="10" t="s">
        <v>8563</v>
      </c>
      <c r="I1263" s="4" t="str">
        <f t="shared" si="134"/>
        <v>|ulám-ʿAlí|</v>
      </c>
      <c r="J1263" s="3" t="str">
        <f t="shared" si="135"/>
        <v>|Ghulam-'Ali|</v>
      </c>
      <c r="K1263" s="3" t="str">
        <f t="shared" si="136"/>
        <v>Ghulam-Ali</v>
      </c>
      <c r="N1263" s="39" t="str">
        <f t="shared" si="137"/>
        <v/>
      </c>
      <c r="P1263" s="39" t="str">
        <f t="shared" si="138"/>
        <v/>
      </c>
      <c r="R1263" s="39" t="str">
        <f t="shared" si="139"/>
        <v/>
      </c>
      <c r="S1263" s="28"/>
      <c r="T1263" s="28"/>
      <c r="U1263" s="28"/>
    </row>
    <row r="1264" spans="1:21" s="5" customFormat="1">
      <c r="A1264" s="179" t="s">
        <v>1649</v>
      </c>
      <c r="B1264" s="185" t="s">
        <v>5987</v>
      </c>
      <c r="C1264" s="35" t="str">
        <f t="shared" si="133"/>
        <v>GhulamHusayn</v>
      </c>
      <c r="E1264" s="40"/>
      <c r="F1264" s="15"/>
      <c r="G1264" s="17"/>
      <c r="H1264" s="10" t="s">
        <v>8563</v>
      </c>
      <c r="I1264" s="4" t="str">
        <f t="shared" si="134"/>
        <v>|ulám-Ḥusayn|</v>
      </c>
      <c r="J1264" s="3" t="str">
        <f t="shared" si="135"/>
        <v>|Ghulam-Husayn|</v>
      </c>
      <c r="K1264" s="3" t="str">
        <f t="shared" si="136"/>
        <v>Ghulam-Husayn</v>
      </c>
      <c r="N1264" s="39" t="str">
        <f t="shared" si="137"/>
        <v/>
      </c>
      <c r="P1264" s="39" t="str">
        <f t="shared" si="138"/>
        <v/>
      </c>
      <c r="R1264" s="39" t="str">
        <f t="shared" si="139"/>
        <v/>
      </c>
      <c r="S1264" s="28"/>
      <c r="T1264" s="28"/>
      <c r="U1264" s="28"/>
    </row>
    <row r="1265" spans="1:21" s="5" customFormat="1">
      <c r="A1265" s="179" t="s">
        <v>1650</v>
      </c>
      <c r="B1265" s="185" t="s">
        <v>5988</v>
      </c>
      <c r="C1265" s="35" t="str">
        <f t="shared" si="133"/>
        <v>GhulamHusayniShushtari</v>
      </c>
      <c r="E1265" s="40"/>
      <c r="F1265" s="15"/>
      <c r="G1265" s="17"/>
      <c r="H1265" s="10" t="s">
        <v>8563</v>
      </c>
      <c r="I1265" s="4" t="str">
        <f t="shared" si="134"/>
        <v>|ulám-Ḥusayn-i-útarí|</v>
      </c>
      <c r="J1265" s="3" t="str">
        <f t="shared" si="135"/>
        <v>|Ghulam-Husayn-i-Shushtari|</v>
      </c>
      <c r="K1265" s="3" t="str">
        <f t="shared" si="136"/>
        <v>Ghulam-Husayn-i-Shushtari</v>
      </c>
      <c r="N1265" s="39" t="str">
        <f t="shared" si="137"/>
        <v/>
      </c>
      <c r="P1265" s="39" t="str">
        <f t="shared" si="138"/>
        <v/>
      </c>
      <c r="R1265" s="39" t="str">
        <f t="shared" si="139"/>
        <v/>
      </c>
      <c r="S1265" s="28"/>
      <c r="T1265" s="28"/>
      <c r="U1265" s="28"/>
    </row>
    <row r="1266" spans="1:21" s="5" customFormat="1">
      <c r="A1266" s="179" t="s">
        <v>1651</v>
      </c>
      <c r="B1266" s="185" t="s">
        <v>5989</v>
      </c>
      <c r="C1266" s="35" t="str">
        <f t="shared" si="133"/>
        <v>GhulamRida</v>
      </c>
      <c r="E1266" s="40"/>
      <c r="F1266" s="15"/>
      <c r="G1266" s="17"/>
      <c r="H1266" s="10" t="s">
        <v>8563</v>
      </c>
      <c r="I1266" s="4" t="str">
        <f t="shared" si="134"/>
        <v>|ulám-Riḍá|</v>
      </c>
      <c r="J1266" s="3" t="str">
        <f t="shared" si="135"/>
        <v>|Ghulam-Rida|</v>
      </c>
      <c r="K1266" s="3" t="str">
        <f t="shared" si="136"/>
        <v>Ghulam-Rida</v>
      </c>
      <c r="N1266" s="39" t="str">
        <f t="shared" si="137"/>
        <v/>
      </c>
      <c r="P1266" s="39" t="str">
        <f t="shared" si="138"/>
        <v/>
      </c>
      <c r="R1266" s="39" t="str">
        <f t="shared" si="139"/>
        <v/>
      </c>
      <c r="S1266" s="28"/>
      <c r="T1266" s="28"/>
      <c r="U1266" s="28"/>
    </row>
    <row r="1267" spans="1:21" s="5" customFormat="1">
      <c r="A1267" s="179" t="s">
        <v>1652</v>
      </c>
      <c r="B1267" s="185" t="s">
        <v>5990</v>
      </c>
      <c r="C1267" s="35" t="str">
        <f t="shared" si="133"/>
        <v>GhulamRidayiKuchik</v>
      </c>
      <c r="E1267" s="40"/>
      <c r="F1267" s="15"/>
      <c r="G1267" s="17"/>
      <c r="H1267" s="10" t="s">
        <v>8563</v>
      </c>
      <c r="I1267" s="4" t="str">
        <f t="shared" si="134"/>
        <v>|ulám-Riḍáy-i-Kúik|</v>
      </c>
      <c r="J1267" s="3" t="str">
        <f t="shared" si="135"/>
        <v>|Ghulam-Riday-i-Kuchik|</v>
      </c>
      <c r="K1267" s="3" t="str">
        <f t="shared" si="136"/>
        <v>Ghulam-Riday-i-Kuchik</v>
      </c>
      <c r="N1267" s="39" t="str">
        <f t="shared" si="137"/>
        <v/>
      </c>
      <c r="P1267" s="39" t="str">
        <f t="shared" si="138"/>
        <v/>
      </c>
      <c r="R1267" s="39" t="str">
        <f t="shared" si="139"/>
        <v/>
      </c>
      <c r="S1267" s="28"/>
      <c r="T1267" s="28"/>
      <c r="U1267" s="28"/>
    </row>
    <row r="1268" spans="1:21" s="5" customFormat="1">
      <c r="A1268" s="179" t="s">
        <v>1653</v>
      </c>
      <c r="B1268" s="185" t="s">
        <v>5991</v>
      </c>
      <c r="C1268" s="35" t="str">
        <f t="shared" si="133"/>
        <v>GhulamRidayiYazdi</v>
      </c>
      <c r="E1268" s="40"/>
      <c r="F1268" s="15"/>
      <c r="G1268" s="17"/>
      <c r="H1268" s="10" t="s">
        <v>8563</v>
      </c>
      <c r="I1268" s="4" t="str">
        <f t="shared" si="134"/>
        <v>|ulám-Riḍáy-i-Yazdí|</v>
      </c>
      <c r="J1268" s="3" t="str">
        <f t="shared" si="135"/>
        <v>|Ghulam-Riday-i-Yazdi|</v>
      </c>
      <c r="K1268" s="3" t="str">
        <f t="shared" si="136"/>
        <v>Ghulam-Riday-i-Yazdi</v>
      </c>
      <c r="N1268" s="39" t="str">
        <f t="shared" si="137"/>
        <v/>
      </c>
      <c r="P1268" s="39" t="str">
        <f t="shared" si="138"/>
        <v/>
      </c>
      <c r="R1268" s="39" t="str">
        <f t="shared" si="139"/>
        <v/>
      </c>
      <c r="S1268" s="28"/>
      <c r="T1268" s="28"/>
      <c r="U1268" s="28"/>
    </row>
    <row r="1269" spans="1:21" s="5" customFormat="1">
      <c r="A1269" s="179" t="s">
        <v>1654</v>
      </c>
      <c r="B1269" s="185" t="s">
        <v>5992</v>
      </c>
      <c r="C1269" s="35" t="str">
        <f t="shared" si="133"/>
        <v>Ghulamullah</v>
      </c>
      <c r="E1269" s="40"/>
      <c r="F1269" s="15" t="s">
        <v>1655</v>
      </c>
      <c r="G1269" s="17"/>
      <c r="H1269" s="10" t="s">
        <v>8563</v>
      </c>
      <c r="I1269" s="4" t="str">
        <f t="shared" si="134"/>
        <v>|ulámu’lláh|</v>
      </c>
      <c r="J1269" s="3" t="str">
        <f t="shared" si="135"/>
        <v>|Ghulamu'llah|</v>
      </c>
      <c r="K1269" s="3" t="str">
        <f t="shared" si="136"/>
        <v>Ghulamullah</v>
      </c>
      <c r="N1269" s="39" t="str">
        <f t="shared" si="137"/>
        <v/>
      </c>
      <c r="P1269" s="39" t="str">
        <f t="shared" si="138"/>
        <v/>
      </c>
      <c r="R1269" s="39" t="str">
        <f t="shared" si="139"/>
        <v/>
      </c>
      <c r="S1269" s="28"/>
      <c r="T1269" s="28"/>
      <c r="U1269" s="28"/>
    </row>
    <row r="1270" spans="1:21" s="5" customFormat="1">
      <c r="A1270" s="179" t="s">
        <v>1656</v>
      </c>
      <c r="B1270" s="185" t="s">
        <v>5993</v>
      </c>
      <c r="C1270" s="35" t="str">
        <f t="shared" si="133"/>
        <v>Ghurur</v>
      </c>
      <c r="E1270" s="40"/>
      <c r="F1270" s="15" t="s">
        <v>1657</v>
      </c>
      <c r="G1270" s="17"/>
      <c r="H1270" s="10" t="s">
        <v>8563</v>
      </c>
      <c r="I1270" s="4" t="str">
        <f t="shared" si="134"/>
        <v>|urúr|</v>
      </c>
      <c r="J1270" s="3" t="str">
        <f t="shared" si="135"/>
        <v>|Ghurur|</v>
      </c>
      <c r="K1270" s="3" t="str">
        <f t="shared" si="136"/>
        <v>Ghurur</v>
      </c>
      <c r="N1270" s="39" t="str">
        <f t="shared" si="137"/>
        <v/>
      </c>
      <c r="P1270" s="39" t="str">
        <f t="shared" si="138"/>
        <v/>
      </c>
      <c r="R1270" s="39" t="str">
        <f t="shared" si="139"/>
        <v/>
      </c>
      <c r="S1270" s="28"/>
      <c r="T1270" s="28"/>
      <c r="U1270" s="28"/>
    </row>
    <row r="1271" spans="1:21" s="5" customFormat="1">
      <c r="A1271" s="179" t="s">
        <v>1658</v>
      </c>
      <c r="B1271" s="185" t="s">
        <v>5994</v>
      </c>
      <c r="C1271" s="35" t="str">
        <f t="shared" si="133"/>
        <v>Ghusn</v>
      </c>
      <c r="E1271" s="40"/>
      <c r="F1271" s="15"/>
      <c r="G1271" s="17"/>
      <c r="H1271" s="10" t="s">
        <v>8563</v>
      </c>
      <c r="I1271" s="4" t="str">
        <f t="shared" si="134"/>
        <v>|uṣn|</v>
      </c>
      <c r="J1271" s="3" t="str">
        <f t="shared" si="135"/>
        <v>|Ghusn|</v>
      </c>
      <c r="K1271" s="3" t="str">
        <f t="shared" si="136"/>
        <v>Ghusn</v>
      </c>
      <c r="N1271" s="39" t="str">
        <f t="shared" si="137"/>
        <v/>
      </c>
      <c r="P1271" s="39" t="str">
        <f t="shared" si="138"/>
        <v/>
      </c>
      <c r="R1271" s="39" t="str">
        <f t="shared" si="139"/>
        <v/>
      </c>
      <c r="S1271" s="28"/>
      <c r="T1271" s="28"/>
      <c r="U1271" s="28"/>
    </row>
    <row r="1272" spans="1:21" s="5" customFormat="1">
      <c r="A1272" s="179" t="s">
        <v>1659</v>
      </c>
      <c r="B1272" s="185" t="s">
        <v>5995</v>
      </c>
      <c r="C1272" s="35" t="str">
        <f t="shared" si="133"/>
        <v>GhusniAkbar</v>
      </c>
      <c r="E1272" s="40"/>
      <c r="F1272" s="15"/>
      <c r="G1272" s="17"/>
      <c r="H1272" s="10" t="s">
        <v>8563</v>
      </c>
      <c r="I1272" s="4" t="str">
        <f t="shared" si="134"/>
        <v>|uṣn-i-Akbar|</v>
      </c>
      <c r="J1272" s="3" t="str">
        <f t="shared" si="135"/>
        <v>|Ghusn-i-Akbar|</v>
      </c>
      <c r="K1272" s="3" t="str">
        <f t="shared" si="136"/>
        <v>Ghusn-i-Akbar</v>
      </c>
      <c r="N1272" s="39" t="str">
        <f t="shared" si="137"/>
        <v/>
      </c>
      <c r="P1272" s="39" t="str">
        <f t="shared" si="138"/>
        <v/>
      </c>
      <c r="R1272" s="39" t="str">
        <f t="shared" si="139"/>
        <v/>
      </c>
      <c r="S1272" s="28"/>
      <c r="T1272" s="28"/>
      <c r="U1272" s="28"/>
    </row>
    <row r="1273" spans="1:21" s="5" customFormat="1">
      <c r="A1273" s="179" t="s">
        <v>1660</v>
      </c>
      <c r="B1273" s="185" t="s">
        <v>5996</v>
      </c>
      <c r="C1273" s="35" t="str">
        <f t="shared" si="133"/>
        <v>GhusniAnvar</v>
      </c>
      <c r="E1273" s="40"/>
      <c r="F1273" s="15" t="s">
        <v>1661</v>
      </c>
      <c r="G1273" s="17"/>
      <c r="H1273" s="10" t="s">
        <v>8563</v>
      </c>
      <c r="I1273" s="4" t="str">
        <f t="shared" si="134"/>
        <v>|Ghuṣn-i-Anvar|</v>
      </c>
      <c r="J1273" s="3" t="str">
        <f t="shared" si="135"/>
        <v>|Ghusn-i-Anvar|</v>
      </c>
      <c r="K1273" s="3" t="str">
        <f t="shared" si="136"/>
        <v>Ghusn-i-Anvar</v>
      </c>
      <c r="N1273" s="39" t="str">
        <f t="shared" si="137"/>
        <v/>
      </c>
      <c r="P1273" s="39" t="str">
        <f t="shared" si="138"/>
        <v/>
      </c>
      <c r="R1273" s="39" t="str">
        <f t="shared" si="139"/>
        <v/>
      </c>
      <c r="S1273" s="28"/>
      <c r="T1273" s="28"/>
      <c r="U1273" s="28"/>
    </row>
    <row r="1274" spans="1:21" s="5" customFormat="1">
      <c r="A1274" s="179" t="s">
        <v>1662</v>
      </c>
      <c r="B1274" s="185" t="s">
        <v>5997</v>
      </c>
      <c r="C1274" s="35" t="str">
        <f t="shared" si="133"/>
        <v>GhusniAthar</v>
      </c>
      <c r="E1274" s="40"/>
      <c r="F1274" s="15"/>
      <c r="G1274" s="17"/>
      <c r="H1274" s="10" t="s">
        <v>8563</v>
      </c>
      <c r="I1274" s="4" t="str">
        <f t="shared" si="134"/>
        <v>|Ghuṣn-i-Aṭhar|</v>
      </c>
      <c r="J1274" s="3" t="str">
        <f t="shared" si="135"/>
        <v>|Ghusn-i-Athar|</v>
      </c>
      <c r="K1274" s="3" t="str">
        <f t="shared" si="136"/>
        <v>Ghusn-i-Athar</v>
      </c>
      <c r="N1274" s="39" t="str">
        <f t="shared" si="137"/>
        <v/>
      </c>
      <c r="P1274" s="39" t="str">
        <f t="shared" si="138"/>
        <v/>
      </c>
      <c r="R1274" s="39" t="str">
        <f t="shared" si="139"/>
        <v/>
      </c>
      <c r="S1274" s="28"/>
      <c r="T1274" s="28"/>
      <c r="U1274" s="28"/>
    </row>
    <row r="1275" spans="1:21" s="5" customFormat="1">
      <c r="A1275" s="179" t="s">
        <v>1663</v>
      </c>
      <c r="B1275" s="185" t="s">
        <v>5998</v>
      </c>
      <c r="C1275" s="35" t="str">
        <f t="shared" si="133"/>
        <v>GhusniAzam</v>
      </c>
      <c r="E1275" s="40"/>
      <c r="F1275" s="15" t="s">
        <v>1664</v>
      </c>
      <c r="G1275" s="17"/>
      <c r="H1275" s="10" t="s">
        <v>8563</v>
      </c>
      <c r="I1275" s="4" t="str">
        <f t="shared" si="134"/>
        <v>|uṣn-i-Aʿẓám|</v>
      </c>
      <c r="J1275" s="3" t="str">
        <f t="shared" si="135"/>
        <v>|Ghusn-i-A'zam|</v>
      </c>
      <c r="K1275" s="3" t="str">
        <f t="shared" si="136"/>
        <v>Ghusn-i-Azam</v>
      </c>
      <c r="N1275" s="39" t="str">
        <f t="shared" si="137"/>
        <v/>
      </c>
      <c r="P1275" s="39" t="str">
        <f t="shared" si="138"/>
        <v/>
      </c>
      <c r="R1275" s="39" t="str">
        <f t="shared" si="139"/>
        <v/>
      </c>
      <c r="S1275" s="28"/>
      <c r="T1275" s="28"/>
      <c r="U1275" s="28"/>
    </row>
    <row r="1276" spans="1:21" s="5" customFormat="1">
      <c r="A1276" s="179" t="s">
        <v>1665</v>
      </c>
      <c r="B1276" s="185" t="s">
        <v>5999</v>
      </c>
      <c r="C1276" s="35" t="str">
        <f t="shared" si="133"/>
        <v>GhusniMumtaz</v>
      </c>
      <c r="E1276" s="40"/>
      <c r="F1276" s="15" t="s">
        <v>1666</v>
      </c>
      <c r="G1276" s="17"/>
      <c r="H1276" s="10" t="s">
        <v>8563</v>
      </c>
      <c r="I1276" s="4" t="str">
        <f t="shared" si="134"/>
        <v>|uṣn-i-Mumtáz|</v>
      </c>
      <c r="J1276" s="3" t="str">
        <f t="shared" si="135"/>
        <v>|Ghusn-i-Mumtaz|</v>
      </c>
      <c r="K1276" s="3" t="str">
        <f t="shared" si="136"/>
        <v>Ghusn-i-Mumtaz</v>
      </c>
      <c r="N1276" s="39" t="str">
        <f t="shared" si="137"/>
        <v/>
      </c>
      <c r="P1276" s="39" t="str">
        <f t="shared" si="138"/>
        <v/>
      </c>
      <c r="R1276" s="39" t="str">
        <f t="shared" si="139"/>
        <v/>
      </c>
      <c r="S1276" s="28"/>
      <c r="T1276" s="28"/>
      <c r="U1276" s="28"/>
    </row>
    <row r="1277" spans="1:21" s="5" customFormat="1">
      <c r="A1277" s="179" t="s">
        <v>1667</v>
      </c>
      <c r="B1277" s="185" t="s">
        <v>6000</v>
      </c>
      <c r="C1277" s="35" t="str">
        <f t="shared" si="133"/>
        <v>GhusnullahulAthar</v>
      </c>
      <c r="E1277" s="40"/>
      <c r="F1277" s="15" t="s">
        <v>1668</v>
      </c>
      <c r="G1277" s="17"/>
      <c r="H1277" s="10" t="s">
        <v>8563</v>
      </c>
      <c r="I1277" s="4" t="str">
        <f t="shared" si="134"/>
        <v>|uṣnu’lláhu’l-Áár|</v>
      </c>
      <c r="J1277" s="3" t="str">
        <f t="shared" si="135"/>
        <v>|Ghusnu'llahu'l-Athar|</v>
      </c>
      <c r="K1277" s="3" t="str">
        <f t="shared" si="136"/>
        <v>Ghusnullahul-Athar</v>
      </c>
      <c r="N1277" s="39" t="str">
        <f t="shared" si="137"/>
        <v/>
      </c>
      <c r="P1277" s="39" t="str">
        <f t="shared" si="138"/>
        <v/>
      </c>
      <c r="R1277" s="39" t="str">
        <f t="shared" si="139"/>
        <v/>
      </c>
      <c r="S1277" s="28"/>
      <c r="T1277" s="28"/>
      <c r="U1277" s="28"/>
    </row>
    <row r="1278" spans="1:21" s="5" customFormat="1">
      <c r="A1278" s="179" t="s">
        <v>1669</v>
      </c>
      <c r="B1278" s="185" t="s">
        <v>6001</v>
      </c>
      <c r="C1278" s="35" t="str">
        <f t="shared" si="133"/>
        <v>GhusnullahulAzam</v>
      </c>
      <c r="E1278" s="40"/>
      <c r="F1278" s="15" t="s">
        <v>1670</v>
      </c>
      <c r="G1278" s="17"/>
      <c r="H1278" s="10" t="s">
        <v>8563</v>
      </c>
      <c r="I1278" s="4" t="str">
        <f t="shared" si="134"/>
        <v>|uṣnu’lláhu’l-Aʿẓám|</v>
      </c>
      <c r="J1278" s="3" t="str">
        <f t="shared" si="135"/>
        <v>|Ghusnu'llahu'l-A'zam|</v>
      </c>
      <c r="K1278" s="3" t="str">
        <f t="shared" si="136"/>
        <v>Ghusnullahul-Azam</v>
      </c>
      <c r="N1278" s="39" t="str">
        <f t="shared" si="137"/>
        <v/>
      </c>
      <c r="P1278" s="39" t="str">
        <f t="shared" si="138"/>
        <v/>
      </c>
      <c r="R1278" s="39" t="str">
        <f t="shared" si="139"/>
        <v/>
      </c>
      <c r="S1278" s="28"/>
      <c r="T1278" s="28"/>
      <c r="U1278" s="28"/>
    </row>
    <row r="1279" spans="1:21" s="5" customFormat="1">
      <c r="A1279" s="179" t="s">
        <v>1671</v>
      </c>
      <c r="B1279" s="185" t="s">
        <v>6002</v>
      </c>
      <c r="C1279" s="35" t="str">
        <f t="shared" si="133"/>
        <v>Gilan</v>
      </c>
      <c r="E1279" s="40"/>
      <c r="F1279" s="14"/>
      <c r="G1279" s="17"/>
      <c r="H1279" s="10" t="s">
        <v>8563</v>
      </c>
      <c r="I1279" s="4" t="str">
        <f t="shared" si="134"/>
        <v>|Gílán|</v>
      </c>
      <c r="J1279" s="3" t="str">
        <f t="shared" si="135"/>
        <v>|Gilan|</v>
      </c>
      <c r="K1279" s="3" t="str">
        <f t="shared" si="136"/>
        <v>Gilan</v>
      </c>
      <c r="N1279" s="39" t="str">
        <f t="shared" si="137"/>
        <v/>
      </c>
      <c r="P1279" s="39" t="str">
        <f t="shared" si="138"/>
        <v/>
      </c>
      <c r="R1279" s="39" t="str">
        <f t="shared" si="139"/>
        <v/>
      </c>
      <c r="S1279" s="28"/>
      <c r="T1279" s="28"/>
      <c r="U1279" s="28"/>
    </row>
    <row r="1280" spans="1:21" s="5" customFormat="1">
      <c r="A1280" s="179" t="s">
        <v>1672</v>
      </c>
      <c r="B1280" s="185" t="s">
        <v>6003</v>
      </c>
      <c r="C1280" s="35" t="str">
        <f t="shared" si="133"/>
        <v>Gilani</v>
      </c>
      <c r="E1280" s="40"/>
      <c r="F1280" s="15"/>
      <c r="G1280" s="17"/>
      <c r="H1280" s="10" t="s">
        <v>8563</v>
      </c>
      <c r="I1280" s="4" t="str">
        <f t="shared" si="134"/>
        <v>|Gílání|</v>
      </c>
      <c r="J1280" s="3" t="str">
        <f t="shared" si="135"/>
        <v>|Gilani|</v>
      </c>
      <c r="K1280" s="3" t="str">
        <f t="shared" si="136"/>
        <v>Gilani</v>
      </c>
      <c r="N1280" s="39" t="str">
        <f t="shared" si="137"/>
        <v/>
      </c>
      <c r="P1280" s="39" t="str">
        <f t="shared" si="138"/>
        <v/>
      </c>
      <c r="R1280" s="39" t="str">
        <f t="shared" si="139"/>
        <v/>
      </c>
      <c r="S1280" s="28"/>
      <c r="T1280" s="28"/>
      <c r="U1280" s="28"/>
    </row>
    <row r="1281" spans="1:21" s="5" customFormat="1">
      <c r="A1281" s="179" t="s">
        <v>1673</v>
      </c>
      <c r="B1281" s="185" t="s">
        <v>6004</v>
      </c>
      <c r="C1281" s="35" t="str">
        <f t="shared" si="133"/>
        <v>Gildi</v>
      </c>
      <c r="E1281" s="40"/>
      <c r="F1281" s="15"/>
      <c r="G1281" s="17"/>
      <c r="H1281" s="10" t="s">
        <v>8563</v>
      </c>
      <c r="I1281" s="4" t="str">
        <f t="shared" si="134"/>
        <v>|Gildí|</v>
      </c>
      <c r="J1281" s="3" t="str">
        <f t="shared" si="135"/>
        <v>|Gildi|</v>
      </c>
      <c r="K1281" s="3" t="str">
        <f t="shared" si="136"/>
        <v>Gildi</v>
      </c>
      <c r="N1281" s="39" t="str">
        <f t="shared" si="137"/>
        <v/>
      </c>
      <c r="P1281" s="39" t="str">
        <f t="shared" si="138"/>
        <v/>
      </c>
      <c r="R1281" s="39" t="str">
        <f t="shared" si="139"/>
        <v/>
      </c>
      <c r="S1281" s="28"/>
      <c r="T1281" s="28"/>
      <c r="U1281" s="28"/>
    </row>
    <row r="1282" spans="1:21" s="5" customFormat="1">
      <c r="A1282" s="179" t="s">
        <v>1674</v>
      </c>
      <c r="B1282" s="185" t="s">
        <v>6005</v>
      </c>
      <c r="C1282" s="35" t="str">
        <f t="shared" si="133"/>
        <v>Gird</v>
      </c>
      <c r="E1282" s="40"/>
      <c r="F1282" s="15" t="s">
        <v>1675</v>
      </c>
      <c r="G1282" s="17"/>
      <c r="H1282" s="10" t="s">
        <v>8563</v>
      </c>
      <c r="I1282" s="4" t="str">
        <f t="shared" si="134"/>
        <v>|Gird|</v>
      </c>
      <c r="J1282" s="3" t="str">
        <f t="shared" si="135"/>
        <v>|Gird|</v>
      </c>
      <c r="K1282" s="3" t="str">
        <f t="shared" si="136"/>
        <v>Gird</v>
      </c>
      <c r="N1282" s="39" t="str">
        <f t="shared" si="137"/>
        <v/>
      </c>
      <c r="P1282" s="39" t="str">
        <f t="shared" si="138"/>
        <v/>
      </c>
      <c r="R1282" s="39" t="str">
        <f t="shared" si="139"/>
        <v/>
      </c>
      <c r="S1282" s="28"/>
      <c r="T1282" s="28"/>
      <c r="U1282" s="28"/>
    </row>
    <row r="1283" spans="1:21" s="5" customFormat="1">
      <c r="A1283" s="179" t="s">
        <v>1676</v>
      </c>
      <c r="B1283" s="185" t="s">
        <v>166</v>
      </c>
      <c r="C1283" s="35" t="str">
        <f t="shared" ref="C1283:C1346" si="140">SUBSTITUTE(SUBSTITUTE(K1283,"-","")," ","")</f>
        <v>Gul</v>
      </c>
      <c r="E1283" s="40"/>
      <c r="F1283" s="14"/>
      <c r="G1283" s="17"/>
      <c r="H1283" s="10" t="s">
        <v>8563</v>
      </c>
      <c r="I1283" s="4" t="str">
        <f t="shared" ref="I1283:I1346" si="141">CONCATENATE("|",B1283,"|")</f>
        <v>|Gul|</v>
      </c>
      <c r="J1283" s="3" t="str">
        <f t="shared" ref="J1283:J1346" si="142">CONCATENATE("|",F_OutputASCII(B1283),"|")</f>
        <v>|Gul|</v>
      </c>
      <c r="K1283" s="3" t="str">
        <f t="shared" ref="K1283:K1346" si="143">IF(SUBSTITUTE(MID(J1283,2,LEN(J1283)-2),"'","")&lt;&gt;"",SUBSTITUTE(MID(J1283,2,LEN(J1283)-2),"'",""),"ZZZZZ")</f>
        <v>Gul</v>
      </c>
      <c r="N1283" s="39" t="str">
        <f t="shared" ref="N1283:N1346" si="144">SUBSTITUTE(SUBSTITUTE(SUBSTITUTE(F_OutputASCII(M1283),"-","")," ",""),"'","")</f>
        <v/>
      </c>
      <c r="P1283" s="39" t="str">
        <f t="shared" ref="P1283:P1346" si="145">SUBSTITUTE(SUBSTITUTE(SUBSTITUTE(F_OutputASCII(O1283),"-","")," ",""),"'","")</f>
        <v/>
      </c>
      <c r="R1283" s="39" t="str">
        <f t="shared" si="139"/>
        <v/>
      </c>
      <c r="S1283" s="28"/>
      <c r="T1283" s="28"/>
      <c r="U1283" s="28"/>
    </row>
    <row r="1284" spans="1:21" s="5" customFormat="1">
      <c r="A1284" s="179" t="s">
        <v>8981</v>
      </c>
      <c r="B1284" s="185" t="s">
        <v>8980</v>
      </c>
      <c r="C1284" s="35" t="str">
        <f t="shared" si="140"/>
        <v>GuldashtiChamanain</v>
      </c>
      <c r="E1284" s="40"/>
      <c r="F1284" s="15"/>
      <c r="G1284" s="17"/>
      <c r="H1284" s="10" t="s">
        <v>8563</v>
      </c>
      <c r="I1284" s="4" t="str">
        <f t="shared" si="141"/>
        <v>|Guldat-i-aman-á’ín|</v>
      </c>
      <c r="J1284" s="3" t="str">
        <f t="shared" si="142"/>
        <v>|Guldasht-i-Chaman-a'in|</v>
      </c>
      <c r="K1284" s="3" t="str">
        <f t="shared" si="143"/>
        <v>Guldasht-i-Chaman-ain</v>
      </c>
      <c r="N1284" s="39" t="str">
        <f t="shared" si="144"/>
        <v/>
      </c>
      <c r="P1284" s="39" t="str">
        <f t="shared" si="145"/>
        <v/>
      </c>
      <c r="R1284" s="39" t="str">
        <f t="shared" ref="R1284:R1347" si="146">SUBSTITUTE(SUBSTITUTE(Q1284,"-","")," ","")</f>
        <v/>
      </c>
      <c r="S1284" s="28"/>
      <c r="T1284" s="28"/>
      <c r="U1284" s="28"/>
    </row>
    <row r="1285" spans="1:21" s="5" customFormat="1">
      <c r="A1285" s="179" t="s">
        <v>1677</v>
      </c>
      <c r="B1285" s="185" t="s">
        <v>165</v>
      </c>
      <c r="C1285" s="35" t="str">
        <f t="shared" si="140"/>
        <v>Gulistan</v>
      </c>
      <c r="E1285" s="40"/>
      <c r="F1285" s="14"/>
      <c r="G1285" s="17"/>
      <c r="H1285" s="10" t="s">
        <v>8563</v>
      </c>
      <c r="I1285" s="4" t="str">
        <f t="shared" si="141"/>
        <v>|Gulistán|</v>
      </c>
      <c r="J1285" s="3" t="str">
        <f t="shared" si="142"/>
        <v>|Gulistan|</v>
      </c>
      <c r="K1285" s="3" t="str">
        <f t="shared" si="143"/>
        <v>Gulistan</v>
      </c>
      <c r="N1285" s="39" t="str">
        <f t="shared" si="144"/>
        <v/>
      </c>
      <c r="P1285" s="39" t="str">
        <f t="shared" si="145"/>
        <v/>
      </c>
      <c r="R1285" s="39" t="str">
        <f t="shared" si="146"/>
        <v/>
      </c>
      <c r="S1285" s="28"/>
      <c r="T1285" s="28"/>
      <c r="U1285" s="28"/>
    </row>
    <row r="1286" spans="1:21" s="5" customFormat="1">
      <c r="A1286" s="179" t="s">
        <v>1678</v>
      </c>
      <c r="B1286" s="185" t="s">
        <v>6006</v>
      </c>
      <c r="C1286" s="35" t="str">
        <f t="shared" si="140"/>
        <v>GulMuhammad</v>
      </c>
      <c r="E1286" s="40"/>
      <c r="F1286" s="14"/>
      <c r="G1286" s="17"/>
      <c r="H1286" s="10" t="s">
        <v>8563</v>
      </c>
      <c r="I1286" s="4" t="str">
        <f t="shared" si="141"/>
        <v>|Gul-Muḥammad|</v>
      </c>
      <c r="J1286" s="3" t="str">
        <f t="shared" si="142"/>
        <v>|Gul-Muhammad|</v>
      </c>
      <c r="K1286" s="3" t="str">
        <f t="shared" si="143"/>
        <v>Gul-Muhammad</v>
      </c>
      <c r="N1286" s="39" t="str">
        <f t="shared" si="144"/>
        <v/>
      </c>
      <c r="P1286" s="39" t="str">
        <f t="shared" si="145"/>
        <v/>
      </c>
      <c r="R1286" s="39" t="str">
        <f t="shared" si="146"/>
        <v/>
      </c>
      <c r="S1286" s="28"/>
      <c r="T1286" s="28"/>
      <c r="U1286" s="28"/>
    </row>
    <row r="1287" spans="1:21" s="5" customFormat="1">
      <c r="A1287" s="179" t="s">
        <v>1679</v>
      </c>
      <c r="B1287" s="185" t="s">
        <v>6007</v>
      </c>
      <c r="C1287" s="35" t="str">
        <f t="shared" si="140"/>
        <v>Gulmuhammadi</v>
      </c>
      <c r="E1287" s="40"/>
      <c r="F1287" s="15"/>
      <c r="G1287" s="17"/>
      <c r="H1287" s="10" t="s">
        <v>8563</v>
      </c>
      <c r="I1287" s="4" t="str">
        <f t="shared" si="141"/>
        <v>|Gulmuḥammadí|</v>
      </c>
      <c r="J1287" s="3" t="str">
        <f t="shared" si="142"/>
        <v>|Gulmuhammadi|</v>
      </c>
      <c r="K1287" s="3" t="str">
        <f t="shared" si="143"/>
        <v>Gulmuhammadi</v>
      </c>
      <c r="N1287" s="39" t="str">
        <f t="shared" si="144"/>
        <v/>
      </c>
      <c r="P1287" s="39" t="str">
        <f t="shared" si="145"/>
        <v/>
      </c>
      <c r="R1287" s="39" t="str">
        <f t="shared" si="146"/>
        <v/>
      </c>
      <c r="S1287" s="28"/>
      <c r="T1287" s="28"/>
      <c r="U1287" s="28"/>
    </row>
    <row r="1288" spans="1:21" s="5" customFormat="1">
      <c r="A1288" s="179" t="s">
        <v>1680</v>
      </c>
      <c r="B1288" s="185" t="s">
        <v>188</v>
      </c>
      <c r="C1288" s="35" t="str">
        <f t="shared" si="140"/>
        <v>Gulpaygan</v>
      </c>
      <c r="E1288" s="40"/>
      <c r="F1288" s="15" t="s">
        <v>1681</v>
      </c>
      <c r="G1288" s="17"/>
      <c r="H1288" s="10" t="s">
        <v>8563</v>
      </c>
      <c r="I1288" s="4" t="str">
        <f t="shared" si="141"/>
        <v>|Gulpáygán|</v>
      </c>
      <c r="J1288" s="3" t="str">
        <f t="shared" si="142"/>
        <v>|Gulpaygan|</v>
      </c>
      <c r="K1288" s="3" t="str">
        <f t="shared" si="143"/>
        <v>Gulpaygan</v>
      </c>
      <c r="N1288" s="39" t="str">
        <f t="shared" si="144"/>
        <v/>
      </c>
      <c r="P1288" s="39" t="str">
        <f t="shared" si="145"/>
        <v/>
      </c>
      <c r="R1288" s="39" t="str">
        <f t="shared" si="146"/>
        <v/>
      </c>
      <c r="S1288" s="28"/>
      <c r="T1288" s="28"/>
      <c r="U1288" s="28"/>
    </row>
    <row r="1289" spans="1:21" s="5" customFormat="1">
      <c r="A1289" s="179" t="s">
        <v>1682</v>
      </c>
      <c r="B1289" s="185" t="s">
        <v>6008</v>
      </c>
      <c r="C1289" s="35" t="str">
        <f t="shared" si="140"/>
        <v>GulSaba</v>
      </c>
      <c r="E1289" s="40"/>
      <c r="F1289" s="15"/>
      <c r="G1289" s="17"/>
      <c r="H1289" s="10" t="s">
        <v>8563</v>
      </c>
      <c r="I1289" s="4" t="str">
        <f t="shared" si="141"/>
        <v>|Gul-Ṣabá|</v>
      </c>
      <c r="J1289" s="3" t="str">
        <f t="shared" si="142"/>
        <v>|Gul-Saba|</v>
      </c>
      <c r="K1289" s="3" t="str">
        <f t="shared" si="143"/>
        <v>Gul-Saba</v>
      </c>
      <c r="N1289" s="39" t="str">
        <f t="shared" si="144"/>
        <v/>
      </c>
      <c r="P1289" s="39" t="str">
        <f t="shared" si="145"/>
        <v/>
      </c>
      <c r="R1289" s="39" t="str">
        <f t="shared" si="146"/>
        <v/>
      </c>
      <c r="S1289" s="28"/>
      <c r="T1289" s="28"/>
      <c r="U1289" s="28"/>
    </row>
    <row r="1290" spans="1:21" s="5" customFormat="1">
      <c r="A1290" s="179" t="s">
        <v>1683</v>
      </c>
      <c r="B1290" s="185" t="s">
        <v>6009</v>
      </c>
      <c r="C1290" s="35" t="str">
        <f t="shared" si="140"/>
        <v>GulshaniHaqayiq</v>
      </c>
      <c r="E1290" s="40"/>
      <c r="F1290" s="15" t="s">
        <v>1684</v>
      </c>
      <c r="G1290" s="17"/>
      <c r="H1290" s="10" t="s">
        <v>8563</v>
      </c>
      <c r="I1290" s="4" t="str">
        <f t="shared" si="141"/>
        <v>|Gulan-i-Ḥaqáyiq|</v>
      </c>
      <c r="J1290" s="3" t="str">
        <f t="shared" si="142"/>
        <v>|Gulshan-i-Haqayiq|</v>
      </c>
      <c r="K1290" s="3" t="str">
        <f t="shared" si="143"/>
        <v>Gulshan-i-Haqayiq</v>
      </c>
      <c r="N1290" s="39" t="str">
        <f t="shared" si="144"/>
        <v/>
      </c>
      <c r="P1290" s="39" t="str">
        <f t="shared" si="145"/>
        <v/>
      </c>
      <c r="R1290" s="39" t="str">
        <f t="shared" si="146"/>
        <v/>
      </c>
      <c r="S1290" s="28"/>
      <c r="T1290" s="28"/>
      <c r="U1290" s="28"/>
    </row>
    <row r="1291" spans="1:21" s="5" customFormat="1">
      <c r="A1291" s="179" t="s">
        <v>1685</v>
      </c>
      <c r="B1291" s="185" t="s">
        <v>6010</v>
      </c>
      <c r="C1291" s="35" t="str">
        <f t="shared" si="140"/>
        <v>GulzariNaim</v>
      </c>
      <c r="E1291" s="40"/>
      <c r="F1291" s="15"/>
      <c r="G1291" s="17"/>
      <c r="H1291" s="10" t="s">
        <v>8563</v>
      </c>
      <c r="I1291" s="4" t="str">
        <f t="shared" si="141"/>
        <v>|Gulzar-i-Naʿím|</v>
      </c>
      <c r="J1291" s="3" t="str">
        <f t="shared" si="142"/>
        <v>|Gulzar-i-Na'im|</v>
      </c>
      <c r="K1291" s="3" t="str">
        <f t="shared" si="143"/>
        <v>Gulzar-i-Naim</v>
      </c>
      <c r="N1291" s="39" t="str">
        <f t="shared" si="144"/>
        <v/>
      </c>
      <c r="P1291" s="39" t="str">
        <f t="shared" si="145"/>
        <v/>
      </c>
      <c r="R1291" s="39" t="str">
        <f t="shared" si="146"/>
        <v/>
      </c>
      <c r="S1291" s="28"/>
      <c r="T1291" s="28"/>
      <c r="U1291" s="28"/>
    </row>
    <row r="1292" spans="1:21" s="5" customFormat="1">
      <c r="A1292" s="179" t="s">
        <v>1686</v>
      </c>
      <c r="B1292" s="185" t="s">
        <v>6011</v>
      </c>
      <c r="C1292" s="35" t="str">
        <f t="shared" si="140"/>
        <v>Gunjishk</v>
      </c>
      <c r="E1292" s="40"/>
      <c r="F1292" s="14"/>
      <c r="G1292" s="17"/>
      <c r="H1292" s="10" t="s">
        <v>8563</v>
      </c>
      <c r="I1292" s="4" t="str">
        <f t="shared" si="141"/>
        <v>|Gunjik|</v>
      </c>
      <c r="J1292" s="3" t="str">
        <f t="shared" si="142"/>
        <v>|Gunjishk|</v>
      </c>
      <c r="K1292" s="3" t="str">
        <f t="shared" si="143"/>
        <v>Gunjishk</v>
      </c>
      <c r="N1292" s="39" t="str">
        <f t="shared" si="144"/>
        <v/>
      </c>
      <c r="P1292" s="39" t="str">
        <f t="shared" si="145"/>
        <v/>
      </c>
      <c r="R1292" s="39" t="str">
        <f t="shared" si="146"/>
        <v/>
      </c>
      <c r="S1292" s="28"/>
      <c r="T1292" s="28"/>
      <c r="U1292" s="28"/>
    </row>
    <row r="1293" spans="1:21" s="5" customFormat="1">
      <c r="A1293" s="179" t="s">
        <v>1687</v>
      </c>
      <c r="B1293" s="185" t="s">
        <v>6012</v>
      </c>
      <c r="C1293" s="35" t="str">
        <f t="shared" si="140"/>
        <v>Gurgan</v>
      </c>
      <c r="E1293" s="40"/>
      <c r="F1293" s="14"/>
      <c r="G1293" s="17"/>
      <c r="H1293" s="10" t="s">
        <v>8563</v>
      </c>
      <c r="I1293" s="4" t="str">
        <f t="shared" si="141"/>
        <v>|Gurgán|</v>
      </c>
      <c r="J1293" s="3" t="str">
        <f t="shared" si="142"/>
        <v>|Gurgan|</v>
      </c>
      <c r="K1293" s="3" t="str">
        <f t="shared" si="143"/>
        <v>Gurgan</v>
      </c>
      <c r="N1293" s="39" t="str">
        <f t="shared" si="144"/>
        <v/>
      </c>
      <c r="P1293" s="39" t="str">
        <f t="shared" si="145"/>
        <v/>
      </c>
      <c r="R1293" s="39" t="str">
        <f t="shared" si="146"/>
        <v/>
      </c>
      <c r="S1293" s="28"/>
      <c r="T1293" s="28"/>
      <c r="U1293" s="28"/>
    </row>
    <row r="1294" spans="1:21" s="5" customFormat="1">
      <c r="A1294" s="179" t="s">
        <v>1688</v>
      </c>
      <c r="B1294" s="185" t="s">
        <v>6013</v>
      </c>
      <c r="C1294" s="35" t="str">
        <f t="shared" si="140"/>
        <v>Gurgin</v>
      </c>
      <c r="E1294" s="40"/>
      <c r="F1294" s="14"/>
      <c r="G1294" s="17"/>
      <c r="H1294" s="10" t="s">
        <v>8563</v>
      </c>
      <c r="I1294" s="4" t="str">
        <f t="shared" si="141"/>
        <v>|Gurgín|</v>
      </c>
      <c r="J1294" s="3" t="str">
        <f t="shared" si="142"/>
        <v>|Gurgin|</v>
      </c>
      <c r="K1294" s="3" t="str">
        <f t="shared" si="143"/>
        <v>Gurgin</v>
      </c>
      <c r="N1294" s="39" t="str">
        <f t="shared" si="144"/>
        <v/>
      </c>
      <c r="P1294" s="39" t="str">
        <f t="shared" si="145"/>
        <v/>
      </c>
      <c r="R1294" s="39" t="str">
        <f t="shared" si="146"/>
        <v/>
      </c>
      <c r="S1294" s="28"/>
      <c r="T1294" s="28"/>
      <c r="U1294" s="28"/>
    </row>
    <row r="1295" spans="1:21" s="5" customFormat="1">
      <c r="A1295" s="179" t="s">
        <v>1689</v>
      </c>
      <c r="B1295" s="185" t="s">
        <v>6014</v>
      </c>
      <c r="C1295" s="35" t="str">
        <f t="shared" si="140"/>
        <v>Gushtasb</v>
      </c>
      <c r="E1295" s="40"/>
      <c r="F1295" s="15"/>
      <c r="G1295" s="17"/>
      <c r="H1295" s="10" t="s">
        <v>8563</v>
      </c>
      <c r="I1295" s="4" t="str">
        <f t="shared" si="141"/>
        <v>|Gutásb|</v>
      </c>
      <c r="J1295" s="3" t="str">
        <f t="shared" si="142"/>
        <v>|Gushtasb|</v>
      </c>
      <c r="K1295" s="3" t="str">
        <f t="shared" si="143"/>
        <v>Gushtasb</v>
      </c>
      <c r="N1295" s="39" t="str">
        <f t="shared" si="144"/>
        <v/>
      </c>
      <c r="P1295" s="39" t="str">
        <f t="shared" si="145"/>
        <v/>
      </c>
      <c r="R1295" s="39" t="str">
        <f t="shared" si="146"/>
        <v/>
      </c>
      <c r="S1295" s="28"/>
      <c r="T1295" s="28"/>
      <c r="U1295" s="28"/>
    </row>
    <row r="1296" spans="1:21" s="5" customFormat="1">
      <c r="A1296" s="179" t="s">
        <v>1690</v>
      </c>
      <c r="B1296" s="185" t="s">
        <v>6015</v>
      </c>
      <c r="C1296" s="35" t="str">
        <f t="shared" si="140"/>
        <v>Guzal</v>
      </c>
      <c r="E1296" s="40"/>
      <c r="F1296" s="15" t="s">
        <v>1691</v>
      </c>
      <c r="G1296" s="17"/>
      <c r="H1296" s="10" t="s">
        <v>8563</v>
      </c>
      <c r="I1296" s="4" t="str">
        <f t="shared" si="141"/>
        <v>|Guzal|</v>
      </c>
      <c r="J1296" s="3" t="str">
        <f t="shared" si="142"/>
        <v>|Guzal|</v>
      </c>
      <c r="K1296" s="3" t="str">
        <f t="shared" si="143"/>
        <v>Guzal</v>
      </c>
      <c r="N1296" s="39" t="str">
        <f t="shared" si="144"/>
        <v/>
      </c>
      <c r="P1296" s="39" t="str">
        <f t="shared" si="145"/>
        <v/>
      </c>
      <c r="R1296" s="39" t="str">
        <f t="shared" si="146"/>
        <v/>
      </c>
      <c r="S1296" s="28"/>
      <c r="T1296" s="28"/>
      <c r="U1296" s="28"/>
    </row>
    <row r="1297" spans="1:21" s="5" customFormat="1">
      <c r="A1297" s="179" t="s">
        <v>1692</v>
      </c>
      <c r="B1297" s="185" t="s">
        <v>6016</v>
      </c>
      <c r="C1297" s="35" t="str">
        <f t="shared" si="140"/>
        <v>Ha</v>
      </c>
      <c r="E1297" s="40"/>
      <c r="F1297" s="14" t="s">
        <v>1693</v>
      </c>
      <c r="G1297" s="17"/>
      <c r="H1297" s="10" t="s">
        <v>8563</v>
      </c>
      <c r="I1297" s="4" t="str">
        <f t="shared" si="141"/>
        <v>|Há|</v>
      </c>
      <c r="J1297" s="3" t="str">
        <f t="shared" si="142"/>
        <v>|Ha|</v>
      </c>
      <c r="K1297" s="3" t="str">
        <f t="shared" si="143"/>
        <v>Ha</v>
      </c>
      <c r="L1297" s="5" t="s">
        <v>9068</v>
      </c>
      <c r="N1297" s="39" t="str">
        <f t="shared" si="144"/>
        <v/>
      </c>
      <c r="P1297" s="39" t="str">
        <f t="shared" si="145"/>
        <v/>
      </c>
      <c r="R1297" s="39" t="str">
        <f t="shared" si="146"/>
        <v/>
      </c>
      <c r="S1297" s="28"/>
      <c r="T1297" s="28"/>
      <c r="U1297" s="28"/>
    </row>
    <row r="1298" spans="1:21" s="5" customFormat="1">
      <c r="A1298" s="179" t="s">
        <v>1694</v>
      </c>
      <c r="B1298" s="185" t="s">
        <v>6017</v>
      </c>
      <c r="C1298" s="35" t="str">
        <f t="shared" si="140"/>
        <v>Habib</v>
      </c>
      <c r="E1298" s="40"/>
      <c r="F1298" s="14"/>
      <c r="G1298" s="17"/>
      <c r="H1298" s="10" t="s">
        <v>8563</v>
      </c>
      <c r="I1298" s="4" t="str">
        <f t="shared" si="141"/>
        <v>|Ḥabíb|</v>
      </c>
      <c r="J1298" s="3" t="str">
        <f t="shared" si="142"/>
        <v>|Habib|</v>
      </c>
      <c r="K1298" s="3" t="str">
        <f t="shared" si="143"/>
        <v>Habib</v>
      </c>
      <c r="N1298" s="39" t="str">
        <f t="shared" si="144"/>
        <v/>
      </c>
      <c r="P1298" s="39" t="str">
        <f t="shared" si="145"/>
        <v/>
      </c>
      <c r="R1298" s="39" t="str">
        <f t="shared" si="146"/>
        <v/>
      </c>
      <c r="S1298" s="28"/>
      <c r="T1298" s="28"/>
      <c r="U1298" s="28"/>
    </row>
    <row r="1299" spans="1:21" s="5" customFormat="1">
      <c r="A1299" s="179" t="s">
        <v>1695</v>
      </c>
      <c r="B1299" s="185" t="s">
        <v>6018</v>
      </c>
      <c r="C1299" s="35" t="str">
        <f t="shared" si="140"/>
        <v>Habibih</v>
      </c>
      <c r="E1299" s="40"/>
      <c r="F1299" s="15"/>
      <c r="G1299" s="17"/>
      <c r="H1299" s="10" t="s">
        <v>8563</v>
      </c>
      <c r="I1299" s="4" t="str">
        <f t="shared" si="141"/>
        <v>|Ḥabíbih|</v>
      </c>
      <c r="J1299" s="3" t="str">
        <f t="shared" si="142"/>
        <v>|Habibih|</v>
      </c>
      <c r="K1299" s="3" t="str">
        <f t="shared" si="143"/>
        <v>Habibih</v>
      </c>
      <c r="N1299" s="39" t="str">
        <f t="shared" si="144"/>
        <v/>
      </c>
      <c r="P1299" s="39" t="str">
        <f t="shared" si="145"/>
        <v/>
      </c>
      <c r="R1299" s="39" t="str">
        <f t="shared" si="146"/>
        <v/>
      </c>
      <c r="S1299" s="28"/>
      <c r="T1299" s="28"/>
      <c r="U1299" s="28"/>
    </row>
    <row r="1300" spans="1:21" s="5" customFormat="1">
      <c r="A1300" s="179" t="s">
        <v>1696</v>
      </c>
      <c r="B1300" s="185" t="s">
        <v>6019</v>
      </c>
      <c r="C1300" s="35" t="str">
        <f t="shared" si="140"/>
        <v>HabibiShirazi</v>
      </c>
      <c r="E1300" s="40"/>
      <c r="F1300" s="15"/>
      <c r="G1300" s="17"/>
      <c r="H1300" s="10" t="s">
        <v>8563</v>
      </c>
      <c r="I1300" s="4" t="str">
        <f t="shared" si="141"/>
        <v>|Ḥabíb-i-írází|</v>
      </c>
      <c r="J1300" s="3" t="str">
        <f t="shared" si="142"/>
        <v>|Habib-i-Shirazi|</v>
      </c>
      <c r="K1300" s="3" t="str">
        <f t="shared" si="143"/>
        <v>Habib-i-Shirazi</v>
      </c>
      <c r="N1300" s="39" t="str">
        <f t="shared" si="144"/>
        <v/>
      </c>
      <c r="P1300" s="39" t="str">
        <f t="shared" si="145"/>
        <v/>
      </c>
      <c r="R1300" s="39" t="str">
        <f t="shared" si="146"/>
        <v/>
      </c>
      <c r="S1300" s="28"/>
      <c r="T1300" s="28"/>
      <c r="U1300" s="28"/>
    </row>
    <row r="1301" spans="1:21" s="5" customFormat="1">
      <c r="A1301" s="179" t="s">
        <v>1697</v>
      </c>
      <c r="B1301" s="185" t="s">
        <v>6020</v>
      </c>
      <c r="C1301" s="35" t="str">
        <f t="shared" si="140"/>
        <v>Habibullah</v>
      </c>
      <c r="E1301" s="40"/>
      <c r="F1301" s="15"/>
      <c r="G1301" s="17"/>
      <c r="H1301" s="10" t="s">
        <v>8563</v>
      </c>
      <c r="I1301" s="4" t="str">
        <f t="shared" si="141"/>
        <v>|Ḥabíbu’lláh|</v>
      </c>
      <c r="J1301" s="3" t="str">
        <f t="shared" si="142"/>
        <v>|Habibu'llah|</v>
      </c>
      <c r="K1301" s="3" t="str">
        <f t="shared" si="143"/>
        <v>Habibullah</v>
      </c>
      <c r="N1301" s="39" t="str">
        <f t="shared" si="144"/>
        <v/>
      </c>
      <c r="P1301" s="39" t="str">
        <f t="shared" si="145"/>
        <v/>
      </c>
      <c r="R1301" s="39" t="str">
        <f t="shared" si="146"/>
        <v/>
      </c>
      <c r="S1301" s="28"/>
      <c r="T1301" s="28"/>
      <c r="U1301" s="28"/>
    </row>
    <row r="1302" spans="1:21" s="5" customFormat="1">
      <c r="A1302" s="179" t="s">
        <v>1698</v>
      </c>
      <c r="B1302" s="185" t="s">
        <v>6021</v>
      </c>
      <c r="C1302" s="35" t="str">
        <f t="shared" si="140"/>
        <v>HabibullahiIsfahani</v>
      </c>
      <c r="E1302" s="40"/>
      <c r="F1302" s="15"/>
      <c r="G1302" s="17"/>
      <c r="H1302" s="10" t="s">
        <v>8563</v>
      </c>
      <c r="I1302" s="4" t="str">
        <f t="shared" si="141"/>
        <v>|Ḥabíbu’lláh-i-Iṣfahání|</v>
      </c>
      <c r="J1302" s="3" t="str">
        <f t="shared" si="142"/>
        <v>|Habibu'llah-i-Isfahani|</v>
      </c>
      <c r="K1302" s="3" t="str">
        <f t="shared" si="143"/>
        <v>Habibullah-i-Isfahani</v>
      </c>
      <c r="N1302" s="39" t="str">
        <f t="shared" si="144"/>
        <v/>
      </c>
      <c r="P1302" s="39" t="str">
        <f t="shared" si="145"/>
        <v/>
      </c>
      <c r="R1302" s="39" t="str">
        <f t="shared" si="146"/>
        <v/>
      </c>
      <c r="S1302" s="28"/>
      <c r="T1302" s="28"/>
      <c r="U1302" s="28"/>
    </row>
    <row r="1303" spans="1:21" s="5" customFormat="1">
      <c r="A1303" s="179" t="s">
        <v>1699</v>
      </c>
      <c r="B1303" s="185" t="s">
        <v>6022</v>
      </c>
      <c r="C1303" s="35" t="str">
        <f t="shared" si="140"/>
        <v>HablulMatin</v>
      </c>
      <c r="E1303" s="40"/>
      <c r="F1303" s="15"/>
      <c r="G1303" s="17"/>
      <c r="H1303" s="10" t="s">
        <v>8563</v>
      </c>
      <c r="I1303" s="4" t="str">
        <f t="shared" si="141"/>
        <v>|Ḥablu’l-Matín|</v>
      </c>
      <c r="J1303" s="3" t="str">
        <f t="shared" si="142"/>
        <v>|Hablu'l-Matin|</v>
      </c>
      <c r="K1303" s="3" t="str">
        <f t="shared" si="143"/>
        <v>Hablul-Matin</v>
      </c>
      <c r="N1303" s="39" t="str">
        <f t="shared" si="144"/>
        <v/>
      </c>
      <c r="P1303" s="39" t="str">
        <f t="shared" si="145"/>
        <v/>
      </c>
      <c r="R1303" s="39" t="str">
        <f t="shared" si="146"/>
        <v/>
      </c>
      <c r="S1303" s="28"/>
      <c r="T1303" s="28"/>
      <c r="U1303" s="28"/>
    </row>
    <row r="1304" spans="1:21" s="5" customFormat="1">
      <c r="A1304" s="179" t="s">
        <v>1700</v>
      </c>
      <c r="B1304" s="185" t="s">
        <v>6023</v>
      </c>
      <c r="C1304" s="35" t="str">
        <f t="shared" si="140"/>
        <v>Hadba</v>
      </c>
      <c r="E1304" s="40"/>
      <c r="F1304" s="14"/>
      <c r="G1304" s="17"/>
      <c r="H1304" s="10" t="s">
        <v>8563</v>
      </c>
      <c r="I1304" s="4" t="str">
        <f t="shared" si="141"/>
        <v>|Ḥadbá’|</v>
      </c>
      <c r="J1304" s="3" t="str">
        <f t="shared" si="142"/>
        <v>|Hadba'|</v>
      </c>
      <c r="K1304" s="3" t="str">
        <f t="shared" si="143"/>
        <v>Hadba</v>
      </c>
      <c r="N1304" s="39" t="str">
        <f t="shared" si="144"/>
        <v/>
      </c>
      <c r="P1304" s="39" t="str">
        <f t="shared" si="145"/>
        <v/>
      </c>
      <c r="R1304" s="39" t="str">
        <f t="shared" si="146"/>
        <v/>
      </c>
      <c r="S1304" s="28"/>
      <c r="T1304" s="28"/>
      <c r="U1304" s="28"/>
    </row>
    <row r="1305" spans="1:21" s="5" customFormat="1">
      <c r="A1305" s="179" t="s">
        <v>1701</v>
      </c>
      <c r="B1305" s="185" t="s">
        <v>6024</v>
      </c>
      <c r="C1305" s="35" t="str">
        <f t="shared" si="140"/>
        <v>Haddad</v>
      </c>
      <c r="E1305" s="40"/>
      <c r="F1305" s="15"/>
      <c r="G1305" s="17"/>
      <c r="H1305" s="10" t="s">
        <v>8563</v>
      </c>
      <c r="I1305" s="4" t="str">
        <f t="shared" si="141"/>
        <v>|Ḥaddád|</v>
      </c>
      <c r="J1305" s="3" t="str">
        <f t="shared" si="142"/>
        <v>|Haddad|</v>
      </c>
      <c r="K1305" s="3" t="str">
        <f t="shared" si="143"/>
        <v>Haddad</v>
      </c>
      <c r="N1305" s="39" t="str">
        <f t="shared" si="144"/>
        <v/>
      </c>
      <c r="P1305" s="39" t="str">
        <f t="shared" si="145"/>
        <v/>
      </c>
      <c r="R1305" s="39" t="str">
        <f t="shared" si="146"/>
        <v/>
      </c>
      <c r="S1305" s="28"/>
      <c r="T1305" s="28"/>
      <c r="U1305" s="28"/>
    </row>
    <row r="1306" spans="1:21" s="5" customFormat="1">
      <c r="A1306" s="181"/>
      <c r="B1306" s="185" t="s">
        <v>8625</v>
      </c>
      <c r="C1306" s="35" t="str">
        <f t="shared" si="140"/>
        <v>Haddih</v>
      </c>
      <c r="D1306" s="1"/>
      <c r="E1306" s="40"/>
      <c r="F1306" s="12"/>
      <c r="G1306" s="9"/>
      <c r="H1306" s="12" t="s">
        <v>8622</v>
      </c>
      <c r="I1306" s="4" t="str">
        <f t="shared" si="141"/>
        <v>|Ḥaddih|</v>
      </c>
      <c r="J1306" s="3" t="str">
        <f t="shared" si="142"/>
        <v>|Haddih|</v>
      </c>
      <c r="K1306" s="3" t="str">
        <f t="shared" si="143"/>
        <v>Haddih</v>
      </c>
      <c r="N1306" s="39" t="str">
        <f t="shared" si="144"/>
        <v/>
      </c>
      <c r="P1306" s="39" t="str">
        <f t="shared" si="145"/>
        <v/>
      </c>
      <c r="R1306" s="39" t="str">
        <f t="shared" si="146"/>
        <v/>
      </c>
      <c r="S1306" s="29">
        <v>41760</v>
      </c>
      <c r="T1306" s="28"/>
      <c r="U1306" s="28"/>
    </row>
    <row r="1307" spans="1:21" s="5" customFormat="1">
      <c r="A1307" s="179" t="s">
        <v>1702</v>
      </c>
      <c r="B1307" s="185" t="s">
        <v>129</v>
      </c>
      <c r="C1307" s="35" t="str">
        <f t="shared" si="140"/>
        <v>Hadi</v>
      </c>
      <c r="E1307" s="40"/>
      <c r="F1307" s="14"/>
      <c r="G1307" s="17"/>
      <c r="H1307" s="10" t="s">
        <v>8563</v>
      </c>
      <c r="I1307" s="4" t="str">
        <f t="shared" si="141"/>
        <v>|Hádí|</v>
      </c>
      <c r="J1307" s="3" t="str">
        <f t="shared" si="142"/>
        <v>|Hadi|</v>
      </c>
      <c r="K1307" s="3" t="str">
        <f t="shared" si="143"/>
        <v>Hadi</v>
      </c>
      <c r="N1307" s="39" t="str">
        <f t="shared" si="144"/>
        <v/>
      </c>
      <c r="P1307" s="39" t="str">
        <f t="shared" si="145"/>
        <v/>
      </c>
      <c r="R1307" s="39" t="str">
        <f t="shared" si="146"/>
        <v/>
      </c>
      <c r="S1307" s="28"/>
      <c r="T1307" s="28"/>
      <c r="U1307" s="28"/>
    </row>
    <row r="1308" spans="1:21" s="5" customFormat="1">
      <c r="A1308" s="179" t="s">
        <v>1703</v>
      </c>
      <c r="B1308" s="185" t="s">
        <v>6025</v>
      </c>
      <c r="C1308" s="35" t="str">
        <f t="shared" si="140"/>
        <v>HadiqaturRahman</v>
      </c>
      <c r="E1308" s="40"/>
      <c r="F1308" s="15" t="s">
        <v>1704</v>
      </c>
      <c r="G1308" s="17"/>
      <c r="H1308" s="10" t="s">
        <v>8563</v>
      </c>
      <c r="I1308" s="4" t="str">
        <f t="shared" si="141"/>
        <v>|Ḥadíqatu’r-Raḥmán|</v>
      </c>
      <c r="J1308" s="3" t="str">
        <f t="shared" si="142"/>
        <v>|Hadiqatu'r-Rahman|</v>
      </c>
      <c r="K1308" s="3" t="str">
        <f t="shared" si="143"/>
        <v>Hadiqatur-Rahman</v>
      </c>
      <c r="N1308" s="39" t="str">
        <f t="shared" si="144"/>
        <v/>
      </c>
      <c r="P1308" s="39" t="str">
        <f t="shared" si="145"/>
        <v/>
      </c>
      <c r="R1308" s="39" t="str">
        <f t="shared" si="146"/>
        <v/>
      </c>
      <c r="S1308" s="28"/>
      <c r="T1308" s="28"/>
      <c r="U1308" s="28"/>
    </row>
    <row r="1309" spans="1:21" s="5" customFormat="1">
      <c r="A1309" s="179" t="s">
        <v>1705</v>
      </c>
      <c r="B1309" s="185" t="s">
        <v>6026</v>
      </c>
      <c r="C1309" s="35" t="str">
        <f t="shared" si="140"/>
        <v>Hadith</v>
      </c>
      <c r="E1309" s="40"/>
      <c r="F1309" s="14" t="s">
        <v>1706</v>
      </c>
      <c r="G1309" s="17"/>
      <c r="H1309" s="10" t="s">
        <v>8563</v>
      </c>
      <c r="I1309" s="4" t="str">
        <f t="shared" si="141"/>
        <v>|Ḥadí|</v>
      </c>
      <c r="J1309" s="3" t="str">
        <f t="shared" si="142"/>
        <v>|Hadith|</v>
      </c>
      <c r="K1309" s="3" t="str">
        <f t="shared" si="143"/>
        <v>Hadith</v>
      </c>
      <c r="N1309" s="39" t="str">
        <f t="shared" si="144"/>
        <v/>
      </c>
      <c r="P1309" s="39" t="str">
        <f t="shared" si="145"/>
        <v/>
      </c>
      <c r="R1309" s="39" t="str">
        <f t="shared" si="146"/>
        <v/>
      </c>
      <c r="S1309" s="28"/>
      <c r="T1309" s="29">
        <v>41796</v>
      </c>
      <c r="U1309" s="28" t="s">
        <v>9374</v>
      </c>
    </row>
    <row r="1310" spans="1:21" s="5" customFormat="1">
      <c r="A1310" s="179" t="s">
        <v>1707</v>
      </c>
      <c r="B1310" s="185" t="s">
        <v>6027</v>
      </c>
      <c r="C1310" s="35" t="str">
        <f t="shared" si="140"/>
        <v>HadithiJabir</v>
      </c>
      <c r="E1310" s="40"/>
      <c r="F1310" s="15"/>
      <c r="G1310" s="17"/>
      <c r="H1310" s="10" t="s">
        <v>8563</v>
      </c>
      <c r="I1310" s="4" t="str">
        <f t="shared" si="141"/>
        <v>|Ḥadí-i-Jábir|</v>
      </c>
      <c r="J1310" s="3" t="str">
        <f t="shared" si="142"/>
        <v>|Hadith-i-Jabir|</v>
      </c>
      <c r="K1310" s="3" t="str">
        <f t="shared" si="143"/>
        <v>Hadith-i-Jabir</v>
      </c>
      <c r="N1310" s="39" t="str">
        <f t="shared" si="144"/>
        <v/>
      </c>
      <c r="P1310" s="39" t="str">
        <f t="shared" si="145"/>
        <v/>
      </c>
      <c r="R1310" s="39" t="str">
        <f t="shared" si="146"/>
        <v/>
      </c>
      <c r="S1310" s="28"/>
      <c r="T1310" s="28"/>
      <c r="U1310" s="28"/>
    </row>
    <row r="1311" spans="1:21" s="5" customFormat="1">
      <c r="A1311" s="179" t="s">
        <v>1708</v>
      </c>
      <c r="B1311" s="185" t="s">
        <v>6028</v>
      </c>
      <c r="C1311" s="35" t="str">
        <f t="shared" si="140"/>
        <v>HadiyiDawlatAbadi</v>
      </c>
      <c r="E1311" s="40"/>
      <c r="F1311" s="14"/>
      <c r="G1311" s="17"/>
      <c r="H1311" s="10" t="s">
        <v>8563</v>
      </c>
      <c r="I1311" s="4" t="str">
        <f t="shared" si="141"/>
        <v>|Hádíy-i-Dawlat-Ábádí|</v>
      </c>
      <c r="J1311" s="3" t="str">
        <f t="shared" si="142"/>
        <v>|Hadiy-i-Dawlat-Abadi|</v>
      </c>
      <c r="K1311" s="3" t="str">
        <f t="shared" si="143"/>
        <v>Hadiy-i-Dawlat-Abadi</v>
      </c>
      <c r="N1311" s="39" t="str">
        <f t="shared" si="144"/>
        <v/>
      </c>
      <c r="P1311" s="39" t="str">
        <f t="shared" si="145"/>
        <v/>
      </c>
      <c r="R1311" s="39" t="str">
        <f t="shared" si="146"/>
        <v/>
      </c>
      <c r="S1311" s="28"/>
      <c r="T1311" s="28"/>
      <c r="U1311" s="28"/>
    </row>
    <row r="1312" spans="1:21" s="5" customFormat="1">
      <c r="A1312" s="179" t="s">
        <v>1709</v>
      </c>
      <c r="B1312" s="185" t="s">
        <v>6029</v>
      </c>
      <c r="C1312" s="35" t="str">
        <f t="shared" si="140"/>
        <v>HadiyiFarhadi</v>
      </c>
      <c r="E1312" s="40"/>
      <c r="F1312" s="14"/>
      <c r="G1312" s="17"/>
      <c r="H1312" s="10" t="s">
        <v>8563</v>
      </c>
      <c r="I1312" s="4" t="str">
        <f t="shared" si="141"/>
        <v>|Hádíy-i-Farhádí|</v>
      </c>
      <c r="J1312" s="3" t="str">
        <f t="shared" si="142"/>
        <v>|Hadiy-i-Farhadi|</v>
      </c>
      <c r="K1312" s="3" t="str">
        <f t="shared" si="143"/>
        <v>Hadiy-i-Farhadi</v>
      </c>
      <c r="N1312" s="39" t="str">
        <f t="shared" si="144"/>
        <v/>
      </c>
      <c r="P1312" s="39" t="str">
        <f t="shared" si="145"/>
        <v/>
      </c>
      <c r="R1312" s="39" t="str">
        <f t="shared" si="146"/>
        <v/>
      </c>
      <c r="S1312" s="28"/>
      <c r="T1312" s="28"/>
      <c r="U1312" s="28"/>
    </row>
    <row r="1313" spans="1:21" s="5" customFormat="1">
      <c r="A1313" s="179" t="s">
        <v>1710</v>
      </c>
      <c r="B1313" s="185" t="s">
        <v>6030</v>
      </c>
      <c r="C1313" s="35" t="str">
        <f t="shared" si="140"/>
        <v>HadiyiNahri</v>
      </c>
      <c r="E1313" s="40"/>
      <c r="F1313" s="14"/>
      <c r="G1313" s="17"/>
      <c r="H1313" s="10" t="s">
        <v>8563</v>
      </c>
      <c r="I1313" s="4" t="str">
        <f t="shared" si="141"/>
        <v>|Hádíy-i-Nahrí|</v>
      </c>
      <c r="J1313" s="3" t="str">
        <f t="shared" si="142"/>
        <v>|Hadiy-i-Nahri|</v>
      </c>
      <c r="K1313" s="3" t="str">
        <f t="shared" si="143"/>
        <v>Hadiy-i-Nahri</v>
      </c>
      <c r="N1313" s="39" t="str">
        <f t="shared" si="144"/>
        <v/>
      </c>
      <c r="P1313" s="39" t="str">
        <f t="shared" si="145"/>
        <v/>
      </c>
      <c r="R1313" s="39" t="str">
        <f t="shared" si="146"/>
        <v/>
      </c>
      <c r="S1313" s="28"/>
      <c r="T1313" s="28"/>
      <c r="U1313" s="28"/>
    </row>
    <row r="1314" spans="1:21" s="5" customFormat="1">
      <c r="A1314" s="179" t="s">
        <v>1711</v>
      </c>
      <c r="B1314" s="185" t="s">
        <v>6031</v>
      </c>
      <c r="C1314" s="35" t="str">
        <f t="shared" si="140"/>
        <v>HadiyiQazvini</v>
      </c>
      <c r="E1314" s="40"/>
      <c r="F1314" s="14"/>
      <c r="G1314" s="17"/>
      <c r="H1314" s="10" t="s">
        <v>8563</v>
      </c>
      <c r="I1314" s="4" t="str">
        <f t="shared" si="141"/>
        <v>|Hádíy-i-Qazvíní|</v>
      </c>
      <c r="J1314" s="3" t="str">
        <f t="shared" si="142"/>
        <v>|Hadiy-i-Qazvini|</v>
      </c>
      <c r="K1314" s="3" t="str">
        <f t="shared" si="143"/>
        <v>Hadiy-i-Qazvini</v>
      </c>
      <c r="N1314" s="39" t="str">
        <f t="shared" si="144"/>
        <v/>
      </c>
      <c r="P1314" s="39" t="str">
        <f t="shared" si="145"/>
        <v/>
      </c>
      <c r="R1314" s="39" t="str">
        <f t="shared" si="146"/>
        <v/>
      </c>
      <c r="S1314" s="28"/>
      <c r="T1314" s="28"/>
      <c r="U1314" s="28"/>
    </row>
    <row r="1315" spans="1:21" s="5" customFormat="1">
      <c r="A1315" s="179" t="s">
        <v>1712</v>
      </c>
      <c r="B1315" s="185" t="s">
        <v>6032</v>
      </c>
      <c r="C1315" s="35" t="str">
        <f t="shared" si="140"/>
        <v>Hadrat</v>
      </c>
      <c r="E1315" s="40"/>
      <c r="F1315" s="14" t="s">
        <v>1713</v>
      </c>
      <c r="G1315" s="17"/>
      <c r="H1315" s="10" t="s">
        <v>8563</v>
      </c>
      <c r="I1315" s="4" t="str">
        <f t="shared" si="141"/>
        <v>|Ḥaḍrat|</v>
      </c>
      <c r="J1315" s="3" t="str">
        <f t="shared" si="142"/>
        <v>|Hadrat|</v>
      </c>
      <c r="K1315" s="3" t="str">
        <f t="shared" si="143"/>
        <v>Hadrat</v>
      </c>
      <c r="N1315" s="39" t="str">
        <f t="shared" si="144"/>
        <v/>
      </c>
      <c r="P1315" s="39" t="str">
        <f t="shared" si="145"/>
        <v/>
      </c>
      <c r="R1315" s="39" t="str">
        <f t="shared" si="146"/>
        <v/>
      </c>
      <c r="S1315" s="28"/>
      <c r="T1315" s="28"/>
      <c r="U1315" s="28"/>
    </row>
    <row r="1316" spans="1:21" s="5" customFormat="1">
      <c r="A1316" s="179" t="s">
        <v>1714</v>
      </c>
      <c r="B1316" s="185" t="s">
        <v>6033</v>
      </c>
      <c r="C1316" s="35" t="str">
        <f t="shared" si="140"/>
        <v>HadratiAla</v>
      </c>
      <c r="E1316" s="40"/>
      <c r="F1316" s="14"/>
      <c r="G1316" s="9"/>
      <c r="H1316" s="10" t="s">
        <v>8563</v>
      </c>
      <c r="I1316" s="4" t="str">
        <f t="shared" si="141"/>
        <v>|Ḥaḍrat-i-Aʿlá|</v>
      </c>
      <c r="J1316" s="3" t="str">
        <f t="shared" si="142"/>
        <v>|Hadrat-i-A'la|</v>
      </c>
      <c r="K1316" s="3" t="str">
        <f t="shared" si="143"/>
        <v>Hadrat-i-Ala</v>
      </c>
      <c r="N1316" s="39" t="str">
        <f t="shared" si="144"/>
        <v/>
      </c>
      <c r="P1316" s="39" t="str">
        <f t="shared" si="145"/>
        <v/>
      </c>
      <c r="R1316" s="39" t="str">
        <f t="shared" si="146"/>
        <v/>
      </c>
      <c r="S1316" s="28"/>
      <c r="T1316" s="28"/>
      <c r="U1316" s="28"/>
    </row>
    <row r="1317" spans="1:21" s="5" customFormat="1">
      <c r="A1317" s="179" t="s">
        <v>1715</v>
      </c>
      <c r="B1317" s="185" t="s">
        <v>6034</v>
      </c>
      <c r="C1317" s="35" t="str">
        <f t="shared" si="140"/>
        <v>HadratiBahaullah</v>
      </c>
      <c r="E1317" s="40"/>
      <c r="F1317" s="15"/>
      <c r="G1317" s="17"/>
      <c r="H1317" s="10" t="s">
        <v>8563</v>
      </c>
      <c r="I1317" s="4" t="str">
        <f t="shared" si="141"/>
        <v>|Ḥaḍrat-i-Bahá’u’lláh|</v>
      </c>
      <c r="J1317" s="3" t="str">
        <f t="shared" si="142"/>
        <v>|Hadrat-i-Baha'u'llah|</v>
      </c>
      <c r="K1317" s="3" t="str">
        <f t="shared" si="143"/>
        <v>Hadrat-i-Bahaullah</v>
      </c>
      <c r="N1317" s="39" t="str">
        <f t="shared" si="144"/>
        <v/>
      </c>
      <c r="P1317" s="39" t="str">
        <f t="shared" si="145"/>
        <v/>
      </c>
      <c r="R1317" s="39" t="str">
        <f t="shared" si="146"/>
        <v/>
      </c>
      <c r="S1317" s="28"/>
      <c r="T1317" s="28"/>
      <c r="U1317" s="28"/>
    </row>
    <row r="1318" spans="1:21" s="5" customFormat="1">
      <c r="A1318" s="179" t="s">
        <v>1716</v>
      </c>
      <c r="B1318" s="185" t="s">
        <v>6035</v>
      </c>
      <c r="C1318" s="35" t="str">
        <f t="shared" si="140"/>
        <v>HadratiMubashshir</v>
      </c>
      <c r="E1318" s="40"/>
      <c r="F1318" s="15" t="s">
        <v>1717</v>
      </c>
      <c r="G1318" s="17"/>
      <c r="H1318" s="10" t="s">
        <v>8563</v>
      </c>
      <c r="I1318" s="4" t="str">
        <f t="shared" si="141"/>
        <v>|Ḥaḍrat-i-Mubair|</v>
      </c>
      <c r="J1318" s="3" t="str">
        <f t="shared" si="142"/>
        <v>|Hadrat-i-Mubashshir|</v>
      </c>
      <c r="K1318" s="3" t="str">
        <f t="shared" si="143"/>
        <v>Hadrat-i-Mubashshir</v>
      </c>
      <c r="N1318" s="39" t="str">
        <f t="shared" si="144"/>
        <v/>
      </c>
      <c r="P1318" s="39" t="str">
        <f t="shared" si="145"/>
        <v/>
      </c>
      <c r="R1318" s="39" t="str">
        <f t="shared" si="146"/>
        <v/>
      </c>
      <c r="S1318" s="28"/>
      <c r="T1318" s="28"/>
      <c r="U1318" s="28"/>
    </row>
    <row r="1319" spans="1:21" s="5" customFormat="1">
      <c r="A1319" s="179" t="s">
        <v>1718</v>
      </c>
      <c r="B1319" s="185" t="s">
        <v>6036</v>
      </c>
      <c r="C1319" s="35" t="str">
        <f t="shared" si="140"/>
        <v>HadratiNuqtiyiBayan</v>
      </c>
      <c r="E1319" s="40"/>
      <c r="F1319" s="15"/>
      <c r="G1319" s="17"/>
      <c r="H1319" s="10" t="s">
        <v>8563</v>
      </c>
      <c r="I1319" s="4" t="str">
        <f t="shared" si="141"/>
        <v>|Ḥaḍrat-i-Nuqṭiy-i-Bayán|</v>
      </c>
      <c r="J1319" s="3" t="str">
        <f t="shared" si="142"/>
        <v>|Hadrat-i-Nuqtiy-i-Bayan|</v>
      </c>
      <c r="K1319" s="3" t="str">
        <f t="shared" si="143"/>
        <v>Hadrat-i-Nuqtiy-i-Bayan</v>
      </c>
      <c r="N1319" s="39" t="str">
        <f t="shared" si="144"/>
        <v/>
      </c>
      <c r="P1319" s="39" t="str">
        <f t="shared" si="145"/>
        <v/>
      </c>
      <c r="R1319" s="39" t="str">
        <f t="shared" si="146"/>
        <v/>
      </c>
      <c r="S1319" s="28"/>
      <c r="T1319" s="28"/>
      <c r="U1319" s="28"/>
    </row>
    <row r="1320" spans="1:21" s="5" customFormat="1">
      <c r="A1320" s="179" t="s">
        <v>1719</v>
      </c>
      <c r="B1320" s="185" t="s">
        <v>6037</v>
      </c>
      <c r="C1320" s="35" t="str">
        <f t="shared" si="140"/>
        <v>HadratiQuddus</v>
      </c>
      <c r="E1320" s="40"/>
      <c r="F1320" s="14"/>
      <c r="G1320" s="17"/>
      <c r="H1320" s="10" t="s">
        <v>8563</v>
      </c>
      <c r="I1320" s="4" t="str">
        <f t="shared" si="141"/>
        <v>|Ḥaḍrat-i-Quddús|</v>
      </c>
      <c r="J1320" s="3" t="str">
        <f t="shared" si="142"/>
        <v>|Hadrat-i-Quddus|</v>
      </c>
      <c r="K1320" s="3" t="str">
        <f t="shared" si="143"/>
        <v>Hadrat-i-Quddus</v>
      </c>
      <c r="N1320" s="39" t="str">
        <f t="shared" si="144"/>
        <v/>
      </c>
      <c r="P1320" s="39" t="str">
        <f t="shared" si="145"/>
        <v/>
      </c>
      <c r="R1320" s="39" t="str">
        <f t="shared" si="146"/>
        <v/>
      </c>
      <c r="S1320" s="28"/>
      <c r="T1320" s="28"/>
      <c r="U1320" s="28"/>
    </row>
    <row r="1321" spans="1:21" s="5" customFormat="1">
      <c r="A1321" s="179" t="s">
        <v>1720</v>
      </c>
      <c r="B1321" s="185" t="s">
        <v>15</v>
      </c>
      <c r="C1321" s="35" t="str">
        <f t="shared" si="140"/>
        <v>Hafiz</v>
      </c>
      <c r="E1321" s="40"/>
      <c r="F1321" s="15" t="s">
        <v>8582</v>
      </c>
      <c r="G1321" s="17"/>
      <c r="H1321" s="10" t="s">
        <v>8563</v>
      </c>
      <c r="I1321" s="4" t="str">
        <f t="shared" si="141"/>
        <v>|Ḥáfiẓ|</v>
      </c>
      <c r="J1321" s="3" t="str">
        <f t="shared" si="142"/>
        <v>|Hafiz|</v>
      </c>
      <c r="K1321" s="3" t="str">
        <f t="shared" si="143"/>
        <v>Hafiz</v>
      </c>
      <c r="N1321" s="39" t="str">
        <f t="shared" si="144"/>
        <v/>
      </c>
      <c r="P1321" s="39" t="str">
        <f t="shared" si="145"/>
        <v/>
      </c>
      <c r="R1321" s="39" t="str">
        <f t="shared" si="146"/>
        <v/>
      </c>
      <c r="S1321" s="28"/>
      <c r="T1321" s="29">
        <v>41781</v>
      </c>
      <c r="U1321" s="28" t="s">
        <v>9446</v>
      </c>
    </row>
    <row r="1322" spans="1:21" s="5" customFormat="1">
      <c r="A1322" s="179" t="s">
        <v>1721</v>
      </c>
      <c r="B1322" s="185" t="s">
        <v>6038</v>
      </c>
      <c r="C1322" s="35" t="str">
        <f t="shared" si="140"/>
        <v>Hafizi</v>
      </c>
      <c r="E1322" s="40"/>
      <c r="F1322" s="15"/>
      <c r="G1322" s="17"/>
      <c r="H1322" s="10" t="s">
        <v>8563</v>
      </c>
      <c r="I1322" s="4" t="str">
        <f t="shared" si="141"/>
        <v>|Ḥáfiẓí|</v>
      </c>
      <c r="J1322" s="3" t="str">
        <f t="shared" si="142"/>
        <v>|Hafizi|</v>
      </c>
      <c r="K1322" s="3" t="str">
        <f t="shared" si="143"/>
        <v>Hafizi</v>
      </c>
      <c r="N1322" s="39" t="str">
        <f t="shared" si="144"/>
        <v/>
      </c>
      <c r="P1322" s="39" t="str">
        <f t="shared" si="145"/>
        <v/>
      </c>
      <c r="R1322" s="39" t="str">
        <f t="shared" si="146"/>
        <v/>
      </c>
      <c r="S1322" s="28"/>
      <c r="T1322" s="28"/>
      <c r="U1322" s="28"/>
    </row>
    <row r="1323" spans="1:21" s="5" customFormat="1">
      <c r="A1323" s="179" t="s">
        <v>1722</v>
      </c>
      <c r="B1323" s="185" t="s">
        <v>6039</v>
      </c>
      <c r="C1323" s="35" t="str">
        <f t="shared" si="140"/>
        <v>HafizusSihhih</v>
      </c>
      <c r="E1323" s="40"/>
      <c r="F1323" s="15"/>
      <c r="G1323" s="17"/>
      <c r="H1323" s="10" t="s">
        <v>8563</v>
      </c>
      <c r="I1323" s="4" t="str">
        <f t="shared" si="141"/>
        <v>|Ḥáfiẓu’ṣ-Ṣiḥḥih|</v>
      </c>
      <c r="J1323" s="3" t="str">
        <f t="shared" si="142"/>
        <v>|Hafizu's-Sihhih|</v>
      </c>
      <c r="K1323" s="3" t="str">
        <f t="shared" si="143"/>
        <v>Hafizus-Sihhih</v>
      </c>
      <c r="N1323" s="39" t="str">
        <f t="shared" si="144"/>
        <v/>
      </c>
      <c r="P1323" s="39" t="str">
        <f t="shared" si="145"/>
        <v/>
      </c>
      <c r="R1323" s="39" t="str">
        <f t="shared" si="146"/>
        <v/>
      </c>
      <c r="S1323" s="28"/>
      <c r="T1323" s="28"/>
      <c r="U1323" s="28"/>
    </row>
    <row r="1324" spans="1:21" s="5" customFormat="1">
      <c r="A1324" s="179" t="s">
        <v>1723</v>
      </c>
      <c r="B1324" s="185" t="s">
        <v>6040</v>
      </c>
      <c r="C1324" s="35" t="str">
        <f t="shared" si="140"/>
        <v>HaftVadi</v>
      </c>
      <c r="E1324" s="40"/>
      <c r="F1324" s="15" t="s">
        <v>1724</v>
      </c>
      <c r="G1324" s="17"/>
      <c r="H1324" s="10" t="s">
        <v>8563</v>
      </c>
      <c r="I1324" s="4" t="str">
        <f t="shared" si="141"/>
        <v>|Haft-Vádí|</v>
      </c>
      <c r="J1324" s="3" t="str">
        <f t="shared" si="142"/>
        <v>|Haft-Vadi|</v>
      </c>
      <c r="K1324" s="3" t="str">
        <f t="shared" si="143"/>
        <v>Haft-Vadi</v>
      </c>
      <c r="N1324" s="39" t="str">
        <f t="shared" si="144"/>
        <v/>
      </c>
      <c r="P1324" s="39" t="str">
        <f t="shared" si="145"/>
        <v/>
      </c>
      <c r="R1324" s="39" t="str">
        <f t="shared" si="146"/>
        <v/>
      </c>
      <c r="S1324" s="28"/>
      <c r="T1324" s="28"/>
      <c r="U1324" s="28"/>
    </row>
    <row r="1325" spans="1:21" s="5" customFormat="1">
      <c r="A1325" s="179" t="s">
        <v>1725</v>
      </c>
      <c r="B1325" s="185" t="s">
        <v>6041</v>
      </c>
      <c r="C1325" s="35" t="str">
        <f t="shared" si="140"/>
        <v>Hahut</v>
      </c>
      <c r="E1325" s="40"/>
      <c r="F1325" s="15" t="s">
        <v>1726</v>
      </c>
      <c r="G1325" s="17"/>
      <c r="H1325" s="10" t="s">
        <v>8563</v>
      </c>
      <c r="I1325" s="4" t="str">
        <f t="shared" si="141"/>
        <v>|Háhút|</v>
      </c>
      <c r="J1325" s="3" t="str">
        <f t="shared" si="142"/>
        <v>|Hahut|</v>
      </c>
      <c r="K1325" s="3" t="str">
        <f t="shared" si="143"/>
        <v>Hahut</v>
      </c>
      <c r="N1325" s="39" t="str">
        <f t="shared" si="144"/>
        <v/>
      </c>
      <c r="P1325" s="39" t="str">
        <f t="shared" si="145"/>
        <v/>
      </c>
      <c r="R1325" s="39" t="str">
        <f t="shared" si="146"/>
        <v/>
      </c>
      <c r="S1325" s="28"/>
      <c r="T1325" s="28"/>
      <c r="U1325" s="28"/>
    </row>
    <row r="1326" spans="1:21" s="5" customFormat="1">
      <c r="A1326" s="179" t="s">
        <v>1727</v>
      </c>
      <c r="B1326" s="185" t="s">
        <v>6042</v>
      </c>
      <c r="C1326" s="35" t="str">
        <f t="shared" si="140"/>
        <v>Haj</v>
      </c>
      <c r="E1326" s="40"/>
      <c r="F1326" s="15"/>
      <c r="G1326" s="17"/>
      <c r="H1326" s="10" t="s">
        <v>8563</v>
      </c>
      <c r="I1326" s="4" t="str">
        <f t="shared" si="141"/>
        <v>|Ḥáj|</v>
      </c>
      <c r="J1326" s="3" t="str">
        <f t="shared" si="142"/>
        <v>|Haj|</v>
      </c>
      <c r="K1326" s="3" t="str">
        <f t="shared" si="143"/>
        <v>Haj</v>
      </c>
      <c r="N1326" s="39" t="str">
        <f t="shared" si="144"/>
        <v/>
      </c>
      <c r="P1326" s="39" t="str">
        <f t="shared" si="145"/>
        <v/>
      </c>
      <c r="R1326" s="39" t="str">
        <f t="shared" si="146"/>
        <v/>
      </c>
      <c r="S1326" s="28"/>
      <c r="T1326" s="28"/>
      <c r="U1326" s="28"/>
    </row>
    <row r="1327" spans="1:21" s="5" customFormat="1">
      <c r="A1327" s="179" t="s">
        <v>1728</v>
      </c>
      <c r="B1327" s="185" t="s">
        <v>6043</v>
      </c>
      <c r="C1327" s="35" t="str">
        <f t="shared" si="140"/>
        <v>Hajaz</v>
      </c>
      <c r="E1327" s="40"/>
      <c r="F1327" s="15"/>
      <c r="G1327" s="17"/>
      <c r="H1327" s="10" t="s">
        <v>8563</v>
      </c>
      <c r="I1327" s="4" t="str">
        <f t="shared" si="141"/>
        <v>|Ḥájáz|</v>
      </c>
      <c r="J1327" s="3" t="str">
        <f t="shared" si="142"/>
        <v>|Hajaz|</v>
      </c>
      <c r="K1327" s="3" t="str">
        <f t="shared" si="143"/>
        <v>Hajaz</v>
      </c>
      <c r="N1327" s="39" t="str">
        <f t="shared" si="144"/>
        <v/>
      </c>
      <c r="P1327" s="39" t="str">
        <f t="shared" si="145"/>
        <v/>
      </c>
      <c r="R1327" s="39" t="str">
        <f t="shared" si="146"/>
        <v/>
      </c>
      <c r="S1327" s="28"/>
      <c r="T1327" s="28"/>
      <c r="U1327" s="28"/>
    </row>
    <row r="1328" spans="1:21" s="5" customFormat="1">
      <c r="A1328" s="179" t="s">
        <v>1729</v>
      </c>
      <c r="B1328" s="185" t="s">
        <v>6044</v>
      </c>
      <c r="C1328" s="35" t="str">
        <f t="shared" si="140"/>
        <v>Haji</v>
      </c>
      <c r="E1328" s="40"/>
      <c r="F1328" s="14" t="s">
        <v>1730</v>
      </c>
      <c r="G1328" s="17"/>
      <c r="H1328" s="10" t="s">
        <v>8563</v>
      </c>
      <c r="I1328" s="4" t="str">
        <f t="shared" si="141"/>
        <v>|Ḥájí|</v>
      </c>
      <c r="J1328" s="3" t="str">
        <f t="shared" si="142"/>
        <v>|Haji|</v>
      </c>
      <c r="K1328" s="3" t="str">
        <f t="shared" si="143"/>
        <v>Haji</v>
      </c>
      <c r="N1328" s="39" t="str">
        <f t="shared" si="144"/>
        <v/>
      </c>
      <c r="P1328" s="39" t="str">
        <f t="shared" si="145"/>
        <v/>
      </c>
      <c r="R1328" s="39" t="str">
        <f t="shared" si="146"/>
        <v/>
      </c>
      <c r="S1328" s="28"/>
      <c r="T1328" s="28"/>
      <c r="U1328" s="28"/>
    </row>
    <row r="1329" spans="1:21" s="5" customFormat="1">
      <c r="A1329" s="181" t="s">
        <v>8982</v>
      </c>
      <c r="B1329" s="185" t="s">
        <v>8658</v>
      </c>
      <c r="C1329" s="35" t="str">
        <f t="shared" si="140"/>
        <v>HajiAbdulMajid</v>
      </c>
      <c r="D1329" s="1"/>
      <c r="E1329" s="40"/>
      <c r="F1329" s="12"/>
      <c r="G1329" s="9"/>
      <c r="H1329" s="12" t="s">
        <v>8622</v>
      </c>
      <c r="I1329" s="4" t="str">
        <f t="shared" si="141"/>
        <v>|Ḥájí ʿAbdu’l-Majíd|</v>
      </c>
      <c r="J1329" s="3" t="str">
        <f t="shared" si="142"/>
        <v>|Haji 'Abdu'l-Majid|</v>
      </c>
      <c r="K1329" s="3" t="str">
        <f t="shared" si="143"/>
        <v>Haji Abdul-Majid</v>
      </c>
      <c r="N1329" s="39" t="str">
        <f t="shared" si="144"/>
        <v/>
      </c>
      <c r="P1329" s="39" t="str">
        <f t="shared" si="145"/>
        <v/>
      </c>
      <c r="R1329" s="39" t="str">
        <f t="shared" si="146"/>
        <v/>
      </c>
      <c r="S1329" s="29">
        <v>41760</v>
      </c>
      <c r="T1329" s="28"/>
      <c r="U1329" s="28"/>
    </row>
    <row r="1330" spans="1:21" s="5" customFormat="1">
      <c r="A1330" s="181" t="s">
        <v>8983</v>
      </c>
      <c r="B1330" s="185" t="s">
        <v>8659</v>
      </c>
      <c r="C1330" s="35" t="str">
        <f t="shared" si="140"/>
        <v>HajiAbdulMajidiShirazi</v>
      </c>
      <c r="D1330" s="1"/>
      <c r="E1330" s="40"/>
      <c r="F1330" s="12"/>
      <c r="G1330" s="9"/>
      <c r="H1330" s="12" t="s">
        <v>8622</v>
      </c>
      <c r="I1330" s="4" t="str">
        <f t="shared" si="141"/>
        <v>|Ḥájí ʿAbdu’l-Majíd-i-írází|</v>
      </c>
      <c r="J1330" s="3" t="str">
        <f t="shared" si="142"/>
        <v>|Haji 'Abdu'l-Majid-i-Shirazi|</v>
      </c>
      <c r="K1330" s="3" t="str">
        <f t="shared" si="143"/>
        <v>Haji Abdul-Majid-i-Shirazi</v>
      </c>
      <c r="N1330" s="39" t="str">
        <f t="shared" si="144"/>
        <v/>
      </c>
      <c r="P1330" s="39" t="str">
        <f t="shared" si="145"/>
        <v/>
      </c>
      <c r="R1330" s="39" t="str">
        <f t="shared" si="146"/>
        <v/>
      </c>
      <c r="S1330" s="29">
        <v>41760</v>
      </c>
      <c r="T1330" s="28"/>
      <c r="U1330" s="28"/>
    </row>
    <row r="1331" spans="1:21" s="5" customFormat="1">
      <c r="A1331" s="181" t="s">
        <v>8984</v>
      </c>
      <c r="B1331" s="185" t="s">
        <v>8660</v>
      </c>
      <c r="C1331" s="35" t="str">
        <f t="shared" si="140"/>
        <v>HajiAbdulVahhab</v>
      </c>
      <c r="D1331" s="1"/>
      <c r="E1331" s="40"/>
      <c r="F1331" s="12"/>
      <c r="G1331" s="9"/>
      <c r="H1331" s="12" t="s">
        <v>8622</v>
      </c>
      <c r="I1331" s="4" t="str">
        <f t="shared" si="141"/>
        <v>|Ḥájí ʿAbdu’l-Vahháb|</v>
      </c>
      <c r="J1331" s="3" t="str">
        <f t="shared" si="142"/>
        <v>|Haji 'Abdu'l-Vahhab|</v>
      </c>
      <c r="K1331" s="3" t="str">
        <f t="shared" si="143"/>
        <v>Haji Abdul-Vahhab</v>
      </c>
      <c r="N1331" s="39" t="str">
        <f t="shared" si="144"/>
        <v/>
      </c>
      <c r="P1331" s="39" t="str">
        <f t="shared" si="145"/>
        <v/>
      </c>
      <c r="R1331" s="39" t="str">
        <f t="shared" si="146"/>
        <v/>
      </c>
      <c r="S1331" s="29">
        <v>41760</v>
      </c>
      <c r="T1331" s="28"/>
      <c r="U1331" s="28"/>
    </row>
    <row r="1332" spans="1:21" s="5" customFormat="1">
      <c r="A1332" s="181" t="s">
        <v>8985</v>
      </c>
      <c r="B1332" s="185" t="s">
        <v>8662</v>
      </c>
      <c r="C1332" s="35" t="str">
        <f t="shared" si="140"/>
        <v>HajiAbulHasaniBazzaz</v>
      </c>
      <c r="D1332" s="1"/>
      <c r="E1332" s="40"/>
      <c r="F1332" s="12"/>
      <c r="G1332" s="9"/>
      <c r="H1332" s="12" t="s">
        <v>8622</v>
      </c>
      <c r="I1332" s="4" t="str">
        <f t="shared" si="141"/>
        <v>|Ḥájí Abu’l-Ḥasan-i-Bazzáz|</v>
      </c>
      <c r="J1332" s="3" t="str">
        <f t="shared" si="142"/>
        <v>|Haji Abu'l-Hasan-i-Bazzaz|</v>
      </c>
      <c r="K1332" s="3" t="str">
        <f t="shared" si="143"/>
        <v>Haji Abul-Hasan-i-Bazzaz</v>
      </c>
      <c r="N1332" s="39" t="str">
        <f t="shared" si="144"/>
        <v/>
      </c>
      <c r="P1332" s="39" t="str">
        <f t="shared" si="145"/>
        <v/>
      </c>
      <c r="R1332" s="39" t="str">
        <f t="shared" si="146"/>
        <v/>
      </c>
      <c r="S1332" s="29">
        <v>41760</v>
      </c>
      <c r="T1332" s="28"/>
      <c r="U1332" s="28"/>
    </row>
    <row r="1333" spans="1:21" s="5" customFormat="1">
      <c r="A1333" s="181" t="s">
        <v>8986</v>
      </c>
      <c r="B1333" s="185" t="s">
        <v>8663</v>
      </c>
      <c r="C1333" s="35" t="str">
        <f t="shared" si="140"/>
        <v>HajiAbulHasaniShirazi</v>
      </c>
      <c r="D1333" s="1"/>
      <c r="E1333" s="40"/>
      <c r="F1333" s="12"/>
      <c r="G1333" s="9"/>
      <c r="H1333" s="12" t="s">
        <v>8622</v>
      </c>
      <c r="I1333" s="4" t="str">
        <f t="shared" si="141"/>
        <v>|Ḥájí Abu’l-Ḥasan-i-írází|</v>
      </c>
      <c r="J1333" s="3" t="str">
        <f t="shared" si="142"/>
        <v>|Haji Abu'l-Hasan-i-Shirazi|</v>
      </c>
      <c r="K1333" s="3" t="str">
        <f t="shared" si="143"/>
        <v>Haji Abul-Hasan-i-Shirazi</v>
      </c>
      <c r="N1333" s="39" t="str">
        <f t="shared" si="144"/>
        <v/>
      </c>
      <c r="P1333" s="39" t="str">
        <f t="shared" si="145"/>
        <v/>
      </c>
      <c r="R1333" s="39" t="str">
        <f t="shared" si="146"/>
        <v/>
      </c>
      <c r="S1333" s="29">
        <v>41760</v>
      </c>
      <c r="T1333" s="28"/>
      <c r="U1333" s="28"/>
    </row>
    <row r="1334" spans="1:21" s="5" customFormat="1">
      <c r="A1334" s="181" t="s">
        <v>8987</v>
      </c>
      <c r="B1334" s="185" t="s">
        <v>8661</v>
      </c>
      <c r="C1334" s="35" t="str">
        <f t="shared" si="140"/>
        <v>HajiAliAkbar</v>
      </c>
      <c r="D1334" s="1"/>
      <c r="E1334" s="40"/>
      <c r="F1334" s="12"/>
      <c r="G1334" s="9"/>
      <c r="H1334" s="12" t="s">
        <v>8622</v>
      </c>
      <c r="I1334" s="4" t="str">
        <f t="shared" si="141"/>
        <v>|Ḥájí ʿAlí-Akbar|</v>
      </c>
      <c r="J1334" s="3" t="str">
        <f t="shared" si="142"/>
        <v>|Haji 'Ali-Akbar|</v>
      </c>
      <c r="K1334" s="3" t="str">
        <f t="shared" si="143"/>
        <v>Haji Ali-Akbar</v>
      </c>
      <c r="N1334" s="39" t="str">
        <f t="shared" si="144"/>
        <v/>
      </c>
      <c r="P1334" s="39" t="str">
        <f t="shared" si="145"/>
        <v/>
      </c>
      <c r="R1334" s="39" t="str">
        <f t="shared" si="146"/>
        <v/>
      </c>
      <c r="S1334" s="29">
        <v>41760</v>
      </c>
      <c r="T1334" s="28"/>
      <c r="U1334" s="28"/>
    </row>
    <row r="1335" spans="1:21" s="5" customFormat="1">
      <c r="A1335" s="181" t="s">
        <v>8988</v>
      </c>
      <c r="B1335" s="185" t="s">
        <v>8650</v>
      </c>
      <c r="C1335" s="35" t="str">
        <f t="shared" si="140"/>
        <v>HajiAllahVirdi</v>
      </c>
      <c r="D1335" s="1"/>
      <c r="E1335" s="40"/>
      <c r="F1335" s="12"/>
      <c r="G1335" s="9"/>
      <c r="H1335" s="12" t="s">
        <v>8622</v>
      </c>
      <c r="I1335" s="4" t="str">
        <f t="shared" si="141"/>
        <v>|Ḥájí Alláh-Virdí|</v>
      </c>
      <c r="J1335" s="3" t="str">
        <f t="shared" si="142"/>
        <v>|Haji Allah-Virdi|</v>
      </c>
      <c r="K1335" s="3" t="str">
        <f t="shared" si="143"/>
        <v>Haji Allah-Virdi</v>
      </c>
      <c r="N1335" s="39" t="str">
        <f t="shared" si="144"/>
        <v/>
      </c>
      <c r="P1335" s="39" t="str">
        <f t="shared" si="145"/>
        <v/>
      </c>
      <c r="R1335" s="39" t="str">
        <f t="shared" si="146"/>
        <v/>
      </c>
      <c r="S1335" s="29">
        <v>41760</v>
      </c>
      <c r="T1335" s="28"/>
      <c r="U1335" s="28"/>
    </row>
    <row r="1336" spans="1:21" s="5" customFormat="1">
      <c r="A1336" s="181"/>
      <c r="B1336" s="186" t="s">
        <v>8989</v>
      </c>
      <c r="C1336" s="35" t="str">
        <f t="shared" si="140"/>
        <v>HajiBahaullah</v>
      </c>
      <c r="D1336" s="1"/>
      <c r="E1336" s="40"/>
      <c r="F1336" s="12"/>
      <c r="G1336" s="9" t="s">
        <v>9511</v>
      </c>
      <c r="H1336" s="12" t="s">
        <v>8622</v>
      </c>
      <c r="I1336" s="4" t="str">
        <f t="shared" si="141"/>
        <v>|Ḥájí Bahá’u’lláh|</v>
      </c>
      <c r="J1336" s="3" t="str">
        <f t="shared" si="142"/>
        <v>|Haji Baha'u'llah|</v>
      </c>
      <c r="K1336" s="3" t="str">
        <f t="shared" si="143"/>
        <v>Haji Bahaullah</v>
      </c>
      <c r="N1336" s="39" t="str">
        <f t="shared" si="144"/>
        <v/>
      </c>
      <c r="P1336" s="39" t="str">
        <f t="shared" si="145"/>
        <v/>
      </c>
      <c r="R1336" s="39" t="str">
        <f t="shared" si="146"/>
        <v/>
      </c>
      <c r="S1336" s="28"/>
      <c r="T1336" s="28"/>
      <c r="U1336" s="28"/>
    </row>
    <row r="1337" spans="1:21" s="5" customFormat="1">
      <c r="A1337" s="181" t="s">
        <v>8990</v>
      </c>
      <c r="B1337" s="185" t="s">
        <v>8664</v>
      </c>
      <c r="C1337" s="35" t="str">
        <f t="shared" si="140"/>
        <v>HajiHasan</v>
      </c>
      <c r="D1337" s="1"/>
      <c r="E1337" s="40"/>
      <c r="F1337" s="12"/>
      <c r="G1337" s="9"/>
      <c r="H1337" s="12" t="s">
        <v>8622</v>
      </c>
      <c r="I1337" s="4" t="str">
        <f t="shared" si="141"/>
        <v>|Ḥájí Ḥasan|</v>
      </c>
      <c r="J1337" s="3" t="str">
        <f t="shared" si="142"/>
        <v>|Haji Hasan|</v>
      </c>
      <c r="K1337" s="3" t="str">
        <f t="shared" si="143"/>
        <v>Haji Hasan</v>
      </c>
      <c r="N1337" s="39" t="str">
        <f t="shared" si="144"/>
        <v/>
      </c>
      <c r="P1337" s="39" t="str">
        <f t="shared" si="145"/>
        <v/>
      </c>
      <c r="R1337" s="39" t="str">
        <f t="shared" si="146"/>
        <v/>
      </c>
      <c r="S1337" s="29">
        <v>41760</v>
      </c>
      <c r="T1337" s="28"/>
      <c r="U1337" s="28"/>
    </row>
    <row r="1338" spans="1:21" s="5" customFormat="1">
      <c r="A1338" s="181" t="s">
        <v>8991</v>
      </c>
      <c r="B1338" s="185" t="s">
        <v>8651</v>
      </c>
      <c r="C1338" s="35" t="str">
        <f t="shared" si="140"/>
        <v>HajiHasaniNaʼini</v>
      </c>
      <c r="D1338" s="1"/>
      <c r="E1338" s="40"/>
      <c r="F1338" s="12"/>
      <c r="G1338" s="9"/>
      <c r="H1338" s="12" t="s">
        <v>8622</v>
      </c>
      <c r="I1338" s="4" t="str">
        <f t="shared" si="141"/>
        <v>|Ḥájí Ḥasan-i-Náʼíní |</v>
      </c>
      <c r="J1338" s="3" t="str">
        <f t="shared" si="142"/>
        <v>|Haji Hasan-i-Naʼini |</v>
      </c>
      <c r="K1338" s="3" t="str">
        <f t="shared" si="143"/>
        <v xml:space="preserve">Haji Hasan-i-Naʼini </v>
      </c>
      <c r="N1338" s="39" t="str">
        <f t="shared" si="144"/>
        <v/>
      </c>
      <c r="P1338" s="39" t="str">
        <f t="shared" si="145"/>
        <v/>
      </c>
      <c r="R1338" s="39" t="str">
        <f t="shared" si="146"/>
        <v/>
      </c>
      <c r="S1338" s="29">
        <v>41760</v>
      </c>
      <c r="T1338" s="28"/>
      <c r="U1338" s="28"/>
    </row>
    <row r="1339" spans="1:21" s="5" customFormat="1">
      <c r="A1339" s="181" t="s">
        <v>8992</v>
      </c>
      <c r="B1339" s="185" t="s">
        <v>8665</v>
      </c>
      <c r="C1339" s="35" t="str">
        <f t="shared" si="140"/>
        <v>HajiHashim</v>
      </c>
      <c r="D1339" s="1"/>
      <c r="E1339" s="40"/>
      <c r="F1339" s="12"/>
      <c r="G1339" s="9"/>
      <c r="H1339" s="12" t="s">
        <v>8622</v>
      </c>
      <c r="I1339" s="4" t="str">
        <f t="shared" si="141"/>
        <v>|Ḥájí Háim|</v>
      </c>
      <c r="J1339" s="3" t="str">
        <f t="shared" si="142"/>
        <v>|Haji Hashim|</v>
      </c>
      <c r="K1339" s="3" t="str">
        <f t="shared" si="143"/>
        <v>Haji Hashim</v>
      </c>
      <c r="N1339" s="39" t="str">
        <f t="shared" si="144"/>
        <v/>
      </c>
      <c r="P1339" s="39" t="str">
        <f t="shared" si="145"/>
        <v/>
      </c>
      <c r="R1339" s="39" t="str">
        <f t="shared" si="146"/>
        <v/>
      </c>
      <c r="S1339" s="29">
        <v>41760</v>
      </c>
      <c r="T1339" s="28"/>
      <c r="U1339" s="28"/>
    </row>
    <row r="1340" spans="1:21" s="5" customFormat="1">
      <c r="A1340" s="181" t="s">
        <v>8993</v>
      </c>
      <c r="B1340" s="185" t="s">
        <v>8666</v>
      </c>
      <c r="C1340" s="35" t="str">
        <f t="shared" si="140"/>
        <v>HajiHusaynAli</v>
      </c>
      <c r="D1340" s="1"/>
      <c r="E1340" s="40"/>
      <c r="F1340" s="12"/>
      <c r="G1340" s="9"/>
      <c r="H1340" s="12" t="s">
        <v>8622</v>
      </c>
      <c r="I1340" s="4" t="str">
        <f t="shared" si="141"/>
        <v>|Ḥájí Ḥusayn-ʿAlí|</v>
      </c>
      <c r="J1340" s="3" t="str">
        <f t="shared" si="142"/>
        <v>|Haji Husayn-'Ali|</v>
      </c>
      <c r="K1340" s="3" t="str">
        <f t="shared" si="143"/>
        <v>Haji Husayn-Ali</v>
      </c>
      <c r="N1340" s="39" t="str">
        <f t="shared" si="144"/>
        <v/>
      </c>
      <c r="P1340" s="39" t="str">
        <f t="shared" si="145"/>
        <v/>
      </c>
      <c r="R1340" s="39" t="str">
        <f t="shared" si="146"/>
        <v/>
      </c>
      <c r="S1340" s="29">
        <v>41760</v>
      </c>
      <c r="T1340" s="28"/>
      <c r="U1340" s="28"/>
    </row>
    <row r="1341" spans="1:21" s="5" customFormat="1">
      <c r="A1341" s="181" t="s">
        <v>8994</v>
      </c>
      <c r="B1341" s="185" t="s">
        <v>8667</v>
      </c>
      <c r="C1341" s="35" t="str">
        <f t="shared" si="140"/>
        <v>HajiKalbasi</v>
      </c>
      <c r="D1341" s="1"/>
      <c r="E1341" s="40"/>
      <c r="F1341" s="12"/>
      <c r="G1341" s="9"/>
      <c r="H1341" s="12" t="s">
        <v>8622</v>
      </c>
      <c r="I1341" s="4" t="str">
        <f t="shared" si="141"/>
        <v>|Ḥájí Kalbásí|</v>
      </c>
      <c r="J1341" s="3" t="str">
        <f t="shared" si="142"/>
        <v>|Haji Kalbasi|</v>
      </c>
      <c r="K1341" s="3" t="str">
        <f t="shared" si="143"/>
        <v>Haji Kalbasi</v>
      </c>
      <c r="N1341" s="39" t="str">
        <f t="shared" si="144"/>
        <v/>
      </c>
      <c r="P1341" s="39" t="str">
        <f t="shared" si="145"/>
        <v/>
      </c>
      <c r="R1341" s="39" t="str">
        <f t="shared" si="146"/>
        <v/>
      </c>
      <c r="S1341" s="29">
        <v>41760</v>
      </c>
      <c r="T1341" s="28"/>
      <c r="U1341" s="28"/>
    </row>
    <row r="1342" spans="1:21" s="5" customFormat="1">
      <c r="A1342" s="181" t="s">
        <v>8995</v>
      </c>
      <c r="B1342" s="185" t="s">
        <v>8668</v>
      </c>
      <c r="C1342" s="35" t="str">
        <f t="shared" si="140"/>
        <v>HajiKarimKhan</v>
      </c>
      <c r="D1342" s="1"/>
      <c r="E1342" s="40"/>
      <c r="F1342" s="12"/>
      <c r="G1342" s="9"/>
      <c r="H1342" s="12" t="s">
        <v>8622</v>
      </c>
      <c r="I1342" s="4" t="str">
        <f t="shared" si="141"/>
        <v>|Ḥájí Karím án|</v>
      </c>
      <c r="J1342" s="3" t="str">
        <f t="shared" si="142"/>
        <v>|Haji Karim Khan|</v>
      </c>
      <c r="K1342" s="3" t="str">
        <f t="shared" si="143"/>
        <v>Haji Karim Khan</v>
      </c>
      <c r="N1342" s="39" t="str">
        <f t="shared" si="144"/>
        <v/>
      </c>
      <c r="P1342" s="39" t="str">
        <f t="shared" si="145"/>
        <v/>
      </c>
      <c r="R1342" s="39" t="str">
        <f t="shared" si="146"/>
        <v/>
      </c>
      <c r="S1342" s="29">
        <v>41760</v>
      </c>
      <c r="T1342" s="28"/>
      <c r="U1342" s="28"/>
    </row>
    <row r="1343" spans="1:21" s="5" customFormat="1">
      <c r="A1343" s="181" t="s">
        <v>8996</v>
      </c>
      <c r="B1343" s="185" t="s">
        <v>8669</v>
      </c>
      <c r="C1343" s="35" t="str">
        <f t="shared" si="140"/>
        <v>HajiMirzaAhmad</v>
      </c>
      <c r="D1343" s="1"/>
      <c r="E1343" s="40"/>
      <c r="F1343" s="12"/>
      <c r="G1343" s="9"/>
      <c r="H1343" s="12" t="s">
        <v>8622</v>
      </c>
      <c r="I1343" s="4" t="str">
        <f t="shared" si="141"/>
        <v>|Ḥájí Mírzá Aḥmad|</v>
      </c>
      <c r="J1343" s="3" t="str">
        <f t="shared" si="142"/>
        <v>|Haji Mirza Ahmad|</v>
      </c>
      <c r="K1343" s="3" t="str">
        <f t="shared" si="143"/>
        <v>Haji Mirza Ahmad</v>
      </c>
      <c r="N1343" s="39" t="str">
        <f t="shared" si="144"/>
        <v/>
      </c>
      <c r="P1343" s="39" t="str">
        <f t="shared" si="145"/>
        <v/>
      </c>
      <c r="R1343" s="39" t="str">
        <f t="shared" si="146"/>
        <v/>
      </c>
      <c r="S1343" s="29">
        <v>41760</v>
      </c>
      <c r="T1343" s="28"/>
      <c r="U1343" s="28"/>
    </row>
    <row r="1344" spans="1:21" s="5" customFormat="1">
      <c r="A1344" s="181" t="s">
        <v>8997</v>
      </c>
      <c r="B1344" s="185" t="s">
        <v>8998</v>
      </c>
      <c r="C1344" s="35" t="str">
        <f t="shared" si="140"/>
        <v>HajiMirzaAli</v>
      </c>
      <c r="D1344" s="1"/>
      <c r="E1344" s="40"/>
      <c r="F1344" s="12"/>
      <c r="G1344" s="9"/>
      <c r="H1344" s="12" t="s">
        <v>8622</v>
      </c>
      <c r="I1344" s="4" t="str">
        <f t="shared" si="141"/>
        <v>|Ḥájí Mírzá ʿAlí|</v>
      </c>
      <c r="J1344" s="3" t="str">
        <f t="shared" si="142"/>
        <v>|Haji Mirza 'Ali|</v>
      </c>
      <c r="K1344" s="3" t="str">
        <f t="shared" si="143"/>
        <v>Haji Mirza Ali</v>
      </c>
      <c r="N1344" s="39" t="str">
        <f t="shared" si="144"/>
        <v/>
      </c>
      <c r="P1344" s="39" t="str">
        <f t="shared" si="145"/>
        <v/>
      </c>
      <c r="R1344" s="39" t="str">
        <f t="shared" si="146"/>
        <v/>
      </c>
      <c r="S1344" s="29">
        <v>41760</v>
      </c>
      <c r="T1344" s="28"/>
      <c r="U1344" s="28"/>
    </row>
    <row r="1345" spans="1:21" s="5" customFormat="1">
      <c r="A1345" s="181" t="s">
        <v>8999</v>
      </c>
      <c r="B1345" s="185" t="s">
        <v>167</v>
      </c>
      <c r="C1345" s="35" t="str">
        <f t="shared" si="140"/>
        <v>HajiMirzaAqasi</v>
      </c>
      <c r="D1345" s="1"/>
      <c r="E1345" s="40"/>
      <c r="F1345" s="12"/>
      <c r="G1345" s="9"/>
      <c r="H1345" s="12" t="s">
        <v>8622</v>
      </c>
      <c r="I1345" s="4" t="str">
        <f t="shared" si="141"/>
        <v>|Ḥájí Mírzá Áqásí|</v>
      </c>
      <c r="J1345" s="3" t="str">
        <f t="shared" si="142"/>
        <v>|Haji Mirza Aqasi|</v>
      </c>
      <c r="K1345" s="3" t="str">
        <f t="shared" si="143"/>
        <v>Haji Mirza Aqasi</v>
      </c>
      <c r="N1345" s="39" t="str">
        <f t="shared" si="144"/>
        <v/>
      </c>
      <c r="P1345" s="39" t="str">
        <f t="shared" si="145"/>
        <v/>
      </c>
      <c r="R1345" s="39" t="str">
        <f t="shared" si="146"/>
        <v/>
      </c>
      <c r="S1345" s="29">
        <v>41760</v>
      </c>
      <c r="T1345" s="28"/>
      <c r="U1345" s="28"/>
    </row>
    <row r="1346" spans="1:21" s="5" customFormat="1">
      <c r="A1346" s="181" t="s">
        <v>9000</v>
      </c>
      <c r="B1346" s="185" t="s">
        <v>8670</v>
      </c>
      <c r="C1346" s="35" t="str">
        <f t="shared" si="140"/>
        <v>HajiMirzaJani</v>
      </c>
      <c r="D1346" s="1"/>
      <c r="E1346" s="40"/>
      <c r="F1346" s="12"/>
      <c r="G1346" s="9"/>
      <c r="H1346" s="12" t="s">
        <v>8622</v>
      </c>
      <c r="I1346" s="4" t="str">
        <f t="shared" si="141"/>
        <v>|Ḥájí Mírzá Jání|</v>
      </c>
      <c r="J1346" s="3" t="str">
        <f t="shared" si="142"/>
        <v>|Haji Mirza Jani|</v>
      </c>
      <c r="K1346" s="3" t="str">
        <f t="shared" si="143"/>
        <v>Haji Mirza Jani</v>
      </c>
      <c r="N1346" s="39" t="str">
        <f t="shared" si="144"/>
        <v/>
      </c>
      <c r="P1346" s="39" t="str">
        <f t="shared" si="145"/>
        <v/>
      </c>
      <c r="R1346" s="39" t="str">
        <f t="shared" si="146"/>
        <v/>
      </c>
      <c r="S1346" s="29">
        <v>41760</v>
      </c>
      <c r="T1346" s="28"/>
      <c r="U1346" s="28"/>
    </row>
    <row r="1347" spans="1:21" s="5" customFormat="1">
      <c r="A1347" s="181" t="s">
        <v>9001</v>
      </c>
      <c r="B1347" s="185" t="s">
        <v>8671</v>
      </c>
      <c r="C1347" s="35" t="str">
        <f t="shared" ref="C1347:C1410" si="147">SUBSTITUTE(SUBSTITUTE(K1347,"-","")," ","")</f>
        <v>HajiMirzaJaniyiBuzurg</v>
      </c>
      <c r="D1347" s="1"/>
      <c r="E1347" s="40"/>
      <c r="F1347" s="12"/>
      <c r="G1347" s="9"/>
      <c r="H1347" s="12" t="s">
        <v>8622</v>
      </c>
      <c r="I1347" s="4" t="str">
        <f t="shared" ref="I1347:I1410" si="148">CONCATENATE("|",B1347,"|")</f>
        <v>|Ḥájí Mírzá Jáníy-i-Buzurg|</v>
      </c>
      <c r="J1347" s="3" t="str">
        <f t="shared" ref="J1347:J1410" si="149">CONCATENATE("|",F_OutputASCII(B1347),"|")</f>
        <v>|Haji Mirza Janiy-i-Buzurg|</v>
      </c>
      <c r="K1347" s="3" t="str">
        <f t="shared" ref="K1347:K1410" si="150">IF(SUBSTITUTE(MID(J1347,2,LEN(J1347)-2),"'","")&lt;&gt;"",SUBSTITUTE(MID(J1347,2,LEN(J1347)-2),"'",""),"ZZZZZ")</f>
        <v>Haji Mirza Janiy-i-Buzurg</v>
      </c>
      <c r="N1347" s="39" t="str">
        <f t="shared" ref="N1347:N1410" si="151">SUBSTITUTE(SUBSTITUTE(SUBSTITUTE(F_OutputASCII(M1347),"-","")," ",""),"'","")</f>
        <v/>
      </c>
      <c r="P1347" s="39" t="str">
        <f t="shared" ref="P1347:P1410" si="152">SUBSTITUTE(SUBSTITUTE(SUBSTITUTE(F_OutputASCII(O1347),"-","")," ",""),"'","")</f>
        <v/>
      </c>
      <c r="R1347" s="39" t="str">
        <f t="shared" si="146"/>
        <v/>
      </c>
      <c r="S1347" s="29">
        <v>41760</v>
      </c>
      <c r="T1347" s="28"/>
      <c r="U1347" s="28"/>
    </row>
    <row r="1348" spans="1:21" s="5" customFormat="1">
      <c r="A1348" s="181" t="s">
        <v>9002</v>
      </c>
      <c r="B1348" s="185" t="s">
        <v>8672</v>
      </c>
      <c r="C1348" s="35" t="str">
        <f t="shared" si="147"/>
        <v>HajiMirzaJaniyiTurk</v>
      </c>
      <c r="D1348" s="1"/>
      <c r="E1348" s="40"/>
      <c r="F1348" s="12"/>
      <c r="G1348" s="9"/>
      <c r="H1348" s="12" t="s">
        <v>8622</v>
      </c>
      <c r="I1348" s="4" t="str">
        <f t="shared" si="148"/>
        <v>|Ḥájí Mírzá Jáníy-i-Turk|</v>
      </c>
      <c r="J1348" s="3" t="str">
        <f t="shared" si="149"/>
        <v>|Haji Mirza Janiy-i-Turk|</v>
      </c>
      <c r="K1348" s="3" t="str">
        <f t="shared" si="150"/>
        <v>Haji Mirza Janiy-i-Turk</v>
      </c>
      <c r="N1348" s="39" t="str">
        <f t="shared" si="151"/>
        <v/>
      </c>
      <c r="P1348" s="39" t="str">
        <f t="shared" si="152"/>
        <v/>
      </c>
      <c r="R1348" s="39" t="str">
        <f t="shared" ref="R1348:R1411" si="153">SUBSTITUTE(SUBSTITUTE(Q1348,"-","")," ","")</f>
        <v/>
      </c>
      <c r="S1348" s="29">
        <v>41760</v>
      </c>
      <c r="T1348" s="28"/>
      <c r="U1348" s="28"/>
    </row>
    <row r="1349" spans="1:21" s="5" customFormat="1">
      <c r="A1349" s="181" t="s">
        <v>9003</v>
      </c>
      <c r="B1349" s="185" t="s">
        <v>8673</v>
      </c>
      <c r="C1349" s="35" t="str">
        <f t="shared" si="147"/>
        <v>HajiMirzaKamaludDiniNaraqi</v>
      </c>
      <c r="D1349" s="1"/>
      <c r="E1349" s="40"/>
      <c r="F1349" s="12"/>
      <c r="G1349" s="9"/>
      <c r="H1349" s="12" t="s">
        <v>8622</v>
      </c>
      <c r="I1349" s="4" t="str">
        <f t="shared" si="148"/>
        <v>|Ḥájí Mírzá Kamálu’d-Dín-i-Naráqí|</v>
      </c>
      <c r="J1349" s="3" t="str">
        <f t="shared" si="149"/>
        <v>|Haji Mirza Kamalu'd-Din-i-Naraqi|</v>
      </c>
      <c r="K1349" s="3" t="str">
        <f t="shared" si="150"/>
        <v>Haji Mirza Kamalud-Din-i-Naraqi</v>
      </c>
      <c r="N1349" s="39" t="str">
        <f t="shared" si="151"/>
        <v/>
      </c>
      <c r="P1349" s="39" t="str">
        <f t="shared" si="152"/>
        <v/>
      </c>
      <c r="R1349" s="39" t="str">
        <f t="shared" si="153"/>
        <v/>
      </c>
      <c r="S1349" s="29">
        <v>41760</v>
      </c>
      <c r="T1349" s="28"/>
      <c r="U1349" s="28"/>
    </row>
    <row r="1350" spans="1:21" s="5" customFormat="1">
      <c r="A1350" s="181" t="s">
        <v>9004</v>
      </c>
      <c r="B1350" s="185" t="s">
        <v>8674</v>
      </c>
      <c r="C1350" s="35" t="str">
        <f t="shared" si="147"/>
        <v>HajiMirzaKarimKhan</v>
      </c>
      <c r="D1350" s="1"/>
      <c r="E1350" s="40"/>
      <c r="F1350" s="12"/>
      <c r="G1350" s="9"/>
      <c r="H1350" s="12" t="s">
        <v>8622</v>
      </c>
      <c r="I1350" s="4" t="str">
        <f t="shared" si="148"/>
        <v>|Ḥájí Mírzá Karím án|</v>
      </c>
      <c r="J1350" s="3" t="str">
        <f t="shared" si="149"/>
        <v>|Haji Mirza Karim Khan|</v>
      </c>
      <c r="K1350" s="3" t="str">
        <f t="shared" si="150"/>
        <v>Haji Mirza Karim Khan</v>
      </c>
      <c r="N1350" s="39" t="str">
        <f t="shared" si="151"/>
        <v/>
      </c>
      <c r="P1350" s="39" t="str">
        <f t="shared" si="152"/>
        <v/>
      </c>
      <c r="R1350" s="39" t="str">
        <f t="shared" si="153"/>
        <v/>
      </c>
      <c r="S1350" s="29">
        <v>41760</v>
      </c>
      <c r="T1350" s="28"/>
      <c r="U1350" s="28"/>
    </row>
    <row r="1351" spans="1:21" s="5" customFormat="1">
      <c r="A1351" s="181" t="s">
        <v>9005</v>
      </c>
      <c r="B1351" s="185" t="s">
        <v>8676</v>
      </c>
      <c r="C1351" s="35" t="str">
        <f t="shared" si="147"/>
        <v>HajiMirzaMuhammad</v>
      </c>
      <c r="D1351" s="1"/>
      <c r="E1351" s="40"/>
      <c r="F1351" s="12"/>
      <c r="G1351" s="9"/>
      <c r="H1351" s="12" t="s">
        <v>8622</v>
      </c>
      <c r="I1351" s="4" t="str">
        <f t="shared" si="148"/>
        <v>|Ḥájí Mírzá Muḥammad|</v>
      </c>
      <c r="J1351" s="3" t="str">
        <f t="shared" si="149"/>
        <v>|Haji Mirza Muhammad|</v>
      </c>
      <c r="K1351" s="3" t="str">
        <f t="shared" si="150"/>
        <v>Haji Mirza Muhammad</v>
      </c>
      <c r="N1351" s="39" t="str">
        <f t="shared" si="151"/>
        <v/>
      </c>
      <c r="P1351" s="39" t="str">
        <f t="shared" si="152"/>
        <v/>
      </c>
      <c r="R1351" s="39" t="str">
        <f t="shared" si="153"/>
        <v/>
      </c>
      <c r="S1351" s="29">
        <v>41760</v>
      </c>
      <c r="T1351" s="28"/>
      <c r="U1351" s="28"/>
    </row>
    <row r="1352" spans="1:21" s="5" customFormat="1">
      <c r="A1352" s="181" t="s">
        <v>9006</v>
      </c>
      <c r="B1352" s="185" t="s">
        <v>8675</v>
      </c>
      <c r="C1352" s="35" t="str">
        <f t="shared" si="147"/>
        <v>HajiMirzaMuhammadKarimKhan</v>
      </c>
      <c r="D1352" s="1"/>
      <c r="E1352" s="40"/>
      <c r="F1352" s="12"/>
      <c r="G1352" s="9"/>
      <c r="H1352" s="12" t="s">
        <v>8622</v>
      </c>
      <c r="I1352" s="4" t="str">
        <f t="shared" si="148"/>
        <v>|Ḥájí Mírzá Muḥammad Karím án|</v>
      </c>
      <c r="J1352" s="3" t="str">
        <f t="shared" si="149"/>
        <v>|Haji Mirza Muhammad Karim Khan|</v>
      </c>
      <c r="K1352" s="3" t="str">
        <f t="shared" si="150"/>
        <v>Haji Mirza Muhammad Karim Khan</v>
      </c>
      <c r="N1352" s="39" t="str">
        <f t="shared" si="151"/>
        <v/>
      </c>
      <c r="P1352" s="39" t="str">
        <f t="shared" si="152"/>
        <v/>
      </c>
      <c r="R1352" s="39" t="str">
        <f t="shared" si="153"/>
        <v/>
      </c>
      <c r="S1352" s="29">
        <v>41760</v>
      </c>
      <c r="T1352" s="28"/>
      <c r="U1352" s="28"/>
    </row>
    <row r="1353" spans="1:21" s="5" customFormat="1">
      <c r="A1353" s="181" t="s">
        <v>9007</v>
      </c>
      <c r="B1353" s="185" t="s">
        <v>8677</v>
      </c>
      <c r="C1353" s="35" t="str">
        <f t="shared" si="147"/>
        <v>HajiMirzaMuhammadAli</v>
      </c>
      <c r="D1353" s="1"/>
      <c r="E1353" s="40"/>
      <c r="F1353" s="12"/>
      <c r="G1353" s="9"/>
      <c r="H1353" s="12" t="s">
        <v>8622</v>
      </c>
      <c r="I1353" s="4" t="str">
        <f t="shared" si="148"/>
        <v>|Ḥájí Mírzá Muḥammad-ʿAlí|</v>
      </c>
      <c r="J1353" s="3" t="str">
        <f t="shared" si="149"/>
        <v>|Haji Mirza Muhammad-'Ali|</v>
      </c>
      <c r="K1353" s="3" t="str">
        <f t="shared" si="150"/>
        <v>Haji Mirza Muhammad-Ali</v>
      </c>
      <c r="N1353" s="39" t="str">
        <f t="shared" si="151"/>
        <v/>
      </c>
      <c r="P1353" s="39" t="str">
        <f t="shared" si="152"/>
        <v/>
      </c>
      <c r="R1353" s="39" t="str">
        <f t="shared" si="153"/>
        <v/>
      </c>
      <c r="S1353" s="29">
        <v>41760</v>
      </c>
      <c r="T1353" s="28"/>
      <c r="U1353" s="28"/>
    </row>
    <row r="1354" spans="1:21" s="5" customFormat="1">
      <c r="A1354" s="181" t="s">
        <v>9008</v>
      </c>
      <c r="B1354" s="185" t="s">
        <v>8678</v>
      </c>
      <c r="C1354" s="35" t="str">
        <f t="shared" si="147"/>
        <v>HajiMirzaMuhammadiKhurasani</v>
      </c>
      <c r="D1354" s="1"/>
      <c r="E1354" s="40"/>
      <c r="F1354" s="12"/>
      <c r="G1354" s="9"/>
      <c r="H1354" s="12" t="s">
        <v>8622</v>
      </c>
      <c r="I1354" s="4" t="str">
        <f t="shared" si="148"/>
        <v>|Ḥájí Mírzá Muḥammad-i-urásání|</v>
      </c>
      <c r="J1354" s="3" t="str">
        <f t="shared" si="149"/>
        <v>|Haji Mirza Muhammad-i-Khurasani|</v>
      </c>
      <c r="K1354" s="3" t="str">
        <f t="shared" si="150"/>
        <v>Haji Mirza Muhammad-i-Khurasani</v>
      </c>
      <c r="N1354" s="39" t="str">
        <f t="shared" si="151"/>
        <v/>
      </c>
      <c r="P1354" s="39" t="str">
        <f t="shared" si="152"/>
        <v/>
      </c>
      <c r="R1354" s="39" t="str">
        <f t="shared" si="153"/>
        <v/>
      </c>
      <c r="S1354" s="29">
        <v>41760</v>
      </c>
      <c r="T1354" s="28"/>
      <c r="U1354" s="28"/>
    </row>
    <row r="1355" spans="1:21" s="5" customFormat="1">
      <c r="A1355" s="181" t="s">
        <v>9009</v>
      </c>
      <c r="B1355" s="185" t="s">
        <v>8679</v>
      </c>
      <c r="C1355" s="35" t="str">
        <f t="shared" si="147"/>
        <v>HajiMirzaMuhammadTaqi</v>
      </c>
      <c r="D1355" s="1"/>
      <c r="E1355" s="40"/>
      <c r="F1355" s="12"/>
      <c r="G1355" s="9"/>
      <c r="H1355" s="12" t="s">
        <v>8622</v>
      </c>
      <c r="I1355" s="4" t="str">
        <f t="shared" si="148"/>
        <v>|Ḥájí Mírzá Muḥammad-Taqí|</v>
      </c>
      <c r="J1355" s="3" t="str">
        <f t="shared" si="149"/>
        <v>|Haji Mirza Muhammad-Taqi|</v>
      </c>
      <c r="K1355" s="3" t="str">
        <f t="shared" si="150"/>
        <v>Haji Mirza Muhammad-Taqi</v>
      </c>
      <c r="N1355" s="39" t="str">
        <f t="shared" si="151"/>
        <v/>
      </c>
      <c r="P1355" s="39" t="str">
        <f t="shared" si="152"/>
        <v/>
      </c>
      <c r="R1355" s="39" t="str">
        <f t="shared" si="153"/>
        <v/>
      </c>
      <c r="S1355" s="29">
        <v>41760</v>
      </c>
      <c r="T1355" s="28"/>
      <c r="U1355" s="28"/>
    </row>
    <row r="1356" spans="1:21" s="5" customFormat="1">
      <c r="A1356" s="181" t="s">
        <v>9010</v>
      </c>
      <c r="B1356" s="185" t="s">
        <v>8680</v>
      </c>
      <c r="C1356" s="35" t="str">
        <f t="shared" si="147"/>
        <v>HajiMirzaMusa</v>
      </c>
      <c r="D1356" s="1"/>
      <c r="E1356" s="40"/>
      <c r="F1356" s="12"/>
      <c r="G1356" s="9"/>
      <c r="H1356" s="12" t="s">
        <v>8622</v>
      </c>
      <c r="I1356" s="4" t="str">
        <f t="shared" si="148"/>
        <v>|Ḥájí Mírzá Músá|</v>
      </c>
      <c r="J1356" s="3" t="str">
        <f t="shared" si="149"/>
        <v>|Haji Mirza Musa|</v>
      </c>
      <c r="K1356" s="3" t="str">
        <f t="shared" si="150"/>
        <v>Haji Mirza Musa</v>
      </c>
      <c r="N1356" s="39" t="str">
        <f t="shared" si="151"/>
        <v/>
      </c>
      <c r="P1356" s="39" t="str">
        <f t="shared" si="152"/>
        <v/>
      </c>
      <c r="R1356" s="39" t="str">
        <f t="shared" si="153"/>
        <v/>
      </c>
      <c r="S1356" s="29">
        <v>41760</v>
      </c>
      <c r="T1356" s="28"/>
      <c r="U1356" s="28"/>
    </row>
    <row r="1357" spans="1:21" s="5" customFormat="1">
      <c r="A1357" s="181" t="s">
        <v>9011</v>
      </c>
      <c r="B1357" s="185" t="s">
        <v>8681</v>
      </c>
      <c r="C1357" s="35" t="str">
        <f t="shared" si="147"/>
        <v>HajiMirzaSiyyidAli</v>
      </c>
      <c r="D1357" s="1"/>
      <c r="E1357" s="40"/>
      <c r="F1357" s="12"/>
      <c r="G1357" s="9"/>
      <c r="H1357" s="12" t="s">
        <v>8622</v>
      </c>
      <c r="I1357" s="4" t="str">
        <f t="shared" si="148"/>
        <v>|Ḥájí Mírzá Siyyid ʿAlí|</v>
      </c>
      <c r="J1357" s="3" t="str">
        <f t="shared" si="149"/>
        <v>|Haji Mirza Siyyid 'Ali|</v>
      </c>
      <c r="K1357" s="3" t="str">
        <f t="shared" si="150"/>
        <v>Haji Mirza Siyyid Ali</v>
      </c>
      <c r="N1357" s="39" t="str">
        <f t="shared" si="151"/>
        <v/>
      </c>
      <c r="P1357" s="39" t="str">
        <f t="shared" si="152"/>
        <v/>
      </c>
      <c r="R1357" s="39" t="str">
        <f t="shared" si="153"/>
        <v/>
      </c>
      <c r="S1357" s="29">
        <v>41760</v>
      </c>
      <c r="T1357" s="28"/>
      <c r="U1357" s="28"/>
    </row>
    <row r="1358" spans="1:21" s="5" customFormat="1">
      <c r="A1358" s="181" t="s">
        <v>9012</v>
      </c>
      <c r="B1358" s="185" t="s">
        <v>9013</v>
      </c>
      <c r="C1358" s="35" t="str">
        <f t="shared" si="147"/>
        <v>HajiMuhammadAliiBarfurushi</v>
      </c>
      <c r="D1358" s="1"/>
      <c r="E1358" s="40"/>
      <c r="F1358" s="12"/>
      <c r="G1358" s="9"/>
      <c r="H1358" s="12"/>
      <c r="I1358" s="4" t="str">
        <f t="shared" si="148"/>
        <v>|Hájí Muḥammad-ʿAlí-i-Barfurúí|</v>
      </c>
      <c r="J1358" s="3" t="str">
        <f t="shared" si="149"/>
        <v>|Haji Muhammad-'Ali-i-Barfurushi|</v>
      </c>
      <c r="K1358" s="3" t="str">
        <f t="shared" si="150"/>
        <v>Haji Muhammad-Ali-i-Barfurushi</v>
      </c>
      <c r="M1358" s="1"/>
      <c r="N1358" s="39" t="str">
        <f t="shared" si="151"/>
        <v/>
      </c>
      <c r="O1358" s="1"/>
      <c r="P1358" s="39" t="str">
        <f t="shared" si="152"/>
        <v/>
      </c>
      <c r="Q1358" s="1"/>
      <c r="R1358" s="39" t="str">
        <f t="shared" si="153"/>
        <v/>
      </c>
      <c r="S1358" s="28"/>
      <c r="T1358" s="28"/>
      <c r="U1358" s="28"/>
    </row>
    <row r="1359" spans="1:21" s="5" customFormat="1">
      <c r="A1359" s="181" t="s">
        <v>9014</v>
      </c>
      <c r="B1359" s="185" t="s">
        <v>8792</v>
      </c>
      <c r="C1359" s="35" t="str">
        <f t="shared" si="147"/>
        <v>HajiMuhammadBisat</v>
      </c>
      <c r="D1359" s="1"/>
      <c r="E1359" s="40"/>
      <c r="F1359" s="12"/>
      <c r="G1359" s="9"/>
      <c r="H1359" s="12" t="s">
        <v>8622</v>
      </c>
      <c r="I1359" s="4" t="str">
        <f t="shared" si="148"/>
        <v>|Ḥájí Muḥammad-Bisáṭ|</v>
      </c>
      <c r="J1359" s="3" t="str">
        <f t="shared" si="149"/>
        <v>|Haji Muhammad-Bisat|</v>
      </c>
      <c r="K1359" s="3" t="str">
        <f t="shared" si="150"/>
        <v>Haji Muhammad-Bisat</v>
      </c>
      <c r="N1359" s="39" t="str">
        <f t="shared" si="151"/>
        <v/>
      </c>
      <c r="P1359" s="39" t="str">
        <f t="shared" si="152"/>
        <v/>
      </c>
      <c r="R1359" s="39" t="str">
        <f t="shared" si="153"/>
        <v/>
      </c>
      <c r="S1359" s="29">
        <v>41760</v>
      </c>
      <c r="T1359" s="28"/>
      <c r="U1359" s="28"/>
    </row>
    <row r="1360" spans="1:21" s="5" customFormat="1">
      <c r="A1360" s="181" t="s">
        <v>9015</v>
      </c>
      <c r="B1360" s="185" t="s">
        <v>8793</v>
      </c>
      <c r="C1360" s="35" t="str">
        <f t="shared" si="147"/>
        <v>HajiMuhammadKarimKhan</v>
      </c>
      <c r="D1360" s="1"/>
      <c r="E1360" s="40"/>
      <c r="F1360" s="12"/>
      <c r="G1360" s="9"/>
      <c r="H1360" s="12" t="s">
        <v>8622</v>
      </c>
      <c r="I1360" s="4" t="str">
        <f t="shared" si="148"/>
        <v>|Ḥájí Muḥammad-Karím án|</v>
      </c>
      <c r="J1360" s="3" t="str">
        <f t="shared" si="149"/>
        <v>|Haji Muhammad-Karim Khan|</v>
      </c>
      <c r="K1360" s="3" t="str">
        <f t="shared" si="150"/>
        <v>Haji Muhammad-Karim Khan</v>
      </c>
      <c r="N1360" s="39" t="str">
        <f t="shared" si="151"/>
        <v/>
      </c>
      <c r="P1360" s="39" t="str">
        <f t="shared" si="152"/>
        <v/>
      </c>
      <c r="R1360" s="39" t="str">
        <f t="shared" si="153"/>
        <v/>
      </c>
      <c r="S1360" s="29">
        <v>41760</v>
      </c>
      <c r="T1360" s="28"/>
      <c r="U1360" s="28"/>
    </row>
    <row r="1361" spans="1:21" s="5" customFormat="1">
      <c r="A1361" s="181" t="s">
        <v>9016</v>
      </c>
      <c r="B1361" s="185" t="s">
        <v>8800</v>
      </c>
      <c r="C1361" s="35" t="str">
        <f t="shared" si="147"/>
        <v>HajiMulla</v>
      </c>
      <c r="D1361" s="1"/>
      <c r="E1361" s="40"/>
      <c r="F1361" s="12"/>
      <c r="G1361" s="9"/>
      <c r="H1361" s="12" t="s">
        <v>8622</v>
      </c>
      <c r="I1361" s="4" t="str">
        <f t="shared" si="148"/>
        <v>|Ḥájí Mullá|</v>
      </c>
      <c r="J1361" s="3" t="str">
        <f t="shared" si="149"/>
        <v>|Haji Mulla|</v>
      </c>
      <c r="K1361" s="3" t="str">
        <f t="shared" si="150"/>
        <v>Haji Mulla</v>
      </c>
      <c r="N1361" s="39" t="str">
        <f t="shared" si="151"/>
        <v/>
      </c>
      <c r="P1361" s="39" t="str">
        <f t="shared" si="152"/>
        <v/>
      </c>
      <c r="R1361" s="39" t="str">
        <f t="shared" si="153"/>
        <v/>
      </c>
      <c r="S1361" s="29">
        <v>41760</v>
      </c>
      <c r="T1361" s="28"/>
      <c r="U1361" s="28"/>
    </row>
    <row r="1362" spans="1:21" s="5" customFormat="1">
      <c r="A1362" s="181" t="s">
        <v>9017</v>
      </c>
      <c r="B1362" s="185" t="s">
        <v>8794</v>
      </c>
      <c r="C1362" s="35" t="str">
        <f t="shared" si="147"/>
        <v>HajiMullaAbdulVahhab</v>
      </c>
      <c r="D1362" s="1"/>
      <c r="E1362" s="40"/>
      <c r="F1362" s="12"/>
      <c r="G1362" s="9"/>
      <c r="H1362" s="12" t="s">
        <v>8622</v>
      </c>
      <c r="I1362" s="4" t="str">
        <f t="shared" si="148"/>
        <v>|Ḥájí Mullá ʿAbdu’l-Vahháb|</v>
      </c>
      <c r="J1362" s="3" t="str">
        <f t="shared" si="149"/>
        <v>|Haji Mulla 'Abdu'l-Vahhab|</v>
      </c>
      <c r="K1362" s="3" t="str">
        <f t="shared" si="150"/>
        <v>Haji Mulla Abdul-Vahhab</v>
      </c>
      <c r="N1362" s="39" t="str">
        <f t="shared" si="151"/>
        <v/>
      </c>
      <c r="P1362" s="39" t="str">
        <f t="shared" si="152"/>
        <v/>
      </c>
      <c r="R1362" s="39" t="str">
        <f t="shared" si="153"/>
        <v/>
      </c>
      <c r="S1362" s="29">
        <v>41760</v>
      </c>
      <c r="T1362" s="28"/>
      <c r="U1362" s="28"/>
    </row>
    <row r="1363" spans="1:21" s="5" customFormat="1">
      <c r="A1363" s="181" t="s">
        <v>9018</v>
      </c>
      <c r="B1363" s="185" t="s">
        <v>8795</v>
      </c>
      <c r="C1363" s="35" t="str">
        <f t="shared" si="147"/>
        <v>HajiMullaAli</v>
      </c>
      <c r="D1363" s="1"/>
      <c r="E1363" s="40"/>
      <c r="F1363" s="12"/>
      <c r="G1363" s="9"/>
      <c r="H1363" s="12" t="s">
        <v>8622</v>
      </c>
      <c r="I1363" s="4" t="str">
        <f t="shared" si="148"/>
        <v>|Ḥájí Mullá ʿAlí|</v>
      </c>
      <c r="J1363" s="3" t="str">
        <f t="shared" si="149"/>
        <v>|Haji Mulla 'Ali|</v>
      </c>
      <c r="K1363" s="3" t="str">
        <f t="shared" si="150"/>
        <v>Haji Mulla Ali</v>
      </c>
      <c r="N1363" s="39" t="str">
        <f t="shared" si="151"/>
        <v/>
      </c>
      <c r="P1363" s="39" t="str">
        <f t="shared" si="152"/>
        <v/>
      </c>
      <c r="R1363" s="39" t="str">
        <f t="shared" si="153"/>
        <v/>
      </c>
      <c r="S1363" s="29">
        <v>41760</v>
      </c>
      <c r="T1363" s="28"/>
      <c r="U1363" s="28"/>
    </row>
    <row r="1364" spans="1:21" s="5" customFormat="1">
      <c r="A1364" s="181" t="s">
        <v>9019</v>
      </c>
      <c r="B1364" s="185" t="s">
        <v>8796</v>
      </c>
      <c r="C1364" s="35" t="str">
        <f t="shared" si="147"/>
        <v>HajiMullaSalih</v>
      </c>
      <c r="D1364" s="1"/>
      <c r="E1364" s="40"/>
      <c r="F1364" s="12"/>
      <c r="G1364" s="9"/>
      <c r="H1364" s="12" t="s">
        <v>8622</v>
      </c>
      <c r="I1364" s="4" t="str">
        <f t="shared" si="148"/>
        <v>|Ḥájí Mullá Ṣáliḥ|</v>
      </c>
      <c r="J1364" s="3" t="str">
        <f t="shared" si="149"/>
        <v>|Haji Mulla Salih|</v>
      </c>
      <c r="K1364" s="3" t="str">
        <f t="shared" si="150"/>
        <v>Haji Mulla Salih</v>
      </c>
      <c r="N1364" s="39" t="str">
        <f t="shared" si="151"/>
        <v/>
      </c>
      <c r="P1364" s="39" t="str">
        <f t="shared" si="152"/>
        <v/>
      </c>
      <c r="R1364" s="39" t="str">
        <f t="shared" si="153"/>
        <v/>
      </c>
      <c r="S1364" s="29">
        <v>41760</v>
      </c>
      <c r="T1364" s="28"/>
      <c r="U1364" s="28"/>
    </row>
    <row r="1365" spans="1:21" s="5" customFormat="1">
      <c r="A1365" s="181" t="s">
        <v>9020</v>
      </c>
      <c r="B1365" s="185" t="s">
        <v>8797</v>
      </c>
      <c r="C1365" s="35" t="str">
        <f t="shared" si="147"/>
        <v>HajiMullaSalihiBaraqani</v>
      </c>
      <c r="D1365" s="1"/>
      <c r="E1365" s="40"/>
      <c r="F1365" s="12"/>
      <c r="G1365" s="9"/>
      <c r="H1365" s="12" t="s">
        <v>8622</v>
      </c>
      <c r="I1365" s="4" t="str">
        <f t="shared" si="148"/>
        <v>|Ḥájí Mullá Ṣáliḥ-i-Baraqání|</v>
      </c>
      <c r="J1365" s="3" t="str">
        <f t="shared" si="149"/>
        <v>|Haji Mulla Salih-i-Baraqani|</v>
      </c>
      <c r="K1365" s="3" t="str">
        <f t="shared" si="150"/>
        <v>Haji Mulla Salih-i-Baraqani</v>
      </c>
      <c r="N1365" s="39" t="str">
        <f t="shared" si="151"/>
        <v/>
      </c>
      <c r="P1365" s="39" t="str">
        <f t="shared" si="152"/>
        <v/>
      </c>
      <c r="R1365" s="39" t="str">
        <f t="shared" si="153"/>
        <v/>
      </c>
      <c r="S1365" s="29">
        <v>41760</v>
      </c>
      <c r="T1365" s="28"/>
      <c r="U1365" s="28"/>
    </row>
    <row r="1366" spans="1:21" s="5" customFormat="1">
      <c r="A1366" s="181" t="s">
        <v>9021</v>
      </c>
      <c r="B1366" s="185" t="s">
        <v>8798</v>
      </c>
      <c r="C1366" s="35" t="str">
        <f t="shared" si="147"/>
        <v>HajiMullaSalihiQazvini</v>
      </c>
      <c r="D1366" s="1"/>
      <c r="E1366" s="40"/>
      <c r="F1366" s="12"/>
      <c r="G1366" s="9"/>
      <c r="H1366" s="12" t="s">
        <v>8622</v>
      </c>
      <c r="I1366" s="4" t="str">
        <f t="shared" si="148"/>
        <v>|Ḥáji Mullá Ṣáliḥ-i-Qazvíní|</v>
      </c>
      <c r="J1366" s="3" t="str">
        <f t="shared" si="149"/>
        <v>|Haji Mulla Salih-i-Qazvini|</v>
      </c>
      <c r="K1366" s="3" t="str">
        <f t="shared" si="150"/>
        <v>Haji Mulla Salih-i-Qazvini</v>
      </c>
      <c r="N1366" s="39" t="str">
        <f t="shared" si="151"/>
        <v/>
      </c>
      <c r="P1366" s="39" t="str">
        <f t="shared" si="152"/>
        <v/>
      </c>
      <c r="R1366" s="39" t="str">
        <f t="shared" si="153"/>
        <v/>
      </c>
      <c r="S1366" s="29">
        <v>41760</v>
      </c>
      <c r="T1366" s="28"/>
      <c r="U1366" s="28"/>
    </row>
    <row r="1367" spans="1:21" s="5" customFormat="1">
      <c r="A1367" s="181" t="s">
        <v>9022</v>
      </c>
      <c r="B1367" s="185" t="s">
        <v>8799</v>
      </c>
      <c r="C1367" s="35" t="str">
        <f t="shared" si="147"/>
        <v>HajiMullaTaqiyiBaraqani</v>
      </c>
      <c r="D1367" s="1"/>
      <c r="E1367" s="40"/>
      <c r="F1367" s="12"/>
      <c r="G1367" s="9"/>
      <c r="H1367" s="12" t="s">
        <v>8622</v>
      </c>
      <c r="I1367" s="4" t="str">
        <f t="shared" si="148"/>
        <v>|Ḥájí Mullá Taqíy-i-Baraqání|</v>
      </c>
      <c r="J1367" s="3" t="str">
        <f t="shared" si="149"/>
        <v>|Haji Mulla Taqiy-i-Baraqani|</v>
      </c>
      <c r="K1367" s="3" t="str">
        <f t="shared" si="150"/>
        <v>Haji Mulla Taqiy-i-Baraqani</v>
      </c>
      <c r="N1367" s="39" t="str">
        <f t="shared" si="151"/>
        <v/>
      </c>
      <c r="P1367" s="39" t="str">
        <f t="shared" si="152"/>
        <v/>
      </c>
      <c r="R1367" s="39" t="str">
        <f t="shared" si="153"/>
        <v/>
      </c>
      <c r="S1367" s="29">
        <v>41760</v>
      </c>
      <c r="T1367" s="28"/>
      <c r="U1367" s="28"/>
    </row>
    <row r="1368" spans="1:21" s="5" customFormat="1">
      <c r="A1368" s="181" t="s">
        <v>9023</v>
      </c>
      <c r="B1368" s="185" t="s">
        <v>8801</v>
      </c>
      <c r="C1368" s="35" t="str">
        <f t="shared" si="147"/>
        <v>HajiNiyaziBaghdadi</v>
      </c>
      <c r="D1368" s="1"/>
      <c r="E1368" s="40"/>
      <c r="F1368" s="12"/>
      <c r="G1368" s="9"/>
      <c r="H1368" s="12" t="s">
        <v>8622</v>
      </c>
      <c r="I1368" s="4" t="str">
        <f t="shared" si="148"/>
        <v>|Ḥájí Níyáz-i-Badádí|</v>
      </c>
      <c r="J1368" s="3" t="str">
        <f t="shared" si="149"/>
        <v>|Haji Niyaz-i-Baghdadi|</v>
      </c>
      <c r="K1368" s="3" t="str">
        <f t="shared" si="150"/>
        <v>Haji Niyaz-i-Baghdadi</v>
      </c>
      <c r="N1368" s="39" t="str">
        <f t="shared" si="151"/>
        <v/>
      </c>
      <c r="P1368" s="39" t="str">
        <f t="shared" si="152"/>
        <v/>
      </c>
      <c r="R1368" s="39" t="str">
        <f t="shared" si="153"/>
        <v/>
      </c>
      <c r="S1368" s="29">
        <v>41760</v>
      </c>
      <c r="T1368" s="28"/>
      <c r="U1368" s="28"/>
    </row>
    <row r="1369" spans="1:21" s="5" customFormat="1">
      <c r="A1369" s="181" t="s">
        <v>9024</v>
      </c>
      <c r="B1369" s="185" t="s">
        <v>8802</v>
      </c>
      <c r="C1369" s="35" t="str">
        <f t="shared" si="147"/>
        <v>HajiSiyyidAsadullah</v>
      </c>
      <c r="D1369" s="1"/>
      <c r="E1369" s="40"/>
      <c r="F1369" s="12"/>
      <c r="G1369" s="9"/>
      <c r="H1369" s="12" t="s">
        <v>8622</v>
      </c>
      <c r="I1369" s="4" t="str">
        <f t="shared" si="148"/>
        <v>|Ḥájí Siyyid Asadu’lláh|</v>
      </c>
      <c r="J1369" s="3" t="str">
        <f t="shared" si="149"/>
        <v>|Haji Siyyid Asadu'llah|</v>
      </c>
      <c r="K1369" s="3" t="str">
        <f t="shared" si="150"/>
        <v>Haji Siyyid Asadullah</v>
      </c>
      <c r="N1369" s="39" t="str">
        <f t="shared" si="151"/>
        <v/>
      </c>
      <c r="P1369" s="39" t="str">
        <f t="shared" si="152"/>
        <v/>
      </c>
      <c r="R1369" s="39" t="str">
        <f t="shared" si="153"/>
        <v/>
      </c>
      <c r="S1369" s="29">
        <v>41760</v>
      </c>
      <c r="T1369" s="28"/>
      <c r="U1369" s="28"/>
    </row>
    <row r="1370" spans="1:21" s="5" customFormat="1">
      <c r="A1370" s="181" t="s">
        <v>9025</v>
      </c>
      <c r="B1370" s="185" t="s">
        <v>8803</v>
      </c>
      <c r="C1370" s="35" t="str">
        <f t="shared" si="147"/>
        <v>HajiSiyyidJavad</v>
      </c>
      <c r="D1370" s="1"/>
      <c r="E1370" s="40"/>
      <c r="F1370" s="12"/>
      <c r="G1370" s="9"/>
      <c r="H1370" s="12" t="s">
        <v>8622</v>
      </c>
      <c r="I1370" s="4" t="str">
        <f t="shared" si="148"/>
        <v>|Ḥájí Siyyid Javád|</v>
      </c>
      <c r="J1370" s="3" t="str">
        <f t="shared" si="149"/>
        <v>|Haji Siyyid Javad|</v>
      </c>
      <c r="K1370" s="3" t="str">
        <f t="shared" si="150"/>
        <v>Haji Siyyid Javad</v>
      </c>
      <c r="N1370" s="39" t="str">
        <f t="shared" si="151"/>
        <v/>
      </c>
      <c r="P1370" s="39" t="str">
        <f t="shared" si="152"/>
        <v/>
      </c>
      <c r="R1370" s="39" t="str">
        <f t="shared" si="153"/>
        <v/>
      </c>
      <c r="S1370" s="29">
        <v>41760</v>
      </c>
      <c r="T1370" s="28"/>
      <c r="U1370" s="28"/>
    </row>
    <row r="1371" spans="1:21" s="5" customFormat="1">
      <c r="A1371" s="181" t="s">
        <v>9026</v>
      </c>
      <c r="B1371" s="185" t="s">
        <v>8804</v>
      </c>
      <c r="C1371" s="35" t="str">
        <f t="shared" si="147"/>
        <v>HajiSiyyidJavadiKarbilai</v>
      </c>
      <c r="D1371" s="1"/>
      <c r="E1371" s="40"/>
      <c r="F1371" s="12"/>
      <c r="G1371" s="9"/>
      <c r="H1371" s="12" t="s">
        <v>8622</v>
      </c>
      <c r="I1371" s="4" t="str">
        <f t="shared" si="148"/>
        <v>|Ḥájí Siyyid Javád-i-Karbilá’í|</v>
      </c>
      <c r="J1371" s="3" t="str">
        <f t="shared" si="149"/>
        <v>|Haji Siyyid Javad-i-Karbila'i|</v>
      </c>
      <c r="K1371" s="3" t="str">
        <f t="shared" si="150"/>
        <v>Haji Siyyid Javad-i-Karbilai</v>
      </c>
      <c r="N1371" s="39" t="str">
        <f t="shared" si="151"/>
        <v/>
      </c>
      <c r="P1371" s="39" t="str">
        <f t="shared" si="152"/>
        <v/>
      </c>
      <c r="R1371" s="39" t="str">
        <f t="shared" si="153"/>
        <v/>
      </c>
      <c r="S1371" s="29">
        <v>41760</v>
      </c>
      <c r="T1371" s="28"/>
      <c r="U1371" s="28"/>
    </row>
    <row r="1372" spans="1:21" s="5" customFormat="1">
      <c r="A1372" s="181" t="s">
        <v>9027</v>
      </c>
      <c r="B1372" s="185" t="s">
        <v>8805</v>
      </c>
      <c r="C1372" s="35" t="str">
        <f t="shared" si="147"/>
        <v>HajiSiyyidJavadiKirmani</v>
      </c>
      <c r="D1372" s="1"/>
      <c r="E1372" s="40"/>
      <c r="F1372" s="12"/>
      <c r="G1372" s="9"/>
      <c r="H1372" s="12" t="s">
        <v>8622</v>
      </c>
      <c r="I1372" s="4" t="str">
        <f t="shared" si="148"/>
        <v>|Ḥájí Siyyid Javád-i-Kirmání|</v>
      </c>
      <c r="J1372" s="3" t="str">
        <f t="shared" si="149"/>
        <v>|Haji Siyyid Javad-i-Kirmani|</v>
      </c>
      <c r="K1372" s="3" t="str">
        <f t="shared" si="150"/>
        <v>Haji Siyyid Javad-i-Kirmani</v>
      </c>
      <c r="N1372" s="39" t="str">
        <f t="shared" si="151"/>
        <v/>
      </c>
      <c r="P1372" s="39" t="str">
        <f t="shared" si="152"/>
        <v/>
      </c>
      <c r="R1372" s="39" t="str">
        <f t="shared" si="153"/>
        <v/>
      </c>
      <c r="S1372" s="29">
        <v>41760</v>
      </c>
      <c r="T1372" s="28"/>
      <c r="U1372" s="28"/>
    </row>
    <row r="1373" spans="1:21" s="5" customFormat="1">
      <c r="A1373" s="181" t="s">
        <v>9028</v>
      </c>
      <c r="B1373" s="185" t="s">
        <v>8806</v>
      </c>
      <c r="C1373" s="35" t="str">
        <f t="shared" si="147"/>
        <v>HajiSiyyidKazimiRashti</v>
      </c>
      <c r="D1373" s="1"/>
      <c r="E1373" s="40"/>
      <c r="F1373" s="12"/>
      <c r="G1373" s="9"/>
      <c r="H1373" s="12" t="s">
        <v>8622</v>
      </c>
      <c r="I1373" s="4" t="str">
        <f t="shared" si="148"/>
        <v>|Ḥájí Siyyid Káẓim-i-Ratí|</v>
      </c>
      <c r="J1373" s="3" t="str">
        <f t="shared" si="149"/>
        <v>|Haji Siyyid Kazim-i-Rashti|</v>
      </c>
      <c r="K1373" s="3" t="str">
        <f t="shared" si="150"/>
        <v>Haji Siyyid Kazim-i-Rashti</v>
      </c>
      <c r="N1373" s="39" t="str">
        <f t="shared" si="151"/>
        <v/>
      </c>
      <c r="P1373" s="39" t="str">
        <f t="shared" si="152"/>
        <v/>
      </c>
      <c r="R1373" s="39" t="str">
        <f t="shared" si="153"/>
        <v/>
      </c>
      <c r="S1373" s="29">
        <v>41760</v>
      </c>
      <c r="T1373" s="28"/>
      <c r="U1373" s="28"/>
    </row>
    <row r="1374" spans="1:21" s="5" customFormat="1">
      <c r="A1374" s="181" t="s">
        <v>9029</v>
      </c>
      <c r="B1374" s="185" t="s">
        <v>8807</v>
      </c>
      <c r="C1374" s="35" t="str">
        <f t="shared" si="147"/>
        <v>HajiSiyyidMuhammadBaqir</v>
      </c>
      <c r="D1374" s="1"/>
      <c r="E1374" s="40"/>
      <c r="F1374" s="12"/>
      <c r="G1374" s="9"/>
      <c r="H1374" s="12" t="s">
        <v>8622</v>
      </c>
      <c r="I1374" s="4" t="str">
        <f t="shared" si="148"/>
        <v>|Ḥájí Siyyid Muḥammad-Báqir|</v>
      </c>
      <c r="J1374" s="3" t="str">
        <f t="shared" si="149"/>
        <v>|Haji Siyyid Muhammad-Baqir|</v>
      </c>
      <c r="K1374" s="3" t="str">
        <f t="shared" si="150"/>
        <v>Haji Siyyid Muhammad-Baqir</v>
      </c>
      <c r="N1374" s="39" t="str">
        <f t="shared" si="151"/>
        <v/>
      </c>
      <c r="P1374" s="39" t="str">
        <f t="shared" si="152"/>
        <v/>
      </c>
      <c r="R1374" s="39" t="str">
        <f t="shared" si="153"/>
        <v/>
      </c>
      <c r="S1374" s="29">
        <v>41760</v>
      </c>
      <c r="T1374" s="28"/>
      <c r="U1374" s="28"/>
    </row>
    <row r="1375" spans="1:21" s="5" customFormat="1">
      <c r="A1375" s="181" t="s">
        <v>9030</v>
      </c>
      <c r="B1375" s="185" t="s">
        <v>8652</v>
      </c>
      <c r="C1375" s="35" t="str">
        <f t="shared" si="147"/>
        <v>HajiSiyyidMuhammadBaqiriRashti</v>
      </c>
      <c r="D1375" s="1"/>
      <c r="E1375" s="40"/>
      <c r="F1375" s="12"/>
      <c r="G1375" s="9"/>
      <c r="H1375" s="12" t="s">
        <v>8622</v>
      </c>
      <c r="I1375" s="4" t="str">
        <f t="shared" si="148"/>
        <v>|Ḥájí Siyyid Muḥammad-Báqir-i-Ratí|</v>
      </c>
      <c r="J1375" s="3" t="str">
        <f t="shared" si="149"/>
        <v>|Haji Siyyid Muhammad-Baqir-i-Rashti|</v>
      </c>
      <c r="K1375" s="3" t="str">
        <f t="shared" si="150"/>
        <v>Haji Siyyid Muhammad-Baqir-i-Rashti</v>
      </c>
      <c r="N1375" s="39" t="str">
        <f t="shared" si="151"/>
        <v/>
      </c>
      <c r="P1375" s="39" t="str">
        <f t="shared" si="152"/>
        <v/>
      </c>
      <c r="R1375" s="39" t="str">
        <f t="shared" si="153"/>
        <v/>
      </c>
      <c r="S1375" s="29">
        <v>41760</v>
      </c>
      <c r="T1375" s="28"/>
      <c r="U1375" s="28"/>
    </row>
    <row r="1376" spans="1:21" s="5" customFormat="1">
      <c r="A1376" s="179" t="s">
        <v>1731</v>
      </c>
      <c r="B1376" s="185" t="s">
        <v>6045</v>
      </c>
      <c r="C1376" s="35" t="str">
        <f t="shared" si="147"/>
        <v>HajibudDawlih</v>
      </c>
      <c r="E1376" s="40"/>
      <c r="F1376" s="15"/>
      <c r="G1376" s="17"/>
      <c r="H1376" s="10" t="s">
        <v>8563</v>
      </c>
      <c r="I1376" s="4" t="str">
        <f t="shared" si="148"/>
        <v>|Ḥájíbu’d-Dawlih|</v>
      </c>
      <c r="J1376" s="3" t="str">
        <f t="shared" si="149"/>
        <v>|Hajibu'd-Dawlih|</v>
      </c>
      <c r="K1376" s="3" t="str">
        <f t="shared" si="150"/>
        <v>Hajibud-Dawlih</v>
      </c>
      <c r="N1376" s="39" t="str">
        <f t="shared" si="151"/>
        <v/>
      </c>
      <c r="P1376" s="39" t="str">
        <f t="shared" si="152"/>
        <v/>
      </c>
      <c r="R1376" s="39" t="str">
        <f t="shared" si="153"/>
        <v/>
      </c>
      <c r="S1376" s="28"/>
      <c r="T1376" s="28"/>
      <c r="U1376" s="28"/>
    </row>
    <row r="1377" spans="1:21" s="5" customFormat="1">
      <c r="A1377" s="179" t="s">
        <v>1732</v>
      </c>
      <c r="B1377" s="185" t="s">
        <v>6046</v>
      </c>
      <c r="C1377" s="35" t="str">
        <f t="shared" si="147"/>
        <v>Hajj</v>
      </c>
      <c r="E1377" s="40"/>
      <c r="F1377" s="15" t="s">
        <v>1733</v>
      </c>
      <c r="G1377" s="17"/>
      <c r="H1377" s="10" t="s">
        <v>8563</v>
      </c>
      <c r="I1377" s="4" t="str">
        <f t="shared" si="148"/>
        <v>|Ḥajj|</v>
      </c>
      <c r="J1377" s="3" t="str">
        <f t="shared" si="149"/>
        <v>|Hajj|</v>
      </c>
      <c r="K1377" s="3" t="str">
        <f t="shared" si="150"/>
        <v>Hajj</v>
      </c>
      <c r="N1377" s="39" t="str">
        <f t="shared" si="151"/>
        <v/>
      </c>
      <c r="P1377" s="39" t="str">
        <f t="shared" si="152"/>
        <v/>
      </c>
      <c r="R1377" s="39" t="str">
        <f t="shared" si="153"/>
        <v/>
      </c>
      <c r="S1377" s="28"/>
      <c r="T1377" s="28"/>
      <c r="U1377" s="28"/>
    </row>
    <row r="1378" spans="1:21" s="5" customFormat="1">
      <c r="A1378" s="179" t="s">
        <v>1734</v>
      </c>
      <c r="B1378" s="185" t="s">
        <v>6047</v>
      </c>
      <c r="C1378" s="35" t="str">
        <f t="shared" si="147"/>
        <v>Hajji</v>
      </c>
      <c r="E1378" s="40"/>
      <c r="F1378" s="15"/>
      <c r="G1378" s="17"/>
      <c r="H1378" s="10" t="s">
        <v>8563</v>
      </c>
      <c r="I1378" s="4" t="str">
        <f t="shared" si="148"/>
        <v>|Ḥajji|</v>
      </c>
      <c r="J1378" s="3" t="str">
        <f t="shared" si="149"/>
        <v>|Hajji|</v>
      </c>
      <c r="K1378" s="3" t="str">
        <f t="shared" si="150"/>
        <v>Hajji</v>
      </c>
      <c r="N1378" s="39" t="str">
        <f t="shared" si="151"/>
        <v/>
      </c>
      <c r="P1378" s="39" t="str">
        <f t="shared" si="152"/>
        <v/>
      </c>
      <c r="R1378" s="39" t="str">
        <f t="shared" si="153"/>
        <v/>
      </c>
      <c r="S1378" s="28"/>
      <c r="T1378" s="28"/>
      <c r="U1378" s="28"/>
    </row>
    <row r="1379" spans="1:21" s="5" customFormat="1">
      <c r="A1379" s="179" t="s">
        <v>1735</v>
      </c>
      <c r="B1379" s="185" t="s">
        <v>6048</v>
      </c>
      <c r="C1379" s="35" t="str">
        <f t="shared" si="147"/>
        <v>Hakim</v>
      </c>
      <c r="E1379" s="40"/>
      <c r="F1379" s="14"/>
      <c r="G1379" s="17"/>
      <c r="H1379" s="10" t="s">
        <v>8563</v>
      </c>
      <c r="I1379" s="4" t="str">
        <f t="shared" si="148"/>
        <v>|Ḥakím|</v>
      </c>
      <c r="J1379" s="3" t="str">
        <f t="shared" si="149"/>
        <v>|Hakim|</v>
      </c>
      <c r="K1379" s="3" t="str">
        <f t="shared" si="150"/>
        <v>Hakim</v>
      </c>
      <c r="N1379" s="39" t="str">
        <f t="shared" si="151"/>
        <v/>
      </c>
      <c r="P1379" s="39" t="str">
        <f t="shared" si="152"/>
        <v/>
      </c>
      <c r="R1379" s="39" t="str">
        <f t="shared" si="153"/>
        <v/>
      </c>
      <c r="S1379" s="28"/>
      <c r="T1379" s="28"/>
      <c r="U1379" s="28"/>
    </row>
    <row r="1380" spans="1:21" s="5" customFormat="1">
      <c r="A1380" s="179" t="s">
        <v>1736</v>
      </c>
      <c r="B1380" s="185" t="s">
        <v>6049</v>
      </c>
      <c r="C1380" s="35" t="str">
        <f t="shared" si="147"/>
        <v>Hakiman</v>
      </c>
      <c r="E1380" s="40"/>
      <c r="F1380" s="15"/>
      <c r="G1380" s="17"/>
      <c r="H1380" s="10" t="s">
        <v>8563</v>
      </c>
      <c r="I1380" s="4" t="str">
        <f t="shared" si="148"/>
        <v>|Ḥakímán|</v>
      </c>
      <c r="J1380" s="3" t="str">
        <f t="shared" si="149"/>
        <v>|Hakiman|</v>
      </c>
      <c r="K1380" s="3" t="str">
        <f t="shared" si="150"/>
        <v>Hakiman</v>
      </c>
      <c r="N1380" s="39" t="str">
        <f t="shared" si="151"/>
        <v/>
      </c>
      <c r="P1380" s="39" t="str">
        <f t="shared" si="152"/>
        <v/>
      </c>
      <c r="R1380" s="39" t="str">
        <f t="shared" si="153"/>
        <v/>
      </c>
      <c r="S1380" s="28"/>
      <c r="T1380" s="28"/>
      <c r="U1380" s="28"/>
    </row>
    <row r="1381" spans="1:21" s="5" customFormat="1">
      <c r="A1381" s="179" t="s">
        <v>1737</v>
      </c>
      <c r="B1381" s="185" t="s">
        <v>6050</v>
      </c>
      <c r="C1381" s="35" t="str">
        <f t="shared" si="147"/>
        <v>HakimBashi</v>
      </c>
      <c r="E1381" s="40"/>
      <c r="F1381" s="15"/>
      <c r="G1381" s="17"/>
      <c r="H1381" s="10" t="s">
        <v>8563</v>
      </c>
      <c r="I1381" s="4" t="str">
        <f t="shared" si="148"/>
        <v>|Ḥakím-Báí|</v>
      </c>
      <c r="J1381" s="3" t="str">
        <f t="shared" si="149"/>
        <v>|Hakim-Bashi|</v>
      </c>
      <c r="K1381" s="3" t="str">
        <f t="shared" si="150"/>
        <v>Hakim-Bashi</v>
      </c>
      <c r="N1381" s="39" t="str">
        <f t="shared" si="151"/>
        <v/>
      </c>
      <c r="P1381" s="39" t="str">
        <f t="shared" si="152"/>
        <v/>
      </c>
      <c r="R1381" s="39" t="str">
        <f t="shared" si="153"/>
        <v/>
      </c>
      <c r="S1381" s="28"/>
      <c r="T1381" s="28"/>
      <c r="U1381" s="28"/>
    </row>
    <row r="1382" spans="1:21" s="5" customFormat="1">
      <c r="A1382" s="179" t="s">
        <v>1738</v>
      </c>
      <c r="B1382" s="185" t="s">
        <v>6051</v>
      </c>
      <c r="C1382" s="35" t="str">
        <f t="shared" si="147"/>
        <v>Halabi</v>
      </c>
      <c r="E1382" s="40"/>
      <c r="F1382" s="15"/>
      <c r="G1382" s="17"/>
      <c r="H1382" s="10" t="s">
        <v>8563</v>
      </c>
      <c r="I1382" s="4" t="str">
        <f t="shared" si="148"/>
        <v>|Ḥalabí|</v>
      </c>
      <c r="J1382" s="3" t="str">
        <f t="shared" si="149"/>
        <v>|Halabi|</v>
      </c>
      <c r="K1382" s="3" t="str">
        <f t="shared" si="150"/>
        <v>Halabi</v>
      </c>
      <c r="N1382" s="39" t="str">
        <f t="shared" si="151"/>
        <v/>
      </c>
      <c r="P1382" s="39" t="str">
        <f t="shared" si="152"/>
        <v/>
      </c>
      <c r="R1382" s="39" t="str">
        <f t="shared" si="153"/>
        <v/>
      </c>
      <c r="S1382" s="28"/>
      <c r="T1382" s="28"/>
      <c r="U1382" s="28"/>
    </row>
    <row r="1383" spans="1:21" s="5" customFormat="1">
      <c r="A1383" s="179" t="s">
        <v>1739</v>
      </c>
      <c r="B1383" s="185" t="s">
        <v>6052</v>
      </c>
      <c r="C1383" s="35" t="str">
        <f t="shared" si="147"/>
        <v>Halal</v>
      </c>
      <c r="E1383" s="40"/>
      <c r="F1383" s="15" t="s">
        <v>1740</v>
      </c>
      <c r="G1383" s="17"/>
      <c r="H1383" s="10" t="s">
        <v>8563</v>
      </c>
      <c r="I1383" s="4" t="str">
        <f t="shared" si="148"/>
        <v>|Ḥalál|</v>
      </c>
      <c r="J1383" s="3" t="str">
        <f t="shared" si="149"/>
        <v>|Halal|</v>
      </c>
      <c r="K1383" s="3" t="str">
        <f t="shared" si="150"/>
        <v>Halal</v>
      </c>
      <c r="N1383" s="39" t="str">
        <f t="shared" si="151"/>
        <v/>
      </c>
      <c r="P1383" s="39" t="str">
        <f t="shared" si="152"/>
        <v/>
      </c>
      <c r="R1383" s="39" t="str">
        <f t="shared" si="153"/>
        <v/>
      </c>
      <c r="S1383" s="28"/>
      <c r="T1383" s="28"/>
      <c r="U1383" s="28"/>
    </row>
    <row r="1384" spans="1:21" s="5" customFormat="1">
      <c r="A1384" s="179" t="s">
        <v>1741</v>
      </c>
      <c r="B1384" s="185" t="s">
        <v>6053</v>
      </c>
      <c r="C1384" s="35" t="str">
        <f t="shared" si="147"/>
        <v>Halat</v>
      </c>
      <c r="E1384" s="40"/>
      <c r="F1384" s="15" t="s">
        <v>1742</v>
      </c>
      <c r="G1384" s="17"/>
      <c r="H1384" s="10" t="s">
        <v>8563</v>
      </c>
      <c r="I1384" s="4" t="str">
        <f t="shared" si="148"/>
        <v>|Ḥálát|</v>
      </c>
      <c r="J1384" s="3" t="str">
        <f t="shared" si="149"/>
        <v>|Halat|</v>
      </c>
      <c r="K1384" s="3" t="str">
        <f t="shared" si="150"/>
        <v>Halat</v>
      </c>
      <c r="N1384" s="39" t="str">
        <f t="shared" si="151"/>
        <v/>
      </c>
      <c r="P1384" s="39" t="str">
        <f t="shared" si="152"/>
        <v/>
      </c>
      <c r="R1384" s="39" t="str">
        <f t="shared" si="153"/>
        <v/>
      </c>
      <c r="S1384" s="28"/>
      <c r="T1384" s="28"/>
      <c r="U1384" s="28"/>
    </row>
    <row r="1385" spans="1:21" s="5" customFormat="1">
      <c r="A1385" s="179" t="s">
        <v>1746</v>
      </c>
      <c r="B1385" s="185" t="s">
        <v>6056</v>
      </c>
      <c r="C1385" s="35" t="str">
        <f t="shared" si="147"/>
        <v>Halavi</v>
      </c>
      <c r="E1385" s="40"/>
      <c r="F1385" s="15"/>
      <c r="G1385" s="17"/>
      <c r="H1385" s="10" t="s">
        <v>8563</v>
      </c>
      <c r="I1385" s="4" t="str">
        <f t="shared" si="148"/>
        <v>|Halaví|</v>
      </c>
      <c r="J1385" s="3" t="str">
        <f t="shared" si="149"/>
        <v>|Halavi|</v>
      </c>
      <c r="K1385" s="3" t="str">
        <f t="shared" si="150"/>
        <v>Halavi</v>
      </c>
      <c r="N1385" s="39" t="str">
        <f t="shared" si="151"/>
        <v/>
      </c>
      <c r="P1385" s="39" t="str">
        <f t="shared" si="152"/>
        <v/>
      </c>
      <c r="R1385" s="39" t="str">
        <f t="shared" si="153"/>
        <v/>
      </c>
      <c r="S1385" s="28"/>
      <c r="T1385" s="28"/>
      <c r="U1385" s="28"/>
    </row>
    <row r="1386" spans="1:21" s="5" customFormat="1">
      <c r="A1386" s="179" t="s">
        <v>1743</v>
      </c>
      <c r="B1386" s="185" t="s">
        <v>6054</v>
      </c>
      <c r="C1386" s="35" t="str">
        <f t="shared" si="147"/>
        <v>HalihHalihYaBisharat</v>
      </c>
      <c r="E1386" s="40"/>
      <c r="F1386" s="15" t="s">
        <v>1744</v>
      </c>
      <c r="G1386" s="17"/>
      <c r="H1386" s="10" t="s">
        <v>8563</v>
      </c>
      <c r="I1386" s="4" t="str">
        <f t="shared" si="148"/>
        <v>|Halih-Halih-Yá-Biárat|</v>
      </c>
      <c r="J1386" s="3" t="str">
        <f t="shared" si="149"/>
        <v>|Halih-Halih-Ya-Bisharat|</v>
      </c>
      <c r="K1386" s="3" t="str">
        <f t="shared" si="150"/>
        <v>Halih-Halih-Ya-Bisharat</v>
      </c>
      <c r="N1386" s="39" t="str">
        <f t="shared" si="151"/>
        <v/>
      </c>
      <c r="P1386" s="39" t="str">
        <f t="shared" si="152"/>
        <v/>
      </c>
      <c r="R1386" s="39" t="str">
        <f t="shared" si="153"/>
        <v/>
      </c>
      <c r="S1386" s="28"/>
      <c r="T1386" s="28"/>
      <c r="U1386" s="28"/>
    </row>
    <row r="1387" spans="1:21" s="5" customFormat="1">
      <c r="A1387" s="179" t="s">
        <v>1745</v>
      </c>
      <c r="B1387" s="185" t="s">
        <v>6055</v>
      </c>
      <c r="C1387" s="35" t="str">
        <f t="shared" si="147"/>
        <v>Hallaj</v>
      </c>
      <c r="E1387" s="40"/>
      <c r="F1387" s="15"/>
      <c r="G1387" s="17"/>
      <c r="H1387" s="10" t="s">
        <v>8563</v>
      </c>
      <c r="I1387" s="4" t="str">
        <f t="shared" si="148"/>
        <v>|Ḥalláj|</v>
      </c>
      <c r="J1387" s="3" t="str">
        <f t="shared" si="149"/>
        <v>|Hallaj|</v>
      </c>
      <c r="K1387" s="3" t="str">
        <f t="shared" si="150"/>
        <v>Hallaj</v>
      </c>
      <c r="N1387" s="39" t="str">
        <f t="shared" si="151"/>
        <v/>
      </c>
      <c r="P1387" s="39" t="str">
        <f t="shared" si="152"/>
        <v/>
      </c>
      <c r="R1387" s="39" t="str">
        <f t="shared" si="153"/>
        <v/>
      </c>
      <c r="S1387" s="28"/>
      <c r="T1387" s="28"/>
      <c r="U1387" s="28"/>
    </row>
    <row r="1388" spans="1:21" s="5" customFormat="1">
      <c r="A1388" s="179" t="s">
        <v>1747</v>
      </c>
      <c r="B1388" s="185" t="s">
        <v>9031</v>
      </c>
      <c r="C1388" s="35" t="str">
        <f t="shared" si="147"/>
        <v>Hama(eigentlich:)Huma</v>
      </c>
      <c r="E1388" s="40"/>
      <c r="F1388" s="15"/>
      <c r="G1388" s="17"/>
      <c r="H1388" s="10" t="s">
        <v>8563</v>
      </c>
      <c r="I1388" s="4" t="str">
        <f t="shared" si="148"/>
        <v>|Hamá (eigentlich:) Humá|</v>
      </c>
      <c r="J1388" s="3" t="str">
        <f t="shared" si="149"/>
        <v>|Hama (eigentlich:) Huma|</v>
      </c>
      <c r="K1388" s="3" t="str">
        <f t="shared" si="150"/>
        <v>Hama (eigentlich:) Huma</v>
      </c>
      <c r="N1388" s="39" t="str">
        <f t="shared" si="151"/>
        <v/>
      </c>
      <c r="P1388" s="39" t="str">
        <f t="shared" si="152"/>
        <v/>
      </c>
      <c r="R1388" s="39" t="str">
        <f t="shared" si="153"/>
        <v/>
      </c>
      <c r="S1388" s="28"/>
      <c r="T1388" s="28"/>
      <c r="U1388" s="28"/>
    </row>
    <row r="1389" spans="1:21" s="5" customFormat="1">
      <c r="A1389" s="179" t="s">
        <v>1748</v>
      </c>
      <c r="B1389" s="185" t="s">
        <v>6057</v>
      </c>
      <c r="C1389" s="35" t="str">
        <f t="shared" si="147"/>
        <v>Hamadan</v>
      </c>
      <c r="E1389" s="40"/>
      <c r="F1389" s="14"/>
      <c r="G1389" s="17"/>
      <c r="H1389" s="10" t="s">
        <v>8563</v>
      </c>
      <c r="I1389" s="4" t="str">
        <f t="shared" si="148"/>
        <v>|Hamadán|</v>
      </c>
      <c r="J1389" s="3" t="str">
        <f t="shared" si="149"/>
        <v>|Hamadan|</v>
      </c>
      <c r="K1389" s="3" t="str">
        <f t="shared" si="150"/>
        <v>Hamadan</v>
      </c>
      <c r="N1389" s="39" t="str">
        <f t="shared" si="151"/>
        <v/>
      </c>
      <c r="P1389" s="39" t="str">
        <f t="shared" si="152"/>
        <v/>
      </c>
      <c r="R1389" s="39" t="str">
        <f t="shared" si="153"/>
        <v/>
      </c>
      <c r="S1389" s="28"/>
      <c r="T1389" s="28"/>
      <c r="U1389" s="28"/>
    </row>
    <row r="1390" spans="1:21" s="5" customFormat="1">
      <c r="A1390" s="179" t="s">
        <v>1749</v>
      </c>
      <c r="B1390" s="185" t="s">
        <v>6058</v>
      </c>
      <c r="C1390" s="35" t="str">
        <f t="shared" si="147"/>
        <v>Hamadani</v>
      </c>
      <c r="E1390" s="40"/>
      <c r="F1390" s="14"/>
      <c r="G1390" s="17"/>
      <c r="H1390" s="10" t="s">
        <v>8563</v>
      </c>
      <c r="I1390" s="4" t="str">
        <f t="shared" si="148"/>
        <v>|Hamadání|</v>
      </c>
      <c r="J1390" s="3" t="str">
        <f t="shared" si="149"/>
        <v>|Hamadani|</v>
      </c>
      <c r="K1390" s="3" t="str">
        <f t="shared" si="150"/>
        <v>Hamadani</v>
      </c>
      <c r="N1390" s="39" t="str">
        <f t="shared" si="151"/>
        <v/>
      </c>
      <c r="P1390" s="39" t="str">
        <f t="shared" si="152"/>
        <v/>
      </c>
      <c r="R1390" s="39" t="str">
        <f t="shared" si="153"/>
        <v/>
      </c>
      <c r="S1390" s="28"/>
      <c r="T1390" s="28"/>
      <c r="U1390" s="28"/>
    </row>
    <row r="1391" spans="1:21" s="5" customFormat="1">
      <c r="A1391" s="179" t="s">
        <v>1750</v>
      </c>
      <c r="B1391" s="185" t="s">
        <v>6059</v>
      </c>
      <c r="C1391" s="35" t="str">
        <f t="shared" si="147"/>
        <v>Haman</v>
      </c>
      <c r="E1391" s="40"/>
      <c r="F1391" s="14"/>
      <c r="G1391" s="17"/>
      <c r="H1391" s="10" t="s">
        <v>8563</v>
      </c>
      <c r="I1391" s="4" t="str">
        <f t="shared" si="148"/>
        <v>|Hamán|</v>
      </c>
      <c r="J1391" s="3" t="str">
        <f t="shared" si="149"/>
        <v>|Haman|</v>
      </c>
      <c r="K1391" s="3" t="str">
        <f t="shared" si="150"/>
        <v>Haman</v>
      </c>
      <c r="N1391" s="39" t="str">
        <f t="shared" si="151"/>
        <v/>
      </c>
      <c r="P1391" s="39" t="str">
        <f t="shared" si="152"/>
        <v/>
      </c>
      <c r="R1391" s="39" t="str">
        <f t="shared" si="153"/>
        <v/>
      </c>
      <c r="S1391" s="28"/>
      <c r="T1391" s="28"/>
      <c r="U1391" s="28"/>
    </row>
    <row r="1392" spans="1:21" s="5" customFormat="1">
      <c r="A1392" s="179" t="s">
        <v>1751</v>
      </c>
      <c r="B1392" s="185" t="s">
        <v>6060</v>
      </c>
      <c r="C1392" s="35" t="str">
        <f t="shared" si="147"/>
        <v>Hamath</v>
      </c>
      <c r="E1392" s="40"/>
      <c r="F1392" s="14"/>
      <c r="G1392" s="17"/>
      <c r="H1392" s="10" t="s">
        <v>8563</v>
      </c>
      <c r="I1392" s="4" t="str">
        <f t="shared" si="148"/>
        <v>|Hama|</v>
      </c>
      <c r="J1392" s="3" t="str">
        <f t="shared" si="149"/>
        <v>|Hamath|</v>
      </c>
      <c r="K1392" s="3" t="str">
        <f t="shared" si="150"/>
        <v>Hamath</v>
      </c>
      <c r="N1392" s="39" t="str">
        <f t="shared" si="151"/>
        <v/>
      </c>
      <c r="P1392" s="39" t="str">
        <f t="shared" si="152"/>
        <v/>
      </c>
      <c r="R1392" s="39" t="str">
        <f t="shared" si="153"/>
        <v/>
      </c>
      <c r="S1392" s="28"/>
      <c r="T1392" s="28"/>
      <c r="U1392" s="28"/>
    </row>
    <row r="1393" spans="1:21" s="5" customFormat="1">
      <c r="A1393" s="179" t="s">
        <v>1752</v>
      </c>
      <c r="B1393" s="185" t="s">
        <v>6061</v>
      </c>
      <c r="C1393" s="35" t="str">
        <f t="shared" si="147"/>
        <v>Hamid</v>
      </c>
      <c r="E1393" s="40"/>
      <c r="F1393" s="15"/>
      <c r="G1393" s="17"/>
      <c r="H1393" s="10" t="s">
        <v>8563</v>
      </c>
      <c r="I1393" s="4" t="str">
        <f t="shared" si="148"/>
        <v>|Ḥamíd|</v>
      </c>
      <c r="J1393" s="3" t="str">
        <f t="shared" si="149"/>
        <v>|Hamid|</v>
      </c>
      <c r="K1393" s="3" t="str">
        <f t="shared" si="150"/>
        <v>Hamid</v>
      </c>
      <c r="N1393" s="39" t="str">
        <f t="shared" si="151"/>
        <v/>
      </c>
      <c r="P1393" s="39" t="str">
        <f t="shared" si="152"/>
        <v/>
      </c>
      <c r="R1393" s="39" t="str">
        <f t="shared" si="153"/>
        <v/>
      </c>
      <c r="S1393" s="28"/>
      <c r="T1393" s="28"/>
      <c r="U1393" s="28"/>
    </row>
    <row r="1394" spans="1:21" s="5" customFormat="1">
      <c r="A1394" s="179" t="s">
        <v>1753</v>
      </c>
      <c r="B1394" s="185" t="s">
        <v>6062</v>
      </c>
      <c r="C1394" s="35" t="str">
        <f t="shared" si="147"/>
        <v>Hammal</v>
      </c>
      <c r="E1394" s="40"/>
      <c r="F1394" s="15" t="s">
        <v>1754</v>
      </c>
      <c r="G1394" s="17"/>
      <c r="H1394" s="10" t="s">
        <v>8563</v>
      </c>
      <c r="I1394" s="4" t="str">
        <f t="shared" si="148"/>
        <v>|Ḥammál|</v>
      </c>
      <c r="J1394" s="3" t="str">
        <f t="shared" si="149"/>
        <v>|Hammal|</v>
      </c>
      <c r="K1394" s="3" t="str">
        <f t="shared" si="150"/>
        <v>Hammal</v>
      </c>
      <c r="N1394" s="39" t="str">
        <f t="shared" si="151"/>
        <v/>
      </c>
      <c r="P1394" s="39" t="str">
        <f t="shared" si="152"/>
        <v/>
      </c>
      <c r="R1394" s="39" t="str">
        <f t="shared" si="153"/>
        <v/>
      </c>
      <c r="S1394" s="28"/>
      <c r="T1394" s="28"/>
      <c r="U1394" s="28"/>
    </row>
    <row r="1395" spans="1:21" s="5" customFormat="1">
      <c r="A1395" s="179" t="s">
        <v>1755</v>
      </c>
      <c r="B1395" s="185" t="s">
        <v>6063</v>
      </c>
      <c r="C1395" s="35" t="str">
        <f t="shared" si="147"/>
        <v>Hammam</v>
      </c>
      <c r="E1395" s="40"/>
      <c r="F1395" s="15" t="s">
        <v>1756</v>
      </c>
      <c r="G1395" s="17"/>
      <c r="H1395" s="10" t="s">
        <v>8563</v>
      </c>
      <c r="I1395" s="4" t="str">
        <f t="shared" si="148"/>
        <v>|Ḥammám|</v>
      </c>
      <c r="J1395" s="3" t="str">
        <f t="shared" si="149"/>
        <v>|Hammam|</v>
      </c>
      <c r="K1395" s="3" t="str">
        <f t="shared" si="150"/>
        <v>Hammam</v>
      </c>
      <c r="N1395" s="39" t="str">
        <f t="shared" si="151"/>
        <v/>
      </c>
      <c r="P1395" s="39" t="str">
        <f t="shared" si="152"/>
        <v/>
      </c>
      <c r="R1395" s="39" t="str">
        <f t="shared" si="153"/>
        <v/>
      </c>
      <c r="S1395" s="28"/>
      <c r="T1395" s="28"/>
      <c r="U1395" s="28"/>
    </row>
    <row r="1396" spans="1:21" s="5" customFormat="1">
      <c r="A1396" s="179" t="s">
        <v>1757</v>
      </c>
      <c r="B1396" s="185" t="s">
        <v>6064</v>
      </c>
      <c r="C1396" s="35" t="str">
        <f t="shared" si="147"/>
        <v>Hamra</v>
      </c>
      <c r="E1396" s="40"/>
      <c r="F1396" s="15" t="s">
        <v>1758</v>
      </c>
      <c r="G1396" s="17"/>
      <c r="H1396" s="10" t="s">
        <v>8563</v>
      </c>
      <c r="I1396" s="4" t="str">
        <f t="shared" si="148"/>
        <v>|Ḥamrá’|</v>
      </c>
      <c r="J1396" s="3" t="str">
        <f t="shared" si="149"/>
        <v>|Hamra'|</v>
      </c>
      <c r="K1396" s="3" t="str">
        <f t="shared" si="150"/>
        <v>Hamra</v>
      </c>
      <c r="N1396" s="39" t="str">
        <f t="shared" si="151"/>
        <v/>
      </c>
      <c r="P1396" s="39" t="str">
        <f t="shared" si="152"/>
        <v/>
      </c>
      <c r="R1396" s="39" t="str">
        <f t="shared" si="153"/>
        <v/>
      </c>
      <c r="S1396" s="28"/>
      <c r="T1396" s="28"/>
      <c r="U1396" s="28"/>
    </row>
    <row r="1397" spans="1:21" s="5" customFormat="1">
      <c r="A1397" s="179" t="s">
        <v>1759</v>
      </c>
      <c r="B1397" s="185" t="s">
        <v>6065</v>
      </c>
      <c r="C1397" s="35" t="str">
        <f t="shared" si="147"/>
        <v>Hamzih</v>
      </c>
      <c r="E1397" s="40"/>
      <c r="F1397" s="14"/>
      <c r="G1397" s="17"/>
      <c r="H1397" s="10" t="s">
        <v>8563</v>
      </c>
      <c r="I1397" s="4" t="str">
        <f t="shared" si="148"/>
        <v>|Ḥamzih|</v>
      </c>
      <c r="J1397" s="3" t="str">
        <f t="shared" si="149"/>
        <v>|Hamzih|</v>
      </c>
      <c r="K1397" s="3" t="str">
        <f t="shared" si="150"/>
        <v>Hamzih</v>
      </c>
      <c r="N1397" s="39" t="str">
        <f t="shared" si="151"/>
        <v/>
      </c>
      <c r="P1397" s="39" t="str">
        <f t="shared" si="152"/>
        <v/>
      </c>
      <c r="R1397" s="39" t="str">
        <f t="shared" si="153"/>
        <v/>
      </c>
      <c r="S1397" s="28"/>
      <c r="T1397" s="28"/>
      <c r="U1397" s="28"/>
    </row>
    <row r="1398" spans="1:21" s="5" customFormat="1">
      <c r="A1398" s="179" t="s">
        <v>1760</v>
      </c>
      <c r="B1398" s="185" t="s">
        <v>6066</v>
      </c>
      <c r="C1398" s="35" t="str">
        <f t="shared" si="147"/>
        <v>Hanabali</v>
      </c>
      <c r="E1398" s="40"/>
      <c r="F1398" s="15" t="s">
        <v>1761</v>
      </c>
      <c r="G1398" s="17"/>
      <c r="H1398" s="10" t="s">
        <v>8563</v>
      </c>
      <c r="I1398" s="4" t="str">
        <f t="shared" si="148"/>
        <v>|Ḥanabalí|</v>
      </c>
      <c r="J1398" s="3" t="str">
        <f t="shared" si="149"/>
        <v>|Hanabali|</v>
      </c>
      <c r="K1398" s="3" t="str">
        <f t="shared" si="150"/>
        <v>Hanabali</v>
      </c>
      <c r="N1398" s="39" t="str">
        <f t="shared" si="151"/>
        <v/>
      </c>
      <c r="P1398" s="39" t="str">
        <f t="shared" si="152"/>
        <v/>
      </c>
      <c r="R1398" s="39" t="str">
        <f t="shared" si="153"/>
        <v/>
      </c>
      <c r="S1398" s="28"/>
      <c r="T1398" s="28"/>
      <c r="U1398" s="28"/>
    </row>
    <row r="1399" spans="1:21" s="5" customFormat="1">
      <c r="A1399" s="179" t="s">
        <v>1762</v>
      </c>
      <c r="B1399" s="185" t="s">
        <v>6067</v>
      </c>
      <c r="C1399" s="35" t="str">
        <f t="shared" si="147"/>
        <v>Hanafi</v>
      </c>
      <c r="E1399" s="40"/>
      <c r="F1399" s="15" t="s">
        <v>1761</v>
      </c>
      <c r="G1399" s="17"/>
      <c r="H1399" s="10" t="s">
        <v>8563</v>
      </c>
      <c r="I1399" s="4" t="str">
        <f t="shared" si="148"/>
        <v>|Ḥanafí|</v>
      </c>
      <c r="J1399" s="3" t="str">
        <f t="shared" si="149"/>
        <v>|Hanafi|</v>
      </c>
      <c r="K1399" s="3" t="str">
        <f t="shared" si="150"/>
        <v>Hanafi</v>
      </c>
      <c r="N1399" s="39" t="str">
        <f t="shared" si="151"/>
        <v/>
      </c>
      <c r="P1399" s="39" t="str">
        <f t="shared" si="152"/>
        <v/>
      </c>
      <c r="R1399" s="39" t="str">
        <f t="shared" si="153"/>
        <v/>
      </c>
      <c r="S1399" s="28"/>
      <c r="T1399" s="28"/>
      <c r="U1399" s="28"/>
    </row>
    <row r="1400" spans="1:21" s="5" customFormat="1">
      <c r="A1400" s="179" t="s">
        <v>1763</v>
      </c>
      <c r="B1400" s="185" t="s">
        <v>6068</v>
      </c>
      <c r="C1400" s="35" t="str">
        <f t="shared" si="147"/>
        <v>Hanafiyyih</v>
      </c>
      <c r="E1400" s="40"/>
      <c r="F1400" s="15"/>
      <c r="G1400" s="17"/>
      <c r="H1400" s="10" t="s">
        <v>8563</v>
      </c>
      <c r="I1400" s="4" t="str">
        <f t="shared" si="148"/>
        <v>|Ḥanafiyyih|</v>
      </c>
      <c r="J1400" s="3" t="str">
        <f t="shared" si="149"/>
        <v>|Hanafiyyih|</v>
      </c>
      <c r="K1400" s="3" t="str">
        <f t="shared" si="150"/>
        <v>Hanafiyyih</v>
      </c>
      <c r="N1400" s="39" t="str">
        <f t="shared" si="151"/>
        <v/>
      </c>
      <c r="P1400" s="39" t="str">
        <f t="shared" si="152"/>
        <v/>
      </c>
      <c r="R1400" s="39" t="str">
        <f t="shared" si="153"/>
        <v/>
      </c>
      <c r="S1400" s="28"/>
      <c r="T1400" s="28"/>
      <c r="U1400" s="28"/>
    </row>
    <row r="1401" spans="1:21" s="5" customFormat="1">
      <c r="A1401" s="179" t="s">
        <v>1764</v>
      </c>
      <c r="B1401" s="185" t="s">
        <v>6069</v>
      </c>
      <c r="C1401" s="35" t="str">
        <f t="shared" si="147"/>
        <v>HanaSab</v>
      </c>
      <c r="E1401" s="40"/>
      <c r="F1401" s="15"/>
      <c r="G1401" s="17"/>
      <c r="H1401" s="10" t="s">
        <v>8563</v>
      </c>
      <c r="I1401" s="4" t="str">
        <f t="shared" si="148"/>
        <v>|Ḥaná-Sáb|</v>
      </c>
      <c r="J1401" s="3" t="str">
        <f t="shared" si="149"/>
        <v>|Hana-Sab|</v>
      </c>
      <c r="K1401" s="3" t="str">
        <f t="shared" si="150"/>
        <v>Hana-Sab</v>
      </c>
      <c r="N1401" s="39" t="str">
        <f t="shared" si="151"/>
        <v/>
      </c>
      <c r="P1401" s="39" t="str">
        <f t="shared" si="152"/>
        <v/>
      </c>
      <c r="R1401" s="39" t="str">
        <f t="shared" si="153"/>
        <v/>
      </c>
      <c r="S1401" s="28"/>
      <c r="T1401" s="28"/>
      <c r="U1401" s="28"/>
    </row>
    <row r="1402" spans="1:21" s="5" customFormat="1">
      <c r="A1402" s="179" t="s">
        <v>1765</v>
      </c>
      <c r="B1402" s="185" t="s">
        <v>6070</v>
      </c>
      <c r="C1402" s="35" t="str">
        <f t="shared" si="147"/>
        <v>Hanbal</v>
      </c>
      <c r="E1402" s="40"/>
      <c r="F1402" s="15"/>
      <c r="G1402" s="17"/>
      <c r="H1402" s="10" t="s">
        <v>8563</v>
      </c>
      <c r="I1402" s="4" t="str">
        <f t="shared" si="148"/>
        <v>|Ḥanbal|</v>
      </c>
      <c r="J1402" s="3" t="str">
        <f t="shared" si="149"/>
        <v>|Hanbal|</v>
      </c>
      <c r="K1402" s="3" t="str">
        <f t="shared" si="150"/>
        <v>Hanbal</v>
      </c>
      <c r="N1402" s="39" t="str">
        <f t="shared" si="151"/>
        <v/>
      </c>
      <c r="P1402" s="39" t="str">
        <f t="shared" si="152"/>
        <v/>
      </c>
      <c r="R1402" s="39" t="str">
        <f t="shared" si="153"/>
        <v/>
      </c>
      <c r="S1402" s="28"/>
      <c r="T1402" s="28"/>
      <c r="U1402" s="28"/>
    </row>
    <row r="1403" spans="1:21" s="5" customFormat="1">
      <c r="A1403" s="179" t="s">
        <v>1766</v>
      </c>
      <c r="B1403" s="185" t="s">
        <v>6071</v>
      </c>
      <c r="C1403" s="35" t="str">
        <f t="shared" si="147"/>
        <v>Hanza</v>
      </c>
      <c r="E1403" s="40"/>
      <c r="F1403" s="14"/>
      <c r="G1403" s="17"/>
      <c r="H1403" s="10" t="s">
        <v>8563</v>
      </c>
      <c r="I1403" s="4" t="str">
        <f t="shared" si="148"/>
        <v>|Hanzá|</v>
      </c>
      <c r="J1403" s="3" t="str">
        <f t="shared" si="149"/>
        <v>|Hanza|</v>
      </c>
      <c r="K1403" s="3" t="str">
        <f t="shared" si="150"/>
        <v>Hanza</v>
      </c>
      <c r="N1403" s="39" t="str">
        <f t="shared" si="151"/>
        <v/>
      </c>
      <c r="P1403" s="39" t="str">
        <f t="shared" si="152"/>
        <v/>
      </c>
      <c r="R1403" s="39" t="str">
        <f t="shared" si="153"/>
        <v/>
      </c>
      <c r="S1403" s="28"/>
      <c r="T1403" s="28"/>
      <c r="U1403" s="28"/>
    </row>
    <row r="1404" spans="1:21" s="5" customFormat="1">
      <c r="A1404" s="179" t="s">
        <v>1767</v>
      </c>
      <c r="B1404" s="185" t="s">
        <v>168</v>
      </c>
      <c r="C1404" s="35" t="str">
        <f t="shared" si="147"/>
        <v>Hanzala</v>
      </c>
      <c r="E1404" s="40"/>
      <c r="F1404" s="15"/>
      <c r="G1404" s="17"/>
      <c r="H1404" s="10" t="s">
        <v>8563</v>
      </c>
      <c r="I1404" s="4" t="str">
        <f t="shared" si="148"/>
        <v>|Ḥanzalá|</v>
      </c>
      <c r="J1404" s="3" t="str">
        <f t="shared" si="149"/>
        <v>|Hanzala|</v>
      </c>
      <c r="K1404" s="3" t="str">
        <f t="shared" si="150"/>
        <v>Hanzala</v>
      </c>
      <c r="N1404" s="39" t="str">
        <f t="shared" si="151"/>
        <v/>
      </c>
      <c r="P1404" s="39" t="str">
        <f t="shared" si="152"/>
        <v/>
      </c>
      <c r="R1404" s="39" t="str">
        <f t="shared" si="153"/>
        <v/>
      </c>
      <c r="S1404" s="28"/>
      <c r="T1404" s="28"/>
      <c r="U1404" s="28"/>
    </row>
    <row r="1405" spans="1:21" s="5" customFormat="1">
      <c r="A1405" s="179" t="s">
        <v>1768</v>
      </c>
      <c r="B1405" s="185" t="s">
        <v>6072</v>
      </c>
      <c r="C1405" s="35" t="str">
        <f t="shared" si="147"/>
        <v>Haqiqat</v>
      </c>
      <c r="E1405" s="40"/>
      <c r="F1405" s="15" t="s">
        <v>1769</v>
      </c>
      <c r="G1405" s="17"/>
      <c r="H1405" s="10" t="s">
        <v>8563</v>
      </c>
      <c r="I1405" s="4" t="str">
        <f t="shared" si="148"/>
        <v>|Ḥaqíqat|</v>
      </c>
      <c r="J1405" s="3" t="str">
        <f t="shared" si="149"/>
        <v>|Haqiqat|</v>
      </c>
      <c r="K1405" s="3" t="str">
        <f t="shared" si="150"/>
        <v>Haqiqat</v>
      </c>
      <c r="N1405" s="39" t="str">
        <f t="shared" si="151"/>
        <v/>
      </c>
      <c r="P1405" s="39" t="str">
        <f t="shared" si="152"/>
        <v/>
      </c>
      <c r="R1405" s="39" t="str">
        <f t="shared" si="153"/>
        <v/>
      </c>
      <c r="S1405" s="28"/>
      <c r="T1405" s="28"/>
      <c r="U1405" s="28"/>
    </row>
    <row r="1406" spans="1:21" s="5" customFormat="1">
      <c r="A1406" s="179" t="s">
        <v>1770</v>
      </c>
      <c r="B1406" s="185" t="s">
        <v>6073</v>
      </c>
      <c r="C1406" s="35" t="str">
        <f t="shared" si="147"/>
        <v>Haqq</v>
      </c>
      <c r="E1406" s="40"/>
      <c r="F1406" s="15"/>
      <c r="G1406" s="17"/>
      <c r="H1406" s="10" t="s">
        <v>8563</v>
      </c>
      <c r="I1406" s="4" t="str">
        <f t="shared" si="148"/>
        <v>|Ḥaqq|</v>
      </c>
      <c r="J1406" s="3" t="str">
        <f t="shared" si="149"/>
        <v>|Haqq|</v>
      </c>
      <c r="K1406" s="3" t="str">
        <f t="shared" si="150"/>
        <v>Haqq</v>
      </c>
      <c r="N1406" s="39" t="str">
        <f t="shared" si="151"/>
        <v/>
      </c>
      <c r="P1406" s="39" t="str">
        <f t="shared" si="152"/>
        <v/>
      </c>
      <c r="R1406" s="39" t="str">
        <f t="shared" si="153"/>
        <v/>
      </c>
      <c r="S1406" s="28"/>
      <c r="T1406" s="28"/>
      <c r="U1406" s="28"/>
    </row>
    <row r="1407" spans="1:21" s="5" customFormat="1">
      <c r="A1407" s="179" t="s">
        <v>1771</v>
      </c>
      <c r="B1407" s="185" t="s">
        <v>6074</v>
      </c>
      <c r="C1407" s="35" t="str">
        <f t="shared" si="147"/>
        <v>Haqqi</v>
      </c>
      <c r="E1407" s="40"/>
      <c r="F1407" s="15"/>
      <c r="G1407" s="17"/>
      <c r="H1407" s="10" t="s">
        <v>8563</v>
      </c>
      <c r="I1407" s="4" t="str">
        <f t="shared" si="148"/>
        <v>|Ḥaqqí|</v>
      </c>
      <c r="J1407" s="3" t="str">
        <f t="shared" si="149"/>
        <v>|Haqqi|</v>
      </c>
      <c r="K1407" s="3" t="str">
        <f t="shared" si="150"/>
        <v>Haqqi</v>
      </c>
      <c r="N1407" s="39" t="str">
        <f t="shared" si="151"/>
        <v/>
      </c>
      <c r="P1407" s="39" t="str">
        <f t="shared" si="152"/>
        <v/>
      </c>
      <c r="R1407" s="39" t="str">
        <f t="shared" si="153"/>
        <v/>
      </c>
      <c r="S1407" s="28"/>
      <c r="T1407" s="28"/>
      <c r="U1407" s="28"/>
    </row>
    <row r="1408" spans="1:21" s="5" customFormat="1">
      <c r="A1408" s="179" t="s">
        <v>1772</v>
      </c>
      <c r="B1408" s="185" t="s">
        <v>6075</v>
      </c>
      <c r="C1408" s="35" t="str">
        <f t="shared" si="147"/>
        <v>HaqqiRay</v>
      </c>
      <c r="E1408" s="40"/>
      <c r="F1408" s="15"/>
      <c r="G1408" s="17"/>
      <c r="H1408" s="10" t="s">
        <v>8563</v>
      </c>
      <c r="I1408" s="4" t="str">
        <f t="shared" si="148"/>
        <v>|Ḥaqq-i-Ra’y|</v>
      </c>
      <c r="J1408" s="3" t="str">
        <f t="shared" si="149"/>
        <v>|Haqq-i-Ra'y|</v>
      </c>
      <c r="K1408" s="3" t="str">
        <f t="shared" si="150"/>
        <v>Haqq-i-Ray</v>
      </c>
      <c r="N1408" s="39" t="str">
        <f t="shared" si="151"/>
        <v/>
      </c>
      <c r="P1408" s="39" t="str">
        <f t="shared" si="152"/>
        <v/>
      </c>
      <c r="R1408" s="39" t="str">
        <f t="shared" si="153"/>
        <v/>
      </c>
      <c r="S1408" s="28"/>
      <c r="T1408" s="28"/>
      <c r="U1408" s="28"/>
    </row>
    <row r="1409" spans="1:21" s="5" customFormat="1">
      <c r="A1409" s="179" t="s">
        <v>1773</v>
      </c>
      <c r="B1409" s="185" t="s">
        <v>6076</v>
      </c>
      <c r="C1409" s="35" t="str">
        <f t="shared" si="147"/>
        <v>Haqqullah</v>
      </c>
      <c r="E1409" s="40"/>
      <c r="F1409" s="15"/>
      <c r="G1409" s="17"/>
      <c r="H1409" s="10" t="s">
        <v>8563</v>
      </c>
      <c r="I1409" s="4" t="str">
        <f t="shared" si="148"/>
        <v>|Ḥaqqu’lláh|</v>
      </c>
      <c r="J1409" s="3" t="str">
        <f t="shared" si="149"/>
        <v>|Haqqu'llah|</v>
      </c>
      <c r="K1409" s="3" t="str">
        <f t="shared" si="150"/>
        <v>Haqqullah</v>
      </c>
      <c r="N1409" s="39" t="str">
        <f t="shared" si="151"/>
        <v/>
      </c>
      <c r="P1409" s="39" t="str">
        <f t="shared" si="152"/>
        <v/>
      </c>
      <c r="R1409" s="39" t="str">
        <f t="shared" si="153"/>
        <v/>
      </c>
      <c r="S1409" s="28"/>
      <c r="T1409" s="28"/>
      <c r="U1409" s="28"/>
    </row>
    <row r="1410" spans="1:21" s="5" customFormat="1">
      <c r="A1410" s="179" t="s">
        <v>1774</v>
      </c>
      <c r="B1410" s="185" t="s">
        <v>6077</v>
      </c>
      <c r="C1410" s="35" t="str">
        <f t="shared" si="147"/>
        <v>Harakat</v>
      </c>
      <c r="E1410" s="40"/>
      <c r="F1410" s="14"/>
      <c r="G1410" s="17"/>
      <c r="H1410" s="10" t="s">
        <v>8563</v>
      </c>
      <c r="I1410" s="4" t="str">
        <f t="shared" si="148"/>
        <v>|Ḥarakat|</v>
      </c>
      <c r="J1410" s="3" t="str">
        <f t="shared" si="149"/>
        <v>|Harakat|</v>
      </c>
      <c r="K1410" s="3" t="str">
        <f t="shared" si="150"/>
        <v>Harakat</v>
      </c>
      <c r="N1410" s="39" t="str">
        <f t="shared" si="151"/>
        <v/>
      </c>
      <c r="P1410" s="39" t="str">
        <f t="shared" si="152"/>
        <v/>
      </c>
      <c r="R1410" s="39" t="str">
        <f t="shared" si="153"/>
        <v/>
      </c>
      <c r="S1410" s="28"/>
      <c r="T1410" s="28"/>
      <c r="U1410" s="28"/>
    </row>
    <row r="1411" spans="1:21" s="5" customFormat="1">
      <c r="A1411" s="179" t="s">
        <v>1775</v>
      </c>
      <c r="B1411" s="185" t="s">
        <v>6078</v>
      </c>
      <c r="C1411" s="35" t="str">
        <f t="shared" ref="C1411:C1474" si="154">SUBSTITUTE(SUBSTITUTE(K1411,"-","")," ","")</f>
        <v>Haram</v>
      </c>
      <c r="E1411" s="40"/>
      <c r="F1411" s="14"/>
      <c r="G1411" s="17"/>
      <c r="H1411" s="10" t="s">
        <v>8563</v>
      </c>
      <c r="I1411" s="4" t="str">
        <f t="shared" ref="I1411:I1474" si="155">CONCATENATE("|",B1411,"|")</f>
        <v>|Ḥaram|</v>
      </c>
      <c r="J1411" s="3" t="str">
        <f t="shared" ref="J1411:J1474" si="156">CONCATENATE("|",F_OutputASCII(B1411),"|")</f>
        <v>|Haram|</v>
      </c>
      <c r="K1411" s="3" t="str">
        <f t="shared" ref="K1411:K1474" si="157">IF(SUBSTITUTE(MID(J1411,2,LEN(J1411)-2),"'","")&lt;&gt;"",SUBSTITUTE(MID(J1411,2,LEN(J1411)-2),"'",""),"ZZZZZ")</f>
        <v>Haram</v>
      </c>
      <c r="N1411" s="39" t="str">
        <f t="shared" ref="N1411:N1474" si="158">SUBSTITUTE(SUBSTITUTE(SUBSTITUTE(F_OutputASCII(M1411),"-","")," ",""),"'","")</f>
        <v/>
      </c>
      <c r="P1411" s="39" t="str">
        <f t="shared" ref="P1411:P1474" si="159">SUBSTITUTE(SUBSTITUTE(SUBSTITUTE(F_OutputASCII(O1411),"-","")," ",""),"'","")</f>
        <v/>
      </c>
      <c r="R1411" s="39" t="str">
        <f t="shared" si="153"/>
        <v/>
      </c>
      <c r="S1411" s="28"/>
      <c r="T1411" s="28"/>
      <c r="U1411" s="28"/>
    </row>
    <row r="1412" spans="1:21" s="5" customFormat="1">
      <c r="A1412" s="179" t="s">
        <v>1776</v>
      </c>
      <c r="B1412" s="185" t="s">
        <v>6079</v>
      </c>
      <c r="C1412" s="35" t="str">
        <f t="shared" si="154"/>
        <v>HaramiAqdas</v>
      </c>
      <c r="E1412" s="40"/>
      <c r="F1412" s="14" t="s">
        <v>1777</v>
      </c>
      <c r="G1412" s="17"/>
      <c r="H1412" s="10" t="s">
        <v>8563</v>
      </c>
      <c r="I1412" s="4" t="str">
        <f t="shared" si="155"/>
        <v>|Ḥaram-i-Aqdas|</v>
      </c>
      <c r="J1412" s="3" t="str">
        <f t="shared" si="156"/>
        <v>|Haram-i-Aqdas|</v>
      </c>
      <c r="K1412" s="3" t="str">
        <f t="shared" si="157"/>
        <v>Haram-i-Aqdas</v>
      </c>
      <c r="N1412" s="39" t="str">
        <f t="shared" si="158"/>
        <v/>
      </c>
      <c r="P1412" s="39" t="str">
        <f t="shared" si="159"/>
        <v/>
      </c>
      <c r="R1412" s="39" t="str">
        <f t="shared" ref="R1412:R1475" si="160">SUBSTITUTE(SUBSTITUTE(Q1412,"-","")," ","")</f>
        <v/>
      </c>
      <c r="S1412" s="28"/>
      <c r="T1412" s="28"/>
      <c r="U1412" s="28"/>
    </row>
    <row r="1413" spans="1:21" s="5" customFormat="1">
      <c r="A1413" s="179" t="s">
        <v>1778</v>
      </c>
      <c r="B1413" s="185" t="s">
        <v>6080</v>
      </c>
      <c r="C1413" s="35" t="str">
        <f t="shared" si="154"/>
        <v>HaramiMasumih</v>
      </c>
      <c r="E1413" s="40"/>
      <c r="F1413" s="15"/>
      <c r="G1413" s="17"/>
      <c r="H1413" s="10" t="s">
        <v>8563</v>
      </c>
      <c r="I1413" s="4" t="str">
        <f t="shared" si="155"/>
        <v>|Ḥaram-i-Maʿṣúmih|</v>
      </c>
      <c r="J1413" s="3" t="str">
        <f t="shared" si="156"/>
        <v>|Haram-i-Ma'sumih|</v>
      </c>
      <c r="K1413" s="3" t="str">
        <f t="shared" si="157"/>
        <v>Haram-i-Masumih</v>
      </c>
      <c r="N1413" s="39" t="str">
        <f t="shared" si="158"/>
        <v/>
      </c>
      <c r="P1413" s="39" t="str">
        <f t="shared" si="159"/>
        <v/>
      </c>
      <c r="R1413" s="39" t="str">
        <f t="shared" si="160"/>
        <v/>
      </c>
      <c r="S1413" s="28"/>
      <c r="T1413" s="28"/>
      <c r="U1413" s="28"/>
    </row>
    <row r="1414" spans="1:21" s="5" customFormat="1">
      <c r="A1414" s="179" t="s">
        <v>1780</v>
      </c>
      <c r="B1414" s="185" t="s">
        <v>6081</v>
      </c>
      <c r="C1414" s="35" t="str">
        <f t="shared" si="154"/>
        <v>HarfiBaqa</v>
      </c>
      <c r="E1414" s="40"/>
      <c r="F1414" s="15" t="s">
        <v>1781</v>
      </c>
      <c r="G1414" s="17"/>
      <c r="H1414" s="10" t="s">
        <v>8563</v>
      </c>
      <c r="I1414" s="4" t="str">
        <f t="shared" si="155"/>
        <v>|Ḥarf-i-Baqá|</v>
      </c>
      <c r="J1414" s="3" t="str">
        <f t="shared" si="156"/>
        <v>|Harf-i-Baqa|</v>
      </c>
      <c r="K1414" s="3" t="str">
        <f t="shared" si="157"/>
        <v>Harf-i-Baqa</v>
      </c>
      <c r="N1414" s="39" t="str">
        <f t="shared" si="158"/>
        <v/>
      </c>
      <c r="P1414" s="39" t="str">
        <f t="shared" si="159"/>
        <v/>
      </c>
      <c r="R1414" s="39" t="str">
        <f t="shared" si="160"/>
        <v/>
      </c>
      <c r="S1414" s="28"/>
      <c r="T1414" s="28"/>
      <c r="U1414" s="28"/>
    </row>
    <row r="1415" spans="1:21" s="5" customFormat="1">
      <c r="A1415" s="179" t="s">
        <v>1782</v>
      </c>
      <c r="B1415" s="185" t="s">
        <v>6082</v>
      </c>
      <c r="C1415" s="35" t="str">
        <f t="shared" si="154"/>
        <v>Harun</v>
      </c>
      <c r="E1415" s="40"/>
      <c r="F1415" s="15" t="s">
        <v>1783</v>
      </c>
      <c r="G1415" s="17"/>
      <c r="H1415" s="10" t="s">
        <v>8563</v>
      </c>
      <c r="I1415" s="4" t="str">
        <f t="shared" si="155"/>
        <v>|Hárún|</v>
      </c>
      <c r="J1415" s="3" t="str">
        <f t="shared" si="156"/>
        <v>|Harun|</v>
      </c>
      <c r="K1415" s="3" t="str">
        <f t="shared" si="157"/>
        <v>Harun</v>
      </c>
      <c r="N1415" s="39" t="str">
        <f t="shared" si="158"/>
        <v/>
      </c>
      <c r="P1415" s="39" t="str">
        <f t="shared" si="159"/>
        <v/>
      </c>
      <c r="R1415" s="39" t="str">
        <f t="shared" si="160"/>
        <v/>
      </c>
      <c r="S1415" s="28"/>
      <c r="T1415" s="28"/>
      <c r="U1415" s="28"/>
    </row>
    <row r="1416" spans="1:21" s="5" customFormat="1">
      <c r="A1416" s="179" t="s">
        <v>1784</v>
      </c>
      <c r="B1416" s="185" t="s">
        <v>6083</v>
      </c>
      <c r="C1416" s="35" t="str">
        <f t="shared" si="154"/>
        <v>HarunurRashid</v>
      </c>
      <c r="E1416" s="40"/>
      <c r="F1416" s="14"/>
      <c r="G1416" s="17"/>
      <c r="H1416" s="10" t="s">
        <v>8563</v>
      </c>
      <c r="I1416" s="4" t="str">
        <f t="shared" si="155"/>
        <v>|Hárúnu’r-Raíd|</v>
      </c>
      <c r="J1416" s="3" t="str">
        <f t="shared" si="156"/>
        <v>|Harunu'r-Rashid|</v>
      </c>
      <c r="K1416" s="3" t="str">
        <f t="shared" si="157"/>
        <v>Harunur-Rashid</v>
      </c>
      <c r="N1416" s="39" t="str">
        <f t="shared" si="158"/>
        <v/>
      </c>
      <c r="P1416" s="39" t="str">
        <f t="shared" si="159"/>
        <v/>
      </c>
      <c r="R1416" s="39" t="str">
        <f t="shared" si="160"/>
        <v/>
      </c>
      <c r="S1416" s="28"/>
      <c r="T1416" s="28"/>
      <c r="U1416" s="28"/>
    </row>
    <row r="1417" spans="1:21" s="5" customFormat="1">
      <c r="A1417" s="179" t="s">
        <v>1785</v>
      </c>
      <c r="B1417" s="185" t="s">
        <v>6084</v>
      </c>
      <c r="C1417" s="35" t="str">
        <f t="shared" si="154"/>
        <v>Hasa</v>
      </c>
      <c r="E1417" s="40"/>
      <c r="F1417" s="15" t="s">
        <v>1786</v>
      </c>
      <c r="G1417" s="17"/>
      <c r="H1417" s="10" t="s">
        <v>8563</v>
      </c>
      <c r="I1417" s="4" t="str">
        <f t="shared" si="155"/>
        <v>|Ḥasá|</v>
      </c>
      <c r="J1417" s="3" t="str">
        <f t="shared" si="156"/>
        <v>|Hasa|</v>
      </c>
      <c r="K1417" s="3" t="str">
        <f t="shared" si="157"/>
        <v>Hasa</v>
      </c>
      <c r="N1417" s="39" t="str">
        <f t="shared" si="158"/>
        <v/>
      </c>
      <c r="P1417" s="39" t="str">
        <f t="shared" si="159"/>
        <v/>
      </c>
      <c r="R1417" s="39" t="str">
        <f t="shared" si="160"/>
        <v/>
      </c>
      <c r="S1417" s="28"/>
      <c r="T1417" s="28"/>
      <c r="U1417" s="28"/>
    </row>
    <row r="1418" spans="1:21" s="5" customFormat="1">
      <c r="A1418" s="179" t="s">
        <v>1787</v>
      </c>
      <c r="B1418" s="185" t="s">
        <v>78</v>
      </c>
      <c r="C1418" s="35" t="str">
        <f t="shared" si="154"/>
        <v>Hasan</v>
      </c>
      <c r="E1418" s="40"/>
      <c r="F1418" s="14"/>
      <c r="G1418" s="17"/>
      <c r="H1418" s="10" t="s">
        <v>8563</v>
      </c>
      <c r="I1418" s="4" t="str">
        <f t="shared" si="155"/>
        <v>|Ḥasan|</v>
      </c>
      <c r="J1418" s="3" t="str">
        <f t="shared" si="156"/>
        <v>|Hasan|</v>
      </c>
      <c r="K1418" s="3" t="str">
        <f t="shared" si="157"/>
        <v>Hasan</v>
      </c>
      <c r="N1418" s="39" t="str">
        <f t="shared" si="158"/>
        <v/>
      </c>
      <c r="P1418" s="39" t="str">
        <f t="shared" si="159"/>
        <v/>
      </c>
      <c r="R1418" s="39" t="str">
        <f t="shared" si="160"/>
        <v/>
      </c>
      <c r="S1418" s="28"/>
      <c r="T1418" s="29">
        <v>41796</v>
      </c>
      <c r="U1418" s="28" t="s">
        <v>9371</v>
      </c>
    </row>
    <row r="1419" spans="1:21" s="5" customFormat="1">
      <c r="A1419" s="179" t="s">
        <v>1788</v>
      </c>
      <c r="B1419" s="185" t="s">
        <v>6085</v>
      </c>
      <c r="C1419" s="35" t="str">
        <f t="shared" si="154"/>
        <v>HasanAli</v>
      </c>
      <c r="E1419" s="40"/>
      <c r="F1419" s="14"/>
      <c r="G1419" s="17"/>
      <c r="H1419" s="10" t="s">
        <v>8563</v>
      </c>
      <c r="I1419" s="4" t="str">
        <f t="shared" si="155"/>
        <v>|Ḥasan-ʿAlí|</v>
      </c>
      <c r="J1419" s="3" t="str">
        <f t="shared" si="156"/>
        <v>|Hasan-'Ali|</v>
      </c>
      <c r="K1419" s="3" t="str">
        <f t="shared" si="157"/>
        <v>Hasan-Ali</v>
      </c>
      <c r="N1419" s="39" t="str">
        <f t="shared" si="158"/>
        <v/>
      </c>
      <c r="P1419" s="39" t="str">
        <f t="shared" si="159"/>
        <v/>
      </c>
      <c r="R1419" s="39" t="str">
        <f t="shared" si="160"/>
        <v/>
      </c>
      <c r="S1419" s="28"/>
      <c r="T1419" s="28"/>
      <c r="U1419" s="28"/>
    </row>
    <row r="1420" spans="1:21" s="5" customFormat="1">
      <c r="A1420" s="179" t="s">
        <v>1789</v>
      </c>
      <c r="B1420" s="185" t="s">
        <v>6086</v>
      </c>
      <c r="C1420" s="35" t="str">
        <f t="shared" si="154"/>
        <v>HasanAmu</v>
      </c>
      <c r="E1420" s="40"/>
      <c r="F1420" s="14"/>
      <c r="G1420" s="17"/>
      <c r="H1420" s="10" t="s">
        <v>8563</v>
      </c>
      <c r="I1420" s="4" t="str">
        <f t="shared" si="155"/>
        <v>|Ḥasan-ʿAmú|</v>
      </c>
      <c r="J1420" s="3" t="str">
        <f t="shared" si="156"/>
        <v>|Hasan-'Amu|</v>
      </c>
      <c r="K1420" s="3" t="str">
        <f t="shared" si="157"/>
        <v>Hasan-Amu</v>
      </c>
      <c r="N1420" s="39" t="str">
        <f t="shared" si="158"/>
        <v/>
      </c>
      <c r="P1420" s="39" t="str">
        <f t="shared" si="159"/>
        <v/>
      </c>
      <c r="R1420" s="39" t="str">
        <f t="shared" si="160"/>
        <v/>
      </c>
      <c r="S1420" s="28"/>
      <c r="T1420" s="28"/>
      <c r="U1420" s="28"/>
    </row>
    <row r="1421" spans="1:21" s="5" customFormat="1">
      <c r="A1421" s="179" t="s">
        <v>1790</v>
      </c>
      <c r="B1421" s="185" t="s">
        <v>8653</v>
      </c>
      <c r="C1421" s="35" t="str">
        <f t="shared" si="154"/>
        <v>HasaniAskari</v>
      </c>
      <c r="E1421" s="40"/>
      <c r="F1421" s="15"/>
      <c r="G1421" s="17"/>
      <c r="H1421" s="10" t="s">
        <v>8563</v>
      </c>
      <c r="I1421" s="4" t="str">
        <f t="shared" si="155"/>
        <v>|Ḥasan-i-ʿAskarí|</v>
      </c>
      <c r="J1421" s="3" t="str">
        <f t="shared" si="156"/>
        <v>|Hasan-i-'Askari|</v>
      </c>
      <c r="K1421" s="3" t="str">
        <f t="shared" si="157"/>
        <v>Hasan-i-Askari</v>
      </c>
      <c r="N1421" s="39" t="str">
        <f t="shared" si="158"/>
        <v/>
      </c>
      <c r="P1421" s="39" t="str">
        <f t="shared" si="159"/>
        <v/>
      </c>
      <c r="R1421" s="39" t="str">
        <f t="shared" si="160"/>
        <v/>
      </c>
      <c r="S1421" s="28"/>
      <c r="T1421" s="28"/>
      <c r="U1421" s="28"/>
    </row>
    <row r="1422" spans="1:21" s="5" customFormat="1">
      <c r="A1422" s="179" t="s">
        <v>1791</v>
      </c>
      <c r="B1422" s="185" t="s">
        <v>6087</v>
      </c>
      <c r="C1422" s="35" t="str">
        <f t="shared" si="154"/>
        <v>HasaniBajistani</v>
      </c>
      <c r="E1422" s="40"/>
      <c r="F1422" s="14"/>
      <c r="G1422" s="17"/>
      <c r="H1422" s="10" t="s">
        <v>8563</v>
      </c>
      <c r="I1422" s="4" t="str">
        <f t="shared" si="155"/>
        <v>|Ḥasan-i-Bajistání|</v>
      </c>
      <c r="J1422" s="3" t="str">
        <f t="shared" si="156"/>
        <v>|Hasan-i-Bajistani|</v>
      </c>
      <c r="K1422" s="3" t="str">
        <f t="shared" si="157"/>
        <v>Hasan-i-Bajistani</v>
      </c>
      <c r="N1422" s="39" t="str">
        <f t="shared" si="158"/>
        <v/>
      </c>
      <c r="P1422" s="39" t="str">
        <f t="shared" si="159"/>
        <v/>
      </c>
      <c r="R1422" s="39" t="str">
        <f t="shared" si="160"/>
        <v/>
      </c>
      <c r="S1422" s="28"/>
      <c r="T1422" s="28"/>
      <c r="U1422" s="28"/>
    </row>
    <row r="1423" spans="1:21" s="5" customFormat="1">
      <c r="A1423" s="179" t="s">
        <v>1792</v>
      </c>
      <c r="B1423" s="185" t="s">
        <v>6088</v>
      </c>
      <c r="C1423" s="35" t="str">
        <f t="shared" si="154"/>
        <v>HasaniGawhar</v>
      </c>
      <c r="E1423" s="40"/>
      <c r="F1423" s="14"/>
      <c r="G1423" s="17"/>
      <c r="H1423" s="10" t="s">
        <v>8563</v>
      </c>
      <c r="I1423" s="4" t="str">
        <f t="shared" si="155"/>
        <v>|Ḥasan-i-Gawhar|</v>
      </c>
      <c r="J1423" s="3" t="str">
        <f t="shared" si="156"/>
        <v>|Hasan-i-Gawhar|</v>
      </c>
      <c r="K1423" s="3" t="str">
        <f t="shared" si="157"/>
        <v>Hasan-i-Gawhar</v>
      </c>
      <c r="N1423" s="39" t="str">
        <f t="shared" si="158"/>
        <v/>
      </c>
      <c r="P1423" s="39" t="str">
        <f t="shared" si="159"/>
        <v/>
      </c>
      <c r="R1423" s="39" t="str">
        <f t="shared" si="160"/>
        <v/>
      </c>
      <c r="S1423" s="28"/>
      <c r="T1423" s="28"/>
      <c r="U1423" s="28"/>
    </row>
    <row r="1424" spans="1:21" s="5" customFormat="1">
      <c r="A1424" s="179" t="s">
        <v>1793</v>
      </c>
      <c r="B1424" s="185" t="s">
        <v>6089</v>
      </c>
      <c r="C1424" s="35" t="str">
        <f t="shared" si="154"/>
        <v>HasaniHakimBashi</v>
      </c>
      <c r="E1424" s="40"/>
      <c r="F1424" s="15"/>
      <c r="G1424" s="17"/>
      <c r="H1424" s="10" t="s">
        <v>8563</v>
      </c>
      <c r="I1424" s="4" t="str">
        <f t="shared" si="155"/>
        <v>|Ḥasan-i-Ḥakím-Báí|</v>
      </c>
      <c r="J1424" s="3" t="str">
        <f t="shared" si="156"/>
        <v>|Hasan-i-Hakim-Bashi|</v>
      </c>
      <c r="K1424" s="3" t="str">
        <f t="shared" si="157"/>
        <v>Hasan-i-Hakim-Bashi</v>
      </c>
      <c r="N1424" s="39" t="str">
        <f t="shared" si="158"/>
        <v/>
      </c>
      <c r="P1424" s="39" t="str">
        <f t="shared" si="159"/>
        <v/>
      </c>
      <c r="R1424" s="39" t="str">
        <f t="shared" si="160"/>
        <v/>
      </c>
      <c r="S1424" s="28"/>
      <c r="T1424" s="28"/>
      <c r="U1424" s="28"/>
    </row>
    <row r="1425" spans="1:21" s="5" customFormat="1">
      <c r="A1425" s="179" t="s">
        <v>1794</v>
      </c>
      <c r="B1425" s="185" t="s">
        <v>6090</v>
      </c>
      <c r="C1425" s="35" t="str">
        <f t="shared" si="154"/>
        <v>HasaniKhurasani</v>
      </c>
      <c r="E1425" s="40"/>
      <c r="F1425" s="14"/>
      <c r="G1425" s="17"/>
      <c r="H1425" s="10" t="s">
        <v>8563</v>
      </c>
      <c r="I1425" s="4" t="str">
        <f t="shared" si="155"/>
        <v>|Ḥasan-i-urásání|</v>
      </c>
      <c r="J1425" s="3" t="str">
        <f t="shared" si="156"/>
        <v>|Hasan-i-Khurasani|</v>
      </c>
      <c r="K1425" s="3" t="str">
        <f t="shared" si="157"/>
        <v>Hasan-i-Khurasani</v>
      </c>
      <c r="N1425" s="39" t="str">
        <f t="shared" si="158"/>
        <v/>
      </c>
      <c r="P1425" s="39" t="str">
        <f t="shared" si="159"/>
        <v/>
      </c>
      <c r="R1425" s="39" t="str">
        <f t="shared" si="160"/>
        <v/>
      </c>
      <c r="S1425" s="28"/>
      <c r="T1425" s="28"/>
      <c r="U1425" s="28"/>
    </row>
    <row r="1426" spans="1:21" s="5" customFormat="1">
      <c r="A1426" s="179" t="s">
        <v>1795</v>
      </c>
      <c r="B1426" s="185" t="s">
        <v>6091</v>
      </c>
      <c r="C1426" s="35" t="str">
        <f t="shared" si="154"/>
        <v>HasaniMazindarani</v>
      </c>
      <c r="E1426" s="40"/>
      <c r="F1426" s="14"/>
      <c r="G1426" s="17"/>
      <c r="H1426" s="10" t="s">
        <v>8563</v>
      </c>
      <c r="I1426" s="4" t="str">
        <f t="shared" si="155"/>
        <v>|Ḥasan-i-Mázindarání|</v>
      </c>
      <c r="J1426" s="3" t="str">
        <f t="shared" si="156"/>
        <v>|Hasan-i-Mazindarani|</v>
      </c>
      <c r="K1426" s="3" t="str">
        <f t="shared" si="157"/>
        <v>Hasan-i-Mazindarani</v>
      </c>
      <c r="N1426" s="39" t="str">
        <f t="shared" si="158"/>
        <v/>
      </c>
      <c r="P1426" s="39" t="str">
        <f t="shared" si="159"/>
        <v/>
      </c>
      <c r="R1426" s="39" t="str">
        <f t="shared" si="160"/>
        <v/>
      </c>
      <c r="S1426" s="28"/>
      <c r="T1426" s="28"/>
      <c r="U1426" s="28"/>
    </row>
    <row r="1427" spans="1:21" s="5" customFormat="1">
      <c r="A1427" s="179" t="s">
        <v>9033</v>
      </c>
      <c r="B1427" s="185" t="s">
        <v>9032</v>
      </c>
      <c r="C1427" s="35" t="str">
        <f t="shared" si="154"/>
        <v>HasaniNayini</v>
      </c>
      <c r="E1427" s="40"/>
      <c r="F1427" s="14"/>
      <c r="G1427" s="17"/>
      <c r="H1427" s="10" t="s">
        <v>8563</v>
      </c>
      <c r="I1427" s="4" t="str">
        <f t="shared" si="155"/>
        <v>|Ḥasan-i-Nayíní|</v>
      </c>
      <c r="J1427" s="3" t="str">
        <f t="shared" si="156"/>
        <v>|Hasan-i-Nayini|</v>
      </c>
      <c r="K1427" s="3" t="str">
        <f t="shared" si="157"/>
        <v>Hasan-i-Nayini</v>
      </c>
      <c r="N1427" s="39" t="str">
        <f t="shared" si="158"/>
        <v/>
      </c>
      <c r="P1427" s="39" t="str">
        <f t="shared" si="159"/>
        <v/>
      </c>
      <c r="R1427" s="39" t="str">
        <f t="shared" si="160"/>
        <v/>
      </c>
      <c r="S1427" s="28"/>
      <c r="T1427" s="28"/>
      <c r="U1427" s="28"/>
    </row>
    <row r="1428" spans="1:21" s="5" customFormat="1">
      <c r="A1428" s="179" t="s">
        <v>1796</v>
      </c>
      <c r="B1428" s="185" t="s">
        <v>6092</v>
      </c>
      <c r="C1428" s="35" t="str">
        <f t="shared" si="154"/>
        <v>HasaniNiku</v>
      </c>
      <c r="E1428" s="40"/>
      <c r="F1428" s="15"/>
      <c r="G1428" s="17"/>
      <c r="H1428" s="10" t="s">
        <v>8563</v>
      </c>
      <c r="I1428" s="4" t="str">
        <f t="shared" si="155"/>
        <v>|Ḥasan-i-Níkú|</v>
      </c>
      <c r="J1428" s="3" t="str">
        <f t="shared" si="156"/>
        <v>|Hasan-i-Niku|</v>
      </c>
      <c r="K1428" s="3" t="str">
        <f t="shared" si="157"/>
        <v>Hasan-i-Niku</v>
      </c>
      <c r="N1428" s="39" t="str">
        <f t="shared" si="158"/>
        <v/>
      </c>
      <c r="P1428" s="39" t="str">
        <f t="shared" si="159"/>
        <v/>
      </c>
      <c r="R1428" s="39" t="str">
        <f t="shared" si="160"/>
        <v/>
      </c>
      <c r="S1428" s="28"/>
      <c r="T1428" s="28"/>
      <c r="U1428" s="28"/>
    </row>
    <row r="1429" spans="1:21" s="5" customFormat="1">
      <c r="A1429" s="179" t="s">
        <v>1797</v>
      </c>
      <c r="B1429" s="185" t="s">
        <v>6093</v>
      </c>
      <c r="C1429" s="35" t="str">
        <f t="shared" si="154"/>
        <v>HasaniNuri</v>
      </c>
      <c r="E1429" s="40"/>
      <c r="F1429" s="14"/>
      <c r="G1429" s="17"/>
      <c r="H1429" s="10" t="s">
        <v>8563</v>
      </c>
      <c r="I1429" s="4" t="str">
        <f t="shared" si="155"/>
        <v>|Ḥasan-i-Núrí|</v>
      </c>
      <c r="J1429" s="3" t="str">
        <f t="shared" si="156"/>
        <v>|Hasan-i-Nuri|</v>
      </c>
      <c r="K1429" s="3" t="str">
        <f t="shared" si="157"/>
        <v>Hasan-i-Nuri</v>
      </c>
      <c r="N1429" s="39" t="str">
        <f t="shared" si="158"/>
        <v/>
      </c>
      <c r="P1429" s="39" t="str">
        <f t="shared" si="159"/>
        <v/>
      </c>
      <c r="R1429" s="39" t="str">
        <f t="shared" si="160"/>
        <v/>
      </c>
      <c r="S1429" s="28"/>
      <c r="T1429" s="28"/>
      <c r="U1429" s="28"/>
    </row>
    <row r="1430" spans="1:21" s="5" customFormat="1">
      <c r="A1430" s="179" t="s">
        <v>1798</v>
      </c>
      <c r="B1430" s="185" t="s">
        <v>6094</v>
      </c>
      <c r="C1430" s="35" t="str">
        <f t="shared" si="154"/>
        <v>HasaniRashti</v>
      </c>
      <c r="E1430" s="40"/>
      <c r="F1430" s="14"/>
      <c r="G1430" s="17"/>
      <c r="H1430" s="10" t="s">
        <v>8563</v>
      </c>
      <c r="I1430" s="4" t="str">
        <f t="shared" si="155"/>
        <v>|Ḥasan-i-Ratí|</v>
      </c>
      <c r="J1430" s="3" t="str">
        <f t="shared" si="156"/>
        <v>|Hasan-i-Rashti|</v>
      </c>
      <c r="K1430" s="3" t="str">
        <f t="shared" si="157"/>
        <v>Hasan-i-Rashti</v>
      </c>
      <c r="N1430" s="39" t="str">
        <f t="shared" si="158"/>
        <v/>
      </c>
      <c r="P1430" s="39" t="str">
        <f t="shared" si="159"/>
        <v/>
      </c>
      <c r="R1430" s="39" t="str">
        <f t="shared" si="160"/>
        <v/>
      </c>
      <c r="S1430" s="28"/>
      <c r="T1430" s="28"/>
      <c r="U1430" s="28"/>
    </row>
    <row r="1431" spans="1:21" s="5" customFormat="1">
      <c r="A1431" s="179" t="s">
        <v>1799</v>
      </c>
      <c r="B1431" s="185" t="s">
        <v>6095</v>
      </c>
      <c r="C1431" s="35" t="str">
        <f t="shared" si="154"/>
        <v>HasaniSabbah</v>
      </c>
      <c r="E1431" s="40"/>
      <c r="F1431" s="15" t="s">
        <v>1800</v>
      </c>
      <c r="G1431" s="17"/>
      <c r="H1431" s="10" t="s">
        <v>8563</v>
      </c>
      <c r="I1431" s="4" t="str">
        <f t="shared" si="155"/>
        <v>|Ḥasan-i-Ṣabbáḥ|</v>
      </c>
      <c r="J1431" s="3" t="str">
        <f t="shared" si="156"/>
        <v>|Hasan-i-Sabbah|</v>
      </c>
      <c r="K1431" s="3" t="str">
        <f t="shared" si="157"/>
        <v>Hasan-i-Sabbah</v>
      </c>
      <c r="N1431" s="39" t="str">
        <f t="shared" si="158"/>
        <v/>
      </c>
      <c r="P1431" s="39" t="str">
        <f t="shared" si="159"/>
        <v/>
      </c>
      <c r="R1431" s="39" t="str">
        <f t="shared" si="160"/>
        <v/>
      </c>
      <c r="S1431" s="28"/>
      <c r="T1431" s="28"/>
      <c r="U1431" s="28"/>
    </row>
    <row r="1432" spans="1:21" s="5" customFormat="1">
      <c r="A1432" s="179" t="s">
        <v>1801</v>
      </c>
      <c r="B1432" s="185" t="s">
        <v>6096</v>
      </c>
      <c r="C1432" s="35" t="str">
        <f t="shared" si="154"/>
        <v>HasaniSafa</v>
      </c>
      <c r="E1432" s="40"/>
      <c r="F1432" s="15"/>
      <c r="G1432" s="17"/>
      <c r="H1432" s="10" t="s">
        <v>8563</v>
      </c>
      <c r="I1432" s="4" t="str">
        <f t="shared" si="155"/>
        <v>|Ḥasan-i-Ṣafá|</v>
      </c>
      <c r="J1432" s="3" t="str">
        <f t="shared" si="156"/>
        <v>|Hasan-i-Safa|</v>
      </c>
      <c r="K1432" s="3" t="str">
        <f t="shared" si="157"/>
        <v>Hasan-i-Safa</v>
      </c>
      <c r="N1432" s="39" t="str">
        <f t="shared" si="158"/>
        <v/>
      </c>
      <c r="P1432" s="39" t="str">
        <f t="shared" si="159"/>
        <v/>
      </c>
      <c r="R1432" s="39" t="str">
        <f t="shared" si="160"/>
        <v/>
      </c>
      <c r="S1432" s="28"/>
      <c r="T1432" s="28"/>
      <c r="U1432" s="28"/>
    </row>
    <row r="1433" spans="1:21" s="5" customFormat="1">
      <c r="A1433" s="179" t="s">
        <v>1802</v>
      </c>
      <c r="B1433" s="185" t="s">
        <v>6097</v>
      </c>
      <c r="C1433" s="35" t="str">
        <f t="shared" si="154"/>
        <v>HasaniShiͯͯͯrBaf</v>
      </c>
      <c r="E1433" s="40"/>
      <c r="F1433" s="14"/>
      <c r="G1433" s="17"/>
      <c r="H1433" s="10" t="s">
        <v>8563</v>
      </c>
      <c r="I1433" s="4" t="str">
        <f t="shared" si="155"/>
        <v>|Ḥasan-i-iͯʿͯͯr-Báf|</v>
      </c>
      <c r="J1433" s="3" t="str">
        <f t="shared" si="156"/>
        <v>|Hasan-i-Shiͯ'ͯͯr-Baf|</v>
      </c>
      <c r="K1433" s="3" t="str">
        <f t="shared" si="157"/>
        <v>Hasan-i-Shiͯͯͯr-Baf</v>
      </c>
      <c r="N1433" s="39" t="str">
        <f t="shared" si="158"/>
        <v/>
      </c>
      <c r="P1433" s="39" t="str">
        <f t="shared" si="159"/>
        <v/>
      </c>
      <c r="R1433" s="39" t="str">
        <f t="shared" si="160"/>
        <v/>
      </c>
      <c r="S1433" s="28"/>
      <c r="T1433" s="28"/>
      <c r="U1433" s="28"/>
    </row>
    <row r="1434" spans="1:21" s="5" customFormat="1">
      <c r="A1434" s="179" t="s">
        <v>1803</v>
      </c>
      <c r="B1434" s="185" t="s">
        <v>6098</v>
      </c>
      <c r="C1434" s="35" t="str">
        <f t="shared" si="154"/>
        <v>HasaniShiͯͯͯrBafiYazdi</v>
      </c>
      <c r="E1434" s="40"/>
      <c r="F1434" s="14"/>
      <c r="G1434" s="17"/>
      <c r="H1434" s="10" t="s">
        <v>8563</v>
      </c>
      <c r="I1434" s="4" t="str">
        <f t="shared" si="155"/>
        <v>|Ḥasan-i-iͯʿͯͯr-Báf-i-Yazdí|</v>
      </c>
      <c r="J1434" s="3" t="str">
        <f t="shared" si="156"/>
        <v>|Hasan-i-Shiͯ'ͯͯr-Baf-i-Yazdi|</v>
      </c>
      <c r="K1434" s="3" t="str">
        <f t="shared" si="157"/>
        <v>Hasan-i-Shiͯͯͯr-Baf-i-Yazdi</v>
      </c>
      <c r="N1434" s="39" t="str">
        <f t="shared" si="158"/>
        <v/>
      </c>
      <c r="P1434" s="39" t="str">
        <f t="shared" si="159"/>
        <v/>
      </c>
      <c r="R1434" s="39" t="str">
        <f t="shared" si="160"/>
        <v/>
      </c>
      <c r="S1434" s="28"/>
      <c r="T1434" s="28"/>
      <c r="U1434" s="28"/>
    </row>
    <row r="1435" spans="1:21" s="5" customFormat="1">
      <c r="A1435" s="179" t="s">
        <v>1804</v>
      </c>
      <c r="B1435" s="185" t="s">
        <v>6099</v>
      </c>
      <c r="C1435" s="35" t="str">
        <f t="shared" si="154"/>
        <v>HasaniVazir</v>
      </c>
      <c r="E1435" s="40"/>
      <c r="F1435" s="14"/>
      <c r="G1435" s="17"/>
      <c r="H1435" s="10" t="s">
        <v>8563</v>
      </c>
      <c r="I1435" s="4" t="str">
        <f t="shared" si="155"/>
        <v>|Ḥasan-i-Vazír|</v>
      </c>
      <c r="J1435" s="3" t="str">
        <f t="shared" si="156"/>
        <v>|Hasan-i-Vazir|</v>
      </c>
      <c r="K1435" s="3" t="str">
        <f t="shared" si="157"/>
        <v>Hasan-i-Vazir</v>
      </c>
      <c r="N1435" s="39" t="str">
        <f t="shared" si="158"/>
        <v/>
      </c>
      <c r="P1435" s="39" t="str">
        <f t="shared" si="159"/>
        <v/>
      </c>
      <c r="R1435" s="39" t="str">
        <f t="shared" si="160"/>
        <v/>
      </c>
      <c r="S1435" s="28"/>
      <c r="T1435" s="28"/>
      <c r="U1435" s="28"/>
    </row>
    <row r="1436" spans="1:21" s="5" customFormat="1">
      <c r="A1436" s="179" t="s">
        <v>1805</v>
      </c>
      <c r="B1436" s="185" t="s">
        <v>6100</v>
      </c>
      <c r="C1436" s="35" t="str">
        <f t="shared" si="154"/>
        <v>HasaniZunuzi</v>
      </c>
      <c r="E1436" s="40"/>
      <c r="F1436" s="14"/>
      <c r="G1436" s="17"/>
      <c r="H1436" s="10" t="s">
        <v>8563</v>
      </c>
      <c r="I1436" s="4" t="str">
        <f t="shared" si="155"/>
        <v>|Ḥasan-i-Zunúzí|</v>
      </c>
      <c r="J1436" s="3" t="str">
        <f t="shared" si="156"/>
        <v>|Hasan-i-Zunuzi|</v>
      </c>
      <c r="K1436" s="3" t="str">
        <f t="shared" si="157"/>
        <v>Hasan-i-Zunuzi</v>
      </c>
      <c r="N1436" s="39" t="str">
        <f t="shared" si="158"/>
        <v/>
      </c>
      <c r="P1436" s="39" t="str">
        <f t="shared" si="159"/>
        <v/>
      </c>
      <c r="R1436" s="39" t="str">
        <f t="shared" si="160"/>
        <v/>
      </c>
      <c r="S1436" s="28"/>
      <c r="T1436" s="28"/>
      <c r="U1436" s="28"/>
    </row>
    <row r="1437" spans="1:21" s="5" customFormat="1">
      <c r="A1437" s="179" t="s">
        <v>1806</v>
      </c>
      <c r="B1437" s="185" t="s">
        <v>6101</v>
      </c>
      <c r="C1437" s="35" t="str">
        <f t="shared" si="154"/>
        <v>HasanzadihShakiri</v>
      </c>
      <c r="E1437" s="40"/>
      <c r="F1437" s="15"/>
      <c r="G1437" s="17"/>
      <c r="H1437" s="10" t="s">
        <v>8563</v>
      </c>
      <c r="I1437" s="4" t="str">
        <f t="shared" si="155"/>
        <v>|Ḥasanzádih-ákirí|</v>
      </c>
      <c r="J1437" s="3" t="str">
        <f t="shared" si="156"/>
        <v>|Hasanzadih-Shakiri|</v>
      </c>
      <c r="K1437" s="3" t="str">
        <f t="shared" si="157"/>
        <v>Hasanzadih-Shakiri</v>
      </c>
      <c r="N1437" s="39" t="str">
        <f t="shared" si="158"/>
        <v/>
      </c>
      <c r="P1437" s="39" t="str">
        <f t="shared" si="159"/>
        <v/>
      </c>
      <c r="R1437" s="39" t="str">
        <f t="shared" si="160"/>
        <v/>
      </c>
      <c r="S1437" s="28"/>
      <c r="T1437" s="28"/>
      <c r="U1437" s="28"/>
    </row>
    <row r="1438" spans="1:21" s="5" customFormat="1">
      <c r="A1438" s="179" t="s">
        <v>1807</v>
      </c>
      <c r="B1438" s="185" t="s">
        <v>6102</v>
      </c>
      <c r="C1438" s="35" t="str">
        <f t="shared" si="154"/>
        <v>Hashim</v>
      </c>
      <c r="E1438" s="40"/>
      <c r="F1438" s="14"/>
      <c r="G1438" s="17"/>
      <c r="H1438" s="10" t="s">
        <v>8563</v>
      </c>
      <c r="I1438" s="4" t="str">
        <f t="shared" si="155"/>
        <v>|Háim|</v>
      </c>
      <c r="J1438" s="3" t="str">
        <f t="shared" si="156"/>
        <v>|Hashim|</v>
      </c>
      <c r="K1438" s="3" t="str">
        <f t="shared" si="157"/>
        <v>Hashim</v>
      </c>
      <c r="N1438" s="39" t="str">
        <f t="shared" si="158"/>
        <v/>
      </c>
      <c r="P1438" s="39" t="str">
        <f t="shared" si="159"/>
        <v/>
      </c>
      <c r="R1438" s="39" t="str">
        <f t="shared" si="160"/>
        <v/>
      </c>
      <c r="S1438" s="28"/>
      <c r="T1438" s="28"/>
      <c r="U1438" s="28"/>
    </row>
    <row r="1439" spans="1:21" s="5" customFormat="1">
      <c r="A1439" s="179" t="s">
        <v>1808</v>
      </c>
      <c r="B1439" s="185" t="s">
        <v>6103</v>
      </c>
      <c r="C1439" s="35" t="str">
        <f t="shared" si="154"/>
        <v>Hashimizadih</v>
      </c>
      <c r="E1439" s="40"/>
      <c r="F1439" s="15"/>
      <c r="G1439" s="17"/>
      <c r="H1439" s="10" t="s">
        <v>8563</v>
      </c>
      <c r="I1439" s="4" t="str">
        <f t="shared" si="155"/>
        <v>|Háimízádih|</v>
      </c>
      <c r="J1439" s="3" t="str">
        <f t="shared" si="156"/>
        <v>|Hashimizadih|</v>
      </c>
      <c r="K1439" s="3" t="str">
        <f t="shared" si="157"/>
        <v>Hashimizadih</v>
      </c>
      <c r="N1439" s="39" t="str">
        <f t="shared" si="158"/>
        <v/>
      </c>
      <c r="P1439" s="39" t="str">
        <f t="shared" si="159"/>
        <v/>
      </c>
      <c r="R1439" s="39" t="str">
        <f t="shared" si="160"/>
        <v/>
      </c>
      <c r="S1439" s="28"/>
      <c r="T1439" s="28"/>
      <c r="U1439" s="28"/>
    </row>
    <row r="1440" spans="1:21" s="5" customFormat="1">
      <c r="A1440" s="179" t="s">
        <v>1809</v>
      </c>
      <c r="B1440" s="185" t="s">
        <v>6104</v>
      </c>
      <c r="C1440" s="35" t="str">
        <f t="shared" si="154"/>
        <v>Hashish</v>
      </c>
      <c r="E1440" s="40"/>
      <c r="F1440" s="14"/>
      <c r="G1440" s="17"/>
      <c r="H1440" s="10" t="s">
        <v>8563</v>
      </c>
      <c r="I1440" s="4" t="str">
        <f t="shared" si="155"/>
        <v>|Ḥaí|</v>
      </c>
      <c r="J1440" s="3" t="str">
        <f t="shared" si="156"/>
        <v>|Hashish|</v>
      </c>
      <c r="K1440" s="3" t="str">
        <f t="shared" si="157"/>
        <v>Hashish</v>
      </c>
      <c r="N1440" s="39" t="str">
        <f t="shared" si="158"/>
        <v/>
      </c>
      <c r="P1440" s="39" t="str">
        <f t="shared" si="159"/>
        <v/>
      </c>
      <c r="R1440" s="39" t="str">
        <f t="shared" si="160"/>
        <v/>
      </c>
      <c r="S1440" s="28"/>
      <c r="T1440" s="28"/>
      <c r="U1440" s="28"/>
    </row>
    <row r="1441" spans="1:21" s="5" customFormat="1">
      <c r="A1441" s="179" t="s">
        <v>9035</v>
      </c>
      <c r="B1441" s="185" t="s">
        <v>9034</v>
      </c>
      <c r="C1441" s="35" t="str">
        <f t="shared" si="154"/>
        <v>Hashishin</v>
      </c>
      <c r="E1441" s="40"/>
      <c r="F1441" s="15" t="s">
        <v>8583</v>
      </c>
      <c r="G1441" s="17"/>
      <c r="H1441" s="10" t="s">
        <v>8563</v>
      </c>
      <c r="I1441" s="4" t="str">
        <f t="shared" si="155"/>
        <v>|Ḥaíín|</v>
      </c>
      <c r="J1441" s="3" t="str">
        <f t="shared" si="156"/>
        <v>|Hashishin|</v>
      </c>
      <c r="K1441" s="3" t="str">
        <f t="shared" si="157"/>
        <v>Hashishin</v>
      </c>
      <c r="N1441" s="39" t="str">
        <f t="shared" si="158"/>
        <v/>
      </c>
      <c r="P1441" s="39" t="str">
        <f t="shared" si="159"/>
        <v/>
      </c>
      <c r="R1441" s="39" t="str">
        <f t="shared" si="160"/>
        <v/>
      </c>
      <c r="S1441" s="28"/>
      <c r="T1441" s="28"/>
      <c r="U1441" s="28"/>
    </row>
    <row r="1442" spans="1:21" s="5" customFormat="1">
      <c r="A1442" s="179" t="s">
        <v>1811</v>
      </c>
      <c r="B1442" s="185" t="s">
        <v>6106</v>
      </c>
      <c r="C1442" s="35" t="str">
        <f t="shared" si="154"/>
        <v>Hashtrudi</v>
      </c>
      <c r="E1442" s="40"/>
      <c r="F1442" s="15"/>
      <c r="G1442" s="17"/>
      <c r="H1442" s="10" t="s">
        <v>8563</v>
      </c>
      <c r="I1442" s="4" t="str">
        <f t="shared" si="155"/>
        <v>|Hatrúdí|</v>
      </c>
      <c r="J1442" s="3" t="str">
        <f t="shared" si="156"/>
        <v>|Hashtrudi|</v>
      </c>
      <c r="K1442" s="3" t="str">
        <f t="shared" si="157"/>
        <v>Hashtrudi</v>
      </c>
      <c r="N1442" s="39" t="str">
        <f t="shared" si="158"/>
        <v/>
      </c>
      <c r="P1442" s="39" t="str">
        <f t="shared" si="159"/>
        <v/>
      </c>
      <c r="R1442" s="39" t="str">
        <f t="shared" si="160"/>
        <v/>
      </c>
      <c r="S1442" s="28"/>
      <c r="T1442" s="28"/>
      <c r="U1442" s="28"/>
    </row>
    <row r="1443" spans="1:21" s="5" customFormat="1">
      <c r="A1443" s="179" t="s">
        <v>1812</v>
      </c>
      <c r="B1443" s="185" t="s">
        <v>6107</v>
      </c>
      <c r="C1443" s="35" t="str">
        <f t="shared" si="154"/>
        <v>Hatami</v>
      </c>
      <c r="E1443" s="40"/>
      <c r="F1443" s="15"/>
      <c r="G1443" s="17"/>
      <c r="H1443" s="10" t="s">
        <v>8563</v>
      </c>
      <c r="I1443" s="4" t="str">
        <f t="shared" si="155"/>
        <v>|Ḥátamí|</v>
      </c>
      <c r="J1443" s="3" t="str">
        <f t="shared" si="156"/>
        <v>|Hatami|</v>
      </c>
      <c r="K1443" s="3" t="str">
        <f t="shared" si="157"/>
        <v>Hatami</v>
      </c>
      <c r="N1443" s="39" t="str">
        <f t="shared" si="158"/>
        <v/>
      </c>
      <c r="P1443" s="39" t="str">
        <f t="shared" si="159"/>
        <v/>
      </c>
      <c r="R1443" s="39" t="str">
        <f t="shared" si="160"/>
        <v/>
      </c>
      <c r="S1443" s="28"/>
      <c r="T1443" s="28"/>
      <c r="U1443" s="28"/>
    </row>
    <row r="1444" spans="1:21" s="5" customFormat="1">
      <c r="A1444" s="179" t="s">
        <v>1813</v>
      </c>
      <c r="B1444" s="185" t="s">
        <v>6108</v>
      </c>
      <c r="C1444" s="35" t="str">
        <f t="shared" si="154"/>
        <v>Hayakil</v>
      </c>
      <c r="E1444" s="40"/>
      <c r="F1444" s="15"/>
      <c r="G1444" s="17"/>
      <c r="H1444" s="10" t="s">
        <v>8563</v>
      </c>
      <c r="I1444" s="4" t="str">
        <f t="shared" si="155"/>
        <v>|Hayákil|</v>
      </c>
      <c r="J1444" s="3" t="str">
        <f t="shared" si="156"/>
        <v>|Hayakil|</v>
      </c>
      <c r="K1444" s="3" t="str">
        <f t="shared" si="157"/>
        <v>Hayakil</v>
      </c>
      <c r="N1444" s="39" t="str">
        <f t="shared" si="158"/>
        <v/>
      </c>
      <c r="P1444" s="39" t="str">
        <f t="shared" si="159"/>
        <v/>
      </c>
      <c r="R1444" s="39" t="str">
        <f t="shared" si="160"/>
        <v/>
      </c>
      <c r="S1444" s="28"/>
      <c r="T1444" s="28"/>
      <c r="U1444" s="28"/>
    </row>
    <row r="1445" spans="1:21" s="5" customFormat="1">
      <c r="A1445" s="179" t="s">
        <v>1814</v>
      </c>
      <c r="B1445" s="185" t="s">
        <v>6109</v>
      </c>
      <c r="C1445" s="35" t="str">
        <f t="shared" si="154"/>
        <v>Hayat</v>
      </c>
      <c r="E1445" s="40"/>
      <c r="F1445" s="15" t="s">
        <v>1815</v>
      </c>
      <c r="G1445" s="17"/>
      <c r="H1445" s="10" t="s">
        <v>8563</v>
      </c>
      <c r="I1445" s="4" t="str">
        <f t="shared" si="155"/>
        <v>|Ḥayát|</v>
      </c>
      <c r="J1445" s="3" t="str">
        <f t="shared" si="156"/>
        <v>|Hayat|</v>
      </c>
      <c r="K1445" s="3" t="str">
        <f t="shared" si="157"/>
        <v>Hayat</v>
      </c>
      <c r="N1445" s="39" t="str">
        <f t="shared" si="158"/>
        <v/>
      </c>
      <c r="P1445" s="39" t="str">
        <f t="shared" si="159"/>
        <v/>
      </c>
      <c r="R1445" s="39" t="str">
        <f t="shared" si="160"/>
        <v/>
      </c>
      <c r="S1445" s="28"/>
      <c r="T1445" s="28"/>
      <c r="U1445" s="28"/>
    </row>
    <row r="1446" spans="1:21" s="5" customFormat="1">
      <c r="A1446" s="179" t="s">
        <v>1816</v>
      </c>
      <c r="B1446" s="185" t="s">
        <v>6110</v>
      </c>
      <c r="C1446" s="35" t="str">
        <f t="shared" si="154"/>
        <v>HayatiBagh</v>
      </c>
      <c r="E1446" s="40"/>
      <c r="F1446" s="15"/>
      <c r="G1446" s="17"/>
      <c r="H1446" s="10" t="s">
        <v>8563</v>
      </c>
      <c r="I1446" s="4" t="str">
        <f t="shared" si="155"/>
        <v>|Ḥayát-i-Bá|</v>
      </c>
      <c r="J1446" s="3" t="str">
        <f t="shared" si="156"/>
        <v>|Hayat-i-Bagh|</v>
      </c>
      <c r="K1446" s="3" t="str">
        <f t="shared" si="157"/>
        <v>Hayat-i-Bagh</v>
      </c>
      <c r="N1446" s="39" t="str">
        <f t="shared" si="158"/>
        <v/>
      </c>
      <c r="P1446" s="39" t="str">
        <f t="shared" si="159"/>
        <v/>
      </c>
      <c r="R1446" s="39" t="str">
        <f t="shared" si="160"/>
        <v/>
      </c>
      <c r="S1446" s="28"/>
      <c r="T1446" s="28"/>
      <c r="U1446" s="28"/>
    </row>
    <row r="1447" spans="1:21" s="5" customFormat="1">
      <c r="A1447" s="179" t="s">
        <v>1817</v>
      </c>
      <c r="B1447" s="185" t="s">
        <v>6111</v>
      </c>
      <c r="C1447" s="35" t="str">
        <f t="shared" si="154"/>
        <v>HayatQuli</v>
      </c>
      <c r="E1447" s="40"/>
      <c r="F1447" s="15"/>
      <c r="G1447" s="17"/>
      <c r="H1447" s="10" t="s">
        <v>8563</v>
      </c>
      <c r="I1447" s="4" t="str">
        <f t="shared" si="155"/>
        <v>|Ḥayát-Qulí|</v>
      </c>
      <c r="J1447" s="3" t="str">
        <f t="shared" si="156"/>
        <v>|Hayat-Quli|</v>
      </c>
      <c r="K1447" s="3" t="str">
        <f t="shared" si="157"/>
        <v>Hayat-Quli</v>
      </c>
      <c r="N1447" s="39" t="str">
        <f t="shared" si="158"/>
        <v/>
      </c>
      <c r="P1447" s="39" t="str">
        <f t="shared" si="159"/>
        <v/>
      </c>
      <c r="R1447" s="39" t="str">
        <f t="shared" si="160"/>
        <v/>
      </c>
      <c r="S1447" s="28"/>
      <c r="T1447" s="28"/>
      <c r="U1447" s="28"/>
    </row>
    <row r="1448" spans="1:21" s="5" customFormat="1">
      <c r="A1448" s="179" t="s">
        <v>1818</v>
      </c>
      <c r="B1448" s="185" t="s">
        <v>6112</v>
      </c>
      <c r="C1448" s="35" t="str">
        <f t="shared" si="154"/>
        <v>Haydar</v>
      </c>
      <c r="E1448" s="40"/>
      <c r="F1448" s="14"/>
      <c r="G1448" s="17"/>
      <c r="H1448" s="10" t="s">
        <v>8563</v>
      </c>
      <c r="I1448" s="4" t="str">
        <f t="shared" si="155"/>
        <v>|Ḥaydar|</v>
      </c>
      <c r="J1448" s="3" t="str">
        <f t="shared" si="156"/>
        <v>|Haydar|</v>
      </c>
      <c r="K1448" s="3" t="str">
        <f t="shared" si="157"/>
        <v>Haydar</v>
      </c>
      <c r="N1448" s="39" t="str">
        <f t="shared" si="158"/>
        <v/>
      </c>
      <c r="P1448" s="39" t="str">
        <f t="shared" si="159"/>
        <v/>
      </c>
      <c r="R1448" s="39" t="str">
        <f t="shared" si="160"/>
        <v/>
      </c>
      <c r="S1448" s="28"/>
      <c r="T1448" s="28"/>
      <c r="U1448" s="28"/>
    </row>
    <row r="1449" spans="1:21" s="5" customFormat="1">
      <c r="A1449" s="179" t="s">
        <v>1819</v>
      </c>
      <c r="B1449" s="185" t="s">
        <v>6113</v>
      </c>
      <c r="C1449" s="35" t="str">
        <f t="shared" si="154"/>
        <v>HaydarAli</v>
      </c>
      <c r="E1449" s="40"/>
      <c r="F1449" s="14"/>
      <c r="G1449" s="17"/>
      <c r="H1449" s="10" t="s">
        <v>8563</v>
      </c>
      <c r="I1449" s="4" t="str">
        <f t="shared" si="155"/>
        <v>|Ḥaydar-ʿAlí|</v>
      </c>
      <c r="J1449" s="3" t="str">
        <f t="shared" si="156"/>
        <v>|Haydar-'Ali|</v>
      </c>
      <c r="K1449" s="3" t="str">
        <f t="shared" si="157"/>
        <v>Haydar-Ali</v>
      </c>
      <c r="N1449" s="39" t="str">
        <f t="shared" si="158"/>
        <v/>
      </c>
      <c r="P1449" s="39" t="str">
        <f t="shared" si="159"/>
        <v/>
      </c>
      <c r="R1449" s="39" t="str">
        <f t="shared" si="160"/>
        <v/>
      </c>
      <c r="S1449" s="28"/>
      <c r="T1449" s="28"/>
      <c r="U1449" s="28"/>
    </row>
    <row r="1450" spans="1:21" s="5" customFormat="1">
      <c r="A1450" s="179" t="s">
        <v>1820</v>
      </c>
      <c r="B1450" s="185" t="s">
        <v>6114</v>
      </c>
      <c r="C1450" s="35" t="str">
        <f t="shared" si="154"/>
        <v>HaydarAliyiArdistani</v>
      </c>
      <c r="E1450" s="40"/>
      <c r="F1450" s="14"/>
      <c r="G1450" s="17"/>
      <c r="H1450" s="10" t="s">
        <v>8563</v>
      </c>
      <c r="I1450" s="4" t="str">
        <f t="shared" si="155"/>
        <v>|Ḥaydar-ʿAlíy-i-Ardistání|</v>
      </c>
      <c r="J1450" s="3" t="str">
        <f t="shared" si="156"/>
        <v>|Haydar-'Aliy-i-Ardistani|</v>
      </c>
      <c r="K1450" s="3" t="str">
        <f t="shared" si="157"/>
        <v>Haydar-Aliy-i-Ardistani</v>
      </c>
      <c r="N1450" s="39" t="str">
        <f t="shared" si="158"/>
        <v/>
      </c>
      <c r="P1450" s="39" t="str">
        <f t="shared" si="159"/>
        <v/>
      </c>
      <c r="R1450" s="39" t="str">
        <f t="shared" si="160"/>
        <v/>
      </c>
      <c r="S1450" s="28"/>
      <c r="T1450" s="28"/>
      <c r="U1450" s="28"/>
    </row>
    <row r="1451" spans="1:21" s="5" customFormat="1">
      <c r="A1451" s="179" t="s">
        <v>1821</v>
      </c>
      <c r="B1451" s="185" t="s">
        <v>95</v>
      </c>
      <c r="C1451" s="35" t="str">
        <f t="shared" si="154"/>
        <v>Haykal</v>
      </c>
      <c r="E1451" s="40"/>
      <c r="F1451" s="14"/>
      <c r="G1451" s="17"/>
      <c r="H1451" s="10" t="s">
        <v>8563</v>
      </c>
      <c r="I1451" s="4" t="str">
        <f t="shared" si="155"/>
        <v>|Haykal|</v>
      </c>
      <c r="J1451" s="3" t="str">
        <f t="shared" si="156"/>
        <v>|Haykal|</v>
      </c>
      <c r="K1451" s="3" t="str">
        <f t="shared" si="157"/>
        <v>Haykal</v>
      </c>
      <c r="N1451" s="39" t="str">
        <f t="shared" si="158"/>
        <v/>
      </c>
      <c r="P1451" s="39" t="str">
        <f t="shared" si="159"/>
        <v/>
      </c>
      <c r="R1451" s="39" t="str">
        <f t="shared" si="160"/>
        <v/>
      </c>
      <c r="S1451" s="28"/>
      <c r="T1451" s="28"/>
      <c r="U1451" s="28"/>
    </row>
    <row r="1452" spans="1:21" s="5" customFormat="1">
      <c r="A1452" s="179" t="s">
        <v>1822</v>
      </c>
      <c r="B1452" s="185" t="s">
        <v>6115</v>
      </c>
      <c r="C1452" s="35" t="str">
        <f t="shared" si="154"/>
        <v>HaykalutTawhid</v>
      </c>
      <c r="E1452" s="40"/>
      <c r="F1452" s="15" t="s">
        <v>1823</v>
      </c>
      <c r="G1452" s="17"/>
      <c r="H1452" s="10" t="s">
        <v>8563</v>
      </c>
      <c r="I1452" s="4" t="str">
        <f t="shared" si="155"/>
        <v>|Haykalu’t-Tawḥíd|</v>
      </c>
      <c r="J1452" s="3" t="str">
        <f t="shared" si="156"/>
        <v>|Haykalu't-Tawhid|</v>
      </c>
      <c r="K1452" s="3" t="str">
        <f t="shared" si="157"/>
        <v>Haykalut-Tawhid</v>
      </c>
      <c r="N1452" s="39" t="str">
        <f t="shared" si="158"/>
        <v/>
      </c>
      <c r="P1452" s="39" t="str">
        <f t="shared" si="159"/>
        <v/>
      </c>
      <c r="R1452" s="39" t="str">
        <f t="shared" si="160"/>
        <v/>
      </c>
      <c r="S1452" s="28"/>
      <c r="T1452" s="28"/>
      <c r="U1452" s="28"/>
    </row>
    <row r="1453" spans="1:21" s="5" customFormat="1">
      <c r="A1453" s="179" t="s">
        <v>1824</v>
      </c>
      <c r="B1453" s="185" t="s">
        <v>6116</v>
      </c>
      <c r="C1453" s="35" t="str">
        <f t="shared" si="154"/>
        <v>Hayula</v>
      </c>
      <c r="E1453" s="40"/>
      <c r="F1453" s="15" t="s">
        <v>1825</v>
      </c>
      <c r="G1453" s="17"/>
      <c r="H1453" s="10" t="s">
        <v>8563</v>
      </c>
      <c r="I1453" s="4" t="str">
        <f t="shared" si="155"/>
        <v>|Hayúlá|</v>
      </c>
      <c r="J1453" s="3" t="str">
        <f t="shared" si="156"/>
        <v>|Hayula|</v>
      </c>
      <c r="K1453" s="3" t="str">
        <f t="shared" si="157"/>
        <v>Hayula</v>
      </c>
      <c r="N1453" s="39" t="str">
        <f t="shared" si="158"/>
        <v/>
      </c>
      <c r="P1453" s="39" t="str">
        <f t="shared" si="159"/>
        <v/>
      </c>
      <c r="R1453" s="39" t="str">
        <f t="shared" si="160"/>
        <v/>
      </c>
      <c r="S1453" s="28"/>
      <c r="T1453" s="28"/>
      <c r="U1453" s="28"/>
    </row>
    <row r="1454" spans="1:21" s="5" customFormat="1">
      <c r="A1454" s="179" t="s">
        <v>1826</v>
      </c>
      <c r="B1454" s="185" t="s">
        <v>6117</v>
      </c>
      <c r="C1454" s="35" t="str">
        <f t="shared" si="154"/>
        <v>Hayy</v>
      </c>
      <c r="E1454" s="40"/>
      <c r="F1454" s="15" t="s">
        <v>1827</v>
      </c>
      <c r="G1454" s="17"/>
      <c r="H1454" s="10" t="s">
        <v>8563</v>
      </c>
      <c r="I1454" s="4" t="str">
        <f t="shared" si="155"/>
        <v>|Ḥayy|</v>
      </c>
      <c r="J1454" s="3" t="str">
        <f t="shared" si="156"/>
        <v>|Hayy|</v>
      </c>
      <c r="K1454" s="3" t="str">
        <f t="shared" si="157"/>
        <v>Hayy</v>
      </c>
      <c r="N1454" s="39" t="str">
        <f t="shared" si="158"/>
        <v/>
      </c>
      <c r="P1454" s="39" t="str">
        <f t="shared" si="159"/>
        <v/>
      </c>
      <c r="R1454" s="39" t="str">
        <f t="shared" si="160"/>
        <v/>
      </c>
      <c r="S1454" s="28"/>
      <c r="T1454" s="28"/>
      <c r="U1454" s="28"/>
    </row>
    <row r="1455" spans="1:21" s="5" customFormat="1">
      <c r="A1455" s="179" t="s">
        <v>1828</v>
      </c>
      <c r="B1455" s="185" t="s">
        <v>145</v>
      </c>
      <c r="C1455" s="35" t="str">
        <f t="shared" si="154"/>
        <v>HaziratulQuds</v>
      </c>
      <c r="E1455" s="40"/>
      <c r="F1455" s="14" t="s">
        <v>1829</v>
      </c>
      <c r="G1455" s="17"/>
      <c r="H1455" s="10" t="s">
        <v>8563</v>
      </c>
      <c r="I1455" s="4" t="str">
        <f t="shared" si="155"/>
        <v>|Ḥaẓíratu’l-Quds|</v>
      </c>
      <c r="J1455" s="3" t="str">
        <f t="shared" si="156"/>
        <v>|Haziratu'l-Quds|</v>
      </c>
      <c r="K1455" s="3" t="str">
        <f t="shared" si="157"/>
        <v>Haziratul-Quds</v>
      </c>
      <c r="N1455" s="39" t="str">
        <f t="shared" si="158"/>
        <v/>
      </c>
      <c r="P1455" s="39" t="str">
        <f t="shared" si="159"/>
        <v/>
      </c>
      <c r="R1455" s="39" t="str">
        <f t="shared" si="160"/>
        <v/>
      </c>
      <c r="S1455" s="28"/>
      <c r="T1455" s="29">
        <v>41801</v>
      </c>
      <c r="U1455" s="28" t="s">
        <v>9416</v>
      </c>
    </row>
    <row r="1456" spans="1:21" s="5" customFormat="1">
      <c r="A1456" s="179" t="s">
        <v>1830</v>
      </c>
      <c r="B1456" s="185" t="s">
        <v>6118</v>
      </c>
      <c r="C1456" s="35" t="str">
        <f t="shared" si="154"/>
        <v>Hidayat</v>
      </c>
      <c r="E1456" s="40"/>
      <c r="F1456" s="14"/>
      <c r="G1456" s="17"/>
      <c r="H1456" s="10" t="s">
        <v>8563</v>
      </c>
      <c r="I1456" s="4" t="str">
        <f t="shared" si="155"/>
        <v>|Hidáyat|</v>
      </c>
      <c r="J1456" s="3" t="str">
        <f t="shared" si="156"/>
        <v>|Hidayat|</v>
      </c>
      <c r="K1456" s="3" t="str">
        <f t="shared" si="157"/>
        <v>Hidayat</v>
      </c>
      <c r="N1456" s="39" t="str">
        <f t="shared" si="158"/>
        <v/>
      </c>
      <c r="P1456" s="39" t="str">
        <f t="shared" si="159"/>
        <v/>
      </c>
      <c r="R1456" s="39" t="str">
        <f t="shared" si="160"/>
        <v/>
      </c>
      <c r="S1456" s="28"/>
      <c r="T1456" s="28"/>
      <c r="U1456" s="28"/>
    </row>
    <row r="1457" spans="1:21" s="5" customFormat="1">
      <c r="A1457" s="179" t="s">
        <v>1831</v>
      </c>
      <c r="B1457" s="185" t="s">
        <v>9036</v>
      </c>
      <c r="C1457" s="35" t="str">
        <f t="shared" si="154"/>
        <v>HidayatutiTalibin</v>
      </c>
      <c r="E1457" s="40"/>
      <c r="F1457" s="15"/>
      <c r="G1457" s="17"/>
      <c r="H1457" s="10" t="s">
        <v>8563</v>
      </c>
      <c r="I1457" s="4" t="str">
        <f t="shared" si="155"/>
        <v>|Hidáyatu’ṭ-i-Ṭálibín|</v>
      </c>
      <c r="J1457" s="3" t="str">
        <f t="shared" si="156"/>
        <v>|Hidayatu't-i-Talibin|</v>
      </c>
      <c r="K1457" s="3" t="str">
        <f t="shared" si="157"/>
        <v>Hidayatut-i-Talibin</v>
      </c>
      <c r="N1457" s="39" t="str">
        <f t="shared" si="158"/>
        <v/>
      </c>
      <c r="P1457" s="39" t="str">
        <f t="shared" si="159"/>
        <v/>
      </c>
      <c r="R1457" s="39" t="str">
        <f t="shared" si="160"/>
        <v/>
      </c>
      <c r="S1457" s="28"/>
      <c r="T1457" s="28"/>
      <c r="U1457" s="28"/>
    </row>
    <row r="1458" spans="1:21" s="5" customFormat="1">
      <c r="A1458" s="179" t="s">
        <v>1832</v>
      </c>
      <c r="B1458" s="185" t="s">
        <v>16</v>
      </c>
      <c r="C1458" s="35" t="str">
        <f t="shared" si="154"/>
        <v>Hijaz</v>
      </c>
      <c r="E1458" s="40"/>
      <c r="F1458" s="14"/>
      <c r="G1458" s="17"/>
      <c r="H1458" s="10" t="s">
        <v>8563</v>
      </c>
      <c r="I1458" s="4" t="str">
        <f t="shared" si="155"/>
        <v>|Ḥijáz|</v>
      </c>
      <c r="J1458" s="3" t="str">
        <f t="shared" si="156"/>
        <v>|Hijaz|</v>
      </c>
      <c r="K1458" s="3" t="str">
        <f t="shared" si="157"/>
        <v>Hijaz</v>
      </c>
      <c r="N1458" s="39" t="str">
        <f t="shared" si="158"/>
        <v/>
      </c>
      <c r="P1458" s="39" t="str">
        <f t="shared" si="159"/>
        <v/>
      </c>
      <c r="R1458" s="39" t="str">
        <f t="shared" si="160"/>
        <v/>
      </c>
      <c r="S1458" s="28"/>
      <c r="T1458" s="29">
        <v>41796</v>
      </c>
      <c r="U1458" s="28" t="s">
        <v>9451</v>
      </c>
    </row>
    <row r="1459" spans="1:21" s="5" customFormat="1">
      <c r="A1459" s="181" t="s">
        <v>9038</v>
      </c>
      <c r="B1459" s="185" t="s">
        <v>9037</v>
      </c>
      <c r="C1459" s="35" t="str">
        <f t="shared" si="154"/>
        <v>Hijrah</v>
      </c>
      <c r="D1459" s="1"/>
      <c r="E1459" s="40"/>
      <c r="F1459" s="12"/>
      <c r="G1459" s="9"/>
      <c r="H1459" s="11" t="s">
        <v>77</v>
      </c>
      <c r="I1459" s="4" t="str">
        <f t="shared" si="155"/>
        <v>|Hijrah|</v>
      </c>
      <c r="J1459" s="3" t="str">
        <f t="shared" si="156"/>
        <v>|Hijrah|</v>
      </c>
      <c r="K1459" s="3" t="str">
        <f t="shared" si="157"/>
        <v>Hijrah</v>
      </c>
      <c r="M1459" s="1"/>
      <c r="N1459" s="39" t="str">
        <f t="shared" si="158"/>
        <v/>
      </c>
      <c r="O1459" s="1"/>
      <c r="P1459" s="39" t="str">
        <f t="shared" si="159"/>
        <v/>
      </c>
      <c r="Q1459" s="1"/>
      <c r="R1459" s="39" t="str">
        <f t="shared" si="160"/>
        <v/>
      </c>
      <c r="S1459" s="28"/>
      <c r="T1459" s="28"/>
      <c r="U1459" s="28"/>
    </row>
    <row r="1460" spans="1:21" s="5" customFormat="1">
      <c r="A1460" s="179" t="s">
        <v>1833</v>
      </c>
      <c r="B1460" s="185" t="s">
        <v>6119</v>
      </c>
      <c r="C1460" s="35" t="str">
        <f t="shared" si="154"/>
        <v>Hijrat</v>
      </c>
      <c r="E1460" s="40"/>
      <c r="F1460" s="14" t="s">
        <v>1834</v>
      </c>
      <c r="G1460" s="17"/>
      <c r="H1460" s="10" t="s">
        <v>8563</v>
      </c>
      <c r="I1460" s="4" t="str">
        <f t="shared" si="155"/>
        <v>|Hijrat|</v>
      </c>
      <c r="J1460" s="3" t="str">
        <f t="shared" si="156"/>
        <v>|Hijrat|</v>
      </c>
      <c r="K1460" s="3" t="str">
        <f t="shared" si="157"/>
        <v>Hijrat</v>
      </c>
      <c r="N1460" s="39" t="str">
        <f t="shared" si="158"/>
        <v/>
      </c>
      <c r="P1460" s="39" t="str">
        <f t="shared" si="159"/>
        <v/>
      </c>
      <c r="R1460" s="39" t="str">
        <f t="shared" si="160"/>
        <v/>
      </c>
      <c r="S1460" s="28"/>
      <c r="T1460" s="28"/>
      <c r="U1460" s="28"/>
    </row>
    <row r="1461" spans="1:21" s="5" customFormat="1">
      <c r="A1461" s="179" t="s">
        <v>1835</v>
      </c>
      <c r="B1461" s="185" t="s">
        <v>6120</v>
      </c>
      <c r="C1461" s="35" t="str">
        <f t="shared" si="154"/>
        <v>HikayatiDil</v>
      </c>
      <c r="E1461" s="40"/>
      <c r="F1461" s="15"/>
      <c r="G1461" s="17"/>
      <c r="H1461" s="10" t="s">
        <v>8563</v>
      </c>
      <c r="I1461" s="4" t="str">
        <f t="shared" si="155"/>
        <v>|Ḥikáyat-i-Dil|</v>
      </c>
      <c r="J1461" s="3" t="str">
        <f t="shared" si="156"/>
        <v>|Hikayat-i-Dil|</v>
      </c>
      <c r="K1461" s="3" t="str">
        <f t="shared" si="157"/>
        <v>Hikayat-i-Dil</v>
      </c>
      <c r="N1461" s="39" t="str">
        <f t="shared" si="158"/>
        <v/>
      </c>
      <c r="P1461" s="39" t="str">
        <f t="shared" si="159"/>
        <v/>
      </c>
      <c r="R1461" s="39" t="str">
        <f t="shared" si="160"/>
        <v/>
      </c>
      <c r="S1461" s="28"/>
      <c r="T1461" s="28"/>
      <c r="U1461" s="28"/>
    </row>
    <row r="1462" spans="1:21" s="5" customFormat="1">
      <c r="A1462" s="179" t="s">
        <v>1836</v>
      </c>
      <c r="B1462" s="185" t="s">
        <v>6121</v>
      </c>
      <c r="C1462" s="35" t="str">
        <f t="shared" si="154"/>
        <v>Hilmi</v>
      </c>
      <c r="E1462" s="40"/>
      <c r="F1462" s="14"/>
      <c r="G1462" s="17"/>
      <c r="H1462" s="10" t="s">
        <v>8563</v>
      </c>
      <c r="I1462" s="4" t="str">
        <f t="shared" si="155"/>
        <v>|Ḥilmí|</v>
      </c>
      <c r="J1462" s="3" t="str">
        <f t="shared" si="156"/>
        <v>|Hilmi|</v>
      </c>
      <c r="K1462" s="3" t="str">
        <f t="shared" si="157"/>
        <v>Hilmi</v>
      </c>
      <c r="N1462" s="39" t="str">
        <f t="shared" si="158"/>
        <v/>
      </c>
      <c r="P1462" s="39" t="str">
        <f t="shared" si="159"/>
        <v/>
      </c>
      <c r="R1462" s="39" t="str">
        <f t="shared" si="160"/>
        <v/>
      </c>
      <c r="S1462" s="28"/>
      <c r="T1462" s="28"/>
      <c r="U1462" s="28"/>
    </row>
    <row r="1463" spans="1:21" s="5" customFormat="1">
      <c r="A1463" s="179" t="s">
        <v>1837</v>
      </c>
      <c r="B1463" s="185" t="s">
        <v>6122</v>
      </c>
      <c r="C1463" s="35" t="str">
        <f t="shared" si="154"/>
        <v>Himar</v>
      </c>
      <c r="E1463" s="40"/>
      <c r="F1463" s="15" t="s">
        <v>1838</v>
      </c>
      <c r="G1463" s="17"/>
      <c r="H1463" s="10" t="s">
        <v>8563</v>
      </c>
      <c r="I1463" s="4" t="str">
        <f t="shared" si="155"/>
        <v>|Ḥimár|</v>
      </c>
      <c r="J1463" s="3" t="str">
        <f t="shared" si="156"/>
        <v>|Himar|</v>
      </c>
      <c r="K1463" s="3" t="str">
        <f t="shared" si="157"/>
        <v>Himar</v>
      </c>
      <c r="N1463" s="39" t="str">
        <f t="shared" si="158"/>
        <v/>
      </c>
      <c r="P1463" s="39" t="str">
        <f t="shared" si="159"/>
        <v/>
      </c>
      <c r="R1463" s="39" t="str">
        <f t="shared" si="160"/>
        <v/>
      </c>
      <c r="S1463" s="28"/>
      <c r="T1463" s="28"/>
      <c r="U1463" s="28"/>
    </row>
    <row r="1464" spans="1:21" s="5" customFormat="1">
      <c r="A1464" s="179" t="s">
        <v>1839</v>
      </c>
      <c r="B1464" s="185" t="s">
        <v>6123</v>
      </c>
      <c r="C1464" s="35" t="str">
        <f t="shared" si="154"/>
        <v>Himyari</v>
      </c>
      <c r="E1464" s="40"/>
      <c r="F1464" s="15"/>
      <c r="G1464" s="17"/>
      <c r="H1464" s="10" t="s">
        <v>8563</v>
      </c>
      <c r="I1464" s="4" t="str">
        <f t="shared" si="155"/>
        <v>|Ḥimyarí|</v>
      </c>
      <c r="J1464" s="3" t="str">
        <f t="shared" si="156"/>
        <v>|Himyari|</v>
      </c>
      <c r="K1464" s="3" t="str">
        <f t="shared" si="157"/>
        <v>Himyari</v>
      </c>
      <c r="N1464" s="39" t="str">
        <f t="shared" si="158"/>
        <v/>
      </c>
      <c r="P1464" s="39" t="str">
        <f t="shared" si="159"/>
        <v/>
      </c>
      <c r="R1464" s="39" t="str">
        <f t="shared" si="160"/>
        <v/>
      </c>
      <c r="S1464" s="28"/>
      <c r="T1464" s="28"/>
      <c r="U1464" s="28"/>
    </row>
    <row r="1465" spans="1:21" s="5" customFormat="1">
      <c r="A1465" s="179" t="s">
        <v>1840</v>
      </c>
      <c r="B1465" s="185" t="s">
        <v>6124</v>
      </c>
      <c r="C1465" s="35" t="str">
        <f t="shared" si="154"/>
        <v>Hin</v>
      </c>
      <c r="E1465" s="40"/>
      <c r="F1465" s="15" t="s">
        <v>1841</v>
      </c>
      <c r="G1465" s="17"/>
      <c r="H1465" s="10" t="s">
        <v>8563</v>
      </c>
      <c r="I1465" s="4" t="str">
        <f t="shared" si="155"/>
        <v>|Ḥín|</v>
      </c>
      <c r="J1465" s="3" t="str">
        <f t="shared" si="156"/>
        <v>|Hin|</v>
      </c>
      <c r="K1465" s="3" t="str">
        <f t="shared" si="157"/>
        <v>Hin</v>
      </c>
      <c r="L1465" s="5" t="s">
        <v>59</v>
      </c>
      <c r="N1465" s="39" t="str">
        <f t="shared" si="158"/>
        <v/>
      </c>
      <c r="P1465" s="39" t="str">
        <f t="shared" si="159"/>
        <v/>
      </c>
      <c r="R1465" s="39" t="str">
        <f t="shared" si="160"/>
        <v/>
      </c>
      <c r="S1465" s="28"/>
      <c r="T1465" s="28"/>
      <c r="U1465" s="28"/>
    </row>
    <row r="1466" spans="1:21" s="5" customFormat="1">
      <c r="A1466" s="179" t="s">
        <v>1842</v>
      </c>
      <c r="B1466" s="185" t="s">
        <v>6125</v>
      </c>
      <c r="C1466" s="35" t="str">
        <f t="shared" si="154"/>
        <v>Hindiyan</v>
      </c>
      <c r="E1466" s="40"/>
      <c r="F1466" s="14"/>
      <c r="G1466" s="17"/>
      <c r="H1466" s="10" t="s">
        <v>8563</v>
      </c>
      <c r="I1466" s="4" t="str">
        <f t="shared" si="155"/>
        <v>|Hindíyán|</v>
      </c>
      <c r="J1466" s="3" t="str">
        <f t="shared" si="156"/>
        <v>|Hindiyan|</v>
      </c>
      <c r="K1466" s="3" t="str">
        <f t="shared" si="157"/>
        <v>Hindiyan</v>
      </c>
      <c r="N1466" s="39" t="str">
        <f t="shared" si="158"/>
        <v/>
      </c>
      <c r="P1466" s="39" t="str">
        <f t="shared" si="159"/>
        <v/>
      </c>
      <c r="R1466" s="39" t="str">
        <f t="shared" si="160"/>
        <v/>
      </c>
      <c r="S1466" s="28"/>
      <c r="T1466" s="28"/>
      <c r="U1466" s="28"/>
    </row>
    <row r="1467" spans="1:21" s="5" customFormat="1">
      <c r="A1467" s="179" t="s">
        <v>1843</v>
      </c>
      <c r="B1467" s="185" t="s">
        <v>6126</v>
      </c>
      <c r="C1467" s="35" t="str">
        <f t="shared" si="154"/>
        <v>Hindiyyih</v>
      </c>
      <c r="E1467" s="40"/>
      <c r="F1467" s="14"/>
      <c r="G1467" s="17"/>
      <c r="H1467" s="10" t="s">
        <v>8563</v>
      </c>
      <c r="I1467" s="4" t="str">
        <f t="shared" si="155"/>
        <v>|Hindíyyih|</v>
      </c>
      <c r="J1467" s="3" t="str">
        <f t="shared" si="156"/>
        <v>|Hindiyyih|</v>
      </c>
      <c r="K1467" s="3" t="str">
        <f t="shared" si="157"/>
        <v>Hindiyyih</v>
      </c>
      <c r="N1467" s="39" t="str">
        <f t="shared" si="158"/>
        <v/>
      </c>
      <c r="P1467" s="39" t="str">
        <f t="shared" si="159"/>
        <v/>
      </c>
      <c r="R1467" s="39" t="str">
        <f t="shared" si="160"/>
        <v/>
      </c>
      <c r="S1467" s="28"/>
      <c r="T1467" s="28"/>
      <c r="U1467" s="28"/>
    </row>
    <row r="1468" spans="1:21" s="5" customFormat="1">
      <c r="A1468" s="179" t="s">
        <v>1844</v>
      </c>
      <c r="B1468" s="185" t="s">
        <v>6127</v>
      </c>
      <c r="C1468" s="35" t="str">
        <f t="shared" si="154"/>
        <v>Hirat</v>
      </c>
      <c r="E1468" s="40"/>
      <c r="F1468" s="14"/>
      <c r="G1468" s="17"/>
      <c r="H1468" s="10" t="s">
        <v>8563</v>
      </c>
      <c r="I1468" s="4" t="str">
        <f t="shared" si="155"/>
        <v>|Hirát|</v>
      </c>
      <c r="J1468" s="3" t="str">
        <f t="shared" si="156"/>
        <v>|Hirat|</v>
      </c>
      <c r="K1468" s="3" t="str">
        <f t="shared" si="157"/>
        <v>Hirat</v>
      </c>
      <c r="N1468" s="39" t="str">
        <f t="shared" si="158"/>
        <v/>
      </c>
      <c r="P1468" s="39" t="str">
        <f t="shared" si="159"/>
        <v/>
      </c>
      <c r="R1468" s="39" t="str">
        <f t="shared" si="160"/>
        <v/>
      </c>
      <c r="S1468" s="28"/>
      <c r="T1468" s="28"/>
      <c r="U1468" s="28"/>
    </row>
    <row r="1469" spans="1:21" s="5" customFormat="1">
      <c r="A1469" s="179" t="s">
        <v>1779</v>
      </c>
      <c r="B1469" s="185" t="s">
        <v>9039</v>
      </c>
      <c r="C1469" s="35" t="str">
        <f t="shared" si="154"/>
        <v>Hirati</v>
      </c>
      <c r="E1469" s="40"/>
      <c r="F1469" s="14"/>
      <c r="G1469" s="17"/>
      <c r="H1469" s="10" t="s">
        <v>8563</v>
      </c>
      <c r="I1469" s="4" t="str">
        <f t="shared" si="155"/>
        <v>|Hirátí|</v>
      </c>
      <c r="J1469" s="3" t="str">
        <f t="shared" si="156"/>
        <v>|Hirati|</v>
      </c>
      <c r="K1469" s="3" t="str">
        <f t="shared" si="157"/>
        <v>Hirati</v>
      </c>
      <c r="N1469" s="39" t="str">
        <f t="shared" si="158"/>
        <v/>
      </c>
      <c r="P1469" s="39" t="str">
        <f t="shared" si="159"/>
        <v/>
      </c>
      <c r="R1469" s="39" t="str">
        <f t="shared" si="160"/>
        <v/>
      </c>
      <c r="S1469" s="28"/>
      <c r="T1469" s="28"/>
      <c r="U1469" s="28"/>
    </row>
    <row r="1470" spans="1:21" s="5" customFormat="1">
      <c r="A1470" s="179" t="s">
        <v>1845</v>
      </c>
      <c r="B1470" s="185" t="s">
        <v>6128</v>
      </c>
      <c r="C1470" s="35" t="str">
        <f t="shared" si="154"/>
        <v>Hirbud</v>
      </c>
      <c r="E1470" s="40"/>
      <c r="F1470" s="15" t="s">
        <v>1846</v>
      </c>
      <c r="G1470" s="17"/>
      <c r="H1470" s="10" t="s">
        <v>8563</v>
      </c>
      <c r="I1470" s="4" t="str">
        <f t="shared" si="155"/>
        <v>|Hirbúd|</v>
      </c>
      <c r="J1470" s="3" t="str">
        <f t="shared" si="156"/>
        <v>|Hirbud|</v>
      </c>
      <c r="K1470" s="3" t="str">
        <f t="shared" si="157"/>
        <v>Hirbud</v>
      </c>
      <c r="N1470" s="39" t="str">
        <f t="shared" si="158"/>
        <v/>
      </c>
      <c r="P1470" s="39" t="str">
        <f t="shared" si="159"/>
        <v/>
      </c>
      <c r="R1470" s="39" t="str">
        <f t="shared" si="160"/>
        <v/>
      </c>
      <c r="S1470" s="28"/>
      <c r="T1470" s="28"/>
      <c r="U1470" s="28"/>
    </row>
    <row r="1471" spans="1:21" s="5" customFormat="1">
      <c r="A1471" s="179" t="s">
        <v>1847</v>
      </c>
      <c r="B1471" s="185" t="s">
        <v>169</v>
      </c>
      <c r="C1471" s="35" t="str">
        <f t="shared" si="154"/>
        <v>Hirih</v>
      </c>
      <c r="E1471" s="40"/>
      <c r="F1471" s="15" t="s">
        <v>1848</v>
      </c>
      <c r="G1471" s="17"/>
      <c r="H1471" s="10" t="s">
        <v>8563</v>
      </c>
      <c r="I1471" s="4" t="str">
        <f t="shared" si="155"/>
        <v>|Ḥírih|</v>
      </c>
      <c r="J1471" s="3" t="str">
        <f t="shared" si="156"/>
        <v>|Hirih|</v>
      </c>
      <c r="K1471" s="3" t="str">
        <f t="shared" si="157"/>
        <v>Hirih</v>
      </c>
      <c r="N1471" s="39" t="str">
        <f t="shared" si="158"/>
        <v/>
      </c>
      <c r="P1471" s="39" t="str">
        <f t="shared" si="159"/>
        <v/>
      </c>
      <c r="R1471" s="39" t="str">
        <f t="shared" si="160"/>
        <v/>
      </c>
      <c r="S1471" s="28"/>
      <c r="T1471" s="28"/>
      <c r="U1471" s="28"/>
    </row>
    <row r="1472" spans="1:21" s="5" customFormat="1">
      <c r="A1472" s="179" t="s">
        <v>1849</v>
      </c>
      <c r="B1472" s="185" t="s">
        <v>6129</v>
      </c>
      <c r="C1472" s="35" t="str">
        <f t="shared" si="154"/>
        <v>HisamiDin</v>
      </c>
      <c r="E1472" s="40"/>
      <c r="F1472" s="15"/>
      <c r="G1472" s="17"/>
      <c r="H1472" s="10" t="s">
        <v>8563</v>
      </c>
      <c r="I1472" s="4" t="str">
        <f t="shared" si="155"/>
        <v>|Ḥisám-i-Dín|</v>
      </c>
      <c r="J1472" s="3" t="str">
        <f t="shared" si="156"/>
        <v>|Hisam-i-Din|</v>
      </c>
      <c r="K1472" s="3" t="str">
        <f t="shared" si="157"/>
        <v>Hisam-i-Din</v>
      </c>
      <c r="N1472" s="39" t="str">
        <f t="shared" si="158"/>
        <v/>
      </c>
      <c r="P1472" s="39" t="str">
        <f t="shared" si="159"/>
        <v/>
      </c>
      <c r="R1472" s="39" t="str">
        <f t="shared" si="160"/>
        <v/>
      </c>
      <c r="S1472" s="28"/>
      <c r="T1472" s="28"/>
      <c r="U1472" s="28"/>
    </row>
    <row r="1473" spans="1:21" s="5" customFormat="1">
      <c r="A1473" s="179" t="s">
        <v>1850</v>
      </c>
      <c r="B1473" s="185" t="s">
        <v>6130</v>
      </c>
      <c r="C1473" s="35" t="str">
        <f t="shared" si="154"/>
        <v>HisamulMulk</v>
      </c>
      <c r="E1473" s="40"/>
      <c r="F1473" s="15"/>
      <c r="G1473" s="17"/>
      <c r="H1473" s="10" t="s">
        <v>8563</v>
      </c>
      <c r="I1473" s="4" t="str">
        <f t="shared" si="155"/>
        <v>|Ḥisámu’l-Mulk|</v>
      </c>
      <c r="J1473" s="3" t="str">
        <f t="shared" si="156"/>
        <v>|Hisamu'l-Mulk|</v>
      </c>
      <c r="K1473" s="3" t="str">
        <f t="shared" si="157"/>
        <v>Hisamul-Mulk</v>
      </c>
      <c r="N1473" s="39" t="str">
        <f t="shared" si="158"/>
        <v/>
      </c>
      <c r="P1473" s="39" t="str">
        <f t="shared" si="159"/>
        <v/>
      </c>
      <c r="R1473" s="39" t="str">
        <f t="shared" si="160"/>
        <v/>
      </c>
      <c r="S1473" s="28"/>
      <c r="T1473" s="28"/>
      <c r="U1473" s="28"/>
    </row>
    <row r="1474" spans="1:21" s="5" customFormat="1">
      <c r="A1474" s="179" t="s">
        <v>1851</v>
      </c>
      <c r="B1474" s="185" t="s">
        <v>6131</v>
      </c>
      <c r="C1474" s="35" t="str">
        <f t="shared" si="154"/>
        <v>HisamusSaltanih</v>
      </c>
      <c r="E1474" s="40"/>
      <c r="F1474" s="15" t="s">
        <v>1852</v>
      </c>
      <c r="G1474" s="17"/>
      <c r="H1474" s="10" t="s">
        <v>8563</v>
      </c>
      <c r="I1474" s="4" t="str">
        <f t="shared" si="155"/>
        <v>|Ḥisámu’s-Salṭanih|</v>
      </c>
      <c r="J1474" s="3" t="str">
        <f t="shared" si="156"/>
        <v>|Hisamu's-Saltanih|</v>
      </c>
      <c r="K1474" s="3" t="str">
        <f t="shared" si="157"/>
        <v>Hisamus-Saltanih</v>
      </c>
      <c r="N1474" s="39" t="str">
        <f t="shared" si="158"/>
        <v/>
      </c>
      <c r="P1474" s="39" t="str">
        <f t="shared" si="159"/>
        <v/>
      </c>
      <c r="R1474" s="39" t="str">
        <f t="shared" si="160"/>
        <v/>
      </c>
      <c r="S1474" s="28"/>
      <c r="T1474" s="28"/>
      <c r="U1474" s="28"/>
    </row>
    <row r="1475" spans="1:21" s="5" customFormat="1">
      <c r="A1475" s="179" t="s">
        <v>1853</v>
      </c>
      <c r="B1475" s="185" t="s">
        <v>6132</v>
      </c>
      <c r="C1475" s="35" t="str">
        <f t="shared" ref="C1475:C1538" si="161">SUBSTITUTE(SUBSTITUTE(K1475,"-","")," ","")</f>
        <v>Hisar</v>
      </c>
      <c r="E1475" s="40"/>
      <c r="F1475" s="15" t="s">
        <v>8584</v>
      </c>
      <c r="G1475" s="17"/>
      <c r="H1475" s="10" t="s">
        <v>8563</v>
      </c>
      <c r="I1475" s="4" t="str">
        <f t="shared" ref="I1475:I1538" si="162">CONCATENATE("|",B1475,"|")</f>
        <v>|Ḥiṣár|</v>
      </c>
      <c r="J1475" s="3" t="str">
        <f t="shared" ref="J1475:J1538" si="163">CONCATENATE("|",F_OutputASCII(B1475),"|")</f>
        <v>|Hisar|</v>
      </c>
      <c r="K1475" s="3" t="str">
        <f t="shared" ref="K1475:K1538" si="164">IF(SUBSTITUTE(MID(J1475,2,LEN(J1475)-2),"'","")&lt;&gt;"",SUBSTITUTE(MID(J1475,2,LEN(J1475)-2),"'",""),"ZZZZZ")</f>
        <v>Hisar</v>
      </c>
      <c r="N1475" s="39" t="str">
        <f t="shared" ref="N1475:N1538" si="165">SUBSTITUTE(SUBSTITUTE(SUBSTITUTE(F_OutputASCII(M1475),"-","")," ",""),"'","")</f>
        <v/>
      </c>
      <c r="P1475" s="39" t="str">
        <f t="shared" ref="P1475:P1538" si="166">SUBSTITUTE(SUBSTITUTE(SUBSTITUTE(F_OutputASCII(O1475),"-","")," ",""),"'","")</f>
        <v/>
      </c>
      <c r="R1475" s="39" t="str">
        <f t="shared" si="160"/>
        <v/>
      </c>
      <c r="S1475" s="28"/>
      <c r="T1475" s="28"/>
      <c r="U1475" s="28"/>
    </row>
    <row r="1476" spans="1:21" s="5" customFormat="1">
      <c r="A1476" s="179" t="s">
        <v>1854</v>
      </c>
      <c r="B1476" s="185" t="s">
        <v>9040</v>
      </c>
      <c r="C1476" s="35" t="str">
        <f t="shared" si="161"/>
        <v>Hisari</v>
      </c>
      <c r="E1476" s="40"/>
      <c r="F1476" s="15"/>
      <c r="G1476" s="17"/>
      <c r="H1476" s="10" t="s">
        <v>8563</v>
      </c>
      <c r="I1476" s="4" t="str">
        <f t="shared" si="162"/>
        <v>|Ḥiṣárí|</v>
      </c>
      <c r="J1476" s="3" t="str">
        <f t="shared" si="163"/>
        <v>|Hisari|</v>
      </c>
      <c r="K1476" s="3" t="str">
        <f t="shared" si="164"/>
        <v>Hisari</v>
      </c>
      <c r="N1476" s="39" t="str">
        <f t="shared" si="165"/>
        <v/>
      </c>
      <c r="P1476" s="39" t="str">
        <f t="shared" si="166"/>
        <v/>
      </c>
      <c r="R1476" s="39" t="str">
        <f t="shared" ref="R1476:R1539" si="167">SUBSTITUTE(SUBSTITUTE(Q1476,"-","")," ","")</f>
        <v/>
      </c>
      <c r="S1476" s="28"/>
      <c r="T1476" s="28"/>
      <c r="U1476" s="28"/>
    </row>
    <row r="1477" spans="1:21" s="5" customFormat="1">
      <c r="A1477" s="179" t="s">
        <v>1855</v>
      </c>
      <c r="B1477" s="185" t="s">
        <v>6133</v>
      </c>
      <c r="C1477" s="35" t="str">
        <f t="shared" si="161"/>
        <v>Hisham</v>
      </c>
      <c r="E1477" s="40"/>
      <c r="F1477" s="15"/>
      <c r="G1477" s="17"/>
      <c r="H1477" s="10" t="s">
        <v>8563</v>
      </c>
      <c r="I1477" s="4" t="str">
        <f t="shared" si="162"/>
        <v>|Hiám|</v>
      </c>
      <c r="J1477" s="3" t="str">
        <f t="shared" si="163"/>
        <v>|Hisham|</v>
      </c>
      <c r="K1477" s="3" t="str">
        <f t="shared" si="164"/>
        <v>Hisham</v>
      </c>
      <c r="N1477" s="39" t="str">
        <f t="shared" si="165"/>
        <v/>
      </c>
      <c r="P1477" s="39" t="str">
        <f t="shared" si="166"/>
        <v/>
      </c>
      <c r="R1477" s="39" t="str">
        <f t="shared" si="167"/>
        <v/>
      </c>
      <c r="S1477" s="28"/>
      <c r="T1477" s="28"/>
      <c r="U1477" s="28"/>
    </row>
    <row r="1478" spans="1:21" s="5" customFormat="1">
      <c r="A1478" s="179" t="s">
        <v>1856</v>
      </c>
      <c r="B1478" s="185" t="s">
        <v>6134</v>
      </c>
      <c r="C1478" s="35" t="str">
        <f t="shared" si="161"/>
        <v>Hishmat</v>
      </c>
      <c r="E1478" s="40"/>
      <c r="F1478" s="15"/>
      <c r="G1478" s="17"/>
      <c r="H1478" s="10" t="s">
        <v>8563</v>
      </c>
      <c r="I1478" s="4" t="str">
        <f t="shared" si="162"/>
        <v>|Ḥimat|</v>
      </c>
      <c r="J1478" s="3" t="str">
        <f t="shared" si="163"/>
        <v>|Hishmat|</v>
      </c>
      <c r="K1478" s="3" t="str">
        <f t="shared" si="164"/>
        <v>Hishmat</v>
      </c>
      <c r="N1478" s="39" t="str">
        <f t="shared" si="165"/>
        <v/>
      </c>
      <c r="P1478" s="39" t="str">
        <f t="shared" si="166"/>
        <v/>
      </c>
      <c r="R1478" s="39" t="str">
        <f t="shared" si="167"/>
        <v/>
      </c>
      <c r="S1478" s="28"/>
      <c r="T1478" s="28"/>
      <c r="U1478" s="28"/>
    </row>
    <row r="1479" spans="1:21" s="5" customFormat="1">
      <c r="A1479" s="179" t="s">
        <v>1857</v>
      </c>
      <c r="B1479" s="185" t="s">
        <v>6135</v>
      </c>
      <c r="C1479" s="35" t="str">
        <f t="shared" si="161"/>
        <v>HishmatudDawlih</v>
      </c>
      <c r="E1479" s="40"/>
      <c r="F1479" s="15"/>
      <c r="G1479" s="17"/>
      <c r="H1479" s="10" t="s">
        <v>8563</v>
      </c>
      <c r="I1479" s="4" t="str">
        <f t="shared" si="162"/>
        <v>|Ḥimatu’d-Dawlih|</v>
      </c>
      <c r="J1479" s="3" t="str">
        <f t="shared" si="163"/>
        <v>|Hishmatu'd-Dawlih|</v>
      </c>
      <c r="K1479" s="3" t="str">
        <f t="shared" si="164"/>
        <v>Hishmatud-Dawlih</v>
      </c>
      <c r="N1479" s="39" t="str">
        <f t="shared" si="165"/>
        <v/>
      </c>
      <c r="P1479" s="39" t="str">
        <f t="shared" si="166"/>
        <v/>
      </c>
      <c r="R1479" s="39" t="str">
        <f t="shared" si="167"/>
        <v/>
      </c>
      <c r="S1479" s="28"/>
      <c r="T1479" s="28"/>
      <c r="U1479" s="28"/>
    </row>
    <row r="1480" spans="1:21" s="5" customFormat="1">
      <c r="A1480" s="179" t="s">
        <v>1810</v>
      </c>
      <c r="B1480" s="185" t="s">
        <v>6105</v>
      </c>
      <c r="C1480" s="35" t="str">
        <f t="shared" si="161"/>
        <v>Hishmatullah</v>
      </c>
      <c r="E1480" s="40"/>
      <c r="F1480" s="15" t="s">
        <v>9077</v>
      </c>
      <c r="G1480" s="17"/>
      <c r="H1480" s="10" t="s">
        <v>8563</v>
      </c>
      <c r="I1480" s="4" t="str">
        <f t="shared" si="162"/>
        <v>|Ḥimatu’lláh|</v>
      </c>
      <c r="J1480" s="3" t="str">
        <f t="shared" si="163"/>
        <v>|Hishmatu'llah|</v>
      </c>
      <c r="K1480" s="3" t="str">
        <f t="shared" si="164"/>
        <v>Hishmatullah</v>
      </c>
      <c r="N1480" s="39" t="str">
        <f t="shared" si="165"/>
        <v/>
      </c>
      <c r="P1480" s="39" t="str">
        <f t="shared" si="166"/>
        <v/>
      </c>
      <c r="R1480" s="39" t="str">
        <f t="shared" si="167"/>
        <v/>
      </c>
      <c r="S1480" s="28"/>
      <c r="T1480" s="28"/>
      <c r="U1480" s="28"/>
    </row>
    <row r="1481" spans="1:21" s="5" customFormat="1">
      <c r="A1481" s="179" t="s">
        <v>1858</v>
      </c>
      <c r="B1481" s="185" t="s">
        <v>6136</v>
      </c>
      <c r="C1481" s="35" t="str">
        <f t="shared" si="161"/>
        <v>Hizar</v>
      </c>
      <c r="E1481" s="40"/>
      <c r="F1481" s="15"/>
      <c r="G1481" s="17"/>
      <c r="H1481" s="10" t="s">
        <v>8563</v>
      </c>
      <c r="I1481" s="4" t="str">
        <f t="shared" si="162"/>
        <v>|Hizár|</v>
      </c>
      <c r="J1481" s="3" t="str">
        <f t="shared" si="163"/>
        <v>|Hizar|</v>
      </c>
      <c r="K1481" s="3" t="str">
        <f t="shared" si="164"/>
        <v>Hizar</v>
      </c>
      <c r="N1481" s="39" t="str">
        <f t="shared" si="165"/>
        <v/>
      </c>
      <c r="P1481" s="39" t="str">
        <f t="shared" si="166"/>
        <v/>
      </c>
      <c r="R1481" s="39" t="str">
        <f t="shared" si="167"/>
        <v/>
      </c>
      <c r="S1481" s="28"/>
      <c r="T1481" s="28"/>
      <c r="U1481" s="28"/>
    </row>
    <row r="1482" spans="1:21" s="5" customFormat="1">
      <c r="A1482" s="179" t="s">
        <v>1859</v>
      </c>
      <c r="B1482" s="185" t="s">
        <v>6137</v>
      </c>
      <c r="C1482" s="35" t="str">
        <f t="shared" si="161"/>
        <v>Hizarih</v>
      </c>
      <c r="E1482" s="40"/>
      <c r="F1482" s="14"/>
      <c r="G1482" s="17"/>
      <c r="H1482" s="10" t="s">
        <v>8563</v>
      </c>
      <c r="I1482" s="4" t="str">
        <f t="shared" si="162"/>
        <v>|Hizárih|</v>
      </c>
      <c r="J1482" s="3" t="str">
        <f t="shared" si="163"/>
        <v>|Hizarih|</v>
      </c>
      <c r="K1482" s="3" t="str">
        <f t="shared" si="164"/>
        <v>Hizarih</v>
      </c>
      <c r="N1482" s="39" t="str">
        <f t="shared" si="165"/>
        <v/>
      </c>
      <c r="P1482" s="39" t="str">
        <f t="shared" si="166"/>
        <v/>
      </c>
      <c r="R1482" s="39" t="str">
        <f t="shared" si="167"/>
        <v/>
      </c>
      <c r="S1482" s="28"/>
      <c r="T1482" s="28"/>
      <c r="U1482" s="28"/>
    </row>
    <row r="1483" spans="1:21" s="5" customFormat="1">
      <c r="A1483" s="179" t="s">
        <v>1860</v>
      </c>
      <c r="B1483" s="185" t="s">
        <v>6138</v>
      </c>
      <c r="C1483" s="35" t="str">
        <f t="shared" si="161"/>
        <v>Hizqil</v>
      </c>
      <c r="E1483" s="40"/>
      <c r="F1483" s="15" t="s">
        <v>1861</v>
      </c>
      <c r="G1483" s="17"/>
      <c r="H1483" s="10" t="s">
        <v>8563</v>
      </c>
      <c r="I1483" s="4" t="str">
        <f t="shared" si="162"/>
        <v>|Ḥizqíl|</v>
      </c>
      <c r="J1483" s="3" t="str">
        <f t="shared" si="163"/>
        <v>|Hizqil|</v>
      </c>
      <c r="K1483" s="3" t="str">
        <f t="shared" si="164"/>
        <v>Hizqil</v>
      </c>
      <c r="N1483" s="39" t="str">
        <f t="shared" si="165"/>
        <v/>
      </c>
      <c r="P1483" s="39" t="str">
        <f t="shared" si="166"/>
        <v/>
      </c>
      <c r="R1483" s="39" t="str">
        <f t="shared" si="167"/>
        <v/>
      </c>
      <c r="S1483" s="28"/>
      <c r="T1483" s="28"/>
      <c r="U1483" s="28"/>
    </row>
    <row r="1484" spans="1:21" s="5" customFormat="1">
      <c r="A1484" s="179" t="s">
        <v>1863</v>
      </c>
      <c r="B1484" s="185" t="s">
        <v>6140</v>
      </c>
      <c r="C1484" s="35" t="str">
        <f t="shared" si="161"/>
        <v>Hubbullah</v>
      </c>
      <c r="E1484" s="40"/>
      <c r="F1484" s="15"/>
      <c r="G1484" s="17"/>
      <c r="H1484" s="10" t="s">
        <v>8563</v>
      </c>
      <c r="I1484" s="4" t="str">
        <f t="shared" si="162"/>
        <v>|Ḥubbu’lláh|</v>
      </c>
      <c r="J1484" s="3" t="str">
        <f t="shared" si="163"/>
        <v>|Hubbu'llah|</v>
      </c>
      <c r="K1484" s="3" t="str">
        <f t="shared" si="164"/>
        <v>Hubbullah</v>
      </c>
      <c r="N1484" s="39" t="str">
        <f t="shared" si="165"/>
        <v/>
      </c>
      <c r="P1484" s="39" t="str">
        <f t="shared" si="166"/>
        <v/>
      </c>
      <c r="R1484" s="39" t="str">
        <f t="shared" si="167"/>
        <v/>
      </c>
      <c r="S1484" s="28"/>
      <c r="T1484" s="28"/>
      <c r="U1484" s="28"/>
    </row>
    <row r="1485" spans="1:21" s="5" customFormat="1">
      <c r="A1485" s="179" t="s">
        <v>1864</v>
      </c>
      <c r="B1485" s="185" t="s">
        <v>6141</v>
      </c>
      <c r="C1485" s="35" t="str">
        <f t="shared" si="161"/>
        <v>Hubur</v>
      </c>
      <c r="E1485" s="40"/>
      <c r="F1485" s="15" t="s">
        <v>8585</v>
      </c>
      <c r="G1485" s="17"/>
      <c r="H1485" s="10" t="s">
        <v>8563</v>
      </c>
      <c r="I1485" s="4" t="str">
        <f t="shared" si="162"/>
        <v>|Hubúr|</v>
      </c>
      <c r="J1485" s="3" t="str">
        <f t="shared" si="163"/>
        <v>|Hubur|</v>
      </c>
      <c r="K1485" s="3" t="str">
        <f t="shared" si="164"/>
        <v>Hubur</v>
      </c>
      <c r="N1485" s="39" t="str">
        <f t="shared" si="165"/>
        <v/>
      </c>
      <c r="P1485" s="39" t="str">
        <f t="shared" si="166"/>
        <v/>
      </c>
      <c r="R1485" s="39" t="str">
        <f t="shared" si="167"/>
        <v/>
      </c>
      <c r="S1485" s="28"/>
      <c r="T1485" s="28"/>
      <c r="U1485" s="28"/>
    </row>
    <row r="1486" spans="1:21" s="5" customFormat="1">
      <c r="A1486" s="179" t="s">
        <v>1865</v>
      </c>
      <c r="B1486" s="185" t="s">
        <v>6142</v>
      </c>
      <c r="C1486" s="35" t="str">
        <f t="shared" si="161"/>
        <v>Hud</v>
      </c>
      <c r="E1486" s="40"/>
      <c r="F1486" s="14"/>
      <c r="G1486" s="17"/>
      <c r="H1486" s="10" t="s">
        <v>8563</v>
      </c>
      <c r="I1486" s="4" t="str">
        <f t="shared" si="162"/>
        <v>|Húd|</v>
      </c>
      <c r="J1486" s="3" t="str">
        <f t="shared" si="163"/>
        <v>|Hud|</v>
      </c>
      <c r="K1486" s="3" t="str">
        <f t="shared" si="164"/>
        <v>Hud</v>
      </c>
      <c r="N1486" s="39" t="str">
        <f t="shared" si="165"/>
        <v/>
      </c>
      <c r="P1486" s="39" t="str">
        <f t="shared" si="166"/>
        <v/>
      </c>
      <c r="R1486" s="39" t="str">
        <f t="shared" si="167"/>
        <v/>
      </c>
      <c r="S1486" s="28"/>
      <c r="T1486" s="28"/>
      <c r="U1486" s="28"/>
    </row>
    <row r="1487" spans="1:21" s="5" customFormat="1">
      <c r="A1487" s="179" t="s">
        <v>1866</v>
      </c>
      <c r="B1487" s="185" t="s">
        <v>6143</v>
      </c>
      <c r="C1487" s="35" t="str">
        <f t="shared" si="161"/>
        <v>Huda</v>
      </c>
      <c r="E1487" s="40"/>
      <c r="F1487" s="15"/>
      <c r="G1487" s="17"/>
      <c r="H1487" s="10" t="s">
        <v>8563</v>
      </c>
      <c r="I1487" s="4" t="str">
        <f t="shared" si="162"/>
        <v>|Hudá|</v>
      </c>
      <c r="J1487" s="3" t="str">
        <f t="shared" si="163"/>
        <v>|Huda|</v>
      </c>
      <c r="K1487" s="3" t="str">
        <f t="shared" si="164"/>
        <v>Huda</v>
      </c>
      <c r="N1487" s="39" t="str">
        <f t="shared" si="165"/>
        <v/>
      </c>
      <c r="P1487" s="39" t="str">
        <f t="shared" si="166"/>
        <v/>
      </c>
      <c r="R1487" s="39" t="str">
        <f t="shared" si="167"/>
        <v/>
      </c>
      <c r="S1487" s="28"/>
      <c r="T1487" s="28"/>
      <c r="U1487" s="28"/>
    </row>
    <row r="1488" spans="1:21" s="5" customFormat="1">
      <c r="A1488" s="179" t="s">
        <v>1867</v>
      </c>
      <c r="B1488" s="185" t="s">
        <v>6144</v>
      </c>
      <c r="C1488" s="35" t="str">
        <f t="shared" si="161"/>
        <v>HududulAlam</v>
      </c>
      <c r="E1488" s="40"/>
      <c r="F1488" s="15"/>
      <c r="G1488" s="17"/>
      <c r="H1488" s="10" t="s">
        <v>8563</v>
      </c>
      <c r="I1488" s="4" t="str">
        <f t="shared" si="162"/>
        <v>|Hudúdu’l-ʿAlám|</v>
      </c>
      <c r="J1488" s="3" t="str">
        <f t="shared" si="163"/>
        <v>|Hududu'l-'Alam|</v>
      </c>
      <c r="K1488" s="3" t="str">
        <f t="shared" si="164"/>
        <v>Hududul-Alam</v>
      </c>
      <c r="N1488" s="39" t="str">
        <f t="shared" si="165"/>
        <v/>
      </c>
      <c r="P1488" s="39" t="str">
        <f t="shared" si="166"/>
        <v/>
      </c>
      <c r="R1488" s="39" t="str">
        <f t="shared" si="167"/>
        <v/>
      </c>
      <c r="S1488" s="28"/>
      <c r="T1488" s="28"/>
      <c r="U1488" s="28"/>
    </row>
    <row r="1489" spans="1:21" s="5" customFormat="1">
      <c r="A1489" s="179" t="s">
        <v>1868</v>
      </c>
      <c r="B1489" s="185" t="s">
        <v>6145</v>
      </c>
      <c r="C1489" s="35" t="str">
        <f t="shared" si="161"/>
        <v>Hujjat</v>
      </c>
      <c r="E1489" s="40"/>
      <c r="F1489" s="14"/>
      <c r="G1489" s="17"/>
      <c r="H1489" s="10" t="s">
        <v>8563</v>
      </c>
      <c r="I1489" s="4" t="str">
        <f t="shared" si="162"/>
        <v>|Ḥujjat|</v>
      </c>
      <c r="J1489" s="3" t="str">
        <f t="shared" si="163"/>
        <v>|Hujjat|</v>
      </c>
      <c r="K1489" s="3" t="str">
        <f t="shared" si="164"/>
        <v>Hujjat</v>
      </c>
      <c r="N1489" s="39" t="str">
        <f t="shared" si="165"/>
        <v/>
      </c>
      <c r="P1489" s="39" t="str">
        <f t="shared" si="166"/>
        <v/>
      </c>
      <c r="R1489" s="39" t="str">
        <f t="shared" si="167"/>
        <v/>
      </c>
      <c r="S1489" s="28"/>
      <c r="T1489" s="28"/>
      <c r="U1489" s="28"/>
    </row>
    <row r="1490" spans="1:21" s="5" customFormat="1">
      <c r="A1490" s="179" t="s">
        <v>1869</v>
      </c>
      <c r="B1490" s="185" t="s">
        <v>6146</v>
      </c>
      <c r="C1490" s="35" t="str">
        <f t="shared" si="161"/>
        <v>HujjatiZanjani</v>
      </c>
      <c r="E1490" s="40"/>
      <c r="F1490" s="15"/>
      <c r="G1490" s="17"/>
      <c r="H1490" s="10" t="s">
        <v>8563</v>
      </c>
      <c r="I1490" s="4" t="str">
        <f t="shared" si="162"/>
        <v>|Ḥujjat-i-Zanjání|</v>
      </c>
      <c r="J1490" s="3" t="str">
        <f t="shared" si="163"/>
        <v>|Hujjat-i-Zanjani|</v>
      </c>
      <c r="K1490" s="3" t="str">
        <f t="shared" si="164"/>
        <v>Hujjat-i-Zanjani</v>
      </c>
      <c r="N1490" s="39" t="str">
        <f t="shared" si="165"/>
        <v/>
      </c>
      <c r="P1490" s="39" t="str">
        <f t="shared" si="166"/>
        <v/>
      </c>
      <c r="R1490" s="39" t="str">
        <f t="shared" si="167"/>
        <v/>
      </c>
      <c r="S1490" s="28"/>
      <c r="T1490" s="28"/>
      <c r="U1490" s="28"/>
    </row>
    <row r="1491" spans="1:21" s="5" customFormat="1">
      <c r="A1491" s="179" t="s">
        <v>1870</v>
      </c>
      <c r="B1491" s="185" t="s">
        <v>6147</v>
      </c>
      <c r="C1491" s="35" t="str">
        <f t="shared" si="161"/>
        <v>HujjatulIslam</v>
      </c>
      <c r="E1491" s="40"/>
      <c r="F1491" s="15"/>
      <c r="G1491" s="17"/>
      <c r="H1491" s="10" t="s">
        <v>8563</v>
      </c>
      <c r="I1491" s="4" t="str">
        <f t="shared" si="162"/>
        <v>|Ḥujjatu’l-Islám|</v>
      </c>
      <c r="J1491" s="3" t="str">
        <f t="shared" si="163"/>
        <v>|Hujjatu'l-Islam|</v>
      </c>
      <c r="K1491" s="3" t="str">
        <f t="shared" si="164"/>
        <v>Hujjatul-Islam</v>
      </c>
      <c r="N1491" s="39" t="str">
        <f t="shared" si="165"/>
        <v/>
      </c>
      <c r="P1491" s="39" t="str">
        <f t="shared" si="166"/>
        <v/>
      </c>
      <c r="R1491" s="39" t="str">
        <f t="shared" si="167"/>
        <v/>
      </c>
      <c r="S1491" s="28"/>
      <c r="T1491" s="28"/>
      <c r="U1491" s="28"/>
    </row>
    <row r="1492" spans="1:21" s="5" customFormat="1">
      <c r="A1492" s="179" t="s">
        <v>1871</v>
      </c>
      <c r="B1492" s="185" t="s">
        <v>6148</v>
      </c>
      <c r="C1492" s="35" t="str">
        <f t="shared" si="161"/>
        <v>Hujjatullah</v>
      </c>
      <c r="E1492" s="40"/>
      <c r="F1492" s="15" t="s">
        <v>1872</v>
      </c>
      <c r="G1492" s="17"/>
      <c r="H1492" s="10" t="s">
        <v>8563</v>
      </c>
      <c r="I1492" s="4" t="str">
        <f t="shared" si="162"/>
        <v>|Ḥujjatu’lláh|</v>
      </c>
      <c r="J1492" s="3" t="str">
        <f t="shared" si="163"/>
        <v>|Hujjatu'llah|</v>
      </c>
      <c r="K1492" s="3" t="str">
        <f t="shared" si="164"/>
        <v>Hujjatullah</v>
      </c>
      <c r="N1492" s="39" t="str">
        <f t="shared" si="165"/>
        <v/>
      </c>
      <c r="P1492" s="39" t="str">
        <f t="shared" si="166"/>
        <v/>
      </c>
      <c r="R1492" s="39" t="str">
        <f t="shared" si="167"/>
        <v/>
      </c>
      <c r="S1492" s="28"/>
      <c r="T1492" s="28"/>
      <c r="U1492" s="28"/>
    </row>
    <row r="1493" spans="1:21" s="5" customFormat="1">
      <c r="A1493" s="179" t="s">
        <v>1873</v>
      </c>
      <c r="B1493" s="185" t="s">
        <v>6149</v>
      </c>
      <c r="C1493" s="35" t="str">
        <f t="shared" si="161"/>
        <v>HujjiyatiAyat</v>
      </c>
      <c r="E1493" s="40"/>
      <c r="F1493" s="15" t="s">
        <v>1874</v>
      </c>
      <c r="G1493" s="17"/>
      <c r="H1493" s="10" t="s">
        <v>8563</v>
      </c>
      <c r="I1493" s="4" t="str">
        <f t="shared" si="162"/>
        <v>|Ḥujjíyat-i-Áyát|</v>
      </c>
      <c r="J1493" s="3" t="str">
        <f t="shared" si="163"/>
        <v>|Hujjiyat-i-Ayat|</v>
      </c>
      <c r="K1493" s="3" t="str">
        <f t="shared" si="164"/>
        <v>Hujjiyat-i-Ayat</v>
      </c>
      <c r="N1493" s="39" t="str">
        <f t="shared" si="165"/>
        <v/>
      </c>
      <c r="P1493" s="39" t="str">
        <f t="shared" si="166"/>
        <v/>
      </c>
      <c r="R1493" s="39" t="str">
        <f t="shared" si="167"/>
        <v/>
      </c>
      <c r="S1493" s="28"/>
      <c r="T1493" s="28"/>
      <c r="U1493" s="28"/>
    </row>
    <row r="1494" spans="1:21" s="5" customFormat="1">
      <c r="A1494" s="179" t="s">
        <v>1875</v>
      </c>
      <c r="B1494" s="185" t="s">
        <v>6150</v>
      </c>
      <c r="C1494" s="35" t="str">
        <f t="shared" si="161"/>
        <v>Hujr</v>
      </c>
      <c r="E1494" s="40"/>
      <c r="F1494" s="15"/>
      <c r="G1494" s="17"/>
      <c r="H1494" s="10" t="s">
        <v>8563</v>
      </c>
      <c r="I1494" s="4" t="str">
        <f t="shared" si="162"/>
        <v>|Ḥujr|</v>
      </c>
      <c r="J1494" s="3" t="str">
        <f t="shared" si="163"/>
        <v>|Hujr|</v>
      </c>
      <c r="K1494" s="3" t="str">
        <f t="shared" si="164"/>
        <v>Hujr</v>
      </c>
      <c r="N1494" s="39" t="str">
        <f t="shared" si="165"/>
        <v/>
      </c>
      <c r="P1494" s="39" t="str">
        <f t="shared" si="166"/>
        <v/>
      </c>
      <c r="R1494" s="39" t="str">
        <f t="shared" si="167"/>
        <v/>
      </c>
      <c r="S1494" s="28"/>
      <c r="T1494" s="28"/>
      <c r="U1494" s="28"/>
    </row>
    <row r="1495" spans="1:21" s="5" customFormat="1">
      <c r="A1495" s="179" t="s">
        <v>1876</v>
      </c>
      <c r="B1495" s="185" t="s">
        <v>6151</v>
      </c>
      <c r="C1495" s="35" t="str">
        <f t="shared" si="161"/>
        <v>Hukm</v>
      </c>
      <c r="E1495" s="40"/>
      <c r="F1495" s="15"/>
      <c r="G1495" s="17"/>
      <c r="H1495" s="10" t="s">
        <v>8563</v>
      </c>
      <c r="I1495" s="4" t="str">
        <f t="shared" si="162"/>
        <v>|Ḥukm|</v>
      </c>
      <c r="J1495" s="3" t="str">
        <f t="shared" si="163"/>
        <v>|Hukm|</v>
      </c>
      <c r="K1495" s="3" t="str">
        <f t="shared" si="164"/>
        <v>Hukm</v>
      </c>
      <c r="N1495" s="39" t="str">
        <f t="shared" si="165"/>
        <v/>
      </c>
      <c r="P1495" s="39" t="str">
        <f t="shared" si="166"/>
        <v/>
      </c>
      <c r="R1495" s="39" t="str">
        <f t="shared" si="167"/>
        <v/>
      </c>
      <c r="S1495" s="28"/>
      <c r="T1495" s="28"/>
      <c r="U1495" s="28"/>
    </row>
    <row r="1496" spans="1:21" s="5" customFormat="1">
      <c r="A1496" s="179" t="s">
        <v>1877</v>
      </c>
      <c r="B1496" s="185" t="s">
        <v>6152</v>
      </c>
      <c r="C1496" s="35" t="str">
        <f t="shared" si="161"/>
        <v>Hulul</v>
      </c>
      <c r="E1496" s="40"/>
      <c r="F1496" s="15" t="s">
        <v>1878</v>
      </c>
      <c r="G1496" s="17"/>
      <c r="H1496" s="10" t="s">
        <v>8563</v>
      </c>
      <c r="I1496" s="4" t="str">
        <f t="shared" si="162"/>
        <v>|Ḥúlúl|</v>
      </c>
      <c r="J1496" s="3" t="str">
        <f t="shared" si="163"/>
        <v>|Hulul|</v>
      </c>
      <c r="K1496" s="3" t="str">
        <f t="shared" si="164"/>
        <v>Hulul</v>
      </c>
      <c r="N1496" s="39" t="str">
        <f t="shared" si="165"/>
        <v/>
      </c>
      <c r="P1496" s="39" t="str">
        <f t="shared" si="166"/>
        <v/>
      </c>
      <c r="R1496" s="39" t="str">
        <f t="shared" si="167"/>
        <v/>
      </c>
      <c r="S1496" s="28"/>
      <c r="T1496" s="28"/>
      <c r="U1496" s="28"/>
    </row>
    <row r="1497" spans="1:21" s="5" customFormat="1">
      <c r="A1497" s="179" t="s">
        <v>1747</v>
      </c>
      <c r="B1497" s="185" t="s">
        <v>6153</v>
      </c>
      <c r="C1497" s="35" t="str">
        <f t="shared" si="161"/>
        <v>Huma</v>
      </c>
      <c r="E1497" s="40"/>
      <c r="F1497" s="15"/>
      <c r="G1497" s="17"/>
      <c r="H1497" s="10" t="s">
        <v>8563</v>
      </c>
      <c r="I1497" s="4" t="str">
        <f t="shared" si="162"/>
        <v>|Humá|</v>
      </c>
      <c r="J1497" s="3" t="str">
        <f t="shared" si="163"/>
        <v>|Huma|</v>
      </c>
      <c r="K1497" s="3" t="str">
        <f t="shared" si="164"/>
        <v>Huma</v>
      </c>
      <c r="N1497" s="39" t="str">
        <f t="shared" si="165"/>
        <v/>
      </c>
      <c r="P1497" s="39" t="str">
        <f t="shared" si="166"/>
        <v/>
      </c>
      <c r="R1497" s="39" t="str">
        <f t="shared" si="167"/>
        <v/>
      </c>
      <c r="S1497" s="28"/>
      <c r="T1497" s="28"/>
      <c r="U1497" s="28"/>
    </row>
    <row r="1498" spans="1:21" s="5" customFormat="1">
      <c r="A1498" s="179" t="s">
        <v>1879</v>
      </c>
      <c r="B1498" s="185" t="s">
        <v>6154</v>
      </c>
      <c r="C1498" s="35" t="str">
        <f t="shared" si="161"/>
        <v>Huquq</v>
      </c>
      <c r="E1498" s="40"/>
      <c r="F1498" s="14"/>
      <c r="G1498" s="17"/>
      <c r="H1498" s="10" t="s">
        <v>8563</v>
      </c>
      <c r="I1498" s="4" t="str">
        <f t="shared" si="162"/>
        <v>|Ḥuqúq|</v>
      </c>
      <c r="J1498" s="3" t="str">
        <f t="shared" si="163"/>
        <v>|Huquq|</v>
      </c>
      <c r="K1498" s="3" t="str">
        <f t="shared" si="164"/>
        <v>Huquq</v>
      </c>
      <c r="N1498" s="39" t="str">
        <f t="shared" si="165"/>
        <v/>
      </c>
      <c r="P1498" s="39" t="str">
        <f t="shared" si="166"/>
        <v/>
      </c>
      <c r="R1498" s="39" t="str">
        <f t="shared" si="167"/>
        <v/>
      </c>
      <c r="S1498" s="28"/>
      <c r="T1498" s="28"/>
      <c r="U1498" s="28"/>
    </row>
    <row r="1499" spans="1:21" s="5" customFormat="1">
      <c r="A1499" s="179" t="s">
        <v>1880</v>
      </c>
      <c r="B1499" s="185" t="s">
        <v>146</v>
      </c>
      <c r="C1499" s="35" t="str">
        <f t="shared" si="161"/>
        <v>Huququllah</v>
      </c>
      <c r="E1499" s="40"/>
      <c r="F1499" s="14" t="s">
        <v>1881</v>
      </c>
      <c r="G1499" s="17"/>
      <c r="H1499" s="10" t="s">
        <v>8563</v>
      </c>
      <c r="I1499" s="4" t="str">
        <f t="shared" si="162"/>
        <v>|Ḥuqúqu’lláh|</v>
      </c>
      <c r="J1499" s="3" t="str">
        <f t="shared" si="163"/>
        <v>|Huququ'llah|</v>
      </c>
      <c r="K1499" s="3" t="str">
        <f t="shared" si="164"/>
        <v>Huququllah</v>
      </c>
      <c r="N1499" s="39" t="str">
        <f t="shared" si="165"/>
        <v/>
      </c>
      <c r="P1499" s="39" t="str">
        <f t="shared" si="166"/>
        <v/>
      </c>
      <c r="R1499" s="39" t="str">
        <f t="shared" si="167"/>
        <v/>
      </c>
      <c r="S1499" s="28"/>
      <c r="T1499" s="29">
        <v>41801</v>
      </c>
      <c r="U1499" s="28" t="s">
        <v>9427</v>
      </c>
    </row>
    <row r="1500" spans="1:21" s="5" customFormat="1">
      <c r="A1500" s="179" t="s">
        <v>1882</v>
      </c>
      <c r="B1500" s="185" t="s">
        <v>6155</v>
      </c>
      <c r="C1500" s="35" t="str">
        <f t="shared" si="161"/>
        <v>Hur</v>
      </c>
      <c r="E1500" s="40"/>
      <c r="F1500" s="15"/>
      <c r="G1500" s="17"/>
      <c r="H1500" s="10" t="s">
        <v>8563</v>
      </c>
      <c r="I1500" s="4" t="str">
        <f t="shared" si="162"/>
        <v>|Ḥúr|</v>
      </c>
      <c r="J1500" s="3" t="str">
        <f t="shared" si="163"/>
        <v>|Hur|</v>
      </c>
      <c r="K1500" s="3" t="str">
        <f t="shared" si="164"/>
        <v>Hur</v>
      </c>
      <c r="N1500" s="39" t="str">
        <f t="shared" si="165"/>
        <v/>
      </c>
      <c r="P1500" s="39" t="str">
        <f t="shared" si="166"/>
        <v/>
      </c>
      <c r="R1500" s="39" t="str">
        <f t="shared" si="167"/>
        <v/>
      </c>
      <c r="S1500" s="28"/>
      <c r="T1500" s="28"/>
      <c r="U1500" s="28"/>
    </row>
    <row r="1501" spans="1:21" s="5" customFormat="1">
      <c r="A1501" s="179" t="s">
        <v>1883</v>
      </c>
      <c r="B1501" s="185" t="s">
        <v>6156</v>
      </c>
      <c r="C1501" s="35" t="str">
        <f t="shared" si="161"/>
        <v>Huri</v>
      </c>
      <c r="E1501" s="40"/>
      <c r="F1501" s="15"/>
      <c r="G1501" s="17"/>
      <c r="H1501" s="10" t="s">
        <v>8563</v>
      </c>
      <c r="I1501" s="4" t="str">
        <f t="shared" si="162"/>
        <v>|Ḥúrí|</v>
      </c>
      <c r="J1501" s="3" t="str">
        <f t="shared" si="163"/>
        <v>|Huri|</v>
      </c>
      <c r="K1501" s="3" t="str">
        <f t="shared" si="164"/>
        <v>Huri</v>
      </c>
      <c r="N1501" s="39" t="str">
        <f t="shared" si="165"/>
        <v/>
      </c>
      <c r="P1501" s="39" t="str">
        <f t="shared" si="166"/>
        <v/>
      </c>
      <c r="R1501" s="39" t="str">
        <f t="shared" si="167"/>
        <v/>
      </c>
      <c r="S1501" s="28"/>
      <c r="T1501" s="28"/>
      <c r="U1501" s="28"/>
    </row>
    <row r="1502" spans="1:21" s="5" customFormat="1">
      <c r="A1502" s="179" t="s">
        <v>1884</v>
      </c>
      <c r="B1502" s="185" t="s">
        <v>6157</v>
      </c>
      <c r="C1502" s="35" t="str">
        <f t="shared" si="161"/>
        <v>HuriUjab</v>
      </c>
      <c r="E1502" s="40"/>
      <c r="F1502" s="15" t="s">
        <v>1885</v>
      </c>
      <c r="G1502" s="17"/>
      <c r="H1502" s="10" t="s">
        <v>8563</v>
      </c>
      <c r="I1502" s="4" t="str">
        <f t="shared" si="162"/>
        <v>|Ḥúr-i-ʿUjáb|</v>
      </c>
      <c r="J1502" s="3" t="str">
        <f t="shared" si="163"/>
        <v>|Hur-i-'Ujab|</v>
      </c>
      <c r="K1502" s="3" t="str">
        <f t="shared" si="164"/>
        <v>Hur-i-Ujab</v>
      </c>
      <c r="N1502" s="39" t="str">
        <f t="shared" si="165"/>
        <v/>
      </c>
      <c r="P1502" s="39" t="str">
        <f t="shared" si="166"/>
        <v/>
      </c>
      <c r="R1502" s="39" t="str">
        <f t="shared" si="167"/>
        <v/>
      </c>
      <c r="S1502" s="28"/>
      <c r="T1502" s="28"/>
      <c r="U1502" s="28"/>
    </row>
    <row r="1503" spans="1:21" s="5" customFormat="1">
      <c r="A1503" s="179" t="s">
        <v>1862</v>
      </c>
      <c r="B1503" s="185" t="s">
        <v>6139</v>
      </c>
      <c r="C1503" s="35" t="str">
        <f t="shared" si="161"/>
        <v>Hurmuz</v>
      </c>
      <c r="E1503" s="40"/>
      <c r="F1503" s="14"/>
      <c r="G1503" s="17"/>
      <c r="H1503" s="10" t="s">
        <v>8563</v>
      </c>
      <c r="I1503" s="4" t="str">
        <f t="shared" si="162"/>
        <v>|Hurmuz|</v>
      </c>
      <c r="J1503" s="3" t="str">
        <f t="shared" si="163"/>
        <v>|Hurmuz|</v>
      </c>
      <c r="K1503" s="3" t="str">
        <f t="shared" si="164"/>
        <v>Hurmuz</v>
      </c>
      <c r="N1503" s="39" t="str">
        <f t="shared" si="165"/>
        <v/>
      </c>
      <c r="P1503" s="39" t="str">
        <f t="shared" si="166"/>
        <v/>
      </c>
      <c r="R1503" s="39" t="str">
        <f t="shared" si="167"/>
        <v/>
      </c>
      <c r="S1503" s="28"/>
      <c r="T1503" s="28"/>
      <c r="U1503" s="28"/>
    </row>
    <row r="1504" spans="1:21" s="5" customFormat="1">
      <c r="A1504" s="179" t="s">
        <v>1886</v>
      </c>
      <c r="B1504" s="185" t="s">
        <v>6158</v>
      </c>
      <c r="C1504" s="35" t="str">
        <f t="shared" si="161"/>
        <v>Hurr</v>
      </c>
      <c r="E1504" s="40"/>
      <c r="F1504" s="15"/>
      <c r="G1504" s="17"/>
      <c r="H1504" s="10" t="s">
        <v>8563</v>
      </c>
      <c r="I1504" s="4" t="str">
        <f t="shared" si="162"/>
        <v>|Ḥurr|</v>
      </c>
      <c r="J1504" s="3" t="str">
        <f t="shared" si="163"/>
        <v>|Hurr|</v>
      </c>
      <c r="K1504" s="3" t="str">
        <f t="shared" si="164"/>
        <v>Hurr</v>
      </c>
      <c r="N1504" s="39" t="str">
        <f t="shared" si="165"/>
        <v/>
      </c>
      <c r="P1504" s="39" t="str">
        <f t="shared" si="166"/>
        <v/>
      </c>
      <c r="R1504" s="39" t="str">
        <f t="shared" si="167"/>
        <v/>
      </c>
      <c r="S1504" s="28"/>
      <c r="T1504" s="28"/>
      <c r="U1504" s="28"/>
    </row>
    <row r="1505" spans="1:21" s="5" customFormat="1">
      <c r="A1505" s="179" t="s">
        <v>1887</v>
      </c>
      <c r="B1505" s="185" t="s">
        <v>6159</v>
      </c>
      <c r="C1505" s="35" t="str">
        <f t="shared" si="161"/>
        <v>Huruf</v>
      </c>
      <c r="E1505" s="40"/>
      <c r="F1505" s="15"/>
      <c r="G1505" s="17"/>
      <c r="H1505" s="10" t="s">
        <v>8563</v>
      </c>
      <c r="I1505" s="4" t="str">
        <f t="shared" si="162"/>
        <v>|Ḥurúf|</v>
      </c>
      <c r="J1505" s="3" t="str">
        <f t="shared" si="163"/>
        <v>|Huruf|</v>
      </c>
      <c r="K1505" s="3" t="str">
        <f t="shared" si="164"/>
        <v>Huruf</v>
      </c>
      <c r="N1505" s="39" t="str">
        <f t="shared" si="165"/>
        <v/>
      </c>
      <c r="P1505" s="39" t="str">
        <f t="shared" si="166"/>
        <v/>
      </c>
      <c r="R1505" s="39" t="str">
        <f t="shared" si="167"/>
        <v/>
      </c>
      <c r="S1505" s="28"/>
      <c r="T1505" s="28"/>
      <c r="U1505" s="28"/>
    </row>
    <row r="1506" spans="1:21" s="5" customFormat="1">
      <c r="A1506" s="179" t="s">
        <v>1888</v>
      </c>
      <c r="B1506" s="185" t="s">
        <v>9041</v>
      </c>
      <c r="C1506" s="35" t="str">
        <f t="shared" si="161"/>
        <v>HurufatiAlliyin</v>
      </c>
      <c r="E1506" s="40"/>
      <c r="F1506" s="15" t="s">
        <v>775</v>
      </c>
      <c r="G1506" s="17"/>
      <c r="H1506" s="10" t="s">
        <v>8563</v>
      </c>
      <c r="I1506" s="4" t="str">
        <f t="shared" si="162"/>
        <v>|Ḥurúfát-i-ʿÁllíyin|</v>
      </c>
      <c r="J1506" s="3" t="str">
        <f t="shared" si="163"/>
        <v>|Hurufat-i-'Alliyin|</v>
      </c>
      <c r="K1506" s="3" t="str">
        <f t="shared" si="164"/>
        <v>Hurufat-i-Alliyin</v>
      </c>
      <c r="N1506" s="39" t="str">
        <f t="shared" si="165"/>
        <v/>
      </c>
      <c r="P1506" s="39" t="str">
        <f t="shared" si="166"/>
        <v/>
      </c>
      <c r="R1506" s="39" t="str">
        <f t="shared" si="167"/>
        <v/>
      </c>
      <c r="S1506" s="28"/>
      <c r="T1506" s="28"/>
      <c r="U1506" s="28"/>
    </row>
    <row r="1507" spans="1:21" s="5" customFormat="1">
      <c r="A1507" s="179" t="s">
        <v>1889</v>
      </c>
      <c r="B1507" s="185" t="s">
        <v>6160</v>
      </c>
      <c r="C1507" s="35" t="str">
        <f t="shared" si="161"/>
        <v>HurufiHayy</v>
      </c>
      <c r="E1507" s="40"/>
      <c r="F1507" s="15" t="s">
        <v>1890</v>
      </c>
      <c r="G1507" s="17"/>
      <c r="H1507" s="10" t="s">
        <v>8563</v>
      </c>
      <c r="I1507" s="4" t="str">
        <f t="shared" si="162"/>
        <v>|Ḥurúf-i-Ḥayy|</v>
      </c>
      <c r="J1507" s="3" t="str">
        <f t="shared" si="163"/>
        <v>|Huruf-i-Hayy|</v>
      </c>
      <c r="K1507" s="3" t="str">
        <f t="shared" si="164"/>
        <v>Huruf-i-Hayy</v>
      </c>
      <c r="N1507" s="39" t="str">
        <f t="shared" si="165"/>
        <v/>
      </c>
      <c r="P1507" s="39" t="str">
        <f t="shared" si="166"/>
        <v/>
      </c>
      <c r="R1507" s="39" t="str">
        <f t="shared" si="167"/>
        <v/>
      </c>
      <c r="S1507" s="28"/>
      <c r="T1507" s="28"/>
      <c r="U1507" s="28"/>
    </row>
    <row r="1508" spans="1:21" s="5" customFormat="1">
      <c r="A1508" s="179" t="s">
        <v>1891</v>
      </c>
      <c r="B1508" s="185" t="s">
        <v>921</v>
      </c>
      <c r="C1508" s="35" t="str">
        <f t="shared" si="161"/>
        <v>Husayn</v>
      </c>
      <c r="E1508" s="40"/>
      <c r="F1508" s="14"/>
      <c r="G1508" s="17"/>
      <c r="H1508" s="10" t="s">
        <v>8563</v>
      </c>
      <c r="I1508" s="4" t="str">
        <f t="shared" si="162"/>
        <v>|Ḥusayn|</v>
      </c>
      <c r="J1508" s="3" t="str">
        <f t="shared" si="163"/>
        <v>|Husayn|</v>
      </c>
      <c r="K1508" s="3" t="str">
        <f t="shared" si="164"/>
        <v>Husayn</v>
      </c>
      <c r="N1508" s="39" t="str">
        <f t="shared" si="165"/>
        <v/>
      </c>
      <c r="P1508" s="39" t="str">
        <f t="shared" si="166"/>
        <v/>
      </c>
      <c r="R1508" s="39" t="str">
        <f t="shared" si="167"/>
        <v/>
      </c>
      <c r="S1508" s="28"/>
      <c r="T1508" s="29"/>
      <c r="U1508" s="28"/>
    </row>
    <row r="1509" spans="1:21" s="5" customFormat="1">
      <c r="A1509" s="181" t="s">
        <v>1919</v>
      </c>
      <c r="B1509" s="185" t="s">
        <v>8682</v>
      </c>
      <c r="C1509" s="35" t="str">
        <f t="shared" si="161"/>
        <v>HusaynKhan</v>
      </c>
      <c r="D1509" s="1"/>
      <c r="E1509" s="40" t="s">
        <v>9115</v>
      </c>
      <c r="F1509" s="12"/>
      <c r="G1509" s="9"/>
      <c r="H1509" s="12" t="s">
        <v>8622</v>
      </c>
      <c r="I1509" s="4" t="str">
        <f t="shared" si="162"/>
        <v>|Ḥusayn án|</v>
      </c>
      <c r="J1509" s="3" t="str">
        <f t="shared" si="163"/>
        <v>|Husayn Khan|</v>
      </c>
      <c r="K1509" s="3" t="str">
        <f t="shared" si="164"/>
        <v>Husayn Khan</v>
      </c>
      <c r="N1509" s="39" t="str">
        <f t="shared" si="165"/>
        <v/>
      </c>
      <c r="P1509" s="39" t="str">
        <f t="shared" si="166"/>
        <v/>
      </c>
      <c r="R1509" s="39" t="str">
        <f t="shared" si="167"/>
        <v/>
      </c>
      <c r="S1509" s="29">
        <v>41760</v>
      </c>
      <c r="T1509" s="28"/>
      <c r="U1509" s="28"/>
    </row>
    <row r="1510" spans="1:21" s="5" customFormat="1">
      <c r="A1510" s="179" t="s">
        <v>1892</v>
      </c>
      <c r="B1510" s="185" t="s">
        <v>6161</v>
      </c>
      <c r="C1510" s="35" t="str">
        <f t="shared" si="161"/>
        <v>HusaynAbad</v>
      </c>
      <c r="E1510" s="40"/>
      <c r="F1510" s="14"/>
      <c r="G1510" s="17"/>
      <c r="H1510" s="10" t="s">
        <v>8563</v>
      </c>
      <c r="I1510" s="4" t="str">
        <f t="shared" si="162"/>
        <v>|Ḥusayn-Ábád|</v>
      </c>
      <c r="J1510" s="3" t="str">
        <f t="shared" si="163"/>
        <v>|Husayn-Abad|</v>
      </c>
      <c r="K1510" s="3" t="str">
        <f t="shared" si="164"/>
        <v>Husayn-Abad</v>
      </c>
      <c r="N1510" s="39" t="str">
        <f t="shared" si="165"/>
        <v/>
      </c>
      <c r="P1510" s="39" t="str">
        <f t="shared" si="166"/>
        <v/>
      </c>
      <c r="R1510" s="39" t="str">
        <f t="shared" si="167"/>
        <v/>
      </c>
      <c r="S1510" s="28"/>
      <c r="T1510" s="28"/>
      <c r="U1510" s="28"/>
    </row>
    <row r="1511" spans="1:21" s="5" customFormat="1">
      <c r="A1511" s="179" t="s">
        <v>1893</v>
      </c>
      <c r="B1511" s="185" t="s">
        <v>6162</v>
      </c>
      <c r="C1511" s="35" t="str">
        <f t="shared" si="161"/>
        <v>HusaynAli</v>
      </c>
      <c r="E1511" s="40"/>
      <c r="F1511" s="14"/>
      <c r="G1511" s="17"/>
      <c r="H1511" s="10" t="s">
        <v>8563</v>
      </c>
      <c r="I1511" s="4" t="str">
        <f t="shared" si="162"/>
        <v>|Ḥusayn-ʿAlí|</v>
      </c>
      <c r="J1511" s="3" t="str">
        <f t="shared" si="163"/>
        <v>|Husayn-'Ali|</v>
      </c>
      <c r="K1511" s="3" t="str">
        <f t="shared" si="164"/>
        <v>Husayn-Ali</v>
      </c>
      <c r="N1511" s="39" t="str">
        <f t="shared" si="165"/>
        <v/>
      </c>
      <c r="P1511" s="39" t="str">
        <f t="shared" si="166"/>
        <v/>
      </c>
      <c r="R1511" s="39" t="str">
        <f t="shared" si="167"/>
        <v/>
      </c>
      <c r="S1511" s="28"/>
      <c r="T1511" s="28"/>
      <c r="U1511" s="28"/>
    </row>
    <row r="1512" spans="1:21" s="5" customFormat="1">
      <c r="A1512" s="179" t="s">
        <v>1894</v>
      </c>
      <c r="B1512" s="185" t="s">
        <v>6163</v>
      </c>
      <c r="C1512" s="35" t="str">
        <f t="shared" si="161"/>
        <v>HusaynAliyiIsfahani</v>
      </c>
      <c r="E1512" s="40"/>
      <c r="F1512" s="15"/>
      <c r="G1512" s="17"/>
      <c r="H1512" s="10" t="s">
        <v>8563</v>
      </c>
      <c r="I1512" s="4" t="str">
        <f t="shared" si="162"/>
        <v>|Ḥusayn-ʿAlíy-i-Iṣfahání|</v>
      </c>
      <c r="J1512" s="3" t="str">
        <f t="shared" si="163"/>
        <v>|Husayn-'Aliy-i-Isfahani|</v>
      </c>
      <c r="K1512" s="3" t="str">
        <f t="shared" si="164"/>
        <v>Husayn-Aliy-i-Isfahani</v>
      </c>
      <c r="N1512" s="39" t="str">
        <f t="shared" si="165"/>
        <v/>
      </c>
      <c r="P1512" s="39" t="str">
        <f t="shared" si="166"/>
        <v/>
      </c>
      <c r="R1512" s="39" t="str">
        <f t="shared" si="167"/>
        <v/>
      </c>
      <c r="S1512" s="28"/>
      <c r="T1512" s="28"/>
      <c r="U1512" s="28"/>
    </row>
    <row r="1513" spans="1:21" s="5" customFormat="1">
      <c r="A1513" s="179" t="s">
        <v>1895</v>
      </c>
      <c r="B1513" s="185" t="s">
        <v>6164</v>
      </c>
      <c r="C1513" s="35" t="str">
        <f t="shared" si="161"/>
        <v>HusaynAliyiJahrumi</v>
      </c>
      <c r="E1513" s="40"/>
      <c r="F1513" s="14"/>
      <c r="G1513" s="17"/>
      <c r="H1513" s="10" t="s">
        <v>8563</v>
      </c>
      <c r="I1513" s="4" t="str">
        <f t="shared" si="162"/>
        <v>|Ḥusayn-ʿAlíy-i-Jahrumí|</v>
      </c>
      <c r="J1513" s="3" t="str">
        <f t="shared" si="163"/>
        <v>|Husayn-'Aliy-i-Jahrumi|</v>
      </c>
      <c r="K1513" s="3" t="str">
        <f t="shared" si="164"/>
        <v>Husayn-Aliy-i-Jahrumi</v>
      </c>
      <c r="N1513" s="39" t="str">
        <f t="shared" si="165"/>
        <v/>
      </c>
      <c r="P1513" s="39" t="str">
        <f t="shared" si="166"/>
        <v/>
      </c>
      <c r="R1513" s="39" t="str">
        <f t="shared" si="167"/>
        <v/>
      </c>
      <c r="S1513" s="28"/>
      <c r="T1513" s="28"/>
      <c r="U1513" s="28"/>
    </row>
    <row r="1514" spans="1:21" s="5" customFormat="1">
      <c r="A1514" s="179" t="s">
        <v>1896</v>
      </c>
      <c r="B1514" s="185" t="s">
        <v>6165</v>
      </c>
      <c r="C1514" s="35" t="str">
        <f t="shared" si="161"/>
        <v>HusaynAliyiNuri</v>
      </c>
      <c r="E1514" s="40"/>
      <c r="F1514" s="15" t="s">
        <v>2</v>
      </c>
      <c r="G1514" s="17"/>
      <c r="H1514" s="10" t="s">
        <v>8563</v>
      </c>
      <c r="I1514" s="4" t="str">
        <f t="shared" si="162"/>
        <v>|Ḥusayn-ʿAlíy-i-Núrí|</v>
      </c>
      <c r="J1514" s="3" t="str">
        <f t="shared" si="163"/>
        <v>|Husayn-'Aliy-i-Nuri|</v>
      </c>
      <c r="K1514" s="3" t="str">
        <f t="shared" si="164"/>
        <v>Husayn-Aliy-i-Nuri</v>
      </c>
      <c r="N1514" s="39" t="str">
        <f t="shared" si="165"/>
        <v/>
      </c>
      <c r="P1514" s="39" t="str">
        <f t="shared" si="166"/>
        <v/>
      </c>
      <c r="R1514" s="39" t="str">
        <f t="shared" si="167"/>
        <v/>
      </c>
      <c r="S1514" s="28"/>
      <c r="T1514" s="28"/>
      <c r="U1514" s="28"/>
    </row>
    <row r="1515" spans="1:21" s="5" customFormat="1">
      <c r="A1515" s="179" t="s">
        <v>1897</v>
      </c>
      <c r="B1515" s="185" t="s">
        <v>6166</v>
      </c>
      <c r="C1515" s="35" t="str">
        <f t="shared" si="161"/>
        <v>HusaynAqa</v>
      </c>
      <c r="E1515" s="40"/>
      <c r="F1515" s="14"/>
      <c r="G1515" s="17"/>
      <c r="H1515" s="10" t="s">
        <v>8563</v>
      </c>
      <c r="I1515" s="4" t="str">
        <f t="shared" si="162"/>
        <v>|Ḥusayn-Áqá|</v>
      </c>
      <c r="J1515" s="3" t="str">
        <f t="shared" si="163"/>
        <v>|Husayn-Aqa|</v>
      </c>
      <c r="K1515" s="3" t="str">
        <f t="shared" si="164"/>
        <v>Husayn-Aqa</v>
      </c>
      <c r="N1515" s="39" t="str">
        <f t="shared" si="165"/>
        <v/>
      </c>
      <c r="P1515" s="39" t="str">
        <f t="shared" si="166"/>
        <v/>
      </c>
      <c r="R1515" s="39" t="str">
        <f t="shared" si="167"/>
        <v/>
      </c>
      <c r="S1515" s="28"/>
      <c r="T1515" s="28"/>
      <c r="U1515" s="28"/>
    </row>
    <row r="1516" spans="1:21" s="5" customFormat="1">
      <c r="A1516" s="179" t="s">
        <v>1898</v>
      </c>
      <c r="B1516" s="185" t="s">
        <v>6167</v>
      </c>
      <c r="C1516" s="35" t="str">
        <f t="shared" si="161"/>
        <v>HusaynAqayiTabrizi</v>
      </c>
      <c r="E1516" s="40"/>
      <c r="F1516" s="14"/>
      <c r="G1516" s="17"/>
      <c r="H1516" s="10" t="s">
        <v>8563</v>
      </c>
      <c r="I1516" s="4" t="str">
        <f t="shared" si="162"/>
        <v>|Ḥusayn-Áqáy-i-Tabrízí|</v>
      </c>
      <c r="J1516" s="3" t="str">
        <f t="shared" si="163"/>
        <v>|Husayn-Aqay-i-Tabrizi|</v>
      </c>
      <c r="K1516" s="3" t="str">
        <f t="shared" si="164"/>
        <v>Husayn-Aqay-i-Tabrizi</v>
      </c>
      <c r="N1516" s="39" t="str">
        <f t="shared" si="165"/>
        <v/>
      </c>
      <c r="P1516" s="39" t="str">
        <f t="shared" si="166"/>
        <v/>
      </c>
      <c r="R1516" s="39" t="str">
        <f t="shared" si="167"/>
        <v/>
      </c>
      <c r="S1516" s="28"/>
      <c r="T1516" s="28"/>
      <c r="U1516" s="28"/>
    </row>
    <row r="1517" spans="1:21" s="5" customFormat="1">
      <c r="A1517" s="179" t="s">
        <v>1899</v>
      </c>
      <c r="B1517" s="185" t="s">
        <v>6168</v>
      </c>
      <c r="C1517" s="35" t="str">
        <f t="shared" si="161"/>
        <v>HusayniArab</v>
      </c>
      <c r="E1517" s="40"/>
      <c r="F1517" s="14"/>
      <c r="G1517" s="17"/>
      <c r="H1517" s="10" t="s">
        <v>8563</v>
      </c>
      <c r="I1517" s="4" t="str">
        <f t="shared" si="162"/>
        <v>|Ḥusayn-i-ʿArab|</v>
      </c>
      <c r="J1517" s="3" t="str">
        <f t="shared" si="163"/>
        <v>|Husayn-i-'Arab|</v>
      </c>
      <c r="K1517" s="3" t="str">
        <f t="shared" si="164"/>
        <v>Husayn-i-Arab</v>
      </c>
      <c r="N1517" s="39" t="str">
        <f t="shared" si="165"/>
        <v/>
      </c>
      <c r="P1517" s="39" t="str">
        <f t="shared" si="166"/>
        <v/>
      </c>
      <c r="R1517" s="39" t="str">
        <f t="shared" si="167"/>
        <v/>
      </c>
      <c r="S1517" s="28"/>
      <c r="T1517" s="28"/>
      <c r="U1517" s="28"/>
    </row>
    <row r="1518" spans="1:21" s="5" customFormat="1">
      <c r="A1518" s="179" t="s">
        <v>1900</v>
      </c>
      <c r="B1518" s="185" t="s">
        <v>6169</v>
      </c>
      <c r="C1518" s="35" t="str">
        <f t="shared" si="161"/>
        <v>HusayniAzghandi</v>
      </c>
      <c r="E1518" s="40"/>
      <c r="F1518" s="14"/>
      <c r="G1518" s="17"/>
      <c r="H1518" s="10" t="s">
        <v>8563</v>
      </c>
      <c r="I1518" s="4" t="str">
        <f t="shared" si="162"/>
        <v>|Ḥusayn-i-Azandí|</v>
      </c>
      <c r="J1518" s="3" t="str">
        <f t="shared" si="163"/>
        <v>|Husayn-i-Azghandi|</v>
      </c>
      <c r="K1518" s="3" t="str">
        <f t="shared" si="164"/>
        <v>Husayn-i-Azghandi</v>
      </c>
      <c r="N1518" s="39" t="str">
        <f t="shared" si="165"/>
        <v/>
      </c>
      <c r="P1518" s="39" t="str">
        <f t="shared" si="166"/>
        <v/>
      </c>
      <c r="R1518" s="39" t="str">
        <f t="shared" si="167"/>
        <v/>
      </c>
      <c r="S1518" s="28"/>
      <c r="T1518" s="28"/>
      <c r="U1518" s="28"/>
    </row>
    <row r="1519" spans="1:21" s="5" customFormat="1">
      <c r="A1519" s="179" t="s">
        <v>1901</v>
      </c>
      <c r="B1519" s="185" t="s">
        <v>6170</v>
      </c>
      <c r="C1519" s="35" t="str">
        <f t="shared" si="161"/>
        <v>HusayniAziz</v>
      </c>
      <c r="E1519" s="40"/>
      <c r="F1519" s="14"/>
      <c r="G1519" s="17"/>
      <c r="H1519" s="10" t="s">
        <v>8563</v>
      </c>
      <c r="I1519" s="4" t="str">
        <f t="shared" si="162"/>
        <v>|Ḥusayn-i-ʿAzíz|</v>
      </c>
      <c r="J1519" s="3" t="str">
        <f t="shared" si="163"/>
        <v>|Husayn-i-'Aziz|</v>
      </c>
      <c r="K1519" s="3" t="str">
        <f t="shared" si="164"/>
        <v>Husayn-i-Aziz</v>
      </c>
      <c r="N1519" s="39" t="str">
        <f t="shared" si="165"/>
        <v/>
      </c>
      <c r="P1519" s="39" t="str">
        <f t="shared" si="166"/>
        <v/>
      </c>
      <c r="R1519" s="39" t="str">
        <f t="shared" si="167"/>
        <v/>
      </c>
      <c r="S1519" s="28"/>
      <c r="T1519" s="28"/>
      <c r="U1519" s="28"/>
    </row>
    <row r="1520" spans="1:21" s="5" customFormat="1">
      <c r="A1520" s="179" t="s">
        <v>1902</v>
      </c>
      <c r="B1520" s="185" t="s">
        <v>9043</v>
      </c>
      <c r="C1520" s="35" t="str">
        <f t="shared" si="161"/>
        <v>HusaynibniRuh</v>
      </c>
      <c r="E1520" s="40"/>
      <c r="F1520" s="14"/>
      <c r="G1520" s="17"/>
      <c r="H1520" s="10" t="s">
        <v>8563</v>
      </c>
      <c r="I1520" s="4" t="str">
        <f t="shared" si="162"/>
        <v>|Ḥusayn-ibn-i-Rúḥ|</v>
      </c>
      <c r="J1520" s="3" t="str">
        <f t="shared" si="163"/>
        <v>|Husayn-ibn-i-Ruh|</v>
      </c>
      <c r="K1520" s="3" t="str">
        <f t="shared" si="164"/>
        <v>Husayn-ibn-i-Ruh</v>
      </c>
      <c r="N1520" s="39" t="str">
        <f t="shared" si="165"/>
        <v/>
      </c>
      <c r="P1520" s="39" t="str">
        <f t="shared" si="166"/>
        <v/>
      </c>
      <c r="R1520" s="39" t="str">
        <f t="shared" si="167"/>
        <v/>
      </c>
      <c r="S1520" s="28"/>
      <c r="T1520" s="28"/>
      <c r="U1520" s="28"/>
    </row>
    <row r="1521" spans="1:21" s="5" customFormat="1">
      <c r="A1521" s="181" t="s">
        <v>9042</v>
      </c>
      <c r="B1521" s="185" t="s">
        <v>8626</v>
      </c>
      <c r="C1521" s="35" t="str">
        <f t="shared" si="161"/>
        <v>HusaynibniRuhNawBakhti</v>
      </c>
      <c r="D1521" s="1"/>
      <c r="E1521" s="40"/>
      <c r="F1521" s="12"/>
      <c r="G1521" s="9"/>
      <c r="H1521" s="12" t="s">
        <v>8622</v>
      </c>
      <c r="I1521" s="4" t="str">
        <f t="shared" si="162"/>
        <v>|Ḥusayn-ibn-i-Rúḥ Naw-Batí|</v>
      </c>
      <c r="J1521" s="3" t="str">
        <f t="shared" si="163"/>
        <v>|Husayn-ibn-i-Ruh Naw-Bakhti|</v>
      </c>
      <c r="K1521" s="3" t="str">
        <f t="shared" si="164"/>
        <v>Husayn-ibn-i-Ruh Naw-Bakhti</v>
      </c>
      <c r="N1521" s="39" t="str">
        <f t="shared" si="165"/>
        <v/>
      </c>
      <c r="P1521" s="39" t="str">
        <f t="shared" si="166"/>
        <v/>
      </c>
      <c r="R1521" s="39" t="str">
        <f t="shared" si="167"/>
        <v/>
      </c>
      <c r="S1521" s="29">
        <v>41760</v>
      </c>
      <c r="T1521" s="28"/>
      <c r="U1521" s="28"/>
    </row>
    <row r="1522" spans="1:21" s="5" customFormat="1">
      <c r="A1522" s="179" t="s">
        <v>1903</v>
      </c>
      <c r="B1522" s="185" t="s">
        <v>6171</v>
      </c>
      <c r="C1522" s="35" t="str">
        <f t="shared" si="161"/>
        <v>HusayniBushrui</v>
      </c>
      <c r="E1522" s="40"/>
      <c r="F1522" s="14"/>
      <c r="G1522" s="17"/>
      <c r="H1522" s="10" t="s">
        <v>8563</v>
      </c>
      <c r="I1522" s="4" t="str">
        <f t="shared" si="162"/>
        <v>|Ḥusayn-i-Burú’í|</v>
      </c>
      <c r="J1522" s="3" t="str">
        <f t="shared" si="163"/>
        <v>|Husayn-i-Bushru'i|</v>
      </c>
      <c r="K1522" s="3" t="str">
        <f t="shared" si="164"/>
        <v>Husayn-i-Bushrui</v>
      </c>
      <c r="N1522" s="39" t="str">
        <f t="shared" si="165"/>
        <v/>
      </c>
      <c r="P1522" s="39" t="str">
        <f t="shared" si="166"/>
        <v/>
      </c>
      <c r="R1522" s="39" t="str">
        <f t="shared" si="167"/>
        <v/>
      </c>
      <c r="S1522" s="28"/>
      <c r="T1522" s="28"/>
      <c r="U1522" s="28"/>
    </row>
    <row r="1523" spans="1:21" s="5" customFormat="1">
      <c r="A1523" s="179" t="s">
        <v>1904</v>
      </c>
      <c r="B1523" s="185" t="s">
        <v>6172</v>
      </c>
      <c r="C1523" s="35" t="str">
        <f t="shared" si="161"/>
        <v>HusayniKashani</v>
      </c>
      <c r="E1523" s="40"/>
      <c r="F1523" s="14"/>
      <c r="G1523" s="17"/>
      <c r="H1523" s="10" t="s">
        <v>8563</v>
      </c>
      <c r="I1523" s="4" t="str">
        <f t="shared" si="162"/>
        <v>|Ḥusayn-i-Káání|</v>
      </c>
      <c r="J1523" s="3" t="str">
        <f t="shared" si="163"/>
        <v>|Husayn-i-Kashani|</v>
      </c>
      <c r="K1523" s="3" t="str">
        <f t="shared" si="164"/>
        <v>Husayn-i-Kashani</v>
      </c>
      <c r="N1523" s="39" t="str">
        <f t="shared" si="165"/>
        <v/>
      </c>
      <c r="P1523" s="39" t="str">
        <f t="shared" si="166"/>
        <v/>
      </c>
      <c r="R1523" s="39" t="str">
        <f t="shared" si="167"/>
        <v/>
      </c>
      <c r="S1523" s="28"/>
      <c r="T1523" s="28"/>
      <c r="U1523" s="28"/>
    </row>
    <row r="1524" spans="1:21" s="5" customFormat="1">
      <c r="A1524" s="179" t="s">
        <v>1905</v>
      </c>
      <c r="B1524" s="185" t="s">
        <v>6173</v>
      </c>
      <c r="C1524" s="35" t="str">
        <f t="shared" si="161"/>
        <v>HusayniKashi</v>
      </c>
      <c r="E1524" s="40"/>
      <c r="F1524" s="14"/>
      <c r="G1524" s="17"/>
      <c r="H1524" s="10" t="s">
        <v>8563</v>
      </c>
      <c r="I1524" s="4" t="str">
        <f t="shared" si="162"/>
        <v>|Ḥusayn-i-Káí|</v>
      </c>
      <c r="J1524" s="3" t="str">
        <f t="shared" si="163"/>
        <v>|Husayn-i-Kashi|</v>
      </c>
      <c r="K1524" s="3" t="str">
        <f t="shared" si="164"/>
        <v>Husayn-i-Kashi</v>
      </c>
      <c r="N1524" s="39" t="str">
        <f t="shared" si="165"/>
        <v/>
      </c>
      <c r="P1524" s="39" t="str">
        <f t="shared" si="166"/>
        <v/>
      </c>
      <c r="R1524" s="39" t="str">
        <f t="shared" si="167"/>
        <v/>
      </c>
      <c r="S1524" s="28"/>
      <c r="T1524" s="28"/>
      <c r="U1524" s="28"/>
    </row>
    <row r="1525" spans="1:21" s="5" customFormat="1">
      <c r="A1525" s="179" t="s">
        <v>1906</v>
      </c>
      <c r="B1525" s="185" t="s">
        <v>6174</v>
      </c>
      <c r="C1525" s="35" t="str">
        <f t="shared" si="161"/>
        <v>HusayniKashiSaz</v>
      </c>
      <c r="E1525" s="40"/>
      <c r="F1525" s="14"/>
      <c r="G1525" s="17"/>
      <c r="H1525" s="10" t="s">
        <v>8563</v>
      </c>
      <c r="I1525" s="4" t="str">
        <f t="shared" si="162"/>
        <v>|Ḥusayn-i-Kái-Sáz|</v>
      </c>
      <c r="J1525" s="3" t="str">
        <f t="shared" si="163"/>
        <v>|Husayn-i-Kashi-Saz|</v>
      </c>
      <c r="K1525" s="3" t="str">
        <f t="shared" si="164"/>
        <v>Husayn-i-Kashi-Saz</v>
      </c>
      <c r="N1525" s="39" t="str">
        <f t="shared" si="165"/>
        <v/>
      </c>
      <c r="P1525" s="39" t="str">
        <f t="shared" si="166"/>
        <v/>
      </c>
      <c r="R1525" s="39" t="str">
        <f t="shared" si="167"/>
        <v/>
      </c>
      <c r="S1525" s="28"/>
      <c r="T1525" s="28"/>
      <c r="U1525" s="28"/>
    </row>
    <row r="1526" spans="1:21" s="5" customFormat="1">
      <c r="A1526" s="179" t="s">
        <v>1907</v>
      </c>
      <c r="B1526" s="185" t="s">
        <v>6175</v>
      </c>
      <c r="C1526" s="35" t="str">
        <f t="shared" si="161"/>
        <v>HusayniKulahDuz</v>
      </c>
      <c r="E1526" s="40"/>
      <c r="F1526" s="14"/>
      <c r="G1526" s="17"/>
      <c r="H1526" s="10" t="s">
        <v>8563</v>
      </c>
      <c r="I1526" s="4" t="str">
        <f t="shared" si="162"/>
        <v>|Ḥusayn-i-Kuláh-Dúz|</v>
      </c>
      <c r="J1526" s="3" t="str">
        <f t="shared" si="163"/>
        <v>|Husayn-i-Kulah-Duz|</v>
      </c>
      <c r="K1526" s="3" t="str">
        <f t="shared" si="164"/>
        <v>Husayn-i-Kulah-Duz</v>
      </c>
      <c r="N1526" s="39" t="str">
        <f t="shared" si="165"/>
        <v/>
      </c>
      <c r="P1526" s="39" t="str">
        <f t="shared" si="166"/>
        <v/>
      </c>
      <c r="R1526" s="39" t="str">
        <f t="shared" si="167"/>
        <v/>
      </c>
      <c r="S1526" s="28"/>
      <c r="T1526" s="28"/>
      <c r="U1526" s="28"/>
    </row>
    <row r="1527" spans="1:21" s="5" customFormat="1">
      <c r="A1527" s="179" t="s">
        <v>1908</v>
      </c>
      <c r="B1527" s="185" t="s">
        <v>6176</v>
      </c>
      <c r="C1527" s="35" t="str">
        <f t="shared" si="161"/>
        <v>HusayniMisgar</v>
      </c>
      <c r="E1527" s="40"/>
      <c r="F1527" s="14"/>
      <c r="G1527" s="17"/>
      <c r="H1527" s="10" t="s">
        <v>8563</v>
      </c>
      <c r="I1527" s="4" t="str">
        <f t="shared" si="162"/>
        <v>|Ḥusayn-i-Misgar|</v>
      </c>
      <c r="J1527" s="3" t="str">
        <f t="shared" si="163"/>
        <v>|Husayn-i-Misgar|</v>
      </c>
      <c r="K1527" s="3" t="str">
        <f t="shared" si="164"/>
        <v>Husayn-i-Misgar</v>
      </c>
      <c r="N1527" s="39" t="str">
        <f t="shared" si="165"/>
        <v/>
      </c>
      <c r="P1527" s="39" t="str">
        <f t="shared" si="166"/>
        <v/>
      </c>
      <c r="R1527" s="39" t="str">
        <f t="shared" si="167"/>
        <v/>
      </c>
      <c r="S1527" s="28"/>
      <c r="T1527" s="28"/>
      <c r="U1527" s="28"/>
    </row>
    <row r="1528" spans="1:21" s="5" customFormat="1">
      <c r="A1528" s="179" t="s">
        <v>1909</v>
      </c>
      <c r="B1528" s="185" t="s">
        <v>6177</v>
      </c>
      <c r="C1528" s="35" t="str">
        <f t="shared" si="161"/>
        <v>HusayniMutavalli</v>
      </c>
      <c r="E1528" s="40"/>
      <c r="F1528" s="14"/>
      <c r="G1528" s="17"/>
      <c r="H1528" s="10" t="s">
        <v>8563</v>
      </c>
      <c r="I1528" s="4" t="str">
        <f t="shared" si="162"/>
        <v>|Ḥusayn-i-Mutavallí|</v>
      </c>
      <c r="J1528" s="3" t="str">
        <f t="shared" si="163"/>
        <v>|Husayn-i-Mutavalli|</v>
      </c>
      <c r="K1528" s="3" t="str">
        <f t="shared" si="164"/>
        <v>Husayn-i-Mutavalli</v>
      </c>
      <c r="N1528" s="39" t="str">
        <f t="shared" si="165"/>
        <v/>
      </c>
      <c r="P1528" s="39" t="str">
        <f t="shared" si="166"/>
        <v/>
      </c>
      <c r="R1528" s="39" t="str">
        <f t="shared" si="167"/>
        <v/>
      </c>
      <c r="S1528" s="28"/>
      <c r="T1528" s="28"/>
      <c r="U1528" s="28"/>
    </row>
    <row r="1529" spans="1:21" s="5" customFormat="1">
      <c r="A1529" s="179" t="s">
        <v>1910</v>
      </c>
      <c r="B1529" s="185" t="s">
        <v>6178</v>
      </c>
      <c r="C1529" s="35" t="str">
        <f t="shared" si="161"/>
        <v>HusayniQannad</v>
      </c>
      <c r="E1529" s="40"/>
      <c r="F1529" s="14"/>
      <c r="G1529" s="17"/>
      <c r="H1529" s="10" t="s">
        <v>8563</v>
      </c>
      <c r="I1529" s="4" t="str">
        <f t="shared" si="162"/>
        <v>|Ḥusayn-i-Qannád|</v>
      </c>
      <c r="J1529" s="3" t="str">
        <f t="shared" si="163"/>
        <v>|Husayn-i-Qannad|</v>
      </c>
      <c r="K1529" s="3" t="str">
        <f t="shared" si="164"/>
        <v>Husayn-i-Qannad</v>
      </c>
      <c r="N1529" s="39" t="str">
        <f t="shared" si="165"/>
        <v/>
      </c>
      <c r="P1529" s="39" t="str">
        <f t="shared" si="166"/>
        <v/>
      </c>
      <c r="R1529" s="39" t="str">
        <f t="shared" si="167"/>
        <v/>
      </c>
      <c r="S1529" s="28"/>
      <c r="T1529" s="28"/>
      <c r="U1529" s="28"/>
    </row>
    <row r="1530" spans="1:21" s="5" customFormat="1">
      <c r="A1530" s="179" t="s">
        <v>1911</v>
      </c>
      <c r="B1530" s="185" t="s">
        <v>6179</v>
      </c>
      <c r="C1530" s="35" t="str">
        <f t="shared" si="161"/>
        <v>HusayniQutb</v>
      </c>
      <c r="E1530" s="40"/>
      <c r="F1530" s="14"/>
      <c r="G1530" s="17"/>
      <c r="H1530" s="10" t="s">
        <v>8563</v>
      </c>
      <c r="I1530" s="4" t="str">
        <f t="shared" si="162"/>
        <v>|Ḥusayn-i-Quṭb|</v>
      </c>
      <c r="J1530" s="3" t="str">
        <f t="shared" si="163"/>
        <v>|Husayn-i-Qutb|</v>
      </c>
      <c r="K1530" s="3" t="str">
        <f t="shared" si="164"/>
        <v>Husayn-i-Qutb</v>
      </c>
      <c r="N1530" s="39" t="str">
        <f t="shared" si="165"/>
        <v/>
      </c>
      <c r="P1530" s="39" t="str">
        <f t="shared" si="166"/>
        <v/>
      </c>
      <c r="R1530" s="39" t="str">
        <f t="shared" si="167"/>
        <v/>
      </c>
      <c r="S1530" s="28"/>
      <c r="T1530" s="28"/>
      <c r="U1530" s="28"/>
    </row>
    <row r="1531" spans="1:21" s="5" customFormat="1">
      <c r="A1531" s="179" t="s">
        <v>1912</v>
      </c>
      <c r="B1531" s="185" t="s">
        <v>6180</v>
      </c>
      <c r="C1531" s="35" t="str">
        <f t="shared" si="161"/>
        <v>HusayniShiraziyiKhurtumi</v>
      </c>
      <c r="E1531" s="40"/>
      <c r="F1531" s="14"/>
      <c r="G1531" s="17"/>
      <c r="H1531" s="10" t="s">
        <v>8563</v>
      </c>
      <c r="I1531" s="4" t="str">
        <f t="shared" si="162"/>
        <v>|Ḥusayn-i-írázíy-i-urṭúmí|</v>
      </c>
      <c r="J1531" s="3" t="str">
        <f t="shared" si="163"/>
        <v>|Husayn-i-Shiraziy-i-Khurtumi|</v>
      </c>
      <c r="K1531" s="3" t="str">
        <f t="shared" si="164"/>
        <v>Husayn-i-Shiraziy-i-Khurtumi</v>
      </c>
      <c r="N1531" s="39" t="str">
        <f t="shared" si="165"/>
        <v/>
      </c>
      <c r="P1531" s="39" t="str">
        <f t="shared" si="166"/>
        <v/>
      </c>
      <c r="R1531" s="39" t="str">
        <f t="shared" si="167"/>
        <v/>
      </c>
      <c r="S1531" s="28"/>
      <c r="T1531" s="28"/>
      <c r="U1531" s="28"/>
    </row>
    <row r="1532" spans="1:21" s="5" customFormat="1">
      <c r="A1532" s="179" t="s">
        <v>1913</v>
      </c>
      <c r="B1532" s="185" t="s">
        <v>6181</v>
      </c>
      <c r="C1532" s="35" t="str">
        <f t="shared" si="161"/>
        <v>HusayniTurshizi</v>
      </c>
      <c r="E1532" s="40"/>
      <c r="F1532" s="14"/>
      <c r="G1532" s="17"/>
      <c r="H1532" s="10" t="s">
        <v>8563</v>
      </c>
      <c r="I1532" s="4" t="str">
        <f t="shared" si="162"/>
        <v>|Ḥusayn-i-Turízí|</v>
      </c>
      <c r="J1532" s="3" t="str">
        <f t="shared" si="163"/>
        <v>|Husayn-i-Turshizi|</v>
      </c>
      <c r="K1532" s="3" t="str">
        <f t="shared" si="164"/>
        <v>Husayn-i-Turshizi</v>
      </c>
      <c r="N1532" s="39" t="str">
        <f t="shared" si="165"/>
        <v/>
      </c>
      <c r="P1532" s="39" t="str">
        <f t="shared" si="166"/>
        <v/>
      </c>
      <c r="R1532" s="39" t="str">
        <f t="shared" si="167"/>
        <v/>
      </c>
      <c r="S1532" s="28"/>
      <c r="T1532" s="28"/>
      <c r="U1532" s="28"/>
    </row>
    <row r="1533" spans="1:21" s="5" customFormat="1">
      <c r="A1533" s="179" t="s">
        <v>1914</v>
      </c>
      <c r="B1533" s="185" t="s">
        <v>6182</v>
      </c>
      <c r="C1533" s="35" t="str">
        <f t="shared" si="161"/>
        <v>HusayniYazdi</v>
      </c>
      <c r="E1533" s="40"/>
      <c r="F1533" s="14"/>
      <c r="G1533" s="17"/>
      <c r="H1533" s="10" t="s">
        <v>8563</v>
      </c>
      <c r="I1533" s="4" t="str">
        <f t="shared" si="162"/>
        <v>|Ḥusayn-i-Yazdí|</v>
      </c>
      <c r="J1533" s="3" t="str">
        <f t="shared" si="163"/>
        <v>|Husayn-i-Yazdi|</v>
      </c>
      <c r="K1533" s="3" t="str">
        <f t="shared" si="164"/>
        <v>Husayn-i-Yazdi</v>
      </c>
      <c r="N1533" s="39" t="str">
        <f t="shared" si="165"/>
        <v/>
      </c>
      <c r="P1533" s="39" t="str">
        <f t="shared" si="166"/>
        <v/>
      </c>
      <c r="R1533" s="39" t="str">
        <f t="shared" si="167"/>
        <v/>
      </c>
      <c r="S1533" s="28"/>
      <c r="T1533" s="28"/>
      <c r="U1533" s="28"/>
    </row>
    <row r="1534" spans="1:21" s="5" customFormat="1">
      <c r="A1534" s="179" t="s">
        <v>1915</v>
      </c>
      <c r="B1534" s="185" t="s">
        <v>6183</v>
      </c>
      <c r="C1534" s="35" t="str">
        <f t="shared" si="161"/>
        <v>Husayniyyih</v>
      </c>
      <c r="E1534" s="40"/>
      <c r="F1534" s="14" t="s">
        <v>1916</v>
      </c>
      <c r="G1534" s="17"/>
      <c r="H1534" s="10" t="s">
        <v>8563</v>
      </c>
      <c r="I1534" s="4" t="str">
        <f t="shared" si="162"/>
        <v>|Ḥusayníyyih|</v>
      </c>
      <c r="J1534" s="3" t="str">
        <f t="shared" si="163"/>
        <v>|Husayniyyih|</v>
      </c>
      <c r="K1534" s="3" t="str">
        <f t="shared" si="164"/>
        <v>Husayniyyih</v>
      </c>
      <c r="N1534" s="39" t="str">
        <f t="shared" si="165"/>
        <v/>
      </c>
      <c r="P1534" s="39" t="str">
        <f t="shared" si="166"/>
        <v/>
      </c>
      <c r="R1534" s="39" t="str">
        <f t="shared" si="167"/>
        <v/>
      </c>
      <c r="S1534" s="28"/>
      <c r="T1534" s="28"/>
      <c r="U1534" s="28"/>
    </row>
    <row r="1535" spans="1:21" s="5" customFormat="1">
      <c r="A1535" s="179" t="s">
        <v>1917</v>
      </c>
      <c r="B1535" s="185" t="s">
        <v>6184</v>
      </c>
      <c r="C1535" s="35" t="str">
        <f t="shared" si="161"/>
        <v>HusayniZanjani</v>
      </c>
      <c r="E1535" s="40"/>
      <c r="F1535" s="14"/>
      <c r="G1535" s="17"/>
      <c r="H1535" s="10" t="s">
        <v>8563</v>
      </c>
      <c r="I1535" s="4" t="str">
        <f t="shared" si="162"/>
        <v>|Ḥusayn-i-Zanjání|</v>
      </c>
      <c r="J1535" s="3" t="str">
        <f t="shared" si="163"/>
        <v>|Husayn-i-Zanjani|</v>
      </c>
      <c r="K1535" s="3" t="str">
        <f t="shared" si="164"/>
        <v>Husayn-i-Zanjani</v>
      </c>
      <c r="N1535" s="39" t="str">
        <f t="shared" si="165"/>
        <v/>
      </c>
      <c r="P1535" s="39" t="str">
        <f t="shared" si="166"/>
        <v/>
      </c>
      <c r="R1535" s="39" t="str">
        <f t="shared" si="167"/>
        <v/>
      </c>
      <c r="S1535" s="28"/>
      <c r="T1535" s="28"/>
      <c r="U1535" s="28"/>
    </row>
    <row r="1536" spans="1:21" s="5" customFormat="1">
      <c r="A1536" s="179" t="s">
        <v>1918</v>
      </c>
      <c r="B1536" s="185" t="s">
        <v>9044</v>
      </c>
      <c r="C1536" s="35" t="str">
        <f t="shared" si="161"/>
        <v>HusayniZavarihi</v>
      </c>
      <c r="E1536" s="40"/>
      <c r="F1536" s="14"/>
      <c r="G1536" s="17"/>
      <c r="H1536" s="10" t="s">
        <v>8563</v>
      </c>
      <c r="I1536" s="4" t="str">
        <f t="shared" si="162"/>
        <v>|Ḥusayn-i-Zavárih’í|</v>
      </c>
      <c r="J1536" s="3" t="str">
        <f t="shared" si="163"/>
        <v>|Husayn-i-Zavarih'i|</v>
      </c>
      <c r="K1536" s="3" t="str">
        <f t="shared" si="164"/>
        <v>Husayn-i-Zavarihi</v>
      </c>
      <c r="N1536" s="39" t="str">
        <f t="shared" si="165"/>
        <v/>
      </c>
      <c r="P1536" s="39" t="str">
        <f t="shared" si="166"/>
        <v/>
      </c>
      <c r="R1536" s="39" t="str">
        <f t="shared" si="167"/>
        <v/>
      </c>
      <c r="S1536" s="28"/>
      <c r="T1536" s="28"/>
      <c r="U1536" s="28"/>
    </row>
    <row r="1537" spans="1:21" s="5" customFormat="1">
      <c r="A1537" s="179" t="s">
        <v>1919</v>
      </c>
      <c r="B1537" s="185" t="s">
        <v>6185</v>
      </c>
      <c r="C1537" s="35" t="str">
        <f t="shared" si="161"/>
        <v>HusaynKhan</v>
      </c>
      <c r="E1537" s="40" t="s">
        <v>9115</v>
      </c>
      <c r="F1537" s="14"/>
      <c r="G1537" s="17"/>
      <c r="H1537" s="10" t="s">
        <v>8563</v>
      </c>
      <c r="I1537" s="4" t="str">
        <f t="shared" si="162"/>
        <v>|Ḥusayn-án|</v>
      </c>
      <c r="J1537" s="3" t="str">
        <f t="shared" si="163"/>
        <v>|Husayn-Khan|</v>
      </c>
      <c r="K1537" s="3" t="str">
        <f t="shared" si="164"/>
        <v>Husayn-Khan</v>
      </c>
      <c r="N1537" s="39" t="str">
        <f t="shared" si="165"/>
        <v/>
      </c>
      <c r="P1537" s="39" t="str">
        <f t="shared" si="166"/>
        <v/>
      </c>
      <c r="R1537" s="39" t="str">
        <f t="shared" si="167"/>
        <v/>
      </c>
      <c r="S1537" s="28"/>
      <c r="T1537" s="28"/>
      <c r="U1537" s="28"/>
    </row>
    <row r="1538" spans="1:21" s="5" customFormat="1">
      <c r="A1538" s="179" t="s">
        <v>1920</v>
      </c>
      <c r="B1538" s="185" t="s">
        <v>6186</v>
      </c>
      <c r="C1538" s="35" t="str">
        <f t="shared" si="161"/>
        <v>HusaynQuli</v>
      </c>
      <c r="E1538" s="40"/>
      <c r="F1538" s="15"/>
      <c r="G1538" s="17"/>
      <c r="H1538" s="10" t="s">
        <v>8563</v>
      </c>
      <c r="I1538" s="4" t="str">
        <f t="shared" si="162"/>
        <v>|Ḥusayn-Qulí|</v>
      </c>
      <c r="J1538" s="3" t="str">
        <f t="shared" si="163"/>
        <v>|Husayn-Quli|</v>
      </c>
      <c r="K1538" s="3" t="str">
        <f t="shared" si="164"/>
        <v>Husayn-Quli</v>
      </c>
      <c r="N1538" s="39" t="str">
        <f t="shared" si="165"/>
        <v/>
      </c>
      <c r="P1538" s="39" t="str">
        <f t="shared" si="166"/>
        <v/>
      </c>
      <c r="R1538" s="39" t="str">
        <f t="shared" si="167"/>
        <v/>
      </c>
      <c r="S1538" s="28"/>
      <c r="T1538" s="28"/>
      <c r="U1538" s="28"/>
    </row>
    <row r="1539" spans="1:21" s="5" customFormat="1">
      <c r="A1539" s="179" t="s">
        <v>1921</v>
      </c>
      <c r="B1539" s="185" t="s">
        <v>6187</v>
      </c>
      <c r="C1539" s="35" t="str">
        <f t="shared" ref="C1539:C1602" si="168">SUBSTITUTE(SUBSTITUTE(K1539,"-","")," ","")</f>
        <v>Hushang</v>
      </c>
      <c r="E1539" s="40"/>
      <c r="F1539" s="15" t="s">
        <v>1922</v>
      </c>
      <c r="G1539" s="17"/>
      <c r="H1539" s="10" t="s">
        <v>8563</v>
      </c>
      <c r="I1539" s="4" t="str">
        <f t="shared" ref="I1539:I1602" si="169">CONCATENATE("|",B1539,"|")</f>
        <v>|Húang|</v>
      </c>
      <c r="J1539" s="3" t="str">
        <f t="shared" ref="J1539:J1602" si="170">CONCATENATE("|",F_OutputASCII(B1539),"|")</f>
        <v>|Hushang|</v>
      </c>
      <c r="K1539" s="3" t="str">
        <f t="shared" ref="K1539:K1602" si="171">IF(SUBSTITUTE(MID(J1539,2,LEN(J1539)-2),"'","")&lt;&gt;"",SUBSTITUTE(MID(J1539,2,LEN(J1539)-2),"'",""),"ZZZZZ")</f>
        <v>Hushang</v>
      </c>
      <c r="N1539" s="39" t="str">
        <f t="shared" ref="N1539:N1602" si="172">SUBSTITUTE(SUBSTITUTE(SUBSTITUTE(F_OutputASCII(M1539),"-","")," ",""),"'","")</f>
        <v/>
      </c>
      <c r="P1539" s="39" t="str">
        <f t="shared" ref="P1539:P1602" si="173">SUBSTITUTE(SUBSTITUTE(SUBSTITUTE(F_OutputASCII(O1539),"-","")," ",""),"'","")</f>
        <v/>
      </c>
      <c r="R1539" s="39" t="str">
        <f t="shared" si="167"/>
        <v/>
      </c>
      <c r="S1539" s="28"/>
      <c r="T1539" s="28"/>
      <c r="U1539" s="28"/>
    </row>
    <row r="1540" spans="1:21" s="5" customFormat="1">
      <c r="A1540" s="179" t="s">
        <v>1923</v>
      </c>
      <c r="B1540" s="185" t="s">
        <v>6188</v>
      </c>
      <c r="C1540" s="35" t="str">
        <f t="shared" si="168"/>
        <v>Hushmand</v>
      </c>
      <c r="E1540" s="40"/>
      <c r="F1540" s="15"/>
      <c r="G1540" s="17"/>
      <c r="H1540" s="10" t="s">
        <v>8563</v>
      </c>
      <c r="I1540" s="4" t="str">
        <f t="shared" si="169"/>
        <v>|Húmand|</v>
      </c>
      <c r="J1540" s="3" t="str">
        <f t="shared" si="170"/>
        <v>|Hushmand|</v>
      </c>
      <c r="K1540" s="3" t="str">
        <f t="shared" si="171"/>
        <v>Hushmand</v>
      </c>
      <c r="N1540" s="39" t="str">
        <f t="shared" si="172"/>
        <v/>
      </c>
      <c r="P1540" s="39" t="str">
        <f t="shared" si="173"/>
        <v/>
      </c>
      <c r="R1540" s="39" t="str">
        <f t="shared" ref="R1540:R1603" si="174">SUBSTITUTE(SUBSTITUTE(Q1540,"-","")," ","")</f>
        <v/>
      </c>
      <c r="S1540" s="28"/>
      <c r="T1540" s="28"/>
      <c r="U1540" s="28"/>
    </row>
    <row r="1541" spans="1:21" s="5" customFormat="1">
      <c r="A1541" s="179" t="s">
        <v>1924</v>
      </c>
      <c r="B1541" s="185" t="s">
        <v>6189</v>
      </c>
      <c r="C1541" s="35" t="str">
        <f t="shared" si="168"/>
        <v>Husniyyih</v>
      </c>
      <c r="E1541" s="40"/>
      <c r="F1541" s="15"/>
      <c r="G1541" s="17"/>
      <c r="H1541" s="10" t="s">
        <v>8563</v>
      </c>
      <c r="I1541" s="4" t="str">
        <f t="shared" si="169"/>
        <v>|Ḥusníyyih|</v>
      </c>
      <c r="J1541" s="3" t="str">
        <f t="shared" si="170"/>
        <v>|Husniyyih|</v>
      </c>
      <c r="K1541" s="3" t="str">
        <f t="shared" si="171"/>
        <v>Husniyyih</v>
      </c>
      <c r="N1541" s="39" t="str">
        <f t="shared" si="172"/>
        <v/>
      </c>
      <c r="P1541" s="39" t="str">
        <f t="shared" si="173"/>
        <v/>
      </c>
      <c r="R1541" s="39" t="str">
        <f t="shared" si="174"/>
        <v/>
      </c>
      <c r="S1541" s="28"/>
      <c r="T1541" s="28"/>
      <c r="U1541" s="28"/>
    </row>
    <row r="1542" spans="1:21" s="5" customFormat="1">
      <c r="A1542" s="179" t="s">
        <v>1925</v>
      </c>
      <c r="B1542" s="185" t="s">
        <v>6190</v>
      </c>
      <c r="C1542" s="35" t="str">
        <f t="shared" si="168"/>
        <v>HuvallahulAhad</v>
      </c>
      <c r="E1542" s="40"/>
      <c r="F1542" s="14"/>
      <c r="G1542" s="17"/>
      <c r="H1542" s="10" t="s">
        <v>8563</v>
      </c>
      <c r="I1542" s="4" t="str">
        <f t="shared" si="169"/>
        <v>|Huva’lláhu’l-Ahad|</v>
      </c>
      <c r="J1542" s="3" t="str">
        <f t="shared" si="170"/>
        <v>|Huva'llahu'l-Ahad|</v>
      </c>
      <c r="K1542" s="3" t="str">
        <f t="shared" si="171"/>
        <v>Huvallahul-Ahad</v>
      </c>
      <c r="N1542" s="39" t="str">
        <f t="shared" si="172"/>
        <v/>
      </c>
      <c r="P1542" s="39" t="str">
        <f t="shared" si="173"/>
        <v/>
      </c>
      <c r="R1542" s="39" t="str">
        <f t="shared" si="174"/>
        <v/>
      </c>
      <c r="S1542" s="28"/>
      <c r="T1542" s="28"/>
      <c r="U1542" s="28"/>
    </row>
    <row r="1543" spans="1:21" s="5" customFormat="1">
      <c r="A1543" s="179" t="s">
        <v>1926</v>
      </c>
      <c r="B1543" s="185" t="s">
        <v>6191</v>
      </c>
      <c r="C1543" s="35" t="str">
        <f t="shared" si="168"/>
        <v>Huviyyat</v>
      </c>
      <c r="E1543" s="40"/>
      <c r="F1543" s="15" t="s">
        <v>1927</v>
      </c>
      <c r="G1543" s="17"/>
      <c r="H1543" s="10" t="s">
        <v>8563</v>
      </c>
      <c r="I1543" s="4" t="str">
        <f t="shared" si="169"/>
        <v>|Huvíyyat|</v>
      </c>
      <c r="J1543" s="3" t="str">
        <f t="shared" si="170"/>
        <v>|Huviyyat|</v>
      </c>
      <c r="K1543" s="3" t="str">
        <f t="shared" si="171"/>
        <v>Huviyyat</v>
      </c>
      <c r="N1543" s="39" t="str">
        <f t="shared" si="172"/>
        <v/>
      </c>
      <c r="P1543" s="39" t="str">
        <f t="shared" si="173"/>
        <v/>
      </c>
      <c r="R1543" s="39" t="str">
        <f t="shared" si="174"/>
        <v/>
      </c>
      <c r="S1543" s="28"/>
      <c r="T1543" s="28"/>
      <c r="U1543" s="28"/>
    </row>
    <row r="1544" spans="1:21" s="5" customFormat="1">
      <c r="A1544" s="179" t="s">
        <v>1928</v>
      </c>
      <c r="B1544" s="185" t="s">
        <v>6192</v>
      </c>
      <c r="C1544" s="35" t="str">
        <f t="shared" si="168"/>
        <v>Ibdal</v>
      </c>
      <c r="E1544" s="40"/>
      <c r="F1544" s="15"/>
      <c r="G1544" s="17"/>
      <c r="H1544" s="10" t="s">
        <v>8563</v>
      </c>
      <c r="I1544" s="4" t="str">
        <f t="shared" si="169"/>
        <v>|Ibdál|</v>
      </c>
      <c r="J1544" s="3" t="str">
        <f t="shared" si="170"/>
        <v>|Ibdal|</v>
      </c>
      <c r="K1544" s="3" t="str">
        <f t="shared" si="171"/>
        <v>Ibdal</v>
      </c>
      <c r="N1544" s="39" t="str">
        <f t="shared" si="172"/>
        <v/>
      </c>
      <c r="P1544" s="39" t="str">
        <f t="shared" si="173"/>
        <v/>
      </c>
      <c r="R1544" s="39" t="str">
        <f t="shared" si="174"/>
        <v/>
      </c>
      <c r="S1544" s="28"/>
      <c r="T1544" s="28"/>
      <c r="U1544" s="28"/>
    </row>
    <row r="1545" spans="1:21" s="5" customFormat="1">
      <c r="A1545" s="179" t="s">
        <v>1929</v>
      </c>
      <c r="B1545" s="185" t="s">
        <v>9046</v>
      </c>
      <c r="C1545" s="35" t="str">
        <f t="shared" si="168"/>
        <v>Ibn</v>
      </c>
      <c r="E1545" s="40"/>
      <c r="F1545" s="14"/>
      <c r="G1545" s="17"/>
      <c r="H1545" s="10" t="s">
        <v>8563</v>
      </c>
      <c r="I1545" s="4" t="str">
        <f t="shared" si="169"/>
        <v>|Ibn|</v>
      </c>
      <c r="J1545" s="3" t="str">
        <f t="shared" si="170"/>
        <v>|Ibn|</v>
      </c>
      <c r="K1545" s="3" t="str">
        <f t="shared" si="171"/>
        <v>Ibn</v>
      </c>
      <c r="N1545" s="39" t="str">
        <f t="shared" si="172"/>
        <v/>
      </c>
      <c r="P1545" s="39" t="str">
        <f t="shared" si="173"/>
        <v/>
      </c>
      <c r="R1545" s="39" t="str">
        <f t="shared" si="174"/>
        <v/>
      </c>
      <c r="S1545" s="28"/>
      <c r="T1545" s="28"/>
      <c r="U1545" s="28"/>
    </row>
    <row r="1546" spans="1:21" s="5" customFormat="1">
      <c r="A1546" s="179" t="s">
        <v>1930</v>
      </c>
      <c r="B1546" s="185" t="s">
        <v>6193</v>
      </c>
      <c r="C1546" s="35" t="str">
        <f t="shared" si="168"/>
        <v>IbniAbhar</v>
      </c>
      <c r="E1546" s="40"/>
      <c r="F1546" s="15" t="s">
        <v>8586</v>
      </c>
      <c r="G1546" s="17"/>
      <c r="H1546" s="10" t="s">
        <v>8563</v>
      </c>
      <c r="I1546" s="4" t="str">
        <f t="shared" si="169"/>
        <v>|Ibn-i-Abhar|</v>
      </c>
      <c r="J1546" s="3" t="str">
        <f t="shared" si="170"/>
        <v>|Ibn-i-Abhar|</v>
      </c>
      <c r="K1546" s="3" t="str">
        <f t="shared" si="171"/>
        <v>Ibn-i-Abhar</v>
      </c>
      <c r="N1546" s="39" t="str">
        <f t="shared" si="172"/>
        <v/>
      </c>
      <c r="P1546" s="39" t="str">
        <f t="shared" si="173"/>
        <v/>
      </c>
      <c r="R1546" s="39" t="str">
        <f t="shared" si="174"/>
        <v/>
      </c>
      <c r="S1546" s="28"/>
      <c r="T1546" s="28"/>
      <c r="U1546" s="28"/>
    </row>
    <row r="1547" spans="1:21" s="5" customFormat="1">
      <c r="A1547" s="179" t="s">
        <v>1931</v>
      </c>
      <c r="B1547" s="185" t="s">
        <v>9045</v>
      </c>
      <c r="C1547" s="35" t="str">
        <f t="shared" si="168"/>
        <v>IbniAli</v>
      </c>
      <c r="E1547" s="40"/>
      <c r="F1547" s="14"/>
      <c r="G1547" s="17"/>
      <c r="H1547" s="10" t="s">
        <v>8563</v>
      </c>
      <c r="I1547" s="4" t="str">
        <f t="shared" si="169"/>
        <v>|Ibn-i-ʿAlí|</v>
      </c>
      <c r="J1547" s="3" t="str">
        <f t="shared" si="170"/>
        <v>|Ibn-i-'Ali|</v>
      </c>
      <c r="K1547" s="3" t="str">
        <f t="shared" si="171"/>
        <v>Ibn-i-Ali</v>
      </c>
      <c r="N1547" s="39" t="str">
        <f t="shared" si="172"/>
        <v/>
      </c>
      <c r="P1547" s="39" t="str">
        <f t="shared" si="173"/>
        <v/>
      </c>
      <c r="R1547" s="39" t="str">
        <f t="shared" si="174"/>
        <v/>
      </c>
      <c r="S1547" s="28"/>
      <c r="T1547" s="28"/>
      <c r="U1547" s="28"/>
    </row>
    <row r="1548" spans="1:21" s="5" customFormat="1">
      <c r="A1548" s="179" t="s">
        <v>1932</v>
      </c>
      <c r="B1548" s="185" t="s">
        <v>6194</v>
      </c>
      <c r="C1548" s="35" t="str">
        <f t="shared" si="168"/>
        <v>IbniAlusi</v>
      </c>
      <c r="E1548" s="40"/>
      <c r="F1548" s="14"/>
      <c r="G1548" s="17"/>
      <c r="H1548" s="10" t="s">
        <v>8563</v>
      </c>
      <c r="I1548" s="4" t="str">
        <f t="shared" si="169"/>
        <v>|Ibn-i-Álúsí|</v>
      </c>
      <c r="J1548" s="3" t="str">
        <f t="shared" si="170"/>
        <v>|Ibn-i-Alusi|</v>
      </c>
      <c r="K1548" s="3" t="str">
        <f t="shared" si="171"/>
        <v>Ibn-i-Alusi</v>
      </c>
      <c r="N1548" s="39" t="str">
        <f t="shared" si="172"/>
        <v/>
      </c>
      <c r="P1548" s="39" t="str">
        <f t="shared" si="173"/>
        <v/>
      </c>
      <c r="R1548" s="39" t="str">
        <f t="shared" si="174"/>
        <v/>
      </c>
      <c r="S1548" s="28"/>
      <c r="T1548" s="28"/>
      <c r="U1548" s="28"/>
    </row>
    <row r="1549" spans="1:21" s="5" customFormat="1">
      <c r="A1549" s="179" t="s">
        <v>1933</v>
      </c>
      <c r="B1549" s="185" t="s">
        <v>6195</v>
      </c>
      <c r="C1549" s="35" t="str">
        <f t="shared" si="168"/>
        <v>IbniAsdaq</v>
      </c>
      <c r="E1549" s="40"/>
      <c r="F1549" s="15" t="s">
        <v>8587</v>
      </c>
      <c r="G1549" s="17"/>
      <c r="H1549" s="10" t="s">
        <v>8563</v>
      </c>
      <c r="I1549" s="4" t="str">
        <f t="shared" si="169"/>
        <v>|Ibn-i-Aṣdaq|</v>
      </c>
      <c r="J1549" s="3" t="str">
        <f t="shared" si="170"/>
        <v>|Ibn-i-Asdaq|</v>
      </c>
      <c r="K1549" s="3" t="str">
        <f t="shared" si="171"/>
        <v>Ibn-i-Asdaq</v>
      </c>
      <c r="N1549" s="39" t="str">
        <f t="shared" si="172"/>
        <v/>
      </c>
      <c r="P1549" s="39" t="str">
        <f t="shared" si="173"/>
        <v/>
      </c>
      <c r="R1549" s="39" t="str">
        <f t="shared" si="174"/>
        <v/>
      </c>
      <c r="S1549" s="28"/>
      <c r="T1549" s="28"/>
      <c r="U1549" s="28"/>
    </row>
    <row r="1550" spans="1:21" s="5" customFormat="1">
      <c r="A1550" s="179" t="s">
        <v>1934</v>
      </c>
      <c r="B1550" s="185" t="s">
        <v>6196</v>
      </c>
      <c r="C1550" s="35" t="str">
        <f t="shared" si="168"/>
        <v>IbniAshraf</v>
      </c>
      <c r="E1550" s="40"/>
      <c r="F1550" s="14"/>
      <c r="G1550" s="17"/>
      <c r="H1550" s="10" t="s">
        <v>8563</v>
      </c>
      <c r="I1550" s="4" t="str">
        <f t="shared" si="169"/>
        <v>|Ibn-i-Araf|</v>
      </c>
      <c r="J1550" s="3" t="str">
        <f t="shared" si="170"/>
        <v>|Ibn-i-Ashraf|</v>
      </c>
      <c r="K1550" s="3" t="str">
        <f t="shared" si="171"/>
        <v>Ibn-i-Ashraf</v>
      </c>
      <c r="N1550" s="39" t="str">
        <f t="shared" si="172"/>
        <v/>
      </c>
      <c r="P1550" s="39" t="str">
        <f t="shared" si="173"/>
        <v/>
      </c>
      <c r="R1550" s="39" t="str">
        <f t="shared" si="174"/>
        <v/>
      </c>
      <c r="S1550" s="28"/>
      <c r="T1550" s="28"/>
      <c r="U1550" s="28"/>
    </row>
    <row r="1551" spans="1:21" s="5" customFormat="1">
      <c r="A1551" s="179" t="s">
        <v>1935</v>
      </c>
      <c r="B1551" s="185" t="s">
        <v>6197</v>
      </c>
      <c r="C1551" s="35" t="str">
        <f t="shared" si="168"/>
        <v>IbniDhib</v>
      </c>
      <c r="E1551" s="40"/>
      <c r="F1551" s="14"/>
      <c r="G1551" s="17"/>
      <c r="H1551" s="10" t="s">
        <v>8563</v>
      </c>
      <c r="I1551" s="4" t="str">
        <f t="shared" si="169"/>
        <v>|Ibn-i-i’b|</v>
      </c>
      <c r="J1551" s="3" t="str">
        <f t="shared" si="170"/>
        <v>|Ibn-i-Dhi'b|</v>
      </c>
      <c r="K1551" s="3" t="str">
        <f t="shared" si="171"/>
        <v>Ibn-i-Dhib</v>
      </c>
      <c r="N1551" s="39" t="str">
        <f t="shared" si="172"/>
        <v/>
      </c>
      <c r="P1551" s="39" t="str">
        <f t="shared" si="173"/>
        <v/>
      </c>
      <c r="R1551" s="39" t="str">
        <f t="shared" si="174"/>
        <v/>
      </c>
      <c r="S1551" s="28"/>
      <c r="T1551" s="28"/>
      <c r="U1551" s="28"/>
    </row>
    <row r="1552" spans="1:21" s="5" customFormat="1">
      <c r="A1552" s="179" t="s">
        <v>1936</v>
      </c>
      <c r="B1552" s="185" t="s">
        <v>6198</v>
      </c>
      <c r="C1552" s="35" t="str">
        <f t="shared" si="168"/>
        <v>IbniFarid</v>
      </c>
      <c r="E1552" s="40" t="s">
        <v>9115</v>
      </c>
      <c r="F1552" s="14"/>
      <c r="G1552" s="17"/>
      <c r="H1552" s="10" t="s">
        <v>8563</v>
      </c>
      <c r="I1552" s="4" t="str">
        <f t="shared" si="169"/>
        <v>|Ibn-i-Faríd|</v>
      </c>
      <c r="J1552" s="3" t="str">
        <f t="shared" si="170"/>
        <v>|Ibn-i-Farid|</v>
      </c>
      <c r="K1552" s="3" t="str">
        <f t="shared" si="171"/>
        <v>Ibn-i-Farid</v>
      </c>
      <c r="N1552" s="39" t="str">
        <f t="shared" si="172"/>
        <v/>
      </c>
      <c r="P1552" s="39" t="str">
        <f t="shared" si="173"/>
        <v/>
      </c>
      <c r="R1552" s="39" t="str">
        <f t="shared" si="174"/>
        <v/>
      </c>
      <c r="S1552" s="28"/>
      <c r="T1552" s="28"/>
      <c r="U1552" s="28"/>
    </row>
    <row r="1553" spans="1:21" s="5" customFormat="1">
      <c r="A1553" s="179" t="s">
        <v>1937</v>
      </c>
      <c r="B1553" s="185" t="s">
        <v>6199</v>
      </c>
      <c r="C1553" s="35" t="str">
        <f t="shared" si="168"/>
        <v>IbniFarid</v>
      </c>
      <c r="E1553" s="40" t="s">
        <v>9115</v>
      </c>
      <c r="F1553" s="14"/>
      <c r="G1553" s="17"/>
      <c r="H1553" s="10" t="s">
        <v>8563</v>
      </c>
      <c r="I1553" s="4" t="str">
        <f t="shared" si="169"/>
        <v>|Ibn-i-Fárid|</v>
      </c>
      <c r="J1553" s="3" t="str">
        <f t="shared" si="170"/>
        <v>|Ibn-i-Farid|</v>
      </c>
      <c r="K1553" s="3" t="str">
        <f t="shared" si="171"/>
        <v>Ibn-i-Farid</v>
      </c>
      <c r="N1553" s="39" t="str">
        <f t="shared" si="172"/>
        <v/>
      </c>
      <c r="P1553" s="39" t="str">
        <f t="shared" si="173"/>
        <v/>
      </c>
      <c r="R1553" s="39" t="str">
        <f t="shared" si="174"/>
        <v/>
      </c>
      <c r="S1553" s="28"/>
      <c r="T1553" s="28"/>
      <c r="U1553" s="28"/>
    </row>
    <row r="1554" spans="1:21" s="5" customFormat="1">
      <c r="A1554" s="179" t="s">
        <v>1938</v>
      </c>
      <c r="B1554" s="185" t="s">
        <v>6200</v>
      </c>
      <c r="C1554" s="35" t="str">
        <f t="shared" si="168"/>
        <v>IbniFarid</v>
      </c>
      <c r="E1554" s="40" t="s">
        <v>9115</v>
      </c>
      <c r="F1554" s="15"/>
      <c r="G1554" s="17"/>
      <c r="H1554" s="10" t="s">
        <v>8563</v>
      </c>
      <c r="I1554" s="4" t="str">
        <f t="shared" si="169"/>
        <v>|Ibn-i-Fáriḍ|</v>
      </c>
      <c r="J1554" s="3" t="str">
        <f t="shared" si="170"/>
        <v>|Ibn-i-Farid|</v>
      </c>
      <c r="K1554" s="3" t="str">
        <f t="shared" si="171"/>
        <v>Ibn-i-Farid</v>
      </c>
      <c r="N1554" s="39" t="str">
        <f t="shared" si="172"/>
        <v/>
      </c>
      <c r="P1554" s="39" t="str">
        <f t="shared" si="173"/>
        <v/>
      </c>
      <c r="R1554" s="39" t="str">
        <f t="shared" si="174"/>
        <v/>
      </c>
      <c r="S1554" s="28"/>
      <c r="T1554" s="28"/>
      <c r="U1554" s="28"/>
    </row>
    <row r="1555" spans="1:21" s="5" customFormat="1">
      <c r="A1555" s="179" t="s">
        <v>1939</v>
      </c>
      <c r="B1555" s="185" t="s">
        <v>6201</v>
      </c>
      <c r="C1555" s="35" t="str">
        <f t="shared" si="168"/>
        <v>IbniHajib</v>
      </c>
      <c r="E1555" s="40"/>
      <c r="F1555" s="14"/>
      <c r="G1555" s="17"/>
      <c r="H1555" s="10" t="s">
        <v>8563</v>
      </c>
      <c r="I1555" s="4" t="str">
        <f t="shared" si="169"/>
        <v>|Ibn-i-Hajíb|</v>
      </c>
      <c r="J1555" s="3" t="str">
        <f t="shared" si="170"/>
        <v>|Ibn-i-Hajib|</v>
      </c>
      <c r="K1555" s="3" t="str">
        <f t="shared" si="171"/>
        <v>Ibn-i-Hajib</v>
      </c>
      <c r="N1555" s="39" t="str">
        <f t="shared" si="172"/>
        <v/>
      </c>
      <c r="P1555" s="39" t="str">
        <f t="shared" si="173"/>
        <v/>
      </c>
      <c r="R1555" s="39" t="str">
        <f t="shared" si="174"/>
        <v/>
      </c>
      <c r="S1555" s="28"/>
      <c r="T1555" s="28"/>
      <c r="U1555" s="28"/>
    </row>
    <row r="1556" spans="1:21" s="5" customFormat="1">
      <c r="A1556" s="179" t="s">
        <v>1940</v>
      </c>
      <c r="B1556" s="185" t="s">
        <v>6202</v>
      </c>
      <c r="C1556" s="35" t="str">
        <f t="shared" si="168"/>
        <v>IbniKhaldun</v>
      </c>
      <c r="E1556" s="40"/>
      <c r="F1556" s="15"/>
      <c r="G1556" s="17"/>
      <c r="H1556" s="10" t="s">
        <v>8563</v>
      </c>
      <c r="I1556" s="4" t="str">
        <f t="shared" si="169"/>
        <v>|Ibn-i-aldún|</v>
      </c>
      <c r="J1556" s="3" t="str">
        <f t="shared" si="170"/>
        <v>|Ibn-i-Khaldun|</v>
      </c>
      <c r="K1556" s="3" t="str">
        <f t="shared" si="171"/>
        <v>Ibn-i-Khaldun</v>
      </c>
      <c r="N1556" s="39" t="str">
        <f t="shared" si="172"/>
        <v/>
      </c>
      <c r="P1556" s="39" t="str">
        <f t="shared" si="173"/>
        <v/>
      </c>
      <c r="R1556" s="39" t="str">
        <f t="shared" si="174"/>
        <v/>
      </c>
      <c r="S1556" s="28"/>
      <c r="T1556" s="28"/>
      <c r="U1556" s="28"/>
    </row>
    <row r="1557" spans="1:21" s="5" customFormat="1">
      <c r="A1557" s="179" t="s">
        <v>1941</v>
      </c>
      <c r="B1557" s="185" t="s">
        <v>6203</v>
      </c>
      <c r="C1557" s="35" t="str">
        <f t="shared" si="168"/>
        <v>IbniMalik</v>
      </c>
      <c r="E1557" s="40"/>
      <c r="F1557" s="14"/>
      <c r="G1557" s="17"/>
      <c r="H1557" s="10" t="s">
        <v>8563</v>
      </c>
      <c r="I1557" s="4" t="str">
        <f t="shared" si="169"/>
        <v>|Ibn-i-Málik|</v>
      </c>
      <c r="J1557" s="3" t="str">
        <f t="shared" si="170"/>
        <v>|Ibn-i-Malik|</v>
      </c>
      <c r="K1557" s="3" t="str">
        <f t="shared" si="171"/>
        <v>Ibn-i-Malik</v>
      </c>
      <c r="N1557" s="39" t="str">
        <f t="shared" si="172"/>
        <v/>
      </c>
      <c r="P1557" s="39" t="str">
        <f t="shared" si="173"/>
        <v/>
      </c>
      <c r="R1557" s="39" t="str">
        <f t="shared" si="174"/>
        <v/>
      </c>
      <c r="S1557" s="28"/>
      <c r="T1557" s="28"/>
      <c r="U1557" s="28"/>
    </row>
    <row r="1558" spans="1:21" s="5" customFormat="1">
      <c r="A1558" s="179" t="s">
        <v>1942</v>
      </c>
      <c r="B1558" s="185" t="s">
        <v>6204</v>
      </c>
      <c r="C1558" s="35" t="str">
        <f t="shared" si="168"/>
        <v>IbniMasud</v>
      </c>
      <c r="E1558" s="40"/>
      <c r="F1558" s="14"/>
      <c r="G1558" s="17"/>
      <c r="H1558" s="10" t="s">
        <v>8563</v>
      </c>
      <c r="I1558" s="4" t="str">
        <f t="shared" si="169"/>
        <v>|Ibn-i-Masʿúd|</v>
      </c>
      <c r="J1558" s="3" t="str">
        <f t="shared" si="170"/>
        <v>|Ibn-i-Mas'ud|</v>
      </c>
      <c r="K1558" s="3" t="str">
        <f t="shared" si="171"/>
        <v>Ibn-i-Masud</v>
      </c>
      <c r="N1558" s="39" t="str">
        <f t="shared" si="172"/>
        <v/>
      </c>
      <c r="P1558" s="39" t="str">
        <f t="shared" si="173"/>
        <v/>
      </c>
      <c r="R1558" s="39" t="str">
        <f t="shared" si="174"/>
        <v/>
      </c>
      <c r="S1558" s="28"/>
      <c r="T1558" s="28"/>
      <c r="U1558" s="28"/>
    </row>
    <row r="1559" spans="1:21" s="5" customFormat="1">
      <c r="A1559" s="179" t="s">
        <v>1943</v>
      </c>
      <c r="B1559" s="185" t="s">
        <v>6205</v>
      </c>
      <c r="C1559" s="35" t="str">
        <f t="shared" si="168"/>
        <v>IbniMihriyar</v>
      </c>
      <c r="E1559" s="40"/>
      <c r="F1559" s="14"/>
      <c r="G1559" s="17"/>
      <c r="H1559" s="10" t="s">
        <v>8563</v>
      </c>
      <c r="I1559" s="4" t="str">
        <f t="shared" si="169"/>
        <v>|Ibn-i-Mihríyár|</v>
      </c>
      <c r="J1559" s="3" t="str">
        <f t="shared" si="170"/>
        <v>|Ibn-i-Mihriyar|</v>
      </c>
      <c r="K1559" s="3" t="str">
        <f t="shared" si="171"/>
        <v>Ibn-i-Mihriyar</v>
      </c>
      <c r="N1559" s="39" t="str">
        <f t="shared" si="172"/>
        <v/>
      </c>
      <c r="P1559" s="39" t="str">
        <f t="shared" si="173"/>
        <v/>
      </c>
      <c r="R1559" s="39" t="str">
        <f t="shared" si="174"/>
        <v/>
      </c>
      <c r="S1559" s="28"/>
      <c r="T1559" s="28"/>
      <c r="U1559" s="28"/>
    </row>
    <row r="1560" spans="1:21" s="5" customFormat="1">
      <c r="A1560" s="179" t="s">
        <v>1944</v>
      </c>
      <c r="B1560" s="185" t="s">
        <v>6206</v>
      </c>
      <c r="C1560" s="35" t="str">
        <f t="shared" si="168"/>
        <v>IbniMuljam</v>
      </c>
      <c r="E1560" s="40"/>
      <c r="F1560" s="14"/>
      <c r="G1560" s="17"/>
      <c r="H1560" s="10" t="s">
        <v>8563</v>
      </c>
      <c r="I1560" s="4" t="str">
        <f t="shared" si="169"/>
        <v>|Ibn-i-Muljam|</v>
      </c>
      <c r="J1560" s="3" t="str">
        <f t="shared" si="170"/>
        <v>|Ibn-i-Muljam|</v>
      </c>
      <c r="K1560" s="3" t="str">
        <f t="shared" si="171"/>
        <v>Ibn-i-Muljam</v>
      </c>
      <c r="N1560" s="39" t="str">
        <f t="shared" si="172"/>
        <v/>
      </c>
      <c r="P1560" s="39" t="str">
        <f t="shared" si="173"/>
        <v/>
      </c>
      <c r="R1560" s="39" t="str">
        <f t="shared" si="174"/>
        <v/>
      </c>
      <c r="S1560" s="28"/>
      <c r="T1560" s="28"/>
      <c r="U1560" s="28"/>
    </row>
    <row r="1561" spans="1:21" s="5" customFormat="1">
      <c r="A1561" s="179" t="s">
        <v>1945</v>
      </c>
      <c r="B1561" s="185" t="s">
        <v>6207</v>
      </c>
      <c r="C1561" s="35" t="str">
        <f t="shared" si="168"/>
        <v>IbniRahib</v>
      </c>
      <c r="E1561" s="40"/>
      <c r="F1561" s="14"/>
      <c r="G1561" s="17"/>
      <c r="H1561" s="10" t="s">
        <v>8563</v>
      </c>
      <c r="I1561" s="4" t="str">
        <f t="shared" si="169"/>
        <v>|Ibn-i-Ráhib|</v>
      </c>
      <c r="J1561" s="3" t="str">
        <f t="shared" si="170"/>
        <v>|Ibn-i-Rahib|</v>
      </c>
      <c r="K1561" s="3" t="str">
        <f t="shared" si="171"/>
        <v>Ibn-i-Rahib</v>
      </c>
      <c r="N1561" s="39" t="str">
        <f t="shared" si="172"/>
        <v/>
      </c>
      <c r="P1561" s="39" t="str">
        <f t="shared" si="173"/>
        <v/>
      </c>
      <c r="R1561" s="39" t="str">
        <f t="shared" si="174"/>
        <v/>
      </c>
      <c r="S1561" s="28"/>
      <c r="T1561" s="28"/>
      <c r="U1561" s="28"/>
    </row>
    <row r="1562" spans="1:21" s="5" customFormat="1">
      <c r="A1562" s="179" t="s">
        <v>1946</v>
      </c>
      <c r="B1562" s="185" t="s">
        <v>6208</v>
      </c>
      <c r="C1562" s="35" t="str">
        <f t="shared" si="168"/>
        <v>IbniSad</v>
      </c>
      <c r="E1562" s="40"/>
      <c r="F1562" s="15"/>
      <c r="G1562" s="17"/>
      <c r="H1562" s="10" t="s">
        <v>8563</v>
      </c>
      <c r="I1562" s="4" t="str">
        <f t="shared" si="169"/>
        <v>|Ibn-i-Saʿd|</v>
      </c>
      <c r="J1562" s="3" t="str">
        <f t="shared" si="170"/>
        <v>|Ibn-i-Sa'd|</v>
      </c>
      <c r="K1562" s="3" t="str">
        <f t="shared" si="171"/>
        <v>Ibn-i-Sad</v>
      </c>
      <c r="N1562" s="39" t="str">
        <f t="shared" si="172"/>
        <v/>
      </c>
      <c r="P1562" s="39" t="str">
        <f t="shared" si="173"/>
        <v/>
      </c>
      <c r="R1562" s="39" t="str">
        <f t="shared" si="174"/>
        <v/>
      </c>
      <c r="S1562" s="28"/>
      <c r="T1562" s="28"/>
      <c r="U1562" s="28"/>
    </row>
    <row r="1563" spans="1:21" s="5" customFormat="1">
      <c r="A1563" s="179" t="s">
        <v>1947</v>
      </c>
      <c r="B1563" s="185" t="s">
        <v>6209</v>
      </c>
      <c r="C1563" s="35" t="str">
        <f t="shared" si="168"/>
        <v>IbniSaid</v>
      </c>
      <c r="E1563" s="40"/>
      <c r="F1563" s="15"/>
      <c r="G1563" s="17"/>
      <c r="H1563" s="10" t="s">
        <v>8563</v>
      </c>
      <c r="I1563" s="4" t="str">
        <f t="shared" si="169"/>
        <v>|Ibn-i-Saʿíd|</v>
      </c>
      <c r="J1563" s="3" t="str">
        <f t="shared" si="170"/>
        <v>|Ibn-i-Sa'id|</v>
      </c>
      <c r="K1563" s="3" t="str">
        <f t="shared" si="171"/>
        <v>Ibn-i-Said</v>
      </c>
      <c r="N1563" s="39" t="str">
        <f t="shared" si="172"/>
        <v/>
      </c>
      <c r="P1563" s="39" t="str">
        <f t="shared" si="173"/>
        <v/>
      </c>
      <c r="R1563" s="39" t="str">
        <f t="shared" si="174"/>
        <v/>
      </c>
      <c r="S1563" s="28"/>
      <c r="T1563" s="28"/>
      <c r="U1563" s="28"/>
    </row>
    <row r="1564" spans="1:21" s="5" customFormat="1">
      <c r="A1564" s="179" t="s">
        <v>1948</v>
      </c>
      <c r="B1564" s="185" t="s">
        <v>6210</v>
      </c>
      <c r="C1564" s="35" t="str">
        <f t="shared" si="168"/>
        <v>IbniSuriya</v>
      </c>
      <c r="E1564" s="40"/>
      <c r="F1564" s="15"/>
      <c r="G1564" s="17"/>
      <c r="H1564" s="10" t="s">
        <v>8563</v>
      </c>
      <c r="I1564" s="4" t="str">
        <f t="shared" si="169"/>
        <v>|Ibn-i-Ṣúríyá|</v>
      </c>
      <c r="J1564" s="3" t="str">
        <f t="shared" si="170"/>
        <v>|Ibn-i-Suriya|</v>
      </c>
      <c r="K1564" s="3" t="str">
        <f t="shared" si="171"/>
        <v>Ibn-i-Suriya</v>
      </c>
      <c r="N1564" s="39" t="str">
        <f t="shared" si="172"/>
        <v/>
      </c>
      <c r="P1564" s="39" t="str">
        <f t="shared" si="173"/>
        <v/>
      </c>
      <c r="R1564" s="39" t="str">
        <f t="shared" si="174"/>
        <v/>
      </c>
      <c r="S1564" s="28"/>
      <c r="T1564" s="28"/>
      <c r="U1564" s="28"/>
    </row>
    <row r="1565" spans="1:21" s="5" customFormat="1">
      <c r="A1565" s="179" t="s">
        <v>1949</v>
      </c>
      <c r="B1565" s="185" t="s">
        <v>6211</v>
      </c>
      <c r="C1565" s="35" t="str">
        <f t="shared" si="168"/>
        <v>IbniValid</v>
      </c>
      <c r="E1565" s="40"/>
      <c r="F1565" s="15"/>
      <c r="G1565" s="17"/>
      <c r="H1565" s="10" t="s">
        <v>8563</v>
      </c>
      <c r="I1565" s="4" t="str">
        <f t="shared" si="169"/>
        <v>|Ibn-i-Valíd|</v>
      </c>
      <c r="J1565" s="3" t="str">
        <f t="shared" si="170"/>
        <v>|Ibn-i-Valid|</v>
      </c>
      <c r="K1565" s="3" t="str">
        <f t="shared" si="171"/>
        <v>Ibn-i-Valid</v>
      </c>
      <c r="N1565" s="39" t="str">
        <f t="shared" si="172"/>
        <v/>
      </c>
      <c r="P1565" s="39" t="str">
        <f t="shared" si="173"/>
        <v/>
      </c>
      <c r="R1565" s="39" t="str">
        <f t="shared" si="174"/>
        <v/>
      </c>
      <c r="S1565" s="28"/>
      <c r="T1565" s="28"/>
      <c r="U1565" s="28"/>
    </row>
    <row r="1566" spans="1:21" s="5" customFormat="1">
      <c r="A1566" s="179" t="s">
        <v>1950</v>
      </c>
      <c r="B1566" s="185" t="s">
        <v>6212</v>
      </c>
      <c r="C1566" s="35" t="str">
        <f t="shared" si="168"/>
        <v>IbniYusuf</v>
      </c>
      <c r="E1566" s="40"/>
      <c r="F1566" s="15"/>
      <c r="G1566" s="17"/>
      <c r="H1566" s="10" t="s">
        <v>8563</v>
      </c>
      <c r="I1566" s="4" t="str">
        <f t="shared" si="169"/>
        <v>|Ibn-i-Yúsuf|</v>
      </c>
      <c r="J1566" s="3" t="str">
        <f t="shared" si="170"/>
        <v>|Ibn-i-Yusuf|</v>
      </c>
      <c r="K1566" s="3" t="str">
        <f t="shared" si="171"/>
        <v>Ibn-i-Yusuf</v>
      </c>
      <c r="N1566" s="39" t="str">
        <f t="shared" si="172"/>
        <v/>
      </c>
      <c r="P1566" s="39" t="str">
        <f t="shared" si="173"/>
        <v/>
      </c>
      <c r="R1566" s="39" t="str">
        <f t="shared" si="174"/>
        <v/>
      </c>
      <c r="S1566" s="28"/>
      <c r="T1566" s="28"/>
      <c r="U1566" s="28"/>
    </row>
    <row r="1567" spans="1:21" s="5" customFormat="1">
      <c r="A1567" s="179" t="s">
        <v>1951</v>
      </c>
      <c r="B1567" s="185" t="s">
        <v>6213</v>
      </c>
      <c r="C1567" s="35" t="str">
        <f t="shared" si="168"/>
        <v>IbnulArabi</v>
      </c>
      <c r="E1567" s="40"/>
      <c r="F1567" s="14"/>
      <c r="G1567" s="17"/>
      <c r="H1567" s="10" t="s">
        <v>8563</v>
      </c>
      <c r="I1567" s="4" t="str">
        <f t="shared" si="169"/>
        <v>|Ibnu’l-ʿArabí|</v>
      </c>
      <c r="J1567" s="3" t="str">
        <f t="shared" si="170"/>
        <v>|Ibnu'l-'Arabi|</v>
      </c>
      <c r="K1567" s="3" t="str">
        <f t="shared" si="171"/>
        <v>Ibnul-Arabi</v>
      </c>
      <c r="N1567" s="39" t="str">
        <f t="shared" si="172"/>
        <v/>
      </c>
      <c r="P1567" s="39" t="str">
        <f t="shared" si="173"/>
        <v/>
      </c>
      <c r="R1567" s="39" t="str">
        <f t="shared" si="174"/>
        <v/>
      </c>
      <c r="S1567" s="28"/>
      <c r="T1567" s="28"/>
      <c r="U1567" s="28"/>
    </row>
    <row r="1568" spans="1:21" s="5" customFormat="1">
      <c r="A1568" s="179" t="s">
        <v>1952</v>
      </c>
      <c r="B1568" s="185" t="s">
        <v>6214</v>
      </c>
      <c r="C1568" s="35" t="str">
        <f t="shared" si="168"/>
        <v>Ibnullah</v>
      </c>
      <c r="E1568" s="40"/>
      <c r="F1568" s="15"/>
      <c r="G1568" s="17"/>
      <c r="H1568" s="10" t="s">
        <v>8563</v>
      </c>
      <c r="I1568" s="4" t="str">
        <f t="shared" si="169"/>
        <v>|Ibnu’lláh|</v>
      </c>
      <c r="J1568" s="3" t="str">
        <f t="shared" si="170"/>
        <v>|Ibnu'llah|</v>
      </c>
      <c r="K1568" s="3" t="str">
        <f t="shared" si="171"/>
        <v>Ibnullah</v>
      </c>
      <c r="N1568" s="39" t="str">
        <f t="shared" si="172"/>
        <v/>
      </c>
      <c r="P1568" s="39" t="str">
        <f t="shared" si="173"/>
        <v/>
      </c>
      <c r="R1568" s="39" t="str">
        <f t="shared" si="174"/>
        <v/>
      </c>
      <c r="S1568" s="28"/>
      <c r="T1568" s="28"/>
      <c r="U1568" s="28"/>
    </row>
    <row r="1569" spans="1:21" s="5" customFormat="1">
      <c r="A1569" s="179" t="s">
        <v>1953</v>
      </c>
      <c r="B1569" s="185" t="s">
        <v>6215</v>
      </c>
      <c r="C1569" s="35" t="str">
        <f t="shared" si="168"/>
        <v>Ibrahim</v>
      </c>
      <c r="E1569" s="40"/>
      <c r="F1569" s="14"/>
      <c r="G1569" s="17"/>
      <c r="H1569" s="10" t="s">
        <v>8563</v>
      </c>
      <c r="I1569" s="4" t="str">
        <f t="shared" si="169"/>
        <v>|Ibráhím|</v>
      </c>
      <c r="J1569" s="3" t="str">
        <f t="shared" si="170"/>
        <v>|Ibrahim|</v>
      </c>
      <c r="K1569" s="3" t="str">
        <f t="shared" si="171"/>
        <v>Ibrahim</v>
      </c>
      <c r="N1569" s="39" t="str">
        <f t="shared" si="172"/>
        <v/>
      </c>
      <c r="P1569" s="39" t="str">
        <f t="shared" si="173"/>
        <v/>
      </c>
      <c r="R1569" s="39" t="str">
        <f t="shared" si="174"/>
        <v/>
      </c>
      <c r="S1569" s="28"/>
      <c r="T1569" s="28"/>
      <c r="U1569" s="28"/>
    </row>
    <row r="1570" spans="1:21" s="5" customFormat="1">
      <c r="A1570" s="181" t="s">
        <v>9047</v>
      </c>
      <c r="B1570" s="185" t="s">
        <v>8683</v>
      </c>
      <c r="C1570" s="35" t="str">
        <f t="shared" si="168"/>
        <v>IbrahimKhaniQajariKirmani</v>
      </c>
      <c r="D1570" s="1"/>
      <c r="E1570" s="40"/>
      <c r="F1570" s="12"/>
      <c r="G1570" s="9"/>
      <c r="H1570" s="12" t="s">
        <v>8622</v>
      </c>
      <c r="I1570" s="4" t="str">
        <f t="shared" si="169"/>
        <v>|Ibráhím án-i-Qájár-i-Kirmání|</v>
      </c>
      <c r="J1570" s="3" t="str">
        <f t="shared" si="170"/>
        <v>|Ibrahim Khan-i-Qajar-i-Kirmani|</v>
      </c>
      <c r="K1570" s="3" t="str">
        <f t="shared" si="171"/>
        <v>Ibrahim Khan-i-Qajar-i-Kirmani</v>
      </c>
      <c r="N1570" s="39" t="str">
        <f t="shared" si="172"/>
        <v/>
      </c>
      <c r="P1570" s="39" t="str">
        <f t="shared" si="173"/>
        <v/>
      </c>
      <c r="R1570" s="39" t="str">
        <f t="shared" si="174"/>
        <v/>
      </c>
      <c r="S1570" s="29">
        <v>41760</v>
      </c>
      <c r="T1570" s="28"/>
      <c r="U1570" s="28"/>
    </row>
    <row r="1571" spans="1:21" s="5" customFormat="1">
      <c r="A1571" s="181" t="s">
        <v>9048</v>
      </c>
      <c r="B1571" s="185" t="s">
        <v>8808</v>
      </c>
      <c r="C1571" s="35" t="str">
        <f t="shared" si="168"/>
        <v>IbrahimibniValid</v>
      </c>
      <c r="D1571" s="1"/>
      <c r="E1571" s="40"/>
      <c r="F1571" s="12"/>
      <c r="G1571" s="9"/>
      <c r="H1571" s="12" t="s">
        <v>8622</v>
      </c>
      <c r="I1571" s="4" t="str">
        <f t="shared" si="169"/>
        <v>|Ibráhím-ibn-i-Valíd|</v>
      </c>
      <c r="J1571" s="3" t="str">
        <f t="shared" si="170"/>
        <v>|Ibrahim-ibn-i-Valid|</v>
      </c>
      <c r="K1571" s="3" t="str">
        <f t="shared" si="171"/>
        <v>Ibrahim-ibn-i-Valid</v>
      </c>
      <c r="N1571" s="39" t="str">
        <f t="shared" si="172"/>
        <v/>
      </c>
      <c r="P1571" s="39" t="str">
        <f t="shared" si="173"/>
        <v/>
      </c>
      <c r="R1571" s="39" t="str">
        <f t="shared" si="174"/>
        <v/>
      </c>
      <c r="S1571" s="29">
        <v>41760</v>
      </c>
      <c r="T1571" s="28"/>
      <c r="U1571" s="28"/>
    </row>
    <row r="1572" spans="1:21" s="5" customFormat="1">
      <c r="A1572" s="179" t="s">
        <v>1954</v>
      </c>
      <c r="B1572" s="185" t="s">
        <v>6216</v>
      </c>
      <c r="C1572" s="35" t="str">
        <f t="shared" si="168"/>
        <v>IbrahimiGulpaygani</v>
      </c>
      <c r="E1572" s="40"/>
      <c r="F1572" s="14"/>
      <c r="G1572" s="17"/>
      <c r="H1572" s="10" t="s">
        <v>8563</v>
      </c>
      <c r="I1572" s="4" t="str">
        <f t="shared" si="169"/>
        <v>|Ibráhím-i-Gulpáygání|</v>
      </c>
      <c r="J1572" s="3" t="str">
        <f t="shared" si="170"/>
        <v>|Ibrahim-i-Gulpaygani|</v>
      </c>
      <c r="K1572" s="3" t="str">
        <f t="shared" si="171"/>
        <v>Ibrahim-i-Gulpaygani</v>
      </c>
      <c r="N1572" s="39" t="str">
        <f t="shared" si="172"/>
        <v/>
      </c>
      <c r="P1572" s="39" t="str">
        <f t="shared" si="173"/>
        <v/>
      </c>
      <c r="R1572" s="39" t="str">
        <f t="shared" si="174"/>
        <v/>
      </c>
      <c r="S1572" s="28"/>
      <c r="T1572" s="28"/>
      <c r="U1572" s="28"/>
    </row>
    <row r="1573" spans="1:21" s="5" customFormat="1">
      <c r="A1573" s="179" t="s">
        <v>1955</v>
      </c>
      <c r="B1573" s="185" t="s">
        <v>6217</v>
      </c>
      <c r="C1573" s="35" t="str">
        <f t="shared" si="168"/>
        <v>IbrahimiIsfahani</v>
      </c>
      <c r="E1573" s="40"/>
      <c r="F1573" s="15"/>
      <c r="G1573" s="17"/>
      <c r="H1573" s="10" t="s">
        <v>8563</v>
      </c>
      <c r="I1573" s="4" t="str">
        <f t="shared" si="169"/>
        <v>|Ibráhím-i-Iṣfahání|</v>
      </c>
      <c r="J1573" s="3" t="str">
        <f t="shared" si="170"/>
        <v>|Ibrahim-i-Isfahani|</v>
      </c>
      <c r="K1573" s="3" t="str">
        <f t="shared" si="171"/>
        <v>Ibrahim-i-Isfahani</v>
      </c>
      <c r="N1573" s="39" t="str">
        <f t="shared" si="172"/>
        <v/>
      </c>
      <c r="P1573" s="39" t="str">
        <f t="shared" si="173"/>
        <v/>
      </c>
      <c r="R1573" s="39" t="str">
        <f t="shared" si="174"/>
        <v/>
      </c>
      <c r="S1573" s="28"/>
      <c r="T1573" s="28"/>
      <c r="U1573" s="28"/>
    </row>
    <row r="1574" spans="1:21" s="5" customFormat="1">
      <c r="A1574" s="179" t="s">
        <v>1956</v>
      </c>
      <c r="B1574" s="185" t="s">
        <v>6218</v>
      </c>
      <c r="C1574" s="35" t="str">
        <f t="shared" si="168"/>
        <v>IbrahimiKhalil</v>
      </c>
      <c r="E1574" s="40"/>
      <c r="F1574" s="14"/>
      <c r="G1574" s="17"/>
      <c r="H1574" s="10" t="s">
        <v>8563</v>
      </c>
      <c r="I1574" s="4" t="str">
        <f t="shared" si="169"/>
        <v>|Ibráhím-i-alíl|</v>
      </c>
      <c r="J1574" s="3" t="str">
        <f t="shared" si="170"/>
        <v>|Ibrahim-i-Khalil|</v>
      </c>
      <c r="K1574" s="3" t="str">
        <f t="shared" si="171"/>
        <v>Ibrahim-i-Khalil</v>
      </c>
      <c r="N1574" s="39" t="str">
        <f t="shared" si="172"/>
        <v/>
      </c>
      <c r="P1574" s="39" t="str">
        <f t="shared" si="173"/>
        <v/>
      </c>
      <c r="R1574" s="39" t="str">
        <f t="shared" si="174"/>
        <v/>
      </c>
      <c r="S1574" s="28"/>
      <c r="T1574" s="28"/>
      <c r="U1574" s="28"/>
    </row>
    <row r="1575" spans="1:21" s="5" customFormat="1">
      <c r="A1575" s="179" t="s">
        <v>1957</v>
      </c>
      <c r="B1575" s="185" t="s">
        <v>6219</v>
      </c>
      <c r="C1575" s="35" t="str">
        <f t="shared" si="168"/>
        <v>IbrahimiKhayrullah</v>
      </c>
      <c r="E1575" s="40"/>
      <c r="F1575" s="14"/>
      <c r="G1575" s="17"/>
      <c r="H1575" s="10" t="s">
        <v>8563</v>
      </c>
      <c r="I1575" s="4" t="str">
        <f t="shared" si="169"/>
        <v>|Ibráhím-i-ayru’lláh|</v>
      </c>
      <c r="J1575" s="3" t="str">
        <f t="shared" si="170"/>
        <v>|Ibrahim-i-Khayru'llah|</v>
      </c>
      <c r="K1575" s="3" t="str">
        <f t="shared" si="171"/>
        <v>Ibrahim-i-Khayrullah</v>
      </c>
      <c r="N1575" s="39" t="str">
        <f t="shared" si="172"/>
        <v/>
      </c>
      <c r="P1575" s="39" t="str">
        <f t="shared" si="173"/>
        <v/>
      </c>
      <c r="R1575" s="39" t="str">
        <f t="shared" si="174"/>
        <v/>
      </c>
      <c r="S1575" s="28"/>
      <c r="T1575" s="28"/>
      <c r="U1575" s="28"/>
    </row>
    <row r="1576" spans="1:21" s="5" customFormat="1">
      <c r="A1576" s="179" t="s">
        <v>1958</v>
      </c>
      <c r="B1576" s="185" t="s">
        <v>6220</v>
      </c>
      <c r="C1576" s="35" t="str">
        <f t="shared" si="168"/>
        <v>IbrahimiMahallati</v>
      </c>
      <c r="E1576" s="40"/>
      <c r="F1576" s="14"/>
      <c r="G1576" s="17"/>
      <c r="H1576" s="10" t="s">
        <v>8563</v>
      </c>
      <c r="I1576" s="4" t="str">
        <f t="shared" si="169"/>
        <v>|Ibráhím-i-Maḥallátí|</v>
      </c>
      <c r="J1576" s="3" t="str">
        <f t="shared" si="170"/>
        <v>|Ibrahim-i-Mahallati|</v>
      </c>
      <c r="K1576" s="3" t="str">
        <f t="shared" si="171"/>
        <v>Ibrahim-i-Mahallati</v>
      </c>
      <c r="N1576" s="39" t="str">
        <f t="shared" si="172"/>
        <v/>
      </c>
      <c r="P1576" s="39" t="str">
        <f t="shared" si="173"/>
        <v/>
      </c>
      <c r="R1576" s="39" t="str">
        <f t="shared" si="174"/>
        <v/>
      </c>
      <c r="S1576" s="28"/>
      <c r="T1576" s="28"/>
      <c r="U1576" s="28"/>
    </row>
    <row r="1577" spans="1:21" s="5" customFormat="1">
      <c r="A1577" s="179" t="s">
        <v>1959</v>
      </c>
      <c r="B1577" s="185" t="s">
        <v>6221</v>
      </c>
      <c r="C1577" s="35" t="str">
        <f t="shared" si="168"/>
        <v>IbrahimiQazvini</v>
      </c>
      <c r="E1577" s="40"/>
      <c r="F1577" s="14"/>
      <c r="G1577" s="17"/>
      <c r="H1577" s="10" t="s">
        <v>8563</v>
      </c>
      <c r="I1577" s="4" t="str">
        <f t="shared" si="169"/>
        <v>|Ibráhím-i-Qazvíní|</v>
      </c>
      <c r="J1577" s="3" t="str">
        <f t="shared" si="170"/>
        <v>|Ibrahim-i-Qazvini|</v>
      </c>
      <c r="K1577" s="3" t="str">
        <f t="shared" si="171"/>
        <v>Ibrahim-i-Qazvini</v>
      </c>
      <c r="N1577" s="39" t="str">
        <f t="shared" si="172"/>
        <v/>
      </c>
      <c r="P1577" s="39" t="str">
        <f t="shared" si="173"/>
        <v/>
      </c>
      <c r="R1577" s="39" t="str">
        <f t="shared" si="174"/>
        <v/>
      </c>
      <c r="S1577" s="28"/>
      <c r="T1577" s="28"/>
      <c r="U1577" s="28"/>
    </row>
    <row r="1578" spans="1:21" s="5" customFormat="1">
      <c r="A1578" s="179" t="s">
        <v>1960</v>
      </c>
      <c r="B1578" s="185" t="s">
        <v>6222</v>
      </c>
      <c r="C1578" s="35" t="str">
        <f t="shared" si="168"/>
        <v>IbrahimiShirazi</v>
      </c>
      <c r="E1578" s="40"/>
      <c r="F1578" s="14"/>
      <c r="G1578" s="17"/>
      <c r="H1578" s="10" t="s">
        <v>8563</v>
      </c>
      <c r="I1578" s="4" t="str">
        <f t="shared" si="169"/>
        <v>|Ibráhím-i-írází|</v>
      </c>
      <c r="J1578" s="3" t="str">
        <f t="shared" si="170"/>
        <v>|Ibrahim-i-Shirazi|</v>
      </c>
      <c r="K1578" s="3" t="str">
        <f t="shared" si="171"/>
        <v>Ibrahim-i-Shirazi</v>
      </c>
      <c r="N1578" s="39" t="str">
        <f t="shared" si="172"/>
        <v/>
      </c>
      <c r="P1578" s="39" t="str">
        <f t="shared" si="173"/>
        <v/>
      </c>
      <c r="R1578" s="39" t="str">
        <f t="shared" si="174"/>
        <v/>
      </c>
      <c r="S1578" s="28"/>
      <c r="T1578" s="28"/>
      <c r="U1578" s="28"/>
    </row>
    <row r="1579" spans="1:21" s="5" customFormat="1">
      <c r="A1579" s="179" t="s">
        <v>1961</v>
      </c>
      <c r="B1579" s="185" t="s">
        <v>6223</v>
      </c>
      <c r="C1579" s="35" t="str">
        <f t="shared" si="168"/>
        <v>Ibrani</v>
      </c>
      <c r="E1579" s="40"/>
      <c r="F1579" s="14"/>
      <c r="G1579" s="17"/>
      <c r="H1579" s="10" t="s">
        <v>8563</v>
      </c>
      <c r="I1579" s="4" t="str">
        <f t="shared" si="169"/>
        <v>|Ibrání|</v>
      </c>
      <c r="J1579" s="3" t="str">
        <f t="shared" si="170"/>
        <v>|Ibrani|</v>
      </c>
      <c r="K1579" s="3" t="str">
        <f t="shared" si="171"/>
        <v>Ibrani</v>
      </c>
      <c r="N1579" s="39" t="str">
        <f t="shared" si="172"/>
        <v/>
      </c>
      <c r="P1579" s="39" t="str">
        <f t="shared" si="173"/>
        <v/>
      </c>
      <c r="R1579" s="39" t="str">
        <f t="shared" si="174"/>
        <v/>
      </c>
      <c r="S1579" s="28"/>
      <c r="T1579" s="28"/>
      <c r="U1579" s="28"/>
    </row>
    <row r="1580" spans="1:21" s="5" customFormat="1">
      <c r="A1580" s="179" t="s">
        <v>1962</v>
      </c>
      <c r="B1580" s="185" t="s">
        <v>6224</v>
      </c>
      <c r="C1580" s="35" t="str">
        <f t="shared" si="168"/>
        <v>Ibtihaj</v>
      </c>
      <c r="E1580" s="40"/>
      <c r="F1580" s="15"/>
      <c r="G1580" s="17"/>
      <c r="H1580" s="10" t="s">
        <v>8563</v>
      </c>
      <c r="I1580" s="4" t="str">
        <f t="shared" si="169"/>
        <v>|Ibtiháj|</v>
      </c>
      <c r="J1580" s="3" t="str">
        <f t="shared" si="170"/>
        <v>|Ibtihaj|</v>
      </c>
      <c r="K1580" s="3" t="str">
        <f t="shared" si="171"/>
        <v>Ibtihaj</v>
      </c>
      <c r="N1580" s="39" t="str">
        <f t="shared" si="172"/>
        <v/>
      </c>
      <c r="P1580" s="39" t="str">
        <f t="shared" si="173"/>
        <v/>
      </c>
      <c r="R1580" s="39" t="str">
        <f t="shared" si="174"/>
        <v/>
      </c>
      <c r="S1580" s="28"/>
      <c r="T1580" s="28"/>
      <c r="U1580" s="28"/>
    </row>
    <row r="1581" spans="1:21" s="5" customFormat="1">
      <c r="A1581" s="179" t="s">
        <v>1963</v>
      </c>
      <c r="B1581" s="185" t="s">
        <v>6225</v>
      </c>
      <c r="C1581" s="35" t="str">
        <f t="shared" si="168"/>
        <v>IbtihajulMulk</v>
      </c>
      <c r="E1581" s="40"/>
      <c r="F1581" s="15"/>
      <c r="G1581" s="17"/>
      <c r="H1581" s="10" t="s">
        <v>8563</v>
      </c>
      <c r="I1581" s="4" t="str">
        <f t="shared" si="169"/>
        <v>|Ibtiháju’l-Mulk|</v>
      </c>
      <c r="J1581" s="3" t="str">
        <f t="shared" si="170"/>
        <v>|Ibtihaju'l-Mulk|</v>
      </c>
      <c r="K1581" s="3" t="str">
        <f t="shared" si="171"/>
        <v>Ibtihajul-Mulk</v>
      </c>
      <c r="N1581" s="39" t="str">
        <f t="shared" si="172"/>
        <v/>
      </c>
      <c r="P1581" s="39" t="str">
        <f t="shared" si="173"/>
        <v/>
      </c>
      <c r="R1581" s="39" t="str">
        <f t="shared" si="174"/>
        <v/>
      </c>
      <c r="S1581" s="28"/>
      <c r="T1581" s="28"/>
      <c r="U1581" s="28"/>
    </row>
    <row r="1582" spans="1:21" s="5" customFormat="1">
      <c r="A1582" s="179" t="s">
        <v>1965</v>
      </c>
      <c r="B1582" s="185" t="s">
        <v>6226</v>
      </c>
      <c r="C1582" s="35" t="str">
        <f t="shared" si="168"/>
        <v>Idad</v>
      </c>
      <c r="E1582" s="40"/>
      <c r="F1582" s="15"/>
      <c r="G1582" s="17"/>
      <c r="H1582" s="10" t="s">
        <v>8563</v>
      </c>
      <c r="I1582" s="4" t="str">
        <f t="shared" si="169"/>
        <v>|ʿIḍad|</v>
      </c>
      <c r="J1582" s="3" t="str">
        <f t="shared" si="170"/>
        <v>|'Idad|</v>
      </c>
      <c r="K1582" s="3" t="str">
        <f t="shared" si="171"/>
        <v>Idad</v>
      </c>
      <c r="N1582" s="39" t="str">
        <f t="shared" si="172"/>
        <v/>
      </c>
      <c r="P1582" s="39" t="str">
        <f t="shared" si="173"/>
        <v/>
      </c>
      <c r="R1582" s="39" t="str">
        <f t="shared" si="174"/>
        <v/>
      </c>
      <c r="S1582" s="28"/>
      <c r="T1582" s="28"/>
      <c r="U1582" s="28"/>
    </row>
    <row r="1583" spans="1:21" s="5" customFormat="1">
      <c r="A1583" s="179" t="s">
        <v>1966</v>
      </c>
      <c r="B1583" s="185" t="s">
        <v>6227</v>
      </c>
      <c r="C1583" s="35" t="str">
        <f t="shared" si="168"/>
        <v>Idadi</v>
      </c>
      <c r="E1583" s="40"/>
      <c r="F1583" s="15"/>
      <c r="G1583" s="17"/>
      <c r="H1583" s="10" t="s">
        <v>8563</v>
      </c>
      <c r="I1583" s="4" t="str">
        <f t="shared" si="169"/>
        <v>|ʿIḍadí|</v>
      </c>
      <c r="J1583" s="3" t="str">
        <f t="shared" si="170"/>
        <v>|'Idadi|</v>
      </c>
      <c r="K1583" s="3" t="str">
        <f t="shared" si="171"/>
        <v>Idadi</v>
      </c>
      <c r="N1583" s="39" t="str">
        <f t="shared" si="172"/>
        <v/>
      </c>
      <c r="P1583" s="39" t="str">
        <f t="shared" si="173"/>
        <v/>
      </c>
      <c r="R1583" s="39" t="str">
        <f t="shared" si="174"/>
        <v/>
      </c>
      <c r="S1583" s="28"/>
      <c r="T1583" s="28"/>
      <c r="U1583" s="28"/>
    </row>
    <row r="1584" spans="1:21" s="5" customFormat="1">
      <c r="A1584" s="179" t="s">
        <v>1969</v>
      </c>
      <c r="B1584" s="185" t="s">
        <v>6228</v>
      </c>
      <c r="C1584" s="35" t="str">
        <f t="shared" si="168"/>
        <v>idha</v>
      </c>
      <c r="E1584" s="40"/>
      <c r="F1584" s="14"/>
      <c r="G1584" s="17"/>
      <c r="H1584" s="10" t="s">
        <v>8563</v>
      </c>
      <c r="I1584" s="4" t="str">
        <f t="shared" si="169"/>
        <v>|iá|</v>
      </c>
      <c r="J1584" s="3" t="str">
        <f t="shared" si="170"/>
        <v>|idha|</v>
      </c>
      <c r="K1584" s="3" t="str">
        <f t="shared" si="171"/>
        <v>idha</v>
      </c>
      <c r="N1584" s="39" t="str">
        <f t="shared" si="172"/>
        <v/>
      </c>
      <c r="P1584" s="39" t="str">
        <f t="shared" si="173"/>
        <v/>
      </c>
      <c r="R1584" s="39" t="str">
        <f t="shared" si="174"/>
        <v/>
      </c>
      <c r="S1584" s="28"/>
      <c r="T1584" s="28"/>
      <c r="U1584" s="28"/>
    </row>
    <row r="1585" spans="1:21" s="5" customFormat="1">
      <c r="A1585" s="179" t="s">
        <v>1970</v>
      </c>
      <c r="B1585" s="185" t="s">
        <v>6229</v>
      </c>
      <c r="C1585" s="35" t="str">
        <f t="shared" si="168"/>
        <v>idhn</v>
      </c>
      <c r="E1585" s="40"/>
      <c r="F1585" s="15" t="s">
        <v>1971</v>
      </c>
      <c r="G1585" s="17"/>
      <c r="H1585" s="10" t="s">
        <v>8563</v>
      </c>
      <c r="I1585" s="4" t="str">
        <f t="shared" si="169"/>
        <v>|in|</v>
      </c>
      <c r="J1585" s="3" t="str">
        <f t="shared" si="170"/>
        <v>|idhn|</v>
      </c>
      <c r="K1585" s="3" t="str">
        <f t="shared" si="171"/>
        <v>idhn</v>
      </c>
      <c r="N1585" s="39" t="str">
        <f t="shared" si="172"/>
        <v/>
      </c>
      <c r="P1585" s="39" t="str">
        <f t="shared" si="173"/>
        <v/>
      </c>
      <c r="R1585" s="39" t="str">
        <f t="shared" si="174"/>
        <v/>
      </c>
      <c r="S1585" s="28"/>
      <c r="T1585" s="28"/>
      <c r="U1585" s="28"/>
    </row>
    <row r="1586" spans="1:21" s="5" customFormat="1">
      <c r="A1586" s="179" t="s">
        <v>1972</v>
      </c>
      <c r="B1586" s="185" t="s">
        <v>6230</v>
      </c>
      <c r="C1586" s="35" t="str">
        <f t="shared" si="168"/>
        <v>Idris</v>
      </c>
      <c r="E1586" s="40"/>
      <c r="F1586" s="15"/>
      <c r="G1586" s="17"/>
      <c r="H1586" s="10" t="s">
        <v>8563</v>
      </c>
      <c r="I1586" s="4" t="str">
        <f t="shared" si="169"/>
        <v>|Idrís|</v>
      </c>
      <c r="J1586" s="3" t="str">
        <f t="shared" si="170"/>
        <v>|Idris|</v>
      </c>
      <c r="K1586" s="3" t="str">
        <f t="shared" si="171"/>
        <v>Idris</v>
      </c>
      <c r="N1586" s="39" t="str">
        <f t="shared" si="172"/>
        <v/>
      </c>
      <c r="P1586" s="39" t="str">
        <f t="shared" si="173"/>
        <v/>
      </c>
      <c r="R1586" s="39" t="str">
        <f t="shared" si="174"/>
        <v/>
      </c>
      <c r="S1586" s="28"/>
      <c r="T1586" s="28"/>
      <c r="U1586" s="28"/>
    </row>
    <row r="1587" spans="1:21" s="5" customFormat="1">
      <c r="A1587" s="179" t="s">
        <v>1973</v>
      </c>
      <c r="B1587" s="185" t="s">
        <v>6231</v>
      </c>
      <c r="C1587" s="35" t="str">
        <f t="shared" si="168"/>
        <v>Ihsan</v>
      </c>
      <c r="E1587" s="40"/>
      <c r="F1587" s="15"/>
      <c r="G1587" s="17"/>
      <c r="H1587" s="10" t="s">
        <v>8563</v>
      </c>
      <c r="I1587" s="4" t="str">
        <f t="shared" si="169"/>
        <v>|Iḥsán|</v>
      </c>
      <c r="J1587" s="3" t="str">
        <f t="shared" si="170"/>
        <v>|Ihsan|</v>
      </c>
      <c r="K1587" s="3" t="str">
        <f t="shared" si="171"/>
        <v>Ihsan</v>
      </c>
      <c r="N1587" s="39" t="str">
        <f t="shared" si="172"/>
        <v/>
      </c>
      <c r="P1587" s="39" t="str">
        <f t="shared" si="173"/>
        <v/>
      </c>
      <c r="R1587" s="39" t="str">
        <f t="shared" si="174"/>
        <v/>
      </c>
      <c r="S1587" s="28"/>
      <c r="T1587" s="28"/>
      <c r="U1587" s="28"/>
    </row>
    <row r="1588" spans="1:21" s="5" customFormat="1">
      <c r="A1588" s="179" t="s">
        <v>1974</v>
      </c>
      <c r="B1588" s="185" t="s">
        <v>6232</v>
      </c>
      <c r="C1588" s="35" t="str">
        <f t="shared" si="168"/>
        <v>Ihsanullah</v>
      </c>
      <c r="E1588" s="40"/>
      <c r="F1588" s="15"/>
      <c r="G1588" s="17"/>
      <c r="H1588" s="10" t="s">
        <v>8563</v>
      </c>
      <c r="I1588" s="4" t="str">
        <f t="shared" si="169"/>
        <v>|Iḥsánu’lláh|</v>
      </c>
      <c r="J1588" s="3" t="str">
        <f t="shared" si="170"/>
        <v>|Ihsanu'llah|</v>
      </c>
      <c r="K1588" s="3" t="str">
        <f t="shared" si="171"/>
        <v>Ihsanullah</v>
      </c>
      <c r="N1588" s="39" t="str">
        <f t="shared" si="172"/>
        <v/>
      </c>
      <c r="P1588" s="39" t="str">
        <f t="shared" si="173"/>
        <v/>
      </c>
      <c r="R1588" s="39" t="str">
        <f t="shared" si="174"/>
        <v/>
      </c>
      <c r="S1588" s="28"/>
      <c r="T1588" s="28"/>
      <c r="U1588" s="28"/>
    </row>
    <row r="1589" spans="1:21" s="5" customFormat="1">
      <c r="A1589" s="179" t="s">
        <v>1975</v>
      </c>
      <c r="B1589" s="185" t="s">
        <v>6233</v>
      </c>
      <c r="C1589" s="35" t="str">
        <f t="shared" si="168"/>
        <v>IhtaraqalMukhlisun</v>
      </c>
      <c r="E1589" s="40"/>
      <c r="F1589" s="15" t="s">
        <v>1976</v>
      </c>
      <c r="G1589" s="17"/>
      <c r="H1589" s="10" t="s">
        <v>8563</v>
      </c>
      <c r="I1589" s="4" t="str">
        <f t="shared" si="169"/>
        <v>|Iḥtaraqa’l-Muliṣún|</v>
      </c>
      <c r="J1589" s="3" t="str">
        <f t="shared" si="170"/>
        <v>|Ihtaraqa'l-Mukhlisun|</v>
      </c>
      <c r="K1589" s="3" t="str">
        <f t="shared" si="171"/>
        <v>Ihtaraqal-Mukhlisun</v>
      </c>
      <c r="N1589" s="39" t="str">
        <f t="shared" si="172"/>
        <v/>
      </c>
      <c r="P1589" s="39" t="str">
        <f t="shared" si="173"/>
        <v/>
      </c>
      <c r="R1589" s="39" t="str">
        <f t="shared" si="174"/>
        <v/>
      </c>
      <c r="S1589" s="28"/>
      <c r="T1589" s="28"/>
      <c r="U1589" s="28"/>
    </row>
    <row r="1590" spans="1:21" s="5" customFormat="1">
      <c r="A1590" s="179" t="s">
        <v>1977</v>
      </c>
      <c r="B1590" s="185" t="s">
        <v>6234</v>
      </c>
      <c r="C1590" s="35" t="str">
        <f t="shared" si="168"/>
        <v>Ihtisham</v>
      </c>
      <c r="E1590" s="40"/>
      <c r="F1590" s="15"/>
      <c r="G1590" s="17"/>
      <c r="H1590" s="10" t="s">
        <v>8563</v>
      </c>
      <c r="I1590" s="4" t="str">
        <f t="shared" si="169"/>
        <v>|Iḥtiám|</v>
      </c>
      <c r="J1590" s="3" t="str">
        <f t="shared" si="170"/>
        <v>|Ihtisham|</v>
      </c>
      <c r="K1590" s="3" t="str">
        <f t="shared" si="171"/>
        <v>Ihtisham</v>
      </c>
      <c r="N1590" s="39" t="str">
        <f t="shared" si="172"/>
        <v/>
      </c>
      <c r="P1590" s="39" t="str">
        <f t="shared" si="173"/>
        <v/>
      </c>
      <c r="R1590" s="39" t="str">
        <f t="shared" si="174"/>
        <v/>
      </c>
      <c r="S1590" s="28"/>
      <c r="T1590" s="28"/>
      <c r="U1590" s="28"/>
    </row>
    <row r="1591" spans="1:21" s="5" customFormat="1">
      <c r="A1591" s="179" t="s">
        <v>1978</v>
      </c>
      <c r="B1591" s="185" t="s">
        <v>6235</v>
      </c>
      <c r="C1591" s="35" t="str">
        <f t="shared" si="168"/>
        <v>IhtishamiDawlih</v>
      </c>
      <c r="E1591" s="40"/>
      <c r="F1591" s="15"/>
      <c r="G1591" s="17"/>
      <c r="H1591" s="10" t="s">
        <v>8563</v>
      </c>
      <c r="I1591" s="4" t="str">
        <f t="shared" si="169"/>
        <v>|Iḥtiám-i-Dawlih|</v>
      </c>
      <c r="J1591" s="3" t="str">
        <f t="shared" si="170"/>
        <v>|Ihtisham-i-Dawlih|</v>
      </c>
      <c r="K1591" s="3" t="str">
        <f t="shared" si="171"/>
        <v>Ihtisham-i-Dawlih</v>
      </c>
      <c r="N1591" s="39" t="str">
        <f t="shared" si="172"/>
        <v/>
      </c>
      <c r="P1591" s="39" t="str">
        <f t="shared" si="173"/>
        <v/>
      </c>
      <c r="R1591" s="39" t="str">
        <f t="shared" si="174"/>
        <v/>
      </c>
      <c r="S1591" s="28"/>
      <c r="T1591" s="28"/>
      <c r="U1591" s="28"/>
    </row>
    <row r="1592" spans="1:21" s="5" customFormat="1">
      <c r="A1592" s="179" t="s">
        <v>1979</v>
      </c>
      <c r="B1592" s="185" t="s">
        <v>6236</v>
      </c>
      <c r="C1592" s="35" t="str">
        <f t="shared" si="168"/>
        <v>Ihtiyaj</v>
      </c>
      <c r="E1592" s="40"/>
      <c r="F1592" s="15"/>
      <c r="G1592" s="17"/>
      <c r="H1592" s="10" t="s">
        <v>8563</v>
      </c>
      <c r="I1592" s="4" t="str">
        <f t="shared" si="169"/>
        <v>|Iḥtíyáj|</v>
      </c>
      <c r="J1592" s="3" t="str">
        <f t="shared" si="170"/>
        <v>|Ihtiyaj|</v>
      </c>
      <c r="K1592" s="3" t="str">
        <f t="shared" si="171"/>
        <v>Ihtiyaj</v>
      </c>
      <c r="N1592" s="39" t="str">
        <f t="shared" si="172"/>
        <v/>
      </c>
      <c r="P1592" s="39" t="str">
        <f t="shared" si="173"/>
        <v/>
      </c>
      <c r="R1592" s="39" t="str">
        <f t="shared" si="174"/>
        <v/>
      </c>
      <c r="S1592" s="28"/>
      <c r="T1592" s="28"/>
      <c r="U1592" s="28"/>
    </row>
    <row r="1593" spans="1:21" s="5" customFormat="1">
      <c r="A1593" s="179" t="s">
        <v>1980</v>
      </c>
      <c r="B1593" s="185" t="s">
        <v>6237</v>
      </c>
      <c r="C1593" s="35" t="str">
        <f t="shared" si="168"/>
        <v>Ihtiyajast</v>
      </c>
      <c r="E1593" s="40"/>
      <c r="F1593" s="15"/>
      <c r="G1593" s="17"/>
      <c r="H1593" s="10" t="s">
        <v>8563</v>
      </c>
      <c r="I1593" s="4" t="str">
        <f t="shared" si="169"/>
        <v>|Iḥtíyáj ast|</v>
      </c>
      <c r="J1593" s="3" t="str">
        <f t="shared" si="170"/>
        <v>|Ihtiyaj ast|</v>
      </c>
      <c r="K1593" s="3" t="str">
        <f t="shared" si="171"/>
        <v>Ihtiyaj ast</v>
      </c>
      <c r="N1593" s="39" t="str">
        <f t="shared" si="172"/>
        <v/>
      </c>
      <c r="P1593" s="39" t="str">
        <f t="shared" si="173"/>
        <v/>
      </c>
      <c r="R1593" s="39" t="str">
        <f t="shared" si="174"/>
        <v/>
      </c>
      <c r="S1593" s="28"/>
      <c r="T1593" s="28"/>
      <c r="U1593" s="28"/>
    </row>
    <row r="1594" spans="1:21" s="5" customFormat="1">
      <c r="A1594" s="179" t="s">
        <v>1981</v>
      </c>
      <c r="B1594" s="185" t="s">
        <v>6238</v>
      </c>
      <c r="C1594" s="35" t="str">
        <f t="shared" si="168"/>
        <v>Ijaz</v>
      </c>
      <c r="E1594" s="40"/>
      <c r="F1594" s="15"/>
      <c r="G1594" s="17"/>
      <c r="H1594" s="10" t="s">
        <v>8563</v>
      </c>
      <c r="I1594" s="4" t="str">
        <f t="shared" si="169"/>
        <v>|Iʿjáz|</v>
      </c>
      <c r="J1594" s="3" t="str">
        <f t="shared" si="170"/>
        <v>|I'jaz|</v>
      </c>
      <c r="K1594" s="3" t="str">
        <f t="shared" si="171"/>
        <v>Ijaz</v>
      </c>
      <c r="N1594" s="39" t="str">
        <f t="shared" si="172"/>
        <v/>
      </c>
      <c r="P1594" s="39" t="str">
        <f t="shared" si="173"/>
        <v/>
      </c>
      <c r="R1594" s="39" t="str">
        <f t="shared" si="174"/>
        <v/>
      </c>
      <c r="S1594" s="28"/>
      <c r="T1594" s="28"/>
      <c r="U1594" s="28"/>
    </row>
    <row r="1595" spans="1:21" s="5" customFormat="1">
      <c r="A1595" s="179" t="s">
        <v>1982</v>
      </c>
      <c r="B1595" s="185" t="s">
        <v>6239</v>
      </c>
      <c r="C1595" s="35" t="str">
        <f t="shared" si="168"/>
        <v>Ijazih</v>
      </c>
      <c r="E1595" s="40"/>
      <c r="F1595" s="15"/>
      <c r="G1595" s="17"/>
      <c r="H1595" s="10" t="s">
        <v>8563</v>
      </c>
      <c r="I1595" s="4" t="str">
        <f t="shared" si="169"/>
        <v>|Ijázih|</v>
      </c>
      <c r="J1595" s="3" t="str">
        <f t="shared" si="170"/>
        <v>|Ijazih|</v>
      </c>
      <c r="K1595" s="3" t="str">
        <f t="shared" si="171"/>
        <v>Ijazih</v>
      </c>
      <c r="N1595" s="39" t="str">
        <f t="shared" si="172"/>
        <v/>
      </c>
      <c r="P1595" s="39" t="str">
        <f t="shared" si="173"/>
        <v/>
      </c>
      <c r="R1595" s="39" t="str">
        <f t="shared" si="174"/>
        <v/>
      </c>
      <c r="S1595" s="28"/>
      <c r="T1595" s="28"/>
      <c r="U1595" s="28"/>
    </row>
    <row r="1596" spans="1:21" s="5" customFormat="1">
      <c r="A1596" s="179" t="s">
        <v>1983</v>
      </c>
      <c r="B1596" s="185" t="s">
        <v>6240</v>
      </c>
      <c r="C1596" s="35" t="str">
        <f t="shared" si="168"/>
        <v>Ijma</v>
      </c>
      <c r="E1596" s="40"/>
      <c r="F1596" s="15"/>
      <c r="G1596" s="17"/>
      <c r="H1596" s="10" t="s">
        <v>8563</v>
      </c>
      <c r="I1596" s="4" t="str">
        <f t="shared" si="169"/>
        <v>|Ijmáʿ|</v>
      </c>
      <c r="J1596" s="3" t="str">
        <f t="shared" si="170"/>
        <v>|Ijma'|</v>
      </c>
      <c r="K1596" s="3" t="str">
        <f t="shared" si="171"/>
        <v>Ijma</v>
      </c>
      <c r="N1596" s="39" t="str">
        <f t="shared" si="172"/>
        <v/>
      </c>
      <c r="P1596" s="39" t="str">
        <f t="shared" si="173"/>
        <v/>
      </c>
      <c r="R1596" s="39" t="str">
        <f t="shared" si="174"/>
        <v/>
      </c>
      <c r="S1596" s="28"/>
      <c r="T1596" s="28"/>
      <c r="U1596" s="28"/>
    </row>
    <row r="1597" spans="1:21" s="5" customFormat="1">
      <c r="A1597" s="179" t="s">
        <v>1984</v>
      </c>
      <c r="B1597" s="185" t="s">
        <v>6241</v>
      </c>
      <c r="C1597" s="35" t="str">
        <f t="shared" si="168"/>
        <v>Ijtihad</v>
      </c>
      <c r="E1597" s="40"/>
      <c r="F1597" s="15" t="s">
        <v>8588</v>
      </c>
      <c r="G1597" s="17"/>
      <c r="H1597" s="10" t="s">
        <v>8563</v>
      </c>
      <c r="I1597" s="4" t="str">
        <f t="shared" si="169"/>
        <v>|Ijtihád|</v>
      </c>
      <c r="J1597" s="3" t="str">
        <f t="shared" si="170"/>
        <v>|Ijtihad|</v>
      </c>
      <c r="K1597" s="3" t="str">
        <f t="shared" si="171"/>
        <v>Ijtihad</v>
      </c>
      <c r="N1597" s="39" t="str">
        <f t="shared" si="172"/>
        <v/>
      </c>
      <c r="P1597" s="39" t="str">
        <f t="shared" si="173"/>
        <v/>
      </c>
      <c r="R1597" s="39" t="str">
        <f t="shared" si="174"/>
        <v/>
      </c>
      <c r="S1597" s="28"/>
      <c r="T1597" s="28"/>
      <c r="U1597" s="28"/>
    </row>
    <row r="1598" spans="1:21" s="5" customFormat="1">
      <c r="A1598" s="179" t="s">
        <v>1985</v>
      </c>
      <c r="B1598" s="185" t="s">
        <v>6242</v>
      </c>
      <c r="C1598" s="35" t="str">
        <f t="shared" si="168"/>
        <v>Ikhlas</v>
      </c>
      <c r="E1598" s="40"/>
      <c r="F1598" s="14"/>
      <c r="G1598" s="17"/>
      <c r="H1598" s="10" t="s">
        <v>8563</v>
      </c>
      <c r="I1598" s="4" t="str">
        <f t="shared" si="169"/>
        <v>|Iláṣ|</v>
      </c>
      <c r="J1598" s="3" t="str">
        <f t="shared" si="170"/>
        <v>|Ikhlas|</v>
      </c>
      <c r="K1598" s="3" t="str">
        <f t="shared" si="171"/>
        <v>Ikhlas</v>
      </c>
      <c r="N1598" s="39" t="str">
        <f t="shared" si="172"/>
        <v/>
      </c>
      <c r="P1598" s="39" t="str">
        <f t="shared" si="173"/>
        <v/>
      </c>
      <c r="R1598" s="39" t="str">
        <f t="shared" si="174"/>
        <v/>
      </c>
      <c r="S1598" s="28"/>
      <c r="T1598" s="28"/>
      <c r="U1598" s="28"/>
    </row>
    <row r="1599" spans="1:21" s="5" customFormat="1">
      <c r="A1599" s="179" t="s">
        <v>1986</v>
      </c>
      <c r="B1599" s="185" t="s">
        <v>6243</v>
      </c>
      <c r="C1599" s="35" t="str">
        <f t="shared" si="168"/>
        <v>Ikhtisas</v>
      </c>
      <c r="E1599" s="40"/>
      <c r="F1599" s="15"/>
      <c r="G1599" s="17"/>
      <c r="H1599" s="10" t="s">
        <v>8563</v>
      </c>
      <c r="I1599" s="4" t="str">
        <f t="shared" si="169"/>
        <v>|Itiṣáṣ|</v>
      </c>
      <c r="J1599" s="3" t="str">
        <f t="shared" si="170"/>
        <v>|Ikhtisas|</v>
      </c>
      <c r="K1599" s="3" t="str">
        <f t="shared" si="171"/>
        <v>Ikhtisas</v>
      </c>
      <c r="N1599" s="39" t="str">
        <f t="shared" si="172"/>
        <v/>
      </c>
      <c r="P1599" s="39" t="str">
        <f t="shared" si="173"/>
        <v/>
      </c>
      <c r="R1599" s="39" t="str">
        <f t="shared" si="174"/>
        <v/>
      </c>
      <c r="S1599" s="28"/>
      <c r="T1599" s="28"/>
      <c r="U1599" s="28"/>
    </row>
    <row r="1600" spans="1:21" s="5" customFormat="1">
      <c r="A1600" s="179" t="s">
        <v>1987</v>
      </c>
      <c r="B1600" s="185" t="s">
        <v>6244</v>
      </c>
      <c r="C1600" s="35" t="str">
        <f t="shared" si="168"/>
        <v>Iklil</v>
      </c>
      <c r="E1600" s="40"/>
      <c r="F1600" s="15"/>
      <c r="G1600" s="17"/>
      <c r="H1600" s="10" t="s">
        <v>8563</v>
      </c>
      <c r="I1600" s="4" t="str">
        <f t="shared" si="169"/>
        <v>|Iklíl|</v>
      </c>
      <c r="J1600" s="3" t="str">
        <f t="shared" si="170"/>
        <v>|Iklil|</v>
      </c>
      <c r="K1600" s="3" t="str">
        <f t="shared" si="171"/>
        <v>Iklil</v>
      </c>
      <c r="N1600" s="39" t="str">
        <f t="shared" si="172"/>
        <v/>
      </c>
      <c r="P1600" s="39" t="str">
        <f t="shared" si="173"/>
        <v/>
      </c>
      <c r="R1600" s="39" t="str">
        <f t="shared" si="174"/>
        <v/>
      </c>
      <c r="S1600" s="28"/>
      <c r="T1600" s="28"/>
      <c r="U1600" s="28"/>
    </row>
    <row r="1601" spans="1:21" s="5" customFormat="1">
      <c r="A1601" s="179" t="s">
        <v>1988</v>
      </c>
      <c r="B1601" s="185" t="s">
        <v>6245</v>
      </c>
      <c r="C1601" s="35" t="str">
        <f t="shared" si="168"/>
        <v>Il</v>
      </c>
      <c r="E1601" s="40"/>
      <c r="F1601" s="14" t="s">
        <v>1989</v>
      </c>
      <c r="G1601" s="17"/>
      <c r="H1601" s="10" t="s">
        <v>8563</v>
      </c>
      <c r="I1601" s="4" t="str">
        <f t="shared" si="169"/>
        <v>|Íl|</v>
      </c>
      <c r="J1601" s="3" t="str">
        <f t="shared" si="170"/>
        <v>|Il|</v>
      </c>
      <c r="K1601" s="3" t="str">
        <f t="shared" si="171"/>
        <v>Il</v>
      </c>
      <c r="N1601" s="39" t="str">
        <f t="shared" si="172"/>
        <v/>
      </c>
      <c r="P1601" s="39" t="str">
        <f t="shared" si="173"/>
        <v/>
      </c>
      <c r="R1601" s="39" t="str">
        <f t="shared" si="174"/>
        <v/>
      </c>
      <c r="S1601" s="28"/>
      <c r="T1601" s="28"/>
      <c r="U1601" s="28"/>
    </row>
    <row r="1602" spans="1:21" s="5" customFormat="1">
      <c r="A1602" s="179" t="s">
        <v>1990</v>
      </c>
      <c r="B1602" s="185" t="s">
        <v>6246</v>
      </c>
      <c r="C1602" s="35" t="str">
        <f t="shared" si="168"/>
        <v>Ilah</v>
      </c>
      <c r="E1602" s="40"/>
      <c r="F1602" s="15"/>
      <c r="G1602" s="17"/>
      <c r="H1602" s="10" t="s">
        <v>8563</v>
      </c>
      <c r="I1602" s="4" t="str">
        <f t="shared" si="169"/>
        <v>|Iláh|</v>
      </c>
      <c r="J1602" s="3" t="str">
        <f t="shared" si="170"/>
        <v>|Ilah|</v>
      </c>
      <c r="K1602" s="3" t="str">
        <f t="shared" si="171"/>
        <v>Ilah</v>
      </c>
      <c r="N1602" s="39" t="str">
        <f t="shared" si="172"/>
        <v/>
      </c>
      <c r="P1602" s="39" t="str">
        <f t="shared" si="173"/>
        <v/>
      </c>
      <c r="R1602" s="39" t="str">
        <f t="shared" si="174"/>
        <v/>
      </c>
      <c r="S1602" s="28"/>
      <c r="T1602" s="28"/>
      <c r="U1602" s="28"/>
    </row>
    <row r="1603" spans="1:21" s="5" customFormat="1">
      <c r="A1603" s="179" t="s">
        <v>1991</v>
      </c>
      <c r="B1603" s="185" t="s">
        <v>6247</v>
      </c>
      <c r="C1603" s="35" t="str">
        <f t="shared" ref="C1603:C1666" si="175">SUBSTITUTE(SUBSTITUTE(K1603,"-","")," ","")</f>
        <v>Ilaha</v>
      </c>
      <c r="E1603" s="40"/>
      <c r="F1603" s="15"/>
      <c r="G1603" s="17"/>
      <c r="H1603" s="10" t="s">
        <v>8563</v>
      </c>
      <c r="I1603" s="4" t="str">
        <f t="shared" ref="I1603:I1666" si="176">CONCATENATE("|",B1603,"|")</f>
        <v>|Iláhá|</v>
      </c>
      <c r="J1603" s="3" t="str">
        <f t="shared" ref="J1603:J1666" si="177">CONCATENATE("|",F_OutputASCII(B1603),"|")</f>
        <v>|Ilaha|</v>
      </c>
      <c r="K1603" s="3" t="str">
        <f t="shared" ref="K1603:K1666" si="178">IF(SUBSTITUTE(MID(J1603,2,LEN(J1603)-2),"'","")&lt;&gt;"",SUBSTITUTE(MID(J1603,2,LEN(J1603)-2),"'",""),"ZZZZZ")</f>
        <v>Ilaha</v>
      </c>
      <c r="N1603" s="39" t="str">
        <f t="shared" ref="N1603:N1666" si="179">SUBSTITUTE(SUBSTITUTE(SUBSTITUTE(F_OutputASCII(M1603),"-","")," ",""),"'","")</f>
        <v/>
      </c>
      <c r="P1603" s="39" t="str">
        <f t="shared" ref="P1603:P1666" si="180">SUBSTITUTE(SUBSTITUTE(SUBSTITUTE(F_OutputASCII(O1603),"-","")," ",""),"'","")</f>
        <v/>
      </c>
      <c r="R1603" s="39" t="str">
        <f t="shared" si="174"/>
        <v/>
      </c>
      <c r="S1603" s="28"/>
      <c r="T1603" s="28"/>
      <c r="U1603" s="28"/>
    </row>
    <row r="1604" spans="1:21" s="5" customFormat="1">
      <c r="A1604" s="179" t="s">
        <v>1992</v>
      </c>
      <c r="B1604" s="185" t="s">
        <v>6248</v>
      </c>
      <c r="C1604" s="35" t="str">
        <f t="shared" si="175"/>
        <v>IlahaIllallah</v>
      </c>
      <c r="E1604" s="40"/>
      <c r="F1604" s="14"/>
      <c r="G1604" s="17"/>
      <c r="H1604" s="10" t="s">
        <v>8563</v>
      </c>
      <c r="I1604" s="4" t="str">
        <f t="shared" si="176"/>
        <v>|Iláh-a-Illa’lláh|</v>
      </c>
      <c r="J1604" s="3" t="str">
        <f t="shared" si="177"/>
        <v>|Ilah-a-Illa'llah|</v>
      </c>
      <c r="K1604" s="3" t="str">
        <f t="shared" si="178"/>
        <v>Ilah-a-Illallah</v>
      </c>
      <c r="N1604" s="39" t="str">
        <f t="shared" si="179"/>
        <v/>
      </c>
      <c r="P1604" s="39" t="str">
        <f t="shared" si="180"/>
        <v/>
      </c>
      <c r="R1604" s="39" t="str">
        <f t="shared" ref="R1604:R1667" si="181">SUBSTITUTE(SUBSTITUTE(Q1604,"-","")," ","")</f>
        <v/>
      </c>
      <c r="S1604" s="28"/>
      <c r="T1604" s="28"/>
      <c r="U1604" s="28"/>
    </row>
    <row r="1605" spans="1:21" s="5" customFormat="1">
      <c r="A1605" s="179" t="s">
        <v>1993</v>
      </c>
      <c r="B1605" s="185" t="s">
        <v>6249</v>
      </c>
      <c r="C1605" s="35" t="str">
        <f t="shared" si="175"/>
        <v>IlAzar</v>
      </c>
      <c r="E1605" s="40"/>
      <c r="F1605" s="15"/>
      <c r="G1605" s="17"/>
      <c r="H1605" s="10" t="s">
        <v>8563</v>
      </c>
      <c r="I1605" s="4" t="str">
        <f t="shared" si="176"/>
        <v>|Il-Ázár|</v>
      </c>
      <c r="J1605" s="3" t="str">
        <f t="shared" si="177"/>
        <v>|Il-Azar|</v>
      </c>
      <c r="K1605" s="3" t="str">
        <f t="shared" si="178"/>
        <v>Il-Azar</v>
      </c>
      <c r="N1605" s="39" t="str">
        <f t="shared" si="179"/>
        <v/>
      </c>
      <c r="P1605" s="39" t="str">
        <f t="shared" si="180"/>
        <v/>
      </c>
      <c r="R1605" s="39" t="str">
        <f t="shared" si="181"/>
        <v/>
      </c>
      <c r="S1605" s="28"/>
      <c r="T1605" s="28"/>
      <c r="U1605" s="28"/>
    </row>
    <row r="1606" spans="1:21" s="5" customFormat="1">
      <c r="A1606" s="179" t="s">
        <v>1994</v>
      </c>
      <c r="B1606" s="185" t="s">
        <v>6250</v>
      </c>
      <c r="C1606" s="35" t="str">
        <f t="shared" si="175"/>
        <v>IlChik</v>
      </c>
      <c r="E1606" s="40"/>
      <c r="F1606" s="14"/>
      <c r="G1606" s="17"/>
      <c r="H1606" s="10" t="s">
        <v>8563</v>
      </c>
      <c r="I1606" s="4" t="str">
        <f t="shared" si="176"/>
        <v>|Il-ik|</v>
      </c>
      <c r="J1606" s="3" t="str">
        <f t="shared" si="177"/>
        <v>|Il-Chik|</v>
      </c>
      <c r="K1606" s="3" t="str">
        <f t="shared" si="178"/>
        <v>Il-Chik</v>
      </c>
      <c r="N1606" s="39" t="str">
        <f t="shared" si="179"/>
        <v/>
      </c>
      <c r="P1606" s="39" t="str">
        <f t="shared" si="180"/>
        <v/>
      </c>
      <c r="R1606" s="39" t="str">
        <f t="shared" si="181"/>
        <v/>
      </c>
      <c r="S1606" s="28"/>
      <c r="T1606" s="28"/>
      <c r="U1606" s="28"/>
    </row>
    <row r="1607" spans="1:21" s="5" customFormat="1">
      <c r="A1607" s="179" t="s">
        <v>1995</v>
      </c>
      <c r="B1607" s="185" t="s">
        <v>6251</v>
      </c>
      <c r="C1607" s="35" t="str">
        <f t="shared" si="175"/>
        <v>Ildirim</v>
      </c>
      <c r="E1607" s="40"/>
      <c r="F1607" s="14"/>
      <c r="G1607" s="17"/>
      <c r="H1607" s="10" t="s">
        <v>8563</v>
      </c>
      <c r="I1607" s="4" t="str">
        <f t="shared" si="176"/>
        <v>|Íldírím|</v>
      </c>
      <c r="J1607" s="3" t="str">
        <f t="shared" si="177"/>
        <v>|Ildirim|</v>
      </c>
      <c r="K1607" s="3" t="str">
        <f t="shared" si="178"/>
        <v>Ildirim</v>
      </c>
      <c r="N1607" s="39" t="str">
        <f t="shared" si="179"/>
        <v/>
      </c>
      <c r="P1607" s="39" t="str">
        <f t="shared" si="180"/>
        <v/>
      </c>
      <c r="R1607" s="39" t="str">
        <f t="shared" si="181"/>
        <v/>
      </c>
      <c r="S1607" s="28"/>
      <c r="T1607" s="28"/>
      <c r="U1607" s="28"/>
    </row>
    <row r="1608" spans="1:21" s="5" customFormat="1">
      <c r="A1608" s="179" t="s">
        <v>1996</v>
      </c>
      <c r="B1608" s="185" t="s">
        <v>6252</v>
      </c>
      <c r="C1608" s="35" t="str">
        <f t="shared" si="175"/>
        <v>IlKhan</v>
      </c>
      <c r="E1608" s="40"/>
      <c r="F1608" s="14"/>
      <c r="G1608" s="17"/>
      <c r="H1608" s="10" t="s">
        <v>8563</v>
      </c>
      <c r="I1608" s="4" t="str">
        <f t="shared" si="176"/>
        <v>|Íl-án|</v>
      </c>
      <c r="J1608" s="3" t="str">
        <f t="shared" si="177"/>
        <v>|Il-Khan|</v>
      </c>
      <c r="K1608" s="3" t="str">
        <f t="shared" si="178"/>
        <v>Il-Khan</v>
      </c>
      <c r="N1608" s="39" t="str">
        <f t="shared" si="179"/>
        <v/>
      </c>
      <c r="P1608" s="39" t="str">
        <f t="shared" si="180"/>
        <v/>
      </c>
      <c r="R1608" s="39" t="str">
        <f t="shared" si="181"/>
        <v/>
      </c>
      <c r="S1608" s="28"/>
      <c r="T1608" s="28"/>
      <c r="U1608" s="28"/>
    </row>
    <row r="1609" spans="1:21" s="5" customFormat="1">
      <c r="A1609" s="179" t="s">
        <v>1997</v>
      </c>
      <c r="B1609" s="185" t="s">
        <v>6253</v>
      </c>
      <c r="C1609" s="35" t="str">
        <f t="shared" si="175"/>
        <v>Ilkhani</v>
      </c>
      <c r="E1609" s="40"/>
      <c r="F1609" s="14"/>
      <c r="G1609" s="17"/>
      <c r="H1609" s="10" t="s">
        <v>8563</v>
      </c>
      <c r="I1609" s="4" t="str">
        <f t="shared" si="176"/>
        <v>|Ílání|</v>
      </c>
      <c r="J1609" s="3" t="str">
        <f t="shared" si="177"/>
        <v>|Ilkhani|</v>
      </c>
      <c r="K1609" s="3" t="str">
        <f t="shared" si="178"/>
        <v>Ilkhani</v>
      </c>
      <c r="N1609" s="39" t="str">
        <f t="shared" si="179"/>
        <v/>
      </c>
      <c r="P1609" s="39" t="str">
        <f t="shared" si="180"/>
        <v/>
      </c>
      <c r="R1609" s="39" t="str">
        <f t="shared" si="181"/>
        <v/>
      </c>
      <c r="S1609" s="28"/>
      <c r="T1609" s="28"/>
      <c r="U1609" s="28"/>
    </row>
    <row r="1610" spans="1:21" s="5" customFormat="1">
      <c r="A1610" s="179" t="s">
        <v>1998</v>
      </c>
      <c r="B1610" s="185" t="s">
        <v>6254</v>
      </c>
      <c r="C1610" s="35" t="str">
        <f t="shared" si="175"/>
        <v>Illa</v>
      </c>
      <c r="E1610" s="40"/>
      <c r="F1610" s="15"/>
      <c r="G1610" s="17"/>
      <c r="H1610" s="10" t="s">
        <v>8563</v>
      </c>
      <c r="I1610" s="4" t="str">
        <f t="shared" si="176"/>
        <v>|Illá|</v>
      </c>
      <c r="J1610" s="3" t="str">
        <f t="shared" si="177"/>
        <v>|Illa|</v>
      </c>
      <c r="K1610" s="3" t="str">
        <f t="shared" si="178"/>
        <v>Illa</v>
      </c>
      <c r="N1610" s="39" t="str">
        <f t="shared" si="179"/>
        <v/>
      </c>
      <c r="P1610" s="39" t="str">
        <f t="shared" si="180"/>
        <v/>
      </c>
      <c r="R1610" s="39" t="str">
        <f t="shared" si="181"/>
        <v/>
      </c>
      <c r="S1610" s="28"/>
      <c r="T1610" s="28"/>
      <c r="U1610" s="28"/>
    </row>
    <row r="1611" spans="1:21" s="5" customFormat="1">
      <c r="A1611" s="179" t="s">
        <v>1999</v>
      </c>
      <c r="B1611" s="185" t="s">
        <v>6255</v>
      </c>
      <c r="C1611" s="35" t="str">
        <f t="shared" si="175"/>
        <v>Illallah</v>
      </c>
      <c r="E1611" s="40"/>
      <c r="F1611" s="15"/>
      <c r="G1611" s="17"/>
      <c r="H1611" s="10" t="s">
        <v>8563</v>
      </c>
      <c r="I1611" s="4" t="str">
        <f t="shared" si="176"/>
        <v>|Illa’lláh|</v>
      </c>
      <c r="J1611" s="3" t="str">
        <f t="shared" si="177"/>
        <v>|Illa'llah|</v>
      </c>
      <c r="K1611" s="3" t="str">
        <f t="shared" si="178"/>
        <v>Illallah</v>
      </c>
      <c r="N1611" s="39" t="str">
        <f t="shared" si="179"/>
        <v/>
      </c>
      <c r="P1611" s="39" t="str">
        <f t="shared" si="180"/>
        <v/>
      </c>
      <c r="R1611" s="39" t="str">
        <f t="shared" si="181"/>
        <v/>
      </c>
      <c r="S1611" s="28"/>
      <c r="T1611" s="28"/>
      <c r="U1611" s="28"/>
    </row>
    <row r="1612" spans="1:21" s="5" customFormat="1">
      <c r="A1612" s="179" t="s">
        <v>513</v>
      </c>
      <c r="B1612" s="185" t="s">
        <v>6256</v>
      </c>
      <c r="C1612" s="35" t="str">
        <f t="shared" si="175"/>
        <v>Ilm</v>
      </c>
      <c r="E1612" s="40"/>
      <c r="F1612" s="14"/>
      <c r="G1612" s="17"/>
      <c r="H1612" s="10" t="s">
        <v>8563</v>
      </c>
      <c r="I1612" s="4" t="str">
        <f t="shared" si="176"/>
        <v>|ʿIlm|</v>
      </c>
      <c r="J1612" s="3" t="str">
        <f t="shared" si="177"/>
        <v>|'Ilm|</v>
      </c>
      <c r="K1612" s="3" t="str">
        <f t="shared" si="178"/>
        <v>Ilm</v>
      </c>
      <c r="N1612" s="39" t="str">
        <f t="shared" si="179"/>
        <v/>
      </c>
      <c r="P1612" s="39" t="str">
        <f t="shared" si="180"/>
        <v/>
      </c>
      <c r="R1612" s="39" t="str">
        <f t="shared" si="181"/>
        <v/>
      </c>
      <c r="S1612" s="28"/>
      <c r="T1612" s="28"/>
      <c r="U1612" s="28"/>
    </row>
    <row r="1613" spans="1:21" s="5" customFormat="1">
      <c r="A1613" s="179" t="s">
        <v>2000</v>
      </c>
      <c r="B1613" s="185" t="s">
        <v>6257</v>
      </c>
      <c r="C1613" s="35" t="str">
        <f t="shared" si="175"/>
        <v>Ilyahu</v>
      </c>
      <c r="E1613" s="40"/>
      <c r="F1613" s="15"/>
      <c r="G1613" s="17"/>
      <c r="H1613" s="10" t="s">
        <v>8563</v>
      </c>
      <c r="I1613" s="4" t="str">
        <f t="shared" si="176"/>
        <v>|Ilyáhú|</v>
      </c>
      <c r="J1613" s="3" t="str">
        <f t="shared" si="177"/>
        <v>|Ilyahu|</v>
      </c>
      <c r="K1613" s="3" t="str">
        <f t="shared" si="178"/>
        <v>Ilyahu</v>
      </c>
      <c r="N1613" s="39" t="str">
        <f t="shared" si="179"/>
        <v/>
      </c>
      <c r="P1613" s="39" t="str">
        <f t="shared" si="180"/>
        <v/>
      </c>
      <c r="R1613" s="39" t="str">
        <f t="shared" si="181"/>
        <v/>
      </c>
      <c r="S1613" s="28"/>
      <c r="T1613" s="28"/>
      <c r="U1613" s="28"/>
    </row>
    <row r="1614" spans="1:21" s="5" customFormat="1">
      <c r="A1614" s="179" t="s">
        <v>2001</v>
      </c>
      <c r="B1614" s="185" t="s">
        <v>6258</v>
      </c>
      <c r="C1614" s="35" t="str">
        <f t="shared" si="175"/>
        <v>Ilyas</v>
      </c>
      <c r="E1614" s="40"/>
      <c r="F1614" s="15"/>
      <c r="G1614" s="17"/>
      <c r="H1614" s="10" t="s">
        <v>8563</v>
      </c>
      <c r="I1614" s="4" t="str">
        <f t="shared" si="176"/>
        <v>|Ilyás|</v>
      </c>
      <c r="J1614" s="3" t="str">
        <f t="shared" si="177"/>
        <v>|Ilyas|</v>
      </c>
      <c r="K1614" s="3" t="str">
        <f t="shared" si="178"/>
        <v>Ilyas</v>
      </c>
      <c r="N1614" s="39" t="str">
        <f t="shared" si="179"/>
        <v/>
      </c>
      <c r="P1614" s="39" t="str">
        <f t="shared" si="180"/>
        <v/>
      </c>
      <c r="R1614" s="39" t="str">
        <f t="shared" si="181"/>
        <v/>
      </c>
      <c r="S1614" s="28"/>
      <c r="T1614" s="28"/>
      <c r="U1614" s="28"/>
    </row>
    <row r="1615" spans="1:21" s="5" customFormat="1">
      <c r="A1615" s="179" t="s">
        <v>2002</v>
      </c>
      <c r="B1615" s="185" t="s">
        <v>6259</v>
      </c>
      <c r="C1615" s="35" t="str">
        <f t="shared" si="175"/>
        <v>Ilzam</v>
      </c>
      <c r="E1615" s="40"/>
      <c r="F1615" s="15"/>
      <c r="G1615" s="17"/>
      <c r="H1615" s="10" t="s">
        <v>8563</v>
      </c>
      <c r="I1615" s="4" t="str">
        <f t="shared" si="176"/>
        <v>|Ilzám|</v>
      </c>
      <c r="J1615" s="3" t="str">
        <f t="shared" si="177"/>
        <v>|Ilzam|</v>
      </c>
      <c r="K1615" s="3" t="str">
        <f t="shared" si="178"/>
        <v>Ilzam</v>
      </c>
      <c r="N1615" s="39" t="str">
        <f t="shared" si="179"/>
        <v/>
      </c>
      <c r="P1615" s="39" t="str">
        <f t="shared" si="180"/>
        <v/>
      </c>
      <c r="R1615" s="39" t="str">
        <f t="shared" si="181"/>
        <v/>
      </c>
      <c r="S1615" s="28"/>
      <c r="T1615" s="28"/>
      <c r="U1615" s="28"/>
    </row>
    <row r="1616" spans="1:21" s="5" customFormat="1">
      <c r="A1616" s="179" t="s">
        <v>2003</v>
      </c>
      <c r="B1616" s="185" t="s">
        <v>6260</v>
      </c>
      <c r="C1616" s="35" t="str">
        <f t="shared" si="175"/>
        <v>Imad</v>
      </c>
      <c r="E1616" s="40"/>
      <c r="F1616" s="15" t="s">
        <v>2004</v>
      </c>
      <c r="G1616" s="17"/>
      <c r="H1616" s="10" t="s">
        <v>8563</v>
      </c>
      <c r="I1616" s="4" t="str">
        <f t="shared" si="176"/>
        <v>|ʿImád|</v>
      </c>
      <c r="J1616" s="3" t="str">
        <f t="shared" si="177"/>
        <v>|'Imad|</v>
      </c>
      <c r="K1616" s="3" t="str">
        <f t="shared" si="178"/>
        <v>Imad</v>
      </c>
      <c r="N1616" s="39" t="str">
        <f t="shared" si="179"/>
        <v/>
      </c>
      <c r="P1616" s="39" t="str">
        <f t="shared" si="180"/>
        <v/>
      </c>
      <c r="R1616" s="39" t="str">
        <f t="shared" si="181"/>
        <v/>
      </c>
      <c r="S1616" s="28"/>
      <c r="T1616" s="28"/>
      <c r="U1616" s="28"/>
    </row>
    <row r="1617" spans="1:21" s="5" customFormat="1">
      <c r="A1617" s="179" t="s">
        <v>2006</v>
      </c>
      <c r="B1617" s="185" t="s">
        <v>6262</v>
      </c>
      <c r="C1617" s="35" t="str">
        <f t="shared" si="175"/>
        <v>ImadadDin</v>
      </c>
      <c r="E1617" s="40"/>
      <c r="F1617" s="14"/>
      <c r="G1617" s="17"/>
      <c r="H1617" s="10" t="s">
        <v>8563</v>
      </c>
      <c r="I1617" s="4" t="str">
        <f t="shared" si="176"/>
        <v>|Imáda’d-Dín|</v>
      </c>
      <c r="J1617" s="3" t="str">
        <f t="shared" si="177"/>
        <v>|Imada'd-Din|</v>
      </c>
      <c r="K1617" s="3" t="str">
        <f t="shared" si="178"/>
        <v>Imadad-Din</v>
      </c>
      <c r="N1617" s="39" t="str">
        <f t="shared" si="179"/>
        <v/>
      </c>
      <c r="P1617" s="39" t="str">
        <f t="shared" si="180"/>
        <v/>
      </c>
      <c r="R1617" s="39" t="str">
        <f t="shared" si="181"/>
        <v/>
      </c>
      <c r="S1617" s="28"/>
      <c r="T1617" s="28"/>
      <c r="U1617" s="28"/>
    </row>
    <row r="1618" spans="1:21" s="5" customFormat="1">
      <c r="A1618" s="179" t="s">
        <v>2005</v>
      </c>
      <c r="B1618" s="185" t="s">
        <v>6261</v>
      </c>
      <c r="C1618" s="35" t="str">
        <f t="shared" si="175"/>
        <v>ImadudDawlih</v>
      </c>
      <c r="E1618" s="40"/>
      <c r="F1618" s="15"/>
      <c r="G1618" s="17"/>
      <c r="H1618" s="10" t="s">
        <v>8563</v>
      </c>
      <c r="I1618" s="4" t="str">
        <f t="shared" si="176"/>
        <v>|ʿImádu’d-Dawlih|</v>
      </c>
      <c r="J1618" s="3" t="str">
        <f t="shared" si="177"/>
        <v>|'Imadu'd-Dawlih|</v>
      </c>
      <c r="K1618" s="3" t="str">
        <f t="shared" si="178"/>
        <v>Imadud-Dawlih</v>
      </c>
      <c r="N1618" s="39" t="str">
        <f t="shared" si="179"/>
        <v/>
      </c>
      <c r="P1618" s="39" t="str">
        <f t="shared" si="180"/>
        <v/>
      </c>
      <c r="R1618" s="39" t="str">
        <f t="shared" si="181"/>
        <v/>
      </c>
      <c r="S1618" s="28"/>
      <c r="T1618" s="28"/>
      <c r="U1618" s="28"/>
    </row>
    <row r="1619" spans="1:21" s="5" customFormat="1">
      <c r="A1619" s="179" t="s">
        <v>2007</v>
      </c>
      <c r="B1619" s="185" t="s">
        <v>96</v>
      </c>
      <c r="C1619" s="35" t="str">
        <f t="shared" si="175"/>
        <v>Imam</v>
      </c>
      <c r="E1619" s="40"/>
      <c r="F1619" s="14" t="s">
        <v>2008</v>
      </c>
      <c r="G1619" s="17"/>
      <c r="H1619" s="10" t="s">
        <v>8563</v>
      </c>
      <c r="I1619" s="4" t="str">
        <f t="shared" si="176"/>
        <v>|Imám|</v>
      </c>
      <c r="J1619" s="3" t="str">
        <f t="shared" si="177"/>
        <v>|Imam|</v>
      </c>
      <c r="K1619" s="3" t="str">
        <f t="shared" si="178"/>
        <v>Imam</v>
      </c>
      <c r="N1619" s="39" t="str">
        <f t="shared" si="179"/>
        <v/>
      </c>
      <c r="P1619" s="39" t="str">
        <f t="shared" si="180"/>
        <v/>
      </c>
      <c r="R1619" s="39" t="str">
        <f t="shared" si="181"/>
        <v/>
      </c>
      <c r="S1619" s="28"/>
      <c r="T1619" s="29">
        <v>41796</v>
      </c>
      <c r="U1619" s="28" t="s">
        <v>9373</v>
      </c>
    </row>
    <row r="1620" spans="1:21" s="5" customFormat="1">
      <c r="A1620" s="181" t="s">
        <v>9051</v>
      </c>
      <c r="B1620" s="185" t="s">
        <v>170</v>
      </c>
      <c r="C1620" s="35" t="str">
        <f t="shared" si="175"/>
        <v>ImamAli</v>
      </c>
      <c r="D1620" s="1"/>
      <c r="E1620" s="40"/>
      <c r="F1620" s="12"/>
      <c r="G1620" s="9"/>
      <c r="H1620" s="12"/>
      <c r="I1620" s="4" t="str">
        <f t="shared" si="176"/>
        <v>|Imám ʿAlí|</v>
      </c>
      <c r="J1620" s="3" t="str">
        <f t="shared" si="177"/>
        <v>|Imam 'Ali|</v>
      </c>
      <c r="K1620" s="3" t="str">
        <f t="shared" si="178"/>
        <v>Imam Ali</v>
      </c>
      <c r="M1620" s="1"/>
      <c r="N1620" s="39" t="str">
        <f t="shared" si="179"/>
        <v/>
      </c>
      <c r="O1620" s="1"/>
      <c r="P1620" s="39" t="str">
        <f t="shared" si="180"/>
        <v/>
      </c>
      <c r="Q1620" s="1"/>
      <c r="R1620" s="39" t="str">
        <f t="shared" si="181"/>
        <v/>
      </c>
      <c r="S1620" s="28"/>
      <c r="T1620" s="29">
        <v>41801</v>
      </c>
      <c r="U1620" s="28" t="s">
        <v>9371</v>
      </c>
    </row>
    <row r="1621" spans="1:21" s="5" customFormat="1">
      <c r="A1621" s="181" t="s">
        <v>9052</v>
      </c>
      <c r="B1621" s="185" t="s">
        <v>8684</v>
      </c>
      <c r="C1621" s="35" t="str">
        <f t="shared" si="175"/>
        <v>ImamHasan</v>
      </c>
      <c r="D1621" s="1"/>
      <c r="E1621" s="40"/>
      <c r="F1621" s="12"/>
      <c r="G1621" s="9"/>
      <c r="H1621" s="12" t="s">
        <v>8622</v>
      </c>
      <c r="I1621" s="4" t="str">
        <f t="shared" si="176"/>
        <v>|Imám Ḥasan|</v>
      </c>
      <c r="J1621" s="3" t="str">
        <f t="shared" si="177"/>
        <v>|Imam Hasan|</v>
      </c>
      <c r="K1621" s="3" t="str">
        <f t="shared" si="178"/>
        <v>Imam Hasan</v>
      </c>
      <c r="N1621" s="39" t="str">
        <f t="shared" si="179"/>
        <v/>
      </c>
      <c r="P1621" s="39" t="str">
        <f t="shared" si="180"/>
        <v/>
      </c>
      <c r="R1621" s="39" t="str">
        <f t="shared" si="181"/>
        <v/>
      </c>
      <c r="S1621" s="29">
        <v>41760</v>
      </c>
      <c r="T1621" s="28"/>
      <c r="U1621" s="28"/>
    </row>
    <row r="1622" spans="1:21" s="5" customFormat="1">
      <c r="A1622" s="181" t="s">
        <v>2010</v>
      </c>
      <c r="B1622" s="185" t="s">
        <v>8685</v>
      </c>
      <c r="C1622" s="35" t="str">
        <f t="shared" si="175"/>
        <v>ImamHusayn</v>
      </c>
      <c r="D1622" s="1"/>
      <c r="E1622" s="40" t="s">
        <v>9115</v>
      </c>
      <c r="F1622" s="12"/>
      <c r="G1622" s="9"/>
      <c r="H1622" s="12" t="s">
        <v>8622</v>
      </c>
      <c r="I1622" s="4" t="str">
        <f t="shared" si="176"/>
        <v>|Imám Ḥusayn|</v>
      </c>
      <c r="J1622" s="3" t="str">
        <f t="shared" si="177"/>
        <v>|Imam Husayn|</v>
      </c>
      <c r="K1622" s="3" t="str">
        <f t="shared" si="178"/>
        <v>Imam Husayn</v>
      </c>
      <c r="N1622" s="39" t="str">
        <f t="shared" si="179"/>
        <v/>
      </c>
      <c r="P1622" s="39" t="str">
        <f t="shared" si="180"/>
        <v/>
      </c>
      <c r="R1622" s="39" t="str">
        <f t="shared" si="181"/>
        <v/>
      </c>
      <c r="S1622" s="29">
        <v>41760</v>
      </c>
      <c r="T1622" s="28"/>
      <c r="U1622" s="28"/>
    </row>
    <row r="1623" spans="1:21" s="5" customFormat="1">
      <c r="A1623" s="181" t="s">
        <v>9053</v>
      </c>
      <c r="B1623" s="185" t="s">
        <v>8816</v>
      </c>
      <c r="C1623" s="35" t="str">
        <f t="shared" si="175"/>
        <v>ImamJafariSadiq</v>
      </c>
      <c r="D1623" s="1"/>
      <c r="E1623" s="40"/>
      <c r="F1623" s="12"/>
      <c r="G1623" s="9"/>
      <c r="H1623" s="12" t="s">
        <v>8622</v>
      </c>
      <c r="I1623" s="4" t="str">
        <f t="shared" si="176"/>
        <v>|Imám Jaʿfar-i-Ṣádiq|</v>
      </c>
      <c r="J1623" s="3" t="str">
        <f t="shared" si="177"/>
        <v>|Imam Ja'far-i-Sadiq|</v>
      </c>
      <c r="K1623" s="3" t="str">
        <f t="shared" si="178"/>
        <v>Imam Jafar-i-Sadiq</v>
      </c>
      <c r="N1623" s="39" t="str">
        <f t="shared" si="179"/>
        <v/>
      </c>
      <c r="P1623" s="39" t="str">
        <f t="shared" si="180"/>
        <v/>
      </c>
      <c r="R1623" s="39" t="str">
        <f t="shared" si="181"/>
        <v/>
      </c>
      <c r="S1623" s="29">
        <v>41760</v>
      </c>
      <c r="T1623" s="28"/>
      <c r="U1623" s="28"/>
    </row>
    <row r="1624" spans="1:21" s="5" customFormat="1">
      <c r="A1624" s="181" t="s">
        <v>2013</v>
      </c>
      <c r="B1624" s="185" t="s">
        <v>8686</v>
      </c>
      <c r="C1624" s="35" t="str">
        <f t="shared" si="175"/>
        <v>ImamMihdi</v>
      </c>
      <c r="D1624" s="1"/>
      <c r="E1624" s="40" t="s">
        <v>9115</v>
      </c>
      <c r="F1624" s="12"/>
      <c r="G1624" s="9"/>
      <c r="H1624" s="12" t="s">
        <v>8622</v>
      </c>
      <c r="I1624" s="4" t="str">
        <f t="shared" si="176"/>
        <v>|Imám Mihdí|</v>
      </c>
      <c r="J1624" s="3" t="str">
        <f t="shared" si="177"/>
        <v>|Imam Mihdi|</v>
      </c>
      <c r="K1624" s="3" t="str">
        <f t="shared" si="178"/>
        <v>Imam Mihdi</v>
      </c>
      <c r="N1624" s="39" t="str">
        <f t="shared" si="179"/>
        <v/>
      </c>
      <c r="P1624" s="39" t="str">
        <f t="shared" si="180"/>
        <v/>
      </c>
      <c r="R1624" s="39" t="str">
        <f t="shared" si="181"/>
        <v/>
      </c>
      <c r="S1624" s="29">
        <v>41760</v>
      </c>
      <c r="T1624" s="28"/>
      <c r="U1624" s="28"/>
    </row>
    <row r="1625" spans="1:21" s="5" customFormat="1">
      <c r="A1625" s="181" t="s">
        <v>9054</v>
      </c>
      <c r="B1625" s="185" t="s">
        <v>8687</v>
      </c>
      <c r="C1625" s="35" t="str">
        <f t="shared" si="175"/>
        <v>ImamMusa</v>
      </c>
      <c r="D1625" s="1"/>
      <c r="E1625" s="40"/>
      <c r="F1625" s="12"/>
      <c r="G1625" s="9"/>
      <c r="H1625" s="12" t="s">
        <v>8622</v>
      </c>
      <c r="I1625" s="4" t="str">
        <f t="shared" si="176"/>
        <v>|Imám Músá|</v>
      </c>
      <c r="J1625" s="3" t="str">
        <f t="shared" si="177"/>
        <v>|Imam Musa|</v>
      </c>
      <c r="K1625" s="3" t="str">
        <f t="shared" si="178"/>
        <v>Imam Musa</v>
      </c>
      <c r="N1625" s="39" t="str">
        <f t="shared" si="179"/>
        <v/>
      </c>
      <c r="P1625" s="39" t="str">
        <f t="shared" si="180"/>
        <v/>
      </c>
      <c r="R1625" s="39" t="str">
        <f t="shared" si="181"/>
        <v/>
      </c>
      <c r="S1625" s="29">
        <v>41760</v>
      </c>
      <c r="T1625" s="28"/>
      <c r="U1625" s="28"/>
    </row>
    <row r="1626" spans="1:21" s="5" customFormat="1">
      <c r="A1626" s="181" t="s">
        <v>9055</v>
      </c>
      <c r="B1626" s="185" t="s">
        <v>8688</v>
      </c>
      <c r="C1626" s="35" t="str">
        <f t="shared" si="175"/>
        <v>ImamRida</v>
      </c>
      <c r="D1626" s="1"/>
      <c r="E1626" s="40"/>
      <c r="F1626" s="12"/>
      <c r="G1626" s="9"/>
      <c r="H1626" s="12" t="s">
        <v>8622</v>
      </c>
      <c r="I1626" s="4" t="str">
        <f t="shared" si="176"/>
        <v>|Imám Riḍá|</v>
      </c>
      <c r="J1626" s="3" t="str">
        <f t="shared" si="177"/>
        <v>|Imam Rida|</v>
      </c>
      <c r="K1626" s="3" t="str">
        <f t="shared" si="178"/>
        <v>Imam Rida</v>
      </c>
      <c r="N1626" s="39" t="str">
        <f t="shared" si="179"/>
        <v/>
      </c>
      <c r="P1626" s="39" t="str">
        <f t="shared" si="180"/>
        <v/>
      </c>
      <c r="R1626" s="39" t="str">
        <f t="shared" si="181"/>
        <v/>
      </c>
      <c r="S1626" s="29">
        <v>41760</v>
      </c>
      <c r="T1626" s="28"/>
      <c r="U1626" s="28"/>
    </row>
    <row r="1627" spans="1:21" s="5" customFormat="1">
      <c r="A1627" s="179" t="s">
        <v>2009</v>
      </c>
      <c r="B1627" s="185" t="s">
        <v>6263</v>
      </c>
      <c r="C1627" s="35" t="str">
        <f t="shared" si="175"/>
        <v>Imamat</v>
      </c>
      <c r="E1627" s="40"/>
      <c r="F1627" s="14"/>
      <c r="G1627" s="17"/>
      <c r="H1627" s="10" t="s">
        <v>8563</v>
      </c>
      <c r="I1627" s="4" t="str">
        <f t="shared" si="176"/>
        <v>|Imámat|</v>
      </c>
      <c r="J1627" s="3" t="str">
        <f t="shared" si="177"/>
        <v>|Imamat|</v>
      </c>
      <c r="K1627" s="3" t="str">
        <f t="shared" si="178"/>
        <v>Imamat</v>
      </c>
      <c r="N1627" s="39" t="str">
        <f t="shared" si="179"/>
        <v/>
      </c>
      <c r="P1627" s="39" t="str">
        <f t="shared" si="180"/>
        <v/>
      </c>
      <c r="R1627" s="39" t="str">
        <f t="shared" si="181"/>
        <v/>
      </c>
      <c r="S1627" s="28"/>
      <c r="T1627" s="28"/>
      <c r="U1627" s="28"/>
    </row>
    <row r="1628" spans="1:21" s="5" customFormat="1">
      <c r="A1628" s="179"/>
      <c r="B1628" s="185" t="s">
        <v>9103</v>
      </c>
      <c r="C1628" s="35" t="str">
        <f t="shared" si="175"/>
        <v>Imame</v>
      </c>
      <c r="D1628" s="5" t="s">
        <v>59</v>
      </c>
      <c r="E1628" s="40"/>
      <c r="F1628" s="15"/>
      <c r="G1628" s="17"/>
      <c r="H1628" s="10"/>
      <c r="I1628" s="4" t="str">
        <f t="shared" si="176"/>
        <v>|Imáme|</v>
      </c>
      <c r="J1628" s="3" t="str">
        <f t="shared" si="177"/>
        <v>|Imame|</v>
      </c>
      <c r="K1628" s="3" t="str">
        <f t="shared" si="178"/>
        <v>Imame</v>
      </c>
      <c r="L1628" s="1"/>
      <c r="N1628" s="39" t="str">
        <f t="shared" si="179"/>
        <v/>
      </c>
      <c r="P1628" s="39" t="str">
        <f t="shared" si="180"/>
        <v/>
      </c>
      <c r="R1628" s="39" t="str">
        <f t="shared" si="181"/>
        <v/>
      </c>
      <c r="S1628" s="29">
        <v>41781</v>
      </c>
      <c r="T1628" s="29">
        <v>41796</v>
      </c>
      <c r="U1628" s="28" t="s">
        <v>9452</v>
      </c>
    </row>
    <row r="1629" spans="1:21" s="5" customFormat="1">
      <c r="A1629" s="179" t="s">
        <v>2010</v>
      </c>
      <c r="B1629" s="185" t="s">
        <v>6264</v>
      </c>
      <c r="C1629" s="35" t="str">
        <f t="shared" si="175"/>
        <v>ImamHusayn</v>
      </c>
      <c r="E1629" s="40" t="s">
        <v>9115</v>
      </c>
      <c r="F1629" s="14"/>
      <c r="G1629" s="17"/>
      <c r="H1629" s="10" t="s">
        <v>8563</v>
      </c>
      <c r="I1629" s="4" t="str">
        <f t="shared" si="176"/>
        <v>|Imám-Ḥusayn|</v>
      </c>
      <c r="J1629" s="3" t="str">
        <f t="shared" si="177"/>
        <v>|Imam-Husayn|</v>
      </c>
      <c r="K1629" s="3" t="str">
        <f t="shared" si="178"/>
        <v>Imam-Husayn</v>
      </c>
      <c r="N1629" s="39" t="str">
        <f t="shared" si="179"/>
        <v/>
      </c>
      <c r="P1629" s="39" t="str">
        <f t="shared" si="180"/>
        <v/>
      </c>
      <c r="R1629" s="39" t="str">
        <f t="shared" si="181"/>
        <v/>
      </c>
      <c r="S1629" s="28"/>
      <c r="T1629" s="28"/>
      <c r="U1629" s="28"/>
    </row>
    <row r="1630" spans="1:21" s="5" customFormat="1">
      <c r="A1630" s="179" t="s">
        <v>2011</v>
      </c>
      <c r="B1630" s="185" t="s">
        <v>6265</v>
      </c>
      <c r="C1630" s="35" t="str">
        <f t="shared" si="175"/>
        <v>ImamJumih</v>
      </c>
      <c r="E1630" s="40"/>
      <c r="F1630" s="14" t="s">
        <v>2012</v>
      </c>
      <c r="G1630" s="17"/>
      <c r="H1630" s="10" t="s">
        <v>8563</v>
      </c>
      <c r="I1630" s="4" t="str">
        <f t="shared" si="176"/>
        <v>|Imám-Jumʿih|</v>
      </c>
      <c r="J1630" s="3" t="str">
        <f t="shared" si="177"/>
        <v>|Imam-Jum'ih|</v>
      </c>
      <c r="K1630" s="3" t="str">
        <f t="shared" si="178"/>
        <v>Imam-Jumih</v>
      </c>
      <c r="N1630" s="39" t="str">
        <f t="shared" si="179"/>
        <v/>
      </c>
      <c r="P1630" s="39" t="str">
        <f t="shared" si="180"/>
        <v/>
      </c>
      <c r="R1630" s="39" t="str">
        <f t="shared" si="181"/>
        <v/>
      </c>
      <c r="S1630" s="28"/>
      <c r="T1630" s="28"/>
      <c r="U1630" s="28"/>
    </row>
    <row r="1631" spans="1:21" s="5" customFormat="1">
      <c r="A1631" s="179" t="s">
        <v>2013</v>
      </c>
      <c r="B1631" s="185" t="s">
        <v>6266</v>
      </c>
      <c r="C1631" s="35" t="str">
        <f t="shared" si="175"/>
        <v>ImamMihdi</v>
      </c>
      <c r="E1631" s="40" t="s">
        <v>9115</v>
      </c>
      <c r="F1631" s="14"/>
      <c r="G1631" s="17"/>
      <c r="H1631" s="10" t="s">
        <v>8563</v>
      </c>
      <c r="I1631" s="4" t="str">
        <f t="shared" si="176"/>
        <v>|Imám-Mihdí|</v>
      </c>
      <c r="J1631" s="3" t="str">
        <f t="shared" si="177"/>
        <v>|Imam-Mihdi|</v>
      </c>
      <c r="K1631" s="3" t="str">
        <f t="shared" si="178"/>
        <v>Imam-Mihdi</v>
      </c>
      <c r="N1631" s="39" t="str">
        <f t="shared" si="179"/>
        <v/>
      </c>
      <c r="P1631" s="39" t="str">
        <f t="shared" si="180"/>
        <v/>
      </c>
      <c r="R1631" s="39" t="str">
        <f t="shared" si="181"/>
        <v/>
      </c>
      <c r="S1631" s="28"/>
      <c r="T1631" s="28"/>
      <c r="U1631" s="28"/>
    </row>
    <row r="1632" spans="1:21" s="5" customFormat="1">
      <c r="A1632" s="179" t="s">
        <v>2014</v>
      </c>
      <c r="B1632" s="185" t="s">
        <v>6267</v>
      </c>
      <c r="C1632" s="35" t="str">
        <f t="shared" si="175"/>
        <v>ImamQuli</v>
      </c>
      <c r="E1632" s="40"/>
      <c r="F1632" s="15"/>
      <c r="G1632" s="17"/>
      <c r="H1632" s="10" t="s">
        <v>8563</v>
      </c>
      <c r="I1632" s="4" t="str">
        <f t="shared" si="176"/>
        <v>|Imám-Qulí|</v>
      </c>
      <c r="J1632" s="3" t="str">
        <f t="shared" si="177"/>
        <v>|Imam-Quli|</v>
      </c>
      <c r="K1632" s="3" t="str">
        <f t="shared" si="178"/>
        <v>Imam-Quli</v>
      </c>
      <c r="N1632" s="39" t="str">
        <f t="shared" si="179"/>
        <v/>
      </c>
      <c r="P1632" s="39" t="str">
        <f t="shared" si="180"/>
        <v/>
      </c>
      <c r="R1632" s="39" t="str">
        <f t="shared" si="181"/>
        <v/>
      </c>
      <c r="S1632" s="28"/>
      <c r="T1632" s="28"/>
      <c r="U1632" s="28"/>
    </row>
    <row r="1633" spans="1:21" s="5" customFormat="1">
      <c r="A1633" s="181" t="s">
        <v>9056</v>
      </c>
      <c r="B1633" s="185" t="s">
        <v>8689</v>
      </c>
      <c r="C1633" s="35" t="str">
        <f t="shared" si="175"/>
        <v>ImamsMusaKazim</v>
      </c>
      <c r="D1633" s="1"/>
      <c r="E1633" s="40"/>
      <c r="F1633" s="12"/>
      <c r="G1633" s="9"/>
      <c r="H1633" s="12" t="s">
        <v>8622</v>
      </c>
      <c r="I1633" s="4" t="str">
        <f t="shared" si="176"/>
        <v>|Imáms Músá Káẓim|</v>
      </c>
      <c r="J1633" s="3" t="str">
        <f t="shared" si="177"/>
        <v>|Imams Musa Kazim|</v>
      </c>
      <c r="K1633" s="3" t="str">
        <f t="shared" si="178"/>
        <v>Imams Musa Kazim</v>
      </c>
      <c r="N1633" s="39" t="str">
        <f t="shared" si="179"/>
        <v/>
      </c>
      <c r="P1633" s="39" t="str">
        <f t="shared" si="180"/>
        <v/>
      </c>
      <c r="R1633" s="39" t="str">
        <f t="shared" si="181"/>
        <v/>
      </c>
      <c r="S1633" s="29">
        <v>41760</v>
      </c>
      <c r="T1633" s="28"/>
      <c r="U1633" s="28"/>
    </row>
    <row r="1634" spans="1:21" s="5" customFormat="1">
      <c r="A1634" s="179" t="s">
        <v>2015</v>
      </c>
      <c r="B1634" s="185" t="s">
        <v>6268</v>
      </c>
      <c r="C1634" s="35" t="str">
        <f t="shared" si="175"/>
        <v>ImamVirdi</v>
      </c>
      <c r="E1634" s="40"/>
      <c r="F1634" s="14"/>
      <c r="G1634" s="17"/>
      <c r="H1634" s="10" t="s">
        <v>8563</v>
      </c>
      <c r="I1634" s="4" t="str">
        <f t="shared" si="176"/>
        <v>|Imám-Virdí|</v>
      </c>
      <c r="J1634" s="3" t="str">
        <f t="shared" si="177"/>
        <v>|Imam-Virdi|</v>
      </c>
      <c r="K1634" s="3" t="str">
        <f t="shared" si="178"/>
        <v>Imam-Virdi</v>
      </c>
      <c r="N1634" s="39" t="str">
        <f t="shared" si="179"/>
        <v/>
      </c>
      <c r="P1634" s="39" t="str">
        <f t="shared" si="180"/>
        <v/>
      </c>
      <c r="R1634" s="39" t="str">
        <f t="shared" si="181"/>
        <v/>
      </c>
      <c r="S1634" s="28"/>
      <c r="T1634" s="28"/>
      <c r="U1634" s="28"/>
    </row>
    <row r="1635" spans="1:21" s="5" customFormat="1">
      <c r="A1635" s="179" t="s">
        <v>2016</v>
      </c>
      <c r="B1635" s="185" t="s">
        <v>6269</v>
      </c>
      <c r="C1635" s="35" t="str">
        <f t="shared" si="175"/>
        <v>ImamZadih</v>
      </c>
      <c r="E1635" s="40"/>
      <c r="F1635" s="14" t="s">
        <v>2017</v>
      </c>
      <c r="G1635" s="17"/>
      <c r="H1635" s="10" t="s">
        <v>8563</v>
      </c>
      <c r="I1635" s="4" t="str">
        <f t="shared" si="176"/>
        <v>|Imám-Zádih|</v>
      </c>
      <c r="J1635" s="3" t="str">
        <f t="shared" si="177"/>
        <v>|Imam-Zadih|</v>
      </c>
      <c r="K1635" s="3" t="str">
        <f t="shared" si="178"/>
        <v>Imam-Zadih</v>
      </c>
      <c r="N1635" s="39" t="str">
        <f t="shared" si="179"/>
        <v/>
      </c>
      <c r="P1635" s="39" t="str">
        <f t="shared" si="180"/>
        <v/>
      </c>
      <c r="R1635" s="39" t="str">
        <f t="shared" si="181"/>
        <v/>
      </c>
      <c r="S1635" s="28"/>
      <c r="T1635" s="28"/>
      <c r="U1635" s="28"/>
    </row>
    <row r="1636" spans="1:21" s="5" customFormat="1">
      <c r="A1636" s="179" t="s">
        <v>2018</v>
      </c>
      <c r="B1636" s="185" t="s">
        <v>6270</v>
      </c>
      <c r="C1636" s="35" t="str">
        <f t="shared" si="175"/>
        <v>ImamZadihHasan</v>
      </c>
      <c r="E1636" s="40"/>
      <c r="F1636" s="14"/>
      <c r="G1636" s="17"/>
      <c r="H1636" s="10" t="s">
        <v>8563</v>
      </c>
      <c r="I1636" s="4" t="str">
        <f t="shared" si="176"/>
        <v>|Imám-Zádih-Ḥasan|</v>
      </c>
      <c r="J1636" s="3" t="str">
        <f t="shared" si="177"/>
        <v>|Imam-Zadih-Hasan|</v>
      </c>
      <c r="K1636" s="3" t="str">
        <f t="shared" si="178"/>
        <v>Imam-Zadih-Hasan</v>
      </c>
      <c r="N1636" s="39" t="str">
        <f t="shared" si="179"/>
        <v/>
      </c>
      <c r="P1636" s="39" t="str">
        <f t="shared" si="180"/>
        <v/>
      </c>
      <c r="R1636" s="39" t="str">
        <f t="shared" si="181"/>
        <v/>
      </c>
      <c r="S1636" s="28"/>
      <c r="T1636" s="28"/>
      <c r="U1636" s="28"/>
    </row>
    <row r="1637" spans="1:21" s="5" customFormat="1">
      <c r="A1637" s="179" t="s">
        <v>2019</v>
      </c>
      <c r="B1637" s="185" t="s">
        <v>6271</v>
      </c>
      <c r="C1637" s="35" t="str">
        <f t="shared" si="175"/>
        <v>Iman</v>
      </c>
      <c r="E1637" s="40"/>
      <c r="F1637" s="15"/>
      <c r="G1637" s="17"/>
      <c r="H1637" s="10" t="s">
        <v>8563</v>
      </c>
      <c r="I1637" s="4" t="str">
        <f t="shared" si="176"/>
        <v>|Ímán|</v>
      </c>
      <c r="J1637" s="3" t="str">
        <f t="shared" si="177"/>
        <v>|Iman|</v>
      </c>
      <c r="K1637" s="3" t="str">
        <f t="shared" si="178"/>
        <v>Iman</v>
      </c>
      <c r="N1637" s="39" t="str">
        <f t="shared" si="179"/>
        <v/>
      </c>
      <c r="P1637" s="39" t="str">
        <f t="shared" si="180"/>
        <v/>
      </c>
      <c r="R1637" s="39" t="str">
        <f t="shared" si="181"/>
        <v/>
      </c>
      <c r="S1637" s="28"/>
      <c r="T1637" s="28"/>
      <c r="U1637" s="28"/>
    </row>
    <row r="1638" spans="1:21" s="5" customFormat="1">
      <c r="A1638" s="179" t="s">
        <v>2020</v>
      </c>
      <c r="B1638" s="185" t="s">
        <v>6272</v>
      </c>
      <c r="C1638" s="35" t="str">
        <f t="shared" si="175"/>
        <v>ImaratiKhurshid</v>
      </c>
      <c r="E1638" s="40"/>
      <c r="F1638" s="14"/>
      <c r="G1638" s="17"/>
      <c r="H1638" s="10" t="s">
        <v>8563</v>
      </c>
      <c r="I1638" s="4" t="str">
        <f t="shared" si="176"/>
        <v>|ʿImárat-i-uríd|</v>
      </c>
      <c r="J1638" s="3" t="str">
        <f t="shared" si="177"/>
        <v>|'Imarat-i-Khurshid|</v>
      </c>
      <c r="K1638" s="3" t="str">
        <f t="shared" si="178"/>
        <v>Imarat-i-Khurshid</v>
      </c>
      <c r="N1638" s="39" t="str">
        <f t="shared" si="179"/>
        <v/>
      </c>
      <c r="P1638" s="39" t="str">
        <f t="shared" si="180"/>
        <v/>
      </c>
      <c r="R1638" s="39" t="str">
        <f t="shared" si="181"/>
        <v/>
      </c>
      <c r="S1638" s="28"/>
      <c r="T1638" s="28"/>
      <c r="U1638" s="28"/>
    </row>
    <row r="1639" spans="1:21" s="5" customFormat="1">
      <c r="A1639" s="179" t="s">
        <v>2021</v>
      </c>
      <c r="B1639" s="185" t="s">
        <v>6273</v>
      </c>
      <c r="C1639" s="35" t="str">
        <f t="shared" si="175"/>
        <v>ImatulKubra</v>
      </c>
      <c r="E1639" s="40"/>
      <c r="F1639" s="15" t="s">
        <v>2022</v>
      </c>
      <c r="G1639" s="17"/>
      <c r="H1639" s="10" t="s">
        <v>8563</v>
      </c>
      <c r="I1639" s="4" t="str">
        <f t="shared" si="176"/>
        <v>|Imatu’l-Kubrá|</v>
      </c>
      <c r="J1639" s="3" t="str">
        <f t="shared" si="177"/>
        <v>|Imatu'l-Kubra|</v>
      </c>
      <c r="K1639" s="3" t="str">
        <f t="shared" si="178"/>
        <v>Imatul-Kubra</v>
      </c>
      <c r="N1639" s="39" t="str">
        <f t="shared" si="179"/>
        <v/>
      </c>
      <c r="P1639" s="39" t="str">
        <f t="shared" si="180"/>
        <v/>
      </c>
      <c r="R1639" s="39" t="str">
        <f t="shared" si="181"/>
        <v/>
      </c>
      <c r="S1639" s="28"/>
      <c r="T1639" s="28"/>
      <c r="U1639" s="28"/>
    </row>
    <row r="1640" spans="1:21" s="5" customFormat="1">
      <c r="A1640" s="179" t="s">
        <v>2024</v>
      </c>
      <c r="B1640" s="185" t="s">
        <v>6274</v>
      </c>
      <c r="C1640" s="35" t="str">
        <f t="shared" si="175"/>
        <v>Imrika</v>
      </c>
      <c r="E1640" s="40"/>
      <c r="F1640" s="15" t="s">
        <v>778</v>
      </c>
      <c r="G1640" s="17"/>
      <c r="H1640" s="10" t="s">
        <v>8563</v>
      </c>
      <c r="I1640" s="4" t="str">
        <f t="shared" si="176"/>
        <v>|Imríká|</v>
      </c>
      <c r="J1640" s="3" t="str">
        <f t="shared" si="177"/>
        <v>|Imrika|</v>
      </c>
      <c r="K1640" s="3" t="str">
        <f t="shared" si="178"/>
        <v>Imrika</v>
      </c>
      <c r="N1640" s="39" t="str">
        <f t="shared" si="179"/>
        <v/>
      </c>
      <c r="P1640" s="39" t="str">
        <f t="shared" si="180"/>
        <v/>
      </c>
      <c r="R1640" s="39" t="str">
        <f t="shared" si="181"/>
        <v/>
      </c>
      <c r="S1640" s="28"/>
      <c r="T1640" s="28"/>
      <c r="U1640" s="28"/>
    </row>
    <row r="1641" spans="1:21" s="5" customFormat="1">
      <c r="A1641" s="179" t="s">
        <v>2025</v>
      </c>
      <c r="B1641" s="185" t="s">
        <v>6275</v>
      </c>
      <c r="C1641" s="35" t="str">
        <f t="shared" si="175"/>
        <v>ImruulQays</v>
      </c>
      <c r="E1641" s="40"/>
      <c r="F1641" s="15" t="s">
        <v>2026</v>
      </c>
      <c r="G1641" s="17"/>
      <c r="H1641" s="10" t="s">
        <v>8563</v>
      </c>
      <c r="I1641" s="4" t="str">
        <f t="shared" si="176"/>
        <v>|Imru’u’l-Qays|</v>
      </c>
      <c r="J1641" s="3" t="str">
        <f t="shared" si="177"/>
        <v>|Imru'u'l-Qays|</v>
      </c>
      <c r="K1641" s="3" t="str">
        <f t="shared" si="178"/>
        <v>Imruul-Qays</v>
      </c>
      <c r="N1641" s="39" t="str">
        <f t="shared" si="179"/>
        <v/>
      </c>
      <c r="P1641" s="39" t="str">
        <f t="shared" si="180"/>
        <v/>
      </c>
      <c r="R1641" s="39" t="str">
        <f t="shared" si="181"/>
        <v/>
      </c>
      <c r="S1641" s="28"/>
      <c r="T1641" s="28"/>
      <c r="U1641" s="28"/>
    </row>
    <row r="1642" spans="1:21" s="5" customFormat="1">
      <c r="A1642" s="179" t="s">
        <v>2027</v>
      </c>
      <c r="B1642" s="185" t="s">
        <v>6276</v>
      </c>
      <c r="C1642" s="35" t="str">
        <f t="shared" si="175"/>
        <v>Imtiyaz</v>
      </c>
      <c r="E1642" s="40"/>
      <c r="F1642" s="14"/>
      <c r="G1642" s="17"/>
      <c r="H1642" s="10" t="s">
        <v>8563</v>
      </c>
      <c r="I1642" s="4" t="str">
        <f t="shared" si="176"/>
        <v>|Imtíyáz|</v>
      </c>
      <c r="J1642" s="3" t="str">
        <f t="shared" si="177"/>
        <v>|Imtiyaz|</v>
      </c>
      <c r="K1642" s="3" t="str">
        <f t="shared" si="178"/>
        <v>Imtiyaz</v>
      </c>
      <c r="N1642" s="39" t="str">
        <f t="shared" si="179"/>
        <v/>
      </c>
      <c r="P1642" s="39" t="str">
        <f t="shared" si="180"/>
        <v/>
      </c>
      <c r="R1642" s="39" t="str">
        <f t="shared" si="181"/>
        <v/>
      </c>
      <c r="S1642" s="28"/>
      <c r="T1642" s="28"/>
      <c r="U1642" s="28"/>
    </row>
    <row r="1643" spans="1:21" s="5" customFormat="1">
      <c r="A1643" s="179" t="s">
        <v>2028</v>
      </c>
      <c r="B1643" s="185" t="s">
        <v>6277</v>
      </c>
      <c r="C1643" s="35" t="str">
        <f t="shared" si="175"/>
        <v>In</v>
      </c>
      <c r="E1643" s="40"/>
      <c r="F1643" s="15"/>
      <c r="G1643" s="17"/>
      <c r="H1643" s="10" t="s">
        <v>8563</v>
      </c>
      <c r="I1643" s="4" t="str">
        <f t="shared" si="176"/>
        <v>|Ín|</v>
      </c>
      <c r="J1643" s="3" t="str">
        <f t="shared" si="177"/>
        <v>|In|</v>
      </c>
      <c r="K1643" s="3" t="str">
        <f t="shared" si="178"/>
        <v>In</v>
      </c>
      <c r="L1643" s="5" t="s">
        <v>9067</v>
      </c>
      <c r="N1643" s="39" t="str">
        <f t="shared" si="179"/>
        <v/>
      </c>
      <c r="P1643" s="39" t="str">
        <f t="shared" si="180"/>
        <v/>
      </c>
      <c r="R1643" s="39" t="str">
        <f t="shared" si="181"/>
        <v/>
      </c>
      <c r="S1643" s="28"/>
      <c r="T1643" s="28"/>
      <c r="U1643" s="28"/>
    </row>
    <row r="1644" spans="1:21" s="5" customFormat="1">
      <c r="A1644" s="179" t="s">
        <v>2029</v>
      </c>
      <c r="B1644" s="185" t="s">
        <v>6278</v>
      </c>
      <c r="C1644" s="35" t="str">
        <f t="shared" si="175"/>
        <v>Injil</v>
      </c>
      <c r="E1644" s="40"/>
      <c r="F1644" s="15" t="s">
        <v>2030</v>
      </c>
      <c r="G1644" s="17"/>
      <c r="H1644" s="10" t="s">
        <v>8563</v>
      </c>
      <c r="I1644" s="4" t="str">
        <f t="shared" si="176"/>
        <v>|Injíl|</v>
      </c>
      <c r="J1644" s="3" t="str">
        <f t="shared" si="177"/>
        <v>|Injil|</v>
      </c>
      <c r="K1644" s="3" t="str">
        <f t="shared" si="178"/>
        <v>Injil</v>
      </c>
      <c r="N1644" s="39" t="str">
        <f t="shared" si="179"/>
        <v/>
      </c>
      <c r="P1644" s="39" t="str">
        <f t="shared" si="180"/>
        <v/>
      </c>
      <c r="R1644" s="39" t="str">
        <f t="shared" si="181"/>
        <v/>
      </c>
      <c r="S1644" s="28"/>
      <c r="T1644" s="28"/>
      <c r="U1644" s="28"/>
    </row>
    <row r="1645" spans="1:21" s="5" customFormat="1">
      <c r="A1645" s="179" t="s">
        <v>2031</v>
      </c>
      <c r="B1645" s="185" t="s">
        <v>6279</v>
      </c>
      <c r="C1645" s="35" t="str">
        <f t="shared" si="175"/>
        <v>Inshallah</v>
      </c>
      <c r="E1645" s="40"/>
      <c r="F1645" s="15"/>
      <c r="G1645" s="17"/>
      <c r="H1645" s="10" t="s">
        <v>8563</v>
      </c>
      <c r="I1645" s="4" t="str">
        <f t="shared" si="176"/>
        <v>|Iná’lláh|</v>
      </c>
      <c r="J1645" s="3" t="str">
        <f t="shared" si="177"/>
        <v>|Insha'llah|</v>
      </c>
      <c r="K1645" s="3" t="str">
        <f t="shared" si="178"/>
        <v>Inshallah</v>
      </c>
      <c r="N1645" s="39" t="str">
        <f t="shared" si="179"/>
        <v/>
      </c>
      <c r="P1645" s="39" t="str">
        <f t="shared" si="180"/>
        <v/>
      </c>
      <c r="R1645" s="39" t="str">
        <f t="shared" si="181"/>
        <v/>
      </c>
      <c r="S1645" s="28"/>
      <c r="T1645" s="28"/>
      <c r="U1645" s="28"/>
    </row>
    <row r="1646" spans="1:21" s="5" customFormat="1">
      <c r="A1646" s="179" t="s">
        <v>2032</v>
      </c>
      <c r="B1646" s="185" t="s">
        <v>66</v>
      </c>
      <c r="C1646" s="35" t="str">
        <f t="shared" si="175"/>
        <v>Iqan</v>
      </c>
      <c r="E1646" s="40"/>
      <c r="F1646" s="14" t="s">
        <v>2033</v>
      </c>
      <c r="G1646" s="17"/>
      <c r="H1646" s="10" t="s">
        <v>8563</v>
      </c>
      <c r="I1646" s="4" t="str">
        <f t="shared" si="176"/>
        <v>|Íqán|</v>
      </c>
      <c r="J1646" s="3" t="str">
        <f t="shared" si="177"/>
        <v>|Iqan|</v>
      </c>
      <c r="K1646" s="3" t="str">
        <f t="shared" si="178"/>
        <v>Iqan</v>
      </c>
      <c r="N1646" s="39" t="str">
        <f t="shared" si="179"/>
        <v/>
      </c>
      <c r="P1646" s="39" t="str">
        <f t="shared" si="180"/>
        <v/>
      </c>
      <c r="R1646" s="39" t="str">
        <f t="shared" si="181"/>
        <v/>
      </c>
      <c r="S1646" s="28"/>
      <c r="T1646" s="29">
        <v>41796</v>
      </c>
      <c r="U1646" s="28" t="s">
        <v>9371</v>
      </c>
    </row>
    <row r="1647" spans="1:21" s="5" customFormat="1">
      <c r="A1647" s="179" t="s">
        <v>2034</v>
      </c>
      <c r="B1647" s="185" t="s">
        <v>6280</v>
      </c>
      <c r="C1647" s="35" t="str">
        <f t="shared" si="175"/>
        <v>IqbaludDawlih</v>
      </c>
      <c r="E1647" s="40"/>
      <c r="F1647" s="15"/>
      <c r="G1647" s="17"/>
      <c r="H1647" s="10" t="s">
        <v>8563</v>
      </c>
      <c r="I1647" s="4" t="str">
        <f t="shared" si="176"/>
        <v>|Iqbálu’d-Dawlih|</v>
      </c>
      <c r="J1647" s="3" t="str">
        <f t="shared" si="177"/>
        <v>|Iqbalu'd-Dawlih|</v>
      </c>
      <c r="K1647" s="3" t="str">
        <f t="shared" si="178"/>
        <v>Iqbalud-Dawlih</v>
      </c>
      <c r="N1647" s="39" t="str">
        <f t="shared" si="179"/>
        <v/>
      </c>
      <c r="P1647" s="39" t="str">
        <f t="shared" si="180"/>
        <v/>
      </c>
      <c r="R1647" s="39" t="str">
        <f t="shared" si="181"/>
        <v/>
      </c>
      <c r="S1647" s="28"/>
      <c r="T1647" s="28"/>
      <c r="U1647" s="28"/>
    </row>
    <row r="1648" spans="1:21" s="5" customFormat="1">
      <c r="A1648" s="179" t="s">
        <v>2035</v>
      </c>
      <c r="B1648" s="185" t="s">
        <v>6281</v>
      </c>
      <c r="C1648" s="35" t="str">
        <f t="shared" si="175"/>
        <v>Iqtibas</v>
      </c>
      <c r="E1648" s="40"/>
      <c r="F1648" s="15"/>
      <c r="G1648" s="17"/>
      <c r="H1648" s="10" t="s">
        <v>8563</v>
      </c>
      <c r="I1648" s="4" t="str">
        <f t="shared" si="176"/>
        <v>|Iqtibás|</v>
      </c>
      <c r="J1648" s="3" t="str">
        <f t="shared" si="177"/>
        <v>|Iqtibas|</v>
      </c>
      <c r="K1648" s="3" t="str">
        <f t="shared" si="178"/>
        <v>Iqtibas</v>
      </c>
      <c r="N1648" s="39" t="str">
        <f t="shared" si="179"/>
        <v/>
      </c>
      <c r="P1648" s="39" t="str">
        <f t="shared" si="180"/>
        <v/>
      </c>
      <c r="R1648" s="39" t="str">
        <f t="shared" si="181"/>
        <v/>
      </c>
      <c r="S1648" s="28"/>
      <c r="T1648" s="28"/>
      <c r="U1648" s="28"/>
    </row>
    <row r="1649" spans="1:21" s="5" customFormat="1">
      <c r="A1649" s="179" t="s">
        <v>2036</v>
      </c>
      <c r="B1649" s="185" t="s">
        <v>6282</v>
      </c>
      <c r="C1649" s="35" t="str">
        <f t="shared" si="175"/>
        <v>Irad</v>
      </c>
      <c r="E1649" s="40"/>
      <c r="F1649" s="15"/>
      <c r="G1649" s="17"/>
      <c r="H1649" s="10" t="s">
        <v>8563</v>
      </c>
      <c r="I1649" s="4" t="str">
        <f t="shared" si="176"/>
        <v>|Iʿrád|</v>
      </c>
      <c r="J1649" s="3" t="str">
        <f t="shared" si="177"/>
        <v>|I'rad|</v>
      </c>
      <c r="K1649" s="3" t="str">
        <f t="shared" si="178"/>
        <v>Irad</v>
      </c>
      <c r="N1649" s="39" t="str">
        <f t="shared" si="179"/>
        <v/>
      </c>
      <c r="P1649" s="39" t="str">
        <f t="shared" si="180"/>
        <v/>
      </c>
      <c r="R1649" s="39" t="str">
        <f t="shared" si="181"/>
        <v/>
      </c>
      <c r="S1649" s="28"/>
      <c r="T1649" s="28"/>
      <c r="U1649" s="28"/>
    </row>
    <row r="1650" spans="1:21" s="5" customFormat="1">
      <c r="A1650" s="179" t="s">
        <v>2037</v>
      </c>
      <c r="B1650" s="185" t="s">
        <v>6283</v>
      </c>
      <c r="C1650" s="35" t="str">
        <f t="shared" si="175"/>
        <v>Iradih</v>
      </c>
      <c r="E1650" s="40"/>
      <c r="F1650" s="15" t="s">
        <v>2038</v>
      </c>
      <c r="G1650" s="17"/>
      <c r="H1650" s="10" t="s">
        <v>8563</v>
      </c>
      <c r="I1650" s="4" t="str">
        <f t="shared" si="176"/>
        <v>|Irádih|</v>
      </c>
      <c r="J1650" s="3" t="str">
        <f t="shared" si="177"/>
        <v>|Iradih|</v>
      </c>
      <c r="K1650" s="3" t="str">
        <f t="shared" si="178"/>
        <v>Iradih</v>
      </c>
      <c r="N1650" s="39" t="str">
        <f t="shared" si="179"/>
        <v/>
      </c>
      <c r="P1650" s="39" t="str">
        <f t="shared" si="180"/>
        <v/>
      </c>
      <c r="R1650" s="39" t="str">
        <f t="shared" si="181"/>
        <v/>
      </c>
      <c r="S1650" s="28"/>
      <c r="T1650" s="28"/>
      <c r="U1650" s="28"/>
    </row>
    <row r="1651" spans="1:21" s="5" customFormat="1">
      <c r="A1651" s="179" t="s">
        <v>2039</v>
      </c>
      <c r="B1651" s="185" t="s">
        <v>6284</v>
      </c>
      <c r="C1651" s="35" t="str">
        <f t="shared" si="175"/>
        <v>Iraj</v>
      </c>
      <c r="E1651" s="40"/>
      <c r="F1651" s="14"/>
      <c r="G1651" s="17"/>
      <c r="H1651" s="10" t="s">
        <v>8563</v>
      </c>
      <c r="I1651" s="4" t="str">
        <f t="shared" si="176"/>
        <v>|Íraj|</v>
      </c>
      <c r="J1651" s="3" t="str">
        <f t="shared" si="177"/>
        <v>|Iraj|</v>
      </c>
      <c r="K1651" s="3" t="str">
        <f t="shared" si="178"/>
        <v>Iraj</v>
      </c>
      <c r="N1651" s="39" t="str">
        <f t="shared" si="179"/>
        <v/>
      </c>
      <c r="P1651" s="39" t="str">
        <f t="shared" si="180"/>
        <v/>
      </c>
      <c r="R1651" s="39" t="str">
        <f t="shared" si="181"/>
        <v/>
      </c>
      <c r="S1651" s="28"/>
      <c r="T1651" s="28"/>
      <c r="U1651" s="28"/>
    </row>
    <row r="1652" spans="1:21" s="5" customFormat="1">
      <c r="A1652" s="179" t="s">
        <v>2040</v>
      </c>
      <c r="B1652" s="185" t="s">
        <v>17</v>
      </c>
      <c r="C1652" s="35" t="str">
        <f t="shared" si="175"/>
        <v>Iran</v>
      </c>
      <c r="E1652" s="40"/>
      <c r="F1652" s="14"/>
      <c r="G1652" s="17"/>
      <c r="H1652" s="10" t="s">
        <v>8563</v>
      </c>
      <c r="I1652" s="4" t="str">
        <f t="shared" si="176"/>
        <v>|Írán|</v>
      </c>
      <c r="J1652" s="3" t="str">
        <f t="shared" si="177"/>
        <v>|Iran|</v>
      </c>
      <c r="K1652" s="3" t="str">
        <f t="shared" si="178"/>
        <v>Iran</v>
      </c>
      <c r="N1652" s="39" t="str">
        <f t="shared" si="179"/>
        <v/>
      </c>
      <c r="P1652" s="39" t="str">
        <f t="shared" si="180"/>
        <v/>
      </c>
      <c r="R1652" s="39" t="str">
        <f t="shared" si="181"/>
        <v/>
      </c>
      <c r="S1652" s="28"/>
      <c r="T1652" s="29">
        <v>41799</v>
      </c>
      <c r="U1652" s="28" t="s">
        <v>9453</v>
      </c>
    </row>
    <row r="1653" spans="1:21" s="5" customFormat="1">
      <c r="A1653" s="179" t="s">
        <v>2041</v>
      </c>
      <c r="B1653" s="185" t="s">
        <v>6285</v>
      </c>
      <c r="C1653" s="35" t="str">
        <f t="shared" si="175"/>
        <v>Irani</v>
      </c>
      <c r="E1653" s="40"/>
      <c r="F1653" s="15"/>
      <c r="G1653" s="17"/>
      <c r="H1653" s="10" t="s">
        <v>8563</v>
      </c>
      <c r="I1653" s="4" t="str">
        <f t="shared" si="176"/>
        <v>|Írání|</v>
      </c>
      <c r="J1653" s="3" t="str">
        <f t="shared" si="177"/>
        <v>|Irani|</v>
      </c>
      <c r="K1653" s="3" t="str">
        <f t="shared" si="178"/>
        <v>Irani</v>
      </c>
      <c r="N1653" s="39" t="str">
        <f t="shared" si="179"/>
        <v/>
      </c>
      <c r="P1653" s="39" t="str">
        <f t="shared" si="180"/>
        <v/>
      </c>
      <c r="R1653" s="39" t="str">
        <f t="shared" si="181"/>
        <v/>
      </c>
      <c r="S1653" s="28"/>
      <c r="T1653" s="28"/>
      <c r="U1653" s="28"/>
    </row>
    <row r="1654" spans="1:21" s="5" customFormat="1">
      <c r="A1654" s="179" t="s">
        <v>2042</v>
      </c>
      <c r="B1654" s="185" t="s">
        <v>6286</v>
      </c>
      <c r="C1654" s="35" t="str">
        <f t="shared" si="175"/>
        <v>Iranian</v>
      </c>
      <c r="E1654" s="40"/>
      <c r="F1654" s="14"/>
      <c r="G1654" s="17"/>
      <c r="H1654" s="10" t="s">
        <v>8563</v>
      </c>
      <c r="I1654" s="4" t="str">
        <f t="shared" si="176"/>
        <v>|Íráníán|</v>
      </c>
      <c r="J1654" s="3" t="str">
        <f t="shared" si="177"/>
        <v>|Iranian|</v>
      </c>
      <c r="K1654" s="3" t="str">
        <f t="shared" si="178"/>
        <v>Iranian</v>
      </c>
      <c r="N1654" s="39" t="str">
        <f t="shared" si="179"/>
        <v/>
      </c>
      <c r="P1654" s="39" t="str">
        <f t="shared" si="180"/>
        <v/>
      </c>
      <c r="R1654" s="39" t="str">
        <f t="shared" si="181"/>
        <v/>
      </c>
      <c r="S1654" s="28"/>
      <c r="T1654" s="28"/>
      <c r="U1654" s="28"/>
    </row>
    <row r="1655" spans="1:21" s="5" customFormat="1">
      <c r="A1655" s="179" t="s">
        <v>887</v>
      </c>
      <c r="B1655" s="185" t="s">
        <v>18</v>
      </c>
      <c r="C1655" s="35" t="str">
        <f t="shared" si="175"/>
        <v>Iraq</v>
      </c>
      <c r="E1655" s="40"/>
      <c r="F1655" s="14"/>
      <c r="G1655" s="17"/>
      <c r="H1655" s="10" t="s">
        <v>8563</v>
      </c>
      <c r="I1655" s="4" t="str">
        <f t="shared" si="176"/>
        <v>|ʿIráq|</v>
      </c>
      <c r="J1655" s="3" t="str">
        <f t="shared" si="177"/>
        <v>|'Iraq|</v>
      </c>
      <c r="K1655" s="3" t="str">
        <f t="shared" si="178"/>
        <v>Iraq</v>
      </c>
      <c r="N1655" s="39" t="str">
        <f t="shared" si="179"/>
        <v/>
      </c>
      <c r="P1655" s="39" t="str">
        <f t="shared" si="180"/>
        <v/>
      </c>
      <c r="R1655" s="39" t="str">
        <f t="shared" si="181"/>
        <v/>
      </c>
      <c r="S1655" s="28"/>
      <c r="T1655" s="29">
        <v>41796</v>
      </c>
      <c r="U1655" s="28" t="s">
        <v>9454</v>
      </c>
    </row>
    <row r="1656" spans="1:21" s="5" customFormat="1">
      <c r="A1656" s="179" t="s">
        <v>2043</v>
      </c>
      <c r="B1656" s="185" t="s">
        <v>6287</v>
      </c>
      <c r="C1656" s="35" t="str">
        <f t="shared" si="175"/>
        <v>Iraqi</v>
      </c>
      <c r="E1656" s="40"/>
      <c r="F1656" s="14"/>
      <c r="G1656" s="17"/>
      <c r="H1656" s="10" t="s">
        <v>8563</v>
      </c>
      <c r="I1656" s="4" t="str">
        <f t="shared" si="176"/>
        <v>|ʿIráqí|</v>
      </c>
      <c r="J1656" s="3" t="str">
        <f t="shared" si="177"/>
        <v>|'Iraqi|</v>
      </c>
      <c r="K1656" s="3" t="str">
        <f t="shared" si="178"/>
        <v>Iraqi</v>
      </c>
      <c r="N1656" s="39" t="str">
        <f t="shared" si="179"/>
        <v/>
      </c>
      <c r="P1656" s="39" t="str">
        <f t="shared" si="180"/>
        <v/>
      </c>
      <c r="R1656" s="39" t="str">
        <f t="shared" si="181"/>
        <v/>
      </c>
      <c r="S1656" s="28"/>
      <c r="T1656" s="28"/>
      <c r="U1656" s="28"/>
    </row>
    <row r="1657" spans="1:21" s="5" customFormat="1">
      <c r="A1657" s="179" t="s">
        <v>2044</v>
      </c>
      <c r="B1657" s="185" t="s">
        <v>6288</v>
      </c>
      <c r="C1657" s="35" t="str">
        <f t="shared" si="175"/>
        <v>IraqiAjam</v>
      </c>
      <c r="E1657" s="40"/>
      <c r="F1657" s="14"/>
      <c r="G1657" s="17"/>
      <c r="H1657" s="10" t="s">
        <v>8563</v>
      </c>
      <c r="I1657" s="4" t="str">
        <f t="shared" si="176"/>
        <v>|ʿIráq-i-ʿAjam|</v>
      </c>
      <c r="J1657" s="3" t="str">
        <f t="shared" si="177"/>
        <v>|'Iraq-i-'Ajam|</v>
      </c>
      <c r="K1657" s="3" t="str">
        <f t="shared" si="178"/>
        <v>Iraq-i-Ajam</v>
      </c>
      <c r="N1657" s="39" t="str">
        <f t="shared" si="179"/>
        <v/>
      </c>
      <c r="P1657" s="39" t="str">
        <f t="shared" si="180"/>
        <v/>
      </c>
      <c r="R1657" s="39" t="str">
        <f t="shared" si="181"/>
        <v/>
      </c>
      <c r="S1657" s="28"/>
      <c r="T1657" s="28"/>
      <c r="U1657" s="28"/>
    </row>
    <row r="1658" spans="1:21" s="5" customFormat="1">
      <c r="A1658" s="179" t="s">
        <v>2045</v>
      </c>
      <c r="B1658" s="185" t="s">
        <v>6289</v>
      </c>
      <c r="C1658" s="35" t="str">
        <f t="shared" si="175"/>
        <v>IraqiAjami</v>
      </c>
      <c r="E1658" s="40"/>
      <c r="F1658" s="15"/>
      <c r="G1658" s="17"/>
      <c r="H1658" s="10" t="s">
        <v>8563</v>
      </c>
      <c r="I1658" s="4" t="str">
        <f t="shared" si="176"/>
        <v>|ʿIráq-i-ʿAjamí|</v>
      </c>
      <c r="J1658" s="3" t="str">
        <f t="shared" si="177"/>
        <v>|'Iraq-i-'Ajami|</v>
      </c>
      <c r="K1658" s="3" t="str">
        <f t="shared" si="178"/>
        <v>Iraq-i-Ajami</v>
      </c>
      <c r="N1658" s="39" t="str">
        <f t="shared" si="179"/>
        <v/>
      </c>
      <c r="P1658" s="39" t="str">
        <f t="shared" si="180"/>
        <v/>
      </c>
      <c r="R1658" s="39" t="str">
        <f t="shared" si="181"/>
        <v/>
      </c>
      <c r="S1658" s="28"/>
      <c r="T1658" s="28"/>
      <c r="U1658" s="28"/>
    </row>
    <row r="1659" spans="1:21" s="5" customFormat="1">
      <c r="A1659" s="179" t="s">
        <v>2046</v>
      </c>
      <c r="B1659" s="185" t="s">
        <v>6290</v>
      </c>
      <c r="C1659" s="35" t="str">
        <f t="shared" si="175"/>
        <v>IraqiArab</v>
      </c>
      <c r="E1659" s="40"/>
      <c r="F1659" s="14"/>
      <c r="G1659" s="17"/>
      <c r="H1659" s="10" t="s">
        <v>8563</v>
      </c>
      <c r="I1659" s="4" t="str">
        <f t="shared" si="176"/>
        <v>|ʿIráq-i-ʿArab|</v>
      </c>
      <c r="J1659" s="3" t="str">
        <f t="shared" si="177"/>
        <v>|'Iraq-i-'Arab|</v>
      </c>
      <c r="K1659" s="3" t="str">
        <f t="shared" si="178"/>
        <v>Iraq-i-Arab</v>
      </c>
      <c r="N1659" s="39" t="str">
        <f t="shared" si="179"/>
        <v/>
      </c>
      <c r="P1659" s="39" t="str">
        <f t="shared" si="180"/>
        <v/>
      </c>
      <c r="R1659" s="39" t="str">
        <f t="shared" si="181"/>
        <v/>
      </c>
      <c r="S1659" s="28"/>
      <c r="T1659" s="28"/>
      <c r="U1659" s="28"/>
    </row>
    <row r="1660" spans="1:21" s="5" customFormat="1">
      <c r="A1660" s="179" t="s">
        <v>2047</v>
      </c>
      <c r="B1660" s="185" t="s">
        <v>6291</v>
      </c>
      <c r="C1660" s="35" t="str">
        <f t="shared" si="175"/>
        <v>IraqiAzam</v>
      </c>
      <c r="E1660" s="40"/>
      <c r="F1660" s="15"/>
      <c r="G1660" s="17"/>
      <c r="H1660" s="10" t="s">
        <v>8563</v>
      </c>
      <c r="I1660" s="4" t="str">
        <f t="shared" si="176"/>
        <v>|ʿIráq-i-Aʿẓam|</v>
      </c>
      <c r="J1660" s="3" t="str">
        <f t="shared" si="177"/>
        <v>|'Iraq-i-A'zam|</v>
      </c>
      <c r="K1660" s="3" t="str">
        <f t="shared" si="178"/>
        <v>Iraq-i-Azam</v>
      </c>
      <c r="N1660" s="39" t="str">
        <f t="shared" si="179"/>
        <v/>
      </c>
      <c r="P1660" s="39" t="str">
        <f t="shared" si="180"/>
        <v/>
      </c>
      <c r="R1660" s="39" t="str">
        <f t="shared" si="181"/>
        <v/>
      </c>
      <c r="S1660" s="28"/>
      <c r="T1660" s="28"/>
      <c r="U1660" s="28"/>
    </row>
    <row r="1661" spans="1:21" s="5" customFormat="1">
      <c r="A1661" s="179" t="s">
        <v>2048</v>
      </c>
      <c r="B1661" s="185" t="s">
        <v>6292</v>
      </c>
      <c r="C1661" s="35" t="str">
        <f t="shared" si="175"/>
        <v>Iravan</v>
      </c>
      <c r="E1661" s="40"/>
      <c r="F1661" s="14"/>
      <c r="G1661" s="17"/>
      <c r="H1661" s="10" t="s">
        <v>8563</v>
      </c>
      <c r="I1661" s="4" t="str">
        <f t="shared" si="176"/>
        <v>|Íraván|</v>
      </c>
      <c r="J1661" s="3" t="str">
        <f t="shared" si="177"/>
        <v>|Iravan|</v>
      </c>
      <c r="K1661" s="3" t="str">
        <f t="shared" si="178"/>
        <v>Iravan</v>
      </c>
      <c r="N1661" s="39" t="str">
        <f t="shared" si="179"/>
        <v/>
      </c>
      <c r="P1661" s="39" t="str">
        <f t="shared" si="180"/>
        <v/>
      </c>
      <c r="R1661" s="39" t="str">
        <f t="shared" si="181"/>
        <v/>
      </c>
      <c r="S1661" s="28"/>
      <c r="T1661" s="28"/>
      <c r="U1661" s="28"/>
    </row>
    <row r="1662" spans="1:21" s="5" customFormat="1">
      <c r="A1662" s="179" t="s">
        <v>893</v>
      </c>
      <c r="B1662" s="185" t="s">
        <v>6293</v>
      </c>
      <c r="C1662" s="35" t="str">
        <f t="shared" si="175"/>
        <v>Irbil</v>
      </c>
      <c r="E1662" s="40"/>
      <c r="F1662" s="14"/>
      <c r="G1662" s="17"/>
      <c r="H1662" s="10" t="s">
        <v>8563</v>
      </c>
      <c r="I1662" s="4" t="str">
        <f t="shared" si="176"/>
        <v>|Irbíl|</v>
      </c>
      <c r="J1662" s="3" t="str">
        <f t="shared" si="177"/>
        <v>|Irbil|</v>
      </c>
      <c r="K1662" s="3" t="str">
        <f t="shared" si="178"/>
        <v>Irbil</v>
      </c>
      <c r="N1662" s="39" t="str">
        <f t="shared" si="179"/>
        <v/>
      </c>
      <c r="P1662" s="39" t="str">
        <f t="shared" si="180"/>
        <v/>
      </c>
      <c r="R1662" s="39" t="str">
        <f t="shared" si="181"/>
        <v/>
      </c>
      <c r="S1662" s="28"/>
      <c r="T1662" s="28"/>
      <c r="U1662" s="28"/>
    </row>
    <row r="1663" spans="1:21" s="5" customFormat="1">
      <c r="A1663" s="179" t="s">
        <v>2049</v>
      </c>
      <c r="B1663" s="185" t="s">
        <v>9058</v>
      </c>
      <c r="C1663" s="35" t="str">
        <f t="shared" si="175"/>
        <v>Irfan</v>
      </c>
      <c r="E1663" s="40"/>
      <c r="F1663" s="15" t="s">
        <v>2050</v>
      </c>
      <c r="G1663" s="17"/>
      <c r="H1663" s="10" t="s">
        <v>8563</v>
      </c>
      <c r="I1663" s="4" t="str">
        <f t="shared" si="176"/>
        <v>|ʿIrfán|</v>
      </c>
      <c r="J1663" s="3" t="str">
        <f t="shared" si="177"/>
        <v>|'Irfan|</v>
      </c>
      <c r="K1663" s="3" t="str">
        <f t="shared" si="178"/>
        <v>Irfan</v>
      </c>
      <c r="N1663" s="39" t="str">
        <f t="shared" si="179"/>
        <v/>
      </c>
      <c r="P1663" s="39" t="str">
        <f t="shared" si="180"/>
        <v/>
      </c>
      <c r="R1663" s="39" t="str">
        <f t="shared" si="181"/>
        <v/>
      </c>
      <c r="S1663" s="28"/>
      <c r="T1663" s="28"/>
      <c r="U1663" s="28"/>
    </row>
    <row r="1664" spans="1:21" s="5" customFormat="1">
      <c r="A1664" s="179" t="s">
        <v>2051</v>
      </c>
      <c r="B1664" s="185" t="s">
        <v>6294</v>
      </c>
      <c r="C1664" s="35" t="str">
        <f t="shared" si="175"/>
        <v>Irshad</v>
      </c>
      <c r="E1664" s="40"/>
      <c r="F1664" s="15"/>
      <c r="G1664" s="17"/>
      <c r="H1664" s="10" t="s">
        <v>8563</v>
      </c>
      <c r="I1664" s="4" t="str">
        <f t="shared" si="176"/>
        <v>|Irád|</v>
      </c>
      <c r="J1664" s="3" t="str">
        <f t="shared" si="177"/>
        <v>|Irshad|</v>
      </c>
      <c r="K1664" s="3" t="str">
        <f t="shared" si="178"/>
        <v>Irshad</v>
      </c>
      <c r="N1664" s="39" t="str">
        <f t="shared" si="179"/>
        <v/>
      </c>
      <c r="P1664" s="39" t="str">
        <f t="shared" si="180"/>
        <v/>
      </c>
      <c r="R1664" s="39" t="str">
        <f t="shared" si="181"/>
        <v/>
      </c>
      <c r="S1664" s="28"/>
      <c r="T1664" s="28"/>
      <c r="U1664" s="28"/>
    </row>
    <row r="1665" spans="1:21" s="5" customFormat="1">
      <c r="A1665" s="179" t="s">
        <v>2052</v>
      </c>
      <c r="B1665" s="185" t="s">
        <v>6295</v>
      </c>
      <c r="C1665" s="35" t="str">
        <f t="shared" si="175"/>
        <v>Irshadi</v>
      </c>
      <c r="E1665" s="40"/>
      <c r="F1665" s="15"/>
      <c r="G1665" s="17"/>
      <c r="H1665" s="10" t="s">
        <v>8563</v>
      </c>
      <c r="I1665" s="4" t="str">
        <f t="shared" si="176"/>
        <v>|Irádí|</v>
      </c>
      <c r="J1665" s="3" t="str">
        <f t="shared" si="177"/>
        <v>|Irshadi|</v>
      </c>
      <c r="K1665" s="3" t="str">
        <f t="shared" si="178"/>
        <v>Irshadi</v>
      </c>
      <c r="N1665" s="39" t="str">
        <f t="shared" si="179"/>
        <v/>
      </c>
      <c r="P1665" s="39" t="str">
        <f t="shared" si="180"/>
        <v/>
      </c>
      <c r="R1665" s="39" t="str">
        <f t="shared" si="181"/>
        <v/>
      </c>
      <c r="S1665" s="28"/>
      <c r="T1665" s="28"/>
      <c r="U1665" s="28"/>
    </row>
    <row r="1666" spans="1:21" s="5" customFormat="1">
      <c r="A1666" s="179" t="s">
        <v>2053</v>
      </c>
      <c r="B1666" s="185" t="s">
        <v>6296</v>
      </c>
      <c r="C1666" s="35" t="str">
        <f t="shared" si="175"/>
        <v>IrshadulAvam</v>
      </c>
      <c r="E1666" s="40"/>
      <c r="F1666" s="15" t="s">
        <v>8589</v>
      </c>
      <c r="G1666" s="17"/>
      <c r="H1666" s="10" t="s">
        <v>8563</v>
      </c>
      <c r="I1666" s="4" t="str">
        <f t="shared" si="176"/>
        <v>|Irádu’l-ʿAvám|</v>
      </c>
      <c r="J1666" s="3" t="str">
        <f t="shared" si="177"/>
        <v>|Irshadu'l-'Avam|</v>
      </c>
      <c r="K1666" s="3" t="str">
        <f t="shared" si="178"/>
        <v>Irshadul-Avam</v>
      </c>
      <c r="N1666" s="39" t="str">
        <f t="shared" si="179"/>
        <v/>
      </c>
      <c r="P1666" s="39" t="str">
        <f t="shared" si="180"/>
        <v/>
      </c>
      <c r="R1666" s="39" t="str">
        <f t="shared" si="181"/>
        <v/>
      </c>
      <c r="S1666" s="28"/>
      <c r="T1666" s="28"/>
      <c r="U1666" s="28"/>
    </row>
    <row r="1667" spans="1:21" s="5" customFormat="1">
      <c r="A1667" s="179" t="s">
        <v>2054</v>
      </c>
      <c r="B1667" s="185" t="s">
        <v>6297</v>
      </c>
      <c r="C1667" s="35" t="str">
        <f t="shared" ref="C1667:C1730" si="182">SUBSTITUTE(SUBSTITUTE(K1667,"-","")," ","")</f>
        <v>Irtibat</v>
      </c>
      <c r="E1667" s="40"/>
      <c r="F1667" s="15"/>
      <c r="G1667" s="17"/>
      <c r="H1667" s="10" t="s">
        <v>8563</v>
      </c>
      <c r="I1667" s="4" t="str">
        <f t="shared" ref="I1667:I1730" si="183">CONCATENATE("|",B1667,"|")</f>
        <v>|ʿIrtibáṭ|</v>
      </c>
      <c r="J1667" s="3" t="str">
        <f t="shared" ref="J1667:J1730" si="184">CONCATENATE("|",F_OutputASCII(B1667),"|")</f>
        <v>|'Irtibat|</v>
      </c>
      <c r="K1667" s="3" t="str">
        <f t="shared" ref="K1667:K1730" si="185">IF(SUBSTITUTE(MID(J1667,2,LEN(J1667)-2),"'","")&lt;&gt;"",SUBSTITUTE(MID(J1667,2,LEN(J1667)-2),"'",""),"ZZZZZ")</f>
        <v>Irtibat</v>
      </c>
      <c r="N1667" s="39" t="str">
        <f t="shared" ref="N1667:N1730" si="186">SUBSTITUTE(SUBSTITUTE(SUBSTITUTE(F_OutputASCII(M1667),"-","")," ",""),"'","")</f>
        <v/>
      </c>
      <c r="P1667" s="39" t="str">
        <f t="shared" ref="P1667:P1730" si="187">SUBSTITUTE(SUBSTITUTE(SUBSTITUTE(F_OutputASCII(O1667),"-","")," ",""),"'","")</f>
        <v/>
      </c>
      <c r="R1667" s="39" t="str">
        <f t="shared" si="181"/>
        <v/>
      </c>
      <c r="S1667" s="28"/>
      <c r="T1667" s="28"/>
      <c r="U1667" s="28"/>
    </row>
    <row r="1668" spans="1:21" s="5" customFormat="1">
      <c r="A1668" s="179" t="s">
        <v>2055</v>
      </c>
      <c r="B1668" s="185" t="s">
        <v>6298</v>
      </c>
      <c r="C1668" s="35" t="str">
        <f t="shared" si="182"/>
        <v>Irtidad</v>
      </c>
      <c r="E1668" s="40"/>
      <c r="F1668" s="15"/>
      <c r="G1668" s="17"/>
      <c r="H1668" s="10" t="s">
        <v>8563</v>
      </c>
      <c r="I1668" s="4" t="str">
        <f t="shared" si="183"/>
        <v>|Irtidád|</v>
      </c>
      <c r="J1668" s="3" t="str">
        <f t="shared" si="184"/>
        <v>|Irtidad|</v>
      </c>
      <c r="K1668" s="3" t="str">
        <f t="shared" si="185"/>
        <v>Irtidad</v>
      </c>
      <c r="N1668" s="39" t="str">
        <f t="shared" si="186"/>
        <v/>
      </c>
      <c r="P1668" s="39" t="str">
        <f t="shared" si="187"/>
        <v/>
      </c>
      <c r="R1668" s="39" t="str">
        <f t="shared" ref="R1668:R1731" si="188">SUBSTITUTE(SUBSTITUTE(Q1668,"-","")," ","")</f>
        <v/>
      </c>
      <c r="S1668" s="28"/>
      <c r="T1668" s="28"/>
      <c r="U1668" s="28"/>
    </row>
    <row r="1669" spans="1:21" s="5" customFormat="1">
      <c r="A1669" s="179" t="s">
        <v>2056</v>
      </c>
      <c r="B1669" s="185" t="s">
        <v>6299</v>
      </c>
      <c r="C1669" s="35" t="str">
        <f t="shared" si="182"/>
        <v>Isa</v>
      </c>
      <c r="E1669" s="40"/>
      <c r="F1669" s="15" t="s">
        <v>2057</v>
      </c>
      <c r="G1669" s="17"/>
      <c r="H1669" s="10" t="s">
        <v>8563</v>
      </c>
      <c r="I1669" s="4" t="str">
        <f t="shared" si="183"/>
        <v>|ʿÍsá|</v>
      </c>
      <c r="J1669" s="3" t="str">
        <f t="shared" si="184"/>
        <v>|'Isa|</v>
      </c>
      <c r="K1669" s="3" t="str">
        <f t="shared" si="185"/>
        <v>Isa</v>
      </c>
      <c r="N1669" s="39" t="str">
        <f t="shared" si="186"/>
        <v/>
      </c>
      <c r="P1669" s="39" t="str">
        <f t="shared" si="187"/>
        <v/>
      </c>
      <c r="R1669" s="39" t="str">
        <f t="shared" si="188"/>
        <v/>
      </c>
      <c r="S1669" s="28"/>
      <c r="T1669" s="28"/>
      <c r="U1669" s="28"/>
    </row>
    <row r="1670" spans="1:21" s="5" customFormat="1">
      <c r="A1670" s="179" t="s">
        <v>2058</v>
      </c>
      <c r="B1670" s="185" t="s">
        <v>6300</v>
      </c>
      <c r="C1670" s="35" t="str">
        <f t="shared" si="182"/>
        <v>Isfahan</v>
      </c>
      <c r="E1670" s="40"/>
      <c r="F1670" s="14"/>
      <c r="G1670" s="17"/>
      <c r="H1670" s="10" t="s">
        <v>8563</v>
      </c>
      <c r="I1670" s="4" t="str">
        <f t="shared" si="183"/>
        <v>|Iṣfahán|</v>
      </c>
      <c r="J1670" s="3" t="str">
        <f t="shared" si="184"/>
        <v>|Isfahan|</v>
      </c>
      <c r="K1670" s="3" t="str">
        <f t="shared" si="185"/>
        <v>Isfahan</v>
      </c>
      <c r="N1670" s="39" t="str">
        <f t="shared" si="186"/>
        <v/>
      </c>
      <c r="P1670" s="39" t="str">
        <f t="shared" si="187"/>
        <v/>
      </c>
      <c r="R1670" s="39" t="str">
        <f t="shared" si="188"/>
        <v/>
      </c>
      <c r="S1670" s="28"/>
      <c r="T1670" s="28"/>
      <c r="U1670" s="28"/>
    </row>
    <row r="1671" spans="1:21" s="5" customFormat="1">
      <c r="A1671" s="179" t="s">
        <v>2059</v>
      </c>
      <c r="B1671" s="185" t="s">
        <v>6301</v>
      </c>
      <c r="C1671" s="35" t="str">
        <f t="shared" si="182"/>
        <v>Isfahani</v>
      </c>
      <c r="E1671" s="40"/>
      <c r="F1671" s="15"/>
      <c r="G1671" s="17"/>
      <c r="H1671" s="10" t="s">
        <v>8563</v>
      </c>
      <c r="I1671" s="4" t="str">
        <f t="shared" si="183"/>
        <v>|Iṣfahání|</v>
      </c>
      <c r="J1671" s="3" t="str">
        <f t="shared" si="184"/>
        <v>|Isfahani|</v>
      </c>
      <c r="K1671" s="3" t="str">
        <f t="shared" si="185"/>
        <v>Isfahani</v>
      </c>
      <c r="N1671" s="39" t="str">
        <f t="shared" si="186"/>
        <v/>
      </c>
      <c r="P1671" s="39" t="str">
        <f t="shared" si="187"/>
        <v/>
      </c>
      <c r="R1671" s="39" t="str">
        <f t="shared" si="188"/>
        <v/>
      </c>
      <c r="S1671" s="28"/>
      <c r="T1671" s="28"/>
      <c r="U1671" s="28"/>
    </row>
    <row r="1672" spans="1:21" s="5" customFormat="1">
      <c r="A1672" s="179" t="s">
        <v>2060</v>
      </c>
      <c r="B1672" s="185" t="s">
        <v>6302</v>
      </c>
      <c r="C1672" s="35" t="str">
        <f t="shared" si="182"/>
        <v>IsfandAbad</v>
      </c>
      <c r="E1672" s="40"/>
      <c r="F1672" s="14"/>
      <c r="G1672" s="17"/>
      <c r="H1672" s="10" t="s">
        <v>8563</v>
      </c>
      <c r="I1672" s="4" t="str">
        <f t="shared" si="183"/>
        <v>|Isfand-Ábád|</v>
      </c>
      <c r="J1672" s="3" t="str">
        <f t="shared" si="184"/>
        <v>|Isfand-Abad|</v>
      </c>
      <c r="K1672" s="3" t="str">
        <f t="shared" si="185"/>
        <v>Isfand-Abad</v>
      </c>
      <c r="N1672" s="39" t="str">
        <f t="shared" si="186"/>
        <v/>
      </c>
      <c r="P1672" s="39" t="str">
        <f t="shared" si="187"/>
        <v/>
      </c>
      <c r="R1672" s="39" t="str">
        <f t="shared" si="188"/>
        <v/>
      </c>
      <c r="S1672" s="28"/>
      <c r="T1672" s="28"/>
      <c r="U1672" s="28"/>
    </row>
    <row r="1673" spans="1:21" s="5" customFormat="1">
      <c r="A1673" s="179" t="s">
        <v>2061</v>
      </c>
      <c r="B1673" s="185" t="s">
        <v>189</v>
      </c>
      <c r="C1673" s="35" t="str">
        <f t="shared" si="182"/>
        <v>Isfandiyar</v>
      </c>
      <c r="E1673" s="40"/>
      <c r="F1673" s="14"/>
      <c r="G1673" s="17"/>
      <c r="H1673" s="10" t="s">
        <v>8563</v>
      </c>
      <c r="I1673" s="4" t="str">
        <f t="shared" si="183"/>
        <v>|Isfandíyár|</v>
      </c>
      <c r="J1673" s="3" t="str">
        <f t="shared" si="184"/>
        <v>|Isfandiyar|</v>
      </c>
      <c r="K1673" s="3" t="str">
        <f t="shared" si="185"/>
        <v>Isfandiyar</v>
      </c>
      <c r="N1673" s="39" t="str">
        <f t="shared" si="186"/>
        <v/>
      </c>
      <c r="P1673" s="39" t="str">
        <f t="shared" si="187"/>
        <v/>
      </c>
      <c r="R1673" s="39" t="str">
        <f t="shared" si="188"/>
        <v/>
      </c>
      <c r="S1673" s="28"/>
      <c r="T1673" s="28"/>
      <c r="U1673" s="28"/>
    </row>
    <row r="1674" spans="1:21" s="5" customFormat="1">
      <c r="A1674" s="179" t="s">
        <v>2062</v>
      </c>
      <c r="B1674" s="185" t="s">
        <v>6303</v>
      </c>
      <c r="C1674" s="35" t="str">
        <f t="shared" si="182"/>
        <v>Ishaq</v>
      </c>
      <c r="E1674" s="40"/>
      <c r="F1674" s="15" t="s">
        <v>2063</v>
      </c>
      <c r="G1674" s="17"/>
      <c r="H1674" s="10" t="s">
        <v>8563</v>
      </c>
      <c r="I1674" s="4" t="str">
        <f t="shared" si="183"/>
        <v>|Isḥáq|</v>
      </c>
      <c r="J1674" s="3" t="str">
        <f t="shared" si="184"/>
        <v>|Ishaq|</v>
      </c>
      <c r="K1674" s="3" t="str">
        <f t="shared" si="185"/>
        <v>Ishaq</v>
      </c>
      <c r="N1674" s="39" t="str">
        <f t="shared" si="186"/>
        <v/>
      </c>
      <c r="P1674" s="39" t="str">
        <f t="shared" si="187"/>
        <v/>
      </c>
      <c r="R1674" s="39" t="str">
        <f t="shared" si="188"/>
        <v/>
      </c>
      <c r="S1674" s="28"/>
      <c r="T1674" s="28"/>
      <c r="U1674" s="28"/>
    </row>
    <row r="1675" spans="1:21" s="5" customFormat="1">
      <c r="A1675" s="179" t="s">
        <v>2064</v>
      </c>
      <c r="B1675" s="185" t="s">
        <v>6304</v>
      </c>
      <c r="C1675" s="35" t="str">
        <f t="shared" si="182"/>
        <v>Ishqabad</v>
      </c>
      <c r="E1675" s="40"/>
      <c r="F1675" s="14"/>
      <c r="G1675" s="17"/>
      <c r="H1675" s="10" t="s">
        <v>8563</v>
      </c>
      <c r="I1675" s="4" t="str">
        <f t="shared" si="183"/>
        <v>|ʿIqábád|</v>
      </c>
      <c r="J1675" s="3" t="str">
        <f t="shared" si="184"/>
        <v>|'Ishqabad|</v>
      </c>
      <c r="K1675" s="3" t="str">
        <f t="shared" si="185"/>
        <v>Ishqabad</v>
      </c>
      <c r="N1675" s="39" t="str">
        <f t="shared" si="186"/>
        <v/>
      </c>
      <c r="P1675" s="39" t="str">
        <f t="shared" si="187"/>
        <v/>
      </c>
      <c r="R1675" s="39" t="str">
        <f t="shared" si="188"/>
        <v/>
      </c>
      <c r="S1675" s="28"/>
      <c r="T1675" s="28"/>
      <c r="U1675" s="28"/>
    </row>
    <row r="1676" spans="1:21" s="5" customFormat="1">
      <c r="A1676" s="179" t="s">
        <v>2065</v>
      </c>
      <c r="B1676" s="185" t="s">
        <v>6305</v>
      </c>
      <c r="C1676" s="35" t="str">
        <f t="shared" si="182"/>
        <v>Ishqi</v>
      </c>
      <c r="E1676" s="40"/>
      <c r="F1676" s="15" t="s">
        <v>2066</v>
      </c>
      <c r="G1676" s="17"/>
      <c r="H1676" s="10" t="s">
        <v>8563</v>
      </c>
      <c r="I1676" s="4" t="str">
        <f t="shared" si="183"/>
        <v>|ʿIqí|</v>
      </c>
      <c r="J1676" s="3" t="str">
        <f t="shared" si="184"/>
        <v>|'Ishqi|</v>
      </c>
      <c r="K1676" s="3" t="str">
        <f t="shared" si="185"/>
        <v>Ishqi</v>
      </c>
      <c r="N1676" s="39" t="str">
        <f t="shared" si="186"/>
        <v/>
      </c>
      <c r="P1676" s="39" t="str">
        <f t="shared" si="187"/>
        <v/>
      </c>
      <c r="R1676" s="39" t="str">
        <f t="shared" si="188"/>
        <v/>
      </c>
      <c r="S1676" s="28"/>
      <c r="T1676" s="28"/>
      <c r="U1676" s="28"/>
    </row>
    <row r="1677" spans="1:21" s="5" customFormat="1">
      <c r="A1677" s="179" t="s">
        <v>2067</v>
      </c>
      <c r="B1677" s="185" t="s">
        <v>6306</v>
      </c>
      <c r="C1677" s="35" t="str">
        <f t="shared" si="182"/>
        <v>IshqiyiQarniBistum</v>
      </c>
      <c r="E1677" s="40"/>
      <c r="F1677" s="15"/>
      <c r="G1677" s="17"/>
      <c r="H1677" s="10" t="s">
        <v>8563</v>
      </c>
      <c r="I1677" s="4" t="str">
        <f t="shared" si="183"/>
        <v>|ʿIqíy-i-Qarn-i-Bístum|</v>
      </c>
      <c r="J1677" s="3" t="str">
        <f t="shared" si="184"/>
        <v>|'Ishqiy-i-Qarn-i-Bistum|</v>
      </c>
      <c r="K1677" s="3" t="str">
        <f t="shared" si="185"/>
        <v>Ishqiy-i-Qarn-i-Bistum</v>
      </c>
      <c r="N1677" s="39" t="str">
        <f t="shared" si="186"/>
        <v/>
      </c>
      <c r="P1677" s="39" t="str">
        <f t="shared" si="187"/>
        <v/>
      </c>
      <c r="R1677" s="39" t="str">
        <f t="shared" si="188"/>
        <v/>
      </c>
      <c r="S1677" s="28"/>
      <c r="T1677" s="28"/>
      <c r="U1677" s="28"/>
    </row>
    <row r="1678" spans="1:21" s="5" customFormat="1">
      <c r="A1678" s="179" t="s">
        <v>2068</v>
      </c>
      <c r="B1678" s="185" t="s">
        <v>6307</v>
      </c>
      <c r="C1678" s="35" t="str">
        <f t="shared" si="182"/>
        <v>Ishraq</v>
      </c>
      <c r="E1678" s="40"/>
      <c r="F1678" s="14"/>
      <c r="G1678" s="17"/>
      <c r="H1678" s="10" t="s">
        <v>8563</v>
      </c>
      <c r="I1678" s="4" t="str">
        <f t="shared" si="183"/>
        <v>|Iráq|</v>
      </c>
      <c r="J1678" s="3" t="str">
        <f t="shared" si="184"/>
        <v>|Ishraq|</v>
      </c>
      <c r="K1678" s="3" t="str">
        <f t="shared" si="185"/>
        <v>Ishraq</v>
      </c>
      <c r="N1678" s="39" t="str">
        <f t="shared" si="186"/>
        <v/>
      </c>
      <c r="P1678" s="39" t="str">
        <f t="shared" si="187"/>
        <v/>
      </c>
      <c r="R1678" s="39" t="str">
        <f t="shared" si="188"/>
        <v/>
      </c>
      <c r="S1678" s="28"/>
      <c r="T1678" s="28"/>
      <c r="U1678" s="28"/>
    </row>
    <row r="1679" spans="1:21" s="5" customFormat="1">
      <c r="A1679" s="179" t="s">
        <v>2069</v>
      </c>
      <c r="B1679" s="185" t="s">
        <v>6308</v>
      </c>
      <c r="C1679" s="35" t="str">
        <f t="shared" si="182"/>
        <v>Ishraqat</v>
      </c>
      <c r="E1679" s="40"/>
      <c r="F1679" s="14" t="s">
        <v>2070</v>
      </c>
      <c r="G1679" s="17"/>
      <c r="H1679" s="10" t="s">
        <v>8563</v>
      </c>
      <c r="I1679" s="4" t="str">
        <f t="shared" si="183"/>
        <v>|Iráqát|</v>
      </c>
      <c r="J1679" s="3" t="str">
        <f t="shared" si="184"/>
        <v>|Ishraqat|</v>
      </c>
      <c r="K1679" s="3" t="str">
        <f t="shared" si="185"/>
        <v>Ishraqat</v>
      </c>
      <c r="N1679" s="39" t="str">
        <f t="shared" si="186"/>
        <v/>
      </c>
      <c r="P1679" s="39" t="str">
        <f t="shared" si="187"/>
        <v/>
      </c>
      <c r="R1679" s="39" t="str">
        <f t="shared" si="188"/>
        <v/>
      </c>
      <c r="S1679" s="28"/>
      <c r="T1679" s="29">
        <v>41801</v>
      </c>
      <c r="U1679" s="28" t="s">
        <v>9426</v>
      </c>
    </row>
    <row r="1680" spans="1:21" s="5" customFormat="1">
      <c r="A1680" s="179" t="s">
        <v>2071</v>
      </c>
      <c r="B1680" s="185" t="s">
        <v>6309</v>
      </c>
      <c r="C1680" s="35" t="str">
        <f t="shared" si="182"/>
        <v>Ishraqiyyih</v>
      </c>
      <c r="E1680" s="40"/>
      <c r="F1680" s="15"/>
      <c r="G1680" s="17"/>
      <c r="H1680" s="10" t="s">
        <v>8563</v>
      </c>
      <c r="I1680" s="4" t="str">
        <f t="shared" si="183"/>
        <v>|Iráqíyyih|</v>
      </c>
      <c r="J1680" s="3" t="str">
        <f t="shared" si="184"/>
        <v>|Ishraqiyyih|</v>
      </c>
      <c r="K1680" s="3" t="str">
        <f t="shared" si="185"/>
        <v>Ishraqiyyih</v>
      </c>
      <c r="N1680" s="39" t="str">
        <f t="shared" si="186"/>
        <v/>
      </c>
      <c r="P1680" s="39" t="str">
        <f t="shared" si="187"/>
        <v/>
      </c>
      <c r="R1680" s="39" t="str">
        <f t="shared" si="188"/>
        <v/>
      </c>
      <c r="S1680" s="28"/>
      <c r="T1680" s="28"/>
      <c r="U1680" s="28"/>
    </row>
    <row r="1681" spans="1:21" s="5" customFormat="1">
      <c r="A1681" s="179" t="s">
        <v>2072</v>
      </c>
      <c r="B1681" s="185" t="s">
        <v>6310</v>
      </c>
      <c r="C1681" s="35" t="str">
        <f t="shared" si="182"/>
        <v>IshraqKhavari</v>
      </c>
      <c r="E1681" s="40"/>
      <c r="F1681" s="15"/>
      <c r="G1681" s="17"/>
      <c r="H1681" s="10" t="s">
        <v>8563</v>
      </c>
      <c r="I1681" s="4" t="str">
        <f t="shared" si="183"/>
        <v>|Iráq-ávarí|</v>
      </c>
      <c r="J1681" s="3" t="str">
        <f t="shared" si="184"/>
        <v>|Ishraq-Khavari|</v>
      </c>
      <c r="K1681" s="3" t="str">
        <f t="shared" si="185"/>
        <v>Ishraq-Khavari</v>
      </c>
      <c r="N1681" s="39" t="str">
        <f t="shared" si="186"/>
        <v/>
      </c>
      <c r="P1681" s="39" t="str">
        <f t="shared" si="187"/>
        <v/>
      </c>
      <c r="R1681" s="39" t="str">
        <f t="shared" si="188"/>
        <v/>
      </c>
      <c r="S1681" s="28"/>
      <c r="T1681" s="28"/>
      <c r="U1681" s="28"/>
    </row>
    <row r="1682" spans="1:21" s="5" customFormat="1">
      <c r="A1682" s="179" t="s">
        <v>2073</v>
      </c>
      <c r="B1682" s="185" t="s">
        <v>6311</v>
      </c>
      <c r="C1682" s="35" t="str">
        <f t="shared" si="182"/>
        <v>Ishtial</v>
      </c>
      <c r="E1682" s="40"/>
      <c r="F1682" s="15"/>
      <c r="G1682" s="17"/>
      <c r="H1682" s="10" t="s">
        <v>8563</v>
      </c>
      <c r="I1682" s="4" t="str">
        <f t="shared" si="183"/>
        <v>|Itiʿál|</v>
      </c>
      <c r="J1682" s="3" t="str">
        <f t="shared" si="184"/>
        <v>|Ishti'al|</v>
      </c>
      <c r="K1682" s="3" t="str">
        <f t="shared" si="185"/>
        <v>Ishtial</v>
      </c>
      <c r="N1682" s="39" t="str">
        <f t="shared" si="186"/>
        <v/>
      </c>
      <c r="P1682" s="39" t="str">
        <f t="shared" si="187"/>
        <v/>
      </c>
      <c r="R1682" s="39" t="str">
        <f t="shared" si="188"/>
        <v/>
      </c>
      <c r="S1682" s="28"/>
      <c r="T1682" s="28"/>
      <c r="U1682" s="28"/>
    </row>
    <row r="1683" spans="1:21" s="5" customFormat="1">
      <c r="A1683" s="179" t="s">
        <v>2074</v>
      </c>
      <c r="B1683" s="185" t="s">
        <v>6312</v>
      </c>
      <c r="C1683" s="35" t="str">
        <f t="shared" si="182"/>
        <v>Ishtihard</v>
      </c>
      <c r="E1683" s="40"/>
      <c r="F1683" s="14"/>
      <c r="G1683" s="17"/>
      <c r="H1683" s="10" t="s">
        <v>8563</v>
      </c>
      <c r="I1683" s="4" t="str">
        <f t="shared" si="183"/>
        <v>|Itihárd|</v>
      </c>
      <c r="J1683" s="3" t="str">
        <f t="shared" si="184"/>
        <v>|Ishtihard|</v>
      </c>
      <c r="K1683" s="3" t="str">
        <f t="shared" si="185"/>
        <v>Ishtihard</v>
      </c>
      <c r="N1683" s="39" t="str">
        <f t="shared" si="186"/>
        <v/>
      </c>
      <c r="P1683" s="39" t="str">
        <f t="shared" si="187"/>
        <v/>
      </c>
      <c r="R1683" s="39" t="str">
        <f t="shared" si="188"/>
        <v/>
      </c>
      <c r="S1683" s="28"/>
      <c r="T1683" s="28"/>
      <c r="U1683" s="28"/>
    </row>
    <row r="1684" spans="1:21" s="5" customFormat="1">
      <c r="A1684" s="179" t="s">
        <v>2075</v>
      </c>
      <c r="B1684" s="185" t="s">
        <v>6313</v>
      </c>
      <c r="C1684" s="35" t="str">
        <f t="shared" si="182"/>
        <v>Iskandar</v>
      </c>
      <c r="E1684" s="40"/>
      <c r="F1684" s="14"/>
      <c r="G1684" s="17"/>
      <c r="H1684" s="10" t="s">
        <v>8563</v>
      </c>
      <c r="I1684" s="4" t="str">
        <f t="shared" si="183"/>
        <v>|Iskandar|</v>
      </c>
      <c r="J1684" s="3" t="str">
        <f t="shared" si="184"/>
        <v>|Iskandar|</v>
      </c>
      <c r="K1684" s="3" t="str">
        <f t="shared" si="185"/>
        <v>Iskandar</v>
      </c>
      <c r="N1684" s="39" t="str">
        <f t="shared" si="186"/>
        <v/>
      </c>
      <c r="P1684" s="39" t="str">
        <f t="shared" si="187"/>
        <v/>
      </c>
      <c r="R1684" s="39" t="str">
        <f t="shared" si="188"/>
        <v/>
      </c>
      <c r="S1684" s="28"/>
      <c r="T1684" s="28"/>
      <c r="U1684" s="28"/>
    </row>
    <row r="1685" spans="1:21" s="5" customFormat="1">
      <c r="A1685" s="179" t="s">
        <v>2076</v>
      </c>
      <c r="B1685" s="185" t="s">
        <v>6314</v>
      </c>
      <c r="C1685" s="35" t="str">
        <f t="shared" si="182"/>
        <v>Iskandarun</v>
      </c>
      <c r="E1685" s="40"/>
      <c r="F1685" s="14"/>
      <c r="G1685" s="17"/>
      <c r="H1685" s="10" t="s">
        <v>8563</v>
      </c>
      <c r="I1685" s="4" t="str">
        <f t="shared" si="183"/>
        <v>|Iskandarún|</v>
      </c>
      <c r="J1685" s="3" t="str">
        <f t="shared" si="184"/>
        <v>|Iskandarun|</v>
      </c>
      <c r="K1685" s="3" t="str">
        <f t="shared" si="185"/>
        <v>Iskandarun</v>
      </c>
      <c r="N1685" s="39" t="str">
        <f t="shared" si="186"/>
        <v/>
      </c>
      <c r="P1685" s="39" t="str">
        <f t="shared" si="187"/>
        <v/>
      </c>
      <c r="R1685" s="39" t="str">
        <f t="shared" si="188"/>
        <v/>
      </c>
      <c r="S1685" s="28"/>
      <c r="T1685" s="28"/>
      <c r="U1685" s="28"/>
    </row>
    <row r="1686" spans="1:21" s="5" customFormat="1">
      <c r="A1686" s="179" t="s">
        <v>2077</v>
      </c>
      <c r="B1686" s="185" t="s">
        <v>6315</v>
      </c>
      <c r="C1686" s="35" t="str">
        <f t="shared" si="182"/>
        <v>IskiShahr</v>
      </c>
      <c r="E1686" s="40"/>
      <c r="F1686" s="14"/>
      <c r="G1686" s="17"/>
      <c r="H1686" s="10" t="s">
        <v>8563</v>
      </c>
      <c r="I1686" s="4" t="str">
        <f t="shared" si="183"/>
        <v>|Iski-ahr|</v>
      </c>
      <c r="J1686" s="3" t="str">
        <f t="shared" si="184"/>
        <v>|Iski-Shahr|</v>
      </c>
      <c r="K1686" s="3" t="str">
        <f t="shared" si="185"/>
        <v>Iski-Shahr</v>
      </c>
      <c r="N1686" s="39" t="str">
        <f t="shared" si="186"/>
        <v/>
      </c>
      <c r="P1686" s="39" t="str">
        <f t="shared" si="187"/>
        <v/>
      </c>
      <c r="R1686" s="39" t="str">
        <f t="shared" si="188"/>
        <v/>
      </c>
      <c r="S1686" s="28"/>
      <c r="T1686" s="28"/>
      <c r="U1686" s="28"/>
    </row>
    <row r="1687" spans="1:21" s="5" customFormat="1">
      <c r="A1687" s="179" t="s">
        <v>2078</v>
      </c>
      <c r="B1687" s="185" t="s">
        <v>19</v>
      </c>
      <c r="C1687" s="35" t="str">
        <f t="shared" si="182"/>
        <v>Islam</v>
      </c>
      <c r="E1687" s="40"/>
      <c r="F1687" s="14"/>
      <c r="G1687" s="17"/>
      <c r="H1687" s="10" t="s">
        <v>8563</v>
      </c>
      <c r="I1687" s="4" t="str">
        <f t="shared" si="183"/>
        <v>|Islám|</v>
      </c>
      <c r="J1687" s="3" t="str">
        <f t="shared" si="184"/>
        <v>|Islam|</v>
      </c>
      <c r="K1687" s="3" t="str">
        <f t="shared" si="185"/>
        <v>Islam</v>
      </c>
      <c r="N1687" s="39" t="str">
        <f t="shared" si="186"/>
        <v/>
      </c>
      <c r="P1687" s="39" t="str">
        <f t="shared" si="187"/>
        <v/>
      </c>
      <c r="R1687" s="39" t="str">
        <f t="shared" si="188"/>
        <v/>
      </c>
      <c r="S1687" s="28"/>
      <c r="T1687" s="29">
        <v>41799</v>
      </c>
      <c r="U1687" s="28" t="s">
        <v>9455</v>
      </c>
    </row>
    <row r="1688" spans="1:21" s="5" customFormat="1">
      <c r="A1688" s="181"/>
      <c r="B1688" s="185" t="s">
        <v>20</v>
      </c>
      <c r="C1688" s="35" t="str">
        <f t="shared" si="182"/>
        <v>islamischen</v>
      </c>
      <c r="D1688" s="1" t="s">
        <v>59</v>
      </c>
      <c r="E1688" s="40"/>
      <c r="F1688" s="12"/>
      <c r="G1688" s="9"/>
      <c r="H1688" s="12"/>
      <c r="I1688" s="4" t="str">
        <f t="shared" si="183"/>
        <v>|islámischen|</v>
      </c>
      <c r="J1688" s="3" t="str">
        <f t="shared" si="184"/>
        <v>|islamischen|</v>
      </c>
      <c r="K1688" s="3" t="str">
        <f t="shared" si="185"/>
        <v>islamischen</v>
      </c>
      <c r="M1688" s="1"/>
      <c r="N1688" s="39" t="str">
        <f t="shared" si="186"/>
        <v/>
      </c>
      <c r="O1688" s="1"/>
      <c r="P1688" s="39" t="str">
        <f t="shared" si="187"/>
        <v/>
      </c>
      <c r="Q1688" s="1"/>
      <c r="R1688" s="39" t="str">
        <f t="shared" si="188"/>
        <v/>
      </c>
      <c r="S1688" s="28"/>
      <c r="T1688" s="29">
        <v>41801</v>
      </c>
      <c r="U1688" s="28" t="s">
        <v>9456</v>
      </c>
    </row>
    <row r="1689" spans="1:21" s="5" customFormat="1">
      <c r="A1689" s="179"/>
      <c r="B1689" s="185" t="s">
        <v>9104</v>
      </c>
      <c r="C1689" s="35" t="str">
        <f t="shared" si="182"/>
        <v>Islams</v>
      </c>
      <c r="D1689" s="5" t="s">
        <v>59</v>
      </c>
      <c r="E1689" s="40"/>
      <c r="F1689" s="15"/>
      <c r="G1689" s="17"/>
      <c r="H1689" s="10"/>
      <c r="I1689" s="4" t="str">
        <f t="shared" si="183"/>
        <v>|Isláms|</v>
      </c>
      <c r="J1689" s="3" t="str">
        <f t="shared" si="184"/>
        <v>|Islams|</v>
      </c>
      <c r="K1689" s="3" t="str">
        <f t="shared" si="185"/>
        <v>Islams</v>
      </c>
      <c r="L1689" s="1"/>
      <c r="N1689" s="39" t="str">
        <f t="shared" si="186"/>
        <v/>
      </c>
      <c r="P1689" s="39" t="str">
        <f t="shared" si="187"/>
        <v/>
      </c>
      <c r="R1689" s="39" t="str">
        <f t="shared" si="188"/>
        <v/>
      </c>
      <c r="S1689" s="29">
        <v>41781</v>
      </c>
      <c r="T1689" s="29">
        <v>41781</v>
      </c>
      <c r="U1689" s="28" t="s">
        <v>9446</v>
      </c>
    </row>
    <row r="1690" spans="1:21" s="5" customFormat="1">
      <c r="A1690" s="179" t="s">
        <v>2079</v>
      </c>
      <c r="B1690" s="185" t="s">
        <v>6316</v>
      </c>
      <c r="C1690" s="35" t="str">
        <f t="shared" si="182"/>
        <v>Isma</v>
      </c>
      <c r="E1690" s="40"/>
      <c r="F1690" s="15" t="s">
        <v>2080</v>
      </c>
      <c r="G1690" s="17"/>
      <c r="H1690" s="10" t="s">
        <v>8563</v>
      </c>
      <c r="I1690" s="4" t="str">
        <f t="shared" si="183"/>
        <v>|ʿIṣma|</v>
      </c>
      <c r="J1690" s="3" t="str">
        <f t="shared" si="184"/>
        <v>|'Isma|</v>
      </c>
      <c r="K1690" s="3" t="str">
        <f t="shared" si="185"/>
        <v>Isma</v>
      </c>
      <c r="N1690" s="39" t="str">
        <f t="shared" si="186"/>
        <v/>
      </c>
      <c r="P1690" s="39" t="str">
        <f t="shared" si="187"/>
        <v/>
      </c>
      <c r="R1690" s="39" t="str">
        <f t="shared" si="188"/>
        <v/>
      </c>
      <c r="S1690" s="28"/>
      <c r="T1690" s="28"/>
      <c r="U1690" s="28"/>
    </row>
    <row r="1691" spans="1:21" s="5" customFormat="1">
      <c r="A1691" s="179" t="s">
        <v>2081</v>
      </c>
      <c r="B1691" s="185" t="s">
        <v>130</v>
      </c>
      <c r="C1691" s="35" t="str">
        <f t="shared" si="182"/>
        <v>Ismail</v>
      </c>
      <c r="E1691" s="40"/>
      <c r="F1691" s="15"/>
      <c r="G1691" s="17"/>
      <c r="H1691" s="10" t="s">
        <v>8563</v>
      </c>
      <c r="I1691" s="4" t="str">
        <f t="shared" si="183"/>
        <v>|Ismáʿíl|</v>
      </c>
      <c r="J1691" s="3" t="str">
        <f t="shared" si="184"/>
        <v>|Isma'il|</v>
      </c>
      <c r="K1691" s="3" t="str">
        <f t="shared" si="185"/>
        <v>Ismail</v>
      </c>
      <c r="N1691" s="39" t="str">
        <f t="shared" si="186"/>
        <v/>
      </c>
      <c r="P1691" s="39" t="str">
        <f t="shared" si="187"/>
        <v/>
      </c>
      <c r="R1691" s="39" t="str">
        <f t="shared" si="188"/>
        <v/>
      </c>
      <c r="S1691" s="28"/>
      <c r="T1691" s="28"/>
      <c r="U1691" s="28"/>
    </row>
    <row r="1692" spans="1:21" s="5" customFormat="1">
      <c r="A1692" s="179" t="s">
        <v>2082</v>
      </c>
      <c r="B1692" s="185" t="s">
        <v>6317</v>
      </c>
      <c r="C1692" s="35" t="str">
        <f t="shared" si="182"/>
        <v>Ismaili</v>
      </c>
      <c r="E1692" s="40"/>
      <c r="F1692" s="15"/>
      <c r="G1692" s="17"/>
      <c r="H1692" s="10" t="s">
        <v>8563</v>
      </c>
      <c r="I1692" s="4" t="str">
        <f t="shared" si="183"/>
        <v>|Ismáʿílí|</v>
      </c>
      <c r="J1692" s="3" t="str">
        <f t="shared" si="184"/>
        <v>|Isma'ili|</v>
      </c>
      <c r="K1692" s="3" t="str">
        <f t="shared" si="185"/>
        <v>Ismaili</v>
      </c>
      <c r="N1692" s="39" t="str">
        <f t="shared" si="186"/>
        <v/>
      </c>
      <c r="P1692" s="39" t="str">
        <f t="shared" si="187"/>
        <v/>
      </c>
      <c r="R1692" s="39" t="str">
        <f t="shared" si="188"/>
        <v/>
      </c>
      <c r="S1692" s="28"/>
      <c r="T1692" s="28"/>
      <c r="U1692" s="28"/>
    </row>
    <row r="1693" spans="1:21" s="5" customFormat="1">
      <c r="A1693" s="179" t="s">
        <v>2083</v>
      </c>
      <c r="B1693" s="185" t="s">
        <v>6318</v>
      </c>
      <c r="C1693" s="35" t="str">
        <f t="shared" si="182"/>
        <v>IsmailiDhabih</v>
      </c>
      <c r="E1693" s="40"/>
      <c r="F1693" s="15"/>
      <c r="G1693" s="17"/>
      <c r="H1693" s="10" t="s">
        <v>8563</v>
      </c>
      <c r="I1693" s="4" t="str">
        <f t="shared" si="183"/>
        <v>|Ismáʿíl-i-abíḥ|</v>
      </c>
      <c r="J1693" s="3" t="str">
        <f t="shared" si="184"/>
        <v>|Isma'il-i-Dhabih|</v>
      </c>
      <c r="K1693" s="3" t="str">
        <f t="shared" si="185"/>
        <v>Ismail-i-Dhabih</v>
      </c>
      <c r="N1693" s="39" t="str">
        <f t="shared" si="186"/>
        <v/>
      </c>
      <c r="P1693" s="39" t="str">
        <f t="shared" si="187"/>
        <v/>
      </c>
      <c r="R1693" s="39" t="str">
        <f t="shared" si="188"/>
        <v/>
      </c>
      <c r="S1693" s="28"/>
      <c r="T1693" s="28"/>
      <c r="U1693" s="28"/>
    </row>
    <row r="1694" spans="1:21" s="5" customFormat="1">
      <c r="A1694" s="179" t="s">
        <v>2084</v>
      </c>
      <c r="B1694" s="185" t="s">
        <v>6319</v>
      </c>
      <c r="C1694" s="35" t="str">
        <f t="shared" si="182"/>
        <v>IsmailiFarahani</v>
      </c>
      <c r="E1694" s="40"/>
      <c r="F1694" s="15"/>
      <c r="G1694" s="17"/>
      <c r="H1694" s="10" t="s">
        <v>8563</v>
      </c>
      <c r="I1694" s="4" t="str">
        <f t="shared" si="183"/>
        <v>|Ismáʿíl-i-Faráhání|</v>
      </c>
      <c r="J1694" s="3" t="str">
        <f t="shared" si="184"/>
        <v>|Isma'il-i-Farahani|</v>
      </c>
      <c r="K1694" s="3" t="str">
        <f t="shared" si="185"/>
        <v>Ismail-i-Farahani</v>
      </c>
      <c r="N1694" s="39" t="str">
        <f t="shared" si="186"/>
        <v/>
      </c>
      <c r="P1694" s="39" t="str">
        <f t="shared" si="187"/>
        <v/>
      </c>
      <c r="R1694" s="39" t="str">
        <f t="shared" si="188"/>
        <v/>
      </c>
      <c r="S1694" s="28"/>
      <c r="T1694" s="28"/>
      <c r="U1694" s="28"/>
    </row>
    <row r="1695" spans="1:21" s="5" customFormat="1">
      <c r="A1695" s="179" t="s">
        <v>2085</v>
      </c>
      <c r="B1695" s="185" t="s">
        <v>6320</v>
      </c>
      <c r="C1695" s="35" t="str">
        <f t="shared" si="182"/>
        <v>IsmailiKashani</v>
      </c>
      <c r="E1695" s="40"/>
      <c r="F1695" s="15"/>
      <c r="G1695" s="17"/>
      <c r="H1695" s="10" t="s">
        <v>8563</v>
      </c>
      <c r="I1695" s="4" t="str">
        <f t="shared" si="183"/>
        <v>|Ismáʿíl-i-Kaaní|</v>
      </c>
      <c r="J1695" s="3" t="str">
        <f t="shared" si="184"/>
        <v>|Isma'il-i-Kashani|</v>
      </c>
      <c r="K1695" s="3" t="str">
        <f t="shared" si="185"/>
        <v>Ismail-i-Kashani</v>
      </c>
      <c r="N1695" s="39" t="str">
        <f t="shared" si="186"/>
        <v/>
      </c>
      <c r="P1695" s="39" t="str">
        <f t="shared" si="187"/>
        <v/>
      </c>
      <c r="R1695" s="39" t="str">
        <f t="shared" si="188"/>
        <v/>
      </c>
      <c r="S1695" s="28"/>
      <c r="T1695" s="28"/>
      <c r="U1695" s="28"/>
    </row>
    <row r="1696" spans="1:21" s="5" customFormat="1">
      <c r="A1696" s="179" t="s">
        <v>2086</v>
      </c>
      <c r="B1696" s="185" t="s">
        <v>6321</v>
      </c>
      <c r="C1696" s="35" t="str">
        <f t="shared" si="182"/>
        <v>IsmailiKashi</v>
      </c>
      <c r="E1696" s="40"/>
      <c r="F1696" s="15"/>
      <c r="G1696" s="17"/>
      <c r="H1696" s="10" t="s">
        <v>8563</v>
      </c>
      <c r="I1696" s="4" t="str">
        <f t="shared" si="183"/>
        <v>|Ismáʿíl-i-Káí|</v>
      </c>
      <c r="J1696" s="3" t="str">
        <f t="shared" si="184"/>
        <v>|Isma'il-i-Kashi|</v>
      </c>
      <c r="K1696" s="3" t="str">
        <f t="shared" si="185"/>
        <v>Ismail-i-Kashi</v>
      </c>
      <c r="N1696" s="39" t="str">
        <f t="shared" si="186"/>
        <v/>
      </c>
      <c r="P1696" s="39" t="str">
        <f t="shared" si="187"/>
        <v/>
      </c>
      <c r="R1696" s="39" t="str">
        <f t="shared" si="188"/>
        <v/>
      </c>
      <c r="S1696" s="28"/>
      <c r="T1696" s="28"/>
      <c r="U1696" s="28"/>
    </row>
    <row r="1697" spans="1:21" s="5" customFormat="1">
      <c r="A1697" s="179" t="s">
        <v>2087</v>
      </c>
      <c r="B1697" s="185" t="s">
        <v>6322</v>
      </c>
      <c r="C1697" s="35" t="str">
        <f t="shared" si="182"/>
        <v>IsmailiQumi</v>
      </c>
      <c r="E1697" s="40"/>
      <c r="F1697" s="15"/>
      <c r="G1697" s="17"/>
      <c r="H1697" s="10" t="s">
        <v>8563</v>
      </c>
      <c r="I1697" s="4" t="str">
        <f t="shared" si="183"/>
        <v>|Ismáʿíl-i-Qumí|</v>
      </c>
      <c r="J1697" s="3" t="str">
        <f t="shared" si="184"/>
        <v>|Isma'il-i-Qumi|</v>
      </c>
      <c r="K1697" s="3" t="str">
        <f t="shared" si="185"/>
        <v>Ismail-i-Qumi</v>
      </c>
      <c r="N1697" s="39" t="str">
        <f t="shared" si="186"/>
        <v/>
      </c>
      <c r="P1697" s="39" t="str">
        <f t="shared" si="187"/>
        <v/>
      </c>
      <c r="R1697" s="39" t="str">
        <f t="shared" si="188"/>
        <v/>
      </c>
      <c r="S1697" s="28"/>
      <c r="T1697" s="28"/>
      <c r="U1697" s="28"/>
    </row>
    <row r="1698" spans="1:21" s="5" customFormat="1">
      <c r="A1698" s="181"/>
      <c r="B1698" s="185" t="s">
        <v>131</v>
      </c>
      <c r="C1698" s="35" t="str">
        <f t="shared" si="182"/>
        <v>Ismailiten</v>
      </c>
      <c r="D1698" s="1" t="s">
        <v>59</v>
      </c>
      <c r="E1698" s="40"/>
      <c r="F1698" s="12"/>
      <c r="G1698" s="17" t="s">
        <v>9134</v>
      </c>
      <c r="H1698" s="11" t="s">
        <v>77</v>
      </c>
      <c r="I1698" s="4" t="str">
        <f t="shared" si="183"/>
        <v>|Ismáʿíliten|</v>
      </c>
      <c r="J1698" s="3" t="str">
        <f t="shared" si="184"/>
        <v>|Isma'iliten|</v>
      </c>
      <c r="K1698" s="3" t="str">
        <f t="shared" si="185"/>
        <v>Ismailiten</v>
      </c>
      <c r="M1698" s="1"/>
      <c r="N1698" s="39" t="str">
        <f t="shared" si="186"/>
        <v/>
      </c>
      <c r="O1698" s="1"/>
      <c r="P1698" s="39" t="str">
        <f t="shared" si="187"/>
        <v/>
      </c>
      <c r="Q1698" s="1"/>
      <c r="R1698" s="39" t="str">
        <f t="shared" si="188"/>
        <v/>
      </c>
      <c r="S1698" s="28"/>
      <c r="T1698" s="28"/>
      <c r="U1698" s="28"/>
    </row>
    <row r="1699" spans="1:21" s="5" customFormat="1">
      <c r="A1699" s="179" t="s">
        <v>2088</v>
      </c>
      <c r="B1699" s="185" t="s">
        <v>6323</v>
      </c>
      <c r="C1699" s="35" t="str">
        <f t="shared" si="182"/>
        <v>Ismailiyyih</v>
      </c>
      <c r="E1699" s="40"/>
      <c r="F1699" s="14"/>
      <c r="G1699" s="17"/>
      <c r="H1699" s="10" t="s">
        <v>8563</v>
      </c>
      <c r="I1699" s="4" t="str">
        <f t="shared" si="183"/>
        <v>|Ismáʿílíyyih|</v>
      </c>
      <c r="J1699" s="3" t="str">
        <f t="shared" si="184"/>
        <v>|Isma'iliyyih|</v>
      </c>
      <c r="K1699" s="3" t="str">
        <f t="shared" si="185"/>
        <v>Ismailiyyih</v>
      </c>
      <c r="N1699" s="39" t="str">
        <f t="shared" si="186"/>
        <v/>
      </c>
      <c r="P1699" s="39" t="str">
        <f t="shared" si="187"/>
        <v/>
      </c>
      <c r="R1699" s="39" t="str">
        <f t="shared" si="188"/>
        <v/>
      </c>
      <c r="S1699" s="28"/>
      <c r="T1699" s="28"/>
      <c r="U1699" s="28"/>
    </row>
    <row r="1700" spans="1:21" s="5" customFormat="1">
      <c r="A1700" s="179" t="s">
        <v>2089</v>
      </c>
      <c r="B1700" s="185" t="s">
        <v>6324</v>
      </c>
      <c r="C1700" s="35" t="str">
        <f t="shared" si="182"/>
        <v>IsmatiKubra</v>
      </c>
      <c r="E1700" s="40"/>
      <c r="F1700" s="14"/>
      <c r="G1700" s="17"/>
      <c r="H1700" s="10" t="s">
        <v>8563</v>
      </c>
      <c r="I1700" s="4" t="str">
        <f t="shared" si="183"/>
        <v>|ʿIṣmat-i-Kubrá|</v>
      </c>
      <c r="J1700" s="3" t="str">
        <f t="shared" si="184"/>
        <v>|'Ismat-i-Kubra|</v>
      </c>
      <c r="K1700" s="3" t="str">
        <f t="shared" si="185"/>
        <v>Ismat-i-Kubra</v>
      </c>
      <c r="N1700" s="39" t="str">
        <f t="shared" si="186"/>
        <v/>
      </c>
      <c r="P1700" s="39" t="str">
        <f t="shared" si="187"/>
        <v/>
      </c>
      <c r="R1700" s="39" t="str">
        <f t="shared" si="188"/>
        <v/>
      </c>
      <c r="S1700" s="28"/>
      <c r="T1700" s="28"/>
      <c r="U1700" s="28"/>
    </row>
    <row r="1701" spans="1:21" s="5" customFormat="1">
      <c r="A1701" s="179" t="s">
        <v>2090</v>
      </c>
      <c r="B1701" s="185" t="s">
        <v>6325</v>
      </c>
      <c r="C1701" s="35" t="str">
        <f t="shared" si="182"/>
        <v>IsmiAzam</v>
      </c>
      <c r="E1701" s="40"/>
      <c r="F1701" s="15"/>
      <c r="G1701" s="17"/>
      <c r="H1701" s="10" t="s">
        <v>8563</v>
      </c>
      <c r="I1701" s="4" t="str">
        <f t="shared" si="183"/>
        <v>|Ism-i-Aʿẓam|</v>
      </c>
      <c r="J1701" s="3" t="str">
        <f t="shared" si="184"/>
        <v>|Ism-i-A'zam|</v>
      </c>
      <c r="K1701" s="3" t="str">
        <f t="shared" si="185"/>
        <v>Ism-i-Azam</v>
      </c>
      <c r="N1701" s="39" t="str">
        <f t="shared" si="186"/>
        <v/>
      </c>
      <c r="P1701" s="39" t="str">
        <f t="shared" si="187"/>
        <v/>
      </c>
      <c r="R1701" s="39" t="str">
        <f t="shared" si="188"/>
        <v/>
      </c>
      <c r="S1701" s="28"/>
      <c r="T1701" s="28"/>
      <c r="U1701" s="28"/>
    </row>
    <row r="1702" spans="1:21" s="5" customFormat="1">
      <c r="A1702" s="179" t="s">
        <v>2091</v>
      </c>
      <c r="B1702" s="185" t="s">
        <v>6326</v>
      </c>
      <c r="C1702" s="35" t="str">
        <f t="shared" si="182"/>
        <v>IsmulAzal</v>
      </c>
      <c r="E1702" s="40"/>
      <c r="F1702" s="14"/>
      <c r="G1702" s="17"/>
      <c r="H1702" s="10" t="s">
        <v>8563</v>
      </c>
      <c r="I1702" s="4" t="str">
        <f t="shared" si="183"/>
        <v>|Ismu’l-Azal|</v>
      </c>
      <c r="J1702" s="3" t="str">
        <f t="shared" si="184"/>
        <v>|Ismu'l-Azal|</v>
      </c>
      <c r="K1702" s="3" t="str">
        <f t="shared" si="185"/>
        <v>Ismul-Azal</v>
      </c>
      <c r="N1702" s="39" t="str">
        <f t="shared" si="186"/>
        <v/>
      </c>
      <c r="P1702" s="39" t="str">
        <f t="shared" si="187"/>
        <v/>
      </c>
      <c r="R1702" s="39" t="str">
        <f t="shared" si="188"/>
        <v/>
      </c>
      <c r="S1702" s="28"/>
      <c r="T1702" s="28"/>
      <c r="U1702" s="28"/>
    </row>
    <row r="1703" spans="1:21" s="5" customFormat="1">
      <c r="A1703" s="179" t="s">
        <v>2092</v>
      </c>
      <c r="B1703" s="185" t="s">
        <v>6327</v>
      </c>
      <c r="C1703" s="35" t="str">
        <f t="shared" si="182"/>
        <v>Ismullah</v>
      </c>
      <c r="E1703" s="40"/>
      <c r="F1703" s="14"/>
      <c r="G1703" s="17"/>
      <c r="H1703" s="10" t="s">
        <v>8563</v>
      </c>
      <c r="I1703" s="4" t="str">
        <f t="shared" si="183"/>
        <v>|Ismu’lláh|</v>
      </c>
      <c r="J1703" s="3" t="str">
        <f t="shared" si="184"/>
        <v>|Ismu'llah|</v>
      </c>
      <c r="K1703" s="3" t="str">
        <f t="shared" si="185"/>
        <v>Ismullah</v>
      </c>
      <c r="N1703" s="39" t="str">
        <f t="shared" si="186"/>
        <v/>
      </c>
      <c r="P1703" s="39" t="str">
        <f t="shared" si="187"/>
        <v/>
      </c>
      <c r="R1703" s="39" t="str">
        <f t="shared" si="188"/>
        <v/>
      </c>
      <c r="S1703" s="28"/>
      <c r="T1703" s="28"/>
      <c r="U1703" s="28"/>
    </row>
    <row r="1704" spans="1:21" s="5" customFormat="1">
      <c r="A1704" s="179" t="s">
        <v>2093</v>
      </c>
      <c r="B1704" s="185" t="s">
        <v>6328</v>
      </c>
      <c r="C1704" s="35" t="str">
        <f t="shared" si="182"/>
        <v>IsmullahilJud</v>
      </c>
      <c r="E1704" s="40"/>
      <c r="F1704" s="14"/>
      <c r="G1704" s="17"/>
      <c r="H1704" s="10" t="s">
        <v>8563</v>
      </c>
      <c r="I1704" s="4" t="str">
        <f t="shared" si="183"/>
        <v>|Ismu’lláhi’l-Júd|</v>
      </c>
      <c r="J1704" s="3" t="str">
        <f t="shared" si="184"/>
        <v>|Ismu'llahi'l-Jud|</v>
      </c>
      <c r="K1704" s="3" t="str">
        <f t="shared" si="185"/>
        <v>Ismullahil-Jud</v>
      </c>
      <c r="N1704" s="39" t="str">
        <f t="shared" si="186"/>
        <v/>
      </c>
      <c r="P1704" s="39" t="str">
        <f t="shared" si="187"/>
        <v/>
      </c>
      <c r="R1704" s="39" t="str">
        <f t="shared" si="188"/>
        <v/>
      </c>
      <c r="S1704" s="28"/>
      <c r="T1704" s="28"/>
      <c r="U1704" s="28"/>
    </row>
    <row r="1705" spans="1:21" s="5" customFormat="1">
      <c r="A1705" s="179" t="s">
        <v>2094</v>
      </c>
      <c r="B1705" s="185" t="s">
        <v>6329</v>
      </c>
      <c r="C1705" s="35" t="str">
        <f t="shared" si="182"/>
        <v>IsmullahulAkhar</v>
      </c>
      <c r="E1705" s="40"/>
      <c r="F1705" s="15" t="s">
        <v>2095</v>
      </c>
      <c r="G1705" s="17"/>
      <c r="H1705" s="10" t="s">
        <v>8563</v>
      </c>
      <c r="I1705" s="4" t="str">
        <f t="shared" si="183"/>
        <v>|Ismu’lláhu’l-Áar|</v>
      </c>
      <c r="J1705" s="3" t="str">
        <f t="shared" si="184"/>
        <v>|Ismu'llahu'l-Akhar|</v>
      </c>
      <c r="K1705" s="3" t="str">
        <f t="shared" si="185"/>
        <v>Ismullahul-Akhar</v>
      </c>
      <c r="N1705" s="39" t="str">
        <f t="shared" si="186"/>
        <v/>
      </c>
      <c r="P1705" s="39" t="str">
        <f t="shared" si="187"/>
        <v/>
      </c>
      <c r="R1705" s="39" t="str">
        <f t="shared" si="188"/>
        <v/>
      </c>
      <c r="S1705" s="28"/>
      <c r="T1705" s="28"/>
      <c r="U1705" s="28"/>
    </row>
    <row r="1706" spans="1:21" s="5" customFormat="1">
      <c r="A1706" s="179" t="s">
        <v>2096</v>
      </c>
      <c r="B1706" s="185" t="s">
        <v>6330</v>
      </c>
      <c r="C1706" s="35" t="str">
        <f t="shared" si="182"/>
        <v>IsmullahulAsad</v>
      </c>
      <c r="E1706" s="40"/>
      <c r="F1706" s="14"/>
      <c r="G1706" s="17"/>
      <c r="H1706" s="10" t="s">
        <v>8563</v>
      </c>
      <c r="I1706" s="4" t="str">
        <f t="shared" si="183"/>
        <v>|Ismu’lláhu’l-Asad|</v>
      </c>
      <c r="J1706" s="3" t="str">
        <f t="shared" si="184"/>
        <v>|Ismu'llahu'l-Asad|</v>
      </c>
      <c r="K1706" s="3" t="str">
        <f t="shared" si="185"/>
        <v>Ismullahul-Asad</v>
      </c>
      <c r="N1706" s="39" t="str">
        <f t="shared" si="186"/>
        <v/>
      </c>
      <c r="P1706" s="39" t="str">
        <f t="shared" si="187"/>
        <v/>
      </c>
      <c r="R1706" s="39" t="str">
        <f t="shared" si="188"/>
        <v/>
      </c>
      <c r="S1706" s="28"/>
      <c r="T1706" s="28"/>
      <c r="U1706" s="28"/>
    </row>
    <row r="1707" spans="1:21" s="5" customFormat="1">
      <c r="A1707" s="179" t="s">
        <v>2097</v>
      </c>
      <c r="B1707" s="185" t="s">
        <v>6331</v>
      </c>
      <c r="C1707" s="35" t="str">
        <f t="shared" si="182"/>
        <v>IsmullahulAsdaq</v>
      </c>
      <c r="E1707" s="40"/>
      <c r="F1707" s="15"/>
      <c r="G1707" s="17"/>
      <c r="H1707" s="10" t="s">
        <v>8563</v>
      </c>
      <c r="I1707" s="4" t="str">
        <f t="shared" si="183"/>
        <v>|Ismu’lláhu’l-Aṣdaq|</v>
      </c>
      <c r="J1707" s="3" t="str">
        <f t="shared" si="184"/>
        <v>|Ismu'llahu'l-Asdaq|</v>
      </c>
      <c r="K1707" s="3" t="str">
        <f t="shared" si="185"/>
        <v>Ismullahul-Asdaq</v>
      </c>
      <c r="N1707" s="39" t="str">
        <f t="shared" si="186"/>
        <v/>
      </c>
      <c r="P1707" s="39" t="str">
        <f t="shared" si="187"/>
        <v/>
      </c>
      <c r="R1707" s="39" t="str">
        <f t="shared" si="188"/>
        <v/>
      </c>
      <c r="S1707" s="28"/>
      <c r="T1707" s="28"/>
      <c r="U1707" s="28"/>
    </row>
    <row r="1708" spans="1:21" s="5" customFormat="1">
      <c r="A1708" s="179" t="s">
        <v>2098</v>
      </c>
      <c r="B1708" s="185" t="s">
        <v>6332</v>
      </c>
      <c r="C1708" s="35" t="str">
        <f t="shared" si="182"/>
        <v>IsmullahulJavad</v>
      </c>
      <c r="E1708" s="40"/>
      <c r="F1708" s="14"/>
      <c r="G1708" s="17"/>
      <c r="H1708" s="10" t="s">
        <v>8563</v>
      </c>
      <c r="I1708" s="4" t="str">
        <f t="shared" si="183"/>
        <v>|Ismu’lláhu’l-Javád|</v>
      </c>
      <c r="J1708" s="3" t="str">
        <f t="shared" si="184"/>
        <v>|Ismu'llahu'l-Javad|</v>
      </c>
      <c r="K1708" s="3" t="str">
        <f t="shared" si="185"/>
        <v>Ismullahul-Javad</v>
      </c>
      <c r="N1708" s="39" t="str">
        <f t="shared" si="186"/>
        <v/>
      </c>
      <c r="P1708" s="39" t="str">
        <f t="shared" si="187"/>
        <v/>
      </c>
      <c r="R1708" s="39" t="str">
        <f t="shared" si="188"/>
        <v/>
      </c>
      <c r="S1708" s="28"/>
      <c r="T1708" s="28"/>
      <c r="U1708" s="28"/>
    </row>
    <row r="1709" spans="1:21" s="5" customFormat="1">
      <c r="A1709" s="179" t="s">
        <v>2099</v>
      </c>
      <c r="B1709" s="185" t="s">
        <v>6333</v>
      </c>
      <c r="C1709" s="35" t="str">
        <f t="shared" si="182"/>
        <v>IsmullahulMihdi</v>
      </c>
      <c r="E1709" s="40"/>
      <c r="F1709" s="15" t="s">
        <v>2100</v>
      </c>
      <c r="G1709" s="17"/>
      <c r="H1709" s="10" t="s">
        <v>8563</v>
      </c>
      <c r="I1709" s="4" t="str">
        <f t="shared" si="183"/>
        <v>|Ismu’lláhu’l-Mihdí|</v>
      </c>
      <c r="J1709" s="3" t="str">
        <f t="shared" si="184"/>
        <v>|Ismu'llahu'l-Mihdi|</v>
      </c>
      <c r="K1709" s="3" t="str">
        <f t="shared" si="185"/>
        <v>Ismullahul-Mihdi</v>
      </c>
      <c r="N1709" s="39" t="str">
        <f t="shared" si="186"/>
        <v/>
      </c>
      <c r="P1709" s="39" t="str">
        <f t="shared" si="187"/>
        <v/>
      </c>
      <c r="R1709" s="39" t="str">
        <f t="shared" si="188"/>
        <v/>
      </c>
      <c r="S1709" s="28"/>
      <c r="T1709" s="28"/>
      <c r="U1709" s="28"/>
    </row>
    <row r="1710" spans="1:21" s="5" customFormat="1">
      <c r="A1710" s="179" t="s">
        <v>2101</v>
      </c>
      <c r="B1710" s="185" t="s">
        <v>6334</v>
      </c>
      <c r="C1710" s="35" t="str">
        <f t="shared" si="182"/>
        <v>IsmullahulMim</v>
      </c>
      <c r="E1710" s="40"/>
      <c r="F1710" s="14"/>
      <c r="G1710" s="17"/>
      <c r="H1710" s="10" t="s">
        <v>8563</v>
      </c>
      <c r="I1710" s="4" t="str">
        <f t="shared" si="183"/>
        <v>|Ismu’lláhu’l-Mím|</v>
      </c>
      <c r="J1710" s="3" t="str">
        <f t="shared" si="184"/>
        <v>|Ismu'llahu'l-Mim|</v>
      </c>
      <c r="K1710" s="3" t="str">
        <f t="shared" si="185"/>
        <v>Ismullahul-Mim</v>
      </c>
      <c r="N1710" s="39" t="str">
        <f t="shared" si="186"/>
        <v/>
      </c>
      <c r="P1710" s="39" t="str">
        <f t="shared" si="187"/>
        <v/>
      </c>
      <c r="R1710" s="39" t="str">
        <f t="shared" si="188"/>
        <v/>
      </c>
      <c r="S1710" s="28"/>
      <c r="T1710" s="28"/>
      <c r="U1710" s="28"/>
    </row>
    <row r="1711" spans="1:21" s="5" customFormat="1">
      <c r="A1711" s="179" t="s">
        <v>2099</v>
      </c>
      <c r="B1711" s="185" t="s">
        <v>6335</v>
      </c>
      <c r="C1711" s="35" t="str">
        <f t="shared" si="182"/>
        <v>IsmullahulMunib</v>
      </c>
      <c r="E1711" s="40"/>
      <c r="F1711" s="15" t="s">
        <v>2102</v>
      </c>
      <c r="G1711" s="17"/>
      <c r="H1711" s="10" t="s">
        <v>8563</v>
      </c>
      <c r="I1711" s="4" t="str">
        <f t="shared" si="183"/>
        <v>|Ismu’lláhu’l-Muníb|</v>
      </c>
      <c r="J1711" s="3" t="str">
        <f t="shared" si="184"/>
        <v>|Ismu'llahu'l-Munib|</v>
      </c>
      <c r="K1711" s="3" t="str">
        <f t="shared" si="185"/>
        <v>Ismullahul-Munib</v>
      </c>
      <c r="N1711" s="39" t="str">
        <f t="shared" si="186"/>
        <v/>
      </c>
      <c r="P1711" s="39" t="str">
        <f t="shared" si="187"/>
        <v/>
      </c>
      <c r="R1711" s="39" t="str">
        <f t="shared" si="188"/>
        <v/>
      </c>
      <c r="S1711" s="28"/>
      <c r="T1711" s="28"/>
      <c r="U1711" s="28"/>
    </row>
    <row r="1712" spans="1:21" s="5" customFormat="1">
      <c r="A1712" s="179" t="s">
        <v>2103</v>
      </c>
      <c r="B1712" s="185" t="s">
        <v>6336</v>
      </c>
      <c r="C1712" s="35" t="str">
        <f t="shared" si="182"/>
        <v>Israfil</v>
      </c>
      <c r="E1712" s="40"/>
      <c r="F1712" s="14" t="s">
        <v>2104</v>
      </c>
      <c r="G1712" s="17"/>
      <c r="H1712" s="10" t="s">
        <v>8563</v>
      </c>
      <c r="I1712" s="4" t="str">
        <f t="shared" si="183"/>
        <v>|Isráfíl|</v>
      </c>
      <c r="J1712" s="3" t="str">
        <f t="shared" si="184"/>
        <v>|Israfil|</v>
      </c>
      <c r="K1712" s="3" t="str">
        <f t="shared" si="185"/>
        <v>Israfil</v>
      </c>
      <c r="N1712" s="39" t="str">
        <f t="shared" si="186"/>
        <v/>
      </c>
      <c r="P1712" s="39" t="str">
        <f t="shared" si="187"/>
        <v/>
      </c>
      <c r="R1712" s="39" t="str">
        <f t="shared" si="188"/>
        <v/>
      </c>
      <c r="S1712" s="28"/>
      <c r="T1712" s="28"/>
      <c r="U1712" s="28"/>
    </row>
    <row r="1713" spans="1:21" s="5" customFormat="1">
      <c r="A1713" s="179" t="s">
        <v>2105</v>
      </c>
      <c r="B1713" s="185" t="s">
        <v>6337</v>
      </c>
      <c r="C1713" s="35" t="str">
        <f t="shared" si="182"/>
        <v>Istahbanat</v>
      </c>
      <c r="E1713" s="40"/>
      <c r="F1713" s="15"/>
      <c r="G1713" s="17"/>
      <c r="H1713" s="10" t="s">
        <v>8563</v>
      </c>
      <c r="I1713" s="4" t="str">
        <f t="shared" si="183"/>
        <v>|Iṣṭahbánát|</v>
      </c>
      <c r="J1713" s="3" t="str">
        <f t="shared" si="184"/>
        <v>|Istahbanat|</v>
      </c>
      <c r="K1713" s="3" t="str">
        <f t="shared" si="185"/>
        <v>Istahbanat</v>
      </c>
      <c r="N1713" s="39" t="str">
        <f t="shared" si="186"/>
        <v/>
      </c>
      <c r="P1713" s="39" t="str">
        <f t="shared" si="187"/>
        <v/>
      </c>
      <c r="R1713" s="39" t="str">
        <f t="shared" si="188"/>
        <v/>
      </c>
      <c r="S1713" s="28"/>
      <c r="T1713" s="28"/>
      <c r="U1713" s="28"/>
    </row>
    <row r="1714" spans="1:21" s="5" customFormat="1">
      <c r="A1714" s="179" t="s">
        <v>2106</v>
      </c>
      <c r="B1714" s="185" t="s">
        <v>6338</v>
      </c>
      <c r="C1714" s="35" t="str">
        <f t="shared" si="182"/>
        <v>Istidlaliyyih</v>
      </c>
      <c r="E1714" s="40"/>
      <c r="F1714" s="15"/>
      <c r="G1714" s="17"/>
      <c r="H1714" s="10" t="s">
        <v>8563</v>
      </c>
      <c r="I1714" s="4" t="str">
        <f t="shared" si="183"/>
        <v>|Istidlálíyyih|</v>
      </c>
      <c r="J1714" s="3" t="str">
        <f t="shared" si="184"/>
        <v>|Istidlaliyyih|</v>
      </c>
      <c r="K1714" s="3" t="str">
        <f t="shared" si="185"/>
        <v>Istidlaliyyih</v>
      </c>
      <c r="N1714" s="39" t="str">
        <f t="shared" si="186"/>
        <v/>
      </c>
      <c r="P1714" s="39" t="str">
        <f t="shared" si="187"/>
        <v/>
      </c>
      <c r="R1714" s="39" t="str">
        <f t="shared" si="188"/>
        <v/>
      </c>
      <c r="S1714" s="28"/>
      <c r="T1714" s="28"/>
      <c r="U1714" s="28"/>
    </row>
    <row r="1715" spans="1:21" s="5" customFormat="1">
      <c r="A1715" s="179" t="s">
        <v>2107</v>
      </c>
      <c r="B1715" s="185" t="s">
        <v>6339</v>
      </c>
      <c r="C1715" s="35" t="str">
        <f t="shared" si="182"/>
        <v>Istijlal</v>
      </c>
      <c r="E1715" s="40"/>
      <c r="F1715" s="15"/>
      <c r="G1715" s="17"/>
      <c r="H1715" s="10" t="s">
        <v>8563</v>
      </c>
      <c r="I1715" s="4" t="str">
        <f t="shared" si="183"/>
        <v>|Istijlál|</v>
      </c>
      <c r="J1715" s="3" t="str">
        <f t="shared" si="184"/>
        <v>|Istijlal|</v>
      </c>
      <c r="K1715" s="3" t="str">
        <f t="shared" si="185"/>
        <v>Istijlal</v>
      </c>
      <c r="N1715" s="39" t="str">
        <f t="shared" si="186"/>
        <v/>
      </c>
      <c r="P1715" s="39" t="str">
        <f t="shared" si="187"/>
        <v/>
      </c>
      <c r="R1715" s="39" t="str">
        <f t="shared" si="188"/>
        <v/>
      </c>
      <c r="S1715" s="28"/>
      <c r="T1715" s="28"/>
      <c r="U1715" s="28"/>
    </row>
    <row r="1716" spans="1:21" s="5" customFormat="1">
      <c r="A1716" s="179" t="s">
        <v>2108</v>
      </c>
      <c r="B1716" s="185" t="s">
        <v>6340</v>
      </c>
      <c r="C1716" s="35" t="str">
        <f t="shared" si="182"/>
        <v>Istilayihzahiri</v>
      </c>
      <c r="E1716" s="40"/>
      <c r="F1716" s="15"/>
      <c r="G1716" s="17"/>
      <c r="H1716" s="10" t="s">
        <v>8563</v>
      </c>
      <c r="I1716" s="4" t="str">
        <f t="shared" si="183"/>
        <v>|Istíláyih-ẓáhirí|</v>
      </c>
      <c r="J1716" s="3" t="str">
        <f t="shared" si="184"/>
        <v>|Istilayih-zahiri|</v>
      </c>
      <c r="K1716" s="3" t="str">
        <f t="shared" si="185"/>
        <v>Istilayih-zahiri</v>
      </c>
      <c r="N1716" s="39" t="str">
        <f t="shared" si="186"/>
        <v/>
      </c>
      <c r="P1716" s="39" t="str">
        <f t="shared" si="187"/>
        <v/>
      </c>
      <c r="R1716" s="39" t="str">
        <f t="shared" si="188"/>
        <v/>
      </c>
      <c r="S1716" s="28"/>
      <c r="T1716" s="28"/>
      <c r="U1716" s="28"/>
    </row>
    <row r="1717" spans="1:21" s="5" customFormat="1">
      <c r="A1717" s="179" t="s">
        <v>2110</v>
      </c>
      <c r="B1717" s="185" t="s">
        <v>6342</v>
      </c>
      <c r="C1717" s="35" t="str">
        <f t="shared" si="182"/>
        <v>Ithna</v>
      </c>
      <c r="E1717" s="40"/>
      <c r="F1717" s="15"/>
      <c r="G1717" s="17"/>
      <c r="H1717" s="10" t="s">
        <v>8563</v>
      </c>
      <c r="I1717" s="4" t="str">
        <f t="shared" si="183"/>
        <v>|Iná|</v>
      </c>
      <c r="J1717" s="3" t="str">
        <f t="shared" si="184"/>
        <v>|Ithna|</v>
      </c>
      <c r="K1717" s="3" t="str">
        <f t="shared" si="185"/>
        <v>Ithna</v>
      </c>
      <c r="N1717" s="39" t="str">
        <f t="shared" si="186"/>
        <v/>
      </c>
      <c r="P1717" s="39" t="str">
        <f t="shared" si="187"/>
        <v/>
      </c>
      <c r="R1717" s="39" t="str">
        <f t="shared" si="188"/>
        <v/>
      </c>
      <c r="S1717" s="28"/>
      <c r="T1717" s="28"/>
      <c r="U1717" s="28"/>
    </row>
    <row r="1718" spans="1:21" s="5" customFormat="1">
      <c r="A1718" s="179" t="s">
        <v>2111</v>
      </c>
      <c r="B1718" s="185" t="s">
        <v>6343</v>
      </c>
      <c r="C1718" s="35" t="str">
        <f t="shared" si="182"/>
        <v>IthnaAshari</v>
      </c>
      <c r="E1718" s="40"/>
      <c r="F1718" s="15"/>
      <c r="G1718" s="17"/>
      <c r="H1718" s="10" t="s">
        <v>8563</v>
      </c>
      <c r="I1718" s="4" t="str">
        <f t="shared" si="183"/>
        <v>|Iná-ʿAarí|</v>
      </c>
      <c r="J1718" s="3" t="str">
        <f t="shared" si="184"/>
        <v>|Ithna-'Ashari|</v>
      </c>
      <c r="K1718" s="3" t="str">
        <f t="shared" si="185"/>
        <v>Ithna-Ashari</v>
      </c>
      <c r="N1718" s="39" t="str">
        <f t="shared" si="186"/>
        <v/>
      </c>
      <c r="P1718" s="39" t="str">
        <f t="shared" si="187"/>
        <v/>
      </c>
      <c r="R1718" s="39" t="str">
        <f t="shared" si="188"/>
        <v/>
      </c>
      <c r="S1718" s="28"/>
      <c r="T1718" s="28"/>
      <c r="U1718" s="28"/>
    </row>
    <row r="1719" spans="1:21" s="5" customFormat="1">
      <c r="A1719" s="179" t="s">
        <v>2112</v>
      </c>
      <c r="B1719" s="185" t="s">
        <v>6344</v>
      </c>
      <c r="C1719" s="35" t="str">
        <f t="shared" si="182"/>
        <v>IthnaAshariyyih</v>
      </c>
      <c r="E1719" s="40"/>
      <c r="F1719" s="15" t="s">
        <v>8590</v>
      </c>
      <c r="G1719" s="17"/>
      <c r="H1719" s="10" t="s">
        <v>8563</v>
      </c>
      <c r="I1719" s="4" t="str">
        <f t="shared" si="183"/>
        <v>|Iná-ʿAaríyyih|</v>
      </c>
      <c r="J1719" s="3" t="str">
        <f t="shared" si="184"/>
        <v>|Ithna-'Ashariyyih|</v>
      </c>
      <c r="K1719" s="3" t="str">
        <f t="shared" si="185"/>
        <v>Ithna-Ashariyyih</v>
      </c>
      <c r="N1719" s="39" t="str">
        <f t="shared" si="186"/>
        <v/>
      </c>
      <c r="P1719" s="39" t="str">
        <f t="shared" si="187"/>
        <v/>
      </c>
      <c r="R1719" s="39" t="str">
        <f t="shared" si="188"/>
        <v/>
      </c>
      <c r="S1719" s="28"/>
      <c r="T1719" s="28"/>
      <c r="U1719" s="28"/>
    </row>
    <row r="1720" spans="1:21" s="5" customFormat="1">
      <c r="A1720" s="179" t="s">
        <v>2113</v>
      </c>
      <c r="B1720" s="185" t="s">
        <v>6345</v>
      </c>
      <c r="C1720" s="35" t="str">
        <f t="shared" si="182"/>
        <v>ItidadusSaltinih</v>
      </c>
      <c r="E1720" s="40"/>
      <c r="F1720" s="15"/>
      <c r="G1720" s="17"/>
      <c r="H1720" s="10" t="s">
        <v>8563</v>
      </c>
      <c r="I1720" s="4" t="str">
        <f t="shared" si="183"/>
        <v>|Iʿtidádu’s-Salṭinih|</v>
      </c>
      <c r="J1720" s="3" t="str">
        <f t="shared" si="184"/>
        <v>|I'tidadu's-Saltinih|</v>
      </c>
      <c r="K1720" s="3" t="str">
        <f t="shared" si="185"/>
        <v>Itidadus-Saltinih</v>
      </c>
      <c r="N1720" s="39" t="str">
        <f t="shared" si="186"/>
        <v/>
      </c>
      <c r="P1720" s="39" t="str">
        <f t="shared" si="187"/>
        <v/>
      </c>
      <c r="R1720" s="39" t="str">
        <f t="shared" si="188"/>
        <v/>
      </c>
      <c r="S1720" s="28"/>
      <c r="T1720" s="28"/>
      <c r="U1720" s="28"/>
    </row>
    <row r="1721" spans="1:21" s="5" customFormat="1">
      <c r="A1721" s="179" t="s">
        <v>2114</v>
      </c>
      <c r="B1721" s="185" t="s">
        <v>6346</v>
      </c>
      <c r="C1721" s="35" t="str">
        <f t="shared" si="182"/>
        <v>Itidal</v>
      </c>
      <c r="E1721" s="40"/>
      <c r="F1721" s="15"/>
      <c r="G1721" s="17"/>
      <c r="H1721" s="10" t="s">
        <v>8563</v>
      </c>
      <c r="I1721" s="4" t="str">
        <f t="shared" si="183"/>
        <v>|Iʿtidál|</v>
      </c>
      <c r="J1721" s="3" t="str">
        <f t="shared" si="184"/>
        <v>|I'tidal|</v>
      </c>
      <c r="K1721" s="3" t="str">
        <f t="shared" si="185"/>
        <v>Itidal</v>
      </c>
      <c r="N1721" s="39" t="str">
        <f t="shared" si="186"/>
        <v/>
      </c>
      <c r="P1721" s="39" t="str">
        <f t="shared" si="187"/>
        <v/>
      </c>
      <c r="R1721" s="39" t="str">
        <f t="shared" si="188"/>
        <v/>
      </c>
      <c r="S1721" s="28"/>
      <c r="T1721" s="28"/>
      <c r="U1721" s="28"/>
    </row>
    <row r="1722" spans="1:21" s="5" customFormat="1">
      <c r="A1722" s="179" t="s">
        <v>2115</v>
      </c>
      <c r="B1722" s="185" t="s">
        <v>6347</v>
      </c>
      <c r="C1722" s="35" t="str">
        <f t="shared" si="182"/>
        <v>Itikaf</v>
      </c>
      <c r="E1722" s="40"/>
      <c r="F1722" s="15"/>
      <c r="G1722" s="17"/>
      <c r="H1722" s="10" t="s">
        <v>8563</v>
      </c>
      <c r="I1722" s="4" t="str">
        <f t="shared" si="183"/>
        <v>|I’tikáf|</v>
      </c>
      <c r="J1722" s="3" t="str">
        <f t="shared" si="184"/>
        <v>|I'tikaf|</v>
      </c>
      <c r="K1722" s="3" t="str">
        <f t="shared" si="185"/>
        <v>Itikaf</v>
      </c>
      <c r="N1722" s="39" t="str">
        <f t="shared" si="186"/>
        <v/>
      </c>
      <c r="P1722" s="39" t="str">
        <f t="shared" si="187"/>
        <v/>
      </c>
      <c r="R1722" s="39" t="str">
        <f t="shared" si="188"/>
        <v/>
      </c>
      <c r="S1722" s="28"/>
      <c r="T1722" s="28"/>
      <c r="U1722" s="28"/>
    </row>
    <row r="1723" spans="1:21" s="5" customFormat="1">
      <c r="A1723" s="179" t="s">
        <v>2116</v>
      </c>
      <c r="B1723" s="185" t="s">
        <v>6348</v>
      </c>
      <c r="C1723" s="35" t="str">
        <f t="shared" si="182"/>
        <v>Itimad</v>
      </c>
      <c r="E1723" s="40"/>
      <c r="F1723" s="15"/>
      <c r="G1723" s="17"/>
      <c r="H1723" s="10" t="s">
        <v>8563</v>
      </c>
      <c r="I1723" s="4" t="str">
        <f t="shared" si="183"/>
        <v>|Iʿtimád|</v>
      </c>
      <c r="J1723" s="3" t="str">
        <f t="shared" si="184"/>
        <v>|I'timad|</v>
      </c>
      <c r="K1723" s="3" t="str">
        <f t="shared" si="185"/>
        <v>Itimad</v>
      </c>
      <c r="N1723" s="39" t="str">
        <f t="shared" si="186"/>
        <v/>
      </c>
      <c r="P1723" s="39" t="str">
        <f t="shared" si="187"/>
        <v/>
      </c>
      <c r="R1723" s="39" t="str">
        <f t="shared" si="188"/>
        <v/>
      </c>
      <c r="S1723" s="28"/>
      <c r="T1723" s="28"/>
      <c r="U1723" s="28"/>
    </row>
    <row r="1724" spans="1:21" s="5" customFormat="1">
      <c r="A1724" s="179" t="s">
        <v>2117</v>
      </c>
      <c r="B1724" s="185" t="s">
        <v>6349</v>
      </c>
      <c r="C1724" s="35" t="str">
        <f t="shared" si="182"/>
        <v>ItimadudDawlih</v>
      </c>
      <c r="E1724" s="40"/>
      <c r="F1724" s="15"/>
      <c r="G1724" s="17"/>
      <c r="H1724" s="10" t="s">
        <v>8563</v>
      </c>
      <c r="I1724" s="4" t="str">
        <f t="shared" si="183"/>
        <v>|Iʿtimádu’d-Dawlih|</v>
      </c>
      <c r="J1724" s="3" t="str">
        <f t="shared" si="184"/>
        <v>|I'timadu'd-Dawlih|</v>
      </c>
      <c r="K1724" s="3" t="str">
        <f t="shared" si="185"/>
        <v>Itimadud-Dawlih</v>
      </c>
      <c r="N1724" s="39" t="str">
        <f t="shared" si="186"/>
        <v/>
      </c>
      <c r="P1724" s="39" t="str">
        <f t="shared" si="187"/>
        <v/>
      </c>
      <c r="R1724" s="39" t="str">
        <f t="shared" si="188"/>
        <v/>
      </c>
      <c r="S1724" s="28"/>
      <c r="T1724" s="28"/>
      <c r="U1724" s="28"/>
    </row>
    <row r="1725" spans="1:21" s="5" customFormat="1">
      <c r="A1725" s="179" t="s">
        <v>2118</v>
      </c>
      <c r="B1725" s="185" t="s">
        <v>6350</v>
      </c>
      <c r="C1725" s="35" t="str">
        <f t="shared" si="182"/>
        <v>ItimadutTujjar</v>
      </c>
      <c r="E1725" s="40"/>
      <c r="F1725" s="15"/>
      <c r="G1725" s="17"/>
      <c r="H1725" s="10" t="s">
        <v>8563</v>
      </c>
      <c r="I1725" s="4" t="str">
        <f t="shared" si="183"/>
        <v>|Iʿtimádu’t-Tujjár|</v>
      </c>
      <c r="J1725" s="3" t="str">
        <f t="shared" si="184"/>
        <v>|I'timadu't-Tujjar|</v>
      </c>
      <c r="K1725" s="3" t="str">
        <f t="shared" si="185"/>
        <v>Itimadut-Tujjar</v>
      </c>
      <c r="N1725" s="39" t="str">
        <f t="shared" si="186"/>
        <v/>
      </c>
      <c r="P1725" s="39" t="str">
        <f t="shared" si="187"/>
        <v/>
      </c>
      <c r="R1725" s="39" t="str">
        <f t="shared" si="188"/>
        <v/>
      </c>
      <c r="S1725" s="28"/>
      <c r="T1725" s="28"/>
      <c r="U1725" s="28"/>
    </row>
    <row r="1726" spans="1:21" s="5" customFormat="1">
      <c r="A1726" s="179" t="s">
        <v>2119</v>
      </c>
      <c r="B1726" s="185" t="s">
        <v>6351</v>
      </c>
      <c r="C1726" s="35" t="str">
        <f t="shared" si="182"/>
        <v>Itiqadimakhsusi</v>
      </c>
      <c r="E1726" s="40"/>
      <c r="F1726" s="15"/>
      <c r="G1726" s="17"/>
      <c r="H1726" s="10" t="s">
        <v>8563</v>
      </c>
      <c r="I1726" s="4" t="str">
        <f t="shared" si="183"/>
        <v>|Iʿtiqád-i-maṣúṣi|</v>
      </c>
      <c r="J1726" s="3" t="str">
        <f t="shared" si="184"/>
        <v>|I'tiqad-i-makhsusi|</v>
      </c>
      <c r="K1726" s="3" t="str">
        <f t="shared" si="185"/>
        <v>Itiqad-i-makhsusi</v>
      </c>
      <c r="N1726" s="39" t="str">
        <f t="shared" si="186"/>
        <v/>
      </c>
      <c r="P1726" s="39" t="str">
        <f t="shared" si="187"/>
        <v/>
      </c>
      <c r="R1726" s="39" t="str">
        <f t="shared" si="188"/>
        <v/>
      </c>
      <c r="S1726" s="28"/>
      <c r="T1726" s="28"/>
      <c r="U1726" s="28"/>
    </row>
    <row r="1727" spans="1:21" s="5" customFormat="1">
      <c r="A1727" s="179" t="s">
        <v>2120</v>
      </c>
      <c r="B1727" s="185" t="s">
        <v>6352</v>
      </c>
      <c r="C1727" s="35" t="str">
        <f t="shared" si="182"/>
        <v>ItminaniQalb</v>
      </c>
      <c r="E1727" s="40"/>
      <c r="F1727" s="15"/>
      <c r="G1727" s="17"/>
      <c r="H1727" s="10" t="s">
        <v>8563</v>
      </c>
      <c r="I1727" s="4" t="str">
        <f t="shared" si="183"/>
        <v>|Iṭmínán-i-Qalb|</v>
      </c>
      <c r="J1727" s="3" t="str">
        <f t="shared" si="184"/>
        <v>|Itminan-i-Qalb|</v>
      </c>
      <c r="K1727" s="3" t="str">
        <f t="shared" si="185"/>
        <v>Itminan-i-Qalb</v>
      </c>
      <c r="N1727" s="39" t="str">
        <f t="shared" si="186"/>
        <v/>
      </c>
      <c r="P1727" s="39" t="str">
        <f t="shared" si="187"/>
        <v/>
      </c>
      <c r="R1727" s="39" t="str">
        <f t="shared" si="188"/>
        <v/>
      </c>
      <c r="S1727" s="28"/>
      <c r="T1727" s="28"/>
      <c r="U1727" s="28"/>
    </row>
    <row r="1728" spans="1:21" s="5" customFormat="1">
      <c r="A1728" s="179" t="s">
        <v>2121</v>
      </c>
      <c r="B1728" s="185" t="s">
        <v>6353</v>
      </c>
      <c r="C1728" s="35" t="str">
        <f t="shared" si="182"/>
        <v>Itrat</v>
      </c>
      <c r="E1728" s="40"/>
      <c r="F1728" s="15" t="s">
        <v>2122</v>
      </c>
      <c r="G1728" s="17"/>
      <c r="H1728" s="10" t="s">
        <v>8563</v>
      </c>
      <c r="I1728" s="4" t="str">
        <f t="shared" si="183"/>
        <v>|Iʿtrat|</v>
      </c>
      <c r="J1728" s="3" t="str">
        <f t="shared" si="184"/>
        <v>|I'trat|</v>
      </c>
      <c r="K1728" s="3" t="str">
        <f t="shared" si="185"/>
        <v>Itrat</v>
      </c>
      <c r="N1728" s="39" t="str">
        <f t="shared" si="186"/>
        <v/>
      </c>
      <c r="P1728" s="39" t="str">
        <f t="shared" si="187"/>
        <v/>
      </c>
      <c r="R1728" s="39" t="str">
        <f t="shared" si="188"/>
        <v/>
      </c>
      <c r="S1728" s="28"/>
      <c r="T1728" s="28"/>
      <c r="U1728" s="28"/>
    </row>
    <row r="1729" spans="1:21" s="5" customFormat="1">
      <c r="A1729" s="179" t="s">
        <v>2123</v>
      </c>
      <c r="B1729" s="185" t="s">
        <v>6354</v>
      </c>
      <c r="C1729" s="35" t="str">
        <f t="shared" si="182"/>
        <v>Ittihad</v>
      </c>
      <c r="E1729" s="40"/>
      <c r="F1729" s="15"/>
      <c r="G1729" s="17"/>
      <c r="H1729" s="10" t="s">
        <v>8563</v>
      </c>
      <c r="I1729" s="4" t="str">
        <f t="shared" si="183"/>
        <v>|Ittiḥád|</v>
      </c>
      <c r="J1729" s="3" t="str">
        <f t="shared" si="184"/>
        <v>|Ittihad|</v>
      </c>
      <c r="K1729" s="3" t="str">
        <f t="shared" si="185"/>
        <v>Ittihad</v>
      </c>
      <c r="N1729" s="39" t="str">
        <f t="shared" si="186"/>
        <v/>
      </c>
      <c r="P1729" s="39" t="str">
        <f t="shared" si="187"/>
        <v/>
      </c>
      <c r="R1729" s="39" t="str">
        <f t="shared" si="188"/>
        <v/>
      </c>
      <c r="S1729" s="28"/>
      <c r="T1729" s="28"/>
      <c r="U1729" s="28"/>
    </row>
    <row r="1730" spans="1:21" s="5" customFormat="1">
      <c r="A1730" s="179" t="s">
        <v>1964</v>
      </c>
      <c r="B1730" s="185" t="s">
        <v>9049</v>
      </c>
      <c r="C1730" s="35" t="str">
        <f t="shared" si="182"/>
        <v>Iyd</v>
      </c>
      <c r="E1730" s="40"/>
      <c r="F1730" s="15"/>
      <c r="G1730" s="17"/>
      <c r="H1730" s="10" t="s">
        <v>8563</v>
      </c>
      <c r="I1730" s="4" t="str">
        <f t="shared" si="183"/>
        <v>|ʿIyd|</v>
      </c>
      <c r="J1730" s="3" t="str">
        <f t="shared" si="184"/>
        <v>|'Iyd|</v>
      </c>
      <c r="K1730" s="3" t="str">
        <f t="shared" si="185"/>
        <v>Iyd</v>
      </c>
      <c r="N1730" s="39" t="str">
        <f t="shared" si="186"/>
        <v/>
      </c>
      <c r="P1730" s="39" t="str">
        <f t="shared" si="187"/>
        <v/>
      </c>
      <c r="R1730" s="39" t="str">
        <f t="shared" si="188"/>
        <v/>
      </c>
      <c r="S1730" s="28"/>
      <c r="T1730" s="28"/>
      <c r="U1730" s="28"/>
    </row>
    <row r="1731" spans="1:21" s="5" customFormat="1">
      <c r="A1731" s="179" t="s">
        <v>1967</v>
      </c>
      <c r="B1731" s="185" t="s">
        <v>9050</v>
      </c>
      <c r="C1731" s="35" t="str">
        <f t="shared" ref="C1731:C1794" si="189">SUBSTITUTE(SUBSTITUTE(K1731,"-","")," ","")</f>
        <v>Iydal</v>
      </c>
      <c r="E1731" s="40"/>
      <c r="F1731" s="15" t="s">
        <v>1968</v>
      </c>
      <c r="G1731" s="17"/>
      <c r="H1731" s="10" t="s">
        <v>8563</v>
      </c>
      <c r="I1731" s="4" t="str">
        <f t="shared" ref="I1731:I1794" si="190">CONCATENATE("|",B1731,"|")</f>
        <v>|ʿIydál|</v>
      </c>
      <c r="J1731" s="3" t="str">
        <f t="shared" ref="J1731:J1794" si="191">CONCATENATE("|",F_OutputASCII(B1731),"|")</f>
        <v>|'Iydal|</v>
      </c>
      <c r="K1731" s="3" t="str">
        <f t="shared" ref="K1731:K1794" si="192">IF(SUBSTITUTE(MID(J1731,2,LEN(J1731)-2),"'","")&lt;&gt;"",SUBSTITUTE(MID(J1731,2,LEN(J1731)-2),"'",""),"ZZZZZ")</f>
        <v>Iydal</v>
      </c>
      <c r="N1731" s="39" t="str">
        <f t="shared" ref="N1731:N1794" si="193">SUBSTITUTE(SUBSTITUTE(SUBSTITUTE(F_OutputASCII(M1731),"-","")," ",""),"'","")</f>
        <v/>
      </c>
      <c r="P1731" s="39" t="str">
        <f t="shared" ref="P1731:P1794" si="194">SUBSTITUTE(SUBSTITUTE(SUBSTITUTE(F_OutputASCII(O1731),"-","")," ",""),"'","")</f>
        <v/>
      </c>
      <c r="R1731" s="39" t="str">
        <f t="shared" si="188"/>
        <v/>
      </c>
      <c r="S1731" s="28"/>
      <c r="T1731" s="28"/>
      <c r="U1731" s="28"/>
    </row>
    <row r="1732" spans="1:21" s="5" customFormat="1">
      <c r="A1732" s="179" t="s">
        <v>2124</v>
      </c>
      <c r="B1732" s="185" t="s">
        <v>6355</v>
      </c>
      <c r="C1732" s="35" t="str">
        <f t="shared" si="189"/>
        <v>Izadi</v>
      </c>
      <c r="E1732" s="40"/>
      <c r="F1732" s="15"/>
      <c r="G1732" s="17"/>
      <c r="H1732" s="10" t="s">
        <v>8563</v>
      </c>
      <c r="I1732" s="4" t="str">
        <f t="shared" si="190"/>
        <v>|Izadí|</v>
      </c>
      <c r="J1732" s="3" t="str">
        <f t="shared" si="191"/>
        <v>|Izadi|</v>
      </c>
      <c r="K1732" s="3" t="str">
        <f t="shared" si="192"/>
        <v>Izadi</v>
      </c>
      <c r="N1732" s="39" t="str">
        <f t="shared" si="193"/>
        <v/>
      </c>
      <c r="P1732" s="39" t="str">
        <f t="shared" si="194"/>
        <v/>
      </c>
      <c r="R1732" s="39" t="str">
        <f t="shared" ref="R1732:R1795" si="195">SUBSTITUTE(SUBSTITUTE(Q1732,"-","")," ","")</f>
        <v/>
      </c>
      <c r="S1732" s="28"/>
      <c r="T1732" s="28"/>
      <c r="U1732" s="28"/>
    </row>
    <row r="1733" spans="1:21" s="5" customFormat="1">
      <c r="A1733" s="179" t="s">
        <v>2125</v>
      </c>
      <c r="B1733" s="185" t="s">
        <v>6356</v>
      </c>
      <c r="C1733" s="35" t="str">
        <f t="shared" si="189"/>
        <v>Izdivaj</v>
      </c>
      <c r="E1733" s="40"/>
      <c r="F1733" s="15"/>
      <c r="G1733" s="17"/>
      <c r="H1733" s="10" t="s">
        <v>8563</v>
      </c>
      <c r="I1733" s="4" t="str">
        <f t="shared" si="190"/>
        <v>|Izdiváj|</v>
      </c>
      <c r="J1733" s="3" t="str">
        <f t="shared" si="191"/>
        <v>|Izdivaj|</v>
      </c>
      <c r="K1733" s="3" t="str">
        <f t="shared" si="192"/>
        <v>Izdivaj</v>
      </c>
      <c r="N1733" s="39" t="str">
        <f t="shared" si="193"/>
        <v/>
      </c>
      <c r="P1733" s="39" t="str">
        <f t="shared" si="194"/>
        <v/>
      </c>
      <c r="R1733" s="39" t="str">
        <f t="shared" si="195"/>
        <v/>
      </c>
      <c r="S1733" s="28"/>
      <c r="T1733" s="28"/>
      <c r="U1733" s="28"/>
    </row>
    <row r="1734" spans="1:21" s="5" customFormat="1">
      <c r="A1734" s="179" t="s">
        <v>2126</v>
      </c>
      <c r="B1734" s="185" t="s">
        <v>6357</v>
      </c>
      <c r="C1734" s="35" t="str">
        <f t="shared" si="189"/>
        <v>Izdivajast</v>
      </c>
      <c r="E1734" s="40"/>
      <c r="F1734" s="15"/>
      <c r="G1734" s="17"/>
      <c r="H1734" s="10" t="s">
        <v>8563</v>
      </c>
      <c r="I1734" s="4" t="str">
        <f t="shared" si="190"/>
        <v>|Izdiváj ast|</v>
      </c>
      <c r="J1734" s="3" t="str">
        <f t="shared" si="191"/>
        <v>|Izdivaj ast|</v>
      </c>
      <c r="K1734" s="3" t="str">
        <f t="shared" si="192"/>
        <v>Izdivaj ast</v>
      </c>
      <c r="N1734" s="39" t="str">
        <f t="shared" si="193"/>
        <v/>
      </c>
      <c r="P1734" s="39" t="str">
        <f t="shared" si="194"/>
        <v/>
      </c>
      <c r="R1734" s="39" t="str">
        <f t="shared" si="195"/>
        <v/>
      </c>
      <c r="S1734" s="28"/>
      <c r="T1734" s="28"/>
      <c r="U1734" s="28"/>
    </row>
    <row r="1735" spans="1:21" s="5" customFormat="1">
      <c r="A1735" s="179" t="s">
        <v>2127</v>
      </c>
      <c r="B1735" s="185" t="s">
        <v>6358</v>
      </c>
      <c r="C1735" s="35" t="str">
        <f t="shared" si="189"/>
        <v>Izrail</v>
      </c>
      <c r="E1735" s="40"/>
      <c r="F1735" s="15"/>
      <c r="G1735" s="17"/>
      <c r="H1735" s="10" t="s">
        <v>8563</v>
      </c>
      <c r="I1735" s="4" t="str">
        <f t="shared" si="190"/>
        <v>|ʿIzrá’íl|</v>
      </c>
      <c r="J1735" s="3" t="str">
        <f t="shared" si="191"/>
        <v>|'Izra'il|</v>
      </c>
      <c r="K1735" s="3" t="str">
        <f t="shared" si="192"/>
        <v>Izrail</v>
      </c>
      <c r="N1735" s="39" t="str">
        <f t="shared" si="193"/>
        <v/>
      </c>
      <c r="P1735" s="39" t="str">
        <f t="shared" si="194"/>
        <v/>
      </c>
      <c r="R1735" s="39" t="str">
        <f t="shared" si="195"/>
        <v/>
      </c>
      <c r="S1735" s="28"/>
      <c r="T1735" s="28"/>
      <c r="U1735" s="28"/>
    </row>
    <row r="1736" spans="1:21" s="5" customFormat="1">
      <c r="A1736" s="179" t="s">
        <v>2128</v>
      </c>
      <c r="B1736" s="185" t="s">
        <v>6359</v>
      </c>
      <c r="C1736" s="35" t="str">
        <f t="shared" si="189"/>
        <v>Izzat</v>
      </c>
      <c r="E1736" s="40"/>
      <c r="F1736" s="14" t="s">
        <v>2129</v>
      </c>
      <c r="G1736" s="17"/>
      <c r="H1736" s="10" t="s">
        <v>8563</v>
      </c>
      <c r="I1736" s="4" t="str">
        <f t="shared" si="190"/>
        <v>|ʿIzzat|</v>
      </c>
      <c r="J1736" s="3" t="str">
        <f t="shared" si="191"/>
        <v>|'Izzat|</v>
      </c>
      <c r="K1736" s="3" t="str">
        <f t="shared" si="192"/>
        <v>Izzat</v>
      </c>
      <c r="N1736" s="39" t="str">
        <f t="shared" si="193"/>
        <v/>
      </c>
      <c r="P1736" s="39" t="str">
        <f t="shared" si="194"/>
        <v/>
      </c>
      <c r="R1736" s="39" t="str">
        <f t="shared" si="195"/>
        <v/>
      </c>
      <c r="S1736" s="28"/>
      <c r="T1736" s="28"/>
      <c r="U1736" s="28"/>
    </row>
    <row r="1737" spans="1:21" s="5" customFormat="1">
      <c r="A1737" s="179" t="s">
        <v>2130</v>
      </c>
      <c r="B1737" s="185" t="s">
        <v>6360</v>
      </c>
      <c r="C1737" s="35" t="str">
        <f t="shared" si="189"/>
        <v>IzzatAqa</v>
      </c>
      <c r="E1737" s="40"/>
      <c r="F1737" s="14"/>
      <c r="G1737" s="17"/>
      <c r="H1737" s="10" t="s">
        <v>8563</v>
      </c>
      <c r="I1737" s="4" t="str">
        <f t="shared" si="190"/>
        <v>|ʿIzzat-Áqá|</v>
      </c>
      <c r="J1737" s="3" t="str">
        <f t="shared" si="191"/>
        <v>|'Izzat-Aqa|</v>
      </c>
      <c r="K1737" s="3" t="str">
        <f t="shared" si="192"/>
        <v>Izzat-Aqa</v>
      </c>
      <c r="N1737" s="39" t="str">
        <f t="shared" si="193"/>
        <v/>
      </c>
      <c r="P1737" s="39" t="str">
        <f t="shared" si="194"/>
        <v/>
      </c>
      <c r="R1737" s="39" t="str">
        <f t="shared" si="195"/>
        <v/>
      </c>
      <c r="S1737" s="28"/>
      <c r="T1737" s="28"/>
      <c r="U1737" s="28"/>
    </row>
    <row r="1738" spans="1:21" s="5" customFormat="1">
      <c r="A1738" s="179" t="s">
        <v>2131</v>
      </c>
      <c r="B1738" s="185" t="s">
        <v>6361</v>
      </c>
      <c r="C1738" s="35" t="str">
        <f t="shared" si="189"/>
        <v>Izzatullah</v>
      </c>
      <c r="E1738" s="40"/>
      <c r="F1738" s="14"/>
      <c r="G1738" s="17"/>
      <c r="H1738" s="10" t="s">
        <v>8563</v>
      </c>
      <c r="I1738" s="4" t="str">
        <f t="shared" si="190"/>
        <v>|ʿIzzatu’lláh|</v>
      </c>
      <c r="J1738" s="3" t="str">
        <f t="shared" si="191"/>
        <v>|'Izzatu'llah|</v>
      </c>
      <c r="K1738" s="3" t="str">
        <f t="shared" si="192"/>
        <v>Izzatullah</v>
      </c>
      <c r="N1738" s="39" t="str">
        <f t="shared" si="193"/>
        <v/>
      </c>
      <c r="P1738" s="39" t="str">
        <f t="shared" si="194"/>
        <v/>
      </c>
      <c r="R1738" s="39" t="str">
        <f t="shared" si="195"/>
        <v/>
      </c>
      <c r="S1738" s="28"/>
      <c r="T1738" s="28"/>
      <c r="U1738" s="28"/>
    </row>
    <row r="1739" spans="1:21" s="5" customFormat="1">
      <c r="A1739" s="179" t="s">
        <v>2132</v>
      </c>
      <c r="B1739" s="185" t="s">
        <v>6362</v>
      </c>
      <c r="C1739" s="35" t="str">
        <f t="shared" si="189"/>
        <v>IzzudDawlih</v>
      </c>
      <c r="E1739" s="40"/>
      <c r="F1739" s="15"/>
      <c r="G1739" s="17"/>
      <c r="H1739" s="10" t="s">
        <v>8563</v>
      </c>
      <c r="I1739" s="4" t="str">
        <f t="shared" si="190"/>
        <v>|ʿIzzu’d-Dawlih|</v>
      </c>
      <c r="J1739" s="3" t="str">
        <f t="shared" si="191"/>
        <v>|'Izzu'd-Dawlih|</v>
      </c>
      <c r="K1739" s="3" t="str">
        <f t="shared" si="192"/>
        <v>Izzud-Dawlih</v>
      </c>
      <c r="N1739" s="39" t="str">
        <f t="shared" si="193"/>
        <v/>
      </c>
      <c r="P1739" s="39" t="str">
        <f t="shared" si="194"/>
        <v/>
      </c>
      <c r="R1739" s="39" t="str">
        <f t="shared" si="195"/>
        <v/>
      </c>
      <c r="S1739" s="28"/>
      <c r="T1739" s="28"/>
      <c r="U1739" s="28"/>
    </row>
    <row r="1740" spans="1:21" s="5" customFormat="1">
      <c r="A1740" s="179" t="s">
        <v>2133</v>
      </c>
      <c r="B1740" s="185" t="s">
        <v>6363</v>
      </c>
      <c r="C1740" s="35" t="str">
        <f t="shared" si="189"/>
        <v>JabaliBasit</v>
      </c>
      <c r="E1740" s="40"/>
      <c r="F1740" s="15" t="s">
        <v>2134</v>
      </c>
      <c r="G1740" s="17"/>
      <c r="H1740" s="10" t="s">
        <v>8563</v>
      </c>
      <c r="I1740" s="4" t="str">
        <f t="shared" si="190"/>
        <v>|Jabál-i-Básiṭ|</v>
      </c>
      <c r="J1740" s="3" t="str">
        <f t="shared" si="191"/>
        <v>|Jabal-i-Basit|</v>
      </c>
      <c r="K1740" s="3" t="str">
        <f t="shared" si="192"/>
        <v>Jabal-i-Basit</v>
      </c>
      <c r="N1740" s="39" t="str">
        <f t="shared" si="193"/>
        <v/>
      </c>
      <c r="P1740" s="39" t="str">
        <f t="shared" si="194"/>
        <v/>
      </c>
      <c r="R1740" s="39" t="str">
        <f t="shared" si="195"/>
        <v/>
      </c>
      <c r="S1740" s="28"/>
      <c r="T1740" s="28"/>
      <c r="U1740" s="28"/>
    </row>
    <row r="1741" spans="1:21" s="5" customFormat="1">
      <c r="A1741" s="179" t="s">
        <v>2135</v>
      </c>
      <c r="B1741" s="185" t="s">
        <v>6364</v>
      </c>
      <c r="C1741" s="35" t="str">
        <f t="shared" si="189"/>
        <v>JabaliShadid</v>
      </c>
      <c r="E1741" s="40"/>
      <c r="F1741" s="14"/>
      <c r="G1741" s="17"/>
      <c r="H1741" s="10" t="s">
        <v>8563</v>
      </c>
      <c r="I1741" s="4" t="str">
        <f t="shared" si="190"/>
        <v>|Jabál-i-adíd|</v>
      </c>
      <c r="J1741" s="3" t="str">
        <f t="shared" si="191"/>
        <v>|Jabal-i-Shadid|</v>
      </c>
      <c r="K1741" s="3" t="str">
        <f t="shared" si="192"/>
        <v>Jabal-i-Shadid</v>
      </c>
      <c r="N1741" s="39" t="str">
        <f t="shared" si="193"/>
        <v/>
      </c>
      <c r="P1741" s="39" t="str">
        <f t="shared" si="194"/>
        <v/>
      </c>
      <c r="R1741" s="39" t="str">
        <f t="shared" si="195"/>
        <v/>
      </c>
      <c r="S1741" s="28"/>
      <c r="T1741" s="28"/>
      <c r="U1741" s="28"/>
    </row>
    <row r="1742" spans="1:21" s="5" customFormat="1">
      <c r="A1742" s="179" t="s">
        <v>2136</v>
      </c>
      <c r="B1742" s="185" t="s">
        <v>6365</v>
      </c>
      <c r="C1742" s="35" t="str">
        <f t="shared" si="189"/>
        <v>Jabarut</v>
      </c>
      <c r="E1742" s="40"/>
      <c r="F1742" s="14"/>
      <c r="G1742" s="17"/>
      <c r="H1742" s="10" t="s">
        <v>8563</v>
      </c>
      <c r="I1742" s="4" t="str">
        <f t="shared" si="190"/>
        <v>|Jabarút|</v>
      </c>
      <c r="J1742" s="3" t="str">
        <f t="shared" si="191"/>
        <v>|Jabarut|</v>
      </c>
      <c r="K1742" s="3" t="str">
        <f t="shared" si="192"/>
        <v>Jabarut</v>
      </c>
      <c r="N1742" s="39" t="str">
        <f t="shared" si="193"/>
        <v/>
      </c>
      <c r="P1742" s="39" t="str">
        <f t="shared" si="194"/>
        <v/>
      </c>
      <c r="R1742" s="39" t="str">
        <f t="shared" si="195"/>
        <v/>
      </c>
      <c r="S1742" s="28"/>
      <c r="T1742" s="28"/>
      <c r="U1742" s="28"/>
    </row>
    <row r="1743" spans="1:21" s="5" customFormat="1">
      <c r="A1743" s="179" t="s">
        <v>2137</v>
      </c>
      <c r="B1743" s="185" t="s">
        <v>6366</v>
      </c>
      <c r="C1743" s="35" t="str">
        <f t="shared" si="189"/>
        <v>Jabbani</v>
      </c>
      <c r="E1743" s="40"/>
      <c r="F1743" s="15"/>
      <c r="G1743" s="17"/>
      <c r="H1743" s="10" t="s">
        <v>8563</v>
      </c>
      <c r="I1743" s="4" t="str">
        <f t="shared" si="190"/>
        <v>|Jabbání|</v>
      </c>
      <c r="J1743" s="3" t="str">
        <f t="shared" si="191"/>
        <v>|Jabbani|</v>
      </c>
      <c r="K1743" s="3" t="str">
        <f t="shared" si="192"/>
        <v>Jabbani</v>
      </c>
      <c r="N1743" s="39" t="str">
        <f t="shared" si="193"/>
        <v/>
      </c>
      <c r="P1743" s="39" t="str">
        <f t="shared" si="194"/>
        <v/>
      </c>
      <c r="R1743" s="39" t="str">
        <f t="shared" si="195"/>
        <v/>
      </c>
      <c r="S1743" s="28"/>
      <c r="T1743" s="28"/>
      <c r="U1743" s="28"/>
    </row>
    <row r="1744" spans="1:21" s="5" customFormat="1">
      <c r="A1744" s="179" t="s">
        <v>2138</v>
      </c>
      <c r="B1744" s="185" t="s">
        <v>6367</v>
      </c>
      <c r="C1744" s="35" t="str">
        <f t="shared" si="189"/>
        <v>Jabir</v>
      </c>
      <c r="E1744" s="40"/>
      <c r="F1744" s="15" t="s">
        <v>2139</v>
      </c>
      <c r="G1744" s="17"/>
      <c r="H1744" s="10" t="s">
        <v>8563</v>
      </c>
      <c r="I1744" s="4" t="str">
        <f t="shared" si="190"/>
        <v>|Jábir|</v>
      </c>
      <c r="J1744" s="3" t="str">
        <f t="shared" si="191"/>
        <v>|Jabir|</v>
      </c>
      <c r="K1744" s="3" t="str">
        <f t="shared" si="192"/>
        <v>Jabir</v>
      </c>
      <c r="N1744" s="39" t="str">
        <f t="shared" si="193"/>
        <v/>
      </c>
      <c r="P1744" s="39" t="str">
        <f t="shared" si="194"/>
        <v/>
      </c>
      <c r="R1744" s="39" t="str">
        <f t="shared" si="195"/>
        <v/>
      </c>
      <c r="S1744" s="28"/>
      <c r="T1744" s="28"/>
      <c r="U1744" s="28"/>
    </row>
    <row r="1745" spans="1:21" s="5" customFormat="1">
      <c r="A1745" s="179" t="s">
        <v>2140</v>
      </c>
      <c r="B1745" s="185" t="s">
        <v>73</v>
      </c>
      <c r="C1745" s="35" t="str">
        <f t="shared" si="189"/>
        <v>Jabulqa</v>
      </c>
      <c r="E1745" s="40"/>
      <c r="F1745" s="14"/>
      <c r="G1745" s="17"/>
      <c r="H1745" s="10" t="s">
        <v>8563</v>
      </c>
      <c r="I1745" s="4" t="str">
        <f t="shared" si="190"/>
        <v>|Jábulqá|</v>
      </c>
      <c r="J1745" s="3" t="str">
        <f t="shared" si="191"/>
        <v>|Jabulqa|</v>
      </c>
      <c r="K1745" s="3" t="str">
        <f t="shared" si="192"/>
        <v>Jabulqa</v>
      </c>
      <c r="N1745" s="39" t="str">
        <f t="shared" si="193"/>
        <v/>
      </c>
      <c r="P1745" s="39" t="str">
        <f t="shared" si="194"/>
        <v/>
      </c>
      <c r="R1745" s="39" t="str">
        <f t="shared" si="195"/>
        <v/>
      </c>
      <c r="S1745" s="28"/>
      <c r="T1745" s="29">
        <v>41796</v>
      </c>
      <c r="U1745" s="28" t="s">
        <v>9377</v>
      </c>
    </row>
    <row r="1746" spans="1:21" s="5" customFormat="1">
      <c r="A1746" s="179" t="s">
        <v>2141</v>
      </c>
      <c r="B1746" s="185" t="s">
        <v>74</v>
      </c>
      <c r="C1746" s="35" t="str">
        <f t="shared" si="189"/>
        <v>Jabulsa</v>
      </c>
      <c r="E1746" s="40"/>
      <c r="F1746" s="14"/>
      <c r="G1746" s="17"/>
      <c r="H1746" s="10" t="s">
        <v>8563</v>
      </c>
      <c r="I1746" s="4" t="str">
        <f t="shared" si="190"/>
        <v>|Jábulsá|</v>
      </c>
      <c r="J1746" s="3" t="str">
        <f t="shared" si="191"/>
        <v>|Jabulsa|</v>
      </c>
      <c r="K1746" s="3" t="str">
        <f t="shared" si="192"/>
        <v>Jabulsa</v>
      </c>
      <c r="N1746" s="39" t="str">
        <f t="shared" si="193"/>
        <v/>
      </c>
      <c r="P1746" s="39" t="str">
        <f t="shared" si="194"/>
        <v/>
      </c>
      <c r="R1746" s="39" t="str">
        <f t="shared" si="195"/>
        <v/>
      </c>
      <c r="S1746" s="28"/>
      <c r="T1746" s="29">
        <v>41796</v>
      </c>
      <c r="U1746" s="28" t="s">
        <v>9373</v>
      </c>
    </row>
    <row r="1747" spans="1:21" s="5" customFormat="1">
      <c r="A1747" s="179" t="s">
        <v>2142</v>
      </c>
      <c r="B1747" s="185" t="s">
        <v>6368</v>
      </c>
      <c r="C1747" s="35" t="str">
        <f t="shared" si="189"/>
        <v>Jaddih</v>
      </c>
      <c r="E1747" s="40"/>
      <c r="F1747" s="14"/>
      <c r="G1747" s="17"/>
      <c r="H1747" s="10" t="s">
        <v>8563</v>
      </c>
      <c r="I1747" s="4" t="str">
        <f t="shared" si="190"/>
        <v>|Jaddih|</v>
      </c>
      <c r="J1747" s="3" t="str">
        <f t="shared" si="191"/>
        <v>|Jaddih|</v>
      </c>
      <c r="K1747" s="3" t="str">
        <f t="shared" si="192"/>
        <v>Jaddih</v>
      </c>
      <c r="N1747" s="39" t="str">
        <f t="shared" si="193"/>
        <v/>
      </c>
      <c r="P1747" s="39" t="str">
        <f t="shared" si="194"/>
        <v/>
      </c>
      <c r="R1747" s="39" t="str">
        <f t="shared" si="195"/>
        <v/>
      </c>
      <c r="S1747" s="28"/>
      <c r="T1747" s="28"/>
      <c r="U1747" s="28"/>
    </row>
    <row r="1748" spans="1:21" s="5" customFormat="1">
      <c r="A1748" s="179" t="s">
        <v>2143</v>
      </c>
      <c r="B1748" s="185" t="s">
        <v>6369</v>
      </c>
      <c r="C1748" s="35" t="str">
        <f t="shared" si="189"/>
        <v>Jadhbiyyih</v>
      </c>
      <c r="E1748" s="40"/>
      <c r="F1748" s="15" t="s">
        <v>2144</v>
      </c>
      <c r="G1748" s="17"/>
      <c r="H1748" s="10" t="s">
        <v>8563</v>
      </c>
      <c r="I1748" s="4" t="str">
        <f t="shared" si="190"/>
        <v>|Jabíyyih|</v>
      </c>
      <c r="J1748" s="3" t="str">
        <f t="shared" si="191"/>
        <v>|Jadhbiyyih|</v>
      </c>
      <c r="K1748" s="3" t="str">
        <f t="shared" si="192"/>
        <v>Jadhbiyyih</v>
      </c>
      <c r="N1748" s="39" t="str">
        <f t="shared" si="193"/>
        <v/>
      </c>
      <c r="P1748" s="39" t="str">
        <f t="shared" si="194"/>
        <v/>
      </c>
      <c r="R1748" s="39" t="str">
        <f t="shared" si="195"/>
        <v/>
      </c>
      <c r="S1748" s="28"/>
      <c r="T1748" s="28"/>
      <c r="U1748" s="28"/>
    </row>
    <row r="1749" spans="1:21" s="5" customFormat="1">
      <c r="A1749" s="179" t="s">
        <v>2145</v>
      </c>
      <c r="B1749" s="185" t="s">
        <v>6370</v>
      </c>
      <c r="C1749" s="35" t="str">
        <f t="shared" si="189"/>
        <v>Jadiduʼllah</v>
      </c>
      <c r="E1749" s="40"/>
      <c r="F1749" s="15"/>
      <c r="G1749" s="17"/>
      <c r="H1749" s="10" t="s">
        <v>8563</v>
      </c>
      <c r="I1749" s="4" t="str">
        <f t="shared" si="190"/>
        <v>|Jadíduʼlláh|</v>
      </c>
      <c r="J1749" s="3" t="str">
        <f t="shared" si="191"/>
        <v>|Jadiduʼllah|</v>
      </c>
      <c r="K1749" s="3" t="str">
        <f t="shared" si="192"/>
        <v>Jadiduʼllah</v>
      </c>
      <c r="N1749" s="39" t="str">
        <f t="shared" si="193"/>
        <v/>
      </c>
      <c r="P1749" s="39" t="str">
        <f t="shared" si="194"/>
        <v/>
      </c>
      <c r="R1749" s="39" t="str">
        <f t="shared" si="195"/>
        <v/>
      </c>
      <c r="S1749" s="28"/>
      <c r="T1749" s="28"/>
      <c r="U1749" s="28"/>
    </row>
    <row r="1750" spans="1:21" s="5" customFormat="1">
      <c r="A1750" s="179" t="s">
        <v>2146</v>
      </c>
      <c r="B1750" s="185" t="s">
        <v>6371</v>
      </c>
      <c r="C1750" s="35" t="str">
        <f t="shared" si="189"/>
        <v>Jafar</v>
      </c>
      <c r="E1750" s="40"/>
      <c r="F1750" s="15" t="s">
        <v>2147</v>
      </c>
      <c r="G1750" s="17"/>
      <c r="H1750" s="10" t="s">
        <v>8563</v>
      </c>
      <c r="I1750" s="4" t="str">
        <f t="shared" si="190"/>
        <v>|Jaʿfar|</v>
      </c>
      <c r="J1750" s="3" t="str">
        <f t="shared" si="191"/>
        <v>|Ja'far|</v>
      </c>
      <c r="K1750" s="3" t="str">
        <f t="shared" si="192"/>
        <v>Jafar</v>
      </c>
      <c r="N1750" s="39" t="str">
        <f t="shared" si="193"/>
        <v/>
      </c>
      <c r="P1750" s="39" t="str">
        <f t="shared" si="194"/>
        <v/>
      </c>
      <c r="R1750" s="39" t="str">
        <f t="shared" si="195"/>
        <v/>
      </c>
      <c r="S1750" s="28"/>
      <c r="T1750" s="28"/>
      <c r="U1750" s="28"/>
    </row>
    <row r="1751" spans="1:21" s="5" customFormat="1">
      <c r="A1751" s="179" t="s">
        <v>2148</v>
      </c>
      <c r="B1751" s="185" t="s">
        <v>6372</v>
      </c>
      <c r="C1751" s="35" t="str">
        <f t="shared" si="189"/>
        <v>JafarAbad</v>
      </c>
      <c r="E1751" s="40"/>
      <c r="F1751" s="15" t="s">
        <v>2149</v>
      </c>
      <c r="G1751" s="17"/>
      <c r="H1751" s="10" t="s">
        <v>8563</v>
      </c>
      <c r="I1751" s="4" t="str">
        <f t="shared" si="190"/>
        <v>|Jaʿfar-Ábád|</v>
      </c>
      <c r="J1751" s="3" t="str">
        <f t="shared" si="191"/>
        <v>|Ja'far-Abad|</v>
      </c>
      <c r="K1751" s="3" t="str">
        <f t="shared" si="192"/>
        <v>Jafar-Abad</v>
      </c>
      <c r="N1751" s="39" t="str">
        <f t="shared" si="193"/>
        <v/>
      </c>
      <c r="P1751" s="39" t="str">
        <f t="shared" si="194"/>
        <v/>
      </c>
      <c r="R1751" s="39" t="str">
        <f t="shared" si="195"/>
        <v/>
      </c>
      <c r="S1751" s="28"/>
      <c r="T1751" s="28"/>
      <c r="U1751" s="28"/>
    </row>
    <row r="1752" spans="1:21" s="5" customFormat="1">
      <c r="A1752" s="179" t="s">
        <v>2150</v>
      </c>
      <c r="B1752" s="185" t="s">
        <v>6373</v>
      </c>
      <c r="C1752" s="35" t="str">
        <f t="shared" si="189"/>
        <v>JafariAstarabadi</v>
      </c>
      <c r="E1752" s="40"/>
      <c r="F1752" s="15"/>
      <c r="G1752" s="17"/>
      <c r="H1752" s="10" t="s">
        <v>8563</v>
      </c>
      <c r="I1752" s="4" t="str">
        <f t="shared" si="190"/>
        <v>|Jaʿfar-i-Astarábádí|</v>
      </c>
      <c r="J1752" s="3" t="str">
        <f t="shared" si="191"/>
        <v>|Ja'far-i-Astarabadi|</v>
      </c>
      <c r="K1752" s="3" t="str">
        <f t="shared" si="192"/>
        <v>Jafar-i-Astarabadi</v>
      </c>
      <c r="N1752" s="39" t="str">
        <f t="shared" si="193"/>
        <v/>
      </c>
      <c r="P1752" s="39" t="str">
        <f t="shared" si="194"/>
        <v/>
      </c>
      <c r="R1752" s="39" t="str">
        <f t="shared" si="195"/>
        <v/>
      </c>
      <c r="S1752" s="28"/>
      <c r="T1752" s="28"/>
      <c r="U1752" s="28"/>
    </row>
    <row r="1753" spans="1:21" s="5" customFormat="1">
      <c r="A1753" s="179" t="s">
        <v>2151</v>
      </c>
      <c r="B1753" s="185" t="s">
        <v>6374</v>
      </c>
      <c r="C1753" s="35" t="str">
        <f t="shared" si="189"/>
        <v>JafariMudhahhib</v>
      </c>
      <c r="E1753" s="40"/>
      <c r="F1753" s="15"/>
      <c r="G1753" s="17"/>
      <c r="H1753" s="10" t="s">
        <v>8563</v>
      </c>
      <c r="I1753" s="4" t="str">
        <f t="shared" si="190"/>
        <v>|Jaʿfar-i-Muahhib|</v>
      </c>
      <c r="J1753" s="3" t="str">
        <f t="shared" si="191"/>
        <v>|Ja'far-i-Mudhahhib|</v>
      </c>
      <c r="K1753" s="3" t="str">
        <f t="shared" si="192"/>
        <v>Jafar-i-Mudhahhib</v>
      </c>
      <c r="N1753" s="39" t="str">
        <f t="shared" si="193"/>
        <v/>
      </c>
      <c r="P1753" s="39" t="str">
        <f t="shared" si="194"/>
        <v/>
      </c>
      <c r="R1753" s="39" t="str">
        <f t="shared" si="195"/>
        <v/>
      </c>
      <c r="S1753" s="28"/>
      <c r="T1753" s="28"/>
      <c r="U1753" s="28"/>
    </row>
    <row r="1754" spans="1:21" s="5" customFormat="1">
      <c r="A1754" s="179" t="s">
        <v>2152</v>
      </c>
      <c r="B1754" s="185" t="s">
        <v>6375</v>
      </c>
      <c r="C1754" s="35" t="str">
        <f t="shared" si="189"/>
        <v>JafariNaraqi</v>
      </c>
      <c r="E1754" s="40"/>
      <c r="F1754" s="15"/>
      <c r="G1754" s="17"/>
      <c r="H1754" s="10" t="s">
        <v>8563</v>
      </c>
      <c r="I1754" s="4" t="str">
        <f t="shared" si="190"/>
        <v>|Jaʿfar-i-Naráqí|</v>
      </c>
      <c r="J1754" s="3" t="str">
        <f t="shared" si="191"/>
        <v>|Ja'far-i-Naraqi|</v>
      </c>
      <c r="K1754" s="3" t="str">
        <f t="shared" si="192"/>
        <v>Jafar-i-Naraqi</v>
      </c>
      <c r="N1754" s="39" t="str">
        <f t="shared" si="193"/>
        <v/>
      </c>
      <c r="P1754" s="39" t="str">
        <f t="shared" si="194"/>
        <v/>
      </c>
      <c r="R1754" s="39" t="str">
        <f t="shared" si="195"/>
        <v/>
      </c>
      <c r="S1754" s="28"/>
      <c r="T1754" s="28"/>
      <c r="U1754" s="28"/>
    </row>
    <row r="1755" spans="1:21" s="5" customFormat="1">
      <c r="A1755" s="181"/>
      <c r="B1755" s="185" t="s">
        <v>8690</v>
      </c>
      <c r="C1755" s="35" t="str">
        <f t="shared" si="189"/>
        <v>JafariSadiq</v>
      </c>
      <c r="D1755" s="1"/>
      <c r="E1755" s="40"/>
      <c r="F1755" s="12"/>
      <c r="G1755" s="9"/>
      <c r="H1755" s="12" t="s">
        <v>8622</v>
      </c>
      <c r="I1755" s="4" t="str">
        <f t="shared" si="190"/>
        <v>|Jaʿfar-i-Ṣádiq|</v>
      </c>
      <c r="J1755" s="3" t="str">
        <f t="shared" si="191"/>
        <v>|Ja'far-i-Sadiq|</v>
      </c>
      <c r="K1755" s="3" t="str">
        <f t="shared" si="192"/>
        <v>Jafar-i-Sadiq</v>
      </c>
      <c r="N1755" s="39" t="str">
        <f t="shared" si="193"/>
        <v/>
      </c>
      <c r="P1755" s="39" t="str">
        <f t="shared" si="194"/>
        <v/>
      </c>
      <c r="R1755" s="39" t="str">
        <f t="shared" si="195"/>
        <v/>
      </c>
      <c r="S1755" s="29">
        <v>41760</v>
      </c>
      <c r="T1755" s="28"/>
      <c r="U1755" s="28"/>
    </row>
    <row r="1756" spans="1:21" s="5" customFormat="1">
      <c r="A1756" s="179" t="s">
        <v>2155</v>
      </c>
      <c r="B1756" s="185" t="s">
        <v>6378</v>
      </c>
      <c r="C1756" s="35" t="str">
        <f t="shared" si="189"/>
        <v>JafariTabrizi</v>
      </c>
      <c r="E1756" s="40"/>
      <c r="F1756" s="15"/>
      <c r="G1756" s="17"/>
      <c r="H1756" s="10" t="s">
        <v>8563</v>
      </c>
      <c r="I1756" s="4" t="str">
        <f t="shared" si="190"/>
        <v>|Jaʿfar-i-Tabrízí|</v>
      </c>
      <c r="J1756" s="3" t="str">
        <f t="shared" si="191"/>
        <v>|Ja'far-i-Tabrizi|</v>
      </c>
      <c r="K1756" s="3" t="str">
        <f t="shared" si="192"/>
        <v>Jafar-i-Tabrizi</v>
      </c>
      <c r="N1756" s="39" t="str">
        <f t="shared" si="193"/>
        <v/>
      </c>
      <c r="P1756" s="39" t="str">
        <f t="shared" si="194"/>
        <v/>
      </c>
      <c r="R1756" s="39" t="str">
        <f t="shared" si="195"/>
        <v/>
      </c>
      <c r="S1756" s="28"/>
      <c r="T1756" s="28"/>
      <c r="U1756" s="28"/>
    </row>
    <row r="1757" spans="1:21" s="5" customFormat="1">
      <c r="A1757" s="179" t="s">
        <v>2156</v>
      </c>
      <c r="B1757" s="185" t="s">
        <v>6379</v>
      </c>
      <c r="C1757" s="35" t="str">
        <f t="shared" si="189"/>
        <v>JafariTayyar</v>
      </c>
      <c r="E1757" s="40"/>
      <c r="F1757" s="15"/>
      <c r="G1757" s="17"/>
      <c r="H1757" s="10" t="s">
        <v>8563</v>
      </c>
      <c r="I1757" s="4" t="str">
        <f t="shared" si="190"/>
        <v>|Jaʿfar-i-Ṭayyár|</v>
      </c>
      <c r="J1757" s="3" t="str">
        <f t="shared" si="191"/>
        <v>|Ja'far-i-Tayyar|</v>
      </c>
      <c r="K1757" s="3" t="str">
        <f t="shared" si="192"/>
        <v>Jafar-i-Tayyar</v>
      </c>
      <c r="N1757" s="39" t="str">
        <f t="shared" si="193"/>
        <v/>
      </c>
      <c r="P1757" s="39" t="str">
        <f t="shared" si="194"/>
        <v/>
      </c>
      <c r="R1757" s="39" t="str">
        <f t="shared" si="195"/>
        <v/>
      </c>
      <c r="S1757" s="28"/>
      <c r="T1757" s="28"/>
      <c r="U1757" s="28"/>
    </row>
    <row r="1758" spans="1:21" s="5" customFormat="1">
      <c r="A1758" s="179" t="s">
        <v>2157</v>
      </c>
      <c r="B1758" s="185" t="s">
        <v>6380</v>
      </c>
      <c r="C1758" s="35" t="str">
        <f t="shared" si="189"/>
        <v>JafariVaiziQazvini</v>
      </c>
      <c r="E1758" s="40"/>
      <c r="F1758" s="15"/>
      <c r="G1758" s="17"/>
      <c r="H1758" s="10" t="s">
        <v>8563</v>
      </c>
      <c r="I1758" s="4" t="str">
        <f t="shared" si="190"/>
        <v>|Jaʿfar-i-Váʿiẓ-i-Qazvíní|</v>
      </c>
      <c r="J1758" s="3" t="str">
        <f t="shared" si="191"/>
        <v>|Ja'far-i-Va'iz-i-Qazvini|</v>
      </c>
      <c r="K1758" s="3" t="str">
        <f t="shared" si="192"/>
        <v>Jafar-i-Vaiz-i-Qazvini</v>
      </c>
      <c r="N1758" s="39" t="str">
        <f t="shared" si="193"/>
        <v/>
      </c>
      <c r="P1758" s="39" t="str">
        <f t="shared" si="194"/>
        <v/>
      </c>
      <c r="R1758" s="39" t="str">
        <f t="shared" si="195"/>
        <v/>
      </c>
      <c r="S1758" s="28"/>
      <c r="T1758" s="28"/>
      <c r="U1758" s="28"/>
    </row>
    <row r="1759" spans="1:21" s="5" customFormat="1">
      <c r="A1759" s="179" t="s">
        <v>2158</v>
      </c>
      <c r="B1759" s="185" t="s">
        <v>6381</v>
      </c>
      <c r="C1759" s="35" t="str">
        <f t="shared" si="189"/>
        <v>JafariYazdi</v>
      </c>
      <c r="E1759" s="40"/>
      <c r="F1759" s="15"/>
      <c r="G1759" s="17"/>
      <c r="H1759" s="10" t="s">
        <v>8563</v>
      </c>
      <c r="I1759" s="4" t="str">
        <f t="shared" si="190"/>
        <v>|Jaʿfar-i-Yazdí|</v>
      </c>
      <c r="J1759" s="3" t="str">
        <f t="shared" si="191"/>
        <v>|Ja'far-i-Yazdi|</v>
      </c>
      <c r="K1759" s="3" t="str">
        <f t="shared" si="192"/>
        <v>Jafar-i-Yazdi</v>
      </c>
      <c r="N1759" s="39" t="str">
        <f t="shared" si="193"/>
        <v/>
      </c>
      <c r="P1759" s="39" t="str">
        <f t="shared" si="194"/>
        <v/>
      </c>
      <c r="R1759" s="39" t="str">
        <f t="shared" si="195"/>
        <v/>
      </c>
      <c r="S1759" s="28"/>
      <c r="T1759" s="28"/>
      <c r="U1759" s="28"/>
    </row>
    <row r="1760" spans="1:21" s="5" customFormat="1">
      <c r="A1760" s="179" t="s">
        <v>2159</v>
      </c>
      <c r="B1760" s="185" t="s">
        <v>6382</v>
      </c>
      <c r="C1760" s="35" t="str">
        <f t="shared" si="189"/>
        <v>Jafariyyih</v>
      </c>
      <c r="E1760" s="40"/>
      <c r="F1760" s="15"/>
      <c r="G1760" s="17"/>
      <c r="H1760" s="10" t="s">
        <v>8563</v>
      </c>
      <c r="I1760" s="4" t="str">
        <f t="shared" si="190"/>
        <v>|Jaʿfaríyyih|</v>
      </c>
      <c r="J1760" s="3" t="str">
        <f t="shared" si="191"/>
        <v>|Ja'fariyyih|</v>
      </c>
      <c r="K1760" s="3" t="str">
        <f t="shared" si="192"/>
        <v>Jafariyyih</v>
      </c>
      <c r="N1760" s="39" t="str">
        <f t="shared" si="193"/>
        <v/>
      </c>
      <c r="P1760" s="39" t="str">
        <f t="shared" si="194"/>
        <v/>
      </c>
      <c r="R1760" s="39" t="str">
        <f t="shared" si="195"/>
        <v/>
      </c>
      <c r="S1760" s="28"/>
      <c r="T1760" s="28"/>
      <c r="U1760" s="28"/>
    </row>
    <row r="1761" spans="1:21" s="5" customFormat="1">
      <c r="A1761" s="179" t="s">
        <v>2153</v>
      </c>
      <c r="B1761" s="185" t="s">
        <v>6376</v>
      </c>
      <c r="C1761" s="35" t="str">
        <f t="shared" si="189"/>
        <v>JafarQuli</v>
      </c>
      <c r="E1761" s="40"/>
      <c r="F1761" s="15"/>
      <c r="G1761" s="17"/>
      <c r="H1761" s="10" t="s">
        <v>8563</v>
      </c>
      <c r="I1761" s="4" t="str">
        <f t="shared" si="190"/>
        <v>|Jaʿfar-Qulí|</v>
      </c>
      <c r="J1761" s="3" t="str">
        <f t="shared" si="191"/>
        <v>|Ja'far-Quli|</v>
      </c>
      <c r="K1761" s="3" t="str">
        <f t="shared" si="192"/>
        <v>Jafar-Quli</v>
      </c>
      <c r="N1761" s="39" t="str">
        <f t="shared" si="193"/>
        <v/>
      </c>
      <c r="P1761" s="39" t="str">
        <f t="shared" si="194"/>
        <v/>
      </c>
      <c r="R1761" s="39" t="str">
        <f t="shared" si="195"/>
        <v/>
      </c>
      <c r="S1761" s="28"/>
      <c r="T1761" s="28"/>
      <c r="U1761" s="28"/>
    </row>
    <row r="1762" spans="1:21" s="5" customFormat="1">
      <c r="A1762" s="179" t="s">
        <v>2160</v>
      </c>
      <c r="B1762" s="185" t="s">
        <v>6383</v>
      </c>
      <c r="C1762" s="35" t="str">
        <f t="shared" si="189"/>
        <v>JafarQuliKhan</v>
      </c>
      <c r="E1762" s="40"/>
      <c r="F1762" s="15"/>
      <c r="G1762" s="17"/>
      <c r="H1762" s="10" t="s">
        <v>8563</v>
      </c>
      <c r="I1762" s="4" t="str">
        <f t="shared" si="190"/>
        <v>|Jaʿfar-Qulí-án|</v>
      </c>
      <c r="J1762" s="3" t="str">
        <f t="shared" si="191"/>
        <v>|Ja'far-Quli-Khan|</v>
      </c>
      <c r="K1762" s="3" t="str">
        <f t="shared" si="192"/>
        <v>Jafar-Quli-Khan</v>
      </c>
      <c r="N1762" s="39" t="str">
        <f t="shared" si="193"/>
        <v/>
      </c>
      <c r="P1762" s="39" t="str">
        <f t="shared" si="194"/>
        <v/>
      </c>
      <c r="R1762" s="39" t="str">
        <f t="shared" si="195"/>
        <v/>
      </c>
      <c r="S1762" s="28"/>
      <c r="T1762" s="28"/>
      <c r="U1762" s="28"/>
    </row>
    <row r="1763" spans="1:21" s="5" customFormat="1">
      <c r="A1763" s="179" t="s">
        <v>2154</v>
      </c>
      <c r="B1763" s="185" t="s">
        <v>6377</v>
      </c>
      <c r="C1763" s="35" t="str">
        <f t="shared" si="189"/>
        <v>JafarSadiq</v>
      </c>
      <c r="E1763" s="40"/>
      <c r="F1763" s="15"/>
      <c r="G1763" s="17"/>
      <c r="H1763" s="10" t="s">
        <v>8563</v>
      </c>
      <c r="I1763" s="4" t="str">
        <f t="shared" si="190"/>
        <v>|Jaʿfar-Ṣádiq|</v>
      </c>
      <c r="J1763" s="3" t="str">
        <f t="shared" si="191"/>
        <v>|Ja'far-Sadiq|</v>
      </c>
      <c r="K1763" s="3" t="str">
        <f t="shared" si="192"/>
        <v>Jafar-Sadiq</v>
      </c>
      <c r="N1763" s="39" t="str">
        <f t="shared" si="193"/>
        <v/>
      </c>
      <c r="P1763" s="39" t="str">
        <f t="shared" si="194"/>
        <v/>
      </c>
      <c r="R1763" s="39" t="str">
        <f t="shared" si="195"/>
        <v/>
      </c>
      <c r="S1763" s="28"/>
      <c r="T1763" s="28"/>
      <c r="U1763" s="28"/>
    </row>
    <row r="1764" spans="1:21" s="5" customFormat="1">
      <c r="A1764" s="179" t="s">
        <v>2161</v>
      </c>
      <c r="B1764" s="185" t="s">
        <v>6384</v>
      </c>
      <c r="C1764" s="35" t="str">
        <f t="shared" si="189"/>
        <v>Jahan</v>
      </c>
      <c r="E1764" s="40"/>
      <c r="F1764" s="15" t="s">
        <v>2162</v>
      </c>
      <c r="G1764" s="17"/>
      <c r="H1764" s="10" t="s">
        <v>8563</v>
      </c>
      <c r="I1764" s="4" t="str">
        <f t="shared" si="190"/>
        <v>|Jahán|</v>
      </c>
      <c r="J1764" s="3" t="str">
        <f t="shared" si="191"/>
        <v>|Jahan|</v>
      </c>
      <c r="K1764" s="3" t="str">
        <f t="shared" si="192"/>
        <v>Jahan</v>
      </c>
      <c r="N1764" s="39" t="str">
        <f t="shared" si="193"/>
        <v/>
      </c>
      <c r="P1764" s="39" t="str">
        <f t="shared" si="194"/>
        <v/>
      </c>
      <c r="R1764" s="39" t="str">
        <f t="shared" si="195"/>
        <v/>
      </c>
      <c r="S1764" s="28"/>
      <c r="T1764" s="28"/>
      <c r="U1764" s="28"/>
    </row>
    <row r="1765" spans="1:21" s="5" customFormat="1">
      <c r="A1765" s="179" t="s">
        <v>2163</v>
      </c>
      <c r="B1765" s="185" t="s">
        <v>6385</v>
      </c>
      <c r="C1765" s="35" t="str">
        <f t="shared" si="189"/>
        <v>Jahangir</v>
      </c>
      <c r="E1765" s="40"/>
      <c r="F1765" s="15"/>
      <c r="G1765" s="17"/>
      <c r="H1765" s="10" t="s">
        <v>8563</v>
      </c>
      <c r="I1765" s="4" t="str">
        <f t="shared" si="190"/>
        <v>|Jahángír|</v>
      </c>
      <c r="J1765" s="3" t="str">
        <f t="shared" si="191"/>
        <v>|Jahangir|</v>
      </c>
      <c r="K1765" s="3" t="str">
        <f t="shared" si="192"/>
        <v>Jahangir</v>
      </c>
      <c r="N1765" s="39" t="str">
        <f t="shared" si="193"/>
        <v/>
      </c>
      <c r="P1765" s="39" t="str">
        <f t="shared" si="194"/>
        <v/>
      </c>
      <c r="R1765" s="39" t="str">
        <f t="shared" si="195"/>
        <v/>
      </c>
      <c r="S1765" s="28"/>
      <c r="T1765" s="28"/>
      <c r="U1765" s="28"/>
    </row>
    <row r="1766" spans="1:21" s="5" customFormat="1">
      <c r="A1766" s="179" t="s">
        <v>2164</v>
      </c>
      <c r="B1766" s="185" t="s">
        <v>171</v>
      </c>
      <c r="C1766" s="35" t="str">
        <f t="shared" si="189"/>
        <v>Jahiliyyih</v>
      </c>
      <c r="E1766" s="40"/>
      <c r="F1766" s="14" t="s">
        <v>2165</v>
      </c>
      <c r="G1766" s="17"/>
      <c r="H1766" s="10" t="s">
        <v>8563</v>
      </c>
      <c r="I1766" s="4" t="str">
        <f t="shared" si="190"/>
        <v>|Jáhilíyyih|</v>
      </c>
      <c r="J1766" s="3" t="str">
        <f t="shared" si="191"/>
        <v>|Jahiliyyih|</v>
      </c>
      <c r="K1766" s="3" t="str">
        <f t="shared" si="192"/>
        <v>Jahiliyyih</v>
      </c>
      <c r="N1766" s="39" t="str">
        <f t="shared" si="193"/>
        <v/>
      </c>
      <c r="P1766" s="39" t="str">
        <f t="shared" si="194"/>
        <v/>
      </c>
      <c r="R1766" s="39" t="str">
        <f t="shared" si="195"/>
        <v/>
      </c>
      <c r="S1766" s="28"/>
      <c r="T1766" s="28"/>
      <c r="U1766" s="28"/>
    </row>
    <row r="1767" spans="1:21" s="5" customFormat="1">
      <c r="A1767" s="179" t="s">
        <v>2166</v>
      </c>
      <c r="B1767" s="185" t="s">
        <v>6386</v>
      </c>
      <c r="C1767" s="35" t="str">
        <f t="shared" si="189"/>
        <v>Jahrum</v>
      </c>
      <c r="E1767" s="40"/>
      <c r="F1767" s="14"/>
      <c r="G1767" s="17"/>
      <c r="H1767" s="10" t="s">
        <v>8563</v>
      </c>
      <c r="I1767" s="4" t="str">
        <f t="shared" si="190"/>
        <v>|Jahrum|</v>
      </c>
      <c r="J1767" s="3" t="str">
        <f t="shared" si="191"/>
        <v>|Jahrum|</v>
      </c>
      <c r="K1767" s="3" t="str">
        <f t="shared" si="192"/>
        <v>Jahrum</v>
      </c>
      <c r="N1767" s="39" t="str">
        <f t="shared" si="193"/>
        <v/>
      </c>
      <c r="P1767" s="39" t="str">
        <f t="shared" si="194"/>
        <v/>
      </c>
      <c r="R1767" s="39" t="str">
        <f t="shared" si="195"/>
        <v/>
      </c>
      <c r="S1767" s="28"/>
      <c r="T1767" s="28"/>
      <c r="U1767" s="28"/>
    </row>
    <row r="1768" spans="1:21" s="5" customFormat="1">
      <c r="A1768" s="179" t="s">
        <v>2167</v>
      </c>
      <c r="B1768" s="185" t="s">
        <v>6387</v>
      </c>
      <c r="C1768" s="35" t="str">
        <f t="shared" si="189"/>
        <v>Jalal</v>
      </c>
      <c r="E1768" s="40"/>
      <c r="F1768" s="14" t="s">
        <v>2168</v>
      </c>
      <c r="G1768" s="17"/>
      <c r="H1768" s="10" t="s">
        <v>8563</v>
      </c>
      <c r="I1768" s="4" t="str">
        <f t="shared" si="190"/>
        <v>|Jalál|</v>
      </c>
      <c r="J1768" s="3" t="str">
        <f t="shared" si="191"/>
        <v>|Jalal|</v>
      </c>
      <c r="K1768" s="3" t="str">
        <f t="shared" si="192"/>
        <v>Jalal</v>
      </c>
      <c r="N1768" s="39" t="str">
        <f t="shared" si="193"/>
        <v/>
      </c>
      <c r="P1768" s="39" t="str">
        <f t="shared" si="194"/>
        <v/>
      </c>
      <c r="R1768" s="39" t="str">
        <f t="shared" si="195"/>
        <v/>
      </c>
      <c r="S1768" s="28"/>
      <c r="T1768" s="28"/>
      <c r="U1768" s="28"/>
    </row>
    <row r="1769" spans="1:21" s="5" customFormat="1">
      <c r="A1769" s="181"/>
      <c r="B1769" s="185" t="s">
        <v>172</v>
      </c>
      <c r="C1769" s="35" t="str">
        <f t="shared" si="189"/>
        <v>JalaliDin</v>
      </c>
      <c r="D1769" s="1"/>
      <c r="E1769" s="40"/>
      <c r="F1769" s="12"/>
      <c r="G1769" s="9"/>
      <c r="H1769" s="12"/>
      <c r="I1769" s="4" t="str">
        <f t="shared" si="190"/>
        <v>|Jalál-i-Dín|</v>
      </c>
      <c r="J1769" s="3" t="str">
        <f t="shared" si="191"/>
        <v>|Jalal-i-Din|</v>
      </c>
      <c r="K1769" s="3" t="str">
        <f t="shared" si="192"/>
        <v>Jalal-i-Din</v>
      </c>
      <c r="M1769" s="1"/>
      <c r="N1769" s="39" t="str">
        <f t="shared" si="193"/>
        <v/>
      </c>
      <c r="O1769" s="1"/>
      <c r="P1769" s="39" t="str">
        <f t="shared" si="194"/>
        <v/>
      </c>
      <c r="Q1769" s="1"/>
      <c r="R1769" s="39" t="str">
        <f t="shared" si="195"/>
        <v/>
      </c>
      <c r="S1769" s="28"/>
      <c r="T1769" s="28"/>
      <c r="U1769" s="28"/>
    </row>
    <row r="1770" spans="1:21" s="5" customFormat="1">
      <c r="A1770" s="179" t="s">
        <v>2169</v>
      </c>
      <c r="B1770" s="185" t="s">
        <v>6388</v>
      </c>
      <c r="C1770" s="35" t="str">
        <f t="shared" si="189"/>
        <v>JalaludDawlih</v>
      </c>
      <c r="E1770" s="40"/>
      <c r="F1770" s="14"/>
      <c r="G1770" s="17"/>
      <c r="H1770" s="10" t="s">
        <v>8563</v>
      </c>
      <c r="I1770" s="4" t="str">
        <f t="shared" si="190"/>
        <v>|Jalálu’d-Dawlih|</v>
      </c>
      <c r="J1770" s="3" t="str">
        <f t="shared" si="191"/>
        <v>|Jalalu'd-Dawlih|</v>
      </c>
      <c r="K1770" s="3" t="str">
        <f t="shared" si="192"/>
        <v>Jalalud-Dawlih</v>
      </c>
      <c r="N1770" s="39" t="str">
        <f t="shared" si="193"/>
        <v/>
      </c>
      <c r="P1770" s="39" t="str">
        <f t="shared" si="194"/>
        <v/>
      </c>
      <c r="R1770" s="39" t="str">
        <f t="shared" si="195"/>
        <v/>
      </c>
      <c r="S1770" s="28"/>
      <c r="T1770" s="28"/>
      <c r="U1770" s="28"/>
    </row>
    <row r="1771" spans="1:21" s="5" customFormat="1">
      <c r="A1771" s="179" t="s">
        <v>2170</v>
      </c>
      <c r="B1771" s="185" t="s">
        <v>6389</v>
      </c>
      <c r="C1771" s="35" t="str">
        <f t="shared" si="189"/>
        <v>JalaludDin</v>
      </c>
      <c r="E1771" s="40"/>
      <c r="F1771" s="14"/>
      <c r="G1771" s="17"/>
      <c r="H1771" s="10" t="s">
        <v>8563</v>
      </c>
      <c r="I1771" s="4" t="str">
        <f t="shared" si="190"/>
        <v>|Jalálu’d-Dín|</v>
      </c>
      <c r="J1771" s="3" t="str">
        <f t="shared" si="191"/>
        <v>|Jalalu'd-Din|</v>
      </c>
      <c r="K1771" s="3" t="str">
        <f t="shared" si="192"/>
        <v>Jalalud-Din</v>
      </c>
      <c r="N1771" s="39" t="str">
        <f t="shared" si="193"/>
        <v/>
      </c>
      <c r="P1771" s="39" t="str">
        <f t="shared" si="194"/>
        <v/>
      </c>
      <c r="R1771" s="39" t="str">
        <f t="shared" si="195"/>
        <v/>
      </c>
      <c r="S1771" s="28"/>
      <c r="T1771" s="28"/>
      <c r="U1771" s="28"/>
    </row>
    <row r="1772" spans="1:21" s="5" customFormat="1">
      <c r="A1772" s="179" t="s">
        <v>2171</v>
      </c>
      <c r="B1772" s="185" t="s">
        <v>6390</v>
      </c>
      <c r="C1772" s="35" t="str">
        <f t="shared" si="189"/>
        <v>Jalil</v>
      </c>
      <c r="E1772" s="40"/>
      <c r="F1772" s="14"/>
      <c r="G1772" s="17"/>
      <c r="H1772" s="10" t="s">
        <v>8563</v>
      </c>
      <c r="I1772" s="4" t="str">
        <f t="shared" si="190"/>
        <v>|Jalíl|</v>
      </c>
      <c r="J1772" s="3" t="str">
        <f t="shared" si="191"/>
        <v>|Jalil|</v>
      </c>
      <c r="K1772" s="3" t="str">
        <f t="shared" si="192"/>
        <v>Jalil</v>
      </c>
      <c r="N1772" s="39" t="str">
        <f t="shared" si="193"/>
        <v/>
      </c>
      <c r="P1772" s="39" t="str">
        <f t="shared" si="194"/>
        <v/>
      </c>
      <c r="R1772" s="39" t="str">
        <f t="shared" si="195"/>
        <v/>
      </c>
      <c r="S1772" s="28"/>
      <c r="T1772" s="28"/>
      <c r="U1772" s="28"/>
    </row>
    <row r="1773" spans="1:21" s="5" customFormat="1">
      <c r="A1773" s="179" t="s">
        <v>2172</v>
      </c>
      <c r="B1773" s="185" t="s">
        <v>6391</v>
      </c>
      <c r="C1773" s="35" t="str">
        <f t="shared" si="189"/>
        <v>JaliliKhui</v>
      </c>
      <c r="E1773" s="40"/>
      <c r="F1773" s="15"/>
      <c r="G1773" s="17"/>
      <c r="H1773" s="10" t="s">
        <v>8563</v>
      </c>
      <c r="I1773" s="4" t="str">
        <f t="shared" si="190"/>
        <v>|Jalíl-i-u’í|</v>
      </c>
      <c r="J1773" s="3" t="str">
        <f t="shared" si="191"/>
        <v>|Jalil-i-Khu'i|</v>
      </c>
      <c r="K1773" s="3" t="str">
        <f t="shared" si="192"/>
        <v>Jalil-i-Khui</v>
      </c>
      <c r="N1773" s="39" t="str">
        <f t="shared" si="193"/>
        <v/>
      </c>
      <c r="P1773" s="39" t="str">
        <f t="shared" si="194"/>
        <v/>
      </c>
      <c r="R1773" s="39" t="str">
        <f t="shared" si="195"/>
        <v/>
      </c>
      <c r="S1773" s="28"/>
      <c r="T1773" s="28"/>
      <c r="U1773" s="28"/>
    </row>
    <row r="1774" spans="1:21" s="5" customFormat="1">
      <c r="A1774" s="179" t="s">
        <v>2173</v>
      </c>
      <c r="B1774" s="185" t="s">
        <v>6392</v>
      </c>
      <c r="C1774" s="35" t="str">
        <f t="shared" si="189"/>
        <v>JaliliTabrizi</v>
      </c>
      <c r="E1774" s="40"/>
      <c r="F1774" s="14"/>
      <c r="G1774" s="17"/>
      <c r="H1774" s="10" t="s">
        <v>8563</v>
      </c>
      <c r="I1774" s="4" t="str">
        <f t="shared" si="190"/>
        <v>|Jalíl-i-Tabrízí|</v>
      </c>
      <c r="J1774" s="3" t="str">
        <f t="shared" si="191"/>
        <v>|Jalil-i-Tabrizi|</v>
      </c>
      <c r="K1774" s="3" t="str">
        <f t="shared" si="192"/>
        <v>Jalil-i-Tabrizi</v>
      </c>
      <c r="N1774" s="39" t="str">
        <f t="shared" si="193"/>
        <v/>
      </c>
      <c r="P1774" s="39" t="str">
        <f t="shared" si="194"/>
        <v/>
      </c>
      <c r="R1774" s="39" t="str">
        <f t="shared" si="195"/>
        <v/>
      </c>
      <c r="S1774" s="28"/>
      <c r="T1774" s="28"/>
      <c r="U1774" s="28"/>
    </row>
    <row r="1775" spans="1:21" s="5" customFormat="1">
      <c r="A1775" s="179" t="s">
        <v>2174</v>
      </c>
      <c r="B1775" s="185" t="s">
        <v>6393</v>
      </c>
      <c r="C1775" s="35" t="str">
        <f t="shared" si="189"/>
        <v>JaliliUrumi</v>
      </c>
      <c r="E1775" s="40"/>
      <c r="F1775" s="14"/>
      <c r="G1775" s="17"/>
      <c r="H1775" s="10" t="s">
        <v>8563</v>
      </c>
      <c r="I1775" s="4" t="str">
        <f t="shared" si="190"/>
        <v>|Jalíl-i-Urúmí|</v>
      </c>
      <c r="J1775" s="3" t="str">
        <f t="shared" si="191"/>
        <v>|Jalil-i-Urumi|</v>
      </c>
      <c r="K1775" s="3" t="str">
        <f t="shared" si="192"/>
        <v>Jalil-i-Urumi</v>
      </c>
      <c r="N1775" s="39" t="str">
        <f t="shared" si="193"/>
        <v/>
      </c>
      <c r="P1775" s="39" t="str">
        <f t="shared" si="194"/>
        <v/>
      </c>
      <c r="R1775" s="39" t="str">
        <f t="shared" si="195"/>
        <v/>
      </c>
      <c r="S1775" s="28"/>
      <c r="T1775" s="28"/>
      <c r="U1775" s="28"/>
    </row>
    <row r="1776" spans="1:21" s="5" customFormat="1">
      <c r="A1776" s="179" t="s">
        <v>2175</v>
      </c>
      <c r="B1776" s="185" t="s">
        <v>6394</v>
      </c>
      <c r="C1776" s="35" t="str">
        <f t="shared" si="189"/>
        <v>Jam</v>
      </c>
      <c r="E1776" s="40"/>
      <c r="F1776" s="15"/>
      <c r="G1776" s="17"/>
      <c r="H1776" s="10" t="s">
        <v>8563</v>
      </c>
      <c r="I1776" s="4" t="str">
        <f t="shared" si="190"/>
        <v>|Jám|</v>
      </c>
      <c r="J1776" s="3" t="str">
        <f t="shared" si="191"/>
        <v>|Jam|</v>
      </c>
      <c r="K1776" s="3" t="str">
        <f t="shared" si="192"/>
        <v>Jam</v>
      </c>
      <c r="N1776" s="39" t="str">
        <f t="shared" si="193"/>
        <v/>
      </c>
      <c r="P1776" s="39" t="str">
        <f t="shared" si="194"/>
        <v/>
      </c>
      <c r="R1776" s="39" t="str">
        <f t="shared" si="195"/>
        <v/>
      </c>
      <c r="S1776" s="28"/>
      <c r="T1776" s="28"/>
      <c r="U1776" s="28"/>
    </row>
    <row r="1777" spans="1:21" s="5" customFormat="1">
      <c r="A1777" s="179" t="s">
        <v>2176</v>
      </c>
      <c r="B1777" s="185" t="s">
        <v>8611</v>
      </c>
      <c r="C1777" s="35" t="str">
        <f t="shared" si="189"/>
        <v>Jamadi</v>
      </c>
      <c r="E1777" s="40"/>
      <c r="F1777" s="14"/>
      <c r="G1777" s="17"/>
      <c r="H1777" s="10" t="s">
        <v>8563</v>
      </c>
      <c r="I1777" s="4" t="str">
        <f t="shared" si="190"/>
        <v>|Jamádí|</v>
      </c>
      <c r="J1777" s="3" t="str">
        <f t="shared" si="191"/>
        <v>|Jamadi|</v>
      </c>
      <c r="K1777" s="3" t="str">
        <f t="shared" si="192"/>
        <v>Jamadi</v>
      </c>
      <c r="N1777" s="39" t="str">
        <f t="shared" si="193"/>
        <v/>
      </c>
      <c r="P1777" s="39" t="str">
        <f t="shared" si="194"/>
        <v/>
      </c>
      <c r="R1777" s="39" t="str">
        <f t="shared" si="195"/>
        <v/>
      </c>
      <c r="S1777" s="28"/>
      <c r="T1777" s="28"/>
      <c r="U1777" s="28"/>
    </row>
    <row r="1778" spans="1:21" s="5" customFormat="1">
      <c r="A1778" s="179" t="s">
        <v>2177</v>
      </c>
      <c r="B1778" s="185" t="s">
        <v>6395</v>
      </c>
      <c r="C1778" s="35" t="str">
        <f t="shared" si="189"/>
        <v>JamadiyulAvval</v>
      </c>
      <c r="E1778" s="40"/>
      <c r="F1778" s="14"/>
      <c r="G1778" s="17"/>
      <c r="H1778" s="10" t="s">
        <v>8563</v>
      </c>
      <c r="I1778" s="4" t="str">
        <f t="shared" si="190"/>
        <v>|Jamádíyu’l-Avval|</v>
      </c>
      <c r="J1778" s="3" t="str">
        <f t="shared" si="191"/>
        <v>|Jamadiyu'l-Avval|</v>
      </c>
      <c r="K1778" s="3" t="str">
        <f t="shared" si="192"/>
        <v>Jamadiyul-Avval</v>
      </c>
      <c r="N1778" s="39" t="str">
        <f t="shared" si="193"/>
        <v/>
      </c>
      <c r="P1778" s="39" t="str">
        <f t="shared" si="194"/>
        <v/>
      </c>
      <c r="R1778" s="39" t="str">
        <f t="shared" si="195"/>
        <v/>
      </c>
      <c r="S1778" s="28"/>
      <c r="T1778" s="28"/>
      <c r="U1778" s="28"/>
    </row>
    <row r="1779" spans="1:21" s="5" customFormat="1">
      <c r="A1779" s="179" t="s">
        <v>2178</v>
      </c>
      <c r="B1779" s="185" t="s">
        <v>6396</v>
      </c>
      <c r="C1779" s="35" t="str">
        <f t="shared" si="189"/>
        <v>JamadiyulUwla</v>
      </c>
      <c r="E1779" s="40"/>
      <c r="F1779" s="15"/>
      <c r="G1779" s="17"/>
      <c r="H1779" s="10" t="s">
        <v>8563</v>
      </c>
      <c r="I1779" s="4" t="str">
        <f t="shared" si="190"/>
        <v>|Jamádíyu’l-Uwla|</v>
      </c>
      <c r="J1779" s="3" t="str">
        <f t="shared" si="191"/>
        <v>|Jamadiyu'l-Uwla|</v>
      </c>
      <c r="K1779" s="3" t="str">
        <f t="shared" si="192"/>
        <v>Jamadiyul-Uwla</v>
      </c>
      <c r="N1779" s="39" t="str">
        <f t="shared" si="193"/>
        <v/>
      </c>
      <c r="P1779" s="39" t="str">
        <f t="shared" si="194"/>
        <v/>
      </c>
      <c r="R1779" s="39" t="str">
        <f t="shared" si="195"/>
        <v/>
      </c>
      <c r="S1779" s="28"/>
      <c r="T1779" s="28"/>
      <c r="U1779" s="28"/>
    </row>
    <row r="1780" spans="1:21" s="5" customFormat="1">
      <c r="A1780" s="179" t="s">
        <v>2179</v>
      </c>
      <c r="B1780" s="185" t="s">
        <v>6397</v>
      </c>
      <c r="C1780" s="35" t="str">
        <f t="shared" si="189"/>
        <v>JamadiyuthThani</v>
      </c>
      <c r="E1780" s="40"/>
      <c r="F1780" s="15"/>
      <c r="G1780" s="17"/>
      <c r="H1780" s="10" t="s">
        <v>8563</v>
      </c>
      <c r="I1780" s="4" t="str">
        <f t="shared" si="190"/>
        <v>|Jamádíyu’-ání|</v>
      </c>
      <c r="J1780" s="3" t="str">
        <f t="shared" si="191"/>
        <v>|Jamadiyu'th-Thani|</v>
      </c>
      <c r="K1780" s="3" t="str">
        <f t="shared" si="192"/>
        <v>Jamadiyuth-Thani</v>
      </c>
      <c r="N1780" s="39" t="str">
        <f t="shared" si="193"/>
        <v/>
      </c>
      <c r="P1780" s="39" t="str">
        <f t="shared" si="194"/>
        <v/>
      </c>
      <c r="R1780" s="39" t="str">
        <f t="shared" si="195"/>
        <v/>
      </c>
      <c r="S1780" s="28"/>
      <c r="T1780" s="28"/>
      <c r="U1780" s="28"/>
    </row>
    <row r="1781" spans="1:21" s="5" customFormat="1">
      <c r="A1781" s="179" t="s">
        <v>2180</v>
      </c>
      <c r="B1781" s="185" t="s">
        <v>6398</v>
      </c>
      <c r="C1781" s="35" t="str">
        <f t="shared" si="189"/>
        <v>Jamal</v>
      </c>
      <c r="E1781" s="40"/>
      <c r="F1781" s="14" t="s">
        <v>2181</v>
      </c>
      <c r="G1781" s="17"/>
      <c r="H1781" s="10" t="s">
        <v>8563</v>
      </c>
      <c r="I1781" s="4" t="str">
        <f t="shared" si="190"/>
        <v>|Jamál|</v>
      </c>
      <c r="J1781" s="3" t="str">
        <f t="shared" si="191"/>
        <v>|Jamal|</v>
      </c>
      <c r="K1781" s="3" t="str">
        <f t="shared" si="192"/>
        <v>Jamal</v>
      </c>
      <c r="N1781" s="39" t="str">
        <f t="shared" si="193"/>
        <v/>
      </c>
      <c r="P1781" s="39" t="str">
        <f t="shared" si="194"/>
        <v/>
      </c>
      <c r="R1781" s="39" t="str">
        <f t="shared" si="195"/>
        <v/>
      </c>
      <c r="S1781" s="28"/>
      <c r="T1781" s="28"/>
      <c r="U1781" s="28"/>
    </row>
    <row r="1782" spans="1:21" s="5" customFormat="1">
      <c r="A1782" s="179" t="s">
        <v>2182</v>
      </c>
      <c r="B1782" s="185" t="s">
        <v>6399</v>
      </c>
      <c r="C1782" s="35" t="str">
        <f t="shared" si="189"/>
        <v>JamaliBurujirdi</v>
      </c>
      <c r="E1782" s="40"/>
      <c r="F1782" s="14"/>
      <c r="G1782" s="17"/>
      <c r="H1782" s="10" t="s">
        <v>8563</v>
      </c>
      <c r="I1782" s="4" t="str">
        <f t="shared" si="190"/>
        <v>|Jamál-i-Burújirdí|</v>
      </c>
      <c r="J1782" s="3" t="str">
        <f t="shared" si="191"/>
        <v>|Jamal-i-Burujirdi|</v>
      </c>
      <c r="K1782" s="3" t="str">
        <f t="shared" si="192"/>
        <v>Jamal-i-Burujirdi</v>
      </c>
      <c r="N1782" s="39" t="str">
        <f t="shared" si="193"/>
        <v/>
      </c>
      <c r="P1782" s="39" t="str">
        <f t="shared" si="194"/>
        <v/>
      </c>
      <c r="R1782" s="39" t="str">
        <f t="shared" si="195"/>
        <v/>
      </c>
      <c r="S1782" s="28"/>
      <c r="T1782" s="28"/>
      <c r="U1782" s="28"/>
    </row>
    <row r="1783" spans="1:21" s="5" customFormat="1">
      <c r="A1783" s="179" t="s">
        <v>2183</v>
      </c>
      <c r="B1783" s="185" t="s">
        <v>6400</v>
      </c>
      <c r="C1783" s="35" t="str">
        <f t="shared" si="189"/>
        <v>JamalidDin</v>
      </c>
      <c r="E1783" s="40"/>
      <c r="F1783" s="15"/>
      <c r="G1783" s="17"/>
      <c r="H1783" s="10" t="s">
        <v>8563</v>
      </c>
      <c r="I1783" s="4" t="str">
        <f t="shared" si="190"/>
        <v>|Jamáli’d-Dín|</v>
      </c>
      <c r="J1783" s="3" t="str">
        <f t="shared" si="191"/>
        <v>|Jamali'd-Din|</v>
      </c>
      <c r="K1783" s="3" t="str">
        <f t="shared" si="192"/>
        <v>Jamalid-Din</v>
      </c>
      <c r="N1783" s="39" t="str">
        <f t="shared" si="193"/>
        <v/>
      </c>
      <c r="P1783" s="39" t="str">
        <f t="shared" si="194"/>
        <v/>
      </c>
      <c r="R1783" s="39" t="str">
        <f t="shared" si="195"/>
        <v/>
      </c>
      <c r="S1783" s="28"/>
      <c r="T1783" s="28"/>
      <c r="U1783" s="28"/>
    </row>
    <row r="1784" spans="1:21" s="5" customFormat="1">
      <c r="A1784" s="179" t="s">
        <v>2188</v>
      </c>
      <c r="B1784" s="185" t="s">
        <v>6401</v>
      </c>
      <c r="C1784" s="35" t="str">
        <f t="shared" si="189"/>
        <v>JamalidDiniAfghani</v>
      </c>
      <c r="E1784" s="40"/>
      <c r="F1784" s="14"/>
      <c r="G1784" s="17"/>
      <c r="H1784" s="10" t="s">
        <v>8563</v>
      </c>
      <c r="I1784" s="4" t="str">
        <f t="shared" si="190"/>
        <v>|Jamáli’d-Dín-i-Afání|</v>
      </c>
      <c r="J1784" s="3" t="str">
        <f t="shared" si="191"/>
        <v>|Jamali'd-Din-i-Afghani|</v>
      </c>
      <c r="K1784" s="3" t="str">
        <f t="shared" si="192"/>
        <v>Jamalid-Din-i-Afghani</v>
      </c>
      <c r="N1784" s="39" t="str">
        <f t="shared" si="193"/>
        <v/>
      </c>
      <c r="P1784" s="39" t="str">
        <f t="shared" si="194"/>
        <v/>
      </c>
      <c r="R1784" s="39" t="str">
        <f t="shared" si="195"/>
        <v/>
      </c>
      <c r="S1784" s="28"/>
      <c r="T1784" s="28"/>
      <c r="U1784" s="28"/>
    </row>
    <row r="1785" spans="1:21" s="5" customFormat="1">
      <c r="A1785" s="179" t="s">
        <v>2184</v>
      </c>
      <c r="B1785" s="185" t="s">
        <v>97</v>
      </c>
      <c r="C1785" s="35" t="str">
        <f t="shared" si="189"/>
        <v>JamaliMubarak</v>
      </c>
      <c r="E1785" s="40"/>
      <c r="F1785" s="14" t="s">
        <v>2185</v>
      </c>
      <c r="G1785" s="17"/>
      <c r="H1785" s="10" t="s">
        <v>8563</v>
      </c>
      <c r="I1785" s="4" t="str">
        <f t="shared" si="190"/>
        <v>|Jamál-i-Mubárak|</v>
      </c>
      <c r="J1785" s="3" t="str">
        <f t="shared" si="191"/>
        <v>|Jamal-i-Mubarak|</v>
      </c>
      <c r="K1785" s="3" t="str">
        <f t="shared" si="192"/>
        <v>Jamal-i-Mubarak</v>
      </c>
      <c r="N1785" s="39" t="str">
        <f t="shared" si="193"/>
        <v/>
      </c>
      <c r="P1785" s="39" t="str">
        <f t="shared" si="194"/>
        <v/>
      </c>
      <c r="R1785" s="39" t="str">
        <f t="shared" si="195"/>
        <v/>
      </c>
      <c r="S1785" s="28"/>
      <c r="T1785" s="28"/>
      <c r="U1785" s="28"/>
    </row>
    <row r="1786" spans="1:21" s="5" customFormat="1">
      <c r="A1786" s="179" t="s">
        <v>2186</v>
      </c>
      <c r="B1786" s="185" t="s">
        <v>132</v>
      </c>
      <c r="C1786" s="35" t="str">
        <f t="shared" si="189"/>
        <v>JamaliQidam</v>
      </c>
      <c r="E1786" s="40"/>
      <c r="F1786" s="14" t="s">
        <v>2187</v>
      </c>
      <c r="G1786" s="17"/>
      <c r="H1786" s="10" t="s">
        <v>8563</v>
      </c>
      <c r="I1786" s="4" t="str">
        <f t="shared" si="190"/>
        <v>|Jamál-i-Qidam|</v>
      </c>
      <c r="J1786" s="3" t="str">
        <f t="shared" si="191"/>
        <v>|Jamal-i-Qidam|</v>
      </c>
      <c r="K1786" s="3" t="str">
        <f t="shared" si="192"/>
        <v>Jamal-i-Qidam</v>
      </c>
      <c r="N1786" s="39" t="str">
        <f t="shared" si="193"/>
        <v/>
      </c>
      <c r="P1786" s="39" t="str">
        <f t="shared" si="194"/>
        <v/>
      </c>
      <c r="R1786" s="39" t="str">
        <f t="shared" si="195"/>
        <v/>
      </c>
      <c r="S1786" s="28"/>
      <c r="T1786" s="28"/>
      <c r="U1786" s="28"/>
    </row>
    <row r="1787" spans="1:21" s="5" customFormat="1">
      <c r="A1787" s="179" t="s">
        <v>2189</v>
      </c>
      <c r="B1787" s="185" t="s">
        <v>6402</v>
      </c>
      <c r="C1787" s="35" t="str">
        <f t="shared" si="189"/>
        <v>Jami</v>
      </c>
      <c r="E1787" s="40"/>
      <c r="F1787" s="15"/>
      <c r="G1787" s="17"/>
      <c r="H1787" s="10" t="s">
        <v>8563</v>
      </c>
      <c r="I1787" s="4" t="str">
        <f t="shared" si="190"/>
        <v>|Jámiʿ|</v>
      </c>
      <c r="J1787" s="3" t="str">
        <f t="shared" si="191"/>
        <v>|Jami'|</v>
      </c>
      <c r="K1787" s="3" t="str">
        <f t="shared" si="192"/>
        <v>Jami</v>
      </c>
      <c r="N1787" s="39" t="str">
        <f t="shared" si="193"/>
        <v/>
      </c>
      <c r="P1787" s="39" t="str">
        <f t="shared" si="194"/>
        <v/>
      </c>
      <c r="R1787" s="39" t="str">
        <f t="shared" si="195"/>
        <v/>
      </c>
      <c r="S1787" s="28"/>
      <c r="T1787" s="28"/>
      <c r="U1787" s="28"/>
    </row>
    <row r="1788" spans="1:21" s="5" customFormat="1">
      <c r="A1788" s="179" t="s">
        <v>2190</v>
      </c>
      <c r="B1788" s="185" t="s">
        <v>6403</v>
      </c>
      <c r="C1788" s="35" t="str">
        <f t="shared" si="189"/>
        <v>JamiatulKabirih</v>
      </c>
      <c r="E1788" s="40"/>
      <c r="F1788" s="14"/>
      <c r="G1788" s="17"/>
      <c r="H1788" s="10" t="s">
        <v>8563</v>
      </c>
      <c r="I1788" s="4" t="str">
        <f t="shared" si="190"/>
        <v>|Jamíʿatu’l-Kabírih|</v>
      </c>
      <c r="J1788" s="3" t="str">
        <f t="shared" si="191"/>
        <v>|Jami'atu'l-Kabirih|</v>
      </c>
      <c r="K1788" s="3" t="str">
        <f t="shared" si="192"/>
        <v>Jamiatul-Kabirih</v>
      </c>
      <c r="N1788" s="39" t="str">
        <f t="shared" si="193"/>
        <v/>
      </c>
      <c r="P1788" s="39" t="str">
        <f t="shared" si="194"/>
        <v/>
      </c>
      <c r="R1788" s="39" t="str">
        <f t="shared" si="195"/>
        <v/>
      </c>
      <c r="S1788" s="28"/>
      <c r="T1788" s="28"/>
      <c r="U1788" s="28"/>
    </row>
    <row r="1789" spans="1:21" s="5" customFormat="1">
      <c r="A1789" s="179" t="s">
        <v>2191</v>
      </c>
      <c r="B1789" s="185" t="s">
        <v>6404</v>
      </c>
      <c r="C1789" s="35" t="str">
        <f t="shared" si="189"/>
        <v>jamih</v>
      </c>
      <c r="E1789" s="40"/>
      <c r="F1789" s="15"/>
      <c r="G1789" s="17"/>
      <c r="H1789" s="10" t="s">
        <v>8563</v>
      </c>
      <c r="I1789" s="4" t="str">
        <f t="shared" si="190"/>
        <v>|jámih|</v>
      </c>
      <c r="J1789" s="3" t="str">
        <f t="shared" si="191"/>
        <v>|jamih|</v>
      </c>
      <c r="K1789" s="3" t="str">
        <f t="shared" si="192"/>
        <v>jamih</v>
      </c>
      <c r="N1789" s="39" t="str">
        <f t="shared" si="193"/>
        <v/>
      </c>
      <c r="P1789" s="39" t="str">
        <f t="shared" si="194"/>
        <v/>
      </c>
      <c r="R1789" s="39" t="str">
        <f t="shared" si="195"/>
        <v/>
      </c>
      <c r="S1789" s="28"/>
      <c r="T1789" s="28"/>
      <c r="U1789" s="28"/>
    </row>
    <row r="1790" spans="1:21" s="5" customFormat="1">
      <c r="A1790" s="179" t="s">
        <v>2192</v>
      </c>
      <c r="B1790" s="185" t="s">
        <v>6405</v>
      </c>
      <c r="C1790" s="35" t="str">
        <f t="shared" si="189"/>
        <v>Jamshid</v>
      </c>
      <c r="E1790" s="40"/>
      <c r="F1790" s="14"/>
      <c r="G1790" s="17"/>
      <c r="H1790" s="10" t="s">
        <v>8563</v>
      </c>
      <c r="I1790" s="4" t="str">
        <f t="shared" si="190"/>
        <v>|Jamíd|</v>
      </c>
      <c r="J1790" s="3" t="str">
        <f t="shared" si="191"/>
        <v>|Jamshid|</v>
      </c>
      <c r="K1790" s="3" t="str">
        <f t="shared" si="192"/>
        <v>Jamshid</v>
      </c>
      <c r="N1790" s="39" t="str">
        <f t="shared" si="193"/>
        <v/>
      </c>
      <c r="P1790" s="39" t="str">
        <f t="shared" si="194"/>
        <v/>
      </c>
      <c r="R1790" s="39" t="str">
        <f t="shared" si="195"/>
        <v/>
      </c>
      <c r="S1790" s="28"/>
      <c r="T1790" s="28"/>
      <c r="U1790" s="28"/>
    </row>
    <row r="1791" spans="1:21" s="5" customFormat="1">
      <c r="A1791" s="179" t="s">
        <v>2193</v>
      </c>
      <c r="B1791" s="185" t="s">
        <v>6406</v>
      </c>
      <c r="C1791" s="35" t="str">
        <f t="shared" si="189"/>
        <v>JamshidiGurji</v>
      </c>
      <c r="E1791" s="40"/>
      <c r="F1791" s="14"/>
      <c r="G1791" s="17"/>
      <c r="H1791" s="10" t="s">
        <v>8563</v>
      </c>
      <c r="I1791" s="4" t="str">
        <f t="shared" si="190"/>
        <v>|Jamíd-i-Gurjí|</v>
      </c>
      <c r="J1791" s="3" t="str">
        <f t="shared" si="191"/>
        <v>|Jamshid-i-Gurji|</v>
      </c>
      <c r="K1791" s="3" t="str">
        <f t="shared" si="192"/>
        <v>Jamshid-i-Gurji</v>
      </c>
      <c r="N1791" s="39" t="str">
        <f t="shared" si="193"/>
        <v/>
      </c>
      <c r="P1791" s="39" t="str">
        <f t="shared" si="194"/>
        <v/>
      </c>
      <c r="R1791" s="39" t="str">
        <f t="shared" si="195"/>
        <v/>
      </c>
      <c r="S1791" s="28"/>
      <c r="T1791" s="28"/>
      <c r="U1791" s="28"/>
    </row>
    <row r="1792" spans="1:21" s="5" customFormat="1">
      <c r="A1792" s="179" t="s">
        <v>2194</v>
      </c>
      <c r="B1792" s="185" t="s">
        <v>6407</v>
      </c>
      <c r="C1792" s="35" t="str">
        <f t="shared" si="189"/>
        <v>Jan</v>
      </c>
      <c r="E1792" s="40"/>
      <c r="F1792" s="14"/>
      <c r="G1792" s="17"/>
      <c r="H1792" s="10" t="s">
        <v>8563</v>
      </c>
      <c r="I1792" s="4" t="str">
        <f t="shared" si="190"/>
        <v>|Ján|</v>
      </c>
      <c r="J1792" s="3" t="str">
        <f t="shared" si="191"/>
        <v>|Jan|</v>
      </c>
      <c r="K1792" s="3" t="str">
        <f t="shared" si="192"/>
        <v>Jan</v>
      </c>
      <c r="N1792" s="39" t="str">
        <f t="shared" si="193"/>
        <v/>
      </c>
      <c r="P1792" s="39" t="str">
        <f t="shared" si="194"/>
        <v/>
      </c>
      <c r="R1792" s="39" t="str">
        <f t="shared" si="195"/>
        <v/>
      </c>
      <c r="S1792" s="28"/>
      <c r="T1792" s="28"/>
      <c r="U1792" s="28"/>
    </row>
    <row r="1793" spans="1:21" s="5" customFormat="1">
      <c r="A1793" s="179" t="s">
        <v>2195</v>
      </c>
      <c r="B1793" s="185" t="s">
        <v>6408</v>
      </c>
      <c r="C1793" s="35" t="str">
        <f t="shared" si="189"/>
        <v>Jani</v>
      </c>
      <c r="E1793" s="40"/>
      <c r="F1793" s="14"/>
      <c r="G1793" s="17"/>
      <c r="H1793" s="10" t="s">
        <v>8563</v>
      </c>
      <c r="I1793" s="4" t="str">
        <f t="shared" si="190"/>
        <v>|Jání|</v>
      </c>
      <c r="J1793" s="3" t="str">
        <f t="shared" si="191"/>
        <v>|Jani|</v>
      </c>
      <c r="K1793" s="3" t="str">
        <f t="shared" si="192"/>
        <v>Jani</v>
      </c>
      <c r="N1793" s="39" t="str">
        <f t="shared" si="193"/>
        <v/>
      </c>
      <c r="P1793" s="39" t="str">
        <f t="shared" si="194"/>
        <v/>
      </c>
      <c r="R1793" s="39" t="str">
        <f t="shared" si="195"/>
        <v/>
      </c>
      <c r="S1793" s="28"/>
      <c r="T1793" s="28"/>
      <c r="U1793" s="28"/>
    </row>
    <row r="1794" spans="1:21" s="5" customFormat="1">
      <c r="A1794" s="179" t="s">
        <v>2196</v>
      </c>
      <c r="B1794" s="185" t="s">
        <v>6409</v>
      </c>
      <c r="C1794" s="35" t="str">
        <f t="shared" si="189"/>
        <v>Janib</v>
      </c>
      <c r="E1794" s="40"/>
      <c r="F1794" s="14"/>
      <c r="G1794" s="17"/>
      <c r="H1794" s="10" t="s">
        <v>8563</v>
      </c>
      <c r="I1794" s="4" t="str">
        <f t="shared" si="190"/>
        <v>|Jánib|</v>
      </c>
      <c r="J1794" s="3" t="str">
        <f t="shared" si="191"/>
        <v>|Janib|</v>
      </c>
      <c r="K1794" s="3" t="str">
        <f t="shared" si="192"/>
        <v>Janib</v>
      </c>
      <c r="N1794" s="39" t="str">
        <f t="shared" si="193"/>
        <v/>
      </c>
      <c r="P1794" s="39" t="str">
        <f t="shared" si="194"/>
        <v/>
      </c>
      <c r="R1794" s="39" t="str">
        <f t="shared" si="195"/>
        <v/>
      </c>
      <c r="S1794" s="28"/>
      <c r="T1794" s="28"/>
      <c r="U1794" s="28"/>
    </row>
    <row r="1795" spans="1:21" s="5" customFormat="1">
      <c r="A1795" s="179" t="s">
        <v>2197</v>
      </c>
      <c r="B1795" s="185" t="s">
        <v>6410</v>
      </c>
      <c r="C1795" s="35" t="str">
        <f t="shared" ref="C1795:C1858" si="196">SUBSTITUTE(SUBSTITUTE(K1795,"-","")," ","")</f>
        <v>JaniKajKulah</v>
      </c>
      <c r="E1795" s="40"/>
      <c r="F1795" s="15"/>
      <c r="G1795" s="17"/>
      <c r="H1795" s="10" t="s">
        <v>8563</v>
      </c>
      <c r="I1795" s="4" t="str">
        <f t="shared" ref="I1795:I1858" si="197">CONCATENATE("|",B1795,"|")</f>
        <v>|Ján-i-Kaj-Kuláh|</v>
      </c>
      <c r="J1795" s="3" t="str">
        <f t="shared" ref="J1795:J1858" si="198">CONCATENATE("|",F_OutputASCII(B1795),"|")</f>
        <v>|Jan-i-Kaj-Kulah|</v>
      </c>
      <c r="K1795" s="3" t="str">
        <f t="shared" ref="K1795:K1858" si="199">IF(SUBSTITUTE(MID(J1795,2,LEN(J1795)-2),"'","")&lt;&gt;"",SUBSTITUTE(MID(J1795,2,LEN(J1795)-2),"'",""),"ZZZZZ")</f>
        <v>Jan-i-Kaj-Kulah</v>
      </c>
      <c r="N1795" s="39" t="str">
        <f t="shared" ref="N1795:N1858" si="200">SUBSTITUTE(SUBSTITUTE(SUBSTITUTE(F_OutputASCII(M1795),"-","")," ",""),"'","")</f>
        <v/>
      </c>
      <c r="P1795" s="39" t="str">
        <f t="shared" ref="P1795:P1858" si="201">SUBSTITUTE(SUBSTITUTE(SUBSTITUTE(F_OutputASCII(O1795),"-","")," ",""),"'","")</f>
        <v/>
      </c>
      <c r="R1795" s="39" t="str">
        <f t="shared" si="195"/>
        <v/>
      </c>
      <c r="S1795" s="28"/>
      <c r="T1795" s="28"/>
      <c r="U1795" s="28"/>
    </row>
    <row r="1796" spans="1:21" s="5" customFormat="1">
      <c r="A1796" s="179" t="s">
        <v>2198</v>
      </c>
      <c r="B1796" s="185" t="s">
        <v>6411</v>
      </c>
      <c r="C1796" s="35" t="str">
        <f t="shared" si="196"/>
        <v>JaniKhamsih</v>
      </c>
      <c r="E1796" s="40"/>
      <c r="F1796" s="15"/>
      <c r="G1796" s="17"/>
      <c r="H1796" s="10" t="s">
        <v>8563</v>
      </c>
      <c r="I1796" s="4" t="str">
        <f t="shared" si="197"/>
        <v>|Ján-i-amsih|</v>
      </c>
      <c r="J1796" s="3" t="str">
        <f t="shared" si="198"/>
        <v>|Jan-i-Khamsih|</v>
      </c>
      <c r="K1796" s="3" t="str">
        <f t="shared" si="199"/>
        <v>Jan-i-Khamsih</v>
      </c>
      <c r="N1796" s="39" t="str">
        <f t="shared" si="200"/>
        <v/>
      </c>
      <c r="P1796" s="39" t="str">
        <f t="shared" si="201"/>
        <v/>
      </c>
      <c r="R1796" s="39" t="str">
        <f t="shared" ref="R1796:R1859" si="202">SUBSTITUTE(SUBSTITUTE(Q1796,"-","")," ","")</f>
        <v/>
      </c>
      <c r="S1796" s="28"/>
      <c r="T1796" s="28"/>
      <c r="U1796" s="28"/>
    </row>
    <row r="1797" spans="1:21" s="5" customFormat="1">
      <c r="A1797" s="179" t="s">
        <v>2199</v>
      </c>
      <c r="B1797" s="185" t="s">
        <v>6412</v>
      </c>
      <c r="C1797" s="35" t="str">
        <f t="shared" si="196"/>
        <v>JaniyiBuzurg</v>
      </c>
      <c r="E1797" s="40"/>
      <c r="F1797" s="14"/>
      <c r="G1797" s="17"/>
      <c r="H1797" s="10" t="s">
        <v>8563</v>
      </c>
      <c r="I1797" s="4" t="str">
        <f t="shared" si="197"/>
        <v>|Jáníy-i-Buzurg|</v>
      </c>
      <c r="J1797" s="3" t="str">
        <f t="shared" si="198"/>
        <v>|Janiy-i-Buzurg|</v>
      </c>
      <c r="K1797" s="3" t="str">
        <f t="shared" si="199"/>
        <v>Janiy-i-Buzurg</v>
      </c>
      <c r="N1797" s="39" t="str">
        <f t="shared" si="200"/>
        <v/>
      </c>
      <c r="P1797" s="39" t="str">
        <f t="shared" si="201"/>
        <v/>
      </c>
      <c r="R1797" s="39" t="str">
        <f t="shared" si="202"/>
        <v/>
      </c>
      <c r="S1797" s="28"/>
      <c r="T1797" s="28"/>
      <c r="U1797" s="28"/>
    </row>
    <row r="1798" spans="1:21" s="5" customFormat="1">
      <c r="A1798" s="179" t="s">
        <v>2200</v>
      </c>
      <c r="B1798" s="185" t="s">
        <v>6413</v>
      </c>
      <c r="C1798" s="35" t="str">
        <f t="shared" si="196"/>
        <v>JaniyiKashani</v>
      </c>
      <c r="E1798" s="40"/>
      <c r="F1798" s="14"/>
      <c r="G1798" s="17"/>
      <c r="H1798" s="10" t="s">
        <v>8563</v>
      </c>
      <c r="I1798" s="4" t="str">
        <f t="shared" si="197"/>
        <v>|Jáníy-i-Káání|</v>
      </c>
      <c r="J1798" s="3" t="str">
        <f t="shared" si="198"/>
        <v>|Janiy-i-Kashani|</v>
      </c>
      <c r="K1798" s="3" t="str">
        <f t="shared" si="199"/>
        <v>Janiy-i-Kashani</v>
      </c>
      <c r="N1798" s="39" t="str">
        <f t="shared" si="200"/>
        <v/>
      </c>
      <c r="P1798" s="39" t="str">
        <f t="shared" si="201"/>
        <v/>
      </c>
      <c r="R1798" s="39" t="str">
        <f t="shared" si="202"/>
        <v/>
      </c>
      <c r="S1798" s="28"/>
      <c r="T1798" s="28"/>
      <c r="U1798" s="28"/>
    </row>
    <row r="1799" spans="1:21" s="5" customFormat="1">
      <c r="A1799" s="179" t="s">
        <v>2201</v>
      </c>
      <c r="B1799" s="185" t="s">
        <v>6414</v>
      </c>
      <c r="C1799" s="35" t="str">
        <f t="shared" si="196"/>
        <v>JaniyiTurk</v>
      </c>
      <c r="E1799" s="40"/>
      <c r="F1799" s="14"/>
      <c r="G1799" s="17"/>
      <c r="H1799" s="10" t="s">
        <v>8563</v>
      </c>
      <c r="I1799" s="4" t="str">
        <f t="shared" si="197"/>
        <v>|Jáníy-i-Turk|</v>
      </c>
      <c r="J1799" s="3" t="str">
        <f t="shared" si="198"/>
        <v>|Janiy-i-Turk|</v>
      </c>
      <c r="K1799" s="3" t="str">
        <f t="shared" si="199"/>
        <v>Janiy-i-Turk</v>
      </c>
      <c r="N1799" s="39" t="str">
        <f t="shared" si="200"/>
        <v/>
      </c>
      <c r="P1799" s="39" t="str">
        <f t="shared" si="201"/>
        <v/>
      </c>
      <c r="R1799" s="39" t="str">
        <f t="shared" si="202"/>
        <v/>
      </c>
      <c r="S1799" s="28"/>
      <c r="T1799" s="28"/>
      <c r="U1799" s="28"/>
    </row>
    <row r="1800" spans="1:21" s="5" customFormat="1">
      <c r="A1800" s="179" t="s">
        <v>2202</v>
      </c>
      <c r="B1800" s="185" t="s">
        <v>6415</v>
      </c>
      <c r="C1800" s="35" t="str">
        <f t="shared" si="196"/>
        <v>Jannat</v>
      </c>
      <c r="E1800" s="40"/>
      <c r="F1800" s="14"/>
      <c r="G1800" s="17"/>
      <c r="H1800" s="10" t="s">
        <v>8563</v>
      </c>
      <c r="I1800" s="4" t="str">
        <f t="shared" si="197"/>
        <v>|Jannat|</v>
      </c>
      <c r="J1800" s="3" t="str">
        <f t="shared" si="198"/>
        <v>|Jannat|</v>
      </c>
      <c r="K1800" s="3" t="str">
        <f t="shared" si="199"/>
        <v>Jannat</v>
      </c>
      <c r="N1800" s="39" t="str">
        <f t="shared" si="200"/>
        <v/>
      </c>
      <c r="P1800" s="39" t="str">
        <f t="shared" si="201"/>
        <v/>
      </c>
      <c r="R1800" s="39" t="str">
        <f t="shared" si="202"/>
        <v/>
      </c>
      <c r="S1800" s="28"/>
      <c r="T1800" s="28"/>
      <c r="U1800" s="28"/>
    </row>
    <row r="1801" spans="1:21" s="5" customFormat="1">
      <c r="A1801" s="179" t="s">
        <v>2203</v>
      </c>
      <c r="B1801" s="185" t="s">
        <v>6416</v>
      </c>
      <c r="C1801" s="35" t="str">
        <f t="shared" si="196"/>
        <v>JannatiAbha</v>
      </c>
      <c r="E1801" s="40"/>
      <c r="F1801" s="15"/>
      <c r="G1801" s="17"/>
      <c r="H1801" s="10" t="s">
        <v>8563</v>
      </c>
      <c r="I1801" s="4" t="str">
        <f t="shared" si="197"/>
        <v>|Jannat-i-Abhá|</v>
      </c>
      <c r="J1801" s="3" t="str">
        <f t="shared" si="198"/>
        <v>|Jannat-i-Abha|</v>
      </c>
      <c r="K1801" s="3" t="str">
        <f t="shared" si="199"/>
        <v>Jannat-i-Abha</v>
      </c>
      <c r="N1801" s="39" t="str">
        <f t="shared" si="200"/>
        <v/>
      </c>
      <c r="P1801" s="39" t="str">
        <f t="shared" si="201"/>
        <v/>
      </c>
      <c r="R1801" s="39" t="str">
        <f t="shared" si="202"/>
        <v/>
      </c>
      <c r="S1801" s="28"/>
      <c r="T1801" s="28"/>
      <c r="U1801" s="28"/>
    </row>
    <row r="1802" spans="1:21" s="5" customFormat="1">
      <c r="A1802" s="179" t="s">
        <v>2204</v>
      </c>
      <c r="B1802" s="185" t="s">
        <v>6417</v>
      </c>
      <c r="C1802" s="35" t="str">
        <f t="shared" si="196"/>
        <v>Jarib</v>
      </c>
      <c r="E1802" s="40"/>
      <c r="F1802" s="15" t="s">
        <v>2205</v>
      </c>
      <c r="G1802" s="17"/>
      <c r="H1802" s="10" t="s">
        <v>8563</v>
      </c>
      <c r="I1802" s="4" t="str">
        <f t="shared" si="197"/>
        <v>|Jaríb|</v>
      </c>
      <c r="J1802" s="3" t="str">
        <f t="shared" si="198"/>
        <v>|Jarib|</v>
      </c>
      <c r="K1802" s="3" t="str">
        <f t="shared" si="199"/>
        <v>Jarib</v>
      </c>
      <c r="N1802" s="39" t="str">
        <f t="shared" si="200"/>
        <v/>
      </c>
      <c r="P1802" s="39" t="str">
        <f t="shared" si="201"/>
        <v/>
      </c>
      <c r="R1802" s="39" t="str">
        <f t="shared" si="202"/>
        <v/>
      </c>
      <c r="S1802" s="28"/>
      <c r="T1802" s="28"/>
      <c r="U1802" s="28"/>
    </row>
    <row r="1803" spans="1:21" s="5" customFormat="1">
      <c r="A1803" s="179" t="s">
        <v>2206</v>
      </c>
      <c r="B1803" s="185" t="s">
        <v>6418</v>
      </c>
      <c r="C1803" s="35" t="str">
        <f t="shared" si="196"/>
        <v>JarubKishiJahannami</v>
      </c>
      <c r="E1803" s="40"/>
      <c r="F1803" s="15"/>
      <c r="G1803" s="17"/>
      <c r="H1803" s="10" t="s">
        <v>8563</v>
      </c>
      <c r="I1803" s="4" t="str">
        <f t="shared" si="197"/>
        <v>|Járúb-Ki-i-Jahannamí|</v>
      </c>
      <c r="J1803" s="3" t="str">
        <f t="shared" si="198"/>
        <v>|Jarub-Kish-i-Jahannami|</v>
      </c>
      <c r="K1803" s="3" t="str">
        <f t="shared" si="199"/>
        <v>Jarub-Kish-i-Jahannami</v>
      </c>
      <c r="N1803" s="39" t="str">
        <f t="shared" si="200"/>
        <v/>
      </c>
      <c r="P1803" s="39" t="str">
        <f t="shared" si="201"/>
        <v/>
      </c>
      <c r="R1803" s="39" t="str">
        <f t="shared" si="202"/>
        <v/>
      </c>
      <c r="S1803" s="28"/>
      <c r="T1803" s="28"/>
      <c r="U1803" s="28"/>
    </row>
    <row r="1804" spans="1:21" s="5" customFormat="1">
      <c r="A1804" s="179" t="s">
        <v>2207</v>
      </c>
      <c r="B1804" s="185" t="s">
        <v>6419</v>
      </c>
      <c r="C1804" s="35" t="str">
        <f t="shared" si="196"/>
        <v>Jasb</v>
      </c>
      <c r="E1804" s="40"/>
      <c r="F1804" s="14"/>
      <c r="G1804" s="17"/>
      <c r="H1804" s="10" t="s">
        <v>8563</v>
      </c>
      <c r="I1804" s="4" t="str">
        <f t="shared" si="197"/>
        <v>|Jásb|</v>
      </c>
      <c r="J1804" s="3" t="str">
        <f t="shared" si="198"/>
        <v>|Jasb|</v>
      </c>
      <c r="K1804" s="3" t="str">
        <f t="shared" si="199"/>
        <v>Jasb</v>
      </c>
      <c r="N1804" s="39" t="str">
        <f t="shared" si="200"/>
        <v/>
      </c>
      <c r="P1804" s="39" t="str">
        <f t="shared" si="201"/>
        <v/>
      </c>
      <c r="R1804" s="39" t="str">
        <f t="shared" si="202"/>
        <v/>
      </c>
      <c r="S1804" s="28"/>
      <c r="T1804" s="28"/>
      <c r="U1804" s="28"/>
    </row>
    <row r="1805" spans="1:21" s="5" customFormat="1">
      <c r="A1805" s="179" t="s">
        <v>2208</v>
      </c>
      <c r="B1805" s="185" t="s">
        <v>6420</v>
      </c>
      <c r="C1805" s="35" t="str">
        <f t="shared" si="196"/>
        <v>JashniAzam</v>
      </c>
      <c r="E1805" s="40"/>
      <c r="F1805" s="15"/>
      <c r="G1805" s="17"/>
      <c r="H1805" s="10" t="s">
        <v>8563</v>
      </c>
      <c r="I1805" s="4" t="str">
        <f t="shared" si="197"/>
        <v>|Jan-i-Aʿẓam|</v>
      </c>
      <c r="J1805" s="3" t="str">
        <f t="shared" si="198"/>
        <v>|Jashn-i-A'zam|</v>
      </c>
      <c r="K1805" s="3" t="str">
        <f t="shared" si="199"/>
        <v>Jashn-i-Azam</v>
      </c>
      <c r="N1805" s="39" t="str">
        <f t="shared" si="200"/>
        <v/>
      </c>
      <c r="P1805" s="39" t="str">
        <f t="shared" si="201"/>
        <v/>
      </c>
      <c r="R1805" s="39" t="str">
        <f t="shared" si="202"/>
        <v/>
      </c>
      <c r="S1805" s="28"/>
      <c r="T1805" s="28"/>
      <c r="U1805" s="28"/>
    </row>
    <row r="1806" spans="1:21" s="5" customFormat="1">
      <c r="A1806" s="179" t="s">
        <v>2209</v>
      </c>
      <c r="B1806" s="185" t="s">
        <v>6421</v>
      </c>
      <c r="C1806" s="35" t="str">
        <f t="shared" si="196"/>
        <v>Javabibisyar</v>
      </c>
      <c r="E1806" s="40"/>
      <c r="F1806" s="15"/>
      <c r="G1806" s="17"/>
      <c r="H1806" s="10" t="s">
        <v>8563</v>
      </c>
      <c r="I1806" s="4" t="str">
        <f t="shared" si="197"/>
        <v>|Javáb-i-bisyár|</v>
      </c>
      <c r="J1806" s="3" t="str">
        <f t="shared" si="198"/>
        <v>|Javab-i-bisyar|</v>
      </c>
      <c r="K1806" s="3" t="str">
        <f t="shared" si="199"/>
        <v>Javab-i-bisyar</v>
      </c>
      <c r="N1806" s="39" t="str">
        <f t="shared" si="200"/>
        <v/>
      </c>
      <c r="P1806" s="39" t="str">
        <f t="shared" si="201"/>
        <v/>
      </c>
      <c r="R1806" s="39" t="str">
        <f t="shared" si="202"/>
        <v/>
      </c>
      <c r="S1806" s="28"/>
      <c r="T1806" s="28"/>
      <c r="U1806" s="28"/>
    </row>
    <row r="1807" spans="1:21" s="5" customFormat="1">
      <c r="A1807" s="179" t="s">
        <v>2210</v>
      </c>
      <c r="B1807" s="185" t="s">
        <v>6422</v>
      </c>
      <c r="C1807" s="35" t="str">
        <f t="shared" si="196"/>
        <v>Javad</v>
      </c>
      <c r="E1807" s="40"/>
      <c r="F1807" s="14"/>
      <c r="G1807" s="17"/>
      <c r="H1807" s="10" t="s">
        <v>8563</v>
      </c>
      <c r="I1807" s="4" t="str">
        <f t="shared" si="197"/>
        <v>|Javád|</v>
      </c>
      <c r="J1807" s="3" t="str">
        <f t="shared" si="198"/>
        <v>|Javad|</v>
      </c>
      <c r="K1807" s="3" t="str">
        <f t="shared" si="199"/>
        <v>Javad</v>
      </c>
      <c r="N1807" s="39" t="str">
        <f t="shared" si="200"/>
        <v/>
      </c>
      <c r="P1807" s="39" t="str">
        <f t="shared" si="201"/>
        <v/>
      </c>
      <c r="R1807" s="39" t="str">
        <f t="shared" si="202"/>
        <v/>
      </c>
      <c r="S1807" s="28"/>
      <c r="T1807" s="28"/>
      <c r="U1807" s="28"/>
    </row>
    <row r="1808" spans="1:21" s="5" customFormat="1">
      <c r="A1808" s="179" t="s">
        <v>2211</v>
      </c>
      <c r="B1808" s="185" t="s">
        <v>6423</v>
      </c>
      <c r="C1808" s="35" t="str">
        <f t="shared" si="196"/>
        <v>JavadiBaraghani</v>
      </c>
      <c r="E1808" s="40"/>
      <c r="F1808" s="14"/>
      <c r="G1808" s="17"/>
      <c r="H1808" s="10" t="s">
        <v>8563</v>
      </c>
      <c r="I1808" s="4" t="str">
        <f t="shared" si="197"/>
        <v>|Javád-i-Baraání|</v>
      </c>
      <c r="J1808" s="3" t="str">
        <f t="shared" si="198"/>
        <v>|Javad-i-Baraghani|</v>
      </c>
      <c r="K1808" s="3" t="str">
        <f t="shared" si="199"/>
        <v>Javad-i-Baraghani</v>
      </c>
      <c r="N1808" s="39" t="str">
        <f t="shared" si="200"/>
        <v/>
      </c>
      <c r="P1808" s="39" t="str">
        <f t="shared" si="201"/>
        <v/>
      </c>
      <c r="R1808" s="39" t="str">
        <f t="shared" si="202"/>
        <v/>
      </c>
      <c r="S1808" s="28"/>
      <c r="T1808" s="28"/>
      <c r="U1808" s="28"/>
    </row>
    <row r="1809" spans="1:21" s="5" customFormat="1">
      <c r="A1809" s="179" t="s">
        <v>2212</v>
      </c>
      <c r="B1809" s="185" t="s">
        <v>6424</v>
      </c>
      <c r="C1809" s="35" t="str">
        <f t="shared" si="196"/>
        <v>JavadiKarbilai</v>
      </c>
      <c r="E1809" s="40"/>
      <c r="F1809" s="14"/>
      <c r="G1809" s="17"/>
      <c r="H1809" s="10" t="s">
        <v>8563</v>
      </c>
      <c r="I1809" s="4" t="str">
        <f t="shared" si="197"/>
        <v>|Javád-i-Karbilá’í|</v>
      </c>
      <c r="J1809" s="3" t="str">
        <f t="shared" si="198"/>
        <v>|Javad-i-Karbila'i|</v>
      </c>
      <c r="K1809" s="3" t="str">
        <f t="shared" si="199"/>
        <v>Javad-i-Karbilai</v>
      </c>
      <c r="N1809" s="39" t="str">
        <f t="shared" si="200"/>
        <v/>
      </c>
      <c r="P1809" s="39" t="str">
        <f t="shared" si="201"/>
        <v/>
      </c>
      <c r="R1809" s="39" t="str">
        <f t="shared" si="202"/>
        <v/>
      </c>
      <c r="S1809" s="28"/>
      <c r="T1809" s="28"/>
      <c r="U1809" s="28"/>
    </row>
    <row r="1810" spans="1:21" s="5" customFormat="1">
      <c r="A1810" s="179" t="s">
        <v>2213</v>
      </c>
      <c r="B1810" s="185" t="s">
        <v>6425</v>
      </c>
      <c r="C1810" s="35" t="str">
        <f t="shared" si="196"/>
        <v>JavadiKirmani</v>
      </c>
      <c r="E1810" s="40"/>
      <c r="F1810" s="14"/>
      <c r="G1810" s="17"/>
      <c r="H1810" s="10" t="s">
        <v>8563</v>
      </c>
      <c r="I1810" s="4" t="str">
        <f t="shared" si="197"/>
        <v>|Javád-i-Kirmání|</v>
      </c>
      <c r="J1810" s="3" t="str">
        <f t="shared" si="198"/>
        <v>|Javad-i-Kirmani|</v>
      </c>
      <c r="K1810" s="3" t="str">
        <f t="shared" si="199"/>
        <v>Javad-i-Kirmani</v>
      </c>
      <c r="N1810" s="39" t="str">
        <f t="shared" si="200"/>
        <v/>
      </c>
      <c r="P1810" s="39" t="str">
        <f t="shared" si="201"/>
        <v/>
      </c>
      <c r="R1810" s="39" t="str">
        <f t="shared" si="202"/>
        <v/>
      </c>
      <c r="S1810" s="28"/>
      <c r="T1810" s="28"/>
      <c r="U1810" s="28"/>
    </row>
    <row r="1811" spans="1:21" s="5" customFormat="1">
      <c r="A1811" s="179" t="s">
        <v>2214</v>
      </c>
      <c r="B1811" s="185" t="s">
        <v>6426</v>
      </c>
      <c r="C1811" s="35" t="str">
        <f t="shared" si="196"/>
        <v>JavadiQazvini</v>
      </c>
      <c r="E1811" s="40"/>
      <c r="F1811" s="14"/>
      <c r="G1811" s="17"/>
      <c r="H1811" s="10" t="s">
        <v>8563</v>
      </c>
      <c r="I1811" s="4" t="str">
        <f t="shared" si="197"/>
        <v>|Javád-i-Qazvíní|</v>
      </c>
      <c r="J1811" s="3" t="str">
        <f t="shared" si="198"/>
        <v>|Javad-i-Qazvini|</v>
      </c>
      <c r="K1811" s="3" t="str">
        <f t="shared" si="199"/>
        <v>Javad-i-Qazvini</v>
      </c>
      <c r="N1811" s="39" t="str">
        <f t="shared" si="200"/>
        <v/>
      </c>
      <c r="P1811" s="39" t="str">
        <f t="shared" si="201"/>
        <v/>
      </c>
      <c r="R1811" s="39" t="str">
        <f t="shared" si="202"/>
        <v/>
      </c>
      <c r="S1811" s="28"/>
      <c r="T1811" s="28"/>
      <c r="U1811" s="28"/>
    </row>
    <row r="1812" spans="1:21" s="5" customFormat="1">
      <c r="A1812" s="179" t="s">
        <v>2215</v>
      </c>
      <c r="B1812" s="185" t="s">
        <v>6427</v>
      </c>
      <c r="C1812" s="35" t="str">
        <f t="shared" si="196"/>
        <v>JavadiTabatabai</v>
      </c>
      <c r="E1812" s="40"/>
      <c r="F1812" s="15"/>
      <c r="G1812" s="17"/>
      <c r="H1812" s="10" t="s">
        <v>8563</v>
      </c>
      <c r="I1812" s="4" t="str">
        <f t="shared" si="197"/>
        <v>|Javád-i-Ṭabáṭabá’í|</v>
      </c>
      <c r="J1812" s="3" t="str">
        <f t="shared" si="198"/>
        <v>|Javad-i-Tabataba'i|</v>
      </c>
      <c r="K1812" s="3" t="str">
        <f t="shared" si="199"/>
        <v>Javad-i-Tabatabai</v>
      </c>
      <c r="N1812" s="39" t="str">
        <f t="shared" si="200"/>
        <v/>
      </c>
      <c r="P1812" s="39" t="str">
        <f t="shared" si="201"/>
        <v/>
      </c>
      <c r="R1812" s="39" t="str">
        <f t="shared" si="202"/>
        <v/>
      </c>
      <c r="S1812" s="28"/>
      <c r="T1812" s="28"/>
      <c r="U1812" s="28"/>
    </row>
    <row r="1813" spans="1:21" s="5" customFormat="1">
      <c r="A1813" s="181"/>
      <c r="B1813" s="185" t="s">
        <v>67</v>
      </c>
      <c r="C1813" s="35" t="str">
        <f t="shared" si="196"/>
        <v>Javahir</v>
      </c>
      <c r="D1813" s="1"/>
      <c r="E1813" s="40"/>
      <c r="F1813" s="12"/>
      <c r="G1813" s="9"/>
      <c r="H1813" s="12"/>
      <c r="I1813" s="4" t="str">
        <f t="shared" si="197"/>
        <v>|Javáhir|</v>
      </c>
      <c r="J1813" s="3" t="str">
        <f t="shared" si="198"/>
        <v>|Javahir|</v>
      </c>
      <c r="K1813" s="3" t="str">
        <f t="shared" si="199"/>
        <v>Javahir</v>
      </c>
      <c r="M1813" s="1"/>
      <c r="N1813" s="39" t="str">
        <f t="shared" si="200"/>
        <v/>
      </c>
      <c r="O1813" s="1"/>
      <c r="P1813" s="39" t="str">
        <f t="shared" si="201"/>
        <v/>
      </c>
      <c r="Q1813" s="1"/>
      <c r="R1813" s="39" t="str">
        <f t="shared" si="202"/>
        <v/>
      </c>
      <c r="S1813" s="28"/>
      <c r="T1813" s="28"/>
      <c r="U1813" s="28"/>
    </row>
    <row r="1814" spans="1:21" s="5" customFormat="1">
      <c r="A1814" s="179" t="s">
        <v>2216</v>
      </c>
      <c r="B1814" s="185" t="s">
        <v>75</v>
      </c>
      <c r="C1814" s="35" t="str">
        <f t="shared" si="196"/>
        <v>JavahirulAsrar</v>
      </c>
      <c r="E1814" s="40"/>
      <c r="F1814" s="14"/>
      <c r="G1814" s="17"/>
      <c r="H1814" s="10" t="s">
        <v>8563</v>
      </c>
      <c r="I1814" s="4" t="str">
        <f t="shared" si="197"/>
        <v>|Javáhiru’l-Asrár|</v>
      </c>
      <c r="J1814" s="3" t="str">
        <f t="shared" si="198"/>
        <v>|Javahiru'l-Asrar|</v>
      </c>
      <c r="K1814" s="3" t="str">
        <f t="shared" si="199"/>
        <v>Javahirul-Asrar</v>
      </c>
      <c r="N1814" s="39" t="str">
        <f t="shared" si="200"/>
        <v/>
      </c>
      <c r="P1814" s="39" t="str">
        <f t="shared" si="201"/>
        <v/>
      </c>
      <c r="R1814" s="39" t="str">
        <f t="shared" si="202"/>
        <v/>
      </c>
      <c r="S1814" s="28"/>
      <c r="T1814" s="29">
        <v>41796</v>
      </c>
      <c r="U1814" s="28" t="s">
        <v>9378</v>
      </c>
    </row>
    <row r="1815" spans="1:21" s="5" customFormat="1">
      <c r="A1815" s="179" t="s">
        <v>2217</v>
      </c>
      <c r="B1815" s="185" t="s">
        <v>6428</v>
      </c>
      <c r="C1815" s="35" t="str">
        <f t="shared" si="196"/>
        <v>Javanmard</v>
      </c>
      <c r="E1815" s="40"/>
      <c r="F1815" s="15"/>
      <c r="G1815" s="17"/>
      <c r="H1815" s="10" t="s">
        <v>8563</v>
      </c>
      <c r="I1815" s="4" t="str">
        <f t="shared" si="197"/>
        <v>|Javánmard|</v>
      </c>
      <c r="J1815" s="3" t="str">
        <f t="shared" si="198"/>
        <v>|Javanmard|</v>
      </c>
      <c r="K1815" s="3" t="str">
        <f t="shared" si="199"/>
        <v>Javanmard</v>
      </c>
      <c r="N1815" s="39" t="str">
        <f t="shared" si="200"/>
        <v/>
      </c>
      <c r="P1815" s="39" t="str">
        <f t="shared" si="201"/>
        <v/>
      </c>
      <c r="R1815" s="39" t="str">
        <f t="shared" si="202"/>
        <v/>
      </c>
      <c r="S1815" s="28"/>
      <c r="T1815" s="28"/>
      <c r="U1815" s="28"/>
    </row>
    <row r="1816" spans="1:21" s="5" customFormat="1">
      <c r="A1816" s="179" t="s">
        <v>2218</v>
      </c>
      <c r="B1816" s="185" t="s">
        <v>6429</v>
      </c>
      <c r="C1816" s="35" t="str">
        <f t="shared" si="196"/>
        <v>Javidan</v>
      </c>
      <c r="E1816" s="40"/>
      <c r="F1816" s="15"/>
      <c r="G1816" s="17"/>
      <c r="H1816" s="10" t="s">
        <v>8563</v>
      </c>
      <c r="I1816" s="4" t="str">
        <f t="shared" si="197"/>
        <v>|Jávidán|</v>
      </c>
      <c r="J1816" s="3" t="str">
        <f t="shared" si="198"/>
        <v>|Javidan|</v>
      </c>
      <c r="K1816" s="3" t="str">
        <f t="shared" si="199"/>
        <v>Javidan</v>
      </c>
      <c r="N1816" s="39" t="str">
        <f t="shared" si="200"/>
        <v/>
      </c>
      <c r="P1816" s="39" t="str">
        <f t="shared" si="201"/>
        <v/>
      </c>
      <c r="R1816" s="39" t="str">
        <f t="shared" si="202"/>
        <v/>
      </c>
      <c r="S1816" s="28"/>
      <c r="T1816" s="28"/>
      <c r="U1816" s="28"/>
    </row>
    <row r="1817" spans="1:21" s="5" customFormat="1">
      <c r="A1817" s="179" t="s">
        <v>2219</v>
      </c>
      <c r="B1817" s="185" t="s">
        <v>6430</v>
      </c>
      <c r="C1817" s="35" t="str">
        <f t="shared" si="196"/>
        <v>Jayhun</v>
      </c>
      <c r="E1817" s="40"/>
      <c r="F1817" s="14"/>
      <c r="G1817" s="17"/>
      <c r="H1817" s="10" t="s">
        <v>8563</v>
      </c>
      <c r="I1817" s="4" t="str">
        <f t="shared" si="197"/>
        <v>|Jayhún|</v>
      </c>
      <c r="J1817" s="3" t="str">
        <f t="shared" si="198"/>
        <v>|Jayhun|</v>
      </c>
      <c r="K1817" s="3" t="str">
        <f t="shared" si="199"/>
        <v>Jayhun</v>
      </c>
      <c r="N1817" s="39" t="str">
        <f t="shared" si="200"/>
        <v/>
      </c>
      <c r="P1817" s="39" t="str">
        <f t="shared" si="201"/>
        <v/>
      </c>
      <c r="R1817" s="39" t="str">
        <f t="shared" si="202"/>
        <v/>
      </c>
      <c r="S1817" s="28"/>
      <c r="T1817" s="28"/>
      <c r="U1817" s="28"/>
    </row>
    <row r="1818" spans="1:21" s="5" customFormat="1">
      <c r="A1818" s="179" t="s">
        <v>2220</v>
      </c>
      <c r="B1818" s="185" t="s">
        <v>6431</v>
      </c>
      <c r="C1818" s="35" t="str">
        <f t="shared" si="196"/>
        <v>JaziriyiKhadra</v>
      </c>
      <c r="E1818" s="40"/>
      <c r="F1818" s="15" t="s">
        <v>2221</v>
      </c>
      <c r="G1818" s="17"/>
      <c r="H1818" s="10" t="s">
        <v>8563</v>
      </c>
      <c r="I1818" s="4" t="str">
        <f t="shared" si="197"/>
        <v>|Jazíriy-i-aḍrá|</v>
      </c>
      <c r="J1818" s="3" t="str">
        <f t="shared" si="198"/>
        <v>|Jaziriy-i-Khadra|</v>
      </c>
      <c r="K1818" s="3" t="str">
        <f t="shared" si="199"/>
        <v>Jaziriy-i-Khadra</v>
      </c>
      <c r="N1818" s="39" t="str">
        <f t="shared" si="200"/>
        <v/>
      </c>
      <c r="P1818" s="39" t="str">
        <f t="shared" si="201"/>
        <v/>
      </c>
      <c r="R1818" s="39" t="str">
        <f t="shared" si="202"/>
        <v/>
      </c>
      <c r="S1818" s="28"/>
      <c r="T1818" s="28"/>
      <c r="U1818" s="28"/>
    </row>
    <row r="1819" spans="1:21" s="5" customFormat="1">
      <c r="A1819" s="179" t="s">
        <v>2222</v>
      </c>
      <c r="B1819" s="185" t="s">
        <v>6432</v>
      </c>
      <c r="C1819" s="35" t="str">
        <f t="shared" si="196"/>
        <v>Jazzar</v>
      </c>
      <c r="E1819" s="40"/>
      <c r="F1819" s="15" t="s">
        <v>2223</v>
      </c>
      <c r="G1819" s="17"/>
      <c r="H1819" s="10" t="s">
        <v>8563</v>
      </c>
      <c r="I1819" s="4" t="str">
        <f t="shared" si="197"/>
        <v>|Jazzár|</v>
      </c>
      <c r="J1819" s="3" t="str">
        <f t="shared" si="198"/>
        <v>|Jazzar|</v>
      </c>
      <c r="K1819" s="3" t="str">
        <f t="shared" si="199"/>
        <v>Jazzar</v>
      </c>
      <c r="N1819" s="39" t="str">
        <f t="shared" si="200"/>
        <v/>
      </c>
      <c r="P1819" s="39" t="str">
        <f t="shared" si="201"/>
        <v/>
      </c>
      <c r="R1819" s="39" t="str">
        <f t="shared" si="202"/>
        <v/>
      </c>
      <c r="S1819" s="28"/>
      <c r="T1819" s="28"/>
      <c r="U1819" s="28"/>
    </row>
    <row r="1820" spans="1:21" s="5" customFormat="1">
      <c r="A1820" s="179" t="s">
        <v>2224</v>
      </c>
      <c r="B1820" s="185" t="s">
        <v>6433</v>
      </c>
      <c r="C1820" s="35" t="str">
        <f t="shared" si="196"/>
        <v>Jibrail</v>
      </c>
      <c r="E1820" s="40"/>
      <c r="F1820" s="15" t="s">
        <v>2225</v>
      </c>
      <c r="G1820" s="17"/>
      <c r="H1820" s="10" t="s">
        <v>8563</v>
      </c>
      <c r="I1820" s="4" t="str">
        <f t="shared" si="197"/>
        <v>|Jibrá’íl|</v>
      </c>
      <c r="J1820" s="3" t="str">
        <f t="shared" si="198"/>
        <v>|Jibra'il|</v>
      </c>
      <c r="K1820" s="3" t="str">
        <f t="shared" si="199"/>
        <v>Jibrail</v>
      </c>
      <c r="N1820" s="39" t="str">
        <f t="shared" si="200"/>
        <v/>
      </c>
      <c r="P1820" s="39" t="str">
        <f t="shared" si="201"/>
        <v/>
      </c>
      <c r="R1820" s="39" t="str">
        <f t="shared" si="202"/>
        <v/>
      </c>
      <c r="S1820" s="28"/>
      <c r="T1820" s="28"/>
      <c r="U1820" s="28"/>
    </row>
    <row r="1821" spans="1:21" s="5" customFormat="1">
      <c r="A1821" s="179" t="s">
        <v>2226</v>
      </c>
      <c r="B1821" s="185" t="s">
        <v>6434</v>
      </c>
      <c r="C1821" s="35" t="str">
        <f t="shared" si="196"/>
        <v>Jihad</v>
      </c>
      <c r="E1821" s="40"/>
      <c r="F1821" s="14" t="s">
        <v>2227</v>
      </c>
      <c r="G1821" s="17"/>
      <c r="H1821" s="10" t="s">
        <v>8563</v>
      </c>
      <c r="I1821" s="4" t="str">
        <f t="shared" si="197"/>
        <v>|Jihád|</v>
      </c>
      <c r="J1821" s="3" t="str">
        <f t="shared" si="198"/>
        <v>|Jihad|</v>
      </c>
      <c r="K1821" s="3" t="str">
        <f t="shared" si="199"/>
        <v>Jihad</v>
      </c>
      <c r="N1821" s="39" t="str">
        <f t="shared" si="200"/>
        <v/>
      </c>
      <c r="P1821" s="39" t="str">
        <f t="shared" si="201"/>
        <v/>
      </c>
      <c r="R1821" s="39" t="str">
        <f t="shared" si="202"/>
        <v/>
      </c>
      <c r="S1821" s="28"/>
      <c r="T1821" s="28"/>
      <c r="U1821" s="28"/>
    </row>
    <row r="1822" spans="1:21" s="5" customFormat="1">
      <c r="A1822" s="179" t="s">
        <v>2228</v>
      </c>
      <c r="B1822" s="185" t="s">
        <v>6435</v>
      </c>
      <c r="C1822" s="35" t="str">
        <f t="shared" si="196"/>
        <v>Jim</v>
      </c>
      <c r="E1822" s="40"/>
      <c r="F1822" s="14"/>
      <c r="G1822" s="17"/>
      <c r="H1822" s="10" t="s">
        <v>8563</v>
      </c>
      <c r="I1822" s="4" t="str">
        <f t="shared" si="197"/>
        <v>|Jím|</v>
      </c>
      <c r="J1822" s="3" t="str">
        <f t="shared" si="198"/>
        <v>|Jim|</v>
      </c>
      <c r="K1822" s="3" t="str">
        <f t="shared" si="199"/>
        <v>Jim</v>
      </c>
      <c r="N1822" s="39" t="str">
        <f t="shared" si="200"/>
        <v/>
      </c>
      <c r="P1822" s="39" t="str">
        <f t="shared" si="201"/>
        <v/>
      </c>
      <c r="R1822" s="39" t="str">
        <f t="shared" si="202"/>
        <v/>
      </c>
      <c r="S1822" s="28"/>
      <c r="T1822" s="28"/>
      <c r="U1822" s="28"/>
    </row>
    <row r="1823" spans="1:21" s="5" customFormat="1">
      <c r="A1823" s="179" t="s">
        <v>2229</v>
      </c>
      <c r="B1823" s="185" t="s">
        <v>6436</v>
      </c>
      <c r="C1823" s="35" t="str">
        <f t="shared" si="196"/>
        <v>Jinab</v>
      </c>
      <c r="E1823" s="40"/>
      <c r="F1823" s="14" t="s">
        <v>2230</v>
      </c>
      <c r="G1823" s="17"/>
      <c r="H1823" s="10" t="s">
        <v>8563</v>
      </c>
      <c r="I1823" s="4" t="str">
        <f t="shared" si="197"/>
        <v>|Jináb|</v>
      </c>
      <c r="J1823" s="3" t="str">
        <f t="shared" si="198"/>
        <v>|Jinab|</v>
      </c>
      <c r="K1823" s="3" t="str">
        <f t="shared" si="199"/>
        <v>Jinab</v>
      </c>
      <c r="N1823" s="39" t="str">
        <f t="shared" si="200"/>
        <v/>
      </c>
      <c r="P1823" s="39" t="str">
        <f t="shared" si="201"/>
        <v/>
      </c>
      <c r="R1823" s="39" t="str">
        <f t="shared" si="202"/>
        <v/>
      </c>
      <c r="S1823" s="28"/>
      <c r="T1823" s="28"/>
      <c r="U1823" s="28"/>
    </row>
    <row r="1824" spans="1:21" s="5" customFormat="1">
      <c r="A1824" s="179" t="s">
        <v>2231</v>
      </c>
      <c r="B1824" s="185" t="s">
        <v>6437</v>
      </c>
      <c r="C1824" s="35" t="str">
        <f t="shared" si="196"/>
        <v>Jinabi</v>
      </c>
      <c r="E1824" s="40"/>
      <c r="F1824" s="14"/>
      <c r="G1824" s="17"/>
      <c r="H1824" s="10" t="s">
        <v>8563</v>
      </c>
      <c r="I1824" s="4" t="str">
        <f t="shared" si="197"/>
        <v>|Jinábí|</v>
      </c>
      <c r="J1824" s="3" t="str">
        <f t="shared" si="198"/>
        <v>|Jinabi|</v>
      </c>
      <c r="K1824" s="3" t="str">
        <f t="shared" si="199"/>
        <v>Jinabi</v>
      </c>
      <c r="N1824" s="39" t="str">
        <f t="shared" si="200"/>
        <v/>
      </c>
      <c r="P1824" s="39" t="str">
        <f t="shared" si="201"/>
        <v/>
      </c>
      <c r="R1824" s="39" t="str">
        <f t="shared" si="202"/>
        <v/>
      </c>
      <c r="S1824" s="28"/>
      <c r="T1824" s="28"/>
      <c r="U1824" s="28"/>
    </row>
    <row r="1825" spans="1:21" s="5" customFormat="1">
      <c r="A1825" s="179" t="s">
        <v>2232</v>
      </c>
      <c r="B1825" s="185" t="s">
        <v>6438</v>
      </c>
      <c r="C1825" s="35" t="str">
        <f t="shared" si="196"/>
        <v>JinabiAdilih</v>
      </c>
      <c r="E1825" s="40"/>
      <c r="F1825" s="15" t="s">
        <v>2233</v>
      </c>
      <c r="G1825" s="17"/>
      <c r="H1825" s="10" t="s">
        <v>8563</v>
      </c>
      <c r="I1825" s="4" t="str">
        <f t="shared" si="197"/>
        <v>|Jináb-i-ʿÁdilih|</v>
      </c>
      <c r="J1825" s="3" t="str">
        <f t="shared" si="198"/>
        <v>|Jinab-i-'Adilih|</v>
      </c>
      <c r="K1825" s="3" t="str">
        <f t="shared" si="199"/>
        <v>Jinab-i-Adilih</v>
      </c>
      <c r="N1825" s="39" t="str">
        <f t="shared" si="200"/>
        <v/>
      </c>
      <c r="P1825" s="39" t="str">
        <f t="shared" si="201"/>
        <v/>
      </c>
      <c r="R1825" s="39" t="str">
        <f t="shared" si="202"/>
        <v/>
      </c>
      <c r="S1825" s="28"/>
      <c r="T1825" s="28"/>
      <c r="U1825" s="28"/>
    </row>
    <row r="1826" spans="1:21" s="5" customFormat="1">
      <c r="A1826" s="179" t="s">
        <v>2234</v>
      </c>
      <c r="B1826" s="185" t="s">
        <v>6439</v>
      </c>
      <c r="C1826" s="35" t="str">
        <f t="shared" si="196"/>
        <v>JinabiAliAkbar</v>
      </c>
      <c r="E1826" s="40"/>
      <c r="F1826" s="14"/>
      <c r="G1826" s="17"/>
      <c r="H1826" s="10" t="s">
        <v>8563</v>
      </c>
      <c r="I1826" s="4" t="str">
        <f t="shared" si="197"/>
        <v>|Jináb-i-ʿAlí-Akbar|</v>
      </c>
      <c r="J1826" s="3" t="str">
        <f t="shared" si="198"/>
        <v>|Jinab-i-'Ali-Akbar|</v>
      </c>
      <c r="K1826" s="3" t="str">
        <f t="shared" si="199"/>
        <v>Jinab-i-Ali-Akbar</v>
      </c>
      <c r="N1826" s="39" t="str">
        <f t="shared" si="200"/>
        <v/>
      </c>
      <c r="P1826" s="39" t="str">
        <f t="shared" si="201"/>
        <v/>
      </c>
      <c r="R1826" s="39" t="str">
        <f t="shared" si="202"/>
        <v/>
      </c>
      <c r="S1826" s="28"/>
      <c r="T1826" s="28"/>
      <c r="U1826" s="28"/>
    </row>
    <row r="1827" spans="1:21" s="5" customFormat="1">
      <c r="A1827" s="179" t="s">
        <v>2235</v>
      </c>
      <c r="B1827" s="185" t="s">
        <v>6440</v>
      </c>
      <c r="C1827" s="35" t="str">
        <f t="shared" si="196"/>
        <v>JinabiAmin</v>
      </c>
      <c r="E1827" s="40"/>
      <c r="F1827" s="14"/>
      <c r="G1827" s="17"/>
      <c r="H1827" s="10" t="s">
        <v>8563</v>
      </c>
      <c r="I1827" s="4" t="str">
        <f t="shared" si="197"/>
        <v>|Jináb-i-Amín|</v>
      </c>
      <c r="J1827" s="3" t="str">
        <f t="shared" si="198"/>
        <v>|Jinab-i-Amin|</v>
      </c>
      <c r="K1827" s="3" t="str">
        <f t="shared" si="199"/>
        <v>Jinab-i-Amin</v>
      </c>
      <c r="N1827" s="39" t="str">
        <f t="shared" si="200"/>
        <v/>
      </c>
      <c r="P1827" s="39" t="str">
        <f t="shared" si="201"/>
        <v/>
      </c>
      <c r="R1827" s="39" t="str">
        <f t="shared" si="202"/>
        <v/>
      </c>
      <c r="S1827" s="28"/>
      <c r="T1827" s="28"/>
      <c r="U1827" s="28"/>
    </row>
    <row r="1828" spans="1:21" s="5" customFormat="1">
      <c r="A1828" s="179" t="s">
        <v>2236</v>
      </c>
      <c r="B1828" s="185" t="s">
        <v>6441</v>
      </c>
      <c r="C1828" s="35" t="str">
        <f t="shared" si="196"/>
        <v>JinabiAqa</v>
      </c>
      <c r="E1828" s="40"/>
      <c r="F1828" s="14"/>
      <c r="G1828" s="17"/>
      <c r="H1828" s="10" t="s">
        <v>8563</v>
      </c>
      <c r="I1828" s="4" t="str">
        <f t="shared" si="197"/>
        <v>|Jináb-i-Áqá|</v>
      </c>
      <c r="J1828" s="3" t="str">
        <f t="shared" si="198"/>
        <v>|Jinab-i-Aqa|</v>
      </c>
      <c r="K1828" s="3" t="str">
        <f t="shared" si="199"/>
        <v>Jinab-i-Aqa</v>
      </c>
      <c r="N1828" s="39" t="str">
        <f t="shared" si="200"/>
        <v/>
      </c>
      <c r="P1828" s="39" t="str">
        <f t="shared" si="201"/>
        <v/>
      </c>
      <c r="R1828" s="39" t="str">
        <f t="shared" si="202"/>
        <v/>
      </c>
      <c r="S1828" s="28"/>
      <c r="T1828" s="28"/>
      <c r="U1828" s="28"/>
    </row>
    <row r="1829" spans="1:21" s="5" customFormat="1">
      <c r="A1829" s="179" t="s">
        <v>2237</v>
      </c>
      <c r="B1829" s="185" t="s">
        <v>6442</v>
      </c>
      <c r="C1829" s="35" t="str">
        <f t="shared" si="196"/>
        <v>JinabiAvarih</v>
      </c>
      <c r="E1829" s="40"/>
      <c r="F1829" s="15"/>
      <c r="G1829" s="17"/>
      <c r="H1829" s="10" t="s">
        <v>8563</v>
      </c>
      <c r="I1829" s="4" t="str">
        <f t="shared" si="197"/>
        <v>|Jináb-i-Ávárih|</v>
      </c>
      <c r="J1829" s="3" t="str">
        <f t="shared" si="198"/>
        <v>|Jinab-i-Avarih|</v>
      </c>
      <c r="K1829" s="3" t="str">
        <f t="shared" si="199"/>
        <v>Jinab-i-Avarih</v>
      </c>
      <c r="N1829" s="39" t="str">
        <f t="shared" si="200"/>
        <v/>
      </c>
      <c r="P1829" s="39" t="str">
        <f t="shared" si="201"/>
        <v/>
      </c>
      <c r="R1829" s="39" t="str">
        <f t="shared" si="202"/>
        <v/>
      </c>
      <c r="S1829" s="28"/>
      <c r="T1829" s="28"/>
      <c r="U1829" s="28"/>
    </row>
    <row r="1830" spans="1:21" s="5" customFormat="1">
      <c r="A1830" s="179" t="s">
        <v>2238</v>
      </c>
      <c r="B1830" s="185" t="s">
        <v>6443</v>
      </c>
      <c r="C1830" s="35" t="str">
        <f t="shared" si="196"/>
        <v>JinabiAzim</v>
      </c>
      <c r="E1830" s="40"/>
      <c r="F1830" s="14"/>
      <c r="G1830" s="17"/>
      <c r="H1830" s="10" t="s">
        <v>8563</v>
      </c>
      <c r="I1830" s="4" t="str">
        <f t="shared" si="197"/>
        <v>|Jináb-i-ʿAẓím|</v>
      </c>
      <c r="J1830" s="3" t="str">
        <f t="shared" si="198"/>
        <v>|Jinab-i-'Azim|</v>
      </c>
      <c r="K1830" s="3" t="str">
        <f t="shared" si="199"/>
        <v>Jinab-i-Azim</v>
      </c>
      <c r="N1830" s="39" t="str">
        <f t="shared" si="200"/>
        <v/>
      </c>
      <c r="P1830" s="39" t="str">
        <f t="shared" si="201"/>
        <v/>
      </c>
      <c r="R1830" s="39" t="str">
        <f t="shared" si="202"/>
        <v/>
      </c>
      <c r="S1830" s="28"/>
      <c r="T1830" s="28"/>
      <c r="U1830" s="28"/>
    </row>
    <row r="1831" spans="1:21" s="5" customFormat="1">
      <c r="A1831" s="179" t="s">
        <v>2239</v>
      </c>
      <c r="B1831" s="185" t="s">
        <v>6444</v>
      </c>
      <c r="C1831" s="35" t="str">
        <f t="shared" si="196"/>
        <v>JinabiBabulBab</v>
      </c>
      <c r="E1831" s="40"/>
      <c r="F1831" s="14"/>
      <c r="G1831" s="17"/>
      <c r="H1831" s="10" t="s">
        <v>8563</v>
      </c>
      <c r="I1831" s="4" t="str">
        <f t="shared" si="197"/>
        <v>|Jináb-i-Bábu’l-Báb|</v>
      </c>
      <c r="J1831" s="3" t="str">
        <f t="shared" si="198"/>
        <v>|Jinab-i-Babu'l-Bab|</v>
      </c>
      <c r="K1831" s="3" t="str">
        <f t="shared" si="199"/>
        <v>Jinab-i-Babul-Bab</v>
      </c>
      <c r="N1831" s="39" t="str">
        <f t="shared" si="200"/>
        <v/>
      </c>
      <c r="P1831" s="39" t="str">
        <f t="shared" si="201"/>
        <v/>
      </c>
      <c r="R1831" s="39" t="str">
        <f t="shared" si="202"/>
        <v/>
      </c>
      <c r="S1831" s="28"/>
      <c r="T1831" s="28"/>
      <c r="U1831" s="28"/>
    </row>
    <row r="1832" spans="1:21" s="5" customFormat="1">
      <c r="A1832" s="179" t="s">
        <v>2240</v>
      </c>
      <c r="B1832" s="185" t="s">
        <v>6445</v>
      </c>
      <c r="C1832" s="35" t="str">
        <f t="shared" si="196"/>
        <v>JinabiBaha</v>
      </c>
      <c r="E1832" s="40"/>
      <c r="F1832" s="14"/>
      <c r="G1832" s="17"/>
      <c r="H1832" s="10" t="s">
        <v>8563</v>
      </c>
      <c r="I1832" s="4" t="str">
        <f t="shared" si="197"/>
        <v>|Jináb-i-Báhá|</v>
      </c>
      <c r="J1832" s="3" t="str">
        <f t="shared" si="198"/>
        <v>|Jinab-i-Baha|</v>
      </c>
      <c r="K1832" s="3" t="str">
        <f t="shared" si="199"/>
        <v>Jinab-i-Baha</v>
      </c>
      <c r="N1832" s="39" t="str">
        <f t="shared" si="200"/>
        <v/>
      </c>
      <c r="P1832" s="39" t="str">
        <f t="shared" si="201"/>
        <v/>
      </c>
      <c r="R1832" s="39" t="str">
        <f t="shared" si="202"/>
        <v/>
      </c>
      <c r="S1832" s="28"/>
      <c r="T1832" s="28"/>
      <c r="U1832" s="28"/>
    </row>
    <row r="1833" spans="1:21" s="5" customFormat="1">
      <c r="A1833" s="179" t="s">
        <v>2241</v>
      </c>
      <c r="B1833" s="185" t="s">
        <v>6446</v>
      </c>
      <c r="C1833" s="35" t="str">
        <f t="shared" si="196"/>
        <v>JinabiDhabih</v>
      </c>
      <c r="E1833" s="40"/>
      <c r="F1833" s="15"/>
      <c r="G1833" s="17"/>
      <c r="H1833" s="10" t="s">
        <v>8563</v>
      </c>
      <c r="I1833" s="4" t="str">
        <f t="shared" si="197"/>
        <v>|Jináb-i-abíḥ|</v>
      </c>
      <c r="J1833" s="3" t="str">
        <f t="shared" si="198"/>
        <v>|Jinab-i-Dhabih|</v>
      </c>
      <c r="K1833" s="3" t="str">
        <f t="shared" si="199"/>
        <v>Jinab-i-Dhabih</v>
      </c>
      <c r="N1833" s="39" t="str">
        <f t="shared" si="200"/>
        <v/>
      </c>
      <c r="P1833" s="39" t="str">
        <f t="shared" si="201"/>
        <v/>
      </c>
      <c r="R1833" s="39" t="str">
        <f t="shared" si="202"/>
        <v/>
      </c>
      <c r="S1833" s="28"/>
      <c r="T1833" s="28"/>
      <c r="U1833" s="28"/>
    </row>
    <row r="1834" spans="1:21" s="5" customFormat="1">
      <c r="A1834" s="179" t="s">
        <v>2242</v>
      </c>
      <c r="B1834" s="185" t="s">
        <v>6447</v>
      </c>
      <c r="C1834" s="35" t="str">
        <f t="shared" si="196"/>
        <v>JinabiFadil</v>
      </c>
      <c r="E1834" s="40"/>
      <c r="F1834" s="15"/>
      <c r="G1834" s="17"/>
      <c r="H1834" s="10" t="s">
        <v>8563</v>
      </c>
      <c r="I1834" s="4" t="str">
        <f t="shared" si="197"/>
        <v>|Jináb-i-Fáḍil|</v>
      </c>
      <c r="J1834" s="3" t="str">
        <f t="shared" si="198"/>
        <v>|Jinab-i-Fadil|</v>
      </c>
      <c r="K1834" s="3" t="str">
        <f t="shared" si="199"/>
        <v>Jinab-i-Fadil</v>
      </c>
      <c r="N1834" s="39" t="str">
        <f t="shared" si="200"/>
        <v/>
      </c>
      <c r="P1834" s="39" t="str">
        <f t="shared" si="201"/>
        <v/>
      </c>
      <c r="R1834" s="39" t="str">
        <f t="shared" si="202"/>
        <v/>
      </c>
      <c r="S1834" s="28"/>
      <c r="T1834" s="28"/>
      <c r="U1834" s="28"/>
    </row>
    <row r="1835" spans="1:21" s="5" customFormat="1">
      <c r="A1835" s="179" t="s">
        <v>2243</v>
      </c>
      <c r="B1835" s="185" t="s">
        <v>6448</v>
      </c>
      <c r="C1835" s="35" t="str">
        <f t="shared" si="196"/>
        <v>JinabiFadiliMazindarani</v>
      </c>
      <c r="E1835" s="40"/>
      <c r="F1835" s="15"/>
      <c r="G1835" s="17"/>
      <c r="H1835" s="10" t="s">
        <v>8563</v>
      </c>
      <c r="I1835" s="4" t="str">
        <f t="shared" si="197"/>
        <v>|Jináb-i-Fáḍil-i-Mázindarání|</v>
      </c>
      <c r="J1835" s="3" t="str">
        <f t="shared" si="198"/>
        <v>|Jinab-i-Fadil-i-Mazindarani|</v>
      </c>
      <c r="K1835" s="3" t="str">
        <f t="shared" si="199"/>
        <v>Jinab-i-Fadil-i-Mazindarani</v>
      </c>
      <c r="N1835" s="39" t="str">
        <f t="shared" si="200"/>
        <v/>
      </c>
      <c r="P1835" s="39" t="str">
        <f t="shared" si="201"/>
        <v/>
      </c>
      <c r="R1835" s="39" t="str">
        <f t="shared" si="202"/>
        <v/>
      </c>
      <c r="S1835" s="28"/>
      <c r="T1835" s="28"/>
      <c r="U1835" s="28"/>
    </row>
    <row r="1836" spans="1:21" s="5" customFormat="1">
      <c r="A1836" s="179" t="s">
        <v>2244</v>
      </c>
      <c r="B1836" s="185" t="s">
        <v>6449</v>
      </c>
      <c r="C1836" s="35" t="str">
        <f t="shared" si="196"/>
        <v>JinabiFaizi</v>
      </c>
      <c r="E1836" s="40"/>
      <c r="F1836" s="15"/>
      <c r="G1836" s="17"/>
      <c r="H1836" s="10" t="s">
        <v>8563</v>
      </c>
      <c r="I1836" s="4" t="str">
        <f t="shared" si="197"/>
        <v>|Jináb-i-Faizi|</v>
      </c>
      <c r="J1836" s="3" t="str">
        <f t="shared" si="198"/>
        <v>|Jinab-i-Faizi|</v>
      </c>
      <c r="K1836" s="3" t="str">
        <f t="shared" si="199"/>
        <v>Jinab-i-Faizi</v>
      </c>
      <c r="N1836" s="39" t="str">
        <f t="shared" si="200"/>
        <v/>
      </c>
      <c r="P1836" s="39" t="str">
        <f t="shared" si="201"/>
        <v/>
      </c>
      <c r="R1836" s="39" t="str">
        <f t="shared" si="202"/>
        <v/>
      </c>
      <c r="S1836" s="28"/>
      <c r="T1836" s="28"/>
      <c r="U1836" s="28"/>
    </row>
    <row r="1837" spans="1:21" s="5" customFormat="1">
      <c r="A1837" s="179" t="s">
        <v>2245</v>
      </c>
      <c r="B1837" s="185" t="s">
        <v>6450</v>
      </c>
      <c r="C1837" s="35" t="str">
        <f t="shared" si="196"/>
        <v>JinabiFurughi</v>
      </c>
      <c r="E1837" s="40"/>
      <c r="F1837" s="15"/>
      <c r="G1837" s="17"/>
      <c r="H1837" s="10" t="s">
        <v>8563</v>
      </c>
      <c r="I1837" s="4" t="str">
        <f t="shared" si="197"/>
        <v>|Jináb-i-Furúí|</v>
      </c>
      <c r="J1837" s="3" t="str">
        <f t="shared" si="198"/>
        <v>|Jinab-i-Furughi|</v>
      </c>
      <c r="K1837" s="3" t="str">
        <f t="shared" si="199"/>
        <v>Jinab-i-Furughi</v>
      </c>
      <c r="N1837" s="39" t="str">
        <f t="shared" si="200"/>
        <v/>
      </c>
      <c r="P1837" s="39" t="str">
        <f t="shared" si="201"/>
        <v/>
      </c>
      <c r="R1837" s="39" t="str">
        <f t="shared" si="202"/>
        <v/>
      </c>
      <c r="S1837" s="28"/>
      <c r="T1837" s="28"/>
      <c r="U1837" s="28"/>
    </row>
    <row r="1838" spans="1:21" s="5" customFormat="1">
      <c r="A1838" s="179" t="s">
        <v>2246</v>
      </c>
      <c r="B1838" s="185" t="s">
        <v>6451</v>
      </c>
      <c r="C1838" s="35" t="str">
        <f t="shared" si="196"/>
        <v>JinabiHaji</v>
      </c>
      <c r="E1838" s="40"/>
      <c r="F1838" s="15"/>
      <c r="G1838" s="17"/>
      <c r="H1838" s="10" t="s">
        <v>8563</v>
      </c>
      <c r="I1838" s="4" t="str">
        <f t="shared" si="197"/>
        <v>|Jináb-i-Ḥájí|</v>
      </c>
      <c r="J1838" s="3" t="str">
        <f t="shared" si="198"/>
        <v>|Jinab-i-Haji|</v>
      </c>
      <c r="K1838" s="3" t="str">
        <f t="shared" si="199"/>
        <v>Jinab-i-Haji</v>
      </c>
      <c r="N1838" s="39" t="str">
        <f t="shared" si="200"/>
        <v/>
      </c>
      <c r="P1838" s="39" t="str">
        <f t="shared" si="201"/>
        <v/>
      </c>
      <c r="R1838" s="39" t="str">
        <f t="shared" si="202"/>
        <v/>
      </c>
      <c r="S1838" s="28"/>
      <c r="T1838" s="28"/>
      <c r="U1838" s="28"/>
    </row>
    <row r="1839" spans="1:21" s="5" customFormat="1">
      <c r="A1839" s="179" t="s">
        <v>2247</v>
      </c>
      <c r="B1839" s="185" t="s">
        <v>6452</v>
      </c>
      <c r="C1839" s="35" t="str">
        <f t="shared" si="196"/>
        <v>JinabiHusayn</v>
      </c>
      <c r="E1839" s="40"/>
      <c r="F1839" s="14"/>
      <c r="G1839" s="17"/>
      <c r="H1839" s="10" t="s">
        <v>8563</v>
      </c>
      <c r="I1839" s="4" t="str">
        <f t="shared" si="197"/>
        <v>|Jináb-i-Ḥusayn|</v>
      </c>
      <c r="J1839" s="3" t="str">
        <f t="shared" si="198"/>
        <v>|Jinab-i-Husayn|</v>
      </c>
      <c r="K1839" s="3" t="str">
        <f t="shared" si="199"/>
        <v>Jinab-i-Husayn</v>
      </c>
      <c r="N1839" s="39" t="str">
        <f t="shared" si="200"/>
        <v/>
      </c>
      <c r="P1839" s="39" t="str">
        <f t="shared" si="201"/>
        <v/>
      </c>
      <c r="R1839" s="39" t="str">
        <f t="shared" si="202"/>
        <v/>
      </c>
      <c r="S1839" s="28"/>
      <c r="T1839" s="28"/>
      <c r="U1839" s="28"/>
    </row>
    <row r="1840" spans="1:21" s="5" customFormat="1">
      <c r="A1840" s="179" t="s">
        <v>2248</v>
      </c>
      <c r="B1840" s="185" t="s">
        <v>6453</v>
      </c>
      <c r="C1840" s="35" t="str">
        <f t="shared" si="196"/>
        <v>JinabiIbnAbhar</v>
      </c>
      <c r="E1840" s="40"/>
      <c r="F1840" s="14"/>
      <c r="G1840" s="17"/>
      <c r="H1840" s="10" t="s">
        <v>8563</v>
      </c>
      <c r="I1840" s="4" t="str">
        <f t="shared" si="197"/>
        <v>|Jináb-i-Ibn-ʿAbhar|</v>
      </c>
      <c r="J1840" s="3" t="str">
        <f t="shared" si="198"/>
        <v>|Jinab-i-Ibn-'Abhar|</v>
      </c>
      <c r="K1840" s="3" t="str">
        <f t="shared" si="199"/>
        <v>Jinab-i-Ibn-Abhar</v>
      </c>
      <c r="N1840" s="39" t="str">
        <f t="shared" si="200"/>
        <v/>
      </c>
      <c r="P1840" s="39" t="str">
        <f t="shared" si="201"/>
        <v/>
      </c>
      <c r="R1840" s="39" t="str">
        <f t="shared" si="202"/>
        <v/>
      </c>
      <c r="S1840" s="28"/>
      <c r="T1840" s="28"/>
      <c r="U1840" s="28"/>
    </row>
    <row r="1841" spans="1:21" s="5" customFormat="1">
      <c r="A1841" s="179" t="s">
        <v>2249</v>
      </c>
      <c r="B1841" s="185" t="s">
        <v>6454</v>
      </c>
      <c r="C1841" s="35" t="str">
        <f t="shared" si="196"/>
        <v>JinabiIsmullah</v>
      </c>
      <c r="E1841" s="40"/>
      <c r="F1841" s="14"/>
      <c r="G1841" s="17"/>
      <c r="H1841" s="10" t="s">
        <v>8563</v>
      </c>
      <c r="I1841" s="4" t="str">
        <f t="shared" si="197"/>
        <v>|Jináb-i-Ismu’lláh|</v>
      </c>
      <c r="J1841" s="3" t="str">
        <f t="shared" si="198"/>
        <v>|Jinab-i-Ismu'llah|</v>
      </c>
      <c r="K1841" s="3" t="str">
        <f t="shared" si="199"/>
        <v>Jinab-i-Ismullah</v>
      </c>
      <c r="N1841" s="39" t="str">
        <f t="shared" si="200"/>
        <v/>
      </c>
      <c r="P1841" s="39" t="str">
        <f t="shared" si="201"/>
        <v/>
      </c>
      <c r="R1841" s="39" t="str">
        <f t="shared" si="202"/>
        <v/>
      </c>
      <c r="S1841" s="28"/>
      <c r="T1841" s="28"/>
      <c r="U1841" s="28"/>
    </row>
    <row r="1842" spans="1:21" s="5" customFormat="1">
      <c r="A1842" s="179" t="s">
        <v>2250</v>
      </c>
      <c r="B1842" s="185" t="s">
        <v>6455</v>
      </c>
      <c r="C1842" s="35" t="str">
        <f t="shared" si="196"/>
        <v>JinabiIsmullahulAsdaq</v>
      </c>
      <c r="E1842" s="40"/>
      <c r="F1842" s="15"/>
      <c r="G1842" s="17"/>
      <c r="H1842" s="10" t="s">
        <v>8563</v>
      </c>
      <c r="I1842" s="4" t="str">
        <f t="shared" si="197"/>
        <v>|Jináb-i-Ismu’lláhu’l-Aṣdaq|</v>
      </c>
      <c r="J1842" s="3" t="str">
        <f t="shared" si="198"/>
        <v>|Jinab-i-Ismu'llahu'l-Asdaq|</v>
      </c>
      <c r="K1842" s="3" t="str">
        <f t="shared" si="199"/>
        <v>Jinab-i-Ismullahul-Asdaq</v>
      </c>
      <c r="N1842" s="39" t="str">
        <f t="shared" si="200"/>
        <v/>
      </c>
      <c r="P1842" s="39" t="str">
        <f t="shared" si="201"/>
        <v/>
      </c>
      <c r="R1842" s="39" t="str">
        <f t="shared" si="202"/>
        <v/>
      </c>
      <c r="S1842" s="28"/>
      <c r="T1842" s="28"/>
      <c r="U1842" s="28"/>
    </row>
    <row r="1843" spans="1:21" s="5" customFormat="1">
      <c r="A1843" s="179" t="s">
        <v>2251</v>
      </c>
      <c r="B1843" s="185" t="s">
        <v>6456</v>
      </c>
      <c r="C1843" s="35" t="str">
        <f t="shared" si="196"/>
        <v>JinabiKalim</v>
      </c>
      <c r="E1843" s="40"/>
      <c r="F1843" s="15"/>
      <c r="G1843" s="17"/>
      <c r="H1843" s="10" t="s">
        <v>8563</v>
      </c>
      <c r="I1843" s="4" t="str">
        <f t="shared" si="197"/>
        <v>|Jináb-i-Kalím|</v>
      </c>
      <c r="J1843" s="3" t="str">
        <f t="shared" si="198"/>
        <v>|Jinab-i-Kalim|</v>
      </c>
      <c r="K1843" s="3" t="str">
        <f t="shared" si="199"/>
        <v>Jinab-i-Kalim</v>
      </c>
      <c r="N1843" s="39" t="str">
        <f t="shared" si="200"/>
        <v/>
      </c>
      <c r="P1843" s="39" t="str">
        <f t="shared" si="201"/>
        <v/>
      </c>
      <c r="R1843" s="39" t="str">
        <f t="shared" si="202"/>
        <v/>
      </c>
      <c r="S1843" s="28"/>
      <c r="T1843" s="28"/>
      <c r="U1843" s="28"/>
    </row>
    <row r="1844" spans="1:21" s="5" customFormat="1">
      <c r="A1844" s="179" t="s">
        <v>2252</v>
      </c>
      <c r="B1844" s="185" t="s">
        <v>6457</v>
      </c>
      <c r="C1844" s="35" t="str">
        <f t="shared" si="196"/>
        <v>JinabiKhan</v>
      </c>
      <c r="E1844" s="40"/>
      <c r="F1844" s="14"/>
      <c r="G1844" s="17"/>
      <c r="H1844" s="10" t="s">
        <v>8563</v>
      </c>
      <c r="I1844" s="4" t="str">
        <f t="shared" si="197"/>
        <v>|Jináb-i-án|</v>
      </c>
      <c r="J1844" s="3" t="str">
        <f t="shared" si="198"/>
        <v>|Jinab-i-Khan|</v>
      </c>
      <c r="K1844" s="3" t="str">
        <f t="shared" si="199"/>
        <v>Jinab-i-Khan</v>
      </c>
      <c r="N1844" s="39" t="str">
        <f t="shared" si="200"/>
        <v/>
      </c>
      <c r="P1844" s="39" t="str">
        <f t="shared" si="201"/>
        <v/>
      </c>
      <c r="R1844" s="39" t="str">
        <f t="shared" si="202"/>
        <v/>
      </c>
      <c r="S1844" s="28"/>
      <c r="T1844" s="28"/>
      <c r="U1844" s="28"/>
    </row>
    <row r="1845" spans="1:21" s="5" customFormat="1">
      <c r="A1845" s="179" t="s">
        <v>2253</v>
      </c>
      <c r="B1845" s="185" t="s">
        <v>6458</v>
      </c>
      <c r="C1845" s="35" t="str">
        <f t="shared" si="196"/>
        <v>JinabiMirza</v>
      </c>
      <c r="E1845" s="40"/>
      <c r="F1845" s="14"/>
      <c r="G1845" s="17"/>
      <c r="H1845" s="10" t="s">
        <v>8563</v>
      </c>
      <c r="I1845" s="4" t="str">
        <f t="shared" si="197"/>
        <v>|Jináb-i-Mírzá|</v>
      </c>
      <c r="J1845" s="3" t="str">
        <f t="shared" si="198"/>
        <v>|Jinab-i-Mirza|</v>
      </c>
      <c r="K1845" s="3" t="str">
        <f t="shared" si="199"/>
        <v>Jinab-i-Mirza</v>
      </c>
      <c r="N1845" s="39" t="str">
        <f t="shared" si="200"/>
        <v/>
      </c>
      <c r="P1845" s="39" t="str">
        <f t="shared" si="201"/>
        <v/>
      </c>
      <c r="R1845" s="39" t="str">
        <f t="shared" si="202"/>
        <v/>
      </c>
      <c r="S1845" s="28"/>
      <c r="T1845" s="28"/>
      <c r="U1845" s="28"/>
    </row>
    <row r="1846" spans="1:21" s="5" customFormat="1">
      <c r="A1846" s="179" t="s">
        <v>2254</v>
      </c>
      <c r="B1846" s="185" t="s">
        <v>6459</v>
      </c>
      <c r="C1846" s="35" t="str">
        <f t="shared" si="196"/>
        <v>JinabiMishkin</v>
      </c>
      <c r="E1846" s="40"/>
      <c r="F1846" s="14"/>
      <c r="G1846" s="17"/>
      <c r="H1846" s="10" t="s">
        <v>8563</v>
      </c>
      <c r="I1846" s="4" t="str">
        <f t="shared" si="197"/>
        <v>|Jináb-i-Mikín|</v>
      </c>
      <c r="J1846" s="3" t="str">
        <f t="shared" si="198"/>
        <v>|Jinab-i-Mishkin|</v>
      </c>
      <c r="K1846" s="3" t="str">
        <f t="shared" si="199"/>
        <v>Jinab-i-Mishkin</v>
      </c>
      <c r="N1846" s="39" t="str">
        <f t="shared" si="200"/>
        <v/>
      </c>
      <c r="P1846" s="39" t="str">
        <f t="shared" si="201"/>
        <v/>
      </c>
      <c r="R1846" s="39" t="str">
        <f t="shared" si="202"/>
        <v/>
      </c>
      <c r="S1846" s="28"/>
      <c r="T1846" s="28"/>
      <c r="U1846" s="28"/>
    </row>
    <row r="1847" spans="1:21" s="5" customFormat="1">
      <c r="A1847" s="179" t="s">
        <v>2255</v>
      </c>
      <c r="B1847" s="185" t="s">
        <v>6460</v>
      </c>
      <c r="C1847" s="35" t="str">
        <f t="shared" si="196"/>
        <v>JinabiMuballigh</v>
      </c>
      <c r="E1847" s="40"/>
      <c r="F1847" s="14"/>
      <c r="G1847" s="17"/>
      <c r="H1847" s="10" t="s">
        <v>8563</v>
      </c>
      <c r="I1847" s="4" t="str">
        <f t="shared" si="197"/>
        <v>|Jináb-i-Muballi|</v>
      </c>
      <c r="J1847" s="3" t="str">
        <f t="shared" si="198"/>
        <v>|Jinab-i-Muballigh|</v>
      </c>
      <c r="K1847" s="3" t="str">
        <f t="shared" si="199"/>
        <v>Jinab-i-Muballigh</v>
      </c>
      <c r="N1847" s="39" t="str">
        <f t="shared" si="200"/>
        <v/>
      </c>
      <c r="P1847" s="39" t="str">
        <f t="shared" si="201"/>
        <v/>
      </c>
      <c r="R1847" s="39" t="str">
        <f t="shared" si="202"/>
        <v/>
      </c>
      <c r="S1847" s="28"/>
      <c r="T1847" s="28"/>
      <c r="U1847" s="28"/>
    </row>
    <row r="1848" spans="1:21" s="5" customFormat="1">
      <c r="A1848" s="179" t="s">
        <v>2256</v>
      </c>
      <c r="B1848" s="185" t="s">
        <v>6461</v>
      </c>
      <c r="C1848" s="35" t="str">
        <f t="shared" si="196"/>
        <v>JinabiMuhammadTaqi</v>
      </c>
      <c r="E1848" s="40"/>
      <c r="F1848" s="14"/>
      <c r="G1848" s="17"/>
      <c r="H1848" s="10" t="s">
        <v>8563</v>
      </c>
      <c r="I1848" s="4" t="str">
        <f t="shared" si="197"/>
        <v>|Jináb-i-Muḥammad-Taqí|</v>
      </c>
      <c r="J1848" s="3" t="str">
        <f t="shared" si="198"/>
        <v>|Jinab-i-Muhammad-Taqi|</v>
      </c>
      <c r="K1848" s="3" t="str">
        <f t="shared" si="199"/>
        <v>Jinab-i-Muhammad-Taqi</v>
      </c>
      <c r="N1848" s="39" t="str">
        <f t="shared" si="200"/>
        <v/>
      </c>
      <c r="P1848" s="39" t="str">
        <f t="shared" si="201"/>
        <v/>
      </c>
      <c r="R1848" s="39" t="str">
        <f t="shared" si="202"/>
        <v/>
      </c>
      <c r="S1848" s="28"/>
      <c r="T1848" s="28"/>
      <c r="U1848" s="28"/>
    </row>
    <row r="1849" spans="1:21" s="5" customFormat="1">
      <c r="A1849" s="179" t="s">
        <v>2257</v>
      </c>
      <c r="B1849" s="185" t="s">
        <v>6462</v>
      </c>
      <c r="C1849" s="35" t="str">
        <f t="shared" si="196"/>
        <v>JinabiMulla</v>
      </c>
      <c r="E1849" s="40"/>
      <c r="F1849" s="14"/>
      <c r="G1849" s="17"/>
      <c r="H1849" s="10" t="s">
        <v>8563</v>
      </c>
      <c r="I1849" s="4" t="str">
        <f t="shared" si="197"/>
        <v>|Jináb-i-Mullá|</v>
      </c>
      <c r="J1849" s="3" t="str">
        <f t="shared" si="198"/>
        <v>|Jinab-i-Mulla|</v>
      </c>
      <c r="K1849" s="3" t="str">
        <f t="shared" si="199"/>
        <v>Jinab-i-Mulla</v>
      </c>
      <c r="N1849" s="39" t="str">
        <f t="shared" si="200"/>
        <v/>
      </c>
      <c r="P1849" s="39" t="str">
        <f t="shared" si="201"/>
        <v/>
      </c>
      <c r="R1849" s="39" t="str">
        <f t="shared" si="202"/>
        <v/>
      </c>
      <c r="S1849" s="28"/>
      <c r="T1849" s="28"/>
      <c r="U1849" s="28"/>
    </row>
    <row r="1850" spans="1:21" s="5" customFormat="1">
      <c r="A1850" s="179" t="s">
        <v>2258</v>
      </c>
      <c r="B1850" s="185" t="s">
        <v>6463</v>
      </c>
      <c r="C1850" s="35" t="str">
        <f t="shared" si="196"/>
        <v>JinabiMunib</v>
      </c>
      <c r="E1850" s="40"/>
      <c r="F1850" s="15"/>
      <c r="G1850" s="17"/>
      <c r="H1850" s="10" t="s">
        <v>8563</v>
      </c>
      <c r="I1850" s="4" t="str">
        <f t="shared" si="197"/>
        <v>|Jináb-i-Muníb|</v>
      </c>
      <c r="J1850" s="3" t="str">
        <f t="shared" si="198"/>
        <v>|Jinab-i-Munib|</v>
      </c>
      <c r="K1850" s="3" t="str">
        <f t="shared" si="199"/>
        <v>Jinab-i-Munib</v>
      </c>
      <c r="N1850" s="39" t="str">
        <f t="shared" si="200"/>
        <v/>
      </c>
      <c r="P1850" s="39" t="str">
        <f t="shared" si="201"/>
        <v/>
      </c>
      <c r="R1850" s="39" t="str">
        <f t="shared" si="202"/>
        <v/>
      </c>
      <c r="S1850" s="28"/>
      <c r="T1850" s="28"/>
      <c r="U1850" s="28"/>
    </row>
    <row r="1851" spans="1:21" s="5" customFormat="1">
      <c r="A1851" s="179" t="s">
        <v>2259</v>
      </c>
      <c r="B1851" s="185" t="s">
        <v>6464</v>
      </c>
      <c r="C1851" s="35" t="str">
        <f t="shared" si="196"/>
        <v>JinabiMunir</v>
      </c>
      <c r="E1851" s="40"/>
      <c r="F1851" s="14"/>
      <c r="G1851" s="17"/>
      <c r="H1851" s="10" t="s">
        <v>8563</v>
      </c>
      <c r="I1851" s="4" t="str">
        <f t="shared" si="197"/>
        <v>|Jináb-i-Munír|</v>
      </c>
      <c r="J1851" s="3" t="str">
        <f t="shared" si="198"/>
        <v>|Jinab-i-Munir|</v>
      </c>
      <c r="K1851" s="3" t="str">
        <f t="shared" si="199"/>
        <v>Jinab-i-Munir</v>
      </c>
      <c r="N1851" s="39" t="str">
        <f t="shared" si="200"/>
        <v/>
      </c>
      <c r="P1851" s="39" t="str">
        <f t="shared" si="201"/>
        <v/>
      </c>
      <c r="R1851" s="39" t="str">
        <f t="shared" si="202"/>
        <v/>
      </c>
      <c r="S1851" s="28"/>
      <c r="T1851" s="28"/>
      <c r="U1851" s="28"/>
    </row>
    <row r="1852" spans="1:21" s="5" customFormat="1">
      <c r="A1852" s="179" t="s">
        <v>2260</v>
      </c>
      <c r="B1852" s="185" t="s">
        <v>6465</v>
      </c>
      <c r="C1852" s="35" t="str">
        <f t="shared" si="196"/>
        <v>JinabiNabiliAkbar</v>
      </c>
      <c r="E1852" s="40"/>
      <c r="F1852" s="14"/>
      <c r="G1852" s="17"/>
      <c r="H1852" s="10" t="s">
        <v>8563</v>
      </c>
      <c r="I1852" s="4" t="str">
        <f t="shared" si="197"/>
        <v>|Jináb-i-Nabíl-i-Akbar|</v>
      </c>
      <c r="J1852" s="3" t="str">
        <f t="shared" si="198"/>
        <v>|Jinab-i-Nabil-i-Akbar|</v>
      </c>
      <c r="K1852" s="3" t="str">
        <f t="shared" si="199"/>
        <v>Jinab-i-Nabil-i-Akbar</v>
      </c>
      <c r="N1852" s="39" t="str">
        <f t="shared" si="200"/>
        <v/>
      </c>
      <c r="P1852" s="39" t="str">
        <f t="shared" si="201"/>
        <v/>
      </c>
      <c r="R1852" s="39" t="str">
        <f t="shared" si="202"/>
        <v/>
      </c>
      <c r="S1852" s="28"/>
      <c r="T1852" s="28"/>
      <c r="U1852" s="28"/>
    </row>
    <row r="1853" spans="1:21" s="5" customFormat="1">
      <c r="A1853" s="179" t="s">
        <v>2261</v>
      </c>
      <c r="B1853" s="185" t="s">
        <v>6466</v>
      </c>
      <c r="C1853" s="35" t="str">
        <f t="shared" si="196"/>
        <v>JinabiQuddus</v>
      </c>
      <c r="E1853" s="40"/>
      <c r="F1853" s="14"/>
      <c r="G1853" s="17"/>
      <c r="H1853" s="10" t="s">
        <v>8563</v>
      </c>
      <c r="I1853" s="4" t="str">
        <f t="shared" si="197"/>
        <v>|Jináb-i-Quddús|</v>
      </c>
      <c r="J1853" s="3" t="str">
        <f t="shared" si="198"/>
        <v>|Jinab-i-Quddus|</v>
      </c>
      <c r="K1853" s="3" t="str">
        <f t="shared" si="199"/>
        <v>Jinab-i-Quddus</v>
      </c>
      <c r="N1853" s="39" t="str">
        <f t="shared" si="200"/>
        <v/>
      </c>
      <c r="P1853" s="39" t="str">
        <f t="shared" si="201"/>
        <v/>
      </c>
      <c r="R1853" s="39" t="str">
        <f t="shared" si="202"/>
        <v/>
      </c>
      <c r="S1853" s="28"/>
      <c r="T1853" s="28"/>
      <c r="U1853" s="28"/>
    </row>
    <row r="1854" spans="1:21" s="5" customFormat="1">
      <c r="A1854" s="179" t="s">
        <v>2262</v>
      </c>
      <c r="B1854" s="185" t="s">
        <v>6467</v>
      </c>
      <c r="C1854" s="35" t="str">
        <f t="shared" si="196"/>
        <v>JinabiSamandar</v>
      </c>
      <c r="E1854" s="40"/>
      <c r="F1854" s="15"/>
      <c r="G1854" s="17"/>
      <c r="H1854" s="10" t="s">
        <v>8563</v>
      </c>
      <c r="I1854" s="4" t="str">
        <f t="shared" si="197"/>
        <v>|Jináb-i-Samandar|</v>
      </c>
      <c r="J1854" s="3" t="str">
        <f t="shared" si="198"/>
        <v>|Jinab-i-Samandar|</v>
      </c>
      <c r="K1854" s="3" t="str">
        <f t="shared" si="199"/>
        <v>Jinab-i-Samandar</v>
      </c>
      <c r="N1854" s="39" t="str">
        <f t="shared" si="200"/>
        <v/>
      </c>
      <c r="P1854" s="39" t="str">
        <f t="shared" si="201"/>
        <v/>
      </c>
      <c r="R1854" s="39" t="str">
        <f t="shared" si="202"/>
        <v/>
      </c>
      <c r="S1854" s="28"/>
      <c r="T1854" s="28"/>
      <c r="U1854" s="28"/>
    </row>
    <row r="1855" spans="1:21" s="5" customFormat="1">
      <c r="A1855" s="179" t="s">
        <v>2263</v>
      </c>
      <c r="B1855" s="185" t="s">
        <v>6468</v>
      </c>
      <c r="C1855" s="35" t="str">
        <f t="shared" si="196"/>
        <v>JinabiSamandari</v>
      </c>
      <c r="E1855" s="40"/>
      <c r="F1855" s="15"/>
      <c r="G1855" s="17"/>
      <c r="H1855" s="10" t="s">
        <v>8563</v>
      </c>
      <c r="I1855" s="4" t="str">
        <f t="shared" si="197"/>
        <v>|Jináb-i-Samandarí|</v>
      </c>
      <c r="J1855" s="3" t="str">
        <f t="shared" si="198"/>
        <v>|Jinab-i-Samandari|</v>
      </c>
      <c r="K1855" s="3" t="str">
        <f t="shared" si="199"/>
        <v>Jinab-i-Samandari</v>
      </c>
      <c r="N1855" s="39" t="str">
        <f t="shared" si="200"/>
        <v/>
      </c>
      <c r="P1855" s="39" t="str">
        <f t="shared" si="201"/>
        <v/>
      </c>
      <c r="R1855" s="39" t="str">
        <f t="shared" si="202"/>
        <v/>
      </c>
      <c r="S1855" s="28"/>
      <c r="T1855" s="28"/>
      <c r="U1855" s="28"/>
    </row>
    <row r="1856" spans="1:21" s="5" customFormat="1">
      <c r="A1856" s="179" t="s">
        <v>2264</v>
      </c>
      <c r="B1856" s="185" t="s">
        <v>6469</v>
      </c>
      <c r="C1856" s="35" t="str">
        <f t="shared" si="196"/>
        <v>JinabiSayyah</v>
      </c>
      <c r="E1856" s="40"/>
      <c r="F1856" s="15"/>
      <c r="G1856" s="17"/>
      <c r="H1856" s="10" t="s">
        <v>8563</v>
      </c>
      <c r="I1856" s="4" t="str">
        <f t="shared" si="197"/>
        <v>|Jináb-i-Sayyáḥ|</v>
      </c>
      <c r="J1856" s="3" t="str">
        <f t="shared" si="198"/>
        <v>|Jinab-i-Sayyah|</v>
      </c>
      <c r="K1856" s="3" t="str">
        <f t="shared" si="199"/>
        <v>Jinab-i-Sayyah</v>
      </c>
      <c r="N1856" s="39" t="str">
        <f t="shared" si="200"/>
        <v/>
      </c>
      <c r="P1856" s="39" t="str">
        <f t="shared" si="201"/>
        <v/>
      </c>
      <c r="R1856" s="39" t="str">
        <f t="shared" si="202"/>
        <v/>
      </c>
      <c r="S1856" s="28"/>
      <c r="T1856" s="28"/>
      <c r="U1856" s="28"/>
    </row>
    <row r="1857" spans="1:21" s="5" customFormat="1">
      <c r="A1857" s="179" t="s">
        <v>2265</v>
      </c>
      <c r="B1857" s="185" t="s">
        <v>6470</v>
      </c>
      <c r="C1857" s="35" t="str">
        <f t="shared" si="196"/>
        <v>JinabiShaykh</v>
      </c>
      <c r="E1857" s="40"/>
      <c r="F1857" s="14"/>
      <c r="G1857" s="17"/>
      <c r="H1857" s="10" t="s">
        <v>8563</v>
      </c>
      <c r="I1857" s="4" t="str">
        <f t="shared" si="197"/>
        <v>|Jináb-i-ay|</v>
      </c>
      <c r="J1857" s="3" t="str">
        <f t="shared" si="198"/>
        <v>|Jinab-i-Shaykh|</v>
      </c>
      <c r="K1857" s="3" t="str">
        <f t="shared" si="199"/>
        <v>Jinab-i-Shaykh</v>
      </c>
      <c r="N1857" s="39" t="str">
        <f t="shared" si="200"/>
        <v/>
      </c>
      <c r="P1857" s="39" t="str">
        <f t="shared" si="201"/>
        <v/>
      </c>
      <c r="R1857" s="39" t="str">
        <f t="shared" si="202"/>
        <v/>
      </c>
      <c r="S1857" s="28"/>
      <c r="T1857" s="28"/>
      <c r="U1857" s="28"/>
    </row>
    <row r="1858" spans="1:21" s="5" customFormat="1">
      <c r="A1858" s="179" t="s">
        <v>2266</v>
      </c>
      <c r="B1858" s="185" t="s">
        <v>6471</v>
      </c>
      <c r="C1858" s="35" t="str">
        <f t="shared" si="196"/>
        <v>JinabiSiyyid</v>
      </c>
      <c r="E1858" s="40"/>
      <c r="F1858" s="15"/>
      <c r="G1858" s="17"/>
      <c r="H1858" s="10" t="s">
        <v>8563</v>
      </c>
      <c r="I1858" s="4" t="str">
        <f t="shared" si="197"/>
        <v>|Jináb-i-Siyyid|</v>
      </c>
      <c r="J1858" s="3" t="str">
        <f t="shared" si="198"/>
        <v>|Jinab-i-Siyyid|</v>
      </c>
      <c r="K1858" s="3" t="str">
        <f t="shared" si="199"/>
        <v>Jinab-i-Siyyid</v>
      </c>
      <c r="N1858" s="39" t="str">
        <f t="shared" si="200"/>
        <v/>
      </c>
      <c r="P1858" s="39" t="str">
        <f t="shared" si="201"/>
        <v/>
      </c>
      <c r="R1858" s="39" t="str">
        <f t="shared" si="202"/>
        <v/>
      </c>
      <c r="S1858" s="28"/>
      <c r="T1858" s="28"/>
      <c r="U1858" s="28"/>
    </row>
    <row r="1859" spans="1:21" s="5" customFormat="1">
      <c r="A1859" s="179" t="s">
        <v>2267</v>
      </c>
      <c r="B1859" s="185" t="s">
        <v>6472</v>
      </c>
      <c r="C1859" s="35" t="str">
        <f t="shared" ref="C1859:C1921" si="203">SUBSTITUTE(SUBSTITUTE(K1859,"-","")," ","")</f>
        <v>JinabiTahirih</v>
      </c>
      <c r="E1859" s="40"/>
      <c r="F1859" s="15"/>
      <c r="G1859" s="17"/>
      <c r="H1859" s="10" t="s">
        <v>8563</v>
      </c>
      <c r="I1859" s="4" t="str">
        <f t="shared" ref="I1859:I1921" si="204">CONCATENATE("|",B1859,"|")</f>
        <v>|Jináb-i-Ṭáhirih|</v>
      </c>
      <c r="J1859" s="3" t="str">
        <f t="shared" ref="J1859:J1921" si="205">CONCATENATE("|",F_OutputASCII(B1859),"|")</f>
        <v>|Jinab-i-Tahirih|</v>
      </c>
      <c r="K1859" s="3" t="str">
        <f t="shared" ref="K1859:K1921" si="206">IF(SUBSTITUTE(MID(J1859,2,LEN(J1859)-2),"'","")&lt;&gt;"",SUBSTITUTE(MID(J1859,2,LEN(J1859)-2),"'",""),"ZZZZZ")</f>
        <v>Jinab-i-Tahirih</v>
      </c>
      <c r="N1859" s="39" t="str">
        <f t="shared" ref="N1859:N1922" si="207">SUBSTITUTE(SUBSTITUTE(SUBSTITUTE(F_OutputASCII(M1859),"-","")," ",""),"'","")</f>
        <v/>
      </c>
      <c r="P1859" s="39" t="str">
        <f t="shared" ref="P1859:P1922" si="208">SUBSTITUTE(SUBSTITUTE(SUBSTITUTE(F_OutputASCII(O1859),"-","")," ",""),"'","")</f>
        <v/>
      </c>
      <c r="R1859" s="39" t="str">
        <f t="shared" si="202"/>
        <v/>
      </c>
      <c r="S1859" s="28"/>
      <c r="T1859" s="28"/>
      <c r="U1859" s="28"/>
    </row>
    <row r="1860" spans="1:21" s="5" customFormat="1">
      <c r="A1860" s="179" t="s">
        <v>2268</v>
      </c>
      <c r="B1860" s="185" t="s">
        <v>6473</v>
      </c>
      <c r="C1860" s="35" t="str">
        <f t="shared" si="203"/>
        <v>JinabiVarqa</v>
      </c>
      <c r="E1860" s="40"/>
      <c r="F1860" s="14"/>
      <c r="G1860" s="17"/>
      <c r="H1860" s="10" t="s">
        <v>8563</v>
      </c>
      <c r="I1860" s="4" t="str">
        <f t="shared" si="204"/>
        <v>|Jináb-i-Varqá|</v>
      </c>
      <c r="J1860" s="3" t="str">
        <f t="shared" si="205"/>
        <v>|Jinab-i-Varqa|</v>
      </c>
      <c r="K1860" s="3" t="str">
        <f t="shared" si="206"/>
        <v>Jinab-i-Varqa</v>
      </c>
      <c r="N1860" s="39" t="str">
        <f t="shared" si="207"/>
        <v/>
      </c>
      <c r="P1860" s="39" t="str">
        <f t="shared" si="208"/>
        <v/>
      </c>
      <c r="R1860" s="39" t="str">
        <f t="shared" ref="R1860:R1922" si="209">SUBSTITUTE(SUBSTITUTE(Q1860,"-","")," ","")</f>
        <v/>
      </c>
      <c r="S1860" s="28"/>
      <c r="T1860" s="28"/>
      <c r="U1860" s="28"/>
    </row>
    <row r="1861" spans="1:21" s="5" customFormat="1">
      <c r="A1861" s="179" t="s">
        <v>2269</v>
      </c>
      <c r="B1861" s="185" t="s">
        <v>6474</v>
      </c>
      <c r="C1861" s="35" t="str">
        <f t="shared" si="203"/>
        <v>JinabiZayn</v>
      </c>
      <c r="E1861" s="40"/>
      <c r="F1861" s="14"/>
      <c r="G1861" s="17"/>
      <c r="H1861" s="10" t="s">
        <v>8563</v>
      </c>
      <c r="I1861" s="4" t="str">
        <f t="shared" si="204"/>
        <v>|Jináb-i-Zayn|</v>
      </c>
      <c r="J1861" s="3" t="str">
        <f t="shared" si="205"/>
        <v>|Jinab-i-Zayn|</v>
      </c>
      <c r="K1861" s="3" t="str">
        <f t="shared" si="206"/>
        <v>Jinab-i-Zayn</v>
      </c>
      <c r="N1861" s="39" t="str">
        <f t="shared" si="207"/>
        <v/>
      </c>
      <c r="P1861" s="39" t="str">
        <f t="shared" si="208"/>
        <v/>
      </c>
      <c r="R1861" s="39" t="str">
        <f t="shared" si="209"/>
        <v/>
      </c>
      <c r="S1861" s="28"/>
      <c r="T1861" s="28"/>
      <c r="U1861" s="28"/>
    </row>
    <row r="1862" spans="1:21" s="5" customFormat="1">
      <c r="A1862" s="179" t="s">
        <v>2270</v>
      </c>
      <c r="B1862" s="185" t="s">
        <v>6475</v>
      </c>
      <c r="C1862" s="35" t="str">
        <f t="shared" si="203"/>
        <v>JinabiZaynulMuqarrabin</v>
      </c>
      <c r="E1862" s="40"/>
      <c r="F1862" s="15"/>
      <c r="G1862" s="17"/>
      <c r="H1862" s="10" t="s">
        <v>8563</v>
      </c>
      <c r="I1862" s="4" t="str">
        <f t="shared" si="204"/>
        <v>|Jináb-i-Zaynu’l-Muqarrabín|</v>
      </c>
      <c r="J1862" s="3" t="str">
        <f t="shared" si="205"/>
        <v>|Jinab-i-Zaynu'l-Muqarrabin|</v>
      </c>
      <c r="K1862" s="3" t="str">
        <f t="shared" si="206"/>
        <v>Jinab-i-Zaynul-Muqarrabin</v>
      </c>
      <c r="N1862" s="39" t="str">
        <f t="shared" si="207"/>
        <v/>
      </c>
      <c r="P1862" s="39" t="str">
        <f t="shared" si="208"/>
        <v/>
      </c>
      <c r="R1862" s="39" t="str">
        <f t="shared" si="209"/>
        <v/>
      </c>
      <c r="S1862" s="28"/>
      <c r="T1862" s="28"/>
      <c r="U1862" s="28"/>
    </row>
    <row r="1863" spans="1:21" s="5" customFormat="1">
      <c r="A1863" s="181"/>
      <c r="B1863" s="185" t="s">
        <v>8627</v>
      </c>
      <c r="C1863" s="35" t="str">
        <f t="shared" si="203"/>
        <v>JismiHuriqliya</v>
      </c>
      <c r="D1863" s="1"/>
      <c r="E1863" s="40"/>
      <c r="F1863" s="12"/>
      <c r="G1863" s="9"/>
      <c r="H1863" s="12" t="s">
        <v>8622</v>
      </c>
      <c r="I1863" s="4" t="str">
        <f t="shared" si="204"/>
        <v>|Jism-i-Húriqlíyá|</v>
      </c>
      <c r="J1863" s="3" t="str">
        <f t="shared" si="205"/>
        <v>|Jism-i-Huriqliya|</v>
      </c>
      <c r="K1863" s="3" t="str">
        <f t="shared" si="206"/>
        <v>Jism-i-Huriqliya</v>
      </c>
      <c r="N1863" s="39" t="str">
        <f t="shared" si="207"/>
        <v/>
      </c>
      <c r="P1863" s="39" t="str">
        <f t="shared" si="208"/>
        <v/>
      </c>
      <c r="R1863" s="39" t="str">
        <f t="shared" si="209"/>
        <v/>
      </c>
      <c r="S1863" s="29">
        <v>41760</v>
      </c>
      <c r="T1863" s="28"/>
      <c r="U1863" s="28"/>
    </row>
    <row r="1864" spans="1:21" s="5" customFormat="1">
      <c r="A1864" s="179" t="s">
        <v>2271</v>
      </c>
      <c r="B1864" s="185" t="s">
        <v>6476</v>
      </c>
      <c r="C1864" s="35" t="str">
        <f t="shared" si="203"/>
        <v>Jub</v>
      </c>
      <c r="E1864" s="40"/>
      <c r="F1864" s="15" t="s">
        <v>2272</v>
      </c>
      <c r="G1864" s="17"/>
      <c r="H1864" s="10" t="s">
        <v>8563</v>
      </c>
      <c r="I1864" s="4" t="str">
        <f t="shared" si="204"/>
        <v>|Júb|</v>
      </c>
      <c r="J1864" s="3" t="str">
        <f t="shared" si="205"/>
        <v>|Jub|</v>
      </c>
      <c r="K1864" s="3" t="str">
        <f t="shared" si="206"/>
        <v>Jub</v>
      </c>
      <c r="N1864" s="39" t="str">
        <f t="shared" si="207"/>
        <v/>
      </c>
      <c r="P1864" s="39" t="str">
        <f t="shared" si="208"/>
        <v/>
      </c>
      <c r="R1864" s="39" t="str">
        <f t="shared" si="209"/>
        <v/>
      </c>
      <c r="S1864" s="28"/>
      <c r="T1864" s="28"/>
      <c r="U1864" s="28"/>
    </row>
    <row r="1865" spans="1:21" s="5" customFormat="1">
      <c r="A1865" s="179" t="s">
        <v>2273</v>
      </c>
      <c r="B1865" s="185" t="s">
        <v>6477</v>
      </c>
      <c r="C1865" s="35" t="str">
        <f t="shared" si="203"/>
        <v>Jubbih</v>
      </c>
      <c r="E1865" s="40"/>
      <c r="F1865" s="14" t="s">
        <v>2274</v>
      </c>
      <c r="G1865" s="17"/>
      <c r="H1865" s="10" t="s">
        <v>8563</v>
      </c>
      <c r="I1865" s="4" t="str">
        <f t="shared" si="204"/>
        <v>|Jubbih|</v>
      </c>
      <c r="J1865" s="3" t="str">
        <f t="shared" si="205"/>
        <v>|Jubbih|</v>
      </c>
      <c r="K1865" s="3" t="str">
        <f t="shared" si="206"/>
        <v>Jubbih</v>
      </c>
      <c r="N1865" s="39" t="str">
        <f t="shared" si="207"/>
        <v/>
      </c>
      <c r="P1865" s="39" t="str">
        <f t="shared" si="208"/>
        <v/>
      </c>
      <c r="R1865" s="39" t="str">
        <f t="shared" si="209"/>
        <v/>
      </c>
      <c r="S1865" s="28"/>
      <c r="T1865" s="28"/>
      <c r="U1865" s="28"/>
    </row>
    <row r="1866" spans="1:21" s="5" customFormat="1">
      <c r="A1866" s="179" t="s">
        <v>2275</v>
      </c>
      <c r="B1866" s="185" t="s">
        <v>6478</v>
      </c>
      <c r="C1866" s="35" t="str">
        <f t="shared" si="203"/>
        <v>Jud</v>
      </c>
      <c r="E1866" s="40"/>
      <c r="F1866" s="14"/>
      <c r="G1866" s="17"/>
      <c r="H1866" s="10" t="s">
        <v>8563</v>
      </c>
      <c r="I1866" s="4" t="str">
        <f t="shared" si="204"/>
        <v>|Júd|</v>
      </c>
      <c r="J1866" s="3" t="str">
        <f t="shared" si="205"/>
        <v>|Jud|</v>
      </c>
      <c r="K1866" s="3" t="str">
        <f t="shared" si="206"/>
        <v>Jud</v>
      </c>
      <c r="N1866" s="39" t="str">
        <f t="shared" si="207"/>
        <v/>
      </c>
      <c r="P1866" s="39" t="str">
        <f t="shared" si="208"/>
        <v/>
      </c>
      <c r="R1866" s="39" t="str">
        <f t="shared" si="209"/>
        <v/>
      </c>
      <c r="S1866" s="28"/>
      <c r="T1866" s="28"/>
      <c r="U1866" s="28"/>
    </row>
    <row r="1867" spans="1:21" s="5" customFormat="1">
      <c r="A1867" s="179" t="s">
        <v>2276</v>
      </c>
      <c r="B1867" s="185" t="s">
        <v>6479</v>
      </c>
      <c r="C1867" s="35" t="str">
        <f t="shared" si="203"/>
        <v>Juda</v>
      </c>
      <c r="E1867" s="40"/>
      <c r="F1867" s="14"/>
      <c r="G1867" s="17"/>
      <c r="H1867" s="10" t="s">
        <v>8563</v>
      </c>
      <c r="I1867" s="4" t="str">
        <f t="shared" si="204"/>
        <v>|Judá|</v>
      </c>
      <c r="J1867" s="3" t="str">
        <f t="shared" si="205"/>
        <v>|Juda|</v>
      </c>
      <c r="K1867" s="3" t="str">
        <f t="shared" si="206"/>
        <v>Juda</v>
      </c>
      <c r="N1867" s="39" t="str">
        <f t="shared" si="207"/>
        <v/>
      </c>
      <c r="P1867" s="39" t="str">
        <f t="shared" si="208"/>
        <v/>
      </c>
      <c r="R1867" s="39" t="str">
        <f t="shared" si="209"/>
        <v/>
      </c>
      <c r="S1867" s="28"/>
      <c r="T1867" s="28"/>
      <c r="U1867" s="28"/>
    </row>
    <row r="1868" spans="1:21" s="5" customFormat="1">
      <c r="A1868" s="179" t="s">
        <v>2277</v>
      </c>
      <c r="B1868" s="185" t="s">
        <v>6480</v>
      </c>
      <c r="C1868" s="35" t="str">
        <f t="shared" si="203"/>
        <v>Jujih</v>
      </c>
      <c r="E1868" s="40"/>
      <c r="F1868" s="15"/>
      <c r="G1868" s="17"/>
      <c r="H1868" s="10" t="s">
        <v>8563</v>
      </c>
      <c r="I1868" s="4" t="str">
        <f t="shared" si="204"/>
        <v>|Jújih|</v>
      </c>
      <c r="J1868" s="3" t="str">
        <f t="shared" si="205"/>
        <v>|Jujih|</v>
      </c>
      <c r="K1868" s="3" t="str">
        <f t="shared" si="206"/>
        <v>Jujih</v>
      </c>
      <c r="N1868" s="39" t="str">
        <f t="shared" si="207"/>
        <v/>
      </c>
      <c r="P1868" s="39" t="str">
        <f t="shared" si="208"/>
        <v/>
      </c>
      <c r="R1868" s="39" t="str">
        <f t="shared" si="209"/>
        <v/>
      </c>
      <c r="S1868" s="28"/>
      <c r="T1868" s="28"/>
      <c r="U1868" s="28"/>
    </row>
    <row r="1869" spans="1:21" s="5" customFormat="1">
      <c r="A1869" s="179" t="s">
        <v>2278</v>
      </c>
      <c r="B1869" s="185" t="s">
        <v>6481</v>
      </c>
      <c r="C1869" s="35" t="str">
        <f t="shared" si="203"/>
        <v>Juk</v>
      </c>
      <c r="E1869" s="40"/>
      <c r="F1869" s="14"/>
      <c r="G1869" s="17"/>
      <c r="H1869" s="10" t="s">
        <v>8563</v>
      </c>
      <c r="I1869" s="4" t="str">
        <f t="shared" si="204"/>
        <v>|Júk|</v>
      </c>
      <c r="J1869" s="3" t="str">
        <f t="shared" si="205"/>
        <v>|Juk|</v>
      </c>
      <c r="K1869" s="3" t="str">
        <f t="shared" si="206"/>
        <v>Juk</v>
      </c>
      <c r="N1869" s="39" t="str">
        <f t="shared" si="207"/>
        <v/>
      </c>
      <c r="P1869" s="39" t="str">
        <f t="shared" si="208"/>
        <v/>
      </c>
      <c r="R1869" s="39" t="str">
        <f t="shared" si="209"/>
        <v/>
      </c>
      <c r="S1869" s="28"/>
      <c r="T1869" s="28"/>
      <c r="U1869" s="28"/>
    </row>
    <row r="1870" spans="1:21" s="5" customFormat="1">
      <c r="A1870" s="179" t="s">
        <v>2279</v>
      </c>
      <c r="B1870" s="185" t="s">
        <v>6482</v>
      </c>
      <c r="C1870" s="35" t="str">
        <f t="shared" si="203"/>
        <v>Julfa</v>
      </c>
      <c r="E1870" s="40"/>
      <c r="F1870" s="14"/>
      <c r="G1870" s="17"/>
      <c r="H1870" s="10" t="s">
        <v>8563</v>
      </c>
      <c r="I1870" s="4" t="str">
        <f t="shared" si="204"/>
        <v>|Julfá|</v>
      </c>
      <c r="J1870" s="3" t="str">
        <f t="shared" si="205"/>
        <v>|Julfa|</v>
      </c>
      <c r="K1870" s="3" t="str">
        <f t="shared" si="206"/>
        <v>Julfa</v>
      </c>
      <c r="N1870" s="39" t="str">
        <f t="shared" si="207"/>
        <v/>
      </c>
      <c r="P1870" s="39" t="str">
        <f t="shared" si="208"/>
        <v/>
      </c>
      <c r="R1870" s="39" t="str">
        <f t="shared" si="209"/>
        <v/>
      </c>
      <c r="S1870" s="28"/>
      <c r="T1870" s="28"/>
      <c r="U1870" s="28"/>
    </row>
    <row r="1871" spans="1:21" s="5" customFormat="1">
      <c r="A1871" s="179" t="s">
        <v>2280</v>
      </c>
      <c r="B1871" s="185" t="s">
        <v>6483</v>
      </c>
      <c r="C1871" s="35" t="str">
        <f t="shared" si="203"/>
        <v>Jumhur</v>
      </c>
      <c r="E1871" s="40"/>
      <c r="F1871" s="15" t="s">
        <v>2281</v>
      </c>
      <c r="G1871" s="17"/>
      <c r="H1871" s="10" t="s">
        <v>8563</v>
      </c>
      <c r="I1871" s="4" t="str">
        <f t="shared" si="204"/>
        <v>|Jumhúr|</v>
      </c>
      <c r="J1871" s="3" t="str">
        <f t="shared" si="205"/>
        <v>|Jumhur|</v>
      </c>
      <c r="K1871" s="3" t="str">
        <f t="shared" si="206"/>
        <v>Jumhur</v>
      </c>
      <c r="N1871" s="39" t="str">
        <f t="shared" si="207"/>
        <v/>
      </c>
      <c r="P1871" s="39" t="str">
        <f t="shared" si="208"/>
        <v/>
      </c>
      <c r="R1871" s="39" t="str">
        <f t="shared" si="209"/>
        <v/>
      </c>
      <c r="S1871" s="28"/>
      <c r="T1871" s="28"/>
      <c r="U1871" s="28"/>
    </row>
    <row r="1872" spans="1:21" s="5" customFormat="1">
      <c r="A1872" s="179" t="s">
        <v>2282</v>
      </c>
      <c r="B1872" s="185" t="s">
        <v>6484</v>
      </c>
      <c r="C1872" s="35" t="str">
        <f t="shared" si="203"/>
        <v>Jumih</v>
      </c>
      <c r="E1872" s="40"/>
      <c r="F1872" s="15"/>
      <c r="G1872" s="17"/>
      <c r="H1872" s="10" t="s">
        <v>8563</v>
      </c>
      <c r="I1872" s="4" t="str">
        <f t="shared" si="204"/>
        <v>|Jumʿih|</v>
      </c>
      <c r="J1872" s="3" t="str">
        <f t="shared" si="205"/>
        <v>|Jum'ih|</v>
      </c>
      <c r="K1872" s="3" t="str">
        <f t="shared" si="206"/>
        <v>Jumih</v>
      </c>
      <c r="N1872" s="39" t="str">
        <f t="shared" si="207"/>
        <v/>
      </c>
      <c r="P1872" s="39" t="str">
        <f t="shared" si="208"/>
        <v/>
      </c>
      <c r="R1872" s="39" t="str">
        <f t="shared" si="209"/>
        <v/>
      </c>
      <c r="S1872" s="28"/>
      <c r="T1872" s="28"/>
      <c r="U1872" s="28"/>
    </row>
    <row r="1873" spans="1:21" s="5" customFormat="1">
      <c r="A1873" s="179" t="s">
        <v>2283</v>
      </c>
      <c r="B1873" s="185" t="s">
        <v>6485</v>
      </c>
      <c r="C1873" s="35" t="str">
        <f t="shared" si="203"/>
        <v>JumihBazar</v>
      </c>
      <c r="E1873" s="40"/>
      <c r="F1873" s="15"/>
      <c r="G1873" s="17"/>
      <c r="H1873" s="10" t="s">
        <v>8563</v>
      </c>
      <c r="I1873" s="4" t="str">
        <f t="shared" si="204"/>
        <v>|Jumʿih-Bázár|</v>
      </c>
      <c r="J1873" s="3" t="str">
        <f t="shared" si="205"/>
        <v>|Jum'ih-Bazar|</v>
      </c>
      <c r="K1873" s="3" t="str">
        <f t="shared" si="206"/>
        <v>Jumih-Bazar</v>
      </c>
      <c r="N1873" s="39" t="str">
        <f t="shared" si="207"/>
        <v/>
      </c>
      <c r="P1873" s="39" t="str">
        <f t="shared" si="208"/>
        <v/>
      </c>
      <c r="R1873" s="39" t="str">
        <f t="shared" si="209"/>
        <v/>
      </c>
      <c r="S1873" s="28"/>
      <c r="T1873" s="28"/>
      <c r="U1873" s="28"/>
    </row>
    <row r="1874" spans="1:21" s="5" customFormat="1">
      <c r="A1874" s="179" t="s">
        <v>2284</v>
      </c>
      <c r="B1874" s="185" t="s">
        <v>6486</v>
      </c>
      <c r="C1874" s="35" t="str">
        <f t="shared" si="203"/>
        <v>Jurji</v>
      </c>
      <c r="E1874" s="40"/>
      <c r="F1874" s="14"/>
      <c r="G1874" s="17"/>
      <c r="H1874" s="10" t="s">
        <v>8563</v>
      </c>
      <c r="I1874" s="4" t="str">
        <f t="shared" si="204"/>
        <v>|Jurjí|</v>
      </c>
      <c r="J1874" s="3" t="str">
        <f t="shared" si="205"/>
        <v>|Jurji|</v>
      </c>
      <c r="K1874" s="3" t="str">
        <f t="shared" si="206"/>
        <v>Jurji</v>
      </c>
      <c r="N1874" s="39" t="str">
        <f t="shared" si="207"/>
        <v/>
      </c>
      <c r="P1874" s="39" t="str">
        <f t="shared" si="208"/>
        <v/>
      </c>
      <c r="R1874" s="39" t="str">
        <f t="shared" si="209"/>
        <v/>
      </c>
      <c r="S1874" s="28"/>
      <c r="T1874" s="28"/>
      <c r="U1874" s="28"/>
    </row>
    <row r="1875" spans="1:21" s="5" customFormat="1">
      <c r="A1875" s="179" t="s">
        <v>2285</v>
      </c>
      <c r="B1875" s="185" t="s">
        <v>6487</v>
      </c>
      <c r="C1875" s="35" t="str">
        <f t="shared" si="203"/>
        <v>Kab</v>
      </c>
      <c r="E1875" s="40"/>
      <c r="F1875" s="14"/>
      <c r="G1875" s="17"/>
      <c r="H1875" s="10" t="s">
        <v>8563</v>
      </c>
      <c r="I1875" s="4" t="str">
        <f t="shared" si="204"/>
        <v>|Kaʿb|</v>
      </c>
      <c r="J1875" s="3" t="str">
        <f t="shared" si="205"/>
        <v>|Ka'b|</v>
      </c>
      <c r="K1875" s="3" t="str">
        <f t="shared" si="206"/>
        <v>Kab</v>
      </c>
      <c r="N1875" s="39" t="str">
        <f t="shared" si="207"/>
        <v/>
      </c>
      <c r="P1875" s="39" t="str">
        <f t="shared" si="208"/>
        <v/>
      </c>
      <c r="R1875" s="39" t="str">
        <f t="shared" si="209"/>
        <v/>
      </c>
      <c r="S1875" s="28"/>
      <c r="T1875" s="28"/>
      <c r="U1875" s="28"/>
    </row>
    <row r="1876" spans="1:21" s="5" customFormat="1">
      <c r="A1876" s="179" t="s">
        <v>2286</v>
      </c>
      <c r="B1876" s="185" t="s">
        <v>6488</v>
      </c>
      <c r="C1876" s="35" t="str">
        <f t="shared" si="203"/>
        <v>KabibniAshraf</v>
      </c>
      <c r="E1876" s="40"/>
      <c r="F1876" s="14"/>
      <c r="G1876" s="17"/>
      <c r="H1876" s="10" t="s">
        <v>8563</v>
      </c>
      <c r="I1876" s="4" t="str">
        <f t="shared" si="204"/>
        <v>|Kaʿb-ibn-i-Araf|</v>
      </c>
      <c r="J1876" s="3" t="str">
        <f t="shared" si="205"/>
        <v>|Ka'b-ibn-i-Ashraf|</v>
      </c>
      <c r="K1876" s="3" t="str">
        <f t="shared" si="206"/>
        <v>Kab-ibn-i-Ashraf</v>
      </c>
      <c r="N1876" s="39" t="str">
        <f t="shared" si="207"/>
        <v/>
      </c>
      <c r="P1876" s="39" t="str">
        <f t="shared" si="208"/>
        <v/>
      </c>
      <c r="R1876" s="39" t="str">
        <f t="shared" si="209"/>
        <v/>
      </c>
      <c r="S1876" s="28"/>
      <c r="T1876" s="28"/>
      <c r="U1876" s="28"/>
    </row>
    <row r="1877" spans="1:21" s="5" customFormat="1">
      <c r="A1877" s="179" t="s">
        <v>2287</v>
      </c>
      <c r="B1877" s="185" t="s">
        <v>6489</v>
      </c>
      <c r="C1877" s="35" t="str">
        <f t="shared" si="203"/>
        <v>Kabih</v>
      </c>
      <c r="E1877" s="40"/>
      <c r="F1877" s="14" t="s">
        <v>2288</v>
      </c>
      <c r="G1877" s="17"/>
      <c r="H1877" s="10" t="s">
        <v>8563</v>
      </c>
      <c r="I1877" s="4" t="str">
        <f t="shared" si="204"/>
        <v>|Kaʿbih|</v>
      </c>
      <c r="J1877" s="3" t="str">
        <f t="shared" si="205"/>
        <v>|Ka'bih|</v>
      </c>
      <c r="K1877" s="3" t="str">
        <f t="shared" si="206"/>
        <v>Kabih</v>
      </c>
      <c r="N1877" s="39" t="str">
        <f t="shared" si="207"/>
        <v/>
      </c>
      <c r="P1877" s="39" t="str">
        <f t="shared" si="208"/>
        <v/>
      </c>
      <c r="R1877" s="39" t="str">
        <f t="shared" si="209"/>
        <v/>
      </c>
      <c r="S1877" s="28"/>
      <c r="T1877" s="28"/>
      <c r="U1877" s="28"/>
    </row>
    <row r="1878" spans="1:21" s="5" customFormat="1">
      <c r="A1878" s="179" t="s">
        <v>2289</v>
      </c>
      <c r="B1878" s="185" t="s">
        <v>6490</v>
      </c>
      <c r="C1878" s="35" t="str">
        <f t="shared" si="203"/>
        <v>Kabir</v>
      </c>
      <c r="E1878" s="40"/>
      <c r="F1878" s="14" t="s">
        <v>2290</v>
      </c>
      <c r="G1878" s="17"/>
      <c r="H1878" s="10" t="s">
        <v>8563</v>
      </c>
      <c r="I1878" s="4" t="str">
        <f t="shared" si="204"/>
        <v>|Kabír|</v>
      </c>
      <c r="J1878" s="3" t="str">
        <f t="shared" si="205"/>
        <v>|Kabir|</v>
      </c>
      <c r="K1878" s="3" t="str">
        <f t="shared" si="206"/>
        <v>Kabir</v>
      </c>
      <c r="N1878" s="39" t="str">
        <f t="shared" si="207"/>
        <v/>
      </c>
      <c r="P1878" s="39" t="str">
        <f t="shared" si="208"/>
        <v/>
      </c>
      <c r="R1878" s="39" t="str">
        <f t="shared" si="209"/>
        <v/>
      </c>
      <c r="S1878" s="28"/>
      <c r="T1878" s="28"/>
      <c r="U1878" s="28"/>
    </row>
    <row r="1879" spans="1:21" s="5" customFormat="1">
      <c r="A1879" s="179" t="s">
        <v>2291</v>
      </c>
      <c r="B1879" s="185" t="s">
        <v>6491</v>
      </c>
      <c r="C1879" s="35" t="str">
        <f t="shared" si="203"/>
        <v>Kabul</v>
      </c>
      <c r="E1879" s="40"/>
      <c r="F1879" s="14"/>
      <c r="G1879" s="17"/>
      <c r="H1879" s="10" t="s">
        <v>8563</v>
      </c>
      <c r="I1879" s="4" t="str">
        <f t="shared" si="204"/>
        <v>|Kábul|</v>
      </c>
      <c r="J1879" s="3" t="str">
        <f t="shared" si="205"/>
        <v>|Kabul|</v>
      </c>
      <c r="K1879" s="3" t="str">
        <f t="shared" si="206"/>
        <v>Kabul</v>
      </c>
      <c r="N1879" s="39" t="str">
        <f t="shared" si="207"/>
        <v/>
      </c>
      <c r="P1879" s="39" t="str">
        <f t="shared" si="208"/>
        <v/>
      </c>
      <c r="R1879" s="39" t="str">
        <f t="shared" si="209"/>
        <v/>
      </c>
      <c r="S1879" s="28"/>
      <c r="T1879" s="28"/>
      <c r="U1879" s="28"/>
    </row>
    <row r="1880" spans="1:21" s="5" customFormat="1">
      <c r="A1880" s="179" t="s">
        <v>2292</v>
      </c>
      <c r="B1880" s="185" t="s">
        <v>6492</v>
      </c>
      <c r="C1880" s="35" t="str">
        <f t="shared" si="203"/>
        <v>KadKhuda</v>
      </c>
      <c r="E1880" s="40"/>
      <c r="F1880" s="14"/>
      <c r="G1880" s="17"/>
      <c r="H1880" s="10" t="s">
        <v>8563</v>
      </c>
      <c r="I1880" s="4" t="str">
        <f t="shared" si="204"/>
        <v>|Kad-udá|</v>
      </c>
      <c r="J1880" s="3" t="str">
        <f t="shared" si="205"/>
        <v>|Kad-Khuda|</v>
      </c>
      <c r="K1880" s="3" t="str">
        <f t="shared" si="206"/>
        <v>Kad-Khuda</v>
      </c>
      <c r="N1880" s="39" t="str">
        <f t="shared" si="207"/>
        <v/>
      </c>
      <c r="P1880" s="39" t="str">
        <f t="shared" si="208"/>
        <v/>
      </c>
      <c r="R1880" s="39" t="str">
        <f t="shared" si="209"/>
        <v/>
      </c>
      <c r="S1880" s="28"/>
      <c r="T1880" s="28"/>
      <c r="U1880" s="28"/>
    </row>
    <row r="1881" spans="1:21" s="5" customFormat="1">
      <c r="A1881" s="179" t="s">
        <v>2293</v>
      </c>
      <c r="B1881" s="185" t="s">
        <v>6493</v>
      </c>
      <c r="C1881" s="35" t="str">
        <f t="shared" si="203"/>
        <v>Kaf</v>
      </c>
      <c r="E1881" s="40"/>
      <c r="F1881" s="14"/>
      <c r="G1881" s="17"/>
      <c r="H1881" s="10" t="s">
        <v>8563</v>
      </c>
      <c r="I1881" s="4" t="str">
        <f t="shared" si="204"/>
        <v>|Káf|</v>
      </c>
      <c r="J1881" s="3" t="str">
        <f t="shared" si="205"/>
        <v>|Kaf|</v>
      </c>
      <c r="K1881" s="3" t="str">
        <f t="shared" si="206"/>
        <v>Kaf</v>
      </c>
      <c r="N1881" s="39" t="str">
        <f t="shared" si="207"/>
        <v/>
      </c>
      <c r="P1881" s="39" t="str">
        <f t="shared" si="208"/>
        <v/>
      </c>
      <c r="R1881" s="39" t="str">
        <f t="shared" si="209"/>
        <v/>
      </c>
      <c r="S1881" s="28"/>
      <c r="T1881" s="28"/>
      <c r="U1881" s="28"/>
    </row>
    <row r="1882" spans="1:21" s="5" customFormat="1">
      <c r="A1882" s="179" t="s">
        <v>2294</v>
      </c>
      <c r="B1882" s="185" t="s">
        <v>6494</v>
      </c>
      <c r="C1882" s="35" t="str">
        <f t="shared" si="203"/>
        <v>Kafi</v>
      </c>
      <c r="E1882" s="40"/>
      <c r="F1882" s="14"/>
      <c r="G1882" s="17"/>
      <c r="H1882" s="10" t="s">
        <v>8563</v>
      </c>
      <c r="I1882" s="4" t="str">
        <f t="shared" si="204"/>
        <v>|Káfí|</v>
      </c>
      <c r="J1882" s="3" t="str">
        <f t="shared" si="205"/>
        <v>|Kafi|</v>
      </c>
      <c r="K1882" s="3" t="str">
        <f t="shared" si="206"/>
        <v>Kafi</v>
      </c>
      <c r="N1882" s="39" t="str">
        <f t="shared" si="207"/>
        <v/>
      </c>
      <c r="P1882" s="39" t="str">
        <f t="shared" si="208"/>
        <v/>
      </c>
      <c r="R1882" s="39" t="str">
        <f t="shared" si="209"/>
        <v/>
      </c>
      <c r="S1882" s="28"/>
      <c r="T1882" s="28"/>
      <c r="U1882" s="28"/>
    </row>
    <row r="1883" spans="1:21" s="5" customFormat="1">
      <c r="A1883" s="179" t="s">
        <v>2295</v>
      </c>
      <c r="B1883" s="185" t="s">
        <v>6495</v>
      </c>
      <c r="C1883" s="35" t="str">
        <f t="shared" si="203"/>
        <v>Kafir</v>
      </c>
      <c r="E1883" s="40"/>
      <c r="F1883" s="15" t="s">
        <v>2296</v>
      </c>
      <c r="G1883" s="17"/>
      <c r="H1883" s="10" t="s">
        <v>8563</v>
      </c>
      <c r="I1883" s="4" t="str">
        <f t="shared" si="204"/>
        <v>|Káfir|</v>
      </c>
      <c r="J1883" s="3" t="str">
        <f t="shared" si="205"/>
        <v>|Kafir|</v>
      </c>
      <c r="K1883" s="3" t="str">
        <f t="shared" si="206"/>
        <v>Kafir</v>
      </c>
      <c r="N1883" s="39" t="str">
        <f t="shared" si="207"/>
        <v/>
      </c>
      <c r="P1883" s="39" t="str">
        <f t="shared" si="208"/>
        <v/>
      </c>
      <c r="R1883" s="39" t="str">
        <f t="shared" si="209"/>
        <v/>
      </c>
      <c r="S1883" s="28"/>
      <c r="T1883" s="28"/>
      <c r="U1883" s="28"/>
    </row>
    <row r="1884" spans="1:21" s="5" customFormat="1">
      <c r="A1884" s="179" t="s">
        <v>2297</v>
      </c>
      <c r="B1884" s="185" t="s">
        <v>6496</v>
      </c>
      <c r="C1884" s="35" t="str">
        <f t="shared" si="203"/>
        <v>Kafirun</v>
      </c>
      <c r="E1884" s="40"/>
      <c r="F1884" s="15" t="s">
        <v>683</v>
      </c>
      <c r="G1884" s="17"/>
      <c r="H1884" s="10" t="s">
        <v>8563</v>
      </c>
      <c r="I1884" s="4" t="str">
        <f t="shared" si="204"/>
        <v>|Káfirún|</v>
      </c>
      <c r="J1884" s="3" t="str">
        <f t="shared" si="205"/>
        <v>|Kafirun|</v>
      </c>
      <c r="K1884" s="3" t="str">
        <f t="shared" si="206"/>
        <v>Kafirun</v>
      </c>
      <c r="N1884" s="39" t="str">
        <f t="shared" si="207"/>
        <v/>
      </c>
      <c r="P1884" s="39" t="str">
        <f t="shared" si="208"/>
        <v/>
      </c>
      <c r="R1884" s="39" t="str">
        <f t="shared" si="209"/>
        <v/>
      </c>
      <c r="S1884" s="28"/>
      <c r="T1884" s="28"/>
      <c r="U1884" s="28"/>
    </row>
    <row r="1885" spans="1:21" s="5" customFormat="1">
      <c r="A1885" s="179" t="s">
        <v>2298</v>
      </c>
      <c r="B1885" s="185" t="s">
        <v>6497</v>
      </c>
      <c r="C1885" s="35" t="str">
        <f t="shared" si="203"/>
        <v>Kafiyih</v>
      </c>
      <c r="E1885" s="40"/>
      <c r="F1885" s="15"/>
      <c r="G1885" s="17"/>
      <c r="H1885" s="10" t="s">
        <v>8563</v>
      </c>
      <c r="I1885" s="4" t="str">
        <f t="shared" si="204"/>
        <v>|Káfíyih|</v>
      </c>
      <c r="J1885" s="3" t="str">
        <f t="shared" si="205"/>
        <v>|Kafiyih|</v>
      </c>
      <c r="K1885" s="3" t="str">
        <f t="shared" si="206"/>
        <v>Kafiyih</v>
      </c>
      <c r="N1885" s="39" t="str">
        <f t="shared" si="207"/>
        <v/>
      </c>
      <c r="P1885" s="39" t="str">
        <f t="shared" si="208"/>
        <v/>
      </c>
      <c r="R1885" s="39" t="str">
        <f t="shared" si="209"/>
        <v/>
      </c>
      <c r="S1885" s="28"/>
      <c r="T1885" s="28"/>
      <c r="U1885" s="28"/>
    </row>
    <row r="1886" spans="1:21" s="5" customFormat="1">
      <c r="A1886" s="179" t="s">
        <v>2299</v>
      </c>
      <c r="B1886" s="185" t="s">
        <v>6498</v>
      </c>
      <c r="C1886" s="35" t="str">
        <f t="shared" si="203"/>
        <v>KaflanKuh</v>
      </c>
      <c r="E1886" s="40"/>
      <c r="F1886" s="14"/>
      <c r="G1886" s="17"/>
      <c r="H1886" s="10" t="s">
        <v>8563</v>
      </c>
      <c r="I1886" s="4" t="str">
        <f t="shared" si="204"/>
        <v>|Kaflan-Kúh|</v>
      </c>
      <c r="J1886" s="3" t="str">
        <f t="shared" si="205"/>
        <v>|Kaflan-Kuh|</v>
      </c>
      <c r="K1886" s="3" t="str">
        <f t="shared" si="206"/>
        <v>Kaflan-Kuh</v>
      </c>
      <c r="N1886" s="39" t="str">
        <f t="shared" si="207"/>
        <v/>
      </c>
      <c r="P1886" s="39" t="str">
        <f t="shared" si="208"/>
        <v/>
      </c>
      <c r="R1886" s="39" t="str">
        <f t="shared" si="209"/>
        <v/>
      </c>
      <c r="S1886" s="28"/>
      <c r="T1886" s="28"/>
      <c r="U1886" s="28"/>
    </row>
    <row r="1887" spans="1:21" s="5" customFormat="1">
      <c r="A1887" s="179" t="s">
        <v>2300</v>
      </c>
      <c r="B1887" s="185" t="s">
        <v>6499</v>
      </c>
      <c r="C1887" s="35" t="str">
        <f t="shared" si="203"/>
        <v>Kafur</v>
      </c>
      <c r="E1887" s="40"/>
      <c r="F1887" s="15" t="s">
        <v>2301</v>
      </c>
      <c r="G1887" s="17"/>
      <c r="H1887" s="10" t="s">
        <v>8563</v>
      </c>
      <c r="I1887" s="4" t="str">
        <f t="shared" si="204"/>
        <v>|Káfúr|</v>
      </c>
      <c r="J1887" s="3" t="str">
        <f t="shared" si="205"/>
        <v>|Kafur|</v>
      </c>
      <c r="K1887" s="3" t="str">
        <f t="shared" si="206"/>
        <v>Kafur</v>
      </c>
      <c r="N1887" s="39" t="str">
        <f t="shared" si="207"/>
        <v/>
      </c>
      <c r="P1887" s="39" t="str">
        <f t="shared" si="208"/>
        <v/>
      </c>
      <c r="R1887" s="39" t="str">
        <f t="shared" si="209"/>
        <v/>
      </c>
      <c r="S1887" s="28"/>
      <c r="T1887" s="28"/>
      <c r="U1887" s="28"/>
    </row>
    <row r="1888" spans="1:21" s="5" customFormat="1">
      <c r="A1888" s="179" t="s">
        <v>2302</v>
      </c>
      <c r="B1888" s="185" t="s">
        <v>6500</v>
      </c>
      <c r="C1888" s="35" t="str">
        <f t="shared" si="203"/>
        <v>Kahin</v>
      </c>
      <c r="E1888" s="40"/>
      <c r="F1888" s="15"/>
      <c r="G1888" s="17"/>
      <c r="H1888" s="10" t="s">
        <v>8563</v>
      </c>
      <c r="I1888" s="4" t="str">
        <f t="shared" si="204"/>
        <v>|Káhin|</v>
      </c>
      <c r="J1888" s="3" t="str">
        <f t="shared" si="205"/>
        <v>|Kahin|</v>
      </c>
      <c r="K1888" s="3" t="str">
        <f t="shared" si="206"/>
        <v>Kahin</v>
      </c>
      <c r="N1888" s="39" t="str">
        <f t="shared" si="207"/>
        <v/>
      </c>
      <c r="P1888" s="39" t="str">
        <f t="shared" si="208"/>
        <v/>
      </c>
      <c r="R1888" s="39" t="str">
        <f t="shared" si="209"/>
        <v/>
      </c>
      <c r="S1888" s="28"/>
      <c r="T1888" s="28"/>
      <c r="U1888" s="28"/>
    </row>
    <row r="1889" spans="1:21" s="5" customFormat="1">
      <c r="A1889" s="179" t="s">
        <v>2303</v>
      </c>
      <c r="B1889" s="185" t="s">
        <v>6501</v>
      </c>
      <c r="C1889" s="35" t="str">
        <f t="shared" si="203"/>
        <v>Kahrubai</v>
      </c>
      <c r="E1889" s="40"/>
      <c r="F1889" s="15"/>
      <c r="G1889" s="17"/>
      <c r="H1889" s="10" t="s">
        <v>8563</v>
      </c>
      <c r="I1889" s="4" t="str">
        <f t="shared" si="204"/>
        <v>|Kahrubá’í|</v>
      </c>
      <c r="J1889" s="3" t="str">
        <f t="shared" si="205"/>
        <v>|Kahruba'i|</v>
      </c>
      <c r="K1889" s="3" t="str">
        <f t="shared" si="206"/>
        <v>Kahrubai</v>
      </c>
      <c r="N1889" s="39" t="str">
        <f t="shared" si="207"/>
        <v/>
      </c>
      <c r="P1889" s="39" t="str">
        <f t="shared" si="208"/>
        <v/>
      </c>
      <c r="R1889" s="39" t="str">
        <f t="shared" si="209"/>
        <v/>
      </c>
      <c r="S1889" s="28"/>
      <c r="T1889" s="28"/>
      <c r="U1889" s="28"/>
    </row>
    <row r="1890" spans="1:21" s="5" customFormat="1">
      <c r="A1890" s="179" t="s">
        <v>2304</v>
      </c>
      <c r="B1890" s="185" t="s">
        <v>6502</v>
      </c>
      <c r="C1890" s="35" t="str">
        <f t="shared" si="203"/>
        <v>Kajavih</v>
      </c>
      <c r="E1890" s="40"/>
      <c r="F1890" s="15" t="s">
        <v>2305</v>
      </c>
      <c r="G1890" s="17"/>
      <c r="H1890" s="10" t="s">
        <v>8563</v>
      </c>
      <c r="I1890" s="4" t="str">
        <f t="shared" si="204"/>
        <v>|Kajávih|</v>
      </c>
      <c r="J1890" s="3" t="str">
        <f t="shared" si="205"/>
        <v>|Kajavih|</v>
      </c>
      <c r="K1890" s="3" t="str">
        <f t="shared" si="206"/>
        <v>Kajavih</v>
      </c>
      <c r="N1890" s="39" t="str">
        <f t="shared" si="207"/>
        <v/>
      </c>
      <c r="P1890" s="39" t="str">
        <f t="shared" si="208"/>
        <v/>
      </c>
      <c r="R1890" s="39" t="str">
        <f t="shared" si="209"/>
        <v/>
      </c>
      <c r="S1890" s="28"/>
      <c r="T1890" s="28"/>
      <c r="U1890" s="28"/>
    </row>
    <row r="1891" spans="1:21" s="5" customFormat="1">
      <c r="A1891" s="179" t="s">
        <v>2306</v>
      </c>
      <c r="B1891" s="185" t="s">
        <v>6503</v>
      </c>
      <c r="C1891" s="35" t="str">
        <f t="shared" si="203"/>
        <v>Kalam</v>
      </c>
      <c r="E1891" s="40"/>
      <c r="F1891" s="15"/>
      <c r="G1891" s="17"/>
      <c r="H1891" s="10" t="s">
        <v>8563</v>
      </c>
      <c r="I1891" s="4" t="str">
        <f t="shared" si="204"/>
        <v>|Kalám|</v>
      </c>
      <c r="J1891" s="3" t="str">
        <f t="shared" si="205"/>
        <v>|Kalam|</v>
      </c>
      <c r="K1891" s="3" t="str">
        <f t="shared" si="206"/>
        <v>Kalam</v>
      </c>
      <c r="N1891" s="39" t="str">
        <f t="shared" si="207"/>
        <v/>
      </c>
      <c r="P1891" s="39" t="str">
        <f t="shared" si="208"/>
        <v/>
      </c>
      <c r="R1891" s="39" t="str">
        <f t="shared" si="209"/>
        <v/>
      </c>
      <c r="S1891" s="28"/>
      <c r="T1891" s="28"/>
      <c r="U1891" s="28"/>
    </row>
    <row r="1892" spans="1:21" s="5" customFormat="1">
      <c r="A1892" s="179" t="s">
        <v>2307</v>
      </c>
      <c r="B1892" s="185" t="s">
        <v>6504</v>
      </c>
      <c r="C1892" s="35" t="str">
        <f t="shared" si="203"/>
        <v>Kalantar</v>
      </c>
      <c r="E1892" s="40"/>
      <c r="F1892" s="14" t="s">
        <v>2308</v>
      </c>
      <c r="G1892" s="17"/>
      <c r="H1892" s="10" t="s">
        <v>8563</v>
      </c>
      <c r="I1892" s="4" t="str">
        <f t="shared" si="204"/>
        <v>|Kalántar|</v>
      </c>
      <c r="J1892" s="3" t="str">
        <f t="shared" si="205"/>
        <v>|Kalantar|</v>
      </c>
      <c r="K1892" s="3" t="str">
        <f t="shared" si="206"/>
        <v>Kalantar</v>
      </c>
      <c r="N1892" s="39" t="str">
        <f t="shared" si="207"/>
        <v/>
      </c>
      <c r="P1892" s="39" t="str">
        <f t="shared" si="208"/>
        <v/>
      </c>
      <c r="R1892" s="39" t="str">
        <f t="shared" si="209"/>
        <v/>
      </c>
      <c r="S1892" s="28"/>
      <c r="T1892" s="28"/>
      <c r="U1892" s="28"/>
    </row>
    <row r="1893" spans="1:21" s="5" customFormat="1">
      <c r="A1893" s="179" t="s">
        <v>2309</v>
      </c>
      <c r="B1893" s="185" t="s">
        <v>6505</v>
      </c>
      <c r="C1893" s="35" t="str">
        <f t="shared" si="203"/>
        <v>KalbAli</v>
      </c>
      <c r="E1893" s="40"/>
      <c r="F1893" s="14"/>
      <c r="G1893" s="17"/>
      <c r="H1893" s="10" t="s">
        <v>8563</v>
      </c>
      <c r="I1893" s="4" t="str">
        <f t="shared" si="204"/>
        <v>|Kalb-ʿAlí|</v>
      </c>
      <c r="J1893" s="3" t="str">
        <f t="shared" si="205"/>
        <v>|Kalb-'Ali|</v>
      </c>
      <c r="K1893" s="3" t="str">
        <f t="shared" si="206"/>
        <v>Kalb-Ali</v>
      </c>
      <c r="N1893" s="39" t="str">
        <f t="shared" si="207"/>
        <v/>
      </c>
      <c r="P1893" s="39" t="str">
        <f t="shared" si="208"/>
        <v/>
      </c>
      <c r="R1893" s="39" t="str">
        <f t="shared" si="209"/>
        <v/>
      </c>
      <c r="S1893" s="28"/>
      <c r="T1893" s="28"/>
      <c r="U1893" s="28"/>
    </row>
    <row r="1894" spans="1:21" s="5" customFormat="1">
      <c r="A1894" s="179" t="s">
        <v>2310</v>
      </c>
      <c r="B1894" s="185" t="s">
        <v>6506</v>
      </c>
      <c r="C1894" s="35" t="str">
        <f t="shared" si="203"/>
        <v>Kalbasi</v>
      </c>
      <c r="E1894" s="40"/>
      <c r="F1894" s="14"/>
      <c r="G1894" s="17"/>
      <c r="H1894" s="10" t="s">
        <v>8563</v>
      </c>
      <c r="I1894" s="4" t="str">
        <f t="shared" si="204"/>
        <v>|Kalbásí|</v>
      </c>
      <c r="J1894" s="3" t="str">
        <f t="shared" si="205"/>
        <v>|Kalbasi|</v>
      </c>
      <c r="K1894" s="3" t="str">
        <f t="shared" si="206"/>
        <v>Kalbasi</v>
      </c>
      <c r="N1894" s="39" t="str">
        <f t="shared" si="207"/>
        <v/>
      </c>
      <c r="P1894" s="39" t="str">
        <f t="shared" si="208"/>
        <v/>
      </c>
      <c r="R1894" s="39" t="str">
        <f t="shared" si="209"/>
        <v/>
      </c>
      <c r="S1894" s="28"/>
      <c r="T1894" s="28"/>
      <c r="U1894" s="28"/>
    </row>
    <row r="1895" spans="1:21" s="5" customFormat="1">
      <c r="A1895" s="181"/>
      <c r="B1895" s="185" t="s">
        <v>154</v>
      </c>
      <c r="C1895" s="35" t="str">
        <f t="shared" si="203"/>
        <v>Kalbit</v>
      </c>
      <c r="D1895" s="1"/>
      <c r="E1895" s="40"/>
      <c r="F1895" s="12"/>
      <c r="G1895" s="9"/>
      <c r="H1895" s="12"/>
      <c r="I1895" s="4" t="str">
        <f t="shared" si="204"/>
        <v>|Kalbit|</v>
      </c>
      <c r="J1895" s="3" t="str">
        <f t="shared" si="205"/>
        <v>|Kalbit|</v>
      </c>
      <c r="K1895" s="3" t="str">
        <f t="shared" si="206"/>
        <v>Kalbit</v>
      </c>
      <c r="M1895" s="1"/>
      <c r="N1895" s="39" t="str">
        <f t="shared" si="207"/>
        <v/>
      </c>
      <c r="O1895" s="1"/>
      <c r="P1895" s="39" t="str">
        <f t="shared" si="208"/>
        <v/>
      </c>
      <c r="Q1895" s="1"/>
      <c r="R1895" s="39" t="str">
        <f t="shared" si="209"/>
        <v/>
      </c>
      <c r="S1895" s="28"/>
      <c r="T1895" s="28"/>
      <c r="U1895" s="28"/>
    </row>
    <row r="1896" spans="1:21" s="5" customFormat="1">
      <c r="A1896" s="181"/>
      <c r="B1896" s="185" t="s">
        <v>9059</v>
      </c>
      <c r="C1896" s="35" t="str">
        <f t="shared" si="203"/>
        <v>Kalifat</v>
      </c>
      <c r="D1896" s="1"/>
      <c r="E1896" s="40" t="s">
        <v>9115</v>
      </c>
      <c r="F1896" s="12"/>
      <c r="G1896" s="17" t="s">
        <v>9134</v>
      </c>
      <c r="H1896" s="12"/>
      <c r="I1896" s="4" t="str">
        <f t="shared" si="204"/>
        <v>|Kalifat|</v>
      </c>
      <c r="J1896" s="3" t="str">
        <f t="shared" si="205"/>
        <v>|Kalifat|</v>
      </c>
      <c r="K1896" s="3" t="str">
        <f t="shared" si="206"/>
        <v>Kalifat</v>
      </c>
      <c r="M1896" s="1"/>
      <c r="N1896" s="39" t="str">
        <f t="shared" si="207"/>
        <v/>
      </c>
      <c r="O1896" s="1"/>
      <c r="P1896" s="39" t="str">
        <f t="shared" si="208"/>
        <v/>
      </c>
      <c r="Q1896" s="1"/>
      <c r="R1896" s="39" t="str">
        <f t="shared" si="209"/>
        <v/>
      </c>
      <c r="S1896" s="28"/>
      <c r="T1896" s="28"/>
      <c r="U1896" s="28"/>
    </row>
    <row r="1897" spans="1:21" s="5" customFormat="1">
      <c r="A1897" s="179" t="s">
        <v>2311</v>
      </c>
      <c r="B1897" s="185" t="s">
        <v>6507</v>
      </c>
      <c r="C1897" s="35" t="str">
        <f t="shared" si="203"/>
        <v>Kalim</v>
      </c>
      <c r="E1897" s="40"/>
      <c r="F1897" s="14" t="s">
        <v>2312</v>
      </c>
      <c r="G1897" s="17"/>
      <c r="H1897" s="10" t="s">
        <v>8563</v>
      </c>
      <c r="I1897" s="4" t="str">
        <f t="shared" si="204"/>
        <v>|Kalím|</v>
      </c>
      <c r="J1897" s="3" t="str">
        <f t="shared" si="205"/>
        <v>|Kalim|</v>
      </c>
      <c r="K1897" s="3" t="str">
        <f t="shared" si="206"/>
        <v>Kalim</v>
      </c>
      <c r="N1897" s="39" t="str">
        <f t="shared" si="207"/>
        <v/>
      </c>
      <c r="P1897" s="39" t="str">
        <f t="shared" si="208"/>
        <v/>
      </c>
      <c r="R1897" s="39" t="str">
        <f t="shared" si="209"/>
        <v/>
      </c>
      <c r="S1897" s="28"/>
      <c r="T1897" s="28"/>
      <c r="U1897" s="28"/>
    </row>
    <row r="1898" spans="1:21" s="5" customFormat="1">
      <c r="A1898" s="179" t="s">
        <v>2313</v>
      </c>
      <c r="B1898" s="185" t="s">
        <v>6508</v>
      </c>
      <c r="C1898" s="35" t="str">
        <f t="shared" si="203"/>
        <v>Kalimat</v>
      </c>
      <c r="E1898" s="40"/>
      <c r="F1898" s="14" t="s">
        <v>2314</v>
      </c>
      <c r="G1898" s="17"/>
      <c r="H1898" s="10" t="s">
        <v>8563</v>
      </c>
      <c r="I1898" s="4" t="str">
        <f t="shared" si="204"/>
        <v>|Kalimát|</v>
      </c>
      <c r="J1898" s="3" t="str">
        <f t="shared" si="205"/>
        <v>|Kalimat|</v>
      </c>
      <c r="K1898" s="3" t="str">
        <f t="shared" si="206"/>
        <v>Kalimat</v>
      </c>
      <c r="N1898" s="39" t="str">
        <f t="shared" si="207"/>
        <v/>
      </c>
      <c r="P1898" s="39" t="str">
        <f t="shared" si="208"/>
        <v/>
      </c>
      <c r="R1898" s="39" t="str">
        <f t="shared" si="209"/>
        <v/>
      </c>
      <c r="S1898" s="28"/>
      <c r="T1898" s="29">
        <v>41781</v>
      </c>
      <c r="U1898" s="28" t="s">
        <v>9446</v>
      </c>
    </row>
    <row r="1899" spans="1:21" s="5" customFormat="1">
      <c r="A1899" s="179" t="s">
        <v>2315</v>
      </c>
      <c r="B1899" s="185" t="s">
        <v>6509</v>
      </c>
      <c r="C1899" s="35" t="str">
        <f t="shared" si="203"/>
        <v>KalimatiFirdawsiyyih</v>
      </c>
      <c r="E1899" s="40"/>
      <c r="F1899" s="15" t="s">
        <v>2316</v>
      </c>
      <c r="G1899" s="17"/>
      <c r="H1899" s="10" t="s">
        <v>8563</v>
      </c>
      <c r="I1899" s="4" t="str">
        <f t="shared" si="204"/>
        <v>|Kalimát-i-Firdawsíyyih|</v>
      </c>
      <c r="J1899" s="3" t="str">
        <f t="shared" si="205"/>
        <v>|Kalimat-i-Firdawsiyyih|</v>
      </c>
      <c r="K1899" s="3" t="str">
        <f t="shared" si="206"/>
        <v>Kalimat-i-Firdawsiyyih</v>
      </c>
      <c r="N1899" s="39" t="str">
        <f t="shared" si="207"/>
        <v/>
      </c>
      <c r="P1899" s="39" t="str">
        <f t="shared" si="208"/>
        <v/>
      </c>
      <c r="R1899" s="39" t="str">
        <f t="shared" si="209"/>
        <v/>
      </c>
      <c r="S1899" s="28"/>
      <c r="T1899" s="29">
        <v>41801</v>
      </c>
      <c r="U1899" s="28" t="s">
        <v>9428</v>
      </c>
    </row>
    <row r="1900" spans="1:21" s="5" customFormat="1">
      <c r="A1900" s="179" t="s">
        <v>2317</v>
      </c>
      <c r="B1900" s="185" t="s">
        <v>6510</v>
      </c>
      <c r="C1900" s="35" t="str">
        <f t="shared" si="203"/>
        <v>KalimatiMaknunih</v>
      </c>
      <c r="E1900" s="40"/>
      <c r="F1900" s="15" t="s">
        <v>2318</v>
      </c>
      <c r="G1900" s="17"/>
      <c r="H1900" s="10" t="s">
        <v>8563</v>
      </c>
      <c r="I1900" s="4" t="str">
        <f t="shared" si="204"/>
        <v>|Kalimát-i-Maknúnih|</v>
      </c>
      <c r="J1900" s="3" t="str">
        <f t="shared" si="205"/>
        <v>|Kalimat-i-Maknunih|</v>
      </c>
      <c r="K1900" s="3" t="str">
        <f t="shared" si="206"/>
        <v>Kalimat-i-Maknunih</v>
      </c>
      <c r="N1900" s="39" t="str">
        <f t="shared" si="207"/>
        <v/>
      </c>
      <c r="P1900" s="39" t="str">
        <f t="shared" si="208"/>
        <v/>
      </c>
      <c r="R1900" s="39" t="str">
        <f t="shared" si="209"/>
        <v/>
      </c>
      <c r="S1900" s="28"/>
      <c r="T1900" s="28"/>
      <c r="U1900" s="28"/>
    </row>
    <row r="1901" spans="1:21" s="5" customFormat="1">
      <c r="A1901" s="179" t="s">
        <v>2319</v>
      </c>
      <c r="B1901" s="185" t="s">
        <v>6511</v>
      </c>
      <c r="C1901" s="35" t="str">
        <f t="shared" si="203"/>
        <v>Kalimullah</v>
      </c>
      <c r="E1901" s="40"/>
      <c r="F1901" s="14" t="s">
        <v>2320</v>
      </c>
      <c r="G1901" s="17"/>
      <c r="H1901" s="10" t="s">
        <v>8563</v>
      </c>
      <c r="I1901" s="4" t="str">
        <f t="shared" si="204"/>
        <v>|Kalímu’lláh|</v>
      </c>
      <c r="J1901" s="3" t="str">
        <f t="shared" si="205"/>
        <v>|Kalimu'llah|</v>
      </c>
      <c r="K1901" s="3" t="str">
        <f t="shared" si="206"/>
        <v>Kalimullah</v>
      </c>
      <c r="N1901" s="39" t="str">
        <f t="shared" si="207"/>
        <v/>
      </c>
      <c r="P1901" s="39" t="str">
        <f t="shared" si="208"/>
        <v/>
      </c>
      <c r="R1901" s="39" t="str">
        <f t="shared" si="209"/>
        <v/>
      </c>
      <c r="S1901" s="28"/>
      <c r="T1901" s="28"/>
      <c r="U1901" s="28"/>
    </row>
    <row r="1902" spans="1:21" s="5" customFormat="1">
      <c r="A1902" s="179" t="s">
        <v>2321</v>
      </c>
      <c r="B1902" s="185" t="s">
        <v>6512</v>
      </c>
      <c r="C1902" s="35" t="str">
        <f t="shared" si="203"/>
        <v>Kamal</v>
      </c>
      <c r="E1902" s="40"/>
      <c r="F1902" s="14" t="s">
        <v>2322</v>
      </c>
      <c r="G1902" s="17"/>
      <c r="H1902" s="10" t="s">
        <v>8563</v>
      </c>
      <c r="I1902" s="4" t="str">
        <f t="shared" si="204"/>
        <v>|Kamál|</v>
      </c>
      <c r="J1902" s="3" t="str">
        <f t="shared" si="205"/>
        <v>|Kamal|</v>
      </c>
      <c r="K1902" s="3" t="str">
        <f t="shared" si="206"/>
        <v>Kamal</v>
      </c>
      <c r="N1902" s="39" t="str">
        <f t="shared" si="207"/>
        <v/>
      </c>
      <c r="P1902" s="39" t="str">
        <f t="shared" si="208"/>
        <v/>
      </c>
      <c r="R1902" s="39" t="str">
        <f t="shared" si="209"/>
        <v/>
      </c>
      <c r="S1902" s="28"/>
      <c r="T1902" s="28"/>
      <c r="U1902" s="28"/>
    </row>
    <row r="1903" spans="1:21" s="5" customFormat="1">
      <c r="A1903" s="179" t="s">
        <v>2323</v>
      </c>
      <c r="B1903" s="185" t="s">
        <v>6513</v>
      </c>
      <c r="C1903" s="35" t="str">
        <f t="shared" si="203"/>
        <v>KamaludDin</v>
      </c>
      <c r="E1903" s="40"/>
      <c r="F1903" s="14"/>
      <c r="G1903" s="17"/>
      <c r="H1903" s="10" t="s">
        <v>8563</v>
      </c>
      <c r="I1903" s="4" t="str">
        <f t="shared" si="204"/>
        <v>|Kamálu’d-Dín|</v>
      </c>
      <c r="J1903" s="3" t="str">
        <f t="shared" si="205"/>
        <v>|Kamalu'd-Din|</v>
      </c>
      <c r="K1903" s="3" t="str">
        <f t="shared" si="206"/>
        <v>Kamalud-Din</v>
      </c>
      <c r="N1903" s="39" t="str">
        <f t="shared" si="207"/>
        <v/>
      </c>
      <c r="P1903" s="39" t="str">
        <f t="shared" si="208"/>
        <v/>
      </c>
      <c r="R1903" s="39" t="str">
        <f t="shared" si="209"/>
        <v/>
      </c>
      <c r="S1903" s="28"/>
      <c r="T1903" s="28"/>
      <c r="U1903" s="28"/>
    </row>
    <row r="1904" spans="1:21" s="5" customFormat="1">
      <c r="A1904" s="179" t="s">
        <v>2324</v>
      </c>
      <c r="B1904" s="185" t="s">
        <v>6514</v>
      </c>
      <c r="C1904" s="35" t="str">
        <f t="shared" si="203"/>
        <v>KamaludDiniNaraqi</v>
      </c>
      <c r="E1904" s="40"/>
      <c r="F1904" s="14"/>
      <c r="G1904" s="17"/>
      <c r="H1904" s="10" t="s">
        <v>8563</v>
      </c>
      <c r="I1904" s="4" t="str">
        <f t="shared" si="204"/>
        <v>|Kamálu’d-Dín-i-Naráqí|</v>
      </c>
      <c r="J1904" s="3" t="str">
        <f t="shared" si="205"/>
        <v>|Kamalu'd-Din-i-Naraqi|</v>
      </c>
      <c r="K1904" s="3" t="str">
        <f t="shared" si="206"/>
        <v>Kamalud-Din-i-Naraqi</v>
      </c>
      <c r="N1904" s="39" t="str">
        <f t="shared" si="207"/>
        <v/>
      </c>
      <c r="P1904" s="39" t="str">
        <f t="shared" si="208"/>
        <v/>
      </c>
      <c r="R1904" s="39" t="str">
        <f t="shared" si="209"/>
        <v/>
      </c>
      <c r="S1904" s="28"/>
      <c r="T1904" s="28"/>
      <c r="U1904" s="28"/>
    </row>
    <row r="1905" spans="1:21" s="5" customFormat="1">
      <c r="A1905" s="179" t="s">
        <v>2325</v>
      </c>
      <c r="B1905" s="185" t="s">
        <v>6515</v>
      </c>
      <c r="C1905" s="35" t="str">
        <f t="shared" si="203"/>
        <v>Kamil</v>
      </c>
      <c r="E1905" s="40"/>
      <c r="F1905" s="15" t="s">
        <v>2326</v>
      </c>
      <c r="G1905" s="17"/>
      <c r="H1905" s="10" t="s">
        <v>8563</v>
      </c>
      <c r="I1905" s="4" t="str">
        <f t="shared" si="204"/>
        <v>|Kámil|</v>
      </c>
      <c r="J1905" s="3" t="str">
        <f t="shared" si="205"/>
        <v>|Kamil|</v>
      </c>
      <c r="K1905" s="3" t="str">
        <f t="shared" si="206"/>
        <v>Kamil</v>
      </c>
      <c r="N1905" s="39" t="str">
        <f t="shared" si="207"/>
        <v/>
      </c>
      <c r="P1905" s="39" t="str">
        <f t="shared" si="208"/>
        <v/>
      </c>
      <c r="R1905" s="39" t="str">
        <f t="shared" si="209"/>
        <v/>
      </c>
      <c r="S1905" s="28"/>
      <c r="T1905" s="28"/>
      <c r="U1905" s="28"/>
    </row>
    <row r="1906" spans="1:21" s="5" customFormat="1">
      <c r="A1906" s="179" t="s">
        <v>2327</v>
      </c>
      <c r="B1906" s="185" t="s">
        <v>6516</v>
      </c>
      <c r="C1906" s="35" t="str">
        <f t="shared" si="203"/>
        <v>KamilMuqaddam</v>
      </c>
      <c r="E1906" s="40"/>
      <c r="F1906" s="15"/>
      <c r="G1906" s="17"/>
      <c r="H1906" s="10" t="s">
        <v>8563</v>
      </c>
      <c r="I1906" s="4" t="str">
        <f t="shared" si="204"/>
        <v>|Kámil-Muqaddam|</v>
      </c>
      <c r="J1906" s="3" t="str">
        <f t="shared" si="205"/>
        <v>|Kamil-Muqaddam|</v>
      </c>
      <c r="K1906" s="3" t="str">
        <f t="shared" si="206"/>
        <v>Kamil-Muqaddam</v>
      </c>
      <c r="N1906" s="39" t="str">
        <f t="shared" si="207"/>
        <v/>
      </c>
      <c r="P1906" s="39" t="str">
        <f t="shared" si="208"/>
        <v/>
      </c>
      <c r="R1906" s="39" t="str">
        <f t="shared" si="209"/>
        <v/>
      </c>
      <c r="S1906" s="28"/>
      <c r="T1906" s="28"/>
      <c r="U1906" s="28"/>
    </row>
    <row r="1907" spans="1:21" s="5" customFormat="1">
      <c r="A1907" s="179" t="s">
        <v>2328</v>
      </c>
      <c r="B1907" s="185" t="s">
        <v>6517</v>
      </c>
      <c r="C1907" s="35" t="str">
        <f t="shared" si="203"/>
        <v>Kamran</v>
      </c>
      <c r="E1907" s="40"/>
      <c r="F1907" s="14"/>
      <c r="G1907" s="17"/>
      <c r="H1907" s="10" t="s">
        <v>8563</v>
      </c>
      <c r="I1907" s="4" t="str">
        <f t="shared" si="204"/>
        <v>|Kámrán|</v>
      </c>
      <c r="J1907" s="3" t="str">
        <f t="shared" si="205"/>
        <v>|Kamran|</v>
      </c>
      <c r="K1907" s="3" t="str">
        <f t="shared" si="206"/>
        <v>Kamran</v>
      </c>
      <c r="N1907" s="39" t="str">
        <f t="shared" si="207"/>
        <v/>
      </c>
      <c r="P1907" s="39" t="str">
        <f t="shared" si="208"/>
        <v/>
      </c>
      <c r="R1907" s="39" t="str">
        <f t="shared" si="209"/>
        <v/>
      </c>
      <c r="S1907" s="28"/>
      <c r="T1907" s="28"/>
      <c r="U1907" s="28"/>
    </row>
    <row r="1908" spans="1:21" s="5" customFormat="1">
      <c r="A1908" s="179" t="s">
        <v>2329</v>
      </c>
      <c r="B1908" s="185" t="s">
        <v>6518</v>
      </c>
      <c r="C1908" s="35" t="str">
        <f t="shared" si="203"/>
        <v>Kangavar</v>
      </c>
      <c r="E1908" s="40"/>
      <c r="F1908" s="15"/>
      <c r="G1908" s="17"/>
      <c r="H1908" s="10" t="s">
        <v>8563</v>
      </c>
      <c r="I1908" s="4" t="str">
        <f t="shared" si="204"/>
        <v>|Kangávar|</v>
      </c>
      <c r="J1908" s="3" t="str">
        <f t="shared" si="205"/>
        <v>|Kangavar|</v>
      </c>
      <c r="K1908" s="3" t="str">
        <f t="shared" si="206"/>
        <v>Kangavar</v>
      </c>
      <c r="N1908" s="39" t="str">
        <f t="shared" si="207"/>
        <v/>
      </c>
      <c r="P1908" s="39" t="str">
        <f t="shared" si="208"/>
        <v/>
      </c>
      <c r="R1908" s="39" t="str">
        <f t="shared" si="209"/>
        <v/>
      </c>
      <c r="S1908" s="28"/>
      <c r="T1908" s="28"/>
      <c r="U1908" s="28"/>
    </row>
    <row r="1909" spans="1:21" s="5" customFormat="1">
      <c r="A1909" s="179" t="s">
        <v>2330</v>
      </c>
      <c r="B1909" s="185" t="s">
        <v>6519</v>
      </c>
      <c r="C1909" s="35" t="str">
        <f t="shared" si="203"/>
        <v>Kani</v>
      </c>
      <c r="E1909" s="40"/>
      <c r="F1909" s="15"/>
      <c r="G1909" s="17"/>
      <c r="H1909" s="10" t="s">
        <v>8563</v>
      </c>
      <c r="I1909" s="4" t="str">
        <f t="shared" si="204"/>
        <v>|Kaní|</v>
      </c>
      <c r="J1909" s="3" t="str">
        <f t="shared" si="205"/>
        <v>|Kani|</v>
      </c>
      <c r="K1909" s="3" t="str">
        <f t="shared" si="206"/>
        <v>Kani</v>
      </c>
      <c r="N1909" s="39" t="str">
        <f t="shared" si="207"/>
        <v/>
      </c>
      <c r="P1909" s="39" t="str">
        <f t="shared" si="208"/>
        <v/>
      </c>
      <c r="R1909" s="39" t="str">
        <f t="shared" si="209"/>
        <v/>
      </c>
      <c r="S1909" s="28"/>
      <c r="T1909" s="28"/>
      <c r="U1909" s="28"/>
    </row>
    <row r="1910" spans="1:21" s="5" customFormat="1">
      <c r="A1910" s="179" t="s">
        <v>2331</v>
      </c>
      <c r="B1910" s="185" t="s">
        <v>6520</v>
      </c>
      <c r="C1910" s="35" t="str">
        <f t="shared" si="203"/>
        <v>Karabagh</v>
      </c>
      <c r="E1910" s="40"/>
      <c r="F1910" s="14"/>
      <c r="G1910" s="17"/>
      <c r="H1910" s="10" t="s">
        <v>8563</v>
      </c>
      <c r="I1910" s="4" t="str">
        <f t="shared" si="204"/>
        <v>|Karabá|</v>
      </c>
      <c r="J1910" s="3" t="str">
        <f t="shared" si="205"/>
        <v>|Karabagh|</v>
      </c>
      <c r="K1910" s="3" t="str">
        <f t="shared" si="206"/>
        <v>Karabagh</v>
      </c>
      <c r="N1910" s="39" t="str">
        <f t="shared" si="207"/>
        <v/>
      </c>
      <c r="P1910" s="39" t="str">
        <f t="shared" si="208"/>
        <v/>
      </c>
      <c r="R1910" s="39" t="str">
        <f t="shared" si="209"/>
        <v/>
      </c>
      <c r="S1910" s="28"/>
      <c r="T1910" s="28"/>
      <c r="U1910" s="28"/>
    </row>
    <row r="1911" spans="1:21" s="5" customFormat="1">
      <c r="A1911" s="179" t="s">
        <v>2332</v>
      </c>
      <c r="B1911" s="185" t="s">
        <v>6521</v>
      </c>
      <c r="C1911" s="35" t="str">
        <f t="shared" si="203"/>
        <v>Karachi</v>
      </c>
      <c r="E1911" s="40"/>
      <c r="F1911" s="14"/>
      <c r="G1911" s="17"/>
      <c r="H1911" s="10" t="s">
        <v>8563</v>
      </c>
      <c r="I1911" s="4" t="str">
        <f t="shared" si="204"/>
        <v>|Karáí|</v>
      </c>
      <c r="J1911" s="3" t="str">
        <f t="shared" si="205"/>
        <v>|Karachi|</v>
      </c>
      <c r="K1911" s="3" t="str">
        <f t="shared" si="206"/>
        <v>Karachi</v>
      </c>
      <c r="N1911" s="39" t="str">
        <f t="shared" si="207"/>
        <v/>
      </c>
      <c r="P1911" s="39" t="str">
        <f t="shared" si="208"/>
        <v/>
      </c>
      <c r="R1911" s="39" t="str">
        <f t="shared" si="209"/>
        <v/>
      </c>
      <c r="S1911" s="28"/>
      <c r="T1911" s="28"/>
      <c r="U1911" s="28"/>
    </row>
    <row r="1912" spans="1:21" s="5" customFormat="1">
      <c r="A1912" s="179" t="s">
        <v>2333</v>
      </c>
      <c r="B1912" s="185" t="s">
        <v>6522</v>
      </c>
      <c r="C1912" s="35" t="str">
        <f t="shared" si="203"/>
        <v>Karand</v>
      </c>
      <c r="E1912" s="40"/>
      <c r="F1912" s="14"/>
      <c r="G1912" s="17"/>
      <c r="H1912" s="10" t="s">
        <v>8563</v>
      </c>
      <c r="I1912" s="4" t="str">
        <f t="shared" si="204"/>
        <v>|Karand|</v>
      </c>
      <c r="J1912" s="3" t="str">
        <f t="shared" si="205"/>
        <v>|Karand|</v>
      </c>
      <c r="K1912" s="3" t="str">
        <f t="shared" si="206"/>
        <v>Karand</v>
      </c>
      <c r="N1912" s="39" t="str">
        <f t="shared" si="207"/>
        <v/>
      </c>
      <c r="P1912" s="39" t="str">
        <f t="shared" si="208"/>
        <v/>
      </c>
      <c r="R1912" s="39" t="str">
        <f t="shared" si="209"/>
        <v/>
      </c>
      <c r="S1912" s="28"/>
      <c r="T1912" s="28"/>
      <c r="U1912" s="28"/>
    </row>
    <row r="1913" spans="1:21" s="5" customFormat="1">
      <c r="A1913" s="179" t="s">
        <v>2334</v>
      </c>
      <c r="B1913" s="185" t="s">
        <v>21</v>
      </c>
      <c r="C1913" s="35" t="str">
        <f t="shared" si="203"/>
        <v>Karbila</v>
      </c>
      <c r="E1913" s="40"/>
      <c r="F1913" s="14"/>
      <c r="G1913" s="17"/>
      <c r="H1913" s="10" t="s">
        <v>8563</v>
      </c>
      <c r="I1913" s="4" t="str">
        <f t="shared" si="204"/>
        <v>|Karbilá|</v>
      </c>
      <c r="J1913" s="3" t="str">
        <f t="shared" si="205"/>
        <v>|Karbila|</v>
      </c>
      <c r="K1913" s="3" t="str">
        <f t="shared" si="206"/>
        <v>Karbila</v>
      </c>
      <c r="N1913" s="39" t="str">
        <f t="shared" si="207"/>
        <v/>
      </c>
      <c r="P1913" s="39" t="str">
        <f t="shared" si="208"/>
        <v/>
      </c>
      <c r="R1913" s="39" t="str">
        <f t="shared" si="209"/>
        <v/>
      </c>
      <c r="S1913" s="28"/>
      <c r="T1913" s="29">
        <v>41796</v>
      </c>
      <c r="U1913" s="28" t="s">
        <v>9451</v>
      </c>
    </row>
    <row r="1914" spans="1:21" s="5" customFormat="1">
      <c r="A1914" s="179" t="s">
        <v>2335</v>
      </c>
      <c r="B1914" s="185" t="s">
        <v>6523</v>
      </c>
      <c r="C1914" s="35" t="str">
        <f t="shared" si="203"/>
        <v>Karbilai</v>
      </c>
      <c r="E1914" s="40"/>
      <c r="F1914" s="14" t="s">
        <v>2336</v>
      </c>
      <c r="G1914" s="17"/>
      <c r="H1914" s="10" t="s">
        <v>8563</v>
      </c>
      <c r="I1914" s="4" t="str">
        <f t="shared" si="204"/>
        <v>|Karbilá’í|</v>
      </c>
      <c r="J1914" s="3" t="str">
        <f t="shared" si="205"/>
        <v>|Karbila'i|</v>
      </c>
      <c r="K1914" s="3" t="str">
        <f t="shared" si="206"/>
        <v>Karbilai</v>
      </c>
      <c r="N1914" s="39" t="str">
        <f t="shared" si="207"/>
        <v/>
      </c>
      <c r="P1914" s="39" t="str">
        <f t="shared" si="208"/>
        <v/>
      </c>
      <c r="R1914" s="39" t="str">
        <f t="shared" si="209"/>
        <v/>
      </c>
      <c r="S1914" s="28"/>
      <c r="T1914" s="28"/>
      <c r="U1914" s="28"/>
    </row>
    <row r="1915" spans="1:21" s="5" customFormat="1">
      <c r="A1915" s="179" t="s">
        <v>2337</v>
      </c>
      <c r="B1915" s="185" t="s">
        <v>6524</v>
      </c>
      <c r="C1915" s="35" t="str">
        <f t="shared" si="203"/>
        <v>Karim</v>
      </c>
      <c r="E1915" s="40"/>
      <c r="F1915" s="14"/>
      <c r="G1915" s="17"/>
      <c r="H1915" s="10" t="s">
        <v>8563</v>
      </c>
      <c r="I1915" s="4" t="str">
        <f t="shared" si="204"/>
        <v>|Karím|</v>
      </c>
      <c r="J1915" s="3" t="str">
        <f t="shared" si="205"/>
        <v>|Karim|</v>
      </c>
      <c r="K1915" s="3" t="str">
        <f t="shared" si="206"/>
        <v>Karim</v>
      </c>
      <c r="N1915" s="39" t="str">
        <f t="shared" si="207"/>
        <v/>
      </c>
      <c r="P1915" s="39" t="str">
        <f t="shared" si="208"/>
        <v/>
      </c>
      <c r="R1915" s="39" t="str">
        <f t="shared" si="209"/>
        <v/>
      </c>
      <c r="S1915" s="28"/>
      <c r="T1915" s="28"/>
      <c r="U1915" s="28"/>
    </row>
    <row r="1916" spans="1:21" s="5" customFormat="1">
      <c r="A1916" s="181"/>
      <c r="B1916" s="185" t="s">
        <v>8691</v>
      </c>
      <c r="C1916" s="35" t="str">
        <f t="shared" si="203"/>
        <v>KarimKhan</v>
      </c>
      <c r="D1916" s="1"/>
      <c r="E1916" s="40"/>
      <c r="F1916" s="12"/>
      <c r="G1916" s="9"/>
      <c r="H1916" s="12" t="s">
        <v>8622</v>
      </c>
      <c r="I1916" s="4" t="str">
        <f t="shared" si="204"/>
        <v>|Karím án|</v>
      </c>
      <c r="J1916" s="3" t="str">
        <f t="shared" si="205"/>
        <v>|Karim Khan|</v>
      </c>
      <c r="K1916" s="3" t="str">
        <f t="shared" si="206"/>
        <v>Karim Khan</v>
      </c>
      <c r="N1916" s="39" t="str">
        <f t="shared" si="207"/>
        <v/>
      </c>
      <c r="P1916" s="39" t="str">
        <f t="shared" si="208"/>
        <v/>
      </c>
      <c r="R1916" s="39" t="str">
        <f t="shared" si="209"/>
        <v/>
      </c>
      <c r="S1916" s="29">
        <v>41760</v>
      </c>
      <c r="T1916" s="28"/>
      <c r="U1916" s="28"/>
    </row>
    <row r="1917" spans="1:21" s="5" customFormat="1">
      <c r="A1917" s="181"/>
      <c r="B1917" s="185" t="s">
        <v>8818</v>
      </c>
      <c r="C1917" s="35" t="str">
        <f t="shared" si="203"/>
        <v>KarimKhaniQajariKirmani</v>
      </c>
      <c r="D1917" s="1"/>
      <c r="E1917" s="40"/>
      <c r="F1917" s="12"/>
      <c r="G1917" s="9"/>
      <c r="H1917" s="12" t="s">
        <v>8622</v>
      </c>
      <c r="I1917" s="4" t="str">
        <f t="shared" si="204"/>
        <v>|Karím án-i-Qájár-i-Kirmání|</v>
      </c>
      <c r="J1917" s="3" t="str">
        <f t="shared" si="205"/>
        <v>|Karim Khan-i-Qajar-i-Kirmani|</v>
      </c>
      <c r="K1917" s="3" t="str">
        <f t="shared" si="206"/>
        <v>Karim Khan-i-Qajar-i-Kirmani</v>
      </c>
      <c r="N1917" s="39" t="str">
        <f t="shared" si="207"/>
        <v/>
      </c>
      <c r="P1917" s="39" t="str">
        <f t="shared" si="208"/>
        <v/>
      </c>
      <c r="R1917" s="39" t="str">
        <f t="shared" si="209"/>
        <v/>
      </c>
      <c r="S1917" s="29">
        <v>41760</v>
      </c>
      <c r="T1917" s="28"/>
      <c r="U1917" s="28"/>
    </row>
    <row r="1918" spans="1:21" s="5" customFormat="1">
      <c r="A1918" s="179" t="s">
        <v>2338</v>
      </c>
      <c r="B1918" s="185" t="s">
        <v>6525</v>
      </c>
      <c r="C1918" s="35" t="str">
        <f t="shared" si="203"/>
        <v>Karimi</v>
      </c>
      <c r="E1918" s="40"/>
      <c r="F1918" s="15"/>
      <c r="G1918" s="17"/>
      <c r="H1918" s="10" t="s">
        <v>8563</v>
      </c>
      <c r="I1918" s="4" t="str">
        <f t="shared" si="204"/>
        <v>|Karímí|</v>
      </c>
      <c r="J1918" s="3" t="str">
        <f t="shared" si="205"/>
        <v>|Karimi|</v>
      </c>
      <c r="K1918" s="3" t="str">
        <f t="shared" si="206"/>
        <v>Karimi</v>
      </c>
      <c r="N1918" s="39" t="str">
        <f t="shared" si="207"/>
        <v/>
      </c>
      <c r="P1918" s="39" t="str">
        <f t="shared" si="208"/>
        <v/>
      </c>
      <c r="R1918" s="39" t="str">
        <f t="shared" si="209"/>
        <v/>
      </c>
      <c r="S1918" s="28"/>
      <c r="T1918" s="28"/>
      <c r="U1918" s="28"/>
    </row>
    <row r="1919" spans="1:21" s="5" customFormat="1">
      <c r="A1919" s="179" t="s">
        <v>2339</v>
      </c>
      <c r="B1919" s="185" t="s">
        <v>6526</v>
      </c>
      <c r="C1919" s="35" t="str">
        <f t="shared" si="203"/>
        <v>Karkh</v>
      </c>
      <c r="E1919" s="40"/>
      <c r="F1919" s="14"/>
      <c r="G1919" s="17"/>
      <c r="H1919" s="10" t="s">
        <v>8563</v>
      </c>
      <c r="I1919" s="4" t="str">
        <f t="shared" si="204"/>
        <v>|Kar|</v>
      </c>
      <c r="J1919" s="3" t="str">
        <f t="shared" si="205"/>
        <v>|Karkh|</v>
      </c>
      <c r="K1919" s="3" t="str">
        <f t="shared" si="206"/>
        <v>Karkh</v>
      </c>
      <c r="N1919" s="39" t="str">
        <f t="shared" si="207"/>
        <v/>
      </c>
      <c r="P1919" s="39" t="str">
        <f t="shared" si="208"/>
        <v/>
      </c>
      <c r="R1919" s="39" t="str">
        <f t="shared" si="209"/>
        <v/>
      </c>
      <c r="S1919" s="28"/>
      <c r="T1919" s="28"/>
      <c r="U1919" s="28"/>
    </row>
    <row r="1920" spans="1:21" s="5" customFormat="1">
      <c r="A1920" s="179" t="s">
        <v>2340</v>
      </c>
      <c r="B1920" s="185" t="s">
        <v>6527</v>
      </c>
      <c r="C1920" s="35" t="str">
        <f t="shared" si="203"/>
        <v>Karkuk</v>
      </c>
      <c r="E1920" s="40"/>
      <c r="F1920" s="15"/>
      <c r="G1920" s="17"/>
      <c r="H1920" s="10" t="s">
        <v>8563</v>
      </c>
      <c r="I1920" s="4" t="str">
        <f t="shared" si="204"/>
        <v>|Karkúk|</v>
      </c>
      <c r="J1920" s="3" t="str">
        <f t="shared" si="205"/>
        <v>|Karkuk|</v>
      </c>
      <c r="K1920" s="3" t="str">
        <f t="shared" si="206"/>
        <v>Karkuk</v>
      </c>
      <c r="N1920" s="39" t="str">
        <f t="shared" si="207"/>
        <v/>
      </c>
      <c r="P1920" s="39" t="str">
        <f t="shared" si="208"/>
        <v/>
      </c>
      <c r="R1920" s="39" t="str">
        <f t="shared" si="209"/>
        <v/>
      </c>
      <c r="S1920" s="28"/>
      <c r="T1920" s="28"/>
      <c r="U1920" s="28"/>
    </row>
    <row r="1921" spans="1:21" s="5" customFormat="1">
      <c r="A1921" s="179" t="s">
        <v>2341</v>
      </c>
      <c r="B1921" s="185" t="s">
        <v>6528</v>
      </c>
      <c r="C1921" s="35" t="str">
        <f t="shared" si="203"/>
        <v>Karrus</v>
      </c>
      <c r="E1921" s="40"/>
      <c r="F1921" s="14"/>
      <c r="G1921" s="17"/>
      <c r="H1921" s="10" t="s">
        <v>8563</v>
      </c>
      <c r="I1921" s="4" t="str">
        <f t="shared" si="204"/>
        <v>|Karrús|</v>
      </c>
      <c r="J1921" s="3" t="str">
        <f t="shared" si="205"/>
        <v>|Karrus|</v>
      </c>
      <c r="K1921" s="3" t="str">
        <f t="shared" si="206"/>
        <v>Karrus</v>
      </c>
      <c r="N1921" s="39" t="str">
        <f t="shared" si="207"/>
        <v/>
      </c>
      <c r="P1921" s="39" t="str">
        <f t="shared" si="208"/>
        <v/>
      </c>
      <c r="R1921" s="39" t="str">
        <f t="shared" si="209"/>
        <v/>
      </c>
      <c r="S1921" s="28"/>
      <c r="T1921" s="28"/>
      <c r="U1921" s="28"/>
    </row>
    <row r="1922" spans="1:21" s="5" customFormat="1">
      <c r="A1922" s="179" t="s">
        <v>2342</v>
      </c>
      <c r="B1922" s="185" t="s">
        <v>6529</v>
      </c>
      <c r="C1922" s="35" t="str">
        <f t="shared" ref="C1922:C1985" si="210">SUBSTITUTE(SUBSTITUTE(K1922,"-","")," ","")</f>
        <v>Karrusi</v>
      </c>
      <c r="E1922" s="40"/>
      <c r="F1922" s="14"/>
      <c r="G1922" s="17"/>
      <c r="H1922" s="10" t="s">
        <v>8563</v>
      </c>
      <c r="I1922" s="4" t="str">
        <f t="shared" ref="I1922:I1985" si="211">CONCATENATE("|",B1922,"|")</f>
        <v>|Karrúsí|</v>
      </c>
      <c r="J1922" s="3" t="str">
        <f t="shared" ref="J1922:J1985" si="212">CONCATENATE("|",F_OutputASCII(B1922),"|")</f>
        <v>|Karrusi|</v>
      </c>
      <c r="K1922" s="3" t="str">
        <f t="shared" ref="K1922:K1985" si="213">IF(SUBSTITUTE(MID(J1922,2,LEN(J1922)-2),"'","")&lt;&gt;"",SUBSTITUTE(MID(J1922,2,LEN(J1922)-2),"'",""),"ZZZZZ")</f>
        <v>Karrusi</v>
      </c>
      <c r="N1922" s="39" t="str">
        <f t="shared" si="207"/>
        <v/>
      </c>
      <c r="P1922" s="39" t="str">
        <f t="shared" si="208"/>
        <v/>
      </c>
      <c r="R1922" s="39" t="str">
        <f t="shared" si="209"/>
        <v/>
      </c>
      <c r="S1922" s="28"/>
      <c r="T1922" s="28"/>
      <c r="U1922" s="28"/>
    </row>
    <row r="1923" spans="1:21" s="5" customFormat="1">
      <c r="A1923" s="179" t="s">
        <v>2343</v>
      </c>
      <c r="B1923" s="185" t="s">
        <v>6530</v>
      </c>
      <c r="C1923" s="35" t="str">
        <f t="shared" si="210"/>
        <v>Karrusih</v>
      </c>
      <c r="E1923" s="40"/>
      <c r="F1923" s="15" t="s">
        <v>2344</v>
      </c>
      <c r="G1923" s="17"/>
      <c r="H1923" s="10" t="s">
        <v>8563</v>
      </c>
      <c r="I1923" s="4" t="str">
        <f t="shared" si="211"/>
        <v>|Karrúsih|</v>
      </c>
      <c r="J1923" s="3" t="str">
        <f t="shared" si="212"/>
        <v>|Karrusih|</v>
      </c>
      <c r="K1923" s="3" t="str">
        <f t="shared" si="213"/>
        <v>Karrusih</v>
      </c>
      <c r="N1923" s="39" t="str">
        <f t="shared" ref="N1923:N1986" si="214">SUBSTITUTE(SUBSTITUTE(SUBSTITUTE(F_OutputASCII(M1923),"-","")," ",""),"'","")</f>
        <v/>
      </c>
      <c r="P1923" s="39" t="str">
        <f t="shared" ref="P1923:P1986" si="215">SUBSTITUTE(SUBSTITUTE(SUBSTITUTE(F_OutputASCII(O1923),"-","")," ",""),"'","")</f>
        <v/>
      </c>
      <c r="R1923" s="39" t="str">
        <f t="shared" ref="R1923:R1986" si="216">SUBSTITUTE(SUBSTITUTE(Q1923,"-","")," ","")</f>
        <v/>
      </c>
      <c r="S1923" s="28"/>
      <c r="T1923" s="28"/>
      <c r="U1923" s="28"/>
    </row>
    <row r="1924" spans="1:21" s="5" customFormat="1">
      <c r="A1924" s="179" t="s">
        <v>2345</v>
      </c>
      <c r="B1924" s="185" t="s">
        <v>6531</v>
      </c>
      <c r="C1924" s="35" t="str">
        <f t="shared" si="210"/>
        <v>KarvanSaray</v>
      </c>
      <c r="E1924" s="40"/>
      <c r="F1924" s="15" t="s">
        <v>2346</v>
      </c>
      <c r="G1924" s="17"/>
      <c r="H1924" s="10" t="s">
        <v>8563</v>
      </c>
      <c r="I1924" s="4" t="str">
        <f t="shared" si="211"/>
        <v>|Kárván-Saráy|</v>
      </c>
      <c r="J1924" s="3" t="str">
        <f t="shared" si="212"/>
        <v>|Karvan-Saray|</v>
      </c>
      <c r="K1924" s="3" t="str">
        <f t="shared" si="213"/>
        <v>Karvan-Saray</v>
      </c>
      <c r="N1924" s="39" t="str">
        <f t="shared" si="214"/>
        <v/>
      </c>
      <c r="P1924" s="39" t="str">
        <f t="shared" si="215"/>
        <v/>
      </c>
      <c r="R1924" s="39" t="str">
        <f t="shared" si="216"/>
        <v/>
      </c>
      <c r="S1924" s="28"/>
      <c r="T1924" s="28"/>
      <c r="U1924" s="28"/>
    </row>
    <row r="1925" spans="1:21" s="5" customFormat="1">
      <c r="A1925" s="179" t="s">
        <v>2347</v>
      </c>
      <c r="B1925" s="185" t="s">
        <v>6532</v>
      </c>
      <c r="C1925" s="35" t="str">
        <f t="shared" si="210"/>
        <v>Kashan</v>
      </c>
      <c r="E1925" s="40"/>
      <c r="F1925" s="14"/>
      <c r="G1925" s="17"/>
      <c r="H1925" s="10" t="s">
        <v>8563</v>
      </c>
      <c r="I1925" s="4" t="str">
        <f t="shared" si="211"/>
        <v>|Káán|</v>
      </c>
      <c r="J1925" s="3" t="str">
        <f t="shared" si="212"/>
        <v>|Kashan|</v>
      </c>
      <c r="K1925" s="3" t="str">
        <f t="shared" si="213"/>
        <v>Kashan</v>
      </c>
      <c r="N1925" s="39" t="str">
        <f t="shared" si="214"/>
        <v/>
      </c>
      <c r="P1925" s="39" t="str">
        <f t="shared" si="215"/>
        <v/>
      </c>
      <c r="R1925" s="39" t="str">
        <f t="shared" si="216"/>
        <v/>
      </c>
      <c r="S1925" s="28"/>
      <c r="T1925" s="28"/>
      <c r="U1925" s="28"/>
    </row>
    <row r="1926" spans="1:21" s="5" customFormat="1">
      <c r="A1926" s="179" t="s">
        <v>2348</v>
      </c>
      <c r="B1926" s="185" t="s">
        <v>6533</v>
      </c>
      <c r="C1926" s="35" t="str">
        <f t="shared" si="210"/>
        <v>Kashani</v>
      </c>
      <c r="E1926" s="40"/>
      <c r="F1926" s="15"/>
      <c r="G1926" s="17"/>
      <c r="H1926" s="10" t="s">
        <v>8563</v>
      </c>
      <c r="I1926" s="4" t="str">
        <f t="shared" si="211"/>
        <v>|Káání|</v>
      </c>
      <c r="J1926" s="3" t="str">
        <f t="shared" si="212"/>
        <v>|Kashani|</v>
      </c>
      <c r="K1926" s="3" t="str">
        <f t="shared" si="213"/>
        <v>Kashani</v>
      </c>
      <c r="N1926" s="39" t="str">
        <f t="shared" si="214"/>
        <v/>
      </c>
      <c r="P1926" s="39" t="str">
        <f t="shared" si="215"/>
        <v/>
      </c>
      <c r="R1926" s="39" t="str">
        <f t="shared" si="216"/>
        <v/>
      </c>
      <c r="S1926" s="28"/>
      <c r="T1926" s="28"/>
      <c r="U1926" s="28"/>
    </row>
    <row r="1927" spans="1:21" s="5" customFormat="1">
      <c r="A1927" s="179" t="s">
        <v>2349</v>
      </c>
      <c r="B1927" s="185" t="s">
        <v>6534</v>
      </c>
      <c r="C1927" s="35" t="str">
        <f t="shared" si="210"/>
        <v>Kashanih</v>
      </c>
      <c r="E1927" s="40"/>
      <c r="F1927" s="14"/>
      <c r="G1927" s="17"/>
      <c r="H1927" s="10" t="s">
        <v>8563</v>
      </c>
      <c r="I1927" s="4" t="str">
        <f t="shared" si="211"/>
        <v>|Káánih|</v>
      </c>
      <c r="J1927" s="3" t="str">
        <f t="shared" si="212"/>
        <v>|Kashanih|</v>
      </c>
      <c r="K1927" s="3" t="str">
        <f t="shared" si="213"/>
        <v>Kashanih</v>
      </c>
      <c r="N1927" s="39" t="str">
        <f t="shared" si="214"/>
        <v/>
      </c>
      <c r="P1927" s="39" t="str">
        <f t="shared" si="215"/>
        <v/>
      </c>
      <c r="R1927" s="39" t="str">
        <f t="shared" si="216"/>
        <v/>
      </c>
      <c r="S1927" s="28"/>
      <c r="T1927" s="28"/>
      <c r="U1927" s="28"/>
    </row>
    <row r="1928" spans="1:21" s="5" customFormat="1">
      <c r="A1928" s="179" t="s">
        <v>2350</v>
      </c>
      <c r="B1928" s="185" t="s">
        <v>6535</v>
      </c>
      <c r="C1928" s="35" t="str">
        <f t="shared" si="210"/>
        <v>Kashf</v>
      </c>
      <c r="E1928" s="40"/>
      <c r="F1928" s="15"/>
      <c r="G1928" s="17"/>
      <c r="H1928" s="10" t="s">
        <v>8563</v>
      </c>
      <c r="I1928" s="4" t="str">
        <f t="shared" si="211"/>
        <v>|Kaf|</v>
      </c>
      <c r="J1928" s="3" t="str">
        <f t="shared" si="212"/>
        <v>|Kashf|</v>
      </c>
      <c r="K1928" s="3" t="str">
        <f t="shared" si="213"/>
        <v>Kashf</v>
      </c>
      <c r="N1928" s="39" t="str">
        <f t="shared" si="214"/>
        <v/>
      </c>
      <c r="P1928" s="39" t="str">
        <f t="shared" si="215"/>
        <v/>
      </c>
      <c r="R1928" s="39" t="str">
        <f t="shared" si="216"/>
        <v/>
      </c>
      <c r="S1928" s="28"/>
      <c r="T1928" s="28"/>
      <c r="U1928" s="28"/>
    </row>
    <row r="1929" spans="1:21" s="5" customFormat="1">
      <c r="A1929" s="179" t="s">
        <v>2351</v>
      </c>
      <c r="B1929" s="185" t="s">
        <v>6536</v>
      </c>
      <c r="C1929" s="35" t="str">
        <f t="shared" si="210"/>
        <v>Kashfi</v>
      </c>
      <c r="E1929" s="40"/>
      <c r="F1929" s="14"/>
      <c r="G1929" s="17"/>
      <c r="H1929" s="10" t="s">
        <v>8563</v>
      </c>
      <c r="I1929" s="4" t="str">
        <f t="shared" si="211"/>
        <v>|Kafí|</v>
      </c>
      <c r="J1929" s="3" t="str">
        <f t="shared" si="212"/>
        <v>|Kashfi|</v>
      </c>
      <c r="K1929" s="3" t="str">
        <f t="shared" si="213"/>
        <v>Kashfi</v>
      </c>
      <c r="N1929" s="39" t="str">
        <f t="shared" si="214"/>
        <v/>
      </c>
      <c r="P1929" s="39" t="str">
        <f t="shared" si="215"/>
        <v/>
      </c>
      <c r="R1929" s="39" t="str">
        <f t="shared" si="216"/>
        <v/>
      </c>
      <c r="S1929" s="28"/>
      <c r="T1929" s="28"/>
      <c r="U1929" s="28"/>
    </row>
    <row r="1930" spans="1:21" s="5" customFormat="1">
      <c r="A1930" s="179" t="s">
        <v>2352</v>
      </c>
      <c r="B1930" s="185" t="s">
        <v>6537</v>
      </c>
      <c r="C1930" s="35" t="str">
        <f t="shared" si="210"/>
        <v>KashfulGhita</v>
      </c>
      <c r="E1930" s="40"/>
      <c r="F1930" s="15"/>
      <c r="G1930" s="17"/>
      <c r="H1930" s="10" t="s">
        <v>8563</v>
      </c>
      <c r="I1930" s="4" t="str">
        <f t="shared" si="211"/>
        <v>|Kafu’l-iṭáʿ|</v>
      </c>
      <c r="J1930" s="3" t="str">
        <f t="shared" si="212"/>
        <v>|Kashfu'l-Ghita'|</v>
      </c>
      <c r="K1930" s="3" t="str">
        <f t="shared" si="213"/>
        <v>Kashful-Ghita</v>
      </c>
      <c r="N1930" s="39" t="str">
        <f t="shared" si="214"/>
        <v/>
      </c>
      <c r="P1930" s="39" t="str">
        <f t="shared" si="215"/>
        <v/>
      </c>
      <c r="R1930" s="39" t="str">
        <f t="shared" si="216"/>
        <v/>
      </c>
      <c r="S1930" s="28"/>
      <c r="T1930" s="28"/>
      <c r="U1930" s="28"/>
    </row>
    <row r="1931" spans="1:21" s="5" customFormat="1">
      <c r="A1931" s="179" t="s">
        <v>2353</v>
      </c>
      <c r="B1931" s="185" t="s">
        <v>6538</v>
      </c>
      <c r="C1931" s="35" t="str">
        <f t="shared" si="210"/>
        <v>Kashghar</v>
      </c>
      <c r="E1931" s="40"/>
      <c r="F1931" s="15" t="s">
        <v>2354</v>
      </c>
      <c r="G1931" s="17"/>
      <c r="H1931" s="10" t="s">
        <v>8563</v>
      </c>
      <c r="I1931" s="4" t="str">
        <f t="shared" si="211"/>
        <v>|Káar|</v>
      </c>
      <c r="J1931" s="3" t="str">
        <f t="shared" si="212"/>
        <v>|Kashghar|</v>
      </c>
      <c r="K1931" s="3" t="str">
        <f t="shared" si="213"/>
        <v>Kashghar</v>
      </c>
      <c r="N1931" s="39" t="str">
        <f t="shared" si="214"/>
        <v/>
      </c>
      <c r="P1931" s="39" t="str">
        <f t="shared" si="215"/>
        <v/>
      </c>
      <c r="R1931" s="39" t="str">
        <f t="shared" si="216"/>
        <v/>
      </c>
      <c r="S1931" s="28"/>
      <c r="T1931" s="28"/>
      <c r="U1931" s="28"/>
    </row>
    <row r="1932" spans="1:21" s="5" customFormat="1">
      <c r="A1932" s="179" t="s">
        <v>2355</v>
      </c>
      <c r="B1932" s="185" t="s">
        <v>6539</v>
      </c>
      <c r="C1932" s="35" t="str">
        <f t="shared" si="210"/>
        <v>Kashkul</v>
      </c>
      <c r="E1932" s="40"/>
      <c r="F1932" s="14"/>
      <c r="G1932" s="17"/>
      <c r="H1932" s="10" t="s">
        <v>8563</v>
      </c>
      <c r="I1932" s="4" t="str">
        <f t="shared" si="211"/>
        <v>|Kakúl|</v>
      </c>
      <c r="J1932" s="3" t="str">
        <f t="shared" si="212"/>
        <v>|Kashkul|</v>
      </c>
      <c r="K1932" s="3" t="str">
        <f t="shared" si="213"/>
        <v>Kashkul</v>
      </c>
      <c r="N1932" s="39" t="str">
        <f t="shared" si="214"/>
        <v/>
      </c>
      <c r="P1932" s="39" t="str">
        <f t="shared" si="215"/>
        <v/>
      </c>
      <c r="R1932" s="39" t="str">
        <f t="shared" si="216"/>
        <v/>
      </c>
      <c r="S1932" s="28"/>
      <c r="T1932" s="28"/>
      <c r="U1932" s="28"/>
    </row>
    <row r="1933" spans="1:21" s="5" customFormat="1">
      <c r="A1933" s="179" t="s">
        <v>2356</v>
      </c>
      <c r="B1933" s="185" t="s">
        <v>6540</v>
      </c>
      <c r="C1933" s="35" t="str">
        <f t="shared" si="210"/>
        <v>Kashmir</v>
      </c>
      <c r="E1933" s="40"/>
      <c r="F1933" s="14"/>
      <c r="G1933" s="17"/>
      <c r="H1933" s="10" t="s">
        <v>8563</v>
      </c>
      <c r="I1933" s="4" t="str">
        <f t="shared" si="211"/>
        <v>|Kamir|</v>
      </c>
      <c r="J1933" s="3" t="str">
        <f t="shared" si="212"/>
        <v>|Kashmir|</v>
      </c>
      <c r="K1933" s="3" t="str">
        <f t="shared" si="213"/>
        <v>Kashmir</v>
      </c>
      <c r="N1933" s="39" t="str">
        <f t="shared" si="214"/>
        <v/>
      </c>
      <c r="P1933" s="39" t="str">
        <f t="shared" si="215"/>
        <v/>
      </c>
      <c r="R1933" s="39" t="str">
        <f t="shared" si="216"/>
        <v/>
      </c>
      <c r="S1933" s="28"/>
      <c r="T1933" s="28"/>
      <c r="U1933" s="28"/>
    </row>
    <row r="1934" spans="1:21" s="5" customFormat="1">
      <c r="A1934" s="179" t="s">
        <v>2547</v>
      </c>
      <c r="B1934" s="185" t="s">
        <v>6703</v>
      </c>
      <c r="C1934" s="35" t="str">
        <f t="shared" si="210"/>
        <v>Kasra</v>
      </c>
      <c r="E1934" s="40"/>
      <c r="F1934" s="15" t="s">
        <v>2548</v>
      </c>
      <c r="G1934" s="17"/>
      <c r="H1934" s="10" t="s">
        <v>8563</v>
      </c>
      <c r="I1934" s="4" t="str">
        <f t="shared" si="211"/>
        <v>|Kasrá|</v>
      </c>
      <c r="J1934" s="3" t="str">
        <f t="shared" si="212"/>
        <v>|Kasra|</v>
      </c>
      <c r="K1934" s="3" t="str">
        <f t="shared" si="213"/>
        <v>Kasra</v>
      </c>
      <c r="N1934" s="39" t="str">
        <f t="shared" si="214"/>
        <v/>
      </c>
      <c r="P1934" s="39" t="str">
        <f t="shared" si="215"/>
        <v/>
      </c>
      <c r="R1934" s="39" t="str">
        <f t="shared" si="216"/>
        <v/>
      </c>
      <c r="S1934" s="28"/>
      <c r="T1934" s="28"/>
      <c r="U1934" s="28"/>
    </row>
    <row r="1935" spans="1:21" s="5" customFormat="1">
      <c r="A1935" s="179" t="s">
        <v>2357</v>
      </c>
      <c r="B1935" s="185" t="s">
        <v>6541</v>
      </c>
      <c r="C1935" s="35" t="str">
        <f t="shared" si="210"/>
        <v>Kathiri</v>
      </c>
      <c r="E1935" s="40"/>
      <c r="F1935" s="15"/>
      <c r="G1935" s="17"/>
      <c r="H1935" s="10" t="s">
        <v>8563</v>
      </c>
      <c r="I1935" s="4" t="str">
        <f t="shared" si="211"/>
        <v>|Kaírí|</v>
      </c>
      <c r="J1935" s="3" t="str">
        <f t="shared" si="212"/>
        <v>|Kathiri|</v>
      </c>
      <c r="K1935" s="3" t="str">
        <f t="shared" si="213"/>
        <v>Kathiri</v>
      </c>
      <c r="N1935" s="39" t="str">
        <f t="shared" si="214"/>
        <v/>
      </c>
      <c r="P1935" s="39" t="str">
        <f t="shared" si="215"/>
        <v/>
      </c>
      <c r="R1935" s="39" t="str">
        <f t="shared" si="216"/>
        <v/>
      </c>
      <c r="S1935" s="28"/>
      <c r="T1935" s="28"/>
      <c r="U1935" s="28"/>
    </row>
    <row r="1936" spans="1:21" s="5" customFormat="1">
      <c r="A1936" s="179" t="s">
        <v>2358</v>
      </c>
      <c r="B1936" s="185" t="s">
        <v>6542</v>
      </c>
      <c r="C1936" s="35" t="str">
        <f t="shared" si="210"/>
        <v>Katib</v>
      </c>
      <c r="E1936" s="40"/>
      <c r="F1936" s="15"/>
      <c r="G1936" s="17"/>
      <c r="H1936" s="10" t="s">
        <v>8563</v>
      </c>
      <c r="I1936" s="4" t="str">
        <f t="shared" si="211"/>
        <v>|Kátib|</v>
      </c>
      <c r="J1936" s="3" t="str">
        <f t="shared" si="212"/>
        <v>|Katib|</v>
      </c>
      <c r="K1936" s="3" t="str">
        <f t="shared" si="213"/>
        <v>Katib</v>
      </c>
      <c r="N1936" s="39" t="str">
        <f t="shared" si="214"/>
        <v/>
      </c>
      <c r="P1936" s="39" t="str">
        <f t="shared" si="215"/>
        <v/>
      </c>
      <c r="R1936" s="39" t="str">
        <f t="shared" si="216"/>
        <v/>
      </c>
      <c r="S1936" s="28"/>
      <c r="T1936" s="28"/>
      <c r="U1936" s="28"/>
    </row>
    <row r="1937" spans="1:21" s="5" customFormat="1">
      <c r="A1937" s="179" t="s">
        <v>2359</v>
      </c>
      <c r="B1937" s="185" t="s">
        <v>6543</v>
      </c>
      <c r="C1937" s="35" t="str">
        <f t="shared" si="210"/>
        <v>KatibpurShahidi</v>
      </c>
      <c r="E1937" s="40"/>
      <c r="F1937" s="15"/>
      <c r="G1937" s="17"/>
      <c r="H1937" s="10" t="s">
        <v>8563</v>
      </c>
      <c r="I1937" s="4" t="str">
        <f t="shared" si="211"/>
        <v>|Kátibpúr-ahídí|</v>
      </c>
      <c r="J1937" s="3" t="str">
        <f t="shared" si="212"/>
        <v>|Katibpur-Shahidi|</v>
      </c>
      <c r="K1937" s="3" t="str">
        <f t="shared" si="213"/>
        <v>Katibpur-Shahidi</v>
      </c>
      <c r="N1937" s="39" t="str">
        <f t="shared" si="214"/>
        <v/>
      </c>
      <c r="P1937" s="39" t="str">
        <f t="shared" si="215"/>
        <v/>
      </c>
      <c r="R1937" s="39" t="str">
        <f t="shared" si="216"/>
        <v/>
      </c>
      <c r="S1937" s="28"/>
      <c r="T1937" s="28"/>
      <c r="U1937" s="28"/>
    </row>
    <row r="1938" spans="1:21" s="5" customFormat="1">
      <c r="A1938" s="179" t="s">
        <v>2587</v>
      </c>
      <c r="B1938" s="185" t="s">
        <v>6731</v>
      </c>
      <c r="C1938" s="35" t="str">
        <f t="shared" si="210"/>
        <v>Kawkab</v>
      </c>
      <c r="E1938" s="40"/>
      <c r="F1938" s="15" t="s">
        <v>2588</v>
      </c>
      <c r="G1938" s="17"/>
      <c r="H1938" s="10" t="s">
        <v>8563</v>
      </c>
      <c r="I1938" s="4" t="str">
        <f t="shared" si="211"/>
        <v>|Kawkab|</v>
      </c>
      <c r="J1938" s="3" t="str">
        <f t="shared" si="212"/>
        <v>|Kawkab|</v>
      </c>
      <c r="K1938" s="3" t="str">
        <f t="shared" si="213"/>
        <v>Kawkab</v>
      </c>
      <c r="N1938" s="39" t="str">
        <f t="shared" si="214"/>
        <v/>
      </c>
      <c r="P1938" s="39" t="str">
        <f t="shared" si="215"/>
        <v/>
      </c>
      <c r="R1938" s="39" t="str">
        <f t="shared" si="216"/>
        <v/>
      </c>
      <c r="S1938" s="28"/>
      <c r="T1938" s="28"/>
      <c r="U1938" s="28"/>
    </row>
    <row r="1939" spans="1:21" s="5" customFormat="1">
      <c r="A1939" s="179" t="s">
        <v>2360</v>
      </c>
      <c r="B1939" s="185" t="s">
        <v>6544</v>
      </c>
      <c r="C1939" s="35" t="str">
        <f t="shared" si="210"/>
        <v>Kawthar</v>
      </c>
      <c r="E1939" s="40"/>
      <c r="F1939" s="14" t="s">
        <v>2361</v>
      </c>
      <c r="G1939" s="17"/>
      <c r="H1939" s="10" t="s">
        <v>8563</v>
      </c>
      <c r="I1939" s="4" t="str">
        <f t="shared" si="211"/>
        <v>|Kawar|</v>
      </c>
      <c r="J1939" s="3" t="str">
        <f t="shared" si="212"/>
        <v>|Kawthar|</v>
      </c>
      <c r="K1939" s="3" t="str">
        <f t="shared" si="213"/>
        <v>Kawthar</v>
      </c>
      <c r="N1939" s="39" t="str">
        <f t="shared" si="214"/>
        <v/>
      </c>
      <c r="P1939" s="39" t="str">
        <f t="shared" si="215"/>
        <v/>
      </c>
      <c r="R1939" s="39" t="str">
        <f t="shared" si="216"/>
        <v/>
      </c>
      <c r="S1939" s="28"/>
      <c r="T1939" s="28"/>
      <c r="U1939" s="28"/>
    </row>
    <row r="1940" spans="1:21" s="5" customFormat="1">
      <c r="A1940" s="179" t="s">
        <v>2362</v>
      </c>
      <c r="B1940" s="185" t="s">
        <v>6545</v>
      </c>
      <c r="C1940" s="35" t="str">
        <f t="shared" si="210"/>
        <v>Kaykhusraw</v>
      </c>
      <c r="E1940" s="40"/>
      <c r="F1940" s="14"/>
      <c r="G1940" s="17"/>
      <c r="H1940" s="10" t="s">
        <v>8563</v>
      </c>
      <c r="I1940" s="4" t="str">
        <f t="shared" si="211"/>
        <v>|Kayusraw|</v>
      </c>
      <c r="J1940" s="3" t="str">
        <f t="shared" si="212"/>
        <v>|Kaykhusraw|</v>
      </c>
      <c r="K1940" s="3" t="str">
        <f t="shared" si="213"/>
        <v>Kaykhusraw</v>
      </c>
      <c r="N1940" s="39" t="str">
        <f t="shared" si="214"/>
        <v/>
      </c>
      <c r="P1940" s="39" t="str">
        <f t="shared" si="215"/>
        <v/>
      </c>
      <c r="R1940" s="39" t="str">
        <f t="shared" si="216"/>
        <v/>
      </c>
      <c r="S1940" s="28"/>
      <c r="T1940" s="28"/>
      <c r="U1940" s="28"/>
    </row>
    <row r="1941" spans="1:21" s="5" customFormat="1">
      <c r="A1941" s="179" t="s">
        <v>2363</v>
      </c>
      <c r="B1941" s="185" t="s">
        <v>6546</v>
      </c>
      <c r="C1941" s="35" t="str">
        <f t="shared" si="210"/>
        <v>Kazim</v>
      </c>
      <c r="E1941" s="40"/>
      <c r="F1941" s="14"/>
      <c r="G1941" s="17"/>
      <c r="H1941" s="10" t="s">
        <v>8563</v>
      </c>
      <c r="I1941" s="4" t="str">
        <f t="shared" si="211"/>
        <v>|Káẓim|</v>
      </c>
      <c r="J1941" s="3" t="str">
        <f t="shared" si="212"/>
        <v>|Kazim|</v>
      </c>
      <c r="K1941" s="3" t="str">
        <f t="shared" si="213"/>
        <v>Kazim</v>
      </c>
      <c r="N1941" s="39" t="str">
        <f t="shared" si="214"/>
        <v/>
      </c>
      <c r="P1941" s="39" t="str">
        <f t="shared" si="215"/>
        <v/>
      </c>
      <c r="R1941" s="39" t="str">
        <f t="shared" si="216"/>
        <v/>
      </c>
      <c r="S1941" s="28"/>
      <c r="T1941" s="28"/>
      <c r="U1941" s="28"/>
    </row>
    <row r="1942" spans="1:21" s="5" customFormat="1">
      <c r="A1942" s="179" t="s">
        <v>2364</v>
      </c>
      <c r="B1942" s="185" t="s">
        <v>6547</v>
      </c>
      <c r="C1942" s="35" t="str">
        <f t="shared" si="210"/>
        <v>Kazimayn</v>
      </c>
      <c r="E1942" s="40"/>
      <c r="F1942" s="14"/>
      <c r="G1942" s="17"/>
      <c r="H1942" s="10" t="s">
        <v>8563</v>
      </c>
      <c r="I1942" s="4" t="str">
        <f t="shared" si="211"/>
        <v>|Káẓimayn|</v>
      </c>
      <c r="J1942" s="3" t="str">
        <f t="shared" si="212"/>
        <v>|Kazimayn|</v>
      </c>
      <c r="K1942" s="3" t="str">
        <f t="shared" si="213"/>
        <v>Kazimayn</v>
      </c>
      <c r="N1942" s="39" t="str">
        <f t="shared" si="214"/>
        <v/>
      </c>
      <c r="P1942" s="39" t="str">
        <f t="shared" si="215"/>
        <v/>
      </c>
      <c r="R1942" s="39" t="str">
        <f t="shared" si="216"/>
        <v/>
      </c>
      <c r="S1942" s="28"/>
      <c r="T1942" s="28"/>
      <c r="U1942" s="28"/>
    </row>
    <row r="1943" spans="1:21" s="5" customFormat="1">
      <c r="A1943" s="179" t="s">
        <v>2365</v>
      </c>
      <c r="B1943" s="185" t="s">
        <v>6548</v>
      </c>
      <c r="C1943" s="35" t="str">
        <f t="shared" si="210"/>
        <v>KazimiRashti</v>
      </c>
      <c r="E1943" s="40"/>
      <c r="F1943" s="15"/>
      <c r="G1943" s="17"/>
      <c r="H1943" s="10" t="s">
        <v>8563</v>
      </c>
      <c r="I1943" s="4" t="str">
        <f t="shared" si="211"/>
        <v>|Káẓim-i-Ratí|</v>
      </c>
      <c r="J1943" s="3" t="str">
        <f t="shared" si="212"/>
        <v>|Kazim-i-Rashti|</v>
      </c>
      <c r="K1943" s="3" t="str">
        <f t="shared" si="213"/>
        <v>Kazim-i-Rashti</v>
      </c>
      <c r="N1943" s="39" t="str">
        <f t="shared" si="214"/>
        <v/>
      </c>
      <c r="P1943" s="39" t="str">
        <f t="shared" si="215"/>
        <v/>
      </c>
      <c r="R1943" s="39" t="str">
        <f t="shared" si="216"/>
        <v/>
      </c>
      <c r="S1943" s="28"/>
      <c r="T1943" s="28"/>
      <c r="U1943" s="28"/>
    </row>
    <row r="1944" spans="1:21" s="5" customFormat="1">
      <c r="A1944" s="179" t="s">
        <v>2366</v>
      </c>
      <c r="B1944" s="185" t="s">
        <v>6549</v>
      </c>
      <c r="C1944" s="35" t="str">
        <f t="shared" si="210"/>
        <v>KazimiZanjani</v>
      </c>
      <c r="E1944" s="40"/>
      <c r="F1944" s="15"/>
      <c r="G1944" s="17"/>
      <c r="H1944" s="10" t="s">
        <v>8563</v>
      </c>
      <c r="I1944" s="4" t="str">
        <f t="shared" si="211"/>
        <v>|Káẓim-i-Zanjání|</v>
      </c>
      <c r="J1944" s="3" t="str">
        <f t="shared" si="212"/>
        <v>|Kazim-i-Zanjani|</v>
      </c>
      <c r="K1944" s="3" t="str">
        <f t="shared" si="213"/>
        <v>Kazim-i-Zanjani</v>
      </c>
      <c r="N1944" s="39" t="str">
        <f t="shared" si="214"/>
        <v/>
      </c>
      <c r="P1944" s="39" t="str">
        <f t="shared" si="215"/>
        <v/>
      </c>
      <c r="R1944" s="39" t="str">
        <f t="shared" si="216"/>
        <v/>
      </c>
      <c r="S1944" s="28"/>
      <c r="T1944" s="28"/>
      <c r="U1944" s="28"/>
    </row>
    <row r="1945" spans="1:21" s="5" customFormat="1">
      <c r="A1945" s="179" t="s">
        <v>2367</v>
      </c>
      <c r="B1945" s="185" t="s">
        <v>6550</v>
      </c>
      <c r="C1945" s="35" t="str">
        <f t="shared" si="210"/>
        <v>Kermanshah</v>
      </c>
      <c r="E1945" s="40"/>
      <c r="F1945" s="14"/>
      <c r="G1945" s="17"/>
      <c r="H1945" s="10" t="s">
        <v>8563</v>
      </c>
      <c r="I1945" s="4" t="str">
        <f t="shared" si="211"/>
        <v>|Kermánáh|</v>
      </c>
      <c r="J1945" s="3" t="str">
        <f t="shared" si="212"/>
        <v>|Kermanshah|</v>
      </c>
      <c r="K1945" s="3" t="str">
        <f t="shared" si="213"/>
        <v>Kermanshah</v>
      </c>
      <c r="N1945" s="39" t="str">
        <f t="shared" si="214"/>
        <v/>
      </c>
      <c r="P1945" s="39" t="str">
        <f t="shared" si="215"/>
        <v/>
      </c>
      <c r="R1945" s="39" t="str">
        <f t="shared" si="216"/>
        <v/>
      </c>
      <c r="S1945" s="28"/>
      <c r="T1945" s="28"/>
      <c r="U1945" s="28"/>
    </row>
    <row r="1946" spans="1:21" s="5" customFormat="1">
      <c r="A1946" s="179" t="s">
        <v>2368</v>
      </c>
      <c r="B1946" s="185" t="s">
        <v>6551</v>
      </c>
      <c r="C1946" s="35" t="str">
        <f t="shared" si="210"/>
        <v>Kha</v>
      </c>
      <c r="E1946" s="40"/>
      <c r="F1946" s="14"/>
      <c r="G1946" s="17"/>
      <c r="H1946" s="10" t="s">
        <v>8563</v>
      </c>
      <c r="I1946" s="4" t="str">
        <f t="shared" si="211"/>
        <v>|á|</v>
      </c>
      <c r="J1946" s="3" t="str">
        <f t="shared" si="212"/>
        <v>|Kha|</v>
      </c>
      <c r="K1946" s="3" t="str">
        <f t="shared" si="213"/>
        <v>Kha</v>
      </c>
      <c r="N1946" s="39" t="str">
        <f t="shared" si="214"/>
        <v/>
      </c>
      <c r="P1946" s="39" t="str">
        <f t="shared" si="215"/>
        <v/>
      </c>
      <c r="R1946" s="39" t="str">
        <f t="shared" si="216"/>
        <v/>
      </c>
      <c r="S1946" s="28"/>
      <c r="T1946" s="28"/>
      <c r="U1946" s="28"/>
    </row>
    <row r="1947" spans="1:21" s="5" customFormat="1">
      <c r="A1947" s="179" t="s">
        <v>2369</v>
      </c>
      <c r="B1947" s="185" t="s">
        <v>6552</v>
      </c>
      <c r="C1947" s="35" t="str">
        <f t="shared" si="210"/>
        <v>Khabardar</v>
      </c>
      <c r="E1947" s="40"/>
      <c r="F1947" s="15"/>
      <c r="G1947" s="17"/>
      <c r="H1947" s="10" t="s">
        <v>8563</v>
      </c>
      <c r="I1947" s="4" t="str">
        <f t="shared" si="211"/>
        <v>|abardár|</v>
      </c>
      <c r="J1947" s="3" t="str">
        <f t="shared" si="212"/>
        <v>|Khabardar|</v>
      </c>
      <c r="K1947" s="3" t="str">
        <f t="shared" si="213"/>
        <v>Khabardar</v>
      </c>
      <c r="N1947" s="39" t="str">
        <f t="shared" si="214"/>
        <v/>
      </c>
      <c r="P1947" s="39" t="str">
        <f t="shared" si="215"/>
        <v/>
      </c>
      <c r="R1947" s="39" t="str">
        <f t="shared" si="216"/>
        <v/>
      </c>
      <c r="S1947" s="28"/>
      <c r="T1947" s="28"/>
      <c r="U1947" s="28"/>
    </row>
    <row r="1948" spans="1:21" s="5" customFormat="1">
      <c r="A1948" s="179" t="s">
        <v>2370</v>
      </c>
      <c r="B1948" s="185" t="s">
        <v>6553</v>
      </c>
      <c r="C1948" s="35" t="str">
        <f t="shared" si="210"/>
        <v>KhabirulMulk</v>
      </c>
      <c r="E1948" s="40"/>
      <c r="F1948" s="15"/>
      <c r="G1948" s="17"/>
      <c r="H1948" s="10" t="s">
        <v>8563</v>
      </c>
      <c r="I1948" s="4" t="str">
        <f t="shared" si="211"/>
        <v>|abíru’l-Mulk|</v>
      </c>
      <c r="J1948" s="3" t="str">
        <f t="shared" si="212"/>
        <v>|Khabiru'l-Mulk|</v>
      </c>
      <c r="K1948" s="3" t="str">
        <f t="shared" si="213"/>
        <v>Khabirul-Mulk</v>
      </c>
      <c r="N1948" s="39" t="str">
        <f t="shared" si="214"/>
        <v/>
      </c>
      <c r="P1948" s="39" t="str">
        <f t="shared" si="215"/>
        <v/>
      </c>
      <c r="R1948" s="39" t="str">
        <f t="shared" si="216"/>
        <v/>
      </c>
      <c r="S1948" s="28"/>
      <c r="T1948" s="28"/>
      <c r="U1948" s="28"/>
    </row>
    <row r="1949" spans="1:21" s="5" customFormat="1">
      <c r="A1949" s="179" t="s">
        <v>2371</v>
      </c>
      <c r="B1949" s="185" t="s">
        <v>120</v>
      </c>
      <c r="C1949" s="35" t="str">
        <f t="shared" si="210"/>
        <v>Khadijih</v>
      </c>
      <c r="E1949" s="40"/>
      <c r="F1949" s="14"/>
      <c r="G1949" s="17"/>
      <c r="H1949" s="10" t="s">
        <v>8563</v>
      </c>
      <c r="I1949" s="4" t="str">
        <f t="shared" si="211"/>
        <v>|adíjih|</v>
      </c>
      <c r="J1949" s="3" t="str">
        <f t="shared" si="212"/>
        <v>|Khadijih|</v>
      </c>
      <c r="K1949" s="3" t="str">
        <f t="shared" si="213"/>
        <v>Khadijih</v>
      </c>
      <c r="N1949" s="39" t="str">
        <f t="shared" si="214"/>
        <v/>
      </c>
      <c r="P1949" s="39" t="str">
        <f t="shared" si="215"/>
        <v/>
      </c>
      <c r="R1949" s="39" t="str">
        <f t="shared" si="216"/>
        <v/>
      </c>
      <c r="S1949" s="28"/>
      <c r="T1949" s="28"/>
      <c r="U1949" s="28"/>
    </row>
    <row r="1950" spans="1:21" s="5" customFormat="1">
      <c r="A1950" s="179" t="s">
        <v>2372</v>
      </c>
      <c r="B1950" s="185" t="s">
        <v>6554</v>
      </c>
      <c r="C1950" s="35" t="str">
        <f t="shared" si="210"/>
        <v>KhadijihBagum</v>
      </c>
      <c r="E1950" s="40"/>
      <c r="F1950" s="15" t="s">
        <v>2373</v>
      </c>
      <c r="G1950" s="17"/>
      <c r="H1950" s="10" t="s">
        <v>8563</v>
      </c>
      <c r="I1950" s="4" t="str">
        <f t="shared" si="211"/>
        <v>|adíjih-Bagum|</v>
      </c>
      <c r="J1950" s="3" t="str">
        <f t="shared" si="212"/>
        <v>|Khadijih-Bagum|</v>
      </c>
      <c r="K1950" s="3" t="str">
        <f t="shared" si="213"/>
        <v>Khadijih-Bagum</v>
      </c>
      <c r="N1950" s="39" t="str">
        <f t="shared" si="214"/>
        <v/>
      </c>
      <c r="P1950" s="39" t="str">
        <f t="shared" si="215"/>
        <v/>
      </c>
      <c r="R1950" s="39" t="str">
        <f t="shared" si="216"/>
        <v/>
      </c>
      <c r="S1950" s="28"/>
      <c r="T1950" s="28"/>
      <c r="U1950" s="28"/>
    </row>
    <row r="1951" spans="1:21" s="5" customFormat="1">
      <c r="A1951" s="179" t="s">
        <v>2374</v>
      </c>
      <c r="B1951" s="185" t="s">
        <v>6555</v>
      </c>
      <c r="C1951" s="35" t="str">
        <f t="shared" si="210"/>
        <v>KhadijihSultan</v>
      </c>
      <c r="E1951" s="40"/>
      <c r="F1951" s="14"/>
      <c r="G1951" s="17"/>
      <c r="H1951" s="10" t="s">
        <v>8563</v>
      </c>
      <c r="I1951" s="4" t="str">
        <f t="shared" si="211"/>
        <v>|adíjih-Sulṭán|</v>
      </c>
      <c r="J1951" s="3" t="str">
        <f t="shared" si="212"/>
        <v>|Khadijih-Sultan|</v>
      </c>
      <c r="K1951" s="3" t="str">
        <f t="shared" si="213"/>
        <v>Khadijih-Sultan</v>
      </c>
      <c r="N1951" s="39" t="str">
        <f t="shared" si="214"/>
        <v/>
      </c>
      <c r="P1951" s="39" t="str">
        <f t="shared" si="215"/>
        <v/>
      </c>
      <c r="R1951" s="39" t="str">
        <f t="shared" si="216"/>
        <v/>
      </c>
      <c r="S1951" s="28"/>
      <c r="T1951" s="28"/>
      <c r="U1951" s="28"/>
    </row>
    <row r="1952" spans="1:21" s="5" customFormat="1">
      <c r="A1952" s="179" t="s">
        <v>2375</v>
      </c>
      <c r="B1952" s="185" t="s">
        <v>6556</v>
      </c>
      <c r="C1952" s="35" t="str">
        <f t="shared" si="210"/>
        <v>Khadim</v>
      </c>
      <c r="E1952" s="40"/>
      <c r="F1952" s="15" t="s">
        <v>2376</v>
      </c>
      <c r="G1952" s="17"/>
      <c r="H1952" s="10" t="s">
        <v>8563</v>
      </c>
      <c r="I1952" s="4" t="str">
        <f t="shared" si="211"/>
        <v>|ádim|</v>
      </c>
      <c r="J1952" s="3" t="str">
        <f t="shared" si="212"/>
        <v>|Khadim|</v>
      </c>
      <c r="K1952" s="3" t="str">
        <f t="shared" si="213"/>
        <v>Khadim</v>
      </c>
      <c r="N1952" s="39" t="str">
        <f t="shared" si="214"/>
        <v/>
      </c>
      <c r="P1952" s="39" t="str">
        <f t="shared" si="215"/>
        <v/>
      </c>
      <c r="R1952" s="39" t="str">
        <f t="shared" si="216"/>
        <v/>
      </c>
      <c r="S1952" s="28"/>
      <c r="T1952" s="28"/>
      <c r="U1952" s="28"/>
    </row>
    <row r="1953" spans="1:21" s="5" customFormat="1">
      <c r="A1953" s="179" t="s">
        <v>2377</v>
      </c>
      <c r="B1953" s="185" t="s">
        <v>6557</v>
      </c>
      <c r="C1953" s="35" t="str">
        <f t="shared" si="210"/>
        <v>Khadimullah</v>
      </c>
      <c r="E1953" s="40"/>
      <c r="F1953" s="15" t="s">
        <v>2378</v>
      </c>
      <c r="G1953" s="17"/>
      <c r="H1953" s="10" t="s">
        <v>8563</v>
      </c>
      <c r="I1953" s="4" t="str">
        <f t="shared" si="211"/>
        <v>|ádimu’lláh|</v>
      </c>
      <c r="J1953" s="3" t="str">
        <f t="shared" si="212"/>
        <v>|Khadimu'llah|</v>
      </c>
      <c r="K1953" s="3" t="str">
        <f t="shared" si="213"/>
        <v>Khadimullah</v>
      </c>
      <c r="N1953" s="39" t="str">
        <f t="shared" si="214"/>
        <v/>
      </c>
      <c r="P1953" s="39" t="str">
        <f t="shared" si="215"/>
        <v/>
      </c>
      <c r="R1953" s="39" t="str">
        <f t="shared" si="216"/>
        <v/>
      </c>
      <c r="S1953" s="28"/>
      <c r="T1953" s="28"/>
      <c r="U1953" s="28"/>
    </row>
    <row r="1954" spans="1:21" s="5" customFormat="1">
      <c r="A1954" s="179" t="s">
        <v>2379</v>
      </c>
      <c r="B1954" s="185" t="s">
        <v>6558</v>
      </c>
      <c r="C1954" s="35" t="str">
        <f t="shared" si="210"/>
        <v>khafi</v>
      </c>
      <c r="E1954" s="40"/>
      <c r="F1954" s="15" t="s">
        <v>2380</v>
      </c>
      <c r="G1954" s="17"/>
      <c r="H1954" s="10" t="s">
        <v>8563</v>
      </c>
      <c r="I1954" s="4" t="str">
        <f t="shared" si="211"/>
        <v>|afí|</v>
      </c>
      <c r="J1954" s="3" t="str">
        <f t="shared" si="212"/>
        <v>|khafi|</v>
      </c>
      <c r="K1954" s="3" t="str">
        <f t="shared" si="213"/>
        <v>khafi</v>
      </c>
      <c r="N1954" s="39" t="str">
        <f t="shared" si="214"/>
        <v/>
      </c>
      <c r="P1954" s="39" t="str">
        <f t="shared" si="215"/>
        <v/>
      </c>
      <c r="R1954" s="39" t="str">
        <f t="shared" si="216"/>
        <v/>
      </c>
      <c r="S1954" s="28"/>
      <c r="T1954" s="28"/>
      <c r="U1954" s="28"/>
    </row>
    <row r="1955" spans="1:21" s="5" customFormat="1">
      <c r="A1955" s="179" t="s">
        <v>2381</v>
      </c>
      <c r="B1955" s="185" t="s">
        <v>6559</v>
      </c>
      <c r="C1955" s="35" t="str">
        <f t="shared" si="210"/>
        <v>Khajih</v>
      </c>
      <c r="E1955" s="40"/>
      <c r="F1955" s="14"/>
      <c r="G1955" s="17"/>
      <c r="H1955" s="10" t="s">
        <v>8563</v>
      </c>
      <c r="I1955" s="4" t="str">
        <f t="shared" si="211"/>
        <v>|ájih|</v>
      </c>
      <c r="J1955" s="3" t="str">
        <f t="shared" si="212"/>
        <v>|Khajih|</v>
      </c>
      <c r="K1955" s="3" t="str">
        <f t="shared" si="213"/>
        <v>Khajih</v>
      </c>
      <c r="N1955" s="39" t="str">
        <f t="shared" si="214"/>
        <v/>
      </c>
      <c r="P1955" s="39" t="str">
        <f t="shared" si="215"/>
        <v/>
      </c>
      <c r="R1955" s="39" t="str">
        <f t="shared" si="216"/>
        <v/>
      </c>
      <c r="S1955" s="28"/>
      <c r="T1955" s="28"/>
      <c r="U1955" s="28"/>
    </row>
    <row r="1956" spans="1:21" s="5" customFormat="1">
      <c r="A1956" s="179" t="s">
        <v>2382</v>
      </c>
      <c r="B1956" s="185" t="s">
        <v>6560</v>
      </c>
      <c r="C1956" s="35" t="str">
        <f t="shared" si="210"/>
        <v>Khalat</v>
      </c>
      <c r="E1956" s="40"/>
      <c r="F1956" s="14"/>
      <c r="G1956" s="17"/>
      <c r="H1956" s="10" t="s">
        <v>8563</v>
      </c>
      <c r="I1956" s="4" t="str">
        <f t="shared" si="211"/>
        <v>|alʿat|</v>
      </c>
      <c r="J1956" s="3" t="str">
        <f t="shared" si="212"/>
        <v>|Khal'at|</v>
      </c>
      <c r="K1956" s="3" t="str">
        <f t="shared" si="213"/>
        <v>Khalat</v>
      </c>
      <c r="N1956" s="39" t="str">
        <f t="shared" si="214"/>
        <v/>
      </c>
      <c r="P1956" s="39" t="str">
        <f t="shared" si="215"/>
        <v/>
      </c>
      <c r="R1956" s="39" t="str">
        <f t="shared" si="216"/>
        <v/>
      </c>
      <c r="S1956" s="28"/>
      <c r="T1956" s="28"/>
      <c r="U1956" s="28"/>
    </row>
    <row r="1957" spans="1:21" s="5" customFormat="1">
      <c r="A1957" s="179" t="s">
        <v>2383</v>
      </c>
      <c r="B1957" s="185" t="s">
        <v>6561</v>
      </c>
      <c r="C1957" s="35" t="str">
        <f t="shared" si="210"/>
        <v>KhaliAkbar</v>
      </c>
      <c r="E1957" s="40"/>
      <c r="F1957" s="15"/>
      <c r="G1957" s="17"/>
      <c r="H1957" s="10" t="s">
        <v>8563</v>
      </c>
      <c r="I1957" s="4" t="str">
        <f t="shared" si="211"/>
        <v>|ál-i-Akbar|</v>
      </c>
      <c r="J1957" s="3" t="str">
        <f t="shared" si="212"/>
        <v>|Khal-i-Akbar|</v>
      </c>
      <c r="K1957" s="3" t="str">
        <f t="shared" si="213"/>
        <v>Khal-i-Akbar</v>
      </c>
      <c r="N1957" s="39" t="str">
        <f t="shared" si="214"/>
        <v/>
      </c>
      <c r="P1957" s="39" t="str">
        <f t="shared" si="215"/>
        <v/>
      </c>
      <c r="R1957" s="39" t="str">
        <f t="shared" si="216"/>
        <v/>
      </c>
      <c r="S1957" s="28"/>
      <c r="T1957" s="28"/>
      <c r="U1957" s="28"/>
    </row>
    <row r="1958" spans="1:21" s="5" customFormat="1">
      <c r="A1958" s="179" t="s">
        <v>2384</v>
      </c>
      <c r="B1958" s="185" t="s">
        <v>6562</v>
      </c>
      <c r="C1958" s="35" t="str">
        <f t="shared" si="210"/>
        <v>KhaliAsghar</v>
      </c>
      <c r="E1958" s="40"/>
      <c r="F1958" s="15" t="s">
        <v>2385</v>
      </c>
      <c r="G1958" s="17"/>
      <c r="H1958" s="10" t="s">
        <v>8563</v>
      </c>
      <c r="I1958" s="4" t="str">
        <f t="shared" si="211"/>
        <v>|ál-i-Aṣar|</v>
      </c>
      <c r="J1958" s="3" t="str">
        <f t="shared" si="212"/>
        <v>|Khal-i-Asghar|</v>
      </c>
      <c r="K1958" s="3" t="str">
        <f t="shared" si="213"/>
        <v>Khal-i-Asghar</v>
      </c>
      <c r="N1958" s="39" t="str">
        <f t="shared" si="214"/>
        <v/>
      </c>
      <c r="P1958" s="39" t="str">
        <f t="shared" si="215"/>
        <v/>
      </c>
      <c r="R1958" s="39" t="str">
        <f t="shared" si="216"/>
        <v/>
      </c>
      <c r="S1958" s="28"/>
      <c r="T1958" s="28"/>
      <c r="U1958" s="28"/>
    </row>
    <row r="1959" spans="1:21" s="5" customFormat="1">
      <c r="A1959" s="179" t="s">
        <v>2386</v>
      </c>
      <c r="B1959" s="185" t="s">
        <v>6563</v>
      </c>
      <c r="C1959" s="35" t="str">
        <f t="shared" si="210"/>
        <v>KhaliAzam</v>
      </c>
      <c r="E1959" s="40"/>
      <c r="F1959" s="15" t="s">
        <v>2387</v>
      </c>
      <c r="G1959" s="17"/>
      <c r="H1959" s="10" t="s">
        <v>8563</v>
      </c>
      <c r="I1959" s="4" t="str">
        <f t="shared" si="211"/>
        <v>|ál-i-Aʿẓam|</v>
      </c>
      <c r="J1959" s="3" t="str">
        <f t="shared" si="212"/>
        <v>|Khal-i-A'zam|</v>
      </c>
      <c r="K1959" s="3" t="str">
        <f t="shared" si="213"/>
        <v>Khal-i-Azam</v>
      </c>
      <c r="N1959" s="39" t="str">
        <f t="shared" si="214"/>
        <v/>
      </c>
      <c r="P1959" s="39" t="str">
        <f t="shared" si="215"/>
        <v/>
      </c>
      <c r="R1959" s="39" t="str">
        <f t="shared" si="216"/>
        <v/>
      </c>
      <c r="S1959" s="28"/>
      <c r="T1959" s="28"/>
      <c r="U1959" s="28"/>
    </row>
    <row r="1960" spans="1:21" s="5" customFormat="1">
      <c r="A1960" s="179" t="s">
        <v>2388</v>
      </c>
      <c r="B1960" s="185" t="s">
        <v>173</v>
      </c>
      <c r="C1960" s="35" t="str">
        <f t="shared" si="210"/>
        <v>Khalid</v>
      </c>
      <c r="E1960" s="40"/>
      <c r="F1960" s="14"/>
      <c r="G1960" s="17"/>
      <c r="H1960" s="10" t="s">
        <v>8563</v>
      </c>
      <c r="I1960" s="4" t="str">
        <f t="shared" si="211"/>
        <v>|álid|</v>
      </c>
      <c r="J1960" s="3" t="str">
        <f t="shared" si="212"/>
        <v>|Khalid|</v>
      </c>
      <c r="K1960" s="3" t="str">
        <f t="shared" si="213"/>
        <v>Khalid</v>
      </c>
      <c r="N1960" s="39" t="str">
        <f t="shared" si="214"/>
        <v/>
      </c>
      <c r="P1960" s="39" t="str">
        <f t="shared" si="215"/>
        <v/>
      </c>
      <c r="R1960" s="39" t="str">
        <f t="shared" si="216"/>
        <v/>
      </c>
      <c r="S1960" s="28"/>
      <c r="T1960" s="28"/>
      <c r="U1960" s="28"/>
    </row>
    <row r="1961" spans="1:21" s="5" customFormat="1">
      <c r="A1961" s="179" t="s">
        <v>2389</v>
      </c>
      <c r="B1961" s="185" t="s">
        <v>6564</v>
      </c>
      <c r="C1961" s="35" t="str">
        <f t="shared" si="210"/>
        <v>Khalidiyyih</v>
      </c>
      <c r="E1961" s="40"/>
      <c r="F1961" s="14"/>
      <c r="G1961" s="17"/>
      <c r="H1961" s="10" t="s">
        <v>8563</v>
      </c>
      <c r="I1961" s="4" t="str">
        <f t="shared" si="211"/>
        <v>|álidíyyih|</v>
      </c>
      <c r="J1961" s="3" t="str">
        <f t="shared" si="212"/>
        <v>|Khalidiyyih|</v>
      </c>
      <c r="K1961" s="3" t="str">
        <f t="shared" si="213"/>
        <v>Khalidiyyih</v>
      </c>
      <c r="N1961" s="39" t="str">
        <f t="shared" si="214"/>
        <v/>
      </c>
      <c r="P1961" s="39" t="str">
        <f t="shared" si="215"/>
        <v/>
      </c>
      <c r="R1961" s="39" t="str">
        <f t="shared" si="216"/>
        <v/>
      </c>
      <c r="S1961" s="28"/>
      <c r="T1961" s="28"/>
      <c r="U1961" s="28"/>
    </row>
    <row r="1962" spans="1:21" s="5" customFormat="1">
      <c r="A1962" s="179" t="s">
        <v>2390</v>
      </c>
      <c r="B1962" s="185" t="s">
        <v>6565</v>
      </c>
      <c r="C1962" s="35" t="str">
        <f t="shared" si="210"/>
        <v>Khalif</v>
      </c>
      <c r="E1962" s="40"/>
      <c r="F1962" s="14"/>
      <c r="G1962" s="17" t="s">
        <v>9133</v>
      </c>
      <c r="H1962" s="10" t="s">
        <v>8563</v>
      </c>
      <c r="I1962" s="4" t="str">
        <f t="shared" si="211"/>
        <v>|alíf|</v>
      </c>
      <c r="J1962" s="3" t="str">
        <f t="shared" si="212"/>
        <v>|Khalif|</v>
      </c>
      <c r="K1962" s="3" t="str">
        <f t="shared" si="213"/>
        <v>Khalif</v>
      </c>
      <c r="N1962" s="39" t="str">
        <f t="shared" si="214"/>
        <v/>
      </c>
      <c r="O1962" s="5" t="s">
        <v>98</v>
      </c>
      <c r="P1962" s="39" t="str">
        <f t="shared" si="215"/>
        <v>Kalif</v>
      </c>
      <c r="R1962" s="39" t="str">
        <f t="shared" si="216"/>
        <v/>
      </c>
      <c r="S1962" s="28"/>
      <c r="T1962" s="28"/>
      <c r="U1962" s="28"/>
    </row>
    <row r="1963" spans="1:21" s="5" customFormat="1">
      <c r="A1963" s="179" t="s">
        <v>2391</v>
      </c>
      <c r="B1963" s="185" t="s">
        <v>6566</v>
      </c>
      <c r="C1963" s="35" t="str">
        <f t="shared" si="210"/>
        <v>Khalifih</v>
      </c>
      <c r="E1963" s="40"/>
      <c r="F1963" s="14"/>
      <c r="G1963" s="17" t="s">
        <v>9512</v>
      </c>
      <c r="H1963" s="10" t="s">
        <v>8563</v>
      </c>
      <c r="I1963" s="4" t="str">
        <f t="shared" si="211"/>
        <v>|alífih|</v>
      </c>
      <c r="J1963" s="3" t="str">
        <f t="shared" si="212"/>
        <v>|Khalifih|</v>
      </c>
      <c r="K1963" s="3" t="str">
        <f t="shared" si="213"/>
        <v>Khalifih</v>
      </c>
      <c r="N1963" s="39" t="str">
        <f t="shared" si="214"/>
        <v/>
      </c>
      <c r="P1963" s="39" t="str">
        <f t="shared" si="215"/>
        <v/>
      </c>
      <c r="R1963" s="39" t="str">
        <f t="shared" si="216"/>
        <v/>
      </c>
      <c r="S1963" s="28"/>
      <c r="T1963" s="28"/>
      <c r="U1963" s="28"/>
    </row>
    <row r="1964" spans="1:21" s="5" customFormat="1">
      <c r="A1964" s="179" t="s">
        <v>2392</v>
      </c>
      <c r="B1964" s="185" t="s">
        <v>6567</v>
      </c>
      <c r="C1964" s="35" t="str">
        <f t="shared" si="210"/>
        <v>Khalil</v>
      </c>
      <c r="E1964" s="40"/>
      <c r="F1964" s="14"/>
      <c r="G1964" s="17"/>
      <c r="H1964" s="10" t="s">
        <v>8563</v>
      </c>
      <c r="I1964" s="4" t="str">
        <f t="shared" si="211"/>
        <v>|alíl|</v>
      </c>
      <c r="J1964" s="3" t="str">
        <f t="shared" si="212"/>
        <v>|Khalil|</v>
      </c>
      <c r="K1964" s="3" t="str">
        <f t="shared" si="213"/>
        <v>Khalil</v>
      </c>
      <c r="N1964" s="39" t="str">
        <f t="shared" si="214"/>
        <v/>
      </c>
      <c r="P1964" s="39" t="str">
        <f t="shared" si="215"/>
        <v/>
      </c>
      <c r="R1964" s="39" t="str">
        <f t="shared" si="216"/>
        <v/>
      </c>
      <c r="S1964" s="28"/>
      <c r="T1964" s="28"/>
      <c r="U1964" s="28"/>
    </row>
    <row r="1965" spans="1:21" s="5" customFormat="1">
      <c r="A1965" s="179" t="s">
        <v>2394</v>
      </c>
      <c r="B1965" s="185" t="s">
        <v>6569</v>
      </c>
      <c r="C1965" s="35" t="str">
        <f t="shared" si="210"/>
        <v>KhaliliKhui</v>
      </c>
      <c r="E1965" s="40"/>
      <c r="F1965" s="14"/>
      <c r="G1965" s="17"/>
      <c r="H1965" s="10" t="s">
        <v>8563</v>
      </c>
      <c r="I1965" s="4" t="str">
        <f t="shared" si="211"/>
        <v>|alíl-i-ú’í|</v>
      </c>
      <c r="J1965" s="3" t="str">
        <f t="shared" si="212"/>
        <v>|Khalil-i-Khu'i|</v>
      </c>
      <c r="K1965" s="3" t="str">
        <f t="shared" si="213"/>
        <v>Khalil-i-Khui</v>
      </c>
      <c r="N1965" s="39" t="str">
        <f t="shared" si="214"/>
        <v/>
      </c>
      <c r="P1965" s="39" t="str">
        <f t="shared" si="215"/>
        <v/>
      </c>
      <c r="R1965" s="39" t="str">
        <f t="shared" si="216"/>
        <v/>
      </c>
      <c r="S1965" s="28"/>
      <c r="T1965" s="28"/>
      <c r="U1965" s="28"/>
    </row>
    <row r="1966" spans="1:21" s="5" customFormat="1">
      <c r="A1966" s="179" t="s">
        <v>2393</v>
      </c>
      <c r="B1966" s="185" t="s">
        <v>6568</v>
      </c>
      <c r="C1966" s="35" t="str">
        <f t="shared" si="210"/>
        <v>KhaliliKhuyi</v>
      </c>
      <c r="E1966" s="40"/>
      <c r="F1966" s="15"/>
      <c r="G1966" s="17"/>
      <c r="H1966" s="10" t="s">
        <v>8563</v>
      </c>
      <c r="I1966" s="4" t="str">
        <f t="shared" si="211"/>
        <v>|alíl-i-uyí|</v>
      </c>
      <c r="J1966" s="3" t="str">
        <f t="shared" si="212"/>
        <v>|Khalil-i-Khuyi|</v>
      </c>
      <c r="K1966" s="3" t="str">
        <f t="shared" si="213"/>
        <v>Khalil-i-Khuyi</v>
      </c>
      <c r="N1966" s="39" t="str">
        <f t="shared" si="214"/>
        <v/>
      </c>
      <c r="P1966" s="39" t="str">
        <f t="shared" si="215"/>
        <v/>
      </c>
      <c r="R1966" s="39" t="str">
        <f t="shared" si="216"/>
        <v/>
      </c>
      <c r="S1966" s="28"/>
      <c r="T1966" s="28"/>
      <c r="U1966" s="28"/>
    </row>
    <row r="1967" spans="1:21" s="5" customFormat="1">
      <c r="A1967" s="179" t="s">
        <v>2395</v>
      </c>
      <c r="B1967" s="185" t="s">
        <v>6570</v>
      </c>
      <c r="C1967" s="35" t="str">
        <f t="shared" si="210"/>
        <v>Khalilullah</v>
      </c>
      <c r="E1967" s="40"/>
      <c r="F1967" s="15" t="s">
        <v>2396</v>
      </c>
      <c r="G1967" s="17"/>
      <c r="H1967" s="10" t="s">
        <v>8563</v>
      </c>
      <c r="I1967" s="4" t="str">
        <f t="shared" si="211"/>
        <v>|alílu’lláh|</v>
      </c>
      <c r="J1967" s="3" t="str">
        <f t="shared" si="212"/>
        <v>|Khalilu'llah|</v>
      </c>
      <c r="K1967" s="3" t="str">
        <f t="shared" si="213"/>
        <v>Khalilullah</v>
      </c>
      <c r="N1967" s="39" t="str">
        <f t="shared" si="214"/>
        <v/>
      </c>
      <c r="P1967" s="39" t="str">
        <f t="shared" si="215"/>
        <v/>
      </c>
      <c r="R1967" s="39" t="str">
        <f t="shared" si="216"/>
        <v/>
      </c>
      <c r="S1967" s="28"/>
      <c r="T1967" s="28"/>
      <c r="U1967" s="28"/>
    </row>
    <row r="1968" spans="1:21" s="5" customFormat="1">
      <c r="A1968" s="179" t="s">
        <v>2397</v>
      </c>
      <c r="B1968" s="185" t="s">
        <v>6571</v>
      </c>
      <c r="C1968" s="35" t="str">
        <f t="shared" si="210"/>
        <v>Khaliq</v>
      </c>
      <c r="E1968" s="40"/>
      <c r="F1968" s="15" t="s">
        <v>2398</v>
      </c>
      <c r="G1968" s="17"/>
      <c r="H1968" s="10" t="s">
        <v>8563</v>
      </c>
      <c r="I1968" s="4" t="str">
        <f t="shared" si="211"/>
        <v>|áliq|</v>
      </c>
      <c r="J1968" s="3" t="str">
        <f t="shared" si="212"/>
        <v>|Khaliq|</v>
      </c>
      <c r="K1968" s="3" t="str">
        <f t="shared" si="213"/>
        <v>Khaliq</v>
      </c>
      <c r="N1968" s="39" t="str">
        <f t="shared" si="214"/>
        <v/>
      </c>
      <c r="P1968" s="39" t="str">
        <f t="shared" si="215"/>
        <v/>
      </c>
      <c r="R1968" s="39" t="str">
        <f t="shared" si="216"/>
        <v/>
      </c>
      <c r="S1968" s="28"/>
      <c r="T1968" s="28"/>
      <c r="U1968" s="28"/>
    </row>
    <row r="1969" spans="1:21" s="5" customFormat="1">
      <c r="A1969" s="179" t="s">
        <v>2399</v>
      </c>
      <c r="B1969" s="185" t="s">
        <v>6572</v>
      </c>
      <c r="C1969" s="35" t="str">
        <f t="shared" si="210"/>
        <v>Khalkhal</v>
      </c>
      <c r="E1969" s="40"/>
      <c r="F1969" s="14"/>
      <c r="G1969" s="17"/>
      <c r="H1969" s="10" t="s">
        <v>8563</v>
      </c>
      <c r="I1969" s="4" t="str">
        <f t="shared" si="211"/>
        <v>|alál|</v>
      </c>
      <c r="J1969" s="3" t="str">
        <f t="shared" si="212"/>
        <v>|Khalkhal|</v>
      </c>
      <c r="K1969" s="3" t="str">
        <f t="shared" si="213"/>
        <v>Khalkhal</v>
      </c>
      <c r="N1969" s="39" t="str">
        <f t="shared" si="214"/>
        <v/>
      </c>
      <c r="P1969" s="39" t="str">
        <f t="shared" si="215"/>
        <v/>
      </c>
      <c r="R1969" s="39" t="str">
        <f t="shared" si="216"/>
        <v/>
      </c>
      <c r="S1969" s="28"/>
      <c r="T1969" s="28"/>
      <c r="U1969" s="28"/>
    </row>
    <row r="1970" spans="1:21" s="5" customFormat="1">
      <c r="A1970" s="179" t="s">
        <v>2400</v>
      </c>
      <c r="B1970" s="185" t="s">
        <v>6573</v>
      </c>
      <c r="C1970" s="35" t="str">
        <f t="shared" si="210"/>
        <v>Khalkhali</v>
      </c>
      <c r="E1970" s="40"/>
      <c r="F1970" s="15"/>
      <c r="G1970" s="17"/>
      <c r="H1970" s="10" t="s">
        <v>8563</v>
      </c>
      <c r="I1970" s="4" t="str">
        <f t="shared" si="211"/>
        <v>|alálí|</v>
      </c>
      <c r="J1970" s="3" t="str">
        <f t="shared" si="212"/>
        <v>|Khalkhali|</v>
      </c>
      <c r="K1970" s="3" t="str">
        <f t="shared" si="213"/>
        <v>Khalkhali</v>
      </c>
      <c r="N1970" s="39" t="str">
        <f t="shared" si="214"/>
        <v/>
      </c>
      <c r="P1970" s="39" t="str">
        <f t="shared" si="215"/>
        <v/>
      </c>
      <c r="R1970" s="39" t="str">
        <f t="shared" si="216"/>
        <v/>
      </c>
      <c r="S1970" s="28"/>
      <c r="T1970" s="28"/>
      <c r="U1970" s="28"/>
    </row>
    <row r="1971" spans="1:21" s="5" customFormat="1">
      <c r="A1971" s="179" t="s">
        <v>2401</v>
      </c>
      <c r="B1971" s="185" t="s">
        <v>6574</v>
      </c>
      <c r="C1971" s="35" t="str">
        <f t="shared" si="210"/>
        <v>Khalq</v>
      </c>
      <c r="E1971" s="40"/>
      <c r="F1971" s="15"/>
      <c r="G1971" s="17"/>
      <c r="H1971" s="10" t="s">
        <v>8563</v>
      </c>
      <c r="I1971" s="4" t="str">
        <f t="shared" si="211"/>
        <v>|alq|</v>
      </c>
      <c r="J1971" s="3" t="str">
        <f t="shared" si="212"/>
        <v>|Khalq|</v>
      </c>
      <c r="K1971" s="3" t="str">
        <f t="shared" si="213"/>
        <v>Khalq</v>
      </c>
      <c r="N1971" s="39" t="str">
        <f t="shared" si="214"/>
        <v/>
      </c>
      <c r="P1971" s="39" t="str">
        <f t="shared" si="215"/>
        <v/>
      </c>
      <c r="R1971" s="39" t="str">
        <f t="shared" si="216"/>
        <v/>
      </c>
      <c r="S1971" s="28"/>
      <c r="T1971" s="28"/>
      <c r="U1971" s="28"/>
    </row>
    <row r="1972" spans="1:21" s="5" customFormat="1">
      <c r="A1972" s="179" t="s">
        <v>2402</v>
      </c>
      <c r="B1972" s="185" t="s">
        <v>6575</v>
      </c>
      <c r="C1972" s="35" t="str">
        <f t="shared" si="210"/>
        <v>Khammar</v>
      </c>
      <c r="E1972" s="40"/>
      <c r="F1972" s="14"/>
      <c r="G1972" s="17"/>
      <c r="H1972" s="10" t="s">
        <v>8563</v>
      </c>
      <c r="I1972" s="4" t="str">
        <f t="shared" si="211"/>
        <v>|ammár|</v>
      </c>
      <c r="J1972" s="3" t="str">
        <f t="shared" si="212"/>
        <v>|Khammar|</v>
      </c>
      <c r="K1972" s="3" t="str">
        <f t="shared" si="213"/>
        <v>Khammar</v>
      </c>
      <c r="N1972" s="39" t="str">
        <f t="shared" si="214"/>
        <v/>
      </c>
      <c r="P1972" s="39" t="str">
        <f t="shared" si="215"/>
        <v/>
      </c>
      <c r="R1972" s="39" t="str">
        <f t="shared" si="216"/>
        <v/>
      </c>
      <c r="S1972" s="28"/>
      <c r="T1972" s="28"/>
      <c r="U1972" s="28"/>
    </row>
    <row r="1973" spans="1:21" s="5" customFormat="1">
      <c r="A1973" s="179" t="s">
        <v>2403</v>
      </c>
      <c r="B1973" s="185" t="s">
        <v>6576</v>
      </c>
      <c r="C1973" s="35" t="str">
        <f t="shared" si="210"/>
        <v>Khamsih</v>
      </c>
      <c r="E1973" s="40"/>
      <c r="F1973" s="15"/>
      <c r="G1973" s="17"/>
      <c r="H1973" s="10" t="s">
        <v>8563</v>
      </c>
      <c r="I1973" s="4" t="str">
        <f t="shared" si="211"/>
        <v>|amsih|</v>
      </c>
      <c r="J1973" s="3" t="str">
        <f t="shared" si="212"/>
        <v>|Khamsih|</v>
      </c>
      <c r="K1973" s="3" t="str">
        <f t="shared" si="213"/>
        <v>Khamsih</v>
      </c>
      <c r="N1973" s="39" t="str">
        <f t="shared" si="214"/>
        <v/>
      </c>
      <c r="P1973" s="39" t="str">
        <f t="shared" si="215"/>
        <v/>
      </c>
      <c r="R1973" s="39" t="str">
        <f t="shared" si="216"/>
        <v/>
      </c>
      <c r="S1973" s="28"/>
      <c r="T1973" s="28"/>
      <c r="U1973" s="28"/>
    </row>
    <row r="1974" spans="1:21" s="5" customFormat="1">
      <c r="A1974" s="179" t="s">
        <v>2404</v>
      </c>
      <c r="B1974" s="185" t="s">
        <v>6577</v>
      </c>
      <c r="C1974" s="35" t="str">
        <f t="shared" si="210"/>
        <v>Khan</v>
      </c>
      <c r="E1974" s="40"/>
      <c r="F1974" s="14" t="s">
        <v>2405</v>
      </c>
      <c r="G1974" s="17"/>
      <c r="H1974" s="10" t="s">
        <v>8563</v>
      </c>
      <c r="I1974" s="4" t="str">
        <f t="shared" si="211"/>
        <v>|án|</v>
      </c>
      <c r="J1974" s="3" t="str">
        <f t="shared" si="212"/>
        <v>|Khan|</v>
      </c>
      <c r="K1974" s="3" t="str">
        <f t="shared" si="213"/>
        <v>Khan</v>
      </c>
      <c r="N1974" s="39" t="str">
        <f t="shared" si="214"/>
        <v/>
      </c>
      <c r="P1974" s="39" t="str">
        <f t="shared" si="215"/>
        <v/>
      </c>
      <c r="R1974" s="39" t="str">
        <f t="shared" si="216"/>
        <v/>
      </c>
      <c r="S1974" s="28"/>
      <c r="T1974" s="28"/>
      <c r="U1974" s="28"/>
    </row>
    <row r="1975" spans="1:21" s="5" customFormat="1">
      <c r="A1975" s="179" t="s">
        <v>2406</v>
      </c>
      <c r="B1975" s="185" t="s">
        <v>6578</v>
      </c>
      <c r="C1975" s="35" t="str">
        <f t="shared" si="210"/>
        <v>Khanbaghi</v>
      </c>
      <c r="E1975" s="40"/>
      <c r="F1975" s="15" t="s">
        <v>2407</v>
      </c>
      <c r="G1975" s="17"/>
      <c r="H1975" s="10" t="s">
        <v>8563</v>
      </c>
      <c r="I1975" s="4" t="str">
        <f t="shared" si="211"/>
        <v>|ánbáí|</v>
      </c>
      <c r="J1975" s="3" t="str">
        <f t="shared" si="212"/>
        <v>|Khanbaghi|</v>
      </c>
      <c r="K1975" s="3" t="str">
        <f t="shared" si="213"/>
        <v>Khanbaghi</v>
      </c>
      <c r="N1975" s="39" t="str">
        <f t="shared" si="214"/>
        <v/>
      </c>
      <c r="P1975" s="39" t="str">
        <f t="shared" si="215"/>
        <v/>
      </c>
      <c r="R1975" s="39" t="str">
        <f t="shared" si="216"/>
        <v/>
      </c>
      <c r="S1975" s="28"/>
      <c r="T1975" s="28"/>
      <c r="U1975" s="28"/>
    </row>
    <row r="1976" spans="1:21" s="5" customFormat="1">
      <c r="A1976" s="179" t="s">
        <v>2408</v>
      </c>
      <c r="B1976" s="185" t="s">
        <v>6579</v>
      </c>
      <c r="C1976" s="35" t="str">
        <f t="shared" si="210"/>
        <v>KhaniAfghan</v>
      </c>
      <c r="E1976" s="40"/>
      <c r="F1976" s="14"/>
      <c r="G1976" s="17"/>
      <c r="H1976" s="10" t="s">
        <v>8563</v>
      </c>
      <c r="I1976" s="4" t="str">
        <f t="shared" si="211"/>
        <v>|án-i-Afán|</v>
      </c>
      <c r="J1976" s="3" t="str">
        <f t="shared" si="212"/>
        <v>|Khan-i-Afghan|</v>
      </c>
      <c r="K1976" s="3" t="str">
        <f t="shared" si="213"/>
        <v>Khan-i-Afghan</v>
      </c>
      <c r="N1976" s="39" t="str">
        <f t="shared" si="214"/>
        <v/>
      </c>
      <c r="P1976" s="39" t="str">
        <f t="shared" si="215"/>
        <v/>
      </c>
      <c r="R1976" s="39" t="str">
        <f t="shared" si="216"/>
        <v/>
      </c>
      <c r="S1976" s="28"/>
      <c r="T1976" s="28"/>
      <c r="U1976" s="28"/>
    </row>
    <row r="1977" spans="1:21" s="5" customFormat="1">
      <c r="A1977" s="179" t="s">
        <v>2409</v>
      </c>
      <c r="B1977" s="185" t="s">
        <v>9509</v>
      </c>
      <c r="C1977" s="35" t="str">
        <f t="shared" si="210"/>
        <v>KhaniAfrukhtih</v>
      </c>
      <c r="E1977" s="40"/>
      <c r="F1977" s="15"/>
      <c r="G1977" s="17"/>
      <c r="H1977" s="10" t="s">
        <v>8563</v>
      </c>
      <c r="I1977" s="4" t="str">
        <f t="shared" si="211"/>
        <v>|án-i-Afrútih|</v>
      </c>
      <c r="J1977" s="3" t="str">
        <f t="shared" si="212"/>
        <v>|Khan-i-Afrukhtih|</v>
      </c>
      <c r="K1977" s="3" t="str">
        <f t="shared" si="213"/>
        <v>Khan-i-Afrukhtih</v>
      </c>
      <c r="N1977" s="39" t="str">
        <f t="shared" si="214"/>
        <v/>
      </c>
      <c r="P1977" s="39" t="str">
        <f t="shared" si="215"/>
        <v/>
      </c>
      <c r="R1977" s="39" t="str">
        <f t="shared" si="216"/>
        <v/>
      </c>
      <c r="S1977" s="28"/>
      <c r="T1977" s="28"/>
      <c r="U1977" s="28"/>
    </row>
    <row r="1978" spans="1:21" s="5" customFormat="1">
      <c r="A1978" s="179" t="s">
        <v>2410</v>
      </c>
      <c r="B1978" s="185" t="s">
        <v>6580</v>
      </c>
      <c r="C1978" s="35" t="str">
        <f t="shared" si="210"/>
        <v>KhaniAfshar</v>
      </c>
      <c r="E1978" s="40"/>
      <c r="F1978" s="14"/>
      <c r="G1978" s="17"/>
      <c r="H1978" s="10" t="s">
        <v>8563</v>
      </c>
      <c r="I1978" s="4" t="str">
        <f t="shared" si="211"/>
        <v>|án-i-Afar|</v>
      </c>
      <c r="J1978" s="3" t="str">
        <f t="shared" si="212"/>
        <v>|Khan-i-Afshar|</v>
      </c>
      <c r="K1978" s="3" t="str">
        <f t="shared" si="213"/>
        <v>Khan-i-Afshar</v>
      </c>
      <c r="N1978" s="39" t="str">
        <f t="shared" si="214"/>
        <v/>
      </c>
      <c r="P1978" s="39" t="str">
        <f t="shared" si="215"/>
        <v/>
      </c>
      <c r="R1978" s="39" t="str">
        <f t="shared" si="216"/>
        <v/>
      </c>
      <c r="S1978" s="28"/>
      <c r="T1978" s="28"/>
      <c r="U1978" s="28"/>
    </row>
    <row r="1979" spans="1:21" s="5" customFormat="1">
      <c r="A1979" s="179" t="s">
        <v>2411</v>
      </c>
      <c r="B1979" s="185" t="s">
        <v>6581</v>
      </c>
      <c r="C1979" s="35" t="str">
        <f t="shared" si="210"/>
        <v>KhaniAfshariShahriyari</v>
      </c>
      <c r="E1979" s="40"/>
      <c r="F1979" s="14"/>
      <c r="G1979" s="17"/>
      <c r="H1979" s="10" t="s">
        <v>8563</v>
      </c>
      <c r="I1979" s="4" t="str">
        <f t="shared" si="211"/>
        <v>|án-i-Afar-i-ahríyárí|</v>
      </c>
      <c r="J1979" s="3" t="str">
        <f t="shared" si="212"/>
        <v>|Khan-i-Afshar-i-Shahriyari|</v>
      </c>
      <c r="K1979" s="3" t="str">
        <f t="shared" si="213"/>
        <v>Khan-i-Afshar-i-Shahriyari</v>
      </c>
      <c r="N1979" s="39" t="str">
        <f t="shared" si="214"/>
        <v/>
      </c>
      <c r="P1979" s="39" t="str">
        <f t="shared" si="215"/>
        <v/>
      </c>
      <c r="R1979" s="39" t="str">
        <f t="shared" si="216"/>
        <v/>
      </c>
      <c r="S1979" s="28"/>
      <c r="T1979" s="28"/>
      <c r="U1979" s="28"/>
    </row>
    <row r="1980" spans="1:21" s="5" customFormat="1">
      <c r="A1980" s="179" t="s">
        <v>2412</v>
      </c>
      <c r="B1980" s="185" t="s">
        <v>6582</v>
      </c>
      <c r="C1980" s="35" t="str">
        <f t="shared" si="210"/>
        <v>KhaniArab</v>
      </c>
      <c r="E1980" s="40"/>
      <c r="F1980" s="14"/>
      <c r="G1980" s="17"/>
      <c r="H1980" s="10" t="s">
        <v>8563</v>
      </c>
      <c r="I1980" s="4" t="str">
        <f t="shared" si="211"/>
        <v>|án-i-ʿArab|</v>
      </c>
      <c r="J1980" s="3" t="str">
        <f t="shared" si="212"/>
        <v>|Khan-i-'Arab|</v>
      </c>
      <c r="K1980" s="3" t="str">
        <f t="shared" si="213"/>
        <v>Khan-i-Arab</v>
      </c>
      <c r="N1980" s="39" t="str">
        <f t="shared" si="214"/>
        <v/>
      </c>
      <c r="P1980" s="39" t="str">
        <f t="shared" si="215"/>
        <v/>
      </c>
      <c r="R1980" s="39" t="str">
        <f t="shared" si="216"/>
        <v/>
      </c>
      <c r="S1980" s="28"/>
      <c r="T1980" s="28"/>
      <c r="U1980" s="28"/>
    </row>
    <row r="1981" spans="1:21" s="5" customFormat="1">
      <c r="A1981" s="179" t="s">
        <v>2413</v>
      </c>
      <c r="B1981" s="185" t="s">
        <v>6583</v>
      </c>
      <c r="C1981" s="35" t="str">
        <f t="shared" si="210"/>
        <v>KhaniAshrafi</v>
      </c>
      <c r="E1981" s="40"/>
      <c r="F1981" s="14"/>
      <c r="G1981" s="17"/>
      <c r="H1981" s="10" t="s">
        <v>8563</v>
      </c>
      <c r="I1981" s="4" t="str">
        <f t="shared" si="211"/>
        <v>|án-i-Arafí|</v>
      </c>
      <c r="J1981" s="3" t="str">
        <f t="shared" si="212"/>
        <v>|Khan-i-Ashrafi|</v>
      </c>
      <c r="K1981" s="3" t="str">
        <f t="shared" si="213"/>
        <v>Khan-i-Ashrafi</v>
      </c>
      <c r="N1981" s="39" t="str">
        <f t="shared" si="214"/>
        <v/>
      </c>
      <c r="P1981" s="39" t="str">
        <f t="shared" si="215"/>
        <v/>
      </c>
      <c r="R1981" s="39" t="str">
        <f t="shared" si="216"/>
        <v/>
      </c>
      <c r="S1981" s="28"/>
      <c r="T1981" s="28"/>
      <c r="U1981" s="28"/>
    </row>
    <row r="1982" spans="1:21" s="5" customFormat="1">
      <c r="A1982" s="179" t="s">
        <v>2414</v>
      </c>
      <c r="B1982" s="185" t="s">
        <v>6584</v>
      </c>
      <c r="C1982" s="35" t="str">
        <f t="shared" si="210"/>
        <v>KhaniAvamid</v>
      </c>
      <c r="E1982" s="40"/>
      <c r="F1982" s="15"/>
      <c r="G1982" s="17"/>
      <c r="H1982" s="10" t="s">
        <v>8563</v>
      </c>
      <c r="I1982" s="4" t="str">
        <f t="shared" si="211"/>
        <v>|án-i-ʿAvámíd|</v>
      </c>
      <c r="J1982" s="3" t="str">
        <f t="shared" si="212"/>
        <v>|Khan-i-'Avamid|</v>
      </c>
      <c r="K1982" s="3" t="str">
        <f t="shared" si="213"/>
        <v>Khan-i-Avamid</v>
      </c>
      <c r="N1982" s="39" t="str">
        <f t="shared" si="214"/>
        <v/>
      </c>
      <c r="P1982" s="39" t="str">
        <f t="shared" si="215"/>
        <v/>
      </c>
      <c r="R1982" s="39" t="str">
        <f t="shared" si="216"/>
        <v/>
      </c>
      <c r="S1982" s="28"/>
      <c r="T1982" s="28"/>
      <c r="U1982" s="28"/>
    </row>
    <row r="1983" spans="1:21" s="5" customFormat="1">
      <c r="A1983" s="179" t="s">
        <v>2415</v>
      </c>
      <c r="B1983" s="185" t="s">
        <v>6585</v>
      </c>
      <c r="C1983" s="35" t="str">
        <f t="shared" si="210"/>
        <v>KhaniBandibi</v>
      </c>
      <c r="E1983" s="40"/>
      <c r="F1983" s="14"/>
      <c r="G1983" s="17"/>
      <c r="H1983" s="10" t="s">
        <v>8563</v>
      </c>
      <c r="I1983" s="4" t="str">
        <f t="shared" si="211"/>
        <v>|án-i-Bandibí|</v>
      </c>
      <c r="J1983" s="3" t="str">
        <f t="shared" si="212"/>
        <v>|Khan-i-Bandibi|</v>
      </c>
      <c r="K1983" s="3" t="str">
        <f t="shared" si="213"/>
        <v>Khan-i-Bandibi</v>
      </c>
      <c r="N1983" s="39" t="str">
        <f t="shared" si="214"/>
        <v/>
      </c>
      <c r="P1983" s="39" t="str">
        <f t="shared" si="215"/>
        <v/>
      </c>
      <c r="R1983" s="39" t="str">
        <f t="shared" si="216"/>
        <v/>
      </c>
      <c r="S1983" s="28"/>
      <c r="T1983" s="28"/>
      <c r="U1983" s="28"/>
    </row>
    <row r="1984" spans="1:21" s="5" customFormat="1">
      <c r="A1984" s="179" t="s">
        <v>2416</v>
      </c>
      <c r="B1984" s="185" t="s">
        <v>6586</v>
      </c>
      <c r="C1984" s="35" t="str">
        <f t="shared" si="210"/>
        <v>KhaniDuDungi</v>
      </c>
      <c r="E1984" s="40"/>
      <c r="F1984" s="14"/>
      <c r="G1984" s="17"/>
      <c r="H1984" s="10" t="s">
        <v>8563</v>
      </c>
      <c r="I1984" s="4" t="str">
        <f t="shared" si="211"/>
        <v>|án-i-Du-Dung’í|</v>
      </c>
      <c r="J1984" s="3" t="str">
        <f t="shared" si="212"/>
        <v>|Khan-i-Du-Dung'i|</v>
      </c>
      <c r="K1984" s="3" t="str">
        <f t="shared" si="213"/>
        <v>Khan-i-Du-Dungi</v>
      </c>
      <c r="N1984" s="39" t="str">
        <f t="shared" si="214"/>
        <v/>
      </c>
      <c r="P1984" s="39" t="str">
        <f t="shared" si="215"/>
        <v/>
      </c>
      <c r="R1984" s="39" t="str">
        <f t="shared" si="216"/>
        <v/>
      </c>
      <c r="S1984" s="28"/>
      <c r="T1984" s="28"/>
      <c r="U1984" s="28"/>
    </row>
    <row r="1985" spans="1:21" s="5" customFormat="1">
      <c r="A1985" s="179" t="s">
        <v>2417</v>
      </c>
      <c r="B1985" s="185" t="s">
        <v>6587</v>
      </c>
      <c r="C1985" s="35" t="str">
        <f t="shared" si="210"/>
        <v>KhaniFarahani</v>
      </c>
      <c r="E1985" s="40"/>
      <c r="F1985" s="14"/>
      <c r="G1985" s="17"/>
      <c r="H1985" s="10" t="s">
        <v>8563</v>
      </c>
      <c r="I1985" s="4" t="str">
        <f t="shared" si="211"/>
        <v>|án-i-Faráhání|</v>
      </c>
      <c r="J1985" s="3" t="str">
        <f t="shared" si="212"/>
        <v>|Khan-i-Farahani|</v>
      </c>
      <c r="K1985" s="3" t="str">
        <f t="shared" si="213"/>
        <v>Khan-i-Farahani</v>
      </c>
      <c r="N1985" s="39" t="str">
        <f t="shared" si="214"/>
        <v/>
      </c>
      <c r="P1985" s="39" t="str">
        <f t="shared" si="215"/>
        <v/>
      </c>
      <c r="R1985" s="39" t="str">
        <f t="shared" si="216"/>
        <v/>
      </c>
      <c r="S1985" s="28"/>
      <c r="T1985" s="28"/>
      <c r="U1985" s="28"/>
    </row>
    <row r="1986" spans="1:21" s="5" customFormat="1">
      <c r="A1986" s="179" t="s">
        <v>2418</v>
      </c>
      <c r="B1986" s="185" t="s">
        <v>6588</v>
      </c>
      <c r="C1986" s="35" t="str">
        <f t="shared" ref="C1986:C2049" si="217">SUBSTITUTE(SUBSTITUTE(K1986,"-","")," ","")</f>
        <v>KhanihGird</v>
      </c>
      <c r="E1986" s="40"/>
      <c r="F1986" s="15"/>
      <c r="G1986" s="17"/>
      <c r="H1986" s="10" t="s">
        <v>8563</v>
      </c>
      <c r="I1986" s="4" t="str">
        <f t="shared" ref="I1986:I2049" si="218">CONCATENATE("|",B1986,"|")</f>
        <v>|ánih-Gird|</v>
      </c>
      <c r="J1986" s="3" t="str">
        <f t="shared" ref="J1986:J2049" si="219">CONCATENATE("|",F_OutputASCII(B1986),"|")</f>
        <v>|Khanih-Gird|</v>
      </c>
      <c r="K1986" s="3" t="str">
        <f t="shared" ref="K1986:K2049" si="220">IF(SUBSTITUTE(MID(J1986,2,LEN(J1986)-2),"'","")&lt;&gt;"",SUBSTITUTE(MID(J1986,2,LEN(J1986)-2),"'",""),"ZZZZZ")</f>
        <v>Khanih-Gird</v>
      </c>
      <c r="N1986" s="39" t="str">
        <f t="shared" si="214"/>
        <v/>
      </c>
      <c r="P1986" s="39" t="str">
        <f t="shared" si="215"/>
        <v/>
      </c>
      <c r="R1986" s="39" t="str">
        <f t="shared" si="216"/>
        <v/>
      </c>
      <c r="S1986" s="28"/>
      <c r="T1986" s="28"/>
      <c r="U1986" s="28"/>
    </row>
    <row r="1987" spans="1:21" s="5" customFormat="1">
      <c r="A1987" s="179" t="s">
        <v>2420</v>
      </c>
      <c r="B1987" s="185" t="s">
        <v>6590</v>
      </c>
      <c r="C1987" s="35" t="str">
        <f t="shared" si="217"/>
        <v>KhaniIravani</v>
      </c>
      <c r="E1987" s="40"/>
      <c r="F1987" s="14"/>
      <c r="G1987" s="17"/>
      <c r="H1987" s="10" t="s">
        <v>8563</v>
      </c>
      <c r="I1987" s="4" t="str">
        <f t="shared" si="218"/>
        <v>|án-i-Íravání|</v>
      </c>
      <c r="J1987" s="3" t="str">
        <f t="shared" si="219"/>
        <v>|Khan-i-Iravani|</v>
      </c>
      <c r="K1987" s="3" t="str">
        <f t="shared" si="220"/>
        <v>Khan-i-Iravani</v>
      </c>
      <c r="N1987" s="39" t="str">
        <f t="shared" ref="N1987:N2050" si="221">SUBSTITUTE(SUBSTITUTE(SUBSTITUTE(F_OutputASCII(M1987),"-","")," ",""),"'","")</f>
        <v/>
      </c>
      <c r="P1987" s="39" t="str">
        <f t="shared" ref="P1987:P2050" si="222">SUBSTITUTE(SUBSTITUTE(SUBSTITUTE(F_OutputASCII(O1987),"-","")," ",""),"'","")</f>
        <v/>
      </c>
      <c r="R1987" s="39" t="str">
        <f t="shared" ref="R1987:R2050" si="223">SUBSTITUTE(SUBSTITUTE(Q1987,"-","")," ","")</f>
        <v/>
      </c>
      <c r="S1987" s="28"/>
      <c r="T1987" s="28"/>
      <c r="U1987" s="28"/>
    </row>
    <row r="1988" spans="1:21" s="5" customFormat="1">
      <c r="A1988" s="179" t="s">
        <v>2421</v>
      </c>
      <c r="B1988" s="185" t="s">
        <v>6591</v>
      </c>
      <c r="C1988" s="35" t="str">
        <f t="shared" si="217"/>
        <v>KhaniIsfahani</v>
      </c>
      <c r="E1988" s="40"/>
      <c r="F1988" s="15"/>
      <c r="G1988" s="17"/>
      <c r="H1988" s="10" t="s">
        <v>8563</v>
      </c>
      <c r="I1988" s="4" t="str">
        <f t="shared" si="218"/>
        <v>|án-i-Iṣfahání|</v>
      </c>
      <c r="J1988" s="3" t="str">
        <f t="shared" si="219"/>
        <v>|Khan-i-Isfahani|</v>
      </c>
      <c r="K1988" s="3" t="str">
        <f t="shared" si="220"/>
        <v>Khan-i-Isfahani</v>
      </c>
      <c r="N1988" s="39" t="str">
        <f t="shared" si="221"/>
        <v/>
      </c>
      <c r="P1988" s="39" t="str">
        <f t="shared" si="222"/>
        <v/>
      </c>
      <c r="R1988" s="39" t="str">
        <f t="shared" si="223"/>
        <v/>
      </c>
      <c r="S1988" s="28"/>
      <c r="T1988" s="28"/>
      <c r="U1988" s="28"/>
    </row>
    <row r="1989" spans="1:21" s="5" customFormat="1">
      <c r="A1989" s="179" t="s">
        <v>2422</v>
      </c>
      <c r="B1989" s="185" t="s">
        <v>6592</v>
      </c>
      <c r="C1989" s="35" t="str">
        <f t="shared" si="217"/>
        <v>KhaniIsmaili</v>
      </c>
      <c r="E1989" s="40"/>
      <c r="F1989" s="14"/>
      <c r="G1989" s="17"/>
      <c r="H1989" s="10" t="s">
        <v>8563</v>
      </c>
      <c r="I1989" s="4" t="str">
        <f t="shared" si="218"/>
        <v>|án-i-Isma’ílí|</v>
      </c>
      <c r="J1989" s="3" t="str">
        <f t="shared" si="219"/>
        <v>|Khan-i-Isma'ili|</v>
      </c>
      <c r="K1989" s="3" t="str">
        <f t="shared" si="220"/>
        <v>Khan-i-Ismaili</v>
      </c>
      <c r="N1989" s="39" t="str">
        <f t="shared" si="221"/>
        <v/>
      </c>
      <c r="P1989" s="39" t="str">
        <f t="shared" si="222"/>
        <v/>
      </c>
      <c r="R1989" s="39" t="str">
        <f t="shared" si="223"/>
        <v/>
      </c>
      <c r="S1989" s="28"/>
      <c r="T1989" s="28"/>
      <c r="U1989" s="28"/>
    </row>
    <row r="1990" spans="1:21" s="5" customFormat="1">
      <c r="A1990" s="179" t="s">
        <v>2423</v>
      </c>
      <c r="B1990" s="185" t="s">
        <v>6593</v>
      </c>
      <c r="C1990" s="35" t="str">
        <f t="shared" si="217"/>
        <v>KhaniKalantar</v>
      </c>
      <c r="E1990" s="40"/>
      <c r="F1990" s="14"/>
      <c r="G1990" s="17"/>
      <c r="H1990" s="10" t="s">
        <v>8563</v>
      </c>
      <c r="I1990" s="4" t="str">
        <f t="shared" si="218"/>
        <v>|án-i-Kalántar|</v>
      </c>
      <c r="J1990" s="3" t="str">
        <f t="shared" si="219"/>
        <v>|Khan-i-Kalantar|</v>
      </c>
      <c r="K1990" s="3" t="str">
        <f t="shared" si="220"/>
        <v>Khan-i-Kalantar</v>
      </c>
      <c r="N1990" s="39" t="str">
        <f t="shared" si="221"/>
        <v/>
      </c>
      <c r="P1990" s="39" t="str">
        <f t="shared" si="222"/>
        <v/>
      </c>
      <c r="R1990" s="39" t="str">
        <f t="shared" si="223"/>
        <v/>
      </c>
      <c r="S1990" s="28"/>
      <c r="T1990" s="28"/>
      <c r="U1990" s="28"/>
    </row>
    <row r="1991" spans="1:21" s="5" customFormat="1">
      <c r="A1991" s="179" t="s">
        <v>2424</v>
      </c>
      <c r="B1991" s="185" t="s">
        <v>6594</v>
      </c>
      <c r="C1991" s="35" t="str">
        <f t="shared" si="217"/>
        <v>KhaniKaravuli</v>
      </c>
      <c r="E1991" s="40"/>
      <c r="F1991" s="14"/>
      <c r="G1991" s="17"/>
      <c r="H1991" s="10" t="s">
        <v>8563</v>
      </c>
      <c r="I1991" s="4" t="str">
        <f t="shared" si="218"/>
        <v>|án-i-Karavulí|</v>
      </c>
      <c r="J1991" s="3" t="str">
        <f t="shared" si="219"/>
        <v>|Khan-i-Karavuli|</v>
      </c>
      <c r="K1991" s="3" t="str">
        <f t="shared" si="220"/>
        <v>Khan-i-Karavuli</v>
      </c>
      <c r="N1991" s="39" t="str">
        <f t="shared" si="221"/>
        <v/>
      </c>
      <c r="P1991" s="39" t="str">
        <f t="shared" si="222"/>
        <v/>
      </c>
      <c r="R1991" s="39" t="str">
        <f t="shared" si="223"/>
        <v/>
      </c>
      <c r="S1991" s="28"/>
      <c r="T1991" s="28"/>
      <c r="U1991" s="28"/>
    </row>
    <row r="1992" spans="1:21" s="5" customFormat="1">
      <c r="A1992" s="179" t="s">
        <v>2425</v>
      </c>
      <c r="B1992" s="185" t="s">
        <v>6595</v>
      </c>
      <c r="C1992" s="35" t="str">
        <f t="shared" si="217"/>
        <v>KhaniKarrusi</v>
      </c>
      <c r="E1992" s="40"/>
      <c r="F1992" s="14"/>
      <c r="G1992" s="17"/>
      <c r="H1992" s="10" t="s">
        <v>8563</v>
      </c>
      <c r="I1992" s="4" t="str">
        <f t="shared" si="218"/>
        <v>|án-i-Karrúsí|</v>
      </c>
      <c r="J1992" s="3" t="str">
        <f t="shared" si="219"/>
        <v>|Khan-i-Karrusi|</v>
      </c>
      <c r="K1992" s="3" t="str">
        <f t="shared" si="220"/>
        <v>Khan-i-Karrusi</v>
      </c>
      <c r="N1992" s="39" t="str">
        <f t="shared" si="221"/>
        <v/>
      </c>
      <c r="P1992" s="39" t="str">
        <f t="shared" si="222"/>
        <v/>
      </c>
      <c r="R1992" s="39" t="str">
        <f t="shared" si="223"/>
        <v/>
      </c>
      <c r="S1992" s="28"/>
      <c r="T1992" s="28"/>
      <c r="U1992" s="28"/>
    </row>
    <row r="1993" spans="1:21" s="5" customFormat="1">
      <c r="A1993" s="179" t="s">
        <v>2426</v>
      </c>
      <c r="B1993" s="185" t="s">
        <v>6596</v>
      </c>
      <c r="C1993" s="35" t="str">
        <f t="shared" si="217"/>
        <v>KhaniKashi</v>
      </c>
      <c r="E1993" s="40"/>
      <c r="F1993" s="14"/>
      <c r="G1993" s="17"/>
      <c r="H1993" s="10" t="s">
        <v>8563</v>
      </c>
      <c r="I1993" s="4" t="str">
        <f t="shared" si="218"/>
        <v>|án-i-Káí|</v>
      </c>
      <c r="J1993" s="3" t="str">
        <f t="shared" si="219"/>
        <v>|Khan-i-Kashi|</v>
      </c>
      <c r="K1993" s="3" t="str">
        <f t="shared" si="220"/>
        <v>Khan-i-Kashi</v>
      </c>
      <c r="N1993" s="39" t="str">
        <f t="shared" si="221"/>
        <v/>
      </c>
      <c r="P1993" s="39" t="str">
        <f t="shared" si="222"/>
        <v/>
      </c>
      <c r="R1993" s="39" t="str">
        <f t="shared" si="223"/>
        <v/>
      </c>
      <c r="S1993" s="28"/>
      <c r="T1993" s="28"/>
      <c r="U1993" s="28"/>
    </row>
    <row r="1994" spans="1:21" s="5" customFormat="1">
      <c r="A1994" s="179" t="s">
        <v>2427</v>
      </c>
      <c r="B1994" s="185" t="s">
        <v>6597</v>
      </c>
      <c r="C1994" s="35" t="str">
        <f t="shared" si="217"/>
        <v>KhaniKhamsih</v>
      </c>
      <c r="E1994" s="40"/>
      <c r="F1994" s="14"/>
      <c r="G1994" s="17"/>
      <c r="H1994" s="10" t="s">
        <v>8563</v>
      </c>
      <c r="I1994" s="4" t="str">
        <f t="shared" si="218"/>
        <v>|án-i-amsíh|</v>
      </c>
      <c r="J1994" s="3" t="str">
        <f t="shared" si="219"/>
        <v>|Khan-i-Khamsih|</v>
      </c>
      <c r="K1994" s="3" t="str">
        <f t="shared" si="220"/>
        <v>Khan-i-Khamsih</v>
      </c>
      <c r="N1994" s="39" t="str">
        <f t="shared" si="221"/>
        <v/>
      </c>
      <c r="P1994" s="39" t="str">
        <f t="shared" si="222"/>
        <v/>
      </c>
      <c r="R1994" s="39" t="str">
        <f t="shared" si="223"/>
        <v/>
      </c>
      <c r="S1994" s="28"/>
      <c r="T1994" s="28"/>
      <c r="U1994" s="28"/>
    </row>
    <row r="1995" spans="1:21" s="5" customFormat="1">
      <c r="A1995" s="179" t="s">
        <v>2428</v>
      </c>
      <c r="B1995" s="185" t="s">
        <v>6598</v>
      </c>
      <c r="C1995" s="35" t="str">
        <f t="shared" si="217"/>
        <v>KhaniKirmani</v>
      </c>
      <c r="E1995" s="40"/>
      <c r="F1995" s="14"/>
      <c r="G1995" s="17"/>
      <c r="H1995" s="10" t="s">
        <v>8563</v>
      </c>
      <c r="I1995" s="4" t="str">
        <f t="shared" si="218"/>
        <v>|án-i-Kirmání|</v>
      </c>
      <c r="J1995" s="3" t="str">
        <f t="shared" si="219"/>
        <v>|Khan-i-Kirmani|</v>
      </c>
      <c r="K1995" s="3" t="str">
        <f t="shared" si="220"/>
        <v>Khan-i-Kirmani</v>
      </c>
      <c r="N1995" s="39" t="str">
        <f t="shared" si="221"/>
        <v/>
      </c>
      <c r="P1995" s="39" t="str">
        <f t="shared" si="222"/>
        <v/>
      </c>
      <c r="R1995" s="39" t="str">
        <f t="shared" si="223"/>
        <v/>
      </c>
      <c r="S1995" s="28"/>
      <c r="T1995" s="28"/>
      <c r="U1995" s="28"/>
    </row>
    <row r="1996" spans="1:21" s="5" customFormat="1">
      <c r="A1996" s="179" t="s">
        <v>2429</v>
      </c>
      <c r="B1996" s="185" t="s">
        <v>6599</v>
      </c>
      <c r="C1996" s="35" t="str">
        <f t="shared" si="217"/>
        <v>KhaniKurd</v>
      </c>
      <c r="E1996" s="40"/>
      <c r="F1996" s="14"/>
      <c r="G1996" s="17"/>
      <c r="H1996" s="10" t="s">
        <v>8563</v>
      </c>
      <c r="I1996" s="4" t="str">
        <f t="shared" si="218"/>
        <v>|án-i-Kurd|</v>
      </c>
      <c r="J1996" s="3" t="str">
        <f t="shared" si="219"/>
        <v>|Khan-i-Kurd|</v>
      </c>
      <c r="K1996" s="3" t="str">
        <f t="shared" si="220"/>
        <v>Khan-i-Kurd</v>
      </c>
      <c r="N1996" s="39" t="str">
        <f t="shared" si="221"/>
        <v/>
      </c>
      <c r="P1996" s="39" t="str">
        <f t="shared" si="222"/>
        <v/>
      </c>
      <c r="R1996" s="39" t="str">
        <f t="shared" si="223"/>
        <v/>
      </c>
      <c r="S1996" s="28"/>
      <c r="T1996" s="28"/>
      <c r="U1996" s="28"/>
    </row>
    <row r="1997" spans="1:21" s="5" customFormat="1">
      <c r="A1997" s="179" t="s">
        <v>2430</v>
      </c>
      <c r="B1997" s="185" t="s">
        <v>6600</v>
      </c>
      <c r="C1997" s="35" t="str">
        <f t="shared" si="217"/>
        <v>KhaniLalihBashi</v>
      </c>
      <c r="E1997" s="40"/>
      <c r="F1997" s="14"/>
      <c r="G1997" s="17"/>
      <c r="H1997" s="10" t="s">
        <v>8563</v>
      </c>
      <c r="I1997" s="4" t="str">
        <f t="shared" si="218"/>
        <v>|án-i-Lálih-Báí|</v>
      </c>
      <c r="J1997" s="3" t="str">
        <f t="shared" si="219"/>
        <v>|Khan-i-Lalih-Bashi|</v>
      </c>
      <c r="K1997" s="3" t="str">
        <f t="shared" si="220"/>
        <v>Khan-i-Lalih-Bashi</v>
      </c>
      <c r="N1997" s="39" t="str">
        <f t="shared" si="221"/>
        <v/>
      </c>
      <c r="P1997" s="39" t="str">
        <f t="shared" si="222"/>
        <v/>
      </c>
      <c r="R1997" s="39" t="str">
        <f t="shared" si="223"/>
        <v/>
      </c>
      <c r="S1997" s="28"/>
      <c r="T1997" s="28"/>
      <c r="U1997" s="28"/>
    </row>
    <row r="1998" spans="1:21" s="5" customFormat="1">
      <c r="A1998" s="179" t="s">
        <v>2431</v>
      </c>
      <c r="B1998" s="185" t="s">
        <v>6601</v>
      </c>
      <c r="C1998" s="35" t="str">
        <f t="shared" si="217"/>
        <v>KhaniLarijani</v>
      </c>
      <c r="E1998" s="40"/>
      <c r="F1998" s="14"/>
      <c r="G1998" s="17"/>
      <c r="H1998" s="10" t="s">
        <v>8563</v>
      </c>
      <c r="I1998" s="4" t="str">
        <f t="shared" si="218"/>
        <v>|án-i-Láríjání|</v>
      </c>
      <c r="J1998" s="3" t="str">
        <f t="shared" si="219"/>
        <v>|Khan-i-Larijani|</v>
      </c>
      <c r="K1998" s="3" t="str">
        <f t="shared" si="220"/>
        <v>Khan-i-Larijani</v>
      </c>
      <c r="N1998" s="39" t="str">
        <f t="shared" si="221"/>
        <v/>
      </c>
      <c r="P1998" s="39" t="str">
        <f t="shared" si="222"/>
        <v/>
      </c>
      <c r="R1998" s="39" t="str">
        <f t="shared" si="223"/>
        <v/>
      </c>
      <c r="S1998" s="28"/>
      <c r="T1998" s="28"/>
      <c r="U1998" s="28"/>
    </row>
    <row r="1999" spans="1:21" s="5" customFormat="1">
      <c r="A1999" s="179" t="s">
        <v>2432</v>
      </c>
      <c r="B1999" s="185" t="s">
        <v>6602</v>
      </c>
      <c r="C1999" s="35" t="str">
        <f t="shared" si="217"/>
        <v>KhaniMahKu</v>
      </c>
      <c r="E1999" s="40"/>
      <c r="F1999" s="15"/>
      <c r="G1999" s="17"/>
      <c r="H1999" s="10" t="s">
        <v>8563</v>
      </c>
      <c r="I1999" s="4" t="str">
        <f t="shared" si="218"/>
        <v>|án-i-Máh-Kú|</v>
      </c>
      <c r="J1999" s="3" t="str">
        <f t="shared" si="219"/>
        <v>|Khan-i-Mah-Ku|</v>
      </c>
      <c r="K1999" s="3" t="str">
        <f t="shared" si="220"/>
        <v>Khan-i-Mah-Ku</v>
      </c>
      <c r="N1999" s="39" t="str">
        <f t="shared" si="221"/>
        <v/>
      </c>
      <c r="P1999" s="39" t="str">
        <f t="shared" si="222"/>
        <v/>
      </c>
      <c r="R1999" s="39" t="str">
        <f t="shared" si="223"/>
        <v/>
      </c>
      <c r="S1999" s="28"/>
      <c r="T1999" s="28"/>
      <c r="U1999" s="28"/>
    </row>
    <row r="2000" spans="1:21" s="5" customFormat="1">
      <c r="A2000" s="179" t="s">
        <v>2433</v>
      </c>
      <c r="B2000" s="185" t="s">
        <v>6603</v>
      </c>
      <c r="C2000" s="35" t="str">
        <f t="shared" si="217"/>
        <v>KhaniMahKui</v>
      </c>
      <c r="E2000" s="40"/>
      <c r="F2000" s="14"/>
      <c r="G2000" s="17"/>
      <c r="H2000" s="10" t="s">
        <v>8563</v>
      </c>
      <c r="I2000" s="4" t="str">
        <f t="shared" si="218"/>
        <v>|án-i-Máh-Kú’í|</v>
      </c>
      <c r="J2000" s="3" t="str">
        <f t="shared" si="219"/>
        <v>|Khan-i-Mah-Ku'i|</v>
      </c>
      <c r="K2000" s="3" t="str">
        <f t="shared" si="220"/>
        <v>Khan-i-Mah-Kui</v>
      </c>
      <c r="N2000" s="39" t="str">
        <f t="shared" si="221"/>
        <v/>
      </c>
      <c r="P2000" s="39" t="str">
        <f t="shared" si="222"/>
        <v/>
      </c>
      <c r="R2000" s="39" t="str">
        <f t="shared" si="223"/>
        <v/>
      </c>
      <c r="S2000" s="28"/>
      <c r="T2000" s="28"/>
      <c r="U2000" s="28"/>
    </row>
    <row r="2001" spans="1:21" s="5" customFormat="1">
      <c r="A2001" s="179" t="s">
        <v>2434</v>
      </c>
      <c r="B2001" s="185" t="s">
        <v>6604</v>
      </c>
      <c r="C2001" s="35" t="str">
        <f t="shared" si="217"/>
        <v>KhaniMaraghihi</v>
      </c>
      <c r="E2001" s="40"/>
      <c r="F2001" s="14"/>
      <c r="G2001" s="17"/>
      <c r="H2001" s="10" t="s">
        <v>8563</v>
      </c>
      <c r="I2001" s="4" t="str">
        <f t="shared" si="218"/>
        <v>|án-i-Maraih-í|</v>
      </c>
      <c r="J2001" s="3" t="str">
        <f t="shared" si="219"/>
        <v>|Khan-i-Maraghih-i|</v>
      </c>
      <c r="K2001" s="3" t="str">
        <f t="shared" si="220"/>
        <v>Khan-i-Maraghih-i</v>
      </c>
      <c r="N2001" s="39" t="str">
        <f t="shared" si="221"/>
        <v/>
      </c>
      <c r="P2001" s="39" t="str">
        <f t="shared" si="222"/>
        <v/>
      </c>
      <c r="R2001" s="39" t="str">
        <f t="shared" si="223"/>
        <v/>
      </c>
      <c r="S2001" s="28"/>
      <c r="T2001" s="28"/>
      <c r="U2001" s="28"/>
    </row>
    <row r="2002" spans="1:21" s="5" customFormat="1">
      <c r="A2002" s="179" t="s">
        <v>2435</v>
      </c>
      <c r="B2002" s="185" t="s">
        <v>6605</v>
      </c>
      <c r="C2002" s="35" t="str">
        <f t="shared" si="217"/>
        <v>KhaniMilani</v>
      </c>
      <c r="E2002" s="40"/>
      <c r="F2002" s="15"/>
      <c r="G2002" s="17"/>
      <c r="H2002" s="10" t="s">
        <v>8563</v>
      </c>
      <c r="I2002" s="4" t="str">
        <f t="shared" si="218"/>
        <v>|án-i-Mílání|</v>
      </c>
      <c r="J2002" s="3" t="str">
        <f t="shared" si="219"/>
        <v>|Khan-i-Milani|</v>
      </c>
      <c r="K2002" s="3" t="str">
        <f t="shared" si="220"/>
        <v>Khan-i-Milani</v>
      </c>
      <c r="N2002" s="39" t="str">
        <f t="shared" si="221"/>
        <v/>
      </c>
      <c r="P2002" s="39" t="str">
        <f t="shared" si="222"/>
        <v/>
      </c>
      <c r="R2002" s="39" t="str">
        <f t="shared" si="223"/>
        <v/>
      </c>
      <c r="S2002" s="28"/>
      <c r="T2002" s="28"/>
      <c r="U2002" s="28"/>
    </row>
    <row r="2003" spans="1:21" s="5" customFormat="1">
      <c r="A2003" s="179" t="s">
        <v>2436</v>
      </c>
      <c r="B2003" s="185" t="s">
        <v>6606</v>
      </c>
      <c r="C2003" s="35" t="str">
        <f t="shared" si="217"/>
        <v>KhaniMukri</v>
      </c>
      <c r="E2003" s="40"/>
      <c r="F2003" s="14"/>
      <c r="G2003" s="17"/>
      <c r="H2003" s="10" t="s">
        <v>8563</v>
      </c>
      <c r="I2003" s="4" t="str">
        <f t="shared" si="218"/>
        <v>|án-i-Mukrí|</v>
      </c>
      <c r="J2003" s="3" t="str">
        <f t="shared" si="219"/>
        <v>|Khan-i-Mukri|</v>
      </c>
      <c r="K2003" s="3" t="str">
        <f t="shared" si="220"/>
        <v>Khan-i-Mukri</v>
      </c>
      <c r="N2003" s="39" t="str">
        <f t="shared" si="221"/>
        <v/>
      </c>
      <c r="P2003" s="39" t="str">
        <f t="shared" si="222"/>
        <v/>
      </c>
      <c r="R2003" s="39" t="str">
        <f t="shared" si="223"/>
        <v/>
      </c>
      <c r="S2003" s="28"/>
      <c r="T2003" s="28"/>
      <c r="U2003" s="28"/>
    </row>
    <row r="2004" spans="1:21" s="5" customFormat="1">
      <c r="A2004" s="179" t="s">
        <v>2437</v>
      </c>
      <c r="B2004" s="185" t="s">
        <v>6607</v>
      </c>
      <c r="C2004" s="35" t="str">
        <f t="shared" si="217"/>
        <v>KhaniNamdar</v>
      </c>
      <c r="E2004" s="40"/>
      <c r="F2004" s="14"/>
      <c r="G2004" s="17"/>
      <c r="H2004" s="10" t="s">
        <v>8563</v>
      </c>
      <c r="I2004" s="4" t="str">
        <f t="shared" si="218"/>
        <v>|án-i-Námdár|</v>
      </c>
      <c r="J2004" s="3" t="str">
        <f t="shared" si="219"/>
        <v>|Khan-i-Namdar|</v>
      </c>
      <c r="K2004" s="3" t="str">
        <f t="shared" si="220"/>
        <v>Khan-i-Namdar</v>
      </c>
      <c r="N2004" s="39" t="str">
        <f t="shared" si="221"/>
        <v/>
      </c>
      <c r="P2004" s="39" t="str">
        <f t="shared" si="222"/>
        <v/>
      </c>
      <c r="R2004" s="39" t="str">
        <f t="shared" si="223"/>
        <v/>
      </c>
      <c r="S2004" s="28"/>
      <c r="T2004" s="28"/>
      <c r="U2004" s="28"/>
    </row>
    <row r="2005" spans="1:21" s="5" customFormat="1">
      <c r="A2005" s="179" t="s">
        <v>2419</v>
      </c>
      <c r="B2005" s="185" t="s">
        <v>6589</v>
      </c>
      <c r="C2005" s="35" t="str">
        <f t="shared" si="217"/>
        <v>KhaniNuri</v>
      </c>
      <c r="E2005" s="40"/>
      <c r="F2005" s="14"/>
      <c r="G2005" s="17"/>
      <c r="H2005" s="10" t="s">
        <v>8563</v>
      </c>
      <c r="I2005" s="4" t="str">
        <f t="shared" si="218"/>
        <v>|án-i-Núrí|</v>
      </c>
      <c r="J2005" s="3" t="str">
        <f t="shared" si="219"/>
        <v>|Khan-i-Nuri|</v>
      </c>
      <c r="K2005" s="3" t="str">
        <f t="shared" si="220"/>
        <v>Khan-i-Nuri</v>
      </c>
      <c r="N2005" s="39" t="str">
        <f t="shared" si="221"/>
        <v/>
      </c>
      <c r="P2005" s="39" t="str">
        <f t="shared" si="222"/>
        <v/>
      </c>
      <c r="R2005" s="39" t="str">
        <f t="shared" si="223"/>
        <v/>
      </c>
      <c r="S2005" s="28"/>
      <c r="T2005" s="28"/>
      <c r="U2005" s="28"/>
    </row>
    <row r="2006" spans="1:21" s="5" customFormat="1">
      <c r="A2006" s="179" t="s">
        <v>2438</v>
      </c>
      <c r="B2006" s="185" t="s">
        <v>6608</v>
      </c>
      <c r="C2006" s="35" t="str">
        <f t="shared" si="217"/>
        <v>KhaniQajariKirmani</v>
      </c>
      <c r="E2006" s="40"/>
      <c r="F2006" s="14"/>
      <c r="G2006" s="17"/>
      <c r="H2006" s="10" t="s">
        <v>8563</v>
      </c>
      <c r="I2006" s="4" t="str">
        <f t="shared" si="218"/>
        <v>|án-i-Qájár-i-Kirmání|</v>
      </c>
      <c r="J2006" s="3" t="str">
        <f t="shared" si="219"/>
        <v>|Khan-i-Qajar-i-Kirmani|</v>
      </c>
      <c r="K2006" s="3" t="str">
        <f t="shared" si="220"/>
        <v>Khan-i-Qajar-i-Kirmani</v>
      </c>
      <c r="N2006" s="39" t="str">
        <f t="shared" si="221"/>
        <v/>
      </c>
      <c r="P2006" s="39" t="str">
        <f t="shared" si="222"/>
        <v/>
      </c>
      <c r="R2006" s="39" t="str">
        <f t="shared" si="223"/>
        <v/>
      </c>
      <c r="S2006" s="28"/>
      <c r="T2006" s="28"/>
      <c r="U2006" s="28"/>
    </row>
    <row r="2007" spans="1:21" s="5" customFormat="1">
      <c r="A2007" s="179" t="s">
        <v>2439</v>
      </c>
      <c r="B2007" s="185" t="s">
        <v>6609</v>
      </c>
      <c r="C2007" s="35" t="str">
        <f t="shared" si="217"/>
        <v>Khaniqayn</v>
      </c>
      <c r="E2007" s="40"/>
      <c r="F2007" s="14"/>
      <c r="G2007" s="17"/>
      <c r="H2007" s="10" t="s">
        <v>8563</v>
      </c>
      <c r="I2007" s="4" t="str">
        <f t="shared" si="218"/>
        <v>|ániqayn|</v>
      </c>
      <c r="J2007" s="3" t="str">
        <f t="shared" si="219"/>
        <v>|Khaniqayn|</v>
      </c>
      <c r="K2007" s="3" t="str">
        <f t="shared" si="220"/>
        <v>Khaniqayn</v>
      </c>
      <c r="N2007" s="39" t="str">
        <f t="shared" si="221"/>
        <v/>
      </c>
      <c r="P2007" s="39" t="str">
        <f t="shared" si="222"/>
        <v/>
      </c>
      <c r="R2007" s="39" t="str">
        <f t="shared" si="223"/>
        <v/>
      </c>
      <c r="S2007" s="28"/>
      <c r="T2007" s="28"/>
      <c r="U2007" s="28"/>
    </row>
    <row r="2008" spans="1:21" s="5" customFormat="1">
      <c r="A2008" s="179" t="s">
        <v>2440</v>
      </c>
      <c r="B2008" s="185" t="s">
        <v>6610</v>
      </c>
      <c r="C2008" s="35" t="str">
        <f t="shared" si="217"/>
        <v>KhaniQazvini</v>
      </c>
      <c r="E2008" s="40"/>
      <c r="F2008" s="14"/>
      <c r="G2008" s="17"/>
      <c r="H2008" s="10" t="s">
        <v>8563</v>
      </c>
      <c r="I2008" s="4" t="str">
        <f t="shared" si="218"/>
        <v>|án-i-Qazvíní|</v>
      </c>
      <c r="J2008" s="3" t="str">
        <f t="shared" si="219"/>
        <v>|Khan-i-Qazvini|</v>
      </c>
      <c r="K2008" s="3" t="str">
        <f t="shared" si="220"/>
        <v>Khan-i-Qazvini</v>
      </c>
      <c r="N2008" s="39" t="str">
        <f t="shared" si="221"/>
        <v/>
      </c>
      <c r="P2008" s="39" t="str">
        <f t="shared" si="222"/>
        <v/>
      </c>
      <c r="R2008" s="39" t="str">
        <f t="shared" si="223"/>
        <v/>
      </c>
      <c r="S2008" s="28"/>
      <c r="T2008" s="28"/>
      <c r="U2008" s="28"/>
    </row>
    <row r="2009" spans="1:21" s="5" customFormat="1">
      <c r="A2009" s="179" t="s">
        <v>2441</v>
      </c>
      <c r="B2009" s="185" t="s">
        <v>6611</v>
      </c>
      <c r="C2009" s="35" t="str">
        <f t="shared" si="217"/>
        <v>KhaniSardar</v>
      </c>
      <c r="E2009" s="40"/>
      <c r="F2009" s="14"/>
      <c r="G2009" s="17"/>
      <c r="H2009" s="10" t="s">
        <v>8563</v>
      </c>
      <c r="I2009" s="4" t="str">
        <f t="shared" si="218"/>
        <v>|án-i-Sardár|</v>
      </c>
      <c r="J2009" s="3" t="str">
        <f t="shared" si="219"/>
        <v>|Khan-i-Sardar|</v>
      </c>
      <c r="K2009" s="3" t="str">
        <f t="shared" si="220"/>
        <v>Khan-i-Sardar</v>
      </c>
      <c r="N2009" s="39" t="str">
        <f t="shared" si="221"/>
        <v/>
      </c>
      <c r="P2009" s="39" t="str">
        <f t="shared" si="222"/>
        <v/>
      </c>
      <c r="R2009" s="39" t="str">
        <f t="shared" si="223"/>
        <v/>
      </c>
      <c r="S2009" s="28"/>
      <c r="T2009" s="28"/>
      <c r="U2009" s="28"/>
    </row>
    <row r="2010" spans="1:21" s="5" customFormat="1">
      <c r="A2010" s="179" t="s">
        <v>2442</v>
      </c>
      <c r="B2010" s="185" t="s">
        <v>6612</v>
      </c>
      <c r="C2010" s="35" t="str">
        <f t="shared" si="217"/>
        <v>KhaniSavadKuhi</v>
      </c>
      <c r="E2010" s="40"/>
      <c r="F2010" s="14"/>
      <c r="G2010" s="17"/>
      <c r="H2010" s="10" t="s">
        <v>8563</v>
      </c>
      <c r="I2010" s="4" t="str">
        <f t="shared" si="218"/>
        <v>|án-i-Savad-Kúhí|</v>
      </c>
      <c r="J2010" s="3" t="str">
        <f t="shared" si="219"/>
        <v>|Khan-i-Savad-Kuhi|</v>
      </c>
      <c r="K2010" s="3" t="str">
        <f t="shared" si="220"/>
        <v>Khan-i-Savad-Kuhi</v>
      </c>
      <c r="N2010" s="39" t="str">
        <f t="shared" si="221"/>
        <v/>
      </c>
      <c r="P2010" s="39" t="str">
        <f t="shared" si="222"/>
        <v/>
      </c>
      <c r="R2010" s="39" t="str">
        <f t="shared" si="223"/>
        <v/>
      </c>
      <c r="S2010" s="28"/>
      <c r="T2010" s="28"/>
      <c r="U2010" s="28"/>
    </row>
    <row r="2011" spans="1:21" s="5" customFormat="1">
      <c r="A2011" s="179" t="s">
        <v>2443</v>
      </c>
      <c r="B2011" s="185" t="s">
        <v>6613</v>
      </c>
      <c r="C2011" s="35" t="str">
        <f t="shared" si="217"/>
        <v>KhaniShahSuvan</v>
      </c>
      <c r="E2011" s="40"/>
      <c r="F2011" s="14"/>
      <c r="G2011" s="17"/>
      <c r="H2011" s="10" t="s">
        <v>8563</v>
      </c>
      <c r="I2011" s="4" t="str">
        <f t="shared" si="218"/>
        <v>|án-i-áh-Suvan|</v>
      </c>
      <c r="J2011" s="3" t="str">
        <f t="shared" si="219"/>
        <v>|Khan-i-Shah-Suvan|</v>
      </c>
      <c r="K2011" s="3" t="str">
        <f t="shared" si="220"/>
        <v>Khan-i-Shah-Suvan</v>
      </c>
      <c r="N2011" s="39" t="str">
        <f t="shared" si="221"/>
        <v/>
      </c>
      <c r="P2011" s="39" t="str">
        <f t="shared" si="222"/>
        <v/>
      </c>
      <c r="R2011" s="39" t="str">
        <f t="shared" si="223"/>
        <v/>
      </c>
      <c r="S2011" s="28"/>
      <c r="T2011" s="28"/>
      <c r="U2011" s="28"/>
    </row>
    <row r="2012" spans="1:21" s="5" customFormat="1">
      <c r="A2012" s="179" t="s">
        <v>2444</v>
      </c>
      <c r="B2012" s="185" t="s">
        <v>6614</v>
      </c>
      <c r="C2012" s="35" t="str">
        <f t="shared" si="217"/>
        <v>KhaniShahVirdi</v>
      </c>
      <c r="E2012" s="40"/>
      <c r="F2012" s="14"/>
      <c r="G2012" s="17"/>
      <c r="H2012" s="10" t="s">
        <v>8563</v>
      </c>
      <c r="I2012" s="4" t="str">
        <f t="shared" si="218"/>
        <v>|án-i-áh-Virdí|</v>
      </c>
      <c r="J2012" s="3" t="str">
        <f t="shared" si="219"/>
        <v>|Khan-i-Shah-Virdi|</v>
      </c>
      <c r="K2012" s="3" t="str">
        <f t="shared" si="220"/>
        <v>Khan-i-Shah-Virdi</v>
      </c>
      <c r="N2012" s="39" t="str">
        <f t="shared" si="221"/>
        <v/>
      </c>
      <c r="P2012" s="39" t="str">
        <f t="shared" si="222"/>
        <v/>
      </c>
      <c r="R2012" s="39" t="str">
        <f t="shared" si="223"/>
        <v/>
      </c>
      <c r="S2012" s="28"/>
      <c r="T2012" s="28"/>
      <c r="U2012" s="28"/>
    </row>
    <row r="2013" spans="1:21" s="5" customFormat="1">
      <c r="A2013" s="179" t="s">
        <v>2445</v>
      </c>
      <c r="B2013" s="185" t="s">
        <v>6615</v>
      </c>
      <c r="C2013" s="35" t="str">
        <f t="shared" si="217"/>
        <v>KhaniSurkhKarrii</v>
      </c>
      <c r="E2013" s="40"/>
      <c r="F2013" s="14"/>
      <c r="G2013" s="17"/>
      <c r="H2013" s="10" t="s">
        <v>8563</v>
      </c>
      <c r="I2013" s="4" t="str">
        <f t="shared" si="218"/>
        <v>|án-i-Sur-Karri’í|</v>
      </c>
      <c r="J2013" s="3" t="str">
        <f t="shared" si="219"/>
        <v>|Khan-i-Surkh-Karri'i|</v>
      </c>
      <c r="K2013" s="3" t="str">
        <f t="shared" si="220"/>
        <v>Khan-i-Surkh-Karrii</v>
      </c>
      <c r="N2013" s="39" t="str">
        <f t="shared" si="221"/>
        <v/>
      </c>
      <c r="P2013" s="39" t="str">
        <f t="shared" si="222"/>
        <v/>
      </c>
      <c r="R2013" s="39" t="str">
        <f t="shared" si="223"/>
        <v/>
      </c>
      <c r="S2013" s="28"/>
      <c r="T2013" s="28"/>
      <c r="U2013" s="28"/>
    </row>
    <row r="2014" spans="1:21" s="5" customFormat="1">
      <c r="A2014" s="179" t="s">
        <v>2446</v>
      </c>
      <c r="B2014" s="185" t="s">
        <v>6616</v>
      </c>
      <c r="C2014" s="35" t="str">
        <f t="shared" si="217"/>
        <v>KhaniTunukabani</v>
      </c>
      <c r="E2014" s="40"/>
      <c r="F2014" s="14"/>
      <c r="G2014" s="17"/>
      <c r="H2014" s="10" t="s">
        <v>8563</v>
      </c>
      <c r="I2014" s="4" t="str">
        <f t="shared" si="218"/>
        <v>|án-i-Tunúkábání|</v>
      </c>
      <c r="J2014" s="3" t="str">
        <f t="shared" si="219"/>
        <v>|Khan-i-Tunukabani|</v>
      </c>
      <c r="K2014" s="3" t="str">
        <f t="shared" si="220"/>
        <v>Khan-i-Tunukabani</v>
      </c>
      <c r="N2014" s="39" t="str">
        <f t="shared" si="221"/>
        <v/>
      </c>
      <c r="P2014" s="39" t="str">
        <f t="shared" si="222"/>
        <v/>
      </c>
      <c r="R2014" s="39" t="str">
        <f t="shared" si="223"/>
        <v/>
      </c>
      <c r="S2014" s="28"/>
      <c r="T2014" s="28"/>
      <c r="U2014" s="28"/>
    </row>
    <row r="2015" spans="1:21" s="5" customFormat="1">
      <c r="A2015" s="179" t="s">
        <v>2447</v>
      </c>
      <c r="B2015" s="185" t="s">
        <v>6617</v>
      </c>
      <c r="C2015" s="35" t="str">
        <f t="shared" si="217"/>
        <v>KhaniTurkaman</v>
      </c>
      <c r="E2015" s="40"/>
      <c r="F2015" s="14"/>
      <c r="G2015" s="17"/>
      <c r="H2015" s="10" t="s">
        <v>8563</v>
      </c>
      <c r="I2015" s="4" t="str">
        <f t="shared" si="218"/>
        <v>|án-i-Turkamán|</v>
      </c>
      <c r="J2015" s="3" t="str">
        <f t="shared" si="219"/>
        <v>|Khan-i-Turkaman|</v>
      </c>
      <c r="K2015" s="3" t="str">
        <f t="shared" si="220"/>
        <v>Khan-i-Turkaman</v>
      </c>
      <c r="N2015" s="39" t="str">
        <f t="shared" si="221"/>
        <v/>
      </c>
      <c r="P2015" s="39" t="str">
        <f t="shared" si="222"/>
        <v/>
      </c>
      <c r="R2015" s="39" t="str">
        <f t="shared" si="223"/>
        <v/>
      </c>
      <c r="S2015" s="28"/>
      <c r="T2015" s="28"/>
      <c r="U2015" s="28"/>
    </row>
    <row r="2016" spans="1:21" s="5" customFormat="1">
      <c r="A2016" s="179" t="s">
        <v>2448</v>
      </c>
      <c r="B2016" s="185" t="s">
        <v>6618</v>
      </c>
      <c r="C2016" s="35" t="str">
        <f t="shared" si="217"/>
        <v>Khanlan</v>
      </c>
      <c r="E2016" s="40"/>
      <c r="F2016" s="15"/>
      <c r="G2016" s="17"/>
      <c r="H2016" s="10" t="s">
        <v>8563</v>
      </c>
      <c r="I2016" s="4" t="str">
        <f t="shared" si="218"/>
        <v>|ánlan|</v>
      </c>
      <c r="J2016" s="3" t="str">
        <f t="shared" si="219"/>
        <v>|Khanlan|</v>
      </c>
      <c r="K2016" s="3" t="str">
        <f t="shared" si="220"/>
        <v>Khanlan</v>
      </c>
      <c r="N2016" s="39" t="str">
        <f t="shared" si="221"/>
        <v/>
      </c>
      <c r="P2016" s="39" t="str">
        <f t="shared" si="222"/>
        <v/>
      </c>
      <c r="R2016" s="39" t="str">
        <f t="shared" si="223"/>
        <v/>
      </c>
      <c r="S2016" s="28"/>
      <c r="T2016" s="28"/>
      <c r="U2016" s="28"/>
    </row>
    <row r="2017" spans="1:21" s="5" customFormat="1">
      <c r="A2017" s="179" t="s">
        <v>2449</v>
      </c>
      <c r="B2017" s="185" t="s">
        <v>6619</v>
      </c>
      <c r="C2017" s="35" t="str">
        <f t="shared" si="217"/>
        <v>Khanlar</v>
      </c>
      <c r="E2017" s="40"/>
      <c r="F2017" s="15"/>
      <c r="G2017" s="17"/>
      <c r="H2017" s="10" t="s">
        <v>8563</v>
      </c>
      <c r="I2017" s="4" t="str">
        <f t="shared" si="218"/>
        <v>|ánlar|</v>
      </c>
      <c r="J2017" s="3" t="str">
        <f t="shared" si="219"/>
        <v>|Khanlar|</v>
      </c>
      <c r="K2017" s="3" t="str">
        <f t="shared" si="220"/>
        <v>Khanlar</v>
      </c>
      <c r="N2017" s="39" t="str">
        <f t="shared" si="221"/>
        <v/>
      </c>
      <c r="P2017" s="39" t="str">
        <f t="shared" si="222"/>
        <v/>
      </c>
      <c r="R2017" s="39" t="str">
        <f t="shared" si="223"/>
        <v/>
      </c>
      <c r="S2017" s="28"/>
      <c r="T2017" s="28"/>
      <c r="U2017" s="28"/>
    </row>
    <row r="2018" spans="1:21" s="5" customFormat="1">
      <c r="A2018" s="179" t="s">
        <v>2450</v>
      </c>
      <c r="B2018" s="185" t="s">
        <v>6620</v>
      </c>
      <c r="C2018" s="35" t="str">
        <f t="shared" si="217"/>
        <v>Khanliq</v>
      </c>
      <c r="E2018" s="40"/>
      <c r="F2018" s="15"/>
      <c r="G2018" s="17"/>
      <c r="H2018" s="10" t="s">
        <v>8563</v>
      </c>
      <c r="I2018" s="4" t="str">
        <f t="shared" si="218"/>
        <v>|ánliq|</v>
      </c>
      <c r="J2018" s="3" t="str">
        <f t="shared" si="219"/>
        <v>|Khanliq|</v>
      </c>
      <c r="K2018" s="3" t="str">
        <f t="shared" si="220"/>
        <v>Khanliq</v>
      </c>
      <c r="N2018" s="39" t="str">
        <f t="shared" si="221"/>
        <v/>
      </c>
      <c r="P2018" s="39" t="str">
        <f t="shared" si="222"/>
        <v/>
      </c>
      <c r="R2018" s="39" t="str">
        <f t="shared" si="223"/>
        <v/>
      </c>
      <c r="S2018" s="28"/>
      <c r="T2018" s="28"/>
      <c r="U2018" s="28"/>
    </row>
    <row r="2019" spans="1:21" s="5" customFormat="1">
      <c r="A2019" s="179" t="s">
        <v>2451</v>
      </c>
      <c r="B2019" s="185" t="s">
        <v>6621</v>
      </c>
      <c r="C2019" s="35" t="str">
        <f t="shared" si="217"/>
        <v>KhanMuhammadiTupchi</v>
      </c>
      <c r="E2019" s="40"/>
      <c r="F2019" s="14"/>
      <c r="G2019" s="17"/>
      <c r="H2019" s="10" t="s">
        <v>8563</v>
      </c>
      <c r="I2019" s="4" t="str">
        <f t="shared" si="218"/>
        <v>|án-Muḥammad-i-Túpí|</v>
      </c>
      <c r="J2019" s="3" t="str">
        <f t="shared" si="219"/>
        <v>|Khan-Muhammad-i-Tupchi|</v>
      </c>
      <c r="K2019" s="3" t="str">
        <f t="shared" si="220"/>
        <v>Khan-Muhammad-i-Tupchi</v>
      </c>
      <c r="N2019" s="39" t="str">
        <f t="shared" si="221"/>
        <v/>
      </c>
      <c r="P2019" s="39" t="str">
        <f t="shared" si="222"/>
        <v/>
      </c>
      <c r="R2019" s="39" t="str">
        <f t="shared" si="223"/>
        <v/>
      </c>
      <c r="S2019" s="28"/>
      <c r="T2019" s="28"/>
      <c r="U2019" s="28"/>
    </row>
    <row r="2020" spans="1:21" s="5" customFormat="1">
      <c r="A2020" s="179" t="s">
        <v>2452</v>
      </c>
      <c r="B2020" s="185" t="s">
        <v>6622</v>
      </c>
      <c r="C2020" s="35" t="str">
        <f t="shared" si="217"/>
        <v>Khanum</v>
      </c>
      <c r="E2020" s="40"/>
      <c r="F2020" s="14"/>
      <c r="G2020" s="17"/>
      <c r="H2020" s="10" t="s">
        <v>8563</v>
      </c>
      <c r="I2020" s="4" t="str">
        <f t="shared" si="218"/>
        <v>|ánum|</v>
      </c>
      <c r="J2020" s="3" t="str">
        <f t="shared" si="219"/>
        <v>|Khanum|</v>
      </c>
      <c r="K2020" s="3" t="str">
        <f t="shared" si="220"/>
        <v>Khanum</v>
      </c>
      <c r="N2020" s="39" t="str">
        <f t="shared" si="221"/>
        <v/>
      </c>
      <c r="P2020" s="39" t="str">
        <f t="shared" si="222"/>
        <v/>
      </c>
      <c r="R2020" s="39" t="str">
        <f t="shared" si="223"/>
        <v/>
      </c>
      <c r="S2020" s="28"/>
      <c r="T2020" s="28"/>
      <c r="U2020" s="28"/>
    </row>
    <row r="2021" spans="1:21" s="5" customFormat="1">
      <c r="A2021" s="179" t="s">
        <v>2453</v>
      </c>
      <c r="B2021" s="185" t="s">
        <v>6623</v>
      </c>
      <c r="C2021" s="35" t="str">
        <f t="shared" si="217"/>
        <v>Khar</v>
      </c>
      <c r="E2021" s="40"/>
      <c r="F2021" s="15" t="s">
        <v>2454</v>
      </c>
      <c r="G2021" s="17"/>
      <c r="H2021" s="10" t="s">
        <v>8563</v>
      </c>
      <c r="I2021" s="4" t="str">
        <f t="shared" si="218"/>
        <v>|ar|</v>
      </c>
      <c r="J2021" s="3" t="str">
        <f t="shared" si="219"/>
        <v>|Khar|</v>
      </c>
      <c r="K2021" s="3" t="str">
        <f t="shared" si="220"/>
        <v>Khar</v>
      </c>
      <c r="N2021" s="39" t="str">
        <f t="shared" si="221"/>
        <v/>
      </c>
      <c r="P2021" s="39" t="str">
        <f t="shared" si="222"/>
        <v/>
      </c>
      <c r="R2021" s="39" t="str">
        <f t="shared" si="223"/>
        <v/>
      </c>
      <c r="S2021" s="28"/>
      <c r="T2021" s="28"/>
      <c r="U2021" s="28"/>
    </row>
    <row r="2022" spans="1:21" s="5" customFormat="1">
      <c r="A2022" s="179" t="s">
        <v>2457</v>
      </c>
      <c r="B2022" s="185" t="s">
        <v>6625</v>
      </c>
      <c r="C2022" s="35" t="str">
        <f t="shared" si="217"/>
        <v>Khari</v>
      </c>
      <c r="E2022" s="40"/>
      <c r="F2022" s="15" t="s">
        <v>2458</v>
      </c>
      <c r="G2022" s="17"/>
      <c r="H2022" s="10" t="s">
        <v>8563</v>
      </c>
      <c r="I2022" s="4" t="str">
        <f t="shared" si="218"/>
        <v>|arí|</v>
      </c>
      <c r="J2022" s="3" t="str">
        <f t="shared" si="219"/>
        <v>|Khari|</v>
      </c>
      <c r="K2022" s="3" t="str">
        <f t="shared" si="220"/>
        <v>Khari</v>
      </c>
      <c r="N2022" s="39" t="str">
        <f t="shared" si="221"/>
        <v/>
      </c>
      <c r="P2022" s="39" t="str">
        <f t="shared" si="222"/>
        <v/>
      </c>
      <c r="R2022" s="39" t="str">
        <f t="shared" si="223"/>
        <v/>
      </c>
      <c r="S2022" s="28"/>
      <c r="T2022" s="28"/>
      <c r="U2022" s="28"/>
    </row>
    <row r="2023" spans="1:21" s="5" customFormat="1">
      <c r="A2023" s="179" t="s">
        <v>2459</v>
      </c>
      <c r="B2023" s="185" t="s">
        <v>6626</v>
      </c>
      <c r="C2023" s="35" t="str">
        <f t="shared" si="217"/>
        <v>KhariqiAdat</v>
      </c>
      <c r="E2023" s="40"/>
      <c r="F2023" s="15"/>
      <c r="G2023" s="17"/>
      <c r="H2023" s="10" t="s">
        <v>8563</v>
      </c>
      <c r="I2023" s="4" t="str">
        <f t="shared" si="218"/>
        <v>|áriq-i-ʿÁdat|</v>
      </c>
      <c r="J2023" s="3" t="str">
        <f t="shared" si="219"/>
        <v>|Khariq-i-'Adat|</v>
      </c>
      <c r="K2023" s="3" t="str">
        <f t="shared" si="220"/>
        <v>Khariq-i-Adat</v>
      </c>
      <c r="N2023" s="39" t="str">
        <f t="shared" si="221"/>
        <v/>
      </c>
      <c r="P2023" s="39" t="str">
        <f t="shared" si="222"/>
        <v/>
      </c>
      <c r="R2023" s="39" t="str">
        <f t="shared" si="223"/>
        <v/>
      </c>
      <c r="S2023" s="28"/>
      <c r="T2023" s="28"/>
      <c r="U2023" s="28"/>
    </row>
    <row r="2024" spans="1:21" s="5" customFormat="1">
      <c r="A2024" s="179" t="s">
        <v>2455</v>
      </c>
      <c r="B2024" s="185" t="s">
        <v>6624</v>
      </c>
      <c r="C2024" s="35" t="str">
        <f t="shared" si="217"/>
        <v>Kharj</v>
      </c>
      <c r="E2024" s="40"/>
      <c r="F2024" s="15" t="s">
        <v>2456</v>
      </c>
      <c r="G2024" s="17"/>
      <c r="H2024" s="10" t="s">
        <v>8563</v>
      </c>
      <c r="I2024" s="4" t="str">
        <f t="shared" si="218"/>
        <v>|arj|</v>
      </c>
      <c r="J2024" s="3" t="str">
        <f t="shared" si="219"/>
        <v>|Kharj|</v>
      </c>
      <c r="K2024" s="3" t="str">
        <f t="shared" si="220"/>
        <v>Kharj</v>
      </c>
      <c r="N2024" s="39" t="str">
        <f t="shared" si="221"/>
        <v/>
      </c>
      <c r="P2024" s="39" t="str">
        <f t="shared" si="222"/>
        <v/>
      </c>
      <c r="R2024" s="39" t="str">
        <f t="shared" si="223"/>
        <v/>
      </c>
      <c r="S2024" s="28"/>
      <c r="T2024" s="28"/>
      <c r="U2024" s="28"/>
    </row>
    <row r="2025" spans="1:21" s="5" customFormat="1">
      <c r="A2025" s="179" t="s">
        <v>2460</v>
      </c>
      <c r="B2025" s="185" t="s">
        <v>6627</v>
      </c>
      <c r="C2025" s="35" t="str">
        <f t="shared" si="217"/>
        <v>Kharput</v>
      </c>
      <c r="E2025" s="40"/>
      <c r="F2025" s="14"/>
      <c r="G2025" s="17"/>
      <c r="H2025" s="10" t="s">
        <v>8563</v>
      </c>
      <c r="I2025" s="4" t="str">
        <f t="shared" si="218"/>
        <v>|árpút|</v>
      </c>
      <c r="J2025" s="3" t="str">
        <f t="shared" si="219"/>
        <v>|Kharput|</v>
      </c>
      <c r="K2025" s="3" t="str">
        <f t="shared" si="220"/>
        <v>Kharput</v>
      </c>
      <c r="N2025" s="39" t="str">
        <f t="shared" si="221"/>
        <v/>
      </c>
      <c r="P2025" s="39" t="str">
        <f t="shared" si="222"/>
        <v/>
      </c>
      <c r="R2025" s="39" t="str">
        <f t="shared" si="223"/>
        <v/>
      </c>
      <c r="S2025" s="28"/>
      <c r="T2025" s="28"/>
      <c r="U2025" s="28"/>
    </row>
    <row r="2026" spans="1:21" s="5" customFormat="1">
      <c r="A2026" s="179" t="s">
        <v>2461</v>
      </c>
      <c r="B2026" s="185" t="s">
        <v>6628</v>
      </c>
      <c r="C2026" s="35" t="str">
        <f t="shared" si="217"/>
        <v>Kharraz</v>
      </c>
      <c r="E2026" s="40"/>
      <c r="F2026" s="15" t="s">
        <v>2462</v>
      </c>
      <c r="G2026" s="17"/>
      <c r="H2026" s="10" t="s">
        <v>8563</v>
      </c>
      <c r="I2026" s="4" t="str">
        <f t="shared" si="218"/>
        <v>|arráz|</v>
      </c>
      <c r="J2026" s="3" t="str">
        <f t="shared" si="219"/>
        <v>|Kharraz|</v>
      </c>
      <c r="K2026" s="3" t="str">
        <f t="shared" si="220"/>
        <v>Kharraz</v>
      </c>
      <c r="N2026" s="39" t="str">
        <f t="shared" si="221"/>
        <v/>
      </c>
      <c r="P2026" s="39" t="str">
        <f t="shared" si="222"/>
        <v/>
      </c>
      <c r="R2026" s="39" t="str">
        <f t="shared" si="223"/>
        <v/>
      </c>
      <c r="S2026" s="28"/>
      <c r="T2026" s="28"/>
      <c r="U2026" s="28"/>
    </row>
    <row r="2027" spans="1:21" s="5" customFormat="1">
      <c r="A2027" s="179" t="s">
        <v>2464</v>
      </c>
      <c r="B2027" s="185" t="s">
        <v>6630</v>
      </c>
      <c r="C2027" s="35" t="str">
        <f t="shared" si="217"/>
        <v>KhasailiSabih</v>
      </c>
      <c r="E2027" s="40"/>
      <c r="F2027" s="14"/>
      <c r="G2027" s="17"/>
      <c r="H2027" s="10" t="s">
        <v>8563</v>
      </c>
      <c r="I2027" s="4" t="str">
        <f t="shared" si="218"/>
        <v>|aṣá’il-i-Sabʿih|</v>
      </c>
      <c r="J2027" s="3" t="str">
        <f t="shared" si="219"/>
        <v>|Khasa'il-i-Sab'ih|</v>
      </c>
      <c r="K2027" s="3" t="str">
        <f t="shared" si="220"/>
        <v>Khasail-i-Sabih</v>
      </c>
      <c r="N2027" s="39" t="str">
        <f t="shared" si="221"/>
        <v/>
      </c>
      <c r="P2027" s="39" t="str">
        <f t="shared" si="222"/>
        <v/>
      </c>
      <c r="R2027" s="39" t="str">
        <f t="shared" si="223"/>
        <v/>
      </c>
      <c r="S2027" s="28"/>
      <c r="T2027" s="28"/>
      <c r="U2027" s="28"/>
    </row>
    <row r="2028" spans="1:21" s="5" customFormat="1">
      <c r="A2028" s="179" t="s">
        <v>2465</v>
      </c>
      <c r="B2028" s="185" t="s">
        <v>6631</v>
      </c>
      <c r="C2028" s="35" t="str">
        <f t="shared" si="217"/>
        <v>Khata</v>
      </c>
      <c r="E2028" s="40"/>
      <c r="F2028" s="14"/>
      <c r="G2028" s="17"/>
      <c r="H2028" s="10" t="s">
        <v>8563</v>
      </c>
      <c r="I2028" s="4" t="str">
        <f t="shared" si="218"/>
        <v>|aṭá|</v>
      </c>
      <c r="J2028" s="3" t="str">
        <f t="shared" si="219"/>
        <v>|Khata|</v>
      </c>
      <c r="K2028" s="3" t="str">
        <f t="shared" si="220"/>
        <v>Khata</v>
      </c>
      <c r="N2028" s="39" t="str">
        <f t="shared" si="221"/>
        <v/>
      </c>
      <c r="P2028" s="39" t="str">
        <f t="shared" si="222"/>
        <v/>
      </c>
      <c r="R2028" s="39" t="str">
        <f t="shared" si="223"/>
        <v/>
      </c>
      <c r="S2028" s="28"/>
      <c r="T2028" s="28"/>
      <c r="U2028" s="28"/>
    </row>
    <row r="2029" spans="1:21" s="5" customFormat="1">
      <c r="A2029" s="179" t="s">
        <v>2466</v>
      </c>
      <c r="B2029" s="185" t="s">
        <v>6632</v>
      </c>
      <c r="C2029" s="35" t="str">
        <f t="shared" si="217"/>
        <v>Khatab</v>
      </c>
      <c r="E2029" s="40"/>
      <c r="F2029" s="15"/>
      <c r="G2029" s="17"/>
      <c r="H2029" s="10" t="s">
        <v>8563</v>
      </c>
      <c r="I2029" s="4" t="str">
        <f t="shared" si="218"/>
        <v>|aṭáb|</v>
      </c>
      <c r="J2029" s="3" t="str">
        <f t="shared" si="219"/>
        <v>|Khatab|</v>
      </c>
      <c r="K2029" s="3" t="str">
        <f t="shared" si="220"/>
        <v>Khatab</v>
      </c>
      <c r="N2029" s="39" t="str">
        <f t="shared" si="221"/>
        <v/>
      </c>
      <c r="P2029" s="39" t="str">
        <f t="shared" si="222"/>
        <v/>
      </c>
      <c r="R2029" s="39" t="str">
        <f t="shared" si="223"/>
        <v/>
      </c>
      <c r="S2029" s="28"/>
      <c r="T2029" s="28"/>
      <c r="U2029" s="28"/>
    </row>
    <row r="2030" spans="1:21" s="5" customFormat="1">
      <c r="A2030" s="179" t="s">
        <v>2467</v>
      </c>
      <c r="B2030" s="185" t="s">
        <v>6633</v>
      </c>
      <c r="C2030" s="35" t="str">
        <f t="shared" si="217"/>
        <v>Khatam</v>
      </c>
      <c r="E2030" s="40"/>
      <c r="F2030" s="15" t="s">
        <v>2468</v>
      </c>
      <c r="G2030" s="17"/>
      <c r="H2030" s="10" t="s">
        <v>8563</v>
      </c>
      <c r="I2030" s="4" t="str">
        <f t="shared" si="218"/>
        <v>|átam|</v>
      </c>
      <c r="J2030" s="3" t="str">
        <f t="shared" si="219"/>
        <v>|Khatam|</v>
      </c>
      <c r="K2030" s="3" t="str">
        <f t="shared" si="220"/>
        <v>Khatam</v>
      </c>
      <c r="N2030" s="39" t="str">
        <f t="shared" si="221"/>
        <v/>
      </c>
      <c r="P2030" s="39" t="str">
        <f t="shared" si="222"/>
        <v/>
      </c>
      <c r="R2030" s="39" t="str">
        <f t="shared" si="223"/>
        <v/>
      </c>
      <c r="S2030" s="28"/>
      <c r="T2030" s="28"/>
      <c r="U2030" s="28"/>
    </row>
    <row r="2031" spans="1:21" s="5" customFormat="1">
      <c r="A2031" s="179" t="s">
        <v>2469</v>
      </c>
      <c r="B2031" s="185" t="s">
        <v>6634</v>
      </c>
      <c r="C2031" s="35" t="str">
        <f t="shared" si="217"/>
        <v>Khatim</v>
      </c>
      <c r="E2031" s="40"/>
      <c r="F2031" s="15" t="s">
        <v>2470</v>
      </c>
      <c r="G2031" s="17"/>
      <c r="H2031" s="10" t="s">
        <v>8563</v>
      </c>
      <c r="I2031" s="4" t="str">
        <f t="shared" si="218"/>
        <v>|atim|</v>
      </c>
      <c r="J2031" s="3" t="str">
        <f t="shared" si="219"/>
        <v>|Khatim|</v>
      </c>
      <c r="K2031" s="3" t="str">
        <f t="shared" si="220"/>
        <v>Khatim</v>
      </c>
      <c r="N2031" s="39" t="str">
        <f t="shared" si="221"/>
        <v/>
      </c>
      <c r="P2031" s="39" t="str">
        <f t="shared" si="222"/>
        <v/>
      </c>
      <c r="R2031" s="39" t="str">
        <f t="shared" si="223"/>
        <v/>
      </c>
      <c r="S2031" s="28"/>
      <c r="T2031" s="28"/>
      <c r="U2031" s="28"/>
    </row>
    <row r="2032" spans="1:21" s="5" customFormat="1">
      <c r="A2032" s="179" t="s">
        <v>2471</v>
      </c>
      <c r="B2032" s="185" t="s">
        <v>6635</v>
      </c>
      <c r="C2032" s="35" t="str">
        <f t="shared" si="217"/>
        <v>KhatiratiHabib</v>
      </c>
      <c r="E2032" s="40"/>
      <c r="F2032" s="15"/>
      <c r="G2032" s="17"/>
      <c r="H2032" s="10" t="s">
        <v>8563</v>
      </c>
      <c r="I2032" s="4" t="str">
        <f t="shared" si="218"/>
        <v>|áṭirát-i-Ḥabíb|</v>
      </c>
      <c r="J2032" s="3" t="str">
        <f t="shared" si="219"/>
        <v>|Khatirat-i-Habib|</v>
      </c>
      <c r="K2032" s="3" t="str">
        <f t="shared" si="220"/>
        <v>Khatirat-i-Habib</v>
      </c>
      <c r="N2032" s="39" t="str">
        <f t="shared" si="221"/>
        <v/>
      </c>
      <c r="P2032" s="39" t="str">
        <f t="shared" si="222"/>
        <v/>
      </c>
      <c r="R2032" s="39" t="str">
        <f t="shared" si="223"/>
        <v/>
      </c>
      <c r="S2032" s="28"/>
      <c r="T2032" s="28"/>
      <c r="U2032" s="28"/>
    </row>
    <row r="2033" spans="1:21" s="5" customFormat="1">
      <c r="A2033" s="179" t="s">
        <v>2472</v>
      </c>
      <c r="B2033" s="185" t="s">
        <v>6636</v>
      </c>
      <c r="C2033" s="35" t="str">
        <f t="shared" si="217"/>
        <v>KhatiratiNuhSalih</v>
      </c>
      <c r="E2033" s="40"/>
      <c r="F2033" s="15"/>
      <c r="G2033" s="17"/>
      <c r="H2033" s="10" t="s">
        <v>8563</v>
      </c>
      <c r="I2033" s="4" t="str">
        <f t="shared" si="218"/>
        <v>|Kháṭirát-i-Nuh-Sálih|</v>
      </c>
      <c r="J2033" s="3" t="str">
        <f t="shared" si="219"/>
        <v>|Khatirat-i-Nuh-Salih|</v>
      </c>
      <c r="K2033" s="3" t="str">
        <f t="shared" si="220"/>
        <v>Khatirat-i-Nuh-Salih</v>
      </c>
      <c r="N2033" s="39" t="str">
        <f t="shared" si="221"/>
        <v/>
      </c>
      <c r="P2033" s="39" t="str">
        <f t="shared" si="222"/>
        <v/>
      </c>
      <c r="R2033" s="39" t="str">
        <f t="shared" si="223"/>
        <v/>
      </c>
      <c r="S2033" s="28"/>
      <c r="T2033" s="28"/>
      <c r="U2033" s="28"/>
    </row>
    <row r="2034" spans="1:21" s="5" customFormat="1">
      <c r="A2034" s="179" t="s">
        <v>2473</v>
      </c>
      <c r="B2034" s="185" t="s">
        <v>6637</v>
      </c>
      <c r="C2034" s="35" t="str">
        <f t="shared" si="217"/>
        <v>Khatun</v>
      </c>
      <c r="E2034" s="40"/>
      <c r="F2034" s="15" t="s">
        <v>2474</v>
      </c>
      <c r="G2034" s="17"/>
      <c r="H2034" s="10" t="s">
        <v>8563</v>
      </c>
      <c r="I2034" s="4" t="str">
        <f t="shared" si="218"/>
        <v>|átún|</v>
      </c>
      <c r="J2034" s="3" t="str">
        <f t="shared" si="219"/>
        <v>|Khatun|</v>
      </c>
      <c r="K2034" s="3" t="str">
        <f t="shared" si="220"/>
        <v>Khatun</v>
      </c>
      <c r="N2034" s="39" t="str">
        <f t="shared" si="221"/>
        <v/>
      </c>
      <c r="P2034" s="39" t="str">
        <f t="shared" si="222"/>
        <v/>
      </c>
      <c r="R2034" s="39" t="str">
        <f t="shared" si="223"/>
        <v/>
      </c>
      <c r="S2034" s="28"/>
      <c r="T2034" s="28"/>
      <c r="U2034" s="28"/>
    </row>
    <row r="2035" spans="1:21" s="5" customFormat="1">
      <c r="A2035" s="179" t="s">
        <v>2475</v>
      </c>
      <c r="B2035" s="185" t="s">
        <v>6638</v>
      </c>
      <c r="C2035" s="35" t="str">
        <f t="shared" si="217"/>
        <v>KhatunJan</v>
      </c>
      <c r="E2035" s="40"/>
      <c r="F2035" s="14"/>
      <c r="G2035" s="17"/>
      <c r="H2035" s="10" t="s">
        <v>8563</v>
      </c>
      <c r="I2035" s="4" t="str">
        <f t="shared" si="218"/>
        <v>|átún-Ján|</v>
      </c>
      <c r="J2035" s="3" t="str">
        <f t="shared" si="219"/>
        <v>|Khatun-Jan|</v>
      </c>
      <c r="K2035" s="3" t="str">
        <f t="shared" si="220"/>
        <v>Khatun-Jan</v>
      </c>
      <c r="N2035" s="39" t="str">
        <f t="shared" si="221"/>
        <v/>
      </c>
      <c r="P2035" s="39" t="str">
        <f t="shared" si="222"/>
        <v/>
      </c>
      <c r="R2035" s="39" t="str">
        <f t="shared" si="223"/>
        <v/>
      </c>
      <c r="S2035" s="28"/>
      <c r="T2035" s="28"/>
      <c r="U2035" s="28"/>
    </row>
    <row r="2036" spans="1:21" s="5" customFormat="1">
      <c r="A2036" s="179" t="s">
        <v>2476</v>
      </c>
      <c r="B2036" s="185" t="s">
        <v>6639</v>
      </c>
      <c r="C2036" s="35" t="str">
        <f t="shared" si="217"/>
        <v>Khavar</v>
      </c>
      <c r="E2036" s="40"/>
      <c r="F2036" s="14"/>
      <c r="G2036" s="17"/>
      <c r="H2036" s="10" t="s">
        <v>8563</v>
      </c>
      <c r="I2036" s="4" t="str">
        <f t="shared" si="218"/>
        <v>|ávar|</v>
      </c>
      <c r="J2036" s="3" t="str">
        <f t="shared" si="219"/>
        <v>|Khavar|</v>
      </c>
      <c r="K2036" s="3" t="str">
        <f t="shared" si="220"/>
        <v>Khavar</v>
      </c>
      <c r="N2036" s="39" t="str">
        <f t="shared" si="221"/>
        <v/>
      </c>
      <c r="P2036" s="39" t="str">
        <f t="shared" si="222"/>
        <v/>
      </c>
      <c r="R2036" s="39" t="str">
        <f t="shared" si="223"/>
        <v/>
      </c>
      <c r="S2036" s="28"/>
      <c r="T2036" s="28"/>
      <c r="U2036" s="28"/>
    </row>
    <row r="2037" spans="1:21" s="5" customFormat="1">
      <c r="A2037" s="179" t="s">
        <v>2477</v>
      </c>
      <c r="B2037" s="185" t="s">
        <v>6640</v>
      </c>
      <c r="C2037" s="35" t="str">
        <f t="shared" si="217"/>
        <v>Khavari</v>
      </c>
      <c r="E2037" s="40"/>
      <c r="F2037" s="15"/>
      <c r="G2037" s="17"/>
      <c r="H2037" s="10" t="s">
        <v>8563</v>
      </c>
      <c r="I2037" s="4" t="str">
        <f t="shared" si="218"/>
        <v>|ávarí|</v>
      </c>
      <c r="J2037" s="3" t="str">
        <f t="shared" si="219"/>
        <v>|Khavari|</v>
      </c>
      <c r="K2037" s="3" t="str">
        <f t="shared" si="220"/>
        <v>Khavari</v>
      </c>
      <c r="N2037" s="39" t="str">
        <f t="shared" si="221"/>
        <v/>
      </c>
      <c r="P2037" s="39" t="str">
        <f t="shared" si="222"/>
        <v/>
      </c>
      <c r="R2037" s="39" t="str">
        <f t="shared" si="223"/>
        <v/>
      </c>
      <c r="S2037" s="28"/>
      <c r="T2037" s="28"/>
      <c r="U2037" s="28"/>
    </row>
    <row r="2038" spans="1:21" s="5" customFormat="1">
      <c r="A2038" s="179" t="s">
        <v>2480</v>
      </c>
      <c r="B2038" s="185" t="s">
        <v>6643</v>
      </c>
      <c r="C2038" s="35" t="str">
        <f t="shared" si="217"/>
        <v>Khavarij</v>
      </c>
      <c r="E2038" s="40"/>
      <c r="F2038" s="15" t="s">
        <v>2481</v>
      </c>
      <c r="G2038" s="17"/>
      <c r="H2038" s="10" t="s">
        <v>8563</v>
      </c>
      <c r="I2038" s="4" t="str">
        <f t="shared" si="218"/>
        <v>|avárij|</v>
      </c>
      <c r="J2038" s="3" t="str">
        <f t="shared" si="219"/>
        <v>|Khavarij|</v>
      </c>
      <c r="K2038" s="3" t="str">
        <f t="shared" si="220"/>
        <v>Khavarij</v>
      </c>
      <c r="N2038" s="39" t="str">
        <f t="shared" si="221"/>
        <v/>
      </c>
      <c r="P2038" s="39" t="str">
        <f t="shared" si="222"/>
        <v/>
      </c>
      <c r="R2038" s="39" t="str">
        <f t="shared" si="223"/>
        <v/>
      </c>
      <c r="S2038" s="28"/>
      <c r="T2038" s="28"/>
      <c r="U2038" s="28"/>
    </row>
    <row r="2039" spans="1:21" s="5" customFormat="1">
      <c r="A2039" s="179" t="s">
        <v>2478</v>
      </c>
      <c r="B2039" s="185" t="s">
        <v>6641</v>
      </c>
      <c r="C2039" s="35" t="str">
        <f t="shared" si="217"/>
        <v>KhavihValishtar</v>
      </c>
      <c r="E2039" s="40"/>
      <c r="F2039" s="14"/>
      <c r="G2039" s="17"/>
      <c r="H2039" s="10" t="s">
        <v>8563</v>
      </c>
      <c r="I2039" s="4" t="str">
        <f t="shared" si="218"/>
        <v>|ávih-Valitar|</v>
      </c>
      <c r="J2039" s="3" t="str">
        <f t="shared" si="219"/>
        <v>|Khavih-Valishtar|</v>
      </c>
      <c r="K2039" s="3" t="str">
        <f t="shared" si="220"/>
        <v>Khavih-Valishtar</v>
      </c>
      <c r="N2039" s="39" t="str">
        <f t="shared" si="221"/>
        <v/>
      </c>
      <c r="P2039" s="39" t="str">
        <f t="shared" si="222"/>
        <v/>
      </c>
      <c r="R2039" s="39" t="str">
        <f t="shared" si="223"/>
        <v/>
      </c>
      <c r="S2039" s="28"/>
      <c r="T2039" s="28"/>
      <c r="U2039" s="28"/>
    </row>
    <row r="2040" spans="1:21" s="5" customFormat="1">
      <c r="A2040" s="179" t="s">
        <v>2479</v>
      </c>
      <c r="B2040" s="185" t="s">
        <v>6642</v>
      </c>
      <c r="C2040" s="35" t="str">
        <f t="shared" si="217"/>
        <v>Khavvam</v>
      </c>
      <c r="E2040" s="40"/>
      <c r="F2040" s="14"/>
      <c r="G2040" s="17"/>
      <c r="H2040" s="10" t="s">
        <v>8563</v>
      </c>
      <c r="I2040" s="4" t="str">
        <f t="shared" si="218"/>
        <v>|avvám|</v>
      </c>
      <c r="J2040" s="3" t="str">
        <f t="shared" si="219"/>
        <v>|Khavvam|</v>
      </c>
      <c r="K2040" s="3" t="str">
        <f t="shared" si="220"/>
        <v>Khavvam</v>
      </c>
      <c r="N2040" s="39" t="str">
        <f t="shared" si="221"/>
        <v/>
      </c>
      <c r="P2040" s="39" t="str">
        <f t="shared" si="222"/>
        <v/>
      </c>
      <c r="R2040" s="39" t="str">
        <f t="shared" si="223"/>
        <v/>
      </c>
      <c r="S2040" s="28"/>
      <c r="T2040" s="28"/>
      <c r="U2040" s="28"/>
    </row>
    <row r="2041" spans="1:21" s="5" customFormat="1">
      <c r="A2041" s="179" t="s">
        <v>2482</v>
      </c>
      <c r="B2041" s="185" t="s">
        <v>6644</v>
      </c>
      <c r="C2041" s="35" t="str">
        <f t="shared" si="217"/>
        <v>Khawf</v>
      </c>
      <c r="E2041" s="40"/>
      <c r="F2041" s="15" t="s">
        <v>2483</v>
      </c>
      <c r="G2041" s="17"/>
      <c r="H2041" s="10" t="s">
        <v>8563</v>
      </c>
      <c r="I2041" s="4" t="str">
        <f t="shared" si="218"/>
        <v>|awf|</v>
      </c>
      <c r="J2041" s="3" t="str">
        <f t="shared" si="219"/>
        <v>|Khawf|</v>
      </c>
      <c r="K2041" s="3" t="str">
        <f t="shared" si="220"/>
        <v>Khawf</v>
      </c>
      <c r="N2041" s="39" t="str">
        <f t="shared" si="221"/>
        <v/>
      </c>
      <c r="P2041" s="39" t="str">
        <f t="shared" si="222"/>
        <v/>
      </c>
      <c r="R2041" s="39" t="str">
        <f t="shared" si="223"/>
        <v/>
      </c>
      <c r="S2041" s="28"/>
      <c r="T2041" s="28"/>
      <c r="U2041" s="28"/>
    </row>
    <row r="2042" spans="1:21" s="5" customFormat="1">
      <c r="A2042" s="179" t="s">
        <v>2485</v>
      </c>
      <c r="B2042" s="185" t="s">
        <v>6646</v>
      </c>
      <c r="C2042" s="35" t="str">
        <f t="shared" si="217"/>
        <v>Khaybar</v>
      </c>
      <c r="E2042" s="40"/>
      <c r="F2042" s="14"/>
      <c r="G2042" s="17"/>
      <c r="H2042" s="10" t="s">
        <v>8563</v>
      </c>
      <c r="I2042" s="4" t="str">
        <f t="shared" si="218"/>
        <v>|aybar|</v>
      </c>
      <c r="J2042" s="3" t="str">
        <f t="shared" si="219"/>
        <v>|Khaybar|</v>
      </c>
      <c r="K2042" s="3" t="str">
        <f t="shared" si="220"/>
        <v>Khaybar</v>
      </c>
      <c r="N2042" s="39" t="str">
        <f t="shared" si="221"/>
        <v/>
      </c>
      <c r="P2042" s="39" t="str">
        <f t="shared" si="222"/>
        <v/>
      </c>
      <c r="R2042" s="39" t="str">
        <f t="shared" si="223"/>
        <v/>
      </c>
      <c r="S2042" s="28"/>
      <c r="T2042" s="28"/>
      <c r="U2042" s="28"/>
    </row>
    <row r="2043" spans="1:21" s="5" customFormat="1">
      <c r="A2043" s="179" t="s">
        <v>2486</v>
      </c>
      <c r="B2043" s="185" t="s">
        <v>6647</v>
      </c>
      <c r="C2043" s="35" t="str">
        <f t="shared" si="217"/>
        <v>Khayli</v>
      </c>
      <c r="E2043" s="40"/>
      <c r="F2043" s="14"/>
      <c r="G2043" s="17"/>
      <c r="H2043" s="10" t="s">
        <v>8563</v>
      </c>
      <c r="I2043" s="4" t="str">
        <f t="shared" si="218"/>
        <v>|aylí|</v>
      </c>
      <c r="J2043" s="3" t="str">
        <f t="shared" si="219"/>
        <v>|Khayli|</v>
      </c>
      <c r="K2043" s="3" t="str">
        <f t="shared" si="220"/>
        <v>Khayli</v>
      </c>
      <c r="N2043" s="39" t="str">
        <f t="shared" si="221"/>
        <v/>
      </c>
      <c r="P2043" s="39" t="str">
        <f t="shared" si="222"/>
        <v/>
      </c>
      <c r="R2043" s="39" t="str">
        <f t="shared" si="223"/>
        <v/>
      </c>
      <c r="S2043" s="28"/>
      <c r="T2043" s="28"/>
      <c r="U2043" s="28"/>
    </row>
    <row r="2044" spans="1:21" s="5" customFormat="1">
      <c r="A2044" s="179" t="s">
        <v>2487</v>
      </c>
      <c r="B2044" s="185" t="s">
        <v>6648</v>
      </c>
      <c r="C2044" s="35" t="str">
        <f t="shared" si="217"/>
        <v>Khayri</v>
      </c>
      <c r="E2044" s="40"/>
      <c r="F2044" s="14"/>
      <c r="G2044" s="17"/>
      <c r="H2044" s="10" t="s">
        <v>8563</v>
      </c>
      <c r="I2044" s="4" t="str">
        <f t="shared" si="218"/>
        <v>|ayrí|</v>
      </c>
      <c r="J2044" s="3" t="str">
        <f t="shared" si="219"/>
        <v>|Khayri|</v>
      </c>
      <c r="K2044" s="3" t="str">
        <f t="shared" si="220"/>
        <v>Khayri</v>
      </c>
      <c r="N2044" s="39" t="str">
        <f t="shared" si="221"/>
        <v/>
      </c>
      <c r="P2044" s="39" t="str">
        <f t="shared" si="222"/>
        <v/>
      </c>
      <c r="R2044" s="39" t="str">
        <f t="shared" si="223"/>
        <v/>
      </c>
      <c r="S2044" s="28"/>
      <c r="T2044" s="28"/>
      <c r="U2044" s="28"/>
    </row>
    <row r="2045" spans="1:21" s="5" customFormat="1">
      <c r="A2045" s="179" t="s">
        <v>2488</v>
      </c>
      <c r="B2045" s="185" t="s">
        <v>6649</v>
      </c>
      <c r="C2045" s="35" t="str">
        <f t="shared" si="217"/>
        <v>Khayrullah</v>
      </c>
      <c r="E2045" s="40"/>
      <c r="F2045" s="14"/>
      <c r="G2045" s="17"/>
      <c r="H2045" s="10" t="s">
        <v>8563</v>
      </c>
      <c r="I2045" s="4" t="str">
        <f t="shared" si="218"/>
        <v>|ayru’lláh|</v>
      </c>
      <c r="J2045" s="3" t="str">
        <f t="shared" si="219"/>
        <v>|Khayru'llah|</v>
      </c>
      <c r="K2045" s="3" t="str">
        <f t="shared" si="220"/>
        <v>Khayrullah</v>
      </c>
      <c r="N2045" s="39" t="str">
        <f t="shared" si="221"/>
        <v/>
      </c>
      <c r="P2045" s="39" t="str">
        <f t="shared" si="222"/>
        <v/>
      </c>
      <c r="R2045" s="39" t="str">
        <f t="shared" si="223"/>
        <v/>
      </c>
      <c r="S2045" s="28"/>
      <c r="T2045" s="28"/>
      <c r="U2045" s="28"/>
    </row>
    <row r="2046" spans="1:21" s="5" customFormat="1">
      <c r="A2046" s="179" t="s">
        <v>2484</v>
      </c>
      <c r="B2046" s="185" t="s">
        <v>6645</v>
      </c>
      <c r="C2046" s="35" t="str">
        <f t="shared" si="217"/>
        <v>Khayyam</v>
      </c>
      <c r="E2046" s="40"/>
      <c r="F2046" s="15"/>
      <c r="G2046" s="17"/>
      <c r="H2046" s="10" t="s">
        <v>8563</v>
      </c>
      <c r="I2046" s="4" t="str">
        <f t="shared" si="218"/>
        <v>|ayyám|</v>
      </c>
      <c r="J2046" s="3" t="str">
        <f t="shared" si="219"/>
        <v>|Khayyam|</v>
      </c>
      <c r="K2046" s="3" t="str">
        <f t="shared" si="220"/>
        <v>Khayyam</v>
      </c>
      <c r="N2046" s="39" t="str">
        <f t="shared" si="221"/>
        <v/>
      </c>
      <c r="P2046" s="39" t="str">
        <f t="shared" si="222"/>
        <v/>
      </c>
      <c r="R2046" s="39" t="str">
        <f t="shared" si="223"/>
        <v/>
      </c>
      <c r="S2046" s="28"/>
      <c r="T2046" s="28"/>
      <c r="U2046" s="28"/>
    </row>
    <row r="2047" spans="1:21" s="5" customFormat="1">
      <c r="A2047" s="179" t="s">
        <v>2489</v>
      </c>
      <c r="B2047" s="185" t="s">
        <v>6650</v>
      </c>
      <c r="C2047" s="35" t="str">
        <f t="shared" si="217"/>
        <v>Khayyami</v>
      </c>
      <c r="E2047" s="40"/>
      <c r="F2047" s="15"/>
      <c r="G2047" s="17"/>
      <c r="H2047" s="10" t="s">
        <v>8563</v>
      </c>
      <c r="I2047" s="4" t="str">
        <f t="shared" si="218"/>
        <v>|ayyámí|</v>
      </c>
      <c r="J2047" s="3" t="str">
        <f t="shared" si="219"/>
        <v>|Khayyami|</v>
      </c>
      <c r="K2047" s="3" t="str">
        <f t="shared" si="220"/>
        <v>Khayyami</v>
      </c>
      <c r="N2047" s="39" t="str">
        <f t="shared" si="221"/>
        <v/>
      </c>
      <c r="P2047" s="39" t="str">
        <f t="shared" si="222"/>
        <v/>
      </c>
      <c r="R2047" s="39" t="str">
        <f t="shared" si="223"/>
        <v/>
      </c>
      <c r="S2047" s="28"/>
      <c r="T2047" s="28"/>
      <c r="U2047" s="28"/>
    </row>
    <row r="2048" spans="1:21" s="5" customFormat="1">
      <c r="A2048" s="179" t="s">
        <v>2490</v>
      </c>
      <c r="B2048" s="185" t="s">
        <v>6651</v>
      </c>
      <c r="C2048" s="35" t="str">
        <f t="shared" si="217"/>
        <v>Khayyat</v>
      </c>
      <c r="E2048" s="40"/>
      <c r="F2048" s="15" t="s">
        <v>2491</v>
      </c>
      <c r="G2048" s="17"/>
      <c r="H2048" s="10" t="s">
        <v>8563</v>
      </c>
      <c r="I2048" s="4" t="str">
        <f t="shared" si="218"/>
        <v>|ayyáṭ|</v>
      </c>
      <c r="J2048" s="3" t="str">
        <f t="shared" si="219"/>
        <v>|Khayyat|</v>
      </c>
      <c r="K2048" s="3" t="str">
        <f t="shared" si="220"/>
        <v>Khayyat</v>
      </c>
      <c r="N2048" s="39" t="str">
        <f t="shared" si="221"/>
        <v/>
      </c>
      <c r="P2048" s="39" t="str">
        <f t="shared" si="222"/>
        <v/>
      </c>
      <c r="R2048" s="39" t="str">
        <f t="shared" si="223"/>
        <v/>
      </c>
      <c r="S2048" s="28"/>
      <c r="T2048" s="28"/>
      <c r="U2048" s="28"/>
    </row>
    <row r="2049" spans="1:21" s="5" customFormat="1">
      <c r="A2049" s="179" t="s">
        <v>2492</v>
      </c>
      <c r="B2049" s="185" t="s">
        <v>6652</v>
      </c>
      <c r="C2049" s="35" t="str">
        <f t="shared" si="217"/>
        <v>Khayyatbashi</v>
      </c>
      <c r="E2049" s="40"/>
      <c r="F2049" s="15"/>
      <c r="G2049" s="17"/>
      <c r="H2049" s="10" t="s">
        <v>8563</v>
      </c>
      <c r="I2049" s="4" t="str">
        <f t="shared" si="218"/>
        <v>|ayyátbáí|</v>
      </c>
      <c r="J2049" s="3" t="str">
        <f t="shared" si="219"/>
        <v>|Khayyatbashi|</v>
      </c>
      <c r="K2049" s="3" t="str">
        <f t="shared" si="220"/>
        <v>Khayyatbashi</v>
      </c>
      <c r="N2049" s="39" t="str">
        <f t="shared" si="221"/>
        <v/>
      </c>
      <c r="P2049" s="39" t="str">
        <f t="shared" si="222"/>
        <v/>
      </c>
      <c r="R2049" s="39" t="str">
        <f t="shared" si="223"/>
        <v/>
      </c>
      <c r="S2049" s="28"/>
      <c r="T2049" s="28"/>
      <c r="U2049" s="28"/>
    </row>
    <row r="2050" spans="1:21" s="5" customFormat="1">
      <c r="A2050" s="179" t="s">
        <v>2493</v>
      </c>
      <c r="B2050" s="185" t="s">
        <v>6653</v>
      </c>
      <c r="C2050" s="35" t="str">
        <f t="shared" ref="C2050:C2113" si="224">SUBSTITUTE(SUBSTITUTE(K2050,"-","")," ","")</f>
        <v>Khazih</v>
      </c>
      <c r="E2050" s="40"/>
      <c r="F2050" s="15"/>
      <c r="G2050" s="17"/>
      <c r="H2050" s="10" t="s">
        <v>8563</v>
      </c>
      <c r="I2050" s="4" t="str">
        <f t="shared" ref="I2050:I2113" si="225">CONCATENATE("|",B2050,"|")</f>
        <v>|ázih|</v>
      </c>
      <c r="J2050" s="3" t="str">
        <f t="shared" ref="J2050:J2113" si="226">CONCATENATE("|",F_OutputASCII(B2050),"|")</f>
        <v>|Khazih|</v>
      </c>
      <c r="K2050" s="3" t="str">
        <f t="shared" ref="K2050:K2113" si="227">IF(SUBSTITUTE(MID(J2050,2,LEN(J2050)-2),"'","")&lt;&gt;"",SUBSTITUTE(MID(J2050,2,LEN(J2050)-2),"'",""),"ZZZZZ")</f>
        <v>Khazih</v>
      </c>
      <c r="N2050" s="39" t="str">
        <f t="shared" si="221"/>
        <v/>
      </c>
      <c r="P2050" s="39" t="str">
        <f t="shared" si="222"/>
        <v/>
      </c>
      <c r="R2050" s="39" t="str">
        <f t="shared" si="223"/>
        <v/>
      </c>
      <c r="S2050" s="28"/>
      <c r="T2050" s="28"/>
      <c r="U2050" s="28"/>
    </row>
    <row r="2051" spans="1:21" s="5" customFormat="1">
      <c r="A2051" s="179" t="s">
        <v>2494</v>
      </c>
      <c r="B2051" s="185" t="s">
        <v>6654</v>
      </c>
      <c r="C2051" s="35" t="str">
        <f t="shared" si="224"/>
        <v>Khidiv</v>
      </c>
      <c r="E2051" s="40"/>
      <c r="F2051" s="15" t="s">
        <v>8591</v>
      </c>
      <c r="G2051" s="17"/>
      <c r="H2051" s="10" t="s">
        <v>8563</v>
      </c>
      <c r="I2051" s="4" t="str">
        <f t="shared" si="225"/>
        <v>|idív|</v>
      </c>
      <c r="J2051" s="3" t="str">
        <f t="shared" si="226"/>
        <v>|Khidiv|</v>
      </c>
      <c r="K2051" s="3" t="str">
        <f t="shared" si="227"/>
        <v>Khidiv</v>
      </c>
      <c r="N2051" s="39" t="str">
        <f t="shared" ref="N2051:N2114" si="228">SUBSTITUTE(SUBSTITUTE(SUBSTITUTE(F_OutputASCII(M2051),"-","")," ",""),"'","")</f>
        <v/>
      </c>
      <c r="P2051" s="39" t="str">
        <f t="shared" ref="P2051:P2114" si="229">SUBSTITUTE(SUBSTITUTE(SUBSTITUTE(F_OutputASCII(O2051),"-","")," ",""),"'","")</f>
        <v/>
      </c>
      <c r="R2051" s="39" t="str">
        <f t="shared" ref="R2051:R2114" si="230">SUBSTITUTE(SUBSTITUTE(Q2051,"-","")," ","")</f>
        <v/>
      </c>
      <c r="S2051" s="28"/>
      <c r="T2051" s="28"/>
      <c r="U2051" s="28"/>
    </row>
    <row r="2052" spans="1:21" s="5" customFormat="1">
      <c r="A2052" s="179" t="s">
        <v>2495</v>
      </c>
      <c r="B2052" s="185" t="s">
        <v>6655</v>
      </c>
      <c r="C2052" s="35" t="str">
        <f t="shared" si="224"/>
        <v>Khidr</v>
      </c>
      <c r="E2052" s="40"/>
      <c r="F2052" s="14" t="s">
        <v>2496</v>
      </c>
      <c r="G2052" s="17"/>
      <c r="H2052" s="10" t="s">
        <v>8563</v>
      </c>
      <c r="I2052" s="4" t="str">
        <f t="shared" si="225"/>
        <v>|iḍr|</v>
      </c>
      <c r="J2052" s="3" t="str">
        <f t="shared" si="226"/>
        <v>|Khidr|</v>
      </c>
      <c r="K2052" s="3" t="str">
        <f t="shared" si="227"/>
        <v>Khidr</v>
      </c>
      <c r="N2052" s="39" t="str">
        <f t="shared" si="228"/>
        <v/>
      </c>
      <c r="P2052" s="39" t="str">
        <f t="shared" si="229"/>
        <v/>
      </c>
      <c r="R2052" s="39" t="str">
        <f t="shared" si="230"/>
        <v/>
      </c>
      <c r="S2052" s="28"/>
      <c r="T2052" s="28"/>
      <c r="U2052" s="28"/>
    </row>
    <row r="2053" spans="1:21" s="5" customFormat="1">
      <c r="A2053" s="179" t="s">
        <v>2497</v>
      </c>
      <c r="B2053" s="185" t="s">
        <v>6656</v>
      </c>
      <c r="C2053" s="35" t="str">
        <f t="shared" si="224"/>
        <v>Khilafat</v>
      </c>
      <c r="E2053" s="40"/>
      <c r="F2053" s="14"/>
      <c r="G2053" s="17"/>
      <c r="H2053" s="10" t="s">
        <v>8563</v>
      </c>
      <c r="I2053" s="4" t="str">
        <f t="shared" si="225"/>
        <v>|iláfat|</v>
      </c>
      <c r="J2053" s="3" t="str">
        <f t="shared" si="226"/>
        <v>|Khilafat|</v>
      </c>
      <c r="K2053" s="3" t="str">
        <f t="shared" si="227"/>
        <v>Khilafat</v>
      </c>
      <c r="N2053" s="39" t="str">
        <f t="shared" si="228"/>
        <v/>
      </c>
      <c r="P2053" s="39" t="str">
        <f t="shared" si="229"/>
        <v/>
      </c>
      <c r="R2053" s="39" t="str">
        <f t="shared" si="230"/>
        <v/>
      </c>
      <c r="S2053" s="28"/>
      <c r="T2053" s="28"/>
      <c r="U2053" s="28"/>
    </row>
    <row r="2054" spans="1:21" s="5" customFormat="1">
      <c r="A2054" s="179" t="s">
        <v>2505</v>
      </c>
      <c r="B2054" s="185" t="s">
        <v>6664</v>
      </c>
      <c r="C2054" s="35" t="str">
        <f t="shared" si="224"/>
        <v>Khirad</v>
      </c>
      <c r="E2054" s="40"/>
      <c r="F2054" s="15"/>
      <c r="G2054" s="17"/>
      <c r="H2054" s="10" t="s">
        <v>8563</v>
      </c>
      <c r="I2054" s="4" t="str">
        <f t="shared" si="225"/>
        <v>|irad|</v>
      </c>
      <c r="J2054" s="3" t="str">
        <f t="shared" si="226"/>
        <v>|Khirad|</v>
      </c>
      <c r="K2054" s="3" t="str">
        <f t="shared" si="227"/>
        <v>Khirad</v>
      </c>
      <c r="N2054" s="39" t="str">
        <f t="shared" si="228"/>
        <v/>
      </c>
      <c r="P2054" s="39" t="str">
        <f t="shared" si="229"/>
        <v/>
      </c>
      <c r="R2054" s="39" t="str">
        <f t="shared" si="230"/>
        <v/>
      </c>
      <c r="S2054" s="28"/>
      <c r="T2054" s="28"/>
      <c r="U2054" s="28"/>
    </row>
    <row r="2055" spans="1:21" s="5" customFormat="1">
      <c r="A2055" s="179" t="s">
        <v>2498</v>
      </c>
      <c r="B2055" s="185" t="s">
        <v>6657</v>
      </c>
      <c r="C2055" s="35" t="str">
        <f t="shared" si="224"/>
        <v>Khirghan</v>
      </c>
      <c r="E2055" s="40"/>
      <c r="F2055" s="14"/>
      <c r="G2055" s="17"/>
      <c r="H2055" s="10" t="s">
        <v>8563</v>
      </c>
      <c r="I2055" s="4" t="str">
        <f t="shared" si="225"/>
        <v>|iran|</v>
      </c>
      <c r="J2055" s="3" t="str">
        <f t="shared" si="226"/>
        <v>|Khirghan|</v>
      </c>
      <c r="K2055" s="3" t="str">
        <f t="shared" si="227"/>
        <v>Khirghan</v>
      </c>
      <c r="N2055" s="39" t="str">
        <f t="shared" si="228"/>
        <v/>
      </c>
      <c r="P2055" s="39" t="str">
        <f t="shared" si="229"/>
        <v/>
      </c>
      <c r="R2055" s="39" t="str">
        <f t="shared" si="230"/>
        <v/>
      </c>
      <c r="S2055" s="28"/>
      <c r="T2055" s="28"/>
      <c r="U2055" s="28"/>
    </row>
    <row r="2056" spans="1:21" s="5" customFormat="1">
      <c r="A2056" s="179" t="s">
        <v>2499</v>
      </c>
      <c r="B2056" s="185" t="s">
        <v>6658</v>
      </c>
      <c r="C2056" s="35" t="str">
        <f t="shared" si="224"/>
        <v>KhirqiyiSharif</v>
      </c>
      <c r="E2056" s="40"/>
      <c r="F2056" s="14"/>
      <c r="G2056" s="17"/>
      <c r="H2056" s="10" t="s">
        <v>8563</v>
      </c>
      <c r="I2056" s="4" t="str">
        <f t="shared" si="225"/>
        <v>|irqiy-i-aríf|</v>
      </c>
      <c r="J2056" s="3" t="str">
        <f t="shared" si="226"/>
        <v>|Khirqiy-i-Sharif|</v>
      </c>
      <c r="K2056" s="3" t="str">
        <f t="shared" si="227"/>
        <v>Khirqiy-i-Sharif</v>
      </c>
      <c r="N2056" s="39" t="str">
        <f t="shared" si="228"/>
        <v/>
      </c>
      <c r="P2056" s="39" t="str">
        <f t="shared" si="229"/>
        <v/>
      </c>
      <c r="R2056" s="39" t="str">
        <f t="shared" si="230"/>
        <v/>
      </c>
      <c r="S2056" s="28"/>
      <c r="T2056" s="28"/>
      <c r="U2056" s="28"/>
    </row>
    <row r="2057" spans="1:21" s="5" customFormat="1">
      <c r="A2057" s="179" t="s">
        <v>2466</v>
      </c>
      <c r="B2057" s="185" t="s">
        <v>6659</v>
      </c>
      <c r="C2057" s="35" t="str">
        <f t="shared" si="224"/>
        <v>Khitab</v>
      </c>
      <c r="E2057" s="40"/>
      <c r="F2057" s="15" t="s">
        <v>2500</v>
      </c>
      <c r="G2057" s="17"/>
      <c r="H2057" s="10" t="s">
        <v>8563</v>
      </c>
      <c r="I2057" s="4" t="str">
        <f t="shared" si="225"/>
        <v>|iṭáb|</v>
      </c>
      <c r="J2057" s="3" t="str">
        <f t="shared" si="226"/>
        <v>|Khitab|</v>
      </c>
      <c r="K2057" s="3" t="str">
        <f t="shared" si="227"/>
        <v>Khitab</v>
      </c>
      <c r="N2057" s="39" t="str">
        <f t="shared" si="228"/>
        <v/>
      </c>
      <c r="P2057" s="39" t="str">
        <f t="shared" si="229"/>
        <v/>
      </c>
      <c r="R2057" s="39" t="str">
        <f t="shared" si="230"/>
        <v/>
      </c>
      <c r="S2057" s="28"/>
      <c r="T2057" s="28"/>
      <c r="U2057" s="28"/>
    </row>
    <row r="2058" spans="1:21" s="5" customFormat="1">
      <c r="A2058" s="179" t="s">
        <v>2501</v>
      </c>
      <c r="B2058" s="185" t="s">
        <v>6660</v>
      </c>
      <c r="C2058" s="35" t="str">
        <f t="shared" si="224"/>
        <v>Khitabat</v>
      </c>
      <c r="E2058" s="40"/>
      <c r="F2058" s="15"/>
      <c r="G2058" s="17"/>
      <c r="H2058" s="10" t="s">
        <v>8563</v>
      </c>
      <c r="I2058" s="4" t="str">
        <f t="shared" si="225"/>
        <v>|iṭábát|</v>
      </c>
      <c r="J2058" s="3" t="str">
        <f t="shared" si="226"/>
        <v>|Khitabat|</v>
      </c>
      <c r="K2058" s="3" t="str">
        <f t="shared" si="227"/>
        <v>Khitabat</v>
      </c>
      <c r="N2058" s="39" t="str">
        <f t="shared" si="228"/>
        <v/>
      </c>
      <c r="P2058" s="39" t="str">
        <f t="shared" si="229"/>
        <v/>
      </c>
      <c r="R2058" s="39" t="str">
        <f t="shared" si="230"/>
        <v/>
      </c>
      <c r="S2058" s="28"/>
      <c r="T2058" s="28"/>
      <c r="U2058" s="28"/>
    </row>
    <row r="2059" spans="1:21" s="5" customFormat="1">
      <c r="A2059" s="179" t="s">
        <v>2502</v>
      </c>
      <c r="B2059" s="185" t="s">
        <v>6661</v>
      </c>
      <c r="C2059" s="35" t="str">
        <f t="shared" si="224"/>
        <v>KhiyabanBala</v>
      </c>
      <c r="E2059" s="40"/>
      <c r="F2059" s="14"/>
      <c r="G2059" s="17"/>
      <c r="H2059" s="10" t="s">
        <v>8563</v>
      </c>
      <c r="I2059" s="4" t="str">
        <f t="shared" si="225"/>
        <v>|iyaban-Bala|</v>
      </c>
      <c r="J2059" s="3" t="str">
        <f t="shared" si="226"/>
        <v>|Khiyaban-Bala|</v>
      </c>
      <c r="K2059" s="3" t="str">
        <f t="shared" si="227"/>
        <v>Khiyaban-Bala</v>
      </c>
      <c r="N2059" s="39" t="str">
        <f t="shared" si="228"/>
        <v/>
      </c>
      <c r="P2059" s="39" t="str">
        <f t="shared" si="229"/>
        <v/>
      </c>
      <c r="R2059" s="39" t="str">
        <f t="shared" si="230"/>
        <v/>
      </c>
      <c r="S2059" s="28"/>
      <c r="T2059" s="28"/>
      <c r="U2059" s="28"/>
    </row>
    <row r="2060" spans="1:21" s="5" customFormat="1">
      <c r="A2060" s="179" t="s">
        <v>2506</v>
      </c>
      <c r="B2060" s="185" t="s">
        <v>6665</v>
      </c>
      <c r="C2060" s="35" t="str">
        <f t="shared" si="224"/>
        <v>Khub</v>
      </c>
      <c r="E2060" s="40"/>
      <c r="F2060" s="14"/>
      <c r="G2060" s="17"/>
      <c r="H2060" s="10" t="s">
        <v>8563</v>
      </c>
      <c r="I2060" s="4" t="str">
        <f t="shared" si="225"/>
        <v>|úb|</v>
      </c>
      <c r="J2060" s="3" t="str">
        <f t="shared" si="226"/>
        <v>|Khub|</v>
      </c>
      <c r="K2060" s="3" t="str">
        <f t="shared" si="227"/>
        <v>Khub</v>
      </c>
      <c r="N2060" s="39" t="str">
        <f t="shared" si="228"/>
        <v/>
      </c>
      <c r="P2060" s="39" t="str">
        <f t="shared" si="229"/>
        <v/>
      </c>
      <c r="R2060" s="39" t="str">
        <f t="shared" si="230"/>
        <v/>
      </c>
      <c r="S2060" s="28"/>
      <c r="T2060" s="28"/>
      <c r="U2060" s="28"/>
    </row>
    <row r="2061" spans="1:21" s="5" customFormat="1">
      <c r="A2061" s="179" t="s">
        <v>2507</v>
      </c>
      <c r="B2061" s="185" t="s">
        <v>6666</v>
      </c>
      <c r="C2061" s="35" t="str">
        <f t="shared" si="224"/>
        <v>Khuda</v>
      </c>
      <c r="E2061" s="40"/>
      <c r="F2061" s="15"/>
      <c r="G2061" s="17"/>
      <c r="H2061" s="10" t="s">
        <v>8563</v>
      </c>
      <c r="I2061" s="4" t="str">
        <f t="shared" si="225"/>
        <v>|udá|</v>
      </c>
      <c r="J2061" s="3" t="str">
        <f t="shared" si="226"/>
        <v>|Khuda|</v>
      </c>
      <c r="K2061" s="3" t="str">
        <f t="shared" si="227"/>
        <v>Khuda</v>
      </c>
      <c r="N2061" s="39" t="str">
        <f t="shared" si="228"/>
        <v/>
      </c>
      <c r="P2061" s="39" t="str">
        <f t="shared" si="229"/>
        <v/>
      </c>
      <c r="R2061" s="39" t="str">
        <f t="shared" si="230"/>
        <v/>
      </c>
      <c r="S2061" s="28"/>
      <c r="T2061" s="28"/>
      <c r="U2061" s="28"/>
    </row>
    <row r="2062" spans="1:21" s="5" customFormat="1">
      <c r="A2062" s="179" t="s">
        <v>2508</v>
      </c>
      <c r="B2062" s="185" t="s">
        <v>6667</v>
      </c>
      <c r="C2062" s="35" t="str">
        <f t="shared" si="224"/>
        <v>KhudaBakhshiQawchani</v>
      </c>
      <c r="E2062" s="40"/>
      <c r="F2062" s="14"/>
      <c r="G2062" s="17"/>
      <c r="H2062" s="10" t="s">
        <v>8563</v>
      </c>
      <c r="I2062" s="4" t="str">
        <f t="shared" si="225"/>
        <v>|udá-Ba-i-Qawání|</v>
      </c>
      <c r="J2062" s="3" t="str">
        <f t="shared" si="226"/>
        <v>|Khuda-Bakhsh-i-Qawchani|</v>
      </c>
      <c r="K2062" s="3" t="str">
        <f t="shared" si="227"/>
        <v>Khuda-Bakhsh-i-Qawchani</v>
      </c>
      <c r="N2062" s="39" t="str">
        <f t="shared" si="228"/>
        <v/>
      </c>
      <c r="P2062" s="39" t="str">
        <f t="shared" si="229"/>
        <v/>
      </c>
      <c r="R2062" s="39" t="str">
        <f t="shared" si="230"/>
        <v/>
      </c>
      <c r="S2062" s="28"/>
      <c r="T2062" s="28"/>
      <c r="U2062" s="28"/>
    </row>
    <row r="2063" spans="1:21" s="5" customFormat="1">
      <c r="A2063" s="179" t="s">
        <v>2503</v>
      </c>
      <c r="B2063" s="185" t="s">
        <v>6662</v>
      </c>
      <c r="C2063" s="35" t="str">
        <f t="shared" si="224"/>
        <v>Khudadad</v>
      </c>
      <c r="E2063" s="40"/>
      <c r="F2063" s="14"/>
      <c r="G2063" s="17"/>
      <c r="H2063" s="10" t="s">
        <v>8563</v>
      </c>
      <c r="I2063" s="4" t="str">
        <f t="shared" si="225"/>
        <v>|udádád|</v>
      </c>
      <c r="J2063" s="3" t="str">
        <f t="shared" si="226"/>
        <v>|Khudadad|</v>
      </c>
      <c r="K2063" s="3" t="str">
        <f t="shared" si="227"/>
        <v>Khudadad</v>
      </c>
      <c r="N2063" s="39" t="str">
        <f t="shared" si="228"/>
        <v/>
      </c>
      <c r="P2063" s="39" t="str">
        <f t="shared" si="229"/>
        <v/>
      </c>
      <c r="R2063" s="39" t="str">
        <f t="shared" si="230"/>
        <v/>
      </c>
      <c r="S2063" s="28"/>
      <c r="T2063" s="28"/>
      <c r="U2063" s="28"/>
    </row>
    <row r="2064" spans="1:21" s="5" customFormat="1">
      <c r="A2064" s="179" t="s">
        <v>2509</v>
      </c>
      <c r="B2064" s="185" t="s">
        <v>6668</v>
      </c>
      <c r="C2064" s="35" t="str">
        <f t="shared" si="224"/>
        <v>KhudaMurad</v>
      </c>
      <c r="E2064" s="40"/>
      <c r="F2064" s="14"/>
      <c r="G2064" s="17"/>
      <c r="H2064" s="10" t="s">
        <v>8563</v>
      </c>
      <c r="I2064" s="4" t="str">
        <f t="shared" si="225"/>
        <v>|udá-Murád|</v>
      </c>
      <c r="J2064" s="3" t="str">
        <f t="shared" si="226"/>
        <v>|Khuda-Murad|</v>
      </c>
      <c r="K2064" s="3" t="str">
        <f t="shared" si="227"/>
        <v>Khuda-Murad</v>
      </c>
      <c r="N2064" s="39" t="str">
        <f t="shared" si="228"/>
        <v/>
      </c>
      <c r="P2064" s="39" t="str">
        <f t="shared" si="229"/>
        <v/>
      </c>
      <c r="R2064" s="39" t="str">
        <f t="shared" si="230"/>
        <v/>
      </c>
      <c r="S2064" s="28"/>
      <c r="T2064" s="28"/>
      <c r="U2064" s="28"/>
    </row>
    <row r="2065" spans="1:21" s="5" customFormat="1">
      <c r="A2065" s="179" t="s">
        <v>2504</v>
      </c>
      <c r="B2065" s="185" t="s">
        <v>6663</v>
      </c>
      <c r="C2065" s="35" t="str">
        <f t="shared" si="224"/>
        <v>Khudarahm</v>
      </c>
      <c r="E2065" s="40"/>
      <c r="F2065" s="15"/>
      <c r="G2065" s="17"/>
      <c r="H2065" s="10" t="s">
        <v>8563</v>
      </c>
      <c r="I2065" s="4" t="str">
        <f t="shared" si="225"/>
        <v>|udáraḥm|</v>
      </c>
      <c r="J2065" s="3" t="str">
        <f t="shared" si="226"/>
        <v>|Khudarahm|</v>
      </c>
      <c r="K2065" s="3" t="str">
        <f t="shared" si="227"/>
        <v>Khudarahm</v>
      </c>
      <c r="N2065" s="39" t="str">
        <f t="shared" si="228"/>
        <v/>
      </c>
      <c r="P2065" s="39" t="str">
        <f t="shared" si="229"/>
        <v/>
      </c>
      <c r="R2065" s="39" t="str">
        <f t="shared" si="230"/>
        <v/>
      </c>
      <c r="S2065" s="28"/>
      <c r="T2065" s="28"/>
      <c r="U2065" s="28"/>
    </row>
    <row r="2066" spans="1:21" s="5" customFormat="1">
      <c r="A2066" s="179" t="s">
        <v>2510</v>
      </c>
      <c r="B2066" s="185" t="s">
        <v>6669</v>
      </c>
      <c r="C2066" s="35" t="str">
        <f t="shared" si="224"/>
        <v>Khui</v>
      </c>
      <c r="E2066" s="40"/>
      <c r="F2066" s="15"/>
      <c r="G2066" s="17"/>
      <c r="H2066" s="10" t="s">
        <v>8563</v>
      </c>
      <c r="I2066" s="4" t="str">
        <f t="shared" si="225"/>
        <v>|ú’í|</v>
      </c>
      <c r="J2066" s="3" t="str">
        <f t="shared" si="226"/>
        <v>|Khu'i|</v>
      </c>
      <c r="K2066" s="3" t="str">
        <f t="shared" si="227"/>
        <v>Khui</v>
      </c>
      <c r="N2066" s="39" t="str">
        <f t="shared" si="228"/>
        <v/>
      </c>
      <c r="P2066" s="39" t="str">
        <f t="shared" si="229"/>
        <v/>
      </c>
      <c r="R2066" s="39" t="str">
        <f t="shared" si="230"/>
        <v/>
      </c>
      <c r="S2066" s="28"/>
      <c r="T2066" s="28"/>
      <c r="U2066" s="28"/>
    </row>
    <row r="2067" spans="1:21" s="5" customFormat="1">
      <c r="A2067" s="179" t="s">
        <v>2511</v>
      </c>
      <c r="B2067" s="185" t="s">
        <v>6670</v>
      </c>
      <c r="C2067" s="35" t="str">
        <f t="shared" si="224"/>
        <v>Khukand</v>
      </c>
      <c r="E2067" s="40"/>
      <c r="F2067" s="15" t="s">
        <v>2512</v>
      </c>
      <c r="G2067" s="17"/>
      <c r="H2067" s="10" t="s">
        <v>8563</v>
      </c>
      <c r="I2067" s="4" t="str">
        <f t="shared" si="225"/>
        <v>|úkand|</v>
      </c>
      <c r="J2067" s="3" t="str">
        <f t="shared" si="226"/>
        <v>|Khukand|</v>
      </c>
      <c r="K2067" s="3" t="str">
        <f t="shared" si="227"/>
        <v>Khukand</v>
      </c>
      <c r="N2067" s="39" t="str">
        <f t="shared" si="228"/>
        <v/>
      </c>
      <c r="P2067" s="39" t="str">
        <f t="shared" si="229"/>
        <v/>
      </c>
      <c r="R2067" s="39" t="str">
        <f t="shared" si="230"/>
        <v/>
      </c>
      <c r="S2067" s="28"/>
      <c r="T2067" s="28"/>
      <c r="U2067" s="28"/>
    </row>
    <row r="2068" spans="1:21" s="5" customFormat="1">
      <c r="A2068" s="179" t="s">
        <v>2513</v>
      </c>
      <c r="B2068" s="185" t="s">
        <v>6671</v>
      </c>
      <c r="C2068" s="35" t="str">
        <f t="shared" si="224"/>
        <v>Khul</v>
      </c>
      <c r="E2068" s="40"/>
      <c r="F2068" s="15"/>
      <c r="G2068" s="17"/>
      <c r="H2068" s="10" t="s">
        <v>8563</v>
      </c>
      <c r="I2068" s="4" t="str">
        <f t="shared" si="225"/>
        <v>|ul|</v>
      </c>
      <c r="J2068" s="3" t="str">
        <f t="shared" si="226"/>
        <v>|Khul|</v>
      </c>
      <c r="K2068" s="3" t="str">
        <f t="shared" si="227"/>
        <v>Khul</v>
      </c>
      <c r="N2068" s="39" t="str">
        <f t="shared" si="228"/>
        <v/>
      </c>
      <c r="P2068" s="39" t="str">
        <f t="shared" si="229"/>
        <v/>
      </c>
      <c r="R2068" s="39" t="str">
        <f t="shared" si="230"/>
        <v/>
      </c>
      <c r="S2068" s="28"/>
      <c r="T2068" s="28"/>
      <c r="U2068" s="28"/>
    </row>
    <row r="2069" spans="1:21" s="5" customFormat="1">
      <c r="A2069" s="179" t="s">
        <v>2514</v>
      </c>
      <c r="B2069" s="185" t="s">
        <v>6672</v>
      </c>
      <c r="C2069" s="35" t="str">
        <f t="shared" si="224"/>
        <v>Khulafa</v>
      </c>
      <c r="E2069" s="40"/>
      <c r="F2069" s="15"/>
      <c r="G2069" s="17"/>
      <c r="H2069" s="10" t="s">
        <v>8563</v>
      </c>
      <c r="I2069" s="4" t="str">
        <f t="shared" si="225"/>
        <v>|ulafá|</v>
      </c>
      <c r="J2069" s="3" t="str">
        <f t="shared" si="226"/>
        <v>|Khulafa|</v>
      </c>
      <c r="K2069" s="3" t="str">
        <f t="shared" si="227"/>
        <v>Khulafa</v>
      </c>
      <c r="N2069" s="39" t="str">
        <f t="shared" si="228"/>
        <v/>
      </c>
      <c r="P2069" s="39" t="str">
        <f t="shared" si="229"/>
        <v/>
      </c>
      <c r="R2069" s="39" t="str">
        <f t="shared" si="230"/>
        <v/>
      </c>
      <c r="S2069" s="28"/>
      <c r="T2069" s="28"/>
      <c r="U2069" s="28"/>
    </row>
    <row r="2070" spans="1:21" s="5" customFormat="1">
      <c r="A2070" s="179" t="s">
        <v>2515</v>
      </c>
      <c r="B2070" s="185" t="s">
        <v>6673</v>
      </c>
      <c r="C2070" s="35" t="str">
        <f t="shared" si="224"/>
        <v>Khums</v>
      </c>
      <c r="E2070" s="40"/>
      <c r="F2070" s="15" t="s">
        <v>8592</v>
      </c>
      <c r="G2070" s="17"/>
      <c r="H2070" s="10" t="s">
        <v>8563</v>
      </c>
      <c r="I2070" s="4" t="str">
        <f t="shared" si="225"/>
        <v>|ums|</v>
      </c>
      <c r="J2070" s="3" t="str">
        <f t="shared" si="226"/>
        <v>|Khums|</v>
      </c>
      <c r="K2070" s="3" t="str">
        <f t="shared" si="227"/>
        <v>Khums</v>
      </c>
      <c r="N2070" s="39" t="str">
        <f t="shared" si="228"/>
        <v/>
      </c>
      <c r="P2070" s="39" t="str">
        <f t="shared" si="229"/>
        <v/>
      </c>
      <c r="R2070" s="39" t="str">
        <f t="shared" si="230"/>
        <v/>
      </c>
      <c r="S2070" s="28"/>
      <c r="T2070" s="28"/>
      <c r="U2070" s="28"/>
    </row>
    <row r="2071" spans="1:21" s="5" customFormat="1">
      <c r="A2071" s="179" t="s">
        <v>2516</v>
      </c>
      <c r="B2071" s="185" t="s">
        <v>6674</v>
      </c>
      <c r="C2071" s="35" t="str">
        <f t="shared" si="224"/>
        <v>khunbaha</v>
      </c>
      <c r="E2071" s="40"/>
      <c r="F2071" s="14"/>
      <c r="G2071" s="17"/>
      <c r="H2071" s="10" t="s">
        <v>8563</v>
      </c>
      <c r="I2071" s="4" t="str">
        <f t="shared" si="225"/>
        <v>|ún-bahá|</v>
      </c>
      <c r="J2071" s="3" t="str">
        <f t="shared" si="226"/>
        <v>|khun-baha|</v>
      </c>
      <c r="K2071" s="3" t="str">
        <f t="shared" si="227"/>
        <v>khun-baha</v>
      </c>
      <c r="N2071" s="39" t="str">
        <f t="shared" si="228"/>
        <v/>
      </c>
      <c r="P2071" s="39" t="str">
        <f t="shared" si="229"/>
        <v/>
      </c>
      <c r="R2071" s="39" t="str">
        <f t="shared" si="230"/>
        <v/>
      </c>
      <c r="S2071" s="28"/>
      <c r="T2071" s="28"/>
      <c r="U2071" s="28"/>
    </row>
    <row r="2072" spans="1:21" s="5" customFormat="1">
      <c r="A2072" s="179" t="s">
        <v>2517</v>
      </c>
      <c r="B2072" s="185" t="s">
        <v>87</v>
      </c>
      <c r="C2072" s="35" t="str">
        <f t="shared" si="224"/>
        <v>Khurasan</v>
      </c>
      <c r="E2072" s="40"/>
      <c r="F2072" s="14"/>
      <c r="G2072" s="17"/>
      <c r="H2072" s="10" t="s">
        <v>8563</v>
      </c>
      <c r="I2072" s="4" t="str">
        <f t="shared" si="225"/>
        <v>|urásán|</v>
      </c>
      <c r="J2072" s="3" t="str">
        <f t="shared" si="226"/>
        <v>|Khurasan|</v>
      </c>
      <c r="K2072" s="3" t="str">
        <f t="shared" si="227"/>
        <v>Khurasan</v>
      </c>
      <c r="N2072" s="39" t="str">
        <f t="shared" si="228"/>
        <v/>
      </c>
      <c r="P2072" s="39" t="str">
        <f t="shared" si="229"/>
        <v/>
      </c>
      <c r="R2072" s="39" t="str">
        <f t="shared" si="230"/>
        <v/>
      </c>
      <c r="S2072" s="28"/>
      <c r="T2072" s="28"/>
      <c r="U2072" s="28"/>
    </row>
    <row r="2073" spans="1:21" s="5" customFormat="1">
      <c r="A2073" s="179" t="s">
        <v>2518</v>
      </c>
      <c r="B2073" s="185" t="s">
        <v>6675</v>
      </c>
      <c r="C2073" s="35" t="str">
        <f t="shared" si="224"/>
        <v>Khurasani</v>
      </c>
      <c r="E2073" s="40"/>
      <c r="F2073" s="14"/>
      <c r="G2073" s="17"/>
      <c r="H2073" s="10" t="s">
        <v>8563</v>
      </c>
      <c r="I2073" s="4" t="str">
        <f t="shared" si="225"/>
        <v>|urásání|</v>
      </c>
      <c r="J2073" s="3" t="str">
        <f t="shared" si="226"/>
        <v>|Khurasani|</v>
      </c>
      <c r="K2073" s="3" t="str">
        <f t="shared" si="227"/>
        <v>Khurasani</v>
      </c>
      <c r="N2073" s="39" t="str">
        <f t="shared" si="228"/>
        <v/>
      </c>
      <c r="P2073" s="39" t="str">
        <f t="shared" si="229"/>
        <v/>
      </c>
      <c r="R2073" s="39" t="str">
        <f t="shared" si="230"/>
        <v/>
      </c>
      <c r="S2073" s="28"/>
      <c r="T2073" s="28"/>
      <c r="U2073" s="28"/>
    </row>
    <row r="2074" spans="1:21" s="5" customFormat="1">
      <c r="A2074" s="179" t="s">
        <v>2519</v>
      </c>
      <c r="B2074" s="185" t="s">
        <v>6676</v>
      </c>
      <c r="C2074" s="35" t="str">
        <f t="shared" si="224"/>
        <v>Khurdad</v>
      </c>
      <c r="E2074" s="40"/>
      <c r="F2074" s="14"/>
      <c r="G2074" s="17"/>
      <c r="H2074" s="10" t="s">
        <v>8563</v>
      </c>
      <c r="I2074" s="4" t="str">
        <f t="shared" si="225"/>
        <v>|urdád|</v>
      </c>
      <c r="J2074" s="3" t="str">
        <f t="shared" si="226"/>
        <v>|Khurdad|</v>
      </c>
      <c r="K2074" s="3" t="str">
        <f t="shared" si="227"/>
        <v>Khurdad</v>
      </c>
      <c r="N2074" s="39" t="str">
        <f t="shared" si="228"/>
        <v/>
      </c>
      <c r="P2074" s="39" t="str">
        <f t="shared" si="229"/>
        <v/>
      </c>
      <c r="R2074" s="39" t="str">
        <f t="shared" si="230"/>
        <v/>
      </c>
      <c r="S2074" s="28"/>
      <c r="T2074" s="28"/>
      <c r="U2074" s="28"/>
    </row>
    <row r="2075" spans="1:21" s="5" customFormat="1">
      <c r="A2075" s="179" t="s">
        <v>2520</v>
      </c>
      <c r="B2075" s="185" t="s">
        <v>6677</v>
      </c>
      <c r="C2075" s="35" t="str">
        <f t="shared" si="224"/>
        <v>Khurmaʼi</v>
      </c>
      <c r="E2075" s="40"/>
      <c r="F2075" s="15"/>
      <c r="G2075" s="17"/>
      <c r="H2075" s="10" t="s">
        <v>8563</v>
      </c>
      <c r="I2075" s="4" t="str">
        <f t="shared" si="225"/>
        <v>|urmáʼí|</v>
      </c>
      <c r="J2075" s="3" t="str">
        <f t="shared" si="226"/>
        <v>|Khurmaʼi|</v>
      </c>
      <c r="K2075" s="3" t="str">
        <f t="shared" si="227"/>
        <v>Khurmaʼi</v>
      </c>
      <c r="N2075" s="39" t="str">
        <f t="shared" si="228"/>
        <v/>
      </c>
      <c r="P2075" s="39" t="str">
        <f t="shared" si="229"/>
        <v/>
      </c>
      <c r="R2075" s="39" t="str">
        <f t="shared" si="230"/>
        <v/>
      </c>
      <c r="S2075" s="28"/>
      <c r="T2075" s="28"/>
      <c r="U2075" s="28"/>
    </row>
    <row r="2076" spans="1:21" s="5" customFormat="1">
      <c r="A2076" s="179" t="s">
        <v>2521</v>
      </c>
      <c r="B2076" s="185" t="s">
        <v>6678</v>
      </c>
      <c r="C2076" s="35" t="str">
        <f t="shared" si="224"/>
        <v>KhurramAbad</v>
      </c>
      <c r="E2076" s="40"/>
      <c r="F2076" s="14"/>
      <c r="G2076" s="17"/>
      <c r="H2076" s="10" t="s">
        <v>8563</v>
      </c>
      <c r="I2076" s="4" t="str">
        <f t="shared" si="225"/>
        <v>|urram-Ábád|</v>
      </c>
      <c r="J2076" s="3" t="str">
        <f t="shared" si="226"/>
        <v>|Khurram-Abad|</v>
      </c>
      <c r="K2076" s="3" t="str">
        <f t="shared" si="227"/>
        <v>Khurram-Abad</v>
      </c>
      <c r="N2076" s="39" t="str">
        <f t="shared" si="228"/>
        <v/>
      </c>
      <c r="P2076" s="39" t="str">
        <f t="shared" si="229"/>
        <v/>
      </c>
      <c r="R2076" s="39" t="str">
        <f t="shared" si="230"/>
        <v/>
      </c>
      <c r="S2076" s="28"/>
      <c r="T2076" s="28"/>
      <c r="U2076" s="28"/>
    </row>
    <row r="2077" spans="1:21" s="5" customFormat="1">
      <c r="A2077" s="179" t="s">
        <v>2522</v>
      </c>
      <c r="B2077" s="185" t="s">
        <v>6679</v>
      </c>
      <c r="C2077" s="35" t="str">
        <f t="shared" si="224"/>
        <v>Khurramdini</v>
      </c>
      <c r="E2077" s="40"/>
      <c r="F2077" s="15"/>
      <c r="G2077" s="17"/>
      <c r="H2077" s="10" t="s">
        <v>8563</v>
      </c>
      <c r="I2077" s="4" t="str">
        <f t="shared" si="225"/>
        <v>|urramdíní|</v>
      </c>
      <c r="J2077" s="3" t="str">
        <f t="shared" si="226"/>
        <v>|Khurramdini|</v>
      </c>
      <c r="K2077" s="3" t="str">
        <f t="shared" si="227"/>
        <v>Khurramdini</v>
      </c>
      <c r="N2077" s="39" t="str">
        <f t="shared" si="228"/>
        <v/>
      </c>
      <c r="P2077" s="39" t="str">
        <f t="shared" si="229"/>
        <v/>
      </c>
      <c r="R2077" s="39" t="str">
        <f t="shared" si="230"/>
        <v/>
      </c>
      <c r="S2077" s="28"/>
      <c r="T2077" s="28"/>
      <c r="U2077" s="28"/>
    </row>
    <row r="2078" spans="1:21" s="5" customFormat="1">
      <c r="A2078" s="179" t="s">
        <v>2523</v>
      </c>
      <c r="B2078" s="185" t="s">
        <v>6680</v>
      </c>
      <c r="C2078" s="35" t="str">
        <f t="shared" si="224"/>
        <v>Khurshid</v>
      </c>
      <c r="E2078" s="40"/>
      <c r="F2078" s="14"/>
      <c r="G2078" s="17"/>
      <c r="H2078" s="10" t="s">
        <v>8563</v>
      </c>
      <c r="I2078" s="4" t="str">
        <f t="shared" si="225"/>
        <v>|uríd|</v>
      </c>
      <c r="J2078" s="3" t="str">
        <f t="shared" si="226"/>
        <v>|Khurshid|</v>
      </c>
      <c r="K2078" s="3" t="str">
        <f t="shared" si="227"/>
        <v>Khurshid</v>
      </c>
      <c r="N2078" s="39" t="str">
        <f t="shared" si="228"/>
        <v/>
      </c>
      <c r="P2078" s="39" t="str">
        <f t="shared" si="229"/>
        <v/>
      </c>
      <c r="R2078" s="39" t="str">
        <f t="shared" si="230"/>
        <v/>
      </c>
      <c r="S2078" s="28"/>
      <c r="T2078" s="28"/>
      <c r="U2078" s="28"/>
    </row>
    <row r="2079" spans="1:21" s="5" customFormat="1">
      <c r="A2079" s="179" t="s">
        <v>2524</v>
      </c>
      <c r="B2079" s="185" t="s">
        <v>6681</v>
      </c>
      <c r="C2079" s="35" t="str">
        <f t="shared" si="224"/>
        <v>KhurshidiKhavar</v>
      </c>
      <c r="E2079" s="40"/>
      <c r="F2079" s="15"/>
      <c r="G2079" s="17"/>
      <c r="H2079" s="10" t="s">
        <v>8563</v>
      </c>
      <c r="I2079" s="4" t="str">
        <f t="shared" si="225"/>
        <v>|urshíd-i-ávar|</v>
      </c>
      <c r="J2079" s="3" t="str">
        <f t="shared" si="226"/>
        <v>|Khurshid-i-Khavar|</v>
      </c>
      <c r="K2079" s="3" t="str">
        <f t="shared" si="227"/>
        <v>Khurshid-i-Khavar</v>
      </c>
      <c r="N2079" s="39" t="str">
        <f t="shared" si="228"/>
        <v/>
      </c>
      <c r="P2079" s="39" t="str">
        <f t="shared" si="229"/>
        <v/>
      </c>
      <c r="R2079" s="39" t="str">
        <f t="shared" si="230"/>
        <v/>
      </c>
      <c r="S2079" s="28"/>
      <c r="T2079" s="28"/>
      <c r="U2079" s="28"/>
    </row>
    <row r="2080" spans="1:21" s="5" customFormat="1">
      <c r="A2080" s="179" t="s">
        <v>2463</v>
      </c>
      <c r="B2080" s="185" t="s">
        <v>6629</v>
      </c>
      <c r="C2080" s="35" t="str">
        <f t="shared" si="224"/>
        <v>Khurtum</v>
      </c>
      <c r="E2080" s="40"/>
      <c r="F2080" s="15"/>
      <c r="G2080" s="17"/>
      <c r="H2080" s="10" t="s">
        <v>8563</v>
      </c>
      <c r="I2080" s="4" t="str">
        <f t="shared" si="225"/>
        <v>|urṭúm|</v>
      </c>
      <c r="J2080" s="3" t="str">
        <f t="shared" si="226"/>
        <v>|Khurtum|</v>
      </c>
      <c r="K2080" s="3" t="str">
        <f t="shared" si="227"/>
        <v>Khurtum</v>
      </c>
      <c r="N2080" s="39" t="str">
        <f t="shared" si="228"/>
        <v/>
      </c>
      <c r="P2080" s="39" t="str">
        <f t="shared" si="229"/>
        <v/>
      </c>
      <c r="R2080" s="39" t="str">
        <f t="shared" si="230"/>
        <v/>
      </c>
      <c r="S2080" s="28"/>
      <c r="T2080" s="28"/>
      <c r="U2080" s="28"/>
    </row>
    <row r="2081" spans="1:21" s="5" customFormat="1">
      <c r="A2081" s="179" t="s">
        <v>2525</v>
      </c>
      <c r="B2081" s="185" t="s">
        <v>6682</v>
      </c>
      <c r="C2081" s="35" t="str">
        <f t="shared" si="224"/>
        <v>khuruj</v>
      </c>
      <c r="E2081" s="40"/>
      <c r="F2081" s="15"/>
      <c r="G2081" s="17"/>
      <c r="H2081" s="10" t="s">
        <v>8563</v>
      </c>
      <c r="I2081" s="4" t="str">
        <f t="shared" si="225"/>
        <v>|urúj|</v>
      </c>
      <c r="J2081" s="3" t="str">
        <f t="shared" si="226"/>
        <v>|khuruj|</v>
      </c>
      <c r="K2081" s="3" t="str">
        <f t="shared" si="227"/>
        <v>khuruj</v>
      </c>
      <c r="N2081" s="39" t="str">
        <f t="shared" si="228"/>
        <v/>
      </c>
      <c r="P2081" s="39" t="str">
        <f t="shared" si="229"/>
        <v/>
      </c>
      <c r="R2081" s="39" t="str">
        <f t="shared" si="230"/>
        <v/>
      </c>
      <c r="S2081" s="28"/>
      <c r="T2081" s="28"/>
      <c r="U2081" s="28"/>
    </row>
    <row r="2082" spans="1:21" s="5" customFormat="1">
      <c r="A2082" s="179" t="s">
        <v>2526</v>
      </c>
      <c r="B2082" s="185" t="s">
        <v>6683</v>
      </c>
      <c r="C2082" s="35" t="str">
        <f t="shared" si="224"/>
        <v>Khush</v>
      </c>
      <c r="E2082" s="40"/>
      <c r="F2082" s="15"/>
      <c r="G2082" s="17"/>
      <c r="H2082" s="10" t="s">
        <v>8563</v>
      </c>
      <c r="I2082" s="4" t="str">
        <f t="shared" si="225"/>
        <v>|u|</v>
      </c>
      <c r="J2082" s="3" t="str">
        <f t="shared" si="226"/>
        <v>|Khush|</v>
      </c>
      <c r="K2082" s="3" t="str">
        <f t="shared" si="227"/>
        <v>Khush</v>
      </c>
      <c r="N2082" s="39" t="str">
        <f t="shared" si="228"/>
        <v/>
      </c>
      <c r="P2082" s="39" t="str">
        <f t="shared" si="229"/>
        <v/>
      </c>
      <c r="R2082" s="39" t="str">
        <f t="shared" si="230"/>
        <v/>
      </c>
      <c r="S2082" s="28"/>
      <c r="T2082" s="28"/>
      <c r="U2082" s="28"/>
    </row>
    <row r="2083" spans="1:21" s="5" customFormat="1">
      <c r="A2083" s="179" t="s">
        <v>2527</v>
      </c>
      <c r="B2083" s="185" t="s">
        <v>6684</v>
      </c>
      <c r="C2083" s="35" t="str">
        <f t="shared" si="224"/>
        <v>Khushamadid</v>
      </c>
      <c r="E2083" s="40"/>
      <c r="F2083" s="15"/>
      <c r="G2083" s="17"/>
      <c r="H2083" s="10" t="s">
        <v>8563</v>
      </c>
      <c r="I2083" s="4" t="str">
        <f t="shared" si="225"/>
        <v>|u ámadíd|</v>
      </c>
      <c r="J2083" s="3" t="str">
        <f t="shared" si="226"/>
        <v>|Khush amadid|</v>
      </c>
      <c r="K2083" s="3" t="str">
        <f t="shared" si="227"/>
        <v>Khush amadid</v>
      </c>
      <c r="N2083" s="39" t="str">
        <f t="shared" si="228"/>
        <v/>
      </c>
      <c r="P2083" s="39" t="str">
        <f t="shared" si="229"/>
        <v/>
      </c>
      <c r="R2083" s="39" t="str">
        <f t="shared" si="230"/>
        <v/>
      </c>
      <c r="S2083" s="28"/>
      <c r="T2083" s="28"/>
      <c r="U2083" s="28"/>
    </row>
    <row r="2084" spans="1:21" s="5" customFormat="1">
      <c r="A2084" s="179" t="s">
        <v>2528</v>
      </c>
      <c r="B2084" s="185" t="s">
        <v>6685</v>
      </c>
      <c r="C2084" s="35" t="str">
        <f t="shared" si="224"/>
        <v>Khushkhu</v>
      </c>
      <c r="E2084" s="40"/>
      <c r="F2084" s="15" t="s">
        <v>2529</v>
      </c>
      <c r="G2084" s="17"/>
      <c r="H2084" s="10" t="s">
        <v>8563</v>
      </c>
      <c r="I2084" s="4" t="str">
        <f t="shared" si="225"/>
        <v>|uú|</v>
      </c>
      <c r="J2084" s="3" t="str">
        <f t="shared" si="226"/>
        <v>|Khushkhu|</v>
      </c>
      <c r="K2084" s="3" t="str">
        <f t="shared" si="227"/>
        <v>Khushkhu</v>
      </c>
      <c r="N2084" s="39" t="str">
        <f t="shared" si="228"/>
        <v/>
      </c>
      <c r="P2084" s="39" t="str">
        <f t="shared" si="229"/>
        <v/>
      </c>
      <c r="R2084" s="39" t="str">
        <f t="shared" si="230"/>
        <v/>
      </c>
      <c r="S2084" s="28"/>
      <c r="T2084" s="28"/>
      <c r="U2084" s="28"/>
    </row>
    <row r="2085" spans="1:21" s="5" customFormat="1">
      <c r="A2085" s="179" t="s">
        <v>2530</v>
      </c>
      <c r="B2085" s="185" t="s">
        <v>6686</v>
      </c>
      <c r="C2085" s="35" t="str">
        <f t="shared" si="224"/>
        <v>Khusraw</v>
      </c>
      <c r="E2085" s="40"/>
      <c r="F2085" s="14"/>
      <c r="G2085" s="17"/>
      <c r="H2085" s="10" t="s">
        <v>8563</v>
      </c>
      <c r="I2085" s="4" t="str">
        <f t="shared" si="225"/>
        <v>|usraw|</v>
      </c>
      <c r="J2085" s="3" t="str">
        <f t="shared" si="226"/>
        <v>|Khusraw|</v>
      </c>
      <c r="K2085" s="3" t="str">
        <f t="shared" si="227"/>
        <v>Khusraw</v>
      </c>
      <c r="N2085" s="39" t="str">
        <f t="shared" si="228"/>
        <v/>
      </c>
      <c r="P2085" s="39" t="str">
        <f t="shared" si="229"/>
        <v/>
      </c>
      <c r="R2085" s="39" t="str">
        <f t="shared" si="230"/>
        <v/>
      </c>
      <c r="S2085" s="28"/>
      <c r="T2085" s="28"/>
      <c r="U2085" s="28"/>
    </row>
    <row r="2086" spans="1:21" s="5" customFormat="1">
      <c r="A2086" s="179" t="s">
        <v>2531</v>
      </c>
      <c r="B2086" s="185" t="s">
        <v>6687</v>
      </c>
      <c r="C2086" s="35" t="str">
        <f t="shared" si="224"/>
        <v>KhusrawiQadiKalai</v>
      </c>
      <c r="E2086" s="40"/>
      <c r="F2086" s="14"/>
      <c r="G2086" s="17"/>
      <c r="H2086" s="10" t="s">
        <v>8563</v>
      </c>
      <c r="I2086" s="4" t="str">
        <f t="shared" si="225"/>
        <v>|usraw-i-Qáḍí-Kalá’í|</v>
      </c>
      <c r="J2086" s="3" t="str">
        <f t="shared" si="226"/>
        <v>|Khusraw-i-Qadi-Kala'i|</v>
      </c>
      <c r="K2086" s="3" t="str">
        <f t="shared" si="227"/>
        <v>Khusraw-i-Qadi-Kalai</v>
      </c>
      <c r="N2086" s="39" t="str">
        <f t="shared" si="228"/>
        <v/>
      </c>
      <c r="P2086" s="39" t="str">
        <f t="shared" si="229"/>
        <v/>
      </c>
      <c r="R2086" s="39" t="str">
        <f t="shared" si="230"/>
        <v/>
      </c>
      <c r="S2086" s="28"/>
      <c r="T2086" s="28"/>
      <c r="U2086" s="28"/>
    </row>
    <row r="2087" spans="1:21" s="5" customFormat="1">
      <c r="A2087" s="179" t="s">
        <v>2532</v>
      </c>
      <c r="B2087" s="185" t="s">
        <v>6688</v>
      </c>
      <c r="C2087" s="35" t="str">
        <f t="shared" si="224"/>
        <v>Khusrawvi</v>
      </c>
      <c r="E2087" s="40"/>
      <c r="F2087" s="15"/>
      <c r="G2087" s="17"/>
      <c r="H2087" s="10" t="s">
        <v>8563</v>
      </c>
      <c r="I2087" s="4" t="str">
        <f t="shared" si="225"/>
        <v>|usrawví|</v>
      </c>
      <c r="J2087" s="3" t="str">
        <f t="shared" si="226"/>
        <v>|Khusrawvi|</v>
      </c>
      <c r="K2087" s="3" t="str">
        <f t="shared" si="227"/>
        <v>Khusrawvi</v>
      </c>
      <c r="N2087" s="39" t="str">
        <f t="shared" si="228"/>
        <v/>
      </c>
      <c r="P2087" s="39" t="str">
        <f t="shared" si="229"/>
        <v/>
      </c>
      <c r="R2087" s="39" t="str">
        <f t="shared" si="230"/>
        <v/>
      </c>
      <c r="S2087" s="28"/>
      <c r="T2087" s="28"/>
      <c r="U2087" s="28"/>
    </row>
    <row r="2088" spans="1:21" s="5" customFormat="1">
      <c r="A2088" s="179" t="s">
        <v>2533</v>
      </c>
      <c r="B2088" s="185" t="s">
        <v>6689</v>
      </c>
      <c r="C2088" s="35" t="str">
        <f t="shared" si="224"/>
        <v>Khutan</v>
      </c>
      <c r="E2088" s="40"/>
      <c r="F2088" s="15"/>
      <c r="G2088" s="17"/>
      <c r="H2088" s="10" t="s">
        <v>8563</v>
      </c>
      <c r="I2088" s="4" t="str">
        <f t="shared" si="225"/>
        <v>|utan|</v>
      </c>
      <c r="J2088" s="3" t="str">
        <f t="shared" si="226"/>
        <v>|Khutan|</v>
      </c>
      <c r="K2088" s="3" t="str">
        <f t="shared" si="227"/>
        <v>Khutan</v>
      </c>
      <c r="N2088" s="39" t="str">
        <f t="shared" si="228"/>
        <v/>
      </c>
      <c r="P2088" s="39" t="str">
        <f t="shared" si="229"/>
        <v/>
      </c>
      <c r="R2088" s="39" t="str">
        <f t="shared" si="230"/>
        <v/>
      </c>
      <c r="S2088" s="28"/>
      <c r="T2088" s="28"/>
      <c r="U2088" s="28"/>
    </row>
    <row r="2089" spans="1:21" s="5" customFormat="1">
      <c r="A2089" s="179" t="s">
        <v>2534</v>
      </c>
      <c r="B2089" s="185" t="s">
        <v>6690</v>
      </c>
      <c r="C2089" s="35" t="str">
        <f t="shared" si="224"/>
        <v>Khutbih</v>
      </c>
      <c r="E2089" s="40"/>
      <c r="F2089" s="14" t="s">
        <v>2535</v>
      </c>
      <c r="G2089" s="17"/>
      <c r="H2089" s="10" t="s">
        <v>8563</v>
      </c>
      <c r="I2089" s="4" t="str">
        <f t="shared" si="225"/>
        <v>|uṭbih|</v>
      </c>
      <c r="J2089" s="3" t="str">
        <f t="shared" si="226"/>
        <v>|Khutbih|</v>
      </c>
      <c r="K2089" s="3" t="str">
        <f t="shared" si="227"/>
        <v>Khutbih</v>
      </c>
      <c r="N2089" s="39" t="str">
        <f t="shared" si="228"/>
        <v/>
      </c>
      <c r="P2089" s="39" t="str">
        <f t="shared" si="229"/>
        <v/>
      </c>
      <c r="R2089" s="39" t="str">
        <f t="shared" si="230"/>
        <v/>
      </c>
      <c r="S2089" s="28"/>
      <c r="T2089" s="28"/>
      <c r="U2089" s="28"/>
    </row>
    <row r="2090" spans="1:21" s="5" customFormat="1">
      <c r="A2090" s="179" t="s">
        <v>2536</v>
      </c>
      <c r="B2090" s="185" t="s">
        <v>6691</v>
      </c>
      <c r="C2090" s="35" t="str">
        <f t="shared" si="224"/>
        <v>KhutbiyiQahriyyih</v>
      </c>
      <c r="E2090" s="40"/>
      <c r="F2090" s="15"/>
      <c r="G2090" s="17"/>
      <c r="H2090" s="10" t="s">
        <v>8563</v>
      </c>
      <c r="I2090" s="4" t="str">
        <f t="shared" si="225"/>
        <v>|uṭbiy-i-Qahríyyih|</v>
      </c>
      <c r="J2090" s="3" t="str">
        <f t="shared" si="226"/>
        <v>|Khutbiy-i-Qahriyyih|</v>
      </c>
      <c r="K2090" s="3" t="str">
        <f t="shared" si="227"/>
        <v>Khutbiy-i-Qahriyyih</v>
      </c>
      <c r="N2090" s="39" t="str">
        <f t="shared" si="228"/>
        <v/>
      </c>
      <c r="P2090" s="39" t="str">
        <f t="shared" si="229"/>
        <v/>
      </c>
      <c r="R2090" s="39" t="str">
        <f t="shared" si="230"/>
        <v/>
      </c>
      <c r="S2090" s="28"/>
      <c r="T2090" s="28"/>
      <c r="U2090" s="28"/>
    </row>
    <row r="2091" spans="1:21" s="5" customFormat="1">
      <c r="A2091" s="179" t="s">
        <v>2537</v>
      </c>
      <c r="B2091" s="185" t="s">
        <v>6692</v>
      </c>
      <c r="C2091" s="35" t="str">
        <f t="shared" si="224"/>
        <v>Khuy</v>
      </c>
      <c r="E2091" s="40" t="s">
        <v>9115</v>
      </c>
      <c r="F2091" s="14"/>
      <c r="G2091" s="17"/>
      <c r="H2091" s="10" t="s">
        <v>8563</v>
      </c>
      <c r="I2091" s="4" t="str">
        <f t="shared" si="225"/>
        <v>|uy|</v>
      </c>
      <c r="J2091" s="3" t="str">
        <f t="shared" si="226"/>
        <v>|Khuy|</v>
      </c>
      <c r="K2091" s="3" t="str">
        <f t="shared" si="227"/>
        <v>Khuy</v>
      </c>
      <c r="N2091" s="39" t="str">
        <f t="shared" si="228"/>
        <v/>
      </c>
      <c r="P2091" s="39" t="str">
        <f t="shared" si="229"/>
        <v/>
      </c>
      <c r="R2091" s="39" t="str">
        <f t="shared" si="230"/>
        <v/>
      </c>
      <c r="S2091" s="28"/>
      <c r="T2091" s="28"/>
      <c r="U2091" s="28"/>
    </row>
    <row r="2092" spans="1:21" s="5" customFormat="1">
      <c r="A2092" s="179" t="s">
        <v>2537</v>
      </c>
      <c r="B2092" s="185" t="s">
        <v>6693</v>
      </c>
      <c r="C2092" s="35" t="str">
        <f t="shared" si="224"/>
        <v>Khuy</v>
      </c>
      <c r="E2092" s="40" t="s">
        <v>9115</v>
      </c>
      <c r="F2092" s="14"/>
      <c r="G2092" s="17"/>
      <c r="H2092" s="10" t="s">
        <v>8563</v>
      </c>
      <c r="I2092" s="4" t="str">
        <f t="shared" si="225"/>
        <v>|úy|</v>
      </c>
      <c r="J2092" s="3" t="str">
        <f t="shared" si="226"/>
        <v>|Khuy|</v>
      </c>
      <c r="K2092" s="3" t="str">
        <f t="shared" si="227"/>
        <v>Khuy</v>
      </c>
      <c r="N2092" s="39" t="str">
        <f t="shared" si="228"/>
        <v/>
      </c>
      <c r="P2092" s="39" t="str">
        <f t="shared" si="229"/>
        <v/>
      </c>
      <c r="R2092" s="39" t="str">
        <f t="shared" si="230"/>
        <v/>
      </c>
      <c r="S2092" s="28"/>
      <c r="T2092" s="28"/>
      <c r="U2092" s="28"/>
    </row>
    <row r="2093" spans="1:21" s="5" customFormat="1">
      <c r="A2093" s="179" t="s">
        <v>2304</v>
      </c>
      <c r="B2093" s="185" t="s">
        <v>6694</v>
      </c>
      <c r="C2093" s="35" t="str">
        <f t="shared" si="224"/>
        <v>Kijavih</v>
      </c>
      <c r="E2093" s="40"/>
      <c r="F2093" s="15" t="s">
        <v>2538</v>
      </c>
      <c r="G2093" s="17"/>
      <c r="H2093" s="10" t="s">
        <v>8563</v>
      </c>
      <c r="I2093" s="4" t="str">
        <f t="shared" si="225"/>
        <v>|Kijávih|</v>
      </c>
      <c r="J2093" s="3" t="str">
        <f t="shared" si="226"/>
        <v>|Kijavih|</v>
      </c>
      <c r="K2093" s="3" t="str">
        <f t="shared" si="227"/>
        <v>Kijavih</v>
      </c>
      <c r="N2093" s="39" t="str">
        <f t="shared" si="228"/>
        <v/>
      </c>
      <c r="P2093" s="39" t="str">
        <f t="shared" si="229"/>
        <v/>
      </c>
      <c r="R2093" s="39" t="str">
        <f t="shared" si="230"/>
        <v/>
      </c>
      <c r="S2093" s="28"/>
      <c r="T2093" s="28"/>
      <c r="U2093" s="28"/>
    </row>
    <row r="2094" spans="1:21" s="5" customFormat="1">
      <c r="A2094" s="179" t="s">
        <v>2539</v>
      </c>
      <c r="B2094" s="185" t="s">
        <v>6695</v>
      </c>
      <c r="C2094" s="35" t="str">
        <f t="shared" si="224"/>
        <v>Kinanih</v>
      </c>
      <c r="E2094" s="40"/>
      <c r="F2094" s="14"/>
      <c r="G2094" s="17"/>
      <c r="H2094" s="10" t="s">
        <v>8563</v>
      </c>
      <c r="I2094" s="4" t="str">
        <f t="shared" si="225"/>
        <v>|Kinánih|</v>
      </c>
      <c r="J2094" s="3" t="str">
        <f t="shared" si="226"/>
        <v>|Kinanih|</v>
      </c>
      <c r="K2094" s="3" t="str">
        <f t="shared" si="227"/>
        <v>Kinanih</v>
      </c>
      <c r="N2094" s="39" t="str">
        <f t="shared" si="228"/>
        <v/>
      </c>
      <c r="P2094" s="39" t="str">
        <f t="shared" si="229"/>
        <v/>
      </c>
      <c r="R2094" s="39" t="str">
        <f t="shared" si="230"/>
        <v/>
      </c>
      <c r="S2094" s="28"/>
      <c r="T2094" s="28"/>
      <c r="U2094" s="28"/>
    </row>
    <row r="2095" spans="1:21" s="5" customFormat="1">
      <c r="A2095" s="179" t="s">
        <v>2540</v>
      </c>
      <c r="B2095" s="185" t="s">
        <v>6696</v>
      </c>
      <c r="C2095" s="35" t="str">
        <f t="shared" si="224"/>
        <v>KinarGird</v>
      </c>
      <c r="E2095" s="40"/>
      <c r="F2095" s="14"/>
      <c r="G2095" s="17"/>
      <c r="H2095" s="10" t="s">
        <v>8563</v>
      </c>
      <c r="I2095" s="4" t="str">
        <f t="shared" si="225"/>
        <v>|Kinár-Gird|</v>
      </c>
      <c r="J2095" s="3" t="str">
        <f t="shared" si="226"/>
        <v>|Kinar-Gird|</v>
      </c>
      <c r="K2095" s="3" t="str">
        <f t="shared" si="227"/>
        <v>Kinar-Gird</v>
      </c>
      <c r="N2095" s="39" t="str">
        <f t="shared" si="228"/>
        <v/>
      </c>
      <c r="P2095" s="39" t="str">
        <f t="shared" si="229"/>
        <v/>
      </c>
      <c r="R2095" s="39" t="str">
        <f t="shared" si="230"/>
        <v/>
      </c>
      <c r="S2095" s="28"/>
      <c r="T2095" s="28"/>
      <c r="U2095" s="28"/>
    </row>
    <row r="2096" spans="1:21" s="5" customFormat="1">
      <c r="A2096" s="179" t="s">
        <v>2330</v>
      </c>
      <c r="B2096" s="185" t="s">
        <v>6697</v>
      </c>
      <c r="C2096" s="35" t="str">
        <f t="shared" si="224"/>
        <v>Kini</v>
      </c>
      <c r="E2096" s="40"/>
      <c r="F2096" s="14"/>
      <c r="G2096" s="17"/>
      <c r="H2096" s="10" t="s">
        <v>8563</v>
      </c>
      <c r="I2096" s="4" t="str">
        <f t="shared" si="225"/>
        <v>|Kiní|</v>
      </c>
      <c r="J2096" s="3" t="str">
        <f t="shared" si="226"/>
        <v>|Kini|</v>
      </c>
      <c r="K2096" s="3" t="str">
        <f t="shared" si="227"/>
        <v>Kini</v>
      </c>
      <c r="N2096" s="39" t="str">
        <f t="shared" si="228"/>
        <v/>
      </c>
      <c r="P2096" s="39" t="str">
        <f t="shared" si="229"/>
        <v/>
      </c>
      <c r="R2096" s="39" t="str">
        <f t="shared" si="230"/>
        <v/>
      </c>
      <c r="S2096" s="28"/>
      <c r="T2096" s="28"/>
      <c r="U2096" s="28"/>
    </row>
    <row r="2097" spans="1:21" s="5" customFormat="1">
      <c r="A2097" s="179" t="s">
        <v>2541</v>
      </c>
      <c r="B2097" s="185" t="s">
        <v>6698</v>
      </c>
      <c r="C2097" s="35" t="str">
        <f t="shared" si="224"/>
        <v>Kiramat</v>
      </c>
      <c r="E2097" s="40"/>
      <c r="F2097" s="15" t="s">
        <v>2542</v>
      </c>
      <c r="G2097" s="17"/>
      <c r="H2097" s="10" t="s">
        <v>8563</v>
      </c>
      <c r="I2097" s="4" t="str">
        <f t="shared" si="225"/>
        <v>|Kirámat|</v>
      </c>
      <c r="J2097" s="3" t="str">
        <f t="shared" si="226"/>
        <v>|Kiramat|</v>
      </c>
      <c r="K2097" s="3" t="str">
        <f t="shared" si="227"/>
        <v>Kiramat</v>
      </c>
      <c r="N2097" s="39" t="str">
        <f t="shared" si="228"/>
        <v/>
      </c>
      <c r="P2097" s="39" t="str">
        <f t="shared" si="229"/>
        <v/>
      </c>
      <c r="R2097" s="39" t="str">
        <f t="shared" si="230"/>
        <v/>
      </c>
      <c r="S2097" s="28"/>
      <c r="T2097" s="28"/>
      <c r="U2097" s="28"/>
    </row>
    <row r="2098" spans="1:21" s="5" customFormat="1">
      <c r="A2098" s="179" t="s">
        <v>2543</v>
      </c>
      <c r="B2098" s="185" t="s">
        <v>6699</v>
      </c>
      <c r="C2098" s="35" t="str">
        <f t="shared" si="224"/>
        <v>Kirman</v>
      </c>
      <c r="E2098" s="40"/>
      <c r="F2098" s="14"/>
      <c r="G2098" s="17"/>
      <c r="H2098" s="10" t="s">
        <v>8563</v>
      </c>
      <c r="I2098" s="4" t="str">
        <f t="shared" si="225"/>
        <v>|Kirmán|</v>
      </c>
      <c r="J2098" s="3" t="str">
        <f t="shared" si="226"/>
        <v>|Kirman|</v>
      </c>
      <c r="K2098" s="3" t="str">
        <f t="shared" si="227"/>
        <v>Kirman</v>
      </c>
      <c r="N2098" s="39" t="str">
        <f t="shared" si="228"/>
        <v/>
      </c>
      <c r="P2098" s="39" t="str">
        <f t="shared" si="229"/>
        <v/>
      </c>
      <c r="R2098" s="39" t="str">
        <f t="shared" si="230"/>
        <v/>
      </c>
      <c r="S2098" s="28"/>
      <c r="T2098" s="28"/>
      <c r="U2098" s="28"/>
    </row>
    <row r="2099" spans="1:21" s="5" customFormat="1">
      <c r="A2099" s="179" t="s">
        <v>2544</v>
      </c>
      <c r="B2099" s="185" t="s">
        <v>6700</v>
      </c>
      <c r="C2099" s="35" t="str">
        <f t="shared" si="224"/>
        <v>Kirmani</v>
      </c>
      <c r="E2099" s="40"/>
      <c r="F2099" s="15"/>
      <c r="G2099" s="17"/>
      <c r="H2099" s="10" t="s">
        <v>8563</v>
      </c>
      <c r="I2099" s="4" t="str">
        <f t="shared" si="225"/>
        <v>|Kirmání|</v>
      </c>
      <c r="J2099" s="3" t="str">
        <f t="shared" si="226"/>
        <v>|Kirmani|</v>
      </c>
      <c r="K2099" s="3" t="str">
        <f t="shared" si="227"/>
        <v>Kirmani</v>
      </c>
      <c r="N2099" s="39" t="str">
        <f t="shared" si="228"/>
        <v/>
      </c>
      <c r="P2099" s="39" t="str">
        <f t="shared" si="229"/>
        <v/>
      </c>
      <c r="R2099" s="39" t="str">
        <f t="shared" si="230"/>
        <v/>
      </c>
      <c r="S2099" s="28"/>
      <c r="T2099" s="28"/>
      <c r="U2099" s="28"/>
    </row>
    <row r="2100" spans="1:21" s="5" customFormat="1">
      <c r="A2100" s="179" t="s">
        <v>2367</v>
      </c>
      <c r="B2100" s="185" t="s">
        <v>99</v>
      </c>
      <c r="C2100" s="35" t="str">
        <f t="shared" si="224"/>
        <v>Kirmanshah</v>
      </c>
      <c r="E2100" s="40"/>
      <c r="F2100" s="14"/>
      <c r="G2100" s="17"/>
      <c r="H2100" s="10" t="s">
        <v>8563</v>
      </c>
      <c r="I2100" s="4" t="str">
        <f t="shared" si="225"/>
        <v>|Kirmánáh|</v>
      </c>
      <c r="J2100" s="3" t="str">
        <f t="shared" si="226"/>
        <v>|Kirmanshah|</v>
      </c>
      <c r="K2100" s="3" t="str">
        <f t="shared" si="227"/>
        <v>Kirmanshah</v>
      </c>
      <c r="N2100" s="39" t="str">
        <f t="shared" si="228"/>
        <v/>
      </c>
      <c r="P2100" s="39" t="str">
        <f t="shared" si="229"/>
        <v/>
      </c>
      <c r="R2100" s="39" t="str">
        <f t="shared" si="230"/>
        <v/>
      </c>
      <c r="S2100" s="28"/>
      <c r="T2100" s="28"/>
      <c r="U2100" s="28"/>
    </row>
    <row r="2101" spans="1:21" s="5" customFormat="1">
      <c r="A2101" s="179" t="s">
        <v>2545</v>
      </c>
      <c r="B2101" s="185" t="s">
        <v>6701</v>
      </c>
      <c r="C2101" s="35" t="str">
        <f t="shared" si="224"/>
        <v>Kirmanshahan</v>
      </c>
      <c r="E2101" s="40"/>
      <c r="F2101" s="15"/>
      <c r="G2101" s="17"/>
      <c r="H2101" s="10" t="s">
        <v>8563</v>
      </c>
      <c r="I2101" s="4" t="str">
        <f t="shared" si="225"/>
        <v>|Kirmánáhán|</v>
      </c>
      <c r="J2101" s="3" t="str">
        <f t="shared" si="226"/>
        <v>|Kirmanshahan|</v>
      </c>
      <c r="K2101" s="3" t="str">
        <f t="shared" si="227"/>
        <v>Kirmanshahan</v>
      </c>
      <c r="N2101" s="39" t="str">
        <f t="shared" si="228"/>
        <v/>
      </c>
      <c r="P2101" s="39" t="str">
        <f t="shared" si="229"/>
        <v/>
      </c>
      <c r="R2101" s="39" t="str">
        <f t="shared" si="230"/>
        <v/>
      </c>
      <c r="S2101" s="28"/>
      <c r="T2101" s="28"/>
      <c r="U2101" s="28"/>
    </row>
    <row r="2102" spans="1:21" s="5" customFormat="1">
      <c r="A2102" s="179" t="s">
        <v>2546</v>
      </c>
      <c r="B2102" s="185" t="s">
        <v>6702</v>
      </c>
      <c r="C2102" s="35" t="str">
        <f t="shared" si="224"/>
        <v>Kirmanshan</v>
      </c>
      <c r="E2102" s="40"/>
      <c r="F2102" s="15"/>
      <c r="G2102" s="17"/>
      <c r="H2102" s="10" t="s">
        <v>8563</v>
      </c>
      <c r="I2102" s="4" t="str">
        <f t="shared" si="225"/>
        <v>|Kirmanán|</v>
      </c>
      <c r="J2102" s="3" t="str">
        <f t="shared" si="226"/>
        <v>|Kirmanshan|</v>
      </c>
      <c r="K2102" s="3" t="str">
        <f t="shared" si="227"/>
        <v>Kirmanshan</v>
      </c>
      <c r="N2102" s="39" t="str">
        <f t="shared" si="228"/>
        <v/>
      </c>
      <c r="P2102" s="39" t="str">
        <f t="shared" si="229"/>
        <v/>
      </c>
      <c r="R2102" s="39" t="str">
        <f t="shared" si="230"/>
        <v/>
      </c>
      <c r="S2102" s="28"/>
      <c r="T2102" s="28"/>
      <c r="U2102" s="28"/>
    </row>
    <row r="2103" spans="1:21" s="5" customFormat="1">
      <c r="A2103" s="179" t="s">
        <v>2549</v>
      </c>
      <c r="B2103" s="185" t="s">
        <v>6704</v>
      </c>
      <c r="C2103" s="35" t="str">
        <f t="shared" si="224"/>
        <v>Kitab</v>
      </c>
      <c r="E2103" s="40"/>
      <c r="F2103" s="14" t="s">
        <v>2550</v>
      </c>
      <c r="G2103" s="17"/>
      <c r="H2103" s="10" t="s">
        <v>8563</v>
      </c>
      <c r="I2103" s="4" t="str">
        <f t="shared" si="225"/>
        <v>|Kitáb|</v>
      </c>
      <c r="J2103" s="3" t="str">
        <f t="shared" si="226"/>
        <v>|Kitab|</v>
      </c>
      <c r="K2103" s="3" t="str">
        <f t="shared" si="227"/>
        <v>Kitab</v>
      </c>
      <c r="N2103" s="39" t="str">
        <f t="shared" si="228"/>
        <v/>
      </c>
      <c r="P2103" s="39" t="str">
        <f t="shared" si="229"/>
        <v/>
      </c>
      <c r="R2103" s="39" t="str">
        <f t="shared" si="230"/>
        <v/>
      </c>
      <c r="S2103" s="28"/>
      <c r="T2103" s="28"/>
      <c r="U2103" s="28"/>
    </row>
    <row r="2104" spans="1:21" s="5" customFormat="1">
      <c r="A2104" s="179" t="s">
        <v>2551</v>
      </c>
      <c r="B2104" s="185" t="s">
        <v>6705</v>
      </c>
      <c r="C2104" s="35" t="str">
        <f t="shared" si="224"/>
        <v>Kitabi</v>
      </c>
      <c r="E2104" s="40"/>
      <c r="F2104" s="15"/>
      <c r="G2104" s="17"/>
      <c r="H2104" s="10" t="s">
        <v>8563</v>
      </c>
      <c r="I2104" s="4" t="str">
        <f t="shared" si="225"/>
        <v>|Kitábí|</v>
      </c>
      <c r="J2104" s="3" t="str">
        <f t="shared" si="226"/>
        <v>|Kitabi|</v>
      </c>
      <c r="K2104" s="3" t="str">
        <f t="shared" si="227"/>
        <v>Kitabi</v>
      </c>
      <c r="N2104" s="39" t="str">
        <f t="shared" si="228"/>
        <v/>
      </c>
      <c r="P2104" s="39" t="str">
        <f t="shared" si="229"/>
        <v/>
      </c>
      <c r="R2104" s="39" t="str">
        <f t="shared" si="230"/>
        <v/>
      </c>
      <c r="S2104" s="28"/>
      <c r="T2104" s="28"/>
      <c r="U2104" s="28"/>
    </row>
    <row r="2105" spans="1:21" s="5" customFormat="1">
      <c r="A2105" s="179" t="s">
        <v>2552</v>
      </c>
      <c r="B2105" s="185" t="s">
        <v>100</v>
      </c>
      <c r="C2105" s="35" t="str">
        <f t="shared" si="224"/>
        <v>KitabiAhd</v>
      </c>
      <c r="E2105" s="40"/>
      <c r="F2105" s="14"/>
      <c r="G2105" s="17"/>
      <c r="H2105" s="10" t="s">
        <v>8563</v>
      </c>
      <c r="I2105" s="4" t="str">
        <f t="shared" si="225"/>
        <v>|Kitáb-i-ʿAhd|</v>
      </c>
      <c r="J2105" s="3" t="str">
        <f t="shared" si="226"/>
        <v>|Kitab-i-'Ahd|</v>
      </c>
      <c r="K2105" s="3" t="str">
        <f t="shared" si="227"/>
        <v>Kitab-i-Ahd</v>
      </c>
      <c r="N2105" s="39" t="str">
        <f t="shared" si="228"/>
        <v/>
      </c>
      <c r="P2105" s="39" t="str">
        <f t="shared" si="229"/>
        <v/>
      </c>
      <c r="R2105" s="39" t="str">
        <f t="shared" si="230"/>
        <v/>
      </c>
      <c r="S2105" s="28"/>
      <c r="T2105" s="28"/>
      <c r="U2105" s="28"/>
    </row>
    <row r="2106" spans="1:21" s="5" customFormat="1">
      <c r="A2106" s="179" t="s">
        <v>2553</v>
      </c>
      <c r="B2106" s="185" t="s">
        <v>6706</v>
      </c>
      <c r="C2106" s="35" t="str">
        <f t="shared" si="224"/>
        <v>KitabiAhdi</v>
      </c>
      <c r="E2106" s="40"/>
      <c r="F2106" s="14"/>
      <c r="G2106" s="17"/>
      <c r="H2106" s="10" t="s">
        <v>8563</v>
      </c>
      <c r="I2106" s="4" t="str">
        <f t="shared" si="225"/>
        <v>|Kitáb-i-ʿAhdí|</v>
      </c>
      <c r="J2106" s="3" t="str">
        <f t="shared" si="226"/>
        <v>|Kitab-i-'Ahdi|</v>
      </c>
      <c r="K2106" s="3" t="str">
        <f t="shared" si="227"/>
        <v>Kitab-i-Ahdi</v>
      </c>
      <c r="N2106" s="39" t="str">
        <f t="shared" si="228"/>
        <v/>
      </c>
      <c r="P2106" s="39" t="str">
        <f t="shared" si="229"/>
        <v/>
      </c>
      <c r="R2106" s="39" t="str">
        <f t="shared" si="230"/>
        <v/>
      </c>
      <c r="S2106" s="28"/>
      <c r="T2106" s="28"/>
      <c r="U2106" s="28"/>
    </row>
    <row r="2107" spans="1:21" s="5" customFormat="1">
      <c r="A2107" s="179" t="s">
        <v>2554</v>
      </c>
      <c r="B2107" s="185" t="s">
        <v>85</v>
      </c>
      <c r="C2107" s="35" t="str">
        <f t="shared" si="224"/>
        <v>KitabiAqdas</v>
      </c>
      <c r="E2107" s="40"/>
      <c r="F2107" s="14" t="s">
        <v>2555</v>
      </c>
      <c r="G2107" s="17"/>
      <c r="H2107" s="10" t="s">
        <v>8563</v>
      </c>
      <c r="I2107" s="4" t="str">
        <f t="shared" si="225"/>
        <v>|Kitáb-i-Aqdas|</v>
      </c>
      <c r="J2107" s="3" t="str">
        <f t="shared" si="226"/>
        <v>|Kitab-i-Aqdas|</v>
      </c>
      <c r="K2107" s="3" t="str">
        <f t="shared" si="227"/>
        <v>Kitab-i-Aqdas</v>
      </c>
      <c r="N2107" s="39" t="str">
        <f t="shared" si="228"/>
        <v/>
      </c>
      <c r="P2107" s="39" t="str">
        <f t="shared" si="229"/>
        <v/>
      </c>
      <c r="R2107" s="39" t="str">
        <f t="shared" si="230"/>
        <v/>
      </c>
      <c r="S2107" s="28"/>
      <c r="T2107" s="29">
        <v>41801</v>
      </c>
      <c r="U2107" s="28" t="s">
        <v>9429</v>
      </c>
    </row>
    <row r="2108" spans="1:21" s="5" customFormat="1">
      <c r="A2108" s="179" t="s">
        <v>2556</v>
      </c>
      <c r="B2108" s="185" t="s">
        <v>6707</v>
      </c>
      <c r="C2108" s="35" t="str">
        <f t="shared" si="224"/>
        <v>KitabiAsma</v>
      </c>
      <c r="E2108" s="40"/>
      <c r="F2108" s="14"/>
      <c r="G2108" s="17"/>
      <c r="H2108" s="10" t="s">
        <v>8563</v>
      </c>
      <c r="I2108" s="4" t="str">
        <f t="shared" si="225"/>
        <v>|Kitáb-i-Asmá’|</v>
      </c>
      <c r="J2108" s="3" t="str">
        <f t="shared" si="226"/>
        <v>|Kitab-i-Asma'|</v>
      </c>
      <c r="K2108" s="3" t="str">
        <f t="shared" si="227"/>
        <v>Kitab-i-Asma</v>
      </c>
      <c r="N2108" s="39" t="str">
        <f t="shared" si="228"/>
        <v/>
      </c>
      <c r="P2108" s="39" t="str">
        <f t="shared" si="229"/>
        <v/>
      </c>
      <c r="R2108" s="39" t="str">
        <f t="shared" si="230"/>
        <v/>
      </c>
      <c r="S2108" s="28"/>
      <c r="T2108" s="29">
        <v>41801</v>
      </c>
      <c r="U2108" s="28" t="s">
        <v>9416</v>
      </c>
    </row>
    <row r="2109" spans="1:21" s="5" customFormat="1">
      <c r="A2109" s="179" t="s">
        <v>2557</v>
      </c>
      <c r="B2109" s="185" t="s">
        <v>6708</v>
      </c>
      <c r="C2109" s="35" t="str">
        <f t="shared" si="224"/>
        <v>KitabiBadayiulAthar</v>
      </c>
      <c r="E2109" s="40"/>
      <c r="F2109" s="15"/>
      <c r="G2109" s="17"/>
      <c r="H2109" s="10" t="s">
        <v>8563</v>
      </c>
      <c r="I2109" s="4" t="str">
        <f t="shared" si="225"/>
        <v>|Kitáb-i-Badáyiʿu’l-Áár|</v>
      </c>
      <c r="J2109" s="3" t="str">
        <f t="shared" si="226"/>
        <v>|Kitab-i-Badayi'u'l-Athar|</v>
      </c>
      <c r="K2109" s="3" t="str">
        <f t="shared" si="227"/>
        <v>Kitab-i-Badayiul-Athar</v>
      </c>
      <c r="N2109" s="39" t="str">
        <f t="shared" si="228"/>
        <v/>
      </c>
      <c r="P2109" s="39" t="str">
        <f t="shared" si="229"/>
        <v/>
      </c>
      <c r="R2109" s="39" t="str">
        <f t="shared" si="230"/>
        <v/>
      </c>
      <c r="S2109" s="28"/>
      <c r="T2109" s="28"/>
      <c r="U2109" s="28"/>
    </row>
    <row r="2110" spans="1:21" s="5" customFormat="1">
      <c r="A2110" s="179" t="s">
        <v>2558</v>
      </c>
      <c r="B2110" s="185" t="s">
        <v>6709</v>
      </c>
      <c r="C2110" s="35" t="str">
        <f t="shared" si="224"/>
        <v>KitabiBadi</v>
      </c>
      <c r="E2110" s="40"/>
      <c r="F2110" s="14"/>
      <c r="G2110" s="17"/>
      <c r="H2110" s="10" t="s">
        <v>8563</v>
      </c>
      <c r="I2110" s="4" t="str">
        <f t="shared" si="225"/>
        <v>|Kitáb-i-Badíʿ|</v>
      </c>
      <c r="J2110" s="3" t="str">
        <f t="shared" si="226"/>
        <v>|Kitab-i-Badi'|</v>
      </c>
      <c r="K2110" s="3" t="str">
        <f t="shared" si="227"/>
        <v>Kitab-i-Badi</v>
      </c>
      <c r="N2110" s="39" t="str">
        <f t="shared" si="228"/>
        <v/>
      </c>
      <c r="P2110" s="39" t="str">
        <f t="shared" si="229"/>
        <v/>
      </c>
      <c r="R2110" s="39" t="str">
        <f t="shared" si="230"/>
        <v/>
      </c>
      <c r="S2110" s="28"/>
      <c r="T2110" s="28"/>
      <c r="U2110" s="28"/>
    </row>
    <row r="2111" spans="1:21" s="5" customFormat="1">
      <c r="A2111" s="179" t="s">
        <v>2559</v>
      </c>
      <c r="B2111" s="185" t="s">
        <v>6710</v>
      </c>
      <c r="C2111" s="35" t="str">
        <f t="shared" si="224"/>
        <v>KitabiBaynulHaramayn</v>
      </c>
      <c r="E2111" s="40"/>
      <c r="F2111" s="14"/>
      <c r="G2111" s="17"/>
      <c r="H2111" s="10" t="s">
        <v>8563</v>
      </c>
      <c r="I2111" s="4" t="str">
        <f t="shared" si="225"/>
        <v>|Kitáb-i-Baynu’l-Ḥaramayn|</v>
      </c>
      <c r="J2111" s="3" t="str">
        <f t="shared" si="226"/>
        <v>|Kitab-i-Baynu'l-Haramayn|</v>
      </c>
      <c r="K2111" s="3" t="str">
        <f t="shared" si="227"/>
        <v>Kitab-i-Baynul-Haramayn</v>
      </c>
      <c r="N2111" s="39" t="str">
        <f t="shared" si="228"/>
        <v/>
      </c>
      <c r="P2111" s="39" t="str">
        <f t="shared" si="229"/>
        <v/>
      </c>
      <c r="R2111" s="39" t="str">
        <f t="shared" si="230"/>
        <v/>
      </c>
      <c r="S2111" s="28"/>
      <c r="T2111" s="28"/>
      <c r="U2111" s="28"/>
    </row>
    <row r="2112" spans="1:21" s="5" customFormat="1">
      <c r="A2112" s="179" t="s">
        <v>2560</v>
      </c>
      <c r="B2112" s="185" t="s">
        <v>6711</v>
      </c>
      <c r="C2112" s="35" t="str">
        <f t="shared" si="224"/>
        <v>KitabiHaykal</v>
      </c>
      <c r="E2112" s="40"/>
      <c r="F2112" s="14"/>
      <c r="G2112" s="17"/>
      <c r="H2112" s="10" t="s">
        <v>8563</v>
      </c>
      <c r="I2112" s="4" t="str">
        <f t="shared" si="225"/>
        <v>|Kitáb-i-Haykal|</v>
      </c>
      <c r="J2112" s="3" t="str">
        <f t="shared" si="226"/>
        <v>|Kitab-i-Haykal|</v>
      </c>
      <c r="K2112" s="3" t="str">
        <f t="shared" si="227"/>
        <v>Kitab-i-Haykal</v>
      </c>
      <c r="N2112" s="39" t="str">
        <f t="shared" si="228"/>
        <v/>
      </c>
      <c r="P2112" s="39" t="str">
        <f t="shared" si="229"/>
        <v/>
      </c>
      <c r="R2112" s="39" t="str">
        <f t="shared" si="230"/>
        <v/>
      </c>
      <c r="S2112" s="28"/>
      <c r="T2112" s="28"/>
      <c r="U2112" s="28"/>
    </row>
    <row r="2113" spans="1:21" s="5" customFormat="1">
      <c r="A2113" s="179" t="s">
        <v>2561</v>
      </c>
      <c r="B2113" s="185" t="s">
        <v>68</v>
      </c>
      <c r="C2113" s="35" t="str">
        <f t="shared" si="224"/>
        <v>KitabiIqan</v>
      </c>
      <c r="E2113" s="40"/>
      <c r="F2113" s="14"/>
      <c r="G2113" s="17"/>
      <c r="H2113" s="10" t="s">
        <v>8563</v>
      </c>
      <c r="I2113" s="4" t="str">
        <f t="shared" si="225"/>
        <v>|Kitáb-i-Íqán|</v>
      </c>
      <c r="J2113" s="3" t="str">
        <f t="shared" si="226"/>
        <v>|Kitab-i-Iqan|</v>
      </c>
      <c r="K2113" s="3" t="str">
        <f t="shared" si="227"/>
        <v>Kitab-i-Iqan</v>
      </c>
      <c r="N2113" s="39" t="str">
        <f t="shared" si="228"/>
        <v/>
      </c>
      <c r="P2113" s="39" t="str">
        <f t="shared" si="229"/>
        <v/>
      </c>
      <c r="R2113" s="39" t="str">
        <f t="shared" si="230"/>
        <v/>
      </c>
      <c r="S2113" s="28"/>
      <c r="T2113" s="29">
        <v>41801</v>
      </c>
      <c r="U2113" s="28" t="s">
        <v>9486</v>
      </c>
    </row>
    <row r="2114" spans="1:21" s="5" customFormat="1">
      <c r="A2114" s="179" t="s">
        <v>2562</v>
      </c>
      <c r="B2114" s="185" t="s">
        <v>6712</v>
      </c>
      <c r="C2114" s="35" t="str">
        <f t="shared" ref="C2114:C2177" si="231">SUBSTITUTE(SUBSTITUTE(K2114,"-","")," ","")</f>
        <v>KitabiMajlisi</v>
      </c>
      <c r="E2114" s="40"/>
      <c r="F2114" s="15"/>
      <c r="G2114" s="17"/>
      <c r="H2114" s="10" t="s">
        <v>8563</v>
      </c>
      <c r="I2114" s="4" t="str">
        <f t="shared" ref="I2114:I2177" si="232">CONCATENATE("|",B2114,"|")</f>
        <v>|Kitáb-i-Majlisí|</v>
      </c>
      <c r="J2114" s="3" t="str">
        <f t="shared" ref="J2114:J2177" si="233">CONCATENATE("|",F_OutputASCII(B2114),"|")</f>
        <v>|Kitab-i-Majlisi|</v>
      </c>
      <c r="K2114" s="3" t="str">
        <f t="shared" ref="K2114:K2177" si="234">IF(SUBSTITUTE(MID(J2114,2,LEN(J2114)-2),"'","")&lt;&gt;"",SUBSTITUTE(MID(J2114,2,LEN(J2114)-2),"'",""),"ZZZZZ")</f>
        <v>Kitab-i-Majlisi</v>
      </c>
      <c r="N2114" s="39" t="str">
        <f t="shared" si="228"/>
        <v/>
      </c>
      <c r="P2114" s="39" t="str">
        <f t="shared" si="229"/>
        <v/>
      </c>
      <c r="R2114" s="39" t="str">
        <f t="shared" si="230"/>
        <v/>
      </c>
      <c r="S2114" s="28"/>
      <c r="T2114" s="28"/>
      <c r="U2114" s="28"/>
    </row>
    <row r="2115" spans="1:21" s="5" customFormat="1">
      <c r="A2115" s="179" t="s">
        <v>2563</v>
      </c>
      <c r="B2115" s="185" t="s">
        <v>6713</v>
      </c>
      <c r="C2115" s="35" t="str">
        <f t="shared" si="231"/>
        <v>KitabiMubin</v>
      </c>
      <c r="E2115" s="40"/>
      <c r="F2115" s="15"/>
      <c r="G2115" s="17"/>
      <c r="H2115" s="10" t="s">
        <v>8563</v>
      </c>
      <c r="I2115" s="4" t="str">
        <f t="shared" si="232"/>
        <v>|Kitáb-i-Mubín|</v>
      </c>
      <c r="J2115" s="3" t="str">
        <f t="shared" si="233"/>
        <v>|Kitab-i-Mubin|</v>
      </c>
      <c r="K2115" s="3" t="str">
        <f t="shared" si="234"/>
        <v>Kitab-i-Mubin</v>
      </c>
      <c r="N2115" s="39" t="str">
        <f t="shared" ref="N2115:N2178" si="235">SUBSTITUTE(SUBSTITUTE(SUBSTITUTE(F_OutputASCII(M2115),"-","")," ",""),"'","")</f>
        <v/>
      </c>
      <c r="P2115" s="39" t="str">
        <f t="shared" ref="P2115:P2178" si="236">SUBSTITUTE(SUBSTITUTE(SUBSTITUTE(F_OutputASCII(O2115),"-","")," ",""),"'","")</f>
        <v/>
      </c>
      <c r="R2115" s="39" t="str">
        <f t="shared" ref="R2115:R2178" si="237">SUBSTITUTE(SUBSTITUTE(Q2115,"-","")," ","")</f>
        <v/>
      </c>
      <c r="S2115" s="28"/>
      <c r="T2115" s="28"/>
      <c r="U2115" s="28"/>
    </row>
    <row r="2116" spans="1:21" s="5" customFormat="1">
      <c r="A2116" s="179" t="s">
        <v>2564</v>
      </c>
      <c r="B2116" s="185" t="s">
        <v>6714</v>
      </c>
      <c r="C2116" s="35" t="str">
        <f t="shared" si="231"/>
        <v>KitabiNatiq</v>
      </c>
      <c r="E2116" s="40"/>
      <c r="F2116" s="15" t="s">
        <v>2565</v>
      </c>
      <c r="G2116" s="17"/>
      <c r="H2116" s="10" t="s">
        <v>8563</v>
      </c>
      <c r="I2116" s="4" t="str">
        <f t="shared" si="232"/>
        <v>|Kitáb-i-Náṭiq|</v>
      </c>
      <c r="J2116" s="3" t="str">
        <f t="shared" si="233"/>
        <v>|Kitab-i-Natiq|</v>
      </c>
      <c r="K2116" s="3" t="str">
        <f t="shared" si="234"/>
        <v>Kitab-i-Natiq</v>
      </c>
      <c r="N2116" s="39" t="str">
        <f t="shared" si="235"/>
        <v/>
      </c>
      <c r="P2116" s="39" t="str">
        <f t="shared" si="236"/>
        <v/>
      </c>
      <c r="R2116" s="39" t="str">
        <f t="shared" si="237"/>
        <v/>
      </c>
      <c r="S2116" s="28"/>
      <c r="T2116" s="28"/>
      <c r="U2116" s="28"/>
    </row>
    <row r="2117" spans="1:21" s="5" customFormat="1">
      <c r="A2117" s="179" t="s">
        <v>2566</v>
      </c>
      <c r="B2117" s="185" t="s">
        <v>6715</v>
      </c>
      <c r="C2117" s="35" t="str">
        <f t="shared" si="231"/>
        <v>KitabiPanjShan</v>
      </c>
      <c r="E2117" s="40"/>
      <c r="F2117" s="14"/>
      <c r="G2117" s="17"/>
      <c r="H2117" s="10" t="s">
        <v>8563</v>
      </c>
      <c r="I2117" s="4" t="str">
        <f t="shared" si="232"/>
        <v>|Kitáb-i-Panj-a’n|</v>
      </c>
      <c r="J2117" s="3" t="str">
        <f t="shared" si="233"/>
        <v>|Kitab-i-Panj-Sha'n|</v>
      </c>
      <c r="K2117" s="3" t="str">
        <f t="shared" si="234"/>
        <v>Kitab-i-Panj-Shan</v>
      </c>
      <c r="N2117" s="39" t="str">
        <f t="shared" si="235"/>
        <v/>
      </c>
      <c r="P2117" s="39" t="str">
        <f t="shared" si="236"/>
        <v/>
      </c>
      <c r="R2117" s="39" t="str">
        <f t="shared" si="237"/>
        <v/>
      </c>
      <c r="S2117" s="28"/>
      <c r="T2117" s="28"/>
      <c r="U2117" s="28"/>
    </row>
    <row r="2118" spans="1:21" s="5" customFormat="1">
      <c r="A2118" s="179" t="s">
        <v>2567</v>
      </c>
      <c r="B2118" s="185" t="s">
        <v>6716</v>
      </c>
      <c r="C2118" s="35" t="str">
        <f t="shared" si="231"/>
        <v>KitabiSamit</v>
      </c>
      <c r="E2118" s="40"/>
      <c r="F2118" s="15" t="s">
        <v>2568</v>
      </c>
      <c r="G2118" s="17"/>
      <c r="H2118" s="10" t="s">
        <v>8563</v>
      </c>
      <c r="I2118" s="4" t="str">
        <f t="shared" si="232"/>
        <v>|Kitáb-i-Ṣámit|</v>
      </c>
      <c r="J2118" s="3" t="str">
        <f t="shared" si="233"/>
        <v>|Kitab-i-Samit|</v>
      </c>
      <c r="K2118" s="3" t="str">
        <f t="shared" si="234"/>
        <v>Kitab-i-Samit</v>
      </c>
      <c r="N2118" s="39" t="str">
        <f t="shared" si="235"/>
        <v/>
      </c>
      <c r="P2118" s="39" t="str">
        <f t="shared" si="236"/>
        <v/>
      </c>
      <c r="R2118" s="39" t="str">
        <f t="shared" si="237"/>
        <v/>
      </c>
      <c r="S2118" s="28"/>
      <c r="T2118" s="28"/>
      <c r="U2118" s="28"/>
    </row>
    <row r="2119" spans="1:21" s="5" customFormat="1">
      <c r="A2119" s="179" t="s">
        <v>2569</v>
      </c>
      <c r="B2119" s="185" t="s">
        <v>6717</v>
      </c>
      <c r="C2119" s="35" t="str">
        <f t="shared" si="231"/>
        <v>KitabiSultan</v>
      </c>
      <c r="E2119" s="40"/>
      <c r="F2119" s="15" t="s">
        <v>8593</v>
      </c>
      <c r="G2119" s="17"/>
      <c r="H2119" s="10" t="s">
        <v>8563</v>
      </c>
      <c r="I2119" s="4" t="str">
        <f t="shared" si="232"/>
        <v>|Kitáb-i-Sulṭán|</v>
      </c>
      <c r="J2119" s="3" t="str">
        <f t="shared" si="233"/>
        <v>|Kitab-i-Sultan|</v>
      </c>
      <c r="K2119" s="3" t="str">
        <f t="shared" si="234"/>
        <v>Kitab-i-Sultan</v>
      </c>
      <c r="N2119" s="39" t="str">
        <f t="shared" si="235"/>
        <v/>
      </c>
      <c r="P2119" s="39" t="str">
        <f t="shared" si="236"/>
        <v/>
      </c>
      <c r="R2119" s="39" t="str">
        <f t="shared" si="237"/>
        <v/>
      </c>
      <c r="S2119" s="28"/>
      <c r="T2119" s="28"/>
      <c r="U2119" s="28"/>
    </row>
    <row r="2120" spans="1:21" s="5" customFormat="1">
      <c r="A2120" s="179" t="s">
        <v>2570</v>
      </c>
      <c r="B2120" s="185" t="s">
        <v>6718</v>
      </c>
      <c r="C2120" s="35" t="str">
        <f t="shared" si="231"/>
        <v>KitabulFaraid</v>
      </c>
      <c r="E2120" s="40"/>
      <c r="F2120" s="15" t="s">
        <v>8594</v>
      </c>
      <c r="G2120" s="17"/>
      <c r="H2120" s="10" t="s">
        <v>8563</v>
      </c>
      <c r="I2120" s="4" t="str">
        <f t="shared" si="232"/>
        <v>|Kitábu’l-Fará’id|</v>
      </c>
      <c r="J2120" s="3" t="str">
        <f t="shared" si="233"/>
        <v>|Kitabu'l-Fara'id|</v>
      </c>
      <c r="K2120" s="3" t="str">
        <f t="shared" si="234"/>
        <v>Kitabul-Faraid</v>
      </c>
      <c r="N2120" s="39" t="str">
        <f t="shared" si="235"/>
        <v/>
      </c>
      <c r="P2120" s="39" t="str">
        <f t="shared" si="236"/>
        <v/>
      </c>
      <c r="R2120" s="39" t="str">
        <f t="shared" si="237"/>
        <v/>
      </c>
      <c r="S2120" s="28"/>
      <c r="T2120" s="28"/>
      <c r="U2120" s="28"/>
    </row>
    <row r="2121" spans="1:21" s="5" customFormat="1">
      <c r="A2121" s="179" t="s">
        <v>2571</v>
      </c>
      <c r="B2121" s="185" t="s">
        <v>6719</v>
      </c>
      <c r="C2121" s="35" t="str">
        <f t="shared" si="231"/>
        <v>KitabulHaramayn</v>
      </c>
      <c r="E2121" s="40"/>
      <c r="F2121" s="14"/>
      <c r="G2121" s="17"/>
      <c r="H2121" s="10" t="s">
        <v>8563</v>
      </c>
      <c r="I2121" s="4" t="str">
        <f t="shared" si="232"/>
        <v>|Kitábu’l-Ḥaramayn|</v>
      </c>
      <c r="J2121" s="3" t="str">
        <f t="shared" si="233"/>
        <v>|Kitabu'l-Haramayn|</v>
      </c>
      <c r="K2121" s="3" t="str">
        <f t="shared" si="234"/>
        <v>Kitabul-Haramayn</v>
      </c>
      <c r="N2121" s="39" t="str">
        <f t="shared" si="235"/>
        <v/>
      </c>
      <c r="P2121" s="39" t="str">
        <f t="shared" si="236"/>
        <v/>
      </c>
      <c r="R2121" s="39" t="str">
        <f t="shared" si="237"/>
        <v/>
      </c>
      <c r="S2121" s="28"/>
      <c r="T2121" s="28"/>
      <c r="U2121" s="28"/>
    </row>
    <row r="2122" spans="1:21" s="5" customFormat="1">
      <c r="A2122" s="179" t="s">
        <v>2572</v>
      </c>
      <c r="B2122" s="185" t="s">
        <v>6720</v>
      </c>
      <c r="C2122" s="35" t="str">
        <f t="shared" si="231"/>
        <v>KitaburRuh</v>
      </c>
      <c r="E2122" s="40"/>
      <c r="F2122" s="15" t="s">
        <v>2573</v>
      </c>
      <c r="G2122" s="17"/>
      <c r="H2122" s="10" t="s">
        <v>8563</v>
      </c>
      <c r="I2122" s="4" t="str">
        <f t="shared" si="232"/>
        <v>|Kitábu’r-Rúḥ|</v>
      </c>
      <c r="J2122" s="3" t="str">
        <f t="shared" si="233"/>
        <v>|Kitabu'r-Ruh|</v>
      </c>
      <c r="K2122" s="3" t="str">
        <f t="shared" si="234"/>
        <v>Kitabur-Ruh</v>
      </c>
      <c r="N2122" s="39" t="str">
        <f t="shared" si="235"/>
        <v/>
      </c>
      <c r="P2122" s="39" t="str">
        <f t="shared" si="236"/>
        <v/>
      </c>
      <c r="R2122" s="39" t="str">
        <f t="shared" si="237"/>
        <v/>
      </c>
      <c r="S2122" s="28"/>
      <c r="T2122" s="28"/>
      <c r="U2122" s="28"/>
    </row>
    <row r="2123" spans="1:21" s="5" customFormat="1">
      <c r="A2123" s="179" t="s">
        <v>2574</v>
      </c>
      <c r="B2123" s="185" t="s">
        <v>6721</v>
      </c>
      <c r="C2123" s="35" t="str">
        <f t="shared" si="231"/>
        <v>Kitman</v>
      </c>
      <c r="E2123" s="40"/>
      <c r="F2123" s="15"/>
      <c r="G2123" s="17"/>
      <c r="H2123" s="10" t="s">
        <v>8563</v>
      </c>
      <c r="I2123" s="4" t="str">
        <f t="shared" si="232"/>
        <v>|Kitmán|</v>
      </c>
      <c r="J2123" s="3" t="str">
        <f t="shared" si="233"/>
        <v>|Kitman|</v>
      </c>
      <c r="K2123" s="3" t="str">
        <f t="shared" si="234"/>
        <v>Kitman</v>
      </c>
      <c r="N2123" s="39" t="str">
        <f t="shared" si="235"/>
        <v/>
      </c>
      <c r="P2123" s="39" t="str">
        <f t="shared" si="236"/>
        <v/>
      </c>
      <c r="R2123" s="39" t="str">
        <f t="shared" si="237"/>
        <v/>
      </c>
      <c r="S2123" s="28"/>
      <c r="T2123" s="28"/>
      <c r="U2123" s="28"/>
    </row>
    <row r="2124" spans="1:21" s="5" customFormat="1">
      <c r="A2124" s="179" t="s">
        <v>2575</v>
      </c>
      <c r="B2124" s="185" t="s">
        <v>6722</v>
      </c>
      <c r="C2124" s="35" t="str">
        <f t="shared" si="231"/>
        <v>Kiyan</v>
      </c>
      <c r="E2124" s="40"/>
      <c r="F2124" s="15" t="s">
        <v>2576</v>
      </c>
      <c r="G2124" s="17"/>
      <c r="H2124" s="10" t="s">
        <v>8563</v>
      </c>
      <c r="I2124" s="4" t="str">
        <f t="shared" si="232"/>
        <v>|Kiyán|</v>
      </c>
      <c r="J2124" s="3" t="str">
        <f t="shared" si="233"/>
        <v>|Kiyan|</v>
      </c>
      <c r="K2124" s="3" t="str">
        <f t="shared" si="234"/>
        <v>Kiyan</v>
      </c>
      <c r="N2124" s="39" t="str">
        <f t="shared" si="235"/>
        <v/>
      </c>
      <c r="P2124" s="39" t="str">
        <f t="shared" si="236"/>
        <v/>
      </c>
      <c r="R2124" s="39" t="str">
        <f t="shared" si="237"/>
        <v/>
      </c>
      <c r="S2124" s="28"/>
      <c r="T2124" s="28"/>
      <c r="U2124" s="28"/>
    </row>
    <row r="2125" spans="1:21" s="5" customFormat="1">
      <c r="A2125" s="179" t="s">
        <v>2577</v>
      </c>
      <c r="B2125" s="185" t="s">
        <v>6723</v>
      </c>
      <c r="C2125" s="35" t="str">
        <f t="shared" si="231"/>
        <v>ku</v>
      </c>
      <c r="E2125" s="40"/>
      <c r="F2125" s="15"/>
      <c r="G2125" s="17"/>
      <c r="H2125" s="10" t="s">
        <v>8563</v>
      </c>
      <c r="I2125" s="4" t="str">
        <f t="shared" si="232"/>
        <v>|kú|</v>
      </c>
      <c r="J2125" s="3" t="str">
        <f t="shared" si="233"/>
        <v>|ku|</v>
      </c>
      <c r="K2125" s="3" t="str">
        <f t="shared" si="234"/>
        <v>ku</v>
      </c>
      <c r="N2125" s="39" t="str">
        <f t="shared" si="235"/>
        <v/>
      </c>
      <c r="P2125" s="39" t="str">
        <f t="shared" si="236"/>
        <v/>
      </c>
      <c r="R2125" s="39" t="str">
        <f t="shared" si="237"/>
        <v/>
      </c>
      <c r="S2125" s="28"/>
      <c r="T2125" s="28"/>
      <c r="U2125" s="28"/>
    </row>
    <row r="2126" spans="1:21" s="5" customFormat="1">
      <c r="A2126" s="179" t="s">
        <v>2578</v>
      </c>
      <c r="B2126" s="185" t="s">
        <v>6724</v>
      </c>
      <c r="C2126" s="35" t="str">
        <f t="shared" si="231"/>
        <v>KuchikChakmih</v>
      </c>
      <c r="E2126" s="40"/>
      <c r="F2126" s="15" t="s">
        <v>1312</v>
      </c>
      <c r="G2126" s="17"/>
      <c r="H2126" s="10" t="s">
        <v>8563</v>
      </c>
      <c r="I2126" s="4" t="str">
        <f t="shared" si="232"/>
        <v>|Kúik-akmih|</v>
      </c>
      <c r="J2126" s="3" t="str">
        <f t="shared" si="233"/>
        <v>|Kuchik-Chakmih|</v>
      </c>
      <c r="K2126" s="3" t="str">
        <f t="shared" si="234"/>
        <v>Kuchik-Chakmih</v>
      </c>
      <c r="N2126" s="39" t="str">
        <f t="shared" si="235"/>
        <v/>
      </c>
      <c r="P2126" s="39" t="str">
        <f t="shared" si="236"/>
        <v/>
      </c>
      <c r="R2126" s="39" t="str">
        <f t="shared" si="237"/>
        <v/>
      </c>
      <c r="S2126" s="28"/>
      <c r="T2126" s="28"/>
      <c r="U2126" s="28"/>
    </row>
    <row r="2127" spans="1:21" s="5" customFormat="1">
      <c r="A2127" s="179" t="s">
        <v>2579</v>
      </c>
      <c r="B2127" s="185" t="s">
        <v>6725</v>
      </c>
      <c r="C2127" s="35" t="str">
        <f t="shared" si="231"/>
        <v>KuffariHarbi</v>
      </c>
      <c r="E2127" s="40"/>
      <c r="F2127" s="15"/>
      <c r="G2127" s="17"/>
      <c r="H2127" s="10" t="s">
        <v>8563</v>
      </c>
      <c r="I2127" s="4" t="str">
        <f t="shared" si="232"/>
        <v>|Kuffár-i-Ḥarbí|</v>
      </c>
      <c r="J2127" s="3" t="str">
        <f t="shared" si="233"/>
        <v>|Kuffar-i-Harbi|</v>
      </c>
      <c r="K2127" s="3" t="str">
        <f t="shared" si="234"/>
        <v>Kuffar-i-Harbi</v>
      </c>
      <c r="N2127" s="39" t="str">
        <f t="shared" si="235"/>
        <v/>
      </c>
      <c r="P2127" s="39" t="str">
        <f t="shared" si="236"/>
        <v/>
      </c>
      <c r="R2127" s="39" t="str">
        <f t="shared" si="237"/>
        <v/>
      </c>
      <c r="S2127" s="28"/>
      <c r="T2127" s="28"/>
      <c r="U2127" s="28"/>
    </row>
    <row r="2128" spans="1:21" s="5" customFormat="1">
      <c r="A2128" s="179" t="s">
        <v>2580</v>
      </c>
      <c r="B2128" s="185" t="s">
        <v>6726</v>
      </c>
      <c r="C2128" s="35" t="str">
        <f t="shared" si="231"/>
        <v>Kufih</v>
      </c>
      <c r="E2128" s="40"/>
      <c r="F2128" s="14"/>
      <c r="G2128" s="17"/>
      <c r="H2128" s="10" t="s">
        <v>8563</v>
      </c>
      <c r="I2128" s="4" t="str">
        <f t="shared" si="232"/>
        <v>|Kúfih|</v>
      </c>
      <c r="J2128" s="3" t="str">
        <f t="shared" si="233"/>
        <v>|Kufih|</v>
      </c>
      <c r="K2128" s="3" t="str">
        <f t="shared" si="234"/>
        <v>Kufih</v>
      </c>
      <c r="N2128" s="39" t="str">
        <f t="shared" si="235"/>
        <v/>
      </c>
      <c r="P2128" s="39" t="str">
        <f t="shared" si="236"/>
        <v/>
      </c>
      <c r="R2128" s="39" t="str">
        <f t="shared" si="237"/>
        <v/>
      </c>
      <c r="S2128" s="28"/>
      <c r="T2128" s="28"/>
      <c r="U2128" s="28"/>
    </row>
    <row r="2129" spans="1:21" s="5" customFormat="1">
      <c r="A2129" s="179" t="s">
        <v>2581</v>
      </c>
      <c r="B2129" s="185" t="s">
        <v>6727</v>
      </c>
      <c r="C2129" s="35" t="str">
        <f t="shared" si="231"/>
        <v>KuhiNur</v>
      </c>
      <c r="E2129" s="40"/>
      <c r="F2129" s="15" t="s">
        <v>2582</v>
      </c>
      <c r="G2129" s="17"/>
      <c r="H2129" s="10" t="s">
        <v>8563</v>
      </c>
      <c r="I2129" s="4" t="str">
        <f t="shared" si="232"/>
        <v>|Kúh-i-Núr|</v>
      </c>
      <c r="J2129" s="3" t="str">
        <f t="shared" si="233"/>
        <v>|Kuh-i-Nur|</v>
      </c>
      <c r="K2129" s="3" t="str">
        <f t="shared" si="234"/>
        <v>Kuh-i-Nur</v>
      </c>
      <c r="N2129" s="39" t="str">
        <f t="shared" si="235"/>
        <v/>
      </c>
      <c r="P2129" s="39" t="str">
        <f t="shared" si="236"/>
        <v/>
      </c>
      <c r="R2129" s="39" t="str">
        <f t="shared" si="237"/>
        <v/>
      </c>
      <c r="S2129" s="28"/>
      <c r="T2129" s="28"/>
      <c r="U2129" s="28"/>
    </row>
    <row r="2130" spans="1:21" s="5" customFormat="1">
      <c r="A2130" s="179" t="s">
        <v>2583</v>
      </c>
      <c r="B2130" s="185" t="s">
        <v>6728</v>
      </c>
      <c r="C2130" s="35" t="str">
        <f t="shared" si="231"/>
        <v>KuhRud</v>
      </c>
      <c r="E2130" s="40"/>
      <c r="F2130" s="15" t="s">
        <v>2584</v>
      </c>
      <c r="G2130" s="17"/>
      <c r="H2130" s="10" t="s">
        <v>8563</v>
      </c>
      <c r="I2130" s="4" t="str">
        <f t="shared" si="232"/>
        <v>|Kúh-Rúd|</v>
      </c>
      <c r="J2130" s="3" t="str">
        <f t="shared" si="233"/>
        <v>|Kuh-Rud|</v>
      </c>
      <c r="K2130" s="3" t="str">
        <f t="shared" si="234"/>
        <v>Kuh-Rud</v>
      </c>
      <c r="N2130" s="39" t="str">
        <f t="shared" si="235"/>
        <v/>
      </c>
      <c r="P2130" s="39" t="str">
        <f t="shared" si="236"/>
        <v/>
      </c>
      <c r="R2130" s="39" t="str">
        <f t="shared" si="237"/>
        <v/>
      </c>
      <c r="S2130" s="28"/>
      <c r="T2130" s="28"/>
      <c r="U2130" s="28"/>
    </row>
    <row r="2131" spans="1:21" s="5" customFormat="1">
      <c r="A2131" s="179" t="s">
        <v>2585</v>
      </c>
      <c r="B2131" s="185" t="s">
        <v>6729</v>
      </c>
      <c r="C2131" s="35" t="str">
        <f t="shared" si="231"/>
        <v>Kuhyar</v>
      </c>
      <c r="E2131" s="40"/>
      <c r="F2131" s="15"/>
      <c r="G2131" s="17"/>
      <c r="H2131" s="10" t="s">
        <v>8563</v>
      </c>
      <c r="I2131" s="4" t="str">
        <f t="shared" si="232"/>
        <v>|Kúhyár|</v>
      </c>
      <c r="J2131" s="3" t="str">
        <f t="shared" si="233"/>
        <v>|Kuhyar|</v>
      </c>
      <c r="K2131" s="3" t="str">
        <f t="shared" si="234"/>
        <v>Kuhyar</v>
      </c>
      <c r="N2131" s="39" t="str">
        <f t="shared" si="235"/>
        <v/>
      </c>
      <c r="P2131" s="39" t="str">
        <f t="shared" si="236"/>
        <v/>
      </c>
      <c r="R2131" s="39" t="str">
        <f t="shared" si="237"/>
        <v/>
      </c>
      <c r="S2131" s="28"/>
      <c r="T2131" s="28"/>
      <c r="U2131" s="28"/>
    </row>
    <row r="2132" spans="1:21" s="5" customFormat="1">
      <c r="A2132" s="179" t="s">
        <v>2586</v>
      </c>
      <c r="B2132" s="185" t="s">
        <v>6730</v>
      </c>
      <c r="C2132" s="35" t="str">
        <f t="shared" si="231"/>
        <v>Kujur</v>
      </c>
      <c r="E2132" s="40"/>
      <c r="F2132" s="15"/>
      <c r="G2132" s="17"/>
      <c r="H2132" s="10" t="s">
        <v>8563</v>
      </c>
      <c r="I2132" s="4" t="str">
        <f t="shared" si="232"/>
        <v>|Kujúr|</v>
      </c>
      <c r="J2132" s="3" t="str">
        <f t="shared" si="233"/>
        <v>|Kujur|</v>
      </c>
      <c r="K2132" s="3" t="str">
        <f t="shared" si="234"/>
        <v>Kujur</v>
      </c>
      <c r="N2132" s="39" t="str">
        <f t="shared" si="235"/>
        <v/>
      </c>
      <c r="P2132" s="39" t="str">
        <f t="shared" si="236"/>
        <v/>
      </c>
      <c r="R2132" s="39" t="str">
        <f t="shared" si="237"/>
        <v/>
      </c>
      <c r="S2132" s="28"/>
      <c r="T2132" s="28"/>
      <c r="U2132" s="28"/>
    </row>
    <row r="2133" spans="1:21" s="5" customFormat="1">
      <c r="A2133" s="179" t="s">
        <v>2589</v>
      </c>
      <c r="B2133" s="185" t="s">
        <v>6732</v>
      </c>
      <c r="C2133" s="35" t="str">
        <f t="shared" si="231"/>
        <v>Kulah</v>
      </c>
      <c r="E2133" s="40"/>
      <c r="F2133" s="14" t="s">
        <v>2590</v>
      </c>
      <c r="G2133" s="17"/>
      <c r="H2133" s="10" t="s">
        <v>8563</v>
      </c>
      <c r="I2133" s="4" t="str">
        <f t="shared" si="232"/>
        <v>|Kuláh|</v>
      </c>
      <c r="J2133" s="3" t="str">
        <f t="shared" si="233"/>
        <v>|Kulah|</v>
      </c>
      <c r="K2133" s="3" t="str">
        <f t="shared" si="234"/>
        <v>Kulah</v>
      </c>
      <c r="N2133" s="39" t="str">
        <f t="shared" si="235"/>
        <v/>
      </c>
      <c r="P2133" s="39" t="str">
        <f t="shared" si="236"/>
        <v/>
      </c>
      <c r="R2133" s="39" t="str">
        <f t="shared" si="237"/>
        <v/>
      </c>
      <c r="S2133" s="28"/>
      <c r="T2133" s="28"/>
      <c r="U2133" s="28"/>
    </row>
    <row r="2134" spans="1:21" s="5" customFormat="1">
      <c r="A2134" s="179" t="s">
        <v>2591</v>
      </c>
      <c r="B2134" s="185" t="s">
        <v>6733</v>
      </c>
      <c r="C2134" s="35" t="str">
        <f t="shared" si="231"/>
        <v>KulahiFarangi</v>
      </c>
      <c r="E2134" s="40"/>
      <c r="F2134" s="14"/>
      <c r="G2134" s="17"/>
      <c r="H2134" s="10" t="s">
        <v>8563</v>
      </c>
      <c r="I2134" s="4" t="str">
        <f t="shared" si="232"/>
        <v>|Kuláh-i-Farangí|</v>
      </c>
      <c r="J2134" s="3" t="str">
        <f t="shared" si="233"/>
        <v>|Kulah-i-Farangi|</v>
      </c>
      <c r="K2134" s="3" t="str">
        <f t="shared" si="234"/>
        <v>Kulah-i-Farangi</v>
      </c>
      <c r="N2134" s="39" t="str">
        <f t="shared" si="235"/>
        <v/>
      </c>
      <c r="P2134" s="39" t="str">
        <f t="shared" si="236"/>
        <v/>
      </c>
      <c r="R2134" s="39" t="str">
        <f t="shared" si="237"/>
        <v/>
      </c>
      <c r="S2134" s="28"/>
      <c r="T2134" s="28"/>
      <c r="U2134" s="28"/>
    </row>
    <row r="2135" spans="1:21" s="5" customFormat="1">
      <c r="A2135" s="179" t="s">
        <v>2592</v>
      </c>
      <c r="B2135" s="185" t="s">
        <v>6734</v>
      </c>
      <c r="C2135" s="35" t="str">
        <f t="shared" si="231"/>
        <v>Kulayn</v>
      </c>
      <c r="E2135" s="40"/>
      <c r="F2135" s="14"/>
      <c r="G2135" s="17"/>
      <c r="H2135" s="10" t="s">
        <v>8563</v>
      </c>
      <c r="I2135" s="4" t="str">
        <f t="shared" si="232"/>
        <v>|Kulayn|</v>
      </c>
      <c r="J2135" s="3" t="str">
        <f t="shared" si="233"/>
        <v>|Kulayn|</v>
      </c>
      <c r="K2135" s="3" t="str">
        <f t="shared" si="234"/>
        <v>Kulayn</v>
      </c>
      <c r="N2135" s="39" t="str">
        <f t="shared" si="235"/>
        <v/>
      </c>
      <c r="P2135" s="39" t="str">
        <f t="shared" si="236"/>
        <v/>
      </c>
      <c r="R2135" s="39" t="str">
        <f t="shared" si="237"/>
        <v/>
      </c>
      <c r="S2135" s="28"/>
      <c r="T2135" s="28"/>
      <c r="U2135" s="28"/>
    </row>
    <row r="2136" spans="1:21" s="5" customFormat="1">
      <c r="A2136" s="179" t="s">
        <v>2593</v>
      </c>
      <c r="B2136" s="185" t="s">
        <v>6735</v>
      </c>
      <c r="C2136" s="35" t="str">
        <f t="shared" si="231"/>
        <v>KulliShay</v>
      </c>
      <c r="E2136" s="40"/>
      <c r="F2136" s="14"/>
      <c r="G2136" s="17"/>
      <c r="H2136" s="10" t="s">
        <v>8563</v>
      </c>
      <c r="I2136" s="4" t="str">
        <f t="shared" si="232"/>
        <v>|Kull-i-ay’|</v>
      </c>
      <c r="J2136" s="3" t="str">
        <f t="shared" si="233"/>
        <v>|Kull-i-Shay'|</v>
      </c>
      <c r="K2136" s="3" t="str">
        <f t="shared" si="234"/>
        <v>Kull-i-Shay</v>
      </c>
      <c r="N2136" s="39" t="str">
        <f t="shared" si="235"/>
        <v/>
      </c>
      <c r="P2136" s="39" t="str">
        <f t="shared" si="236"/>
        <v/>
      </c>
      <c r="R2136" s="39" t="str">
        <f t="shared" si="237"/>
        <v/>
      </c>
      <c r="S2136" s="28"/>
      <c r="T2136" s="28"/>
      <c r="U2136" s="28"/>
    </row>
    <row r="2137" spans="1:21" s="5" customFormat="1">
      <c r="A2137" s="179" t="s">
        <v>2594</v>
      </c>
      <c r="B2137" s="185" t="s">
        <v>6736</v>
      </c>
      <c r="C2137" s="35" t="str">
        <f t="shared" si="231"/>
        <v>KullutTaam</v>
      </c>
      <c r="E2137" s="40"/>
      <c r="F2137" s="15" t="s">
        <v>2595</v>
      </c>
      <c r="G2137" s="17"/>
      <c r="H2137" s="10" t="s">
        <v>8563</v>
      </c>
      <c r="I2137" s="4" t="str">
        <f t="shared" si="232"/>
        <v>|Kullu’ṭ-Ṭaʿám|</v>
      </c>
      <c r="J2137" s="3" t="str">
        <f t="shared" si="233"/>
        <v>|Kullu't-Ta'am|</v>
      </c>
      <c r="K2137" s="3" t="str">
        <f t="shared" si="234"/>
        <v>Kullut-Taam</v>
      </c>
      <c r="N2137" s="39" t="str">
        <f t="shared" si="235"/>
        <v/>
      </c>
      <c r="P2137" s="39" t="str">
        <f t="shared" si="236"/>
        <v/>
      </c>
      <c r="R2137" s="39" t="str">
        <f t="shared" si="237"/>
        <v/>
      </c>
      <c r="S2137" s="28"/>
      <c r="T2137" s="28"/>
      <c r="U2137" s="28"/>
    </row>
    <row r="2138" spans="1:21" s="5" customFormat="1">
      <c r="A2138" s="179" t="s">
        <v>2596</v>
      </c>
      <c r="B2138" s="185" t="s">
        <v>6737</v>
      </c>
      <c r="C2138" s="35" t="str">
        <f t="shared" si="231"/>
        <v>Kulthum</v>
      </c>
      <c r="E2138" s="40"/>
      <c r="F2138" s="15" t="s">
        <v>2597</v>
      </c>
      <c r="G2138" s="17"/>
      <c r="H2138" s="10" t="s">
        <v>8563</v>
      </c>
      <c r="I2138" s="4" t="str">
        <f t="shared" si="232"/>
        <v>|Kulúm|</v>
      </c>
      <c r="J2138" s="3" t="str">
        <f t="shared" si="233"/>
        <v>|Kulthum|</v>
      </c>
      <c r="K2138" s="3" t="str">
        <f t="shared" si="234"/>
        <v>Kulthum</v>
      </c>
      <c r="N2138" s="39" t="str">
        <f t="shared" si="235"/>
        <v/>
      </c>
      <c r="P2138" s="39" t="str">
        <f t="shared" si="236"/>
        <v/>
      </c>
      <c r="R2138" s="39" t="str">
        <f t="shared" si="237"/>
        <v/>
      </c>
      <c r="S2138" s="28"/>
      <c r="T2138" s="28"/>
      <c r="U2138" s="28"/>
    </row>
    <row r="2139" spans="1:21" s="5" customFormat="1">
      <c r="A2139" s="179" t="s">
        <v>2598</v>
      </c>
      <c r="B2139" s="185" t="s">
        <v>6738</v>
      </c>
      <c r="C2139" s="35" t="str">
        <f t="shared" si="231"/>
        <v>Kumayl</v>
      </c>
      <c r="E2139" s="40"/>
      <c r="F2139" s="14"/>
      <c r="G2139" s="17"/>
      <c r="H2139" s="10" t="s">
        <v>8563</v>
      </c>
      <c r="I2139" s="4" t="str">
        <f t="shared" si="232"/>
        <v>|Kumayl|</v>
      </c>
      <c r="J2139" s="3" t="str">
        <f t="shared" si="233"/>
        <v>|Kumayl|</v>
      </c>
      <c r="K2139" s="3" t="str">
        <f t="shared" si="234"/>
        <v>Kumayl</v>
      </c>
      <c r="N2139" s="39" t="str">
        <f t="shared" si="235"/>
        <v/>
      </c>
      <c r="P2139" s="39" t="str">
        <f t="shared" si="236"/>
        <v/>
      </c>
      <c r="R2139" s="39" t="str">
        <f t="shared" si="237"/>
        <v/>
      </c>
      <c r="S2139" s="28"/>
      <c r="T2139" s="28"/>
      <c r="U2139" s="28"/>
    </row>
    <row r="2140" spans="1:21" s="5" customFormat="1">
      <c r="A2140" s="179" t="s">
        <v>2599</v>
      </c>
      <c r="B2140" s="185" t="s">
        <v>6739</v>
      </c>
      <c r="C2140" s="35" t="str">
        <f t="shared" si="231"/>
        <v>KumaylibniZiyad</v>
      </c>
      <c r="E2140" s="40"/>
      <c r="F2140" s="14"/>
      <c r="G2140" s="17"/>
      <c r="H2140" s="10" t="s">
        <v>8563</v>
      </c>
      <c r="I2140" s="4" t="str">
        <f t="shared" si="232"/>
        <v>|Kumayl-ibn-i-Ziyad|</v>
      </c>
      <c r="J2140" s="3" t="str">
        <f t="shared" si="233"/>
        <v>|Kumayl-ibn-i-Ziyad|</v>
      </c>
      <c r="K2140" s="3" t="str">
        <f t="shared" si="234"/>
        <v>Kumayl-ibn-i-Ziyad</v>
      </c>
      <c r="N2140" s="39" t="str">
        <f t="shared" si="235"/>
        <v/>
      </c>
      <c r="P2140" s="39" t="str">
        <f t="shared" si="236"/>
        <v/>
      </c>
      <c r="R2140" s="39" t="str">
        <f t="shared" si="237"/>
        <v/>
      </c>
      <c r="S2140" s="28"/>
      <c r="T2140" s="28"/>
      <c r="U2140" s="28"/>
    </row>
    <row r="2141" spans="1:21" s="5" customFormat="1">
      <c r="A2141" s="179" t="s">
        <v>2600</v>
      </c>
      <c r="B2141" s="185" t="s">
        <v>6740</v>
      </c>
      <c r="C2141" s="35" t="str">
        <f t="shared" si="231"/>
        <v>Kur</v>
      </c>
      <c r="E2141" s="40"/>
      <c r="F2141" s="15"/>
      <c r="G2141" s="17"/>
      <c r="H2141" s="10" t="s">
        <v>8563</v>
      </c>
      <c r="I2141" s="4" t="str">
        <f t="shared" si="232"/>
        <v>|Kúr|</v>
      </c>
      <c r="J2141" s="3" t="str">
        <f t="shared" si="233"/>
        <v>|Kur|</v>
      </c>
      <c r="K2141" s="3" t="str">
        <f t="shared" si="234"/>
        <v>Kur</v>
      </c>
      <c r="N2141" s="39" t="str">
        <f t="shared" si="235"/>
        <v/>
      </c>
      <c r="P2141" s="39" t="str">
        <f t="shared" si="236"/>
        <v/>
      </c>
      <c r="R2141" s="39" t="str">
        <f t="shared" si="237"/>
        <v/>
      </c>
      <c r="S2141" s="28"/>
      <c r="T2141" s="28"/>
      <c r="U2141" s="28"/>
    </row>
    <row r="2142" spans="1:21" s="5" customFormat="1">
      <c r="A2142" s="179" t="s">
        <v>2601</v>
      </c>
      <c r="B2142" s="185" t="s">
        <v>6741</v>
      </c>
      <c r="C2142" s="35" t="str">
        <f t="shared" si="231"/>
        <v>Kurd</v>
      </c>
      <c r="E2142" s="40"/>
      <c r="F2142" s="14"/>
      <c r="G2142" s="17"/>
      <c r="H2142" s="10" t="s">
        <v>8563</v>
      </c>
      <c r="I2142" s="4" t="str">
        <f t="shared" si="232"/>
        <v>|Kurd|</v>
      </c>
      <c r="J2142" s="3" t="str">
        <f t="shared" si="233"/>
        <v>|Kurd|</v>
      </c>
      <c r="K2142" s="3" t="str">
        <f t="shared" si="234"/>
        <v>Kurd</v>
      </c>
      <c r="N2142" s="39" t="str">
        <f t="shared" si="235"/>
        <v/>
      </c>
      <c r="P2142" s="39" t="str">
        <f t="shared" si="236"/>
        <v/>
      </c>
      <c r="R2142" s="39" t="str">
        <f t="shared" si="237"/>
        <v/>
      </c>
      <c r="S2142" s="28"/>
      <c r="T2142" s="28"/>
      <c r="U2142" s="28"/>
    </row>
    <row r="2143" spans="1:21" s="5" customFormat="1">
      <c r="A2143" s="179" t="s">
        <v>2602</v>
      </c>
      <c r="B2143" s="185" t="s">
        <v>6742</v>
      </c>
      <c r="C2143" s="35" t="str">
        <f t="shared" si="231"/>
        <v>Kurdi</v>
      </c>
      <c r="E2143" s="40"/>
      <c r="F2143" s="15"/>
      <c r="G2143" s="17"/>
      <c r="H2143" s="10" t="s">
        <v>8563</v>
      </c>
      <c r="I2143" s="4" t="str">
        <f t="shared" si="232"/>
        <v>|Kurdí|</v>
      </c>
      <c r="J2143" s="3" t="str">
        <f t="shared" si="233"/>
        <v>|Kurdi|</v>
      </c>
      <c r="K2143" s="3" t="str">
        <f t="shared" si="234"/>
        <v>Kurdi</v>
      </c>
      <c r="N2143" s="39" t="str">
        <f t="shared" si="235"/>
        <v/>
      </c>
      <c r="P2143" s="39" t="str">
        <f t="shared" si="236"/>
        <v/>
      </c>
      <c r="R2143" s="39" t="str">
        <f t="shared" si="237"/>
        <v/>
      </c>
      <c r="S2143" s="28"/>
      <c r="T2143" s="28"/>
      <c r="U2143" s="28"/>
    </row>
    <row r="2144" spans="1:21" s="5" customFormat="1">
      <c r="A2144" s="179" t="s">
        <v>2603</v>
      </c>
      <c r="B2144" s="185" t="s">
        <v>22</v>
      </c>
      <c r="C2144" s="35" t="str">
        <f t="shared" si="231"/>
        <v>Kurdistan</v>
      </c>
      <c r="E2144" s="40"/>
      <c r="F2144" s="14"/>
      <c r="G2144" s="17"/>
      <c r="H2144" s="10" t="s">
        <v>8563</v>
      </c>
      <c r="I2144" s="4" t="str">
        <f t="shared" si="232"/>
        <v>|Kurdistán|</v>
      </c>
      <c r="J2144" s="3" t="str">
        <f t="shared" si="233"/>
        <v>|Kurdistan|</v>
      </c>
      <c r="K2144" s="3" t="str">
        <f t="shared" si="234"/>
        <v>Kurdistan</v>
      </c>
      <c r="N2144" s="39" t="str">
        <f t="shared" si="235"/>
        <v/>
      </c>
      <c r="P2144" s="39" t="str">
        <f t="shared" si="236"/>
        <v/>
      </c>
      <c r="R2144" s="39" t="str">
        <f t="shared" si="237"/>
        <v/>
      </c>
      <c r="S2144" s="28"/>
      <c r="T2144" s="29">
        <v>41781</v>
      </c>
      <c r="U2144" s="28" t="s">
        <v>9448</v>
      </c>
    </row>
    <row r="2145" spans="1:21" s="5" customFormat="1">
      <c r="A2145" s="179" t="s">
        <v>2604</v>
      </c>
      <c r="B2145" s="185" t="s">
        <v>6743</v>
      </c>
      <c r="C2145" s="35" t="str">
        <f t="shared" si="231"/>
        <v>Kursi</v>
      </c>
      <c r="E2145" s="40"/>
      <c r="F2145" s="15"/>
      <c r="G2145" s="17"/>
      <c r="H2145" s="10" t="s">
        <v>8563</v>
      </c>
      <c r="I2145" s="4" t="str">
        <f t="shared" si="232"/>
        <v>|Kursí|</v>
      </c>
      <c r="J2145" s="3" t="str">
        <f t="shared" si="233"/>
        <v>|Kursi|</v>
      </c>
      <c r="K2145" s="3" t="str">
        <f t="shared" si="234"/>
        <v>Kursi</v>
      </c>
      <c r="N2145" s="39" t="str">
        <f t="shared" si="235"/>
        <v/>
      </c>
      <c r="P2145" s="39" t="str">
        <f t="shared" si="236"/>
        <v/>
      </c>
      <c r="R2145" s="39" t="str">
        <f t="shared" si="237"/>
        <v/>
      </c>
      <c r="S2145" s="28"/>
      <c r="T2145" s="28"/>
      <c r="U2145" s="28"/>
    </row>
    <row r="2146" spans="1:21" s="5" customFormat="1">
      <c r="A2146" s="179" t="s">
        <v>1340</v>
      </c>
      <c r="B2146" s="185" t="s">
        <v>6744</v>
      </c>
      <c r="C2146" s="35" t="str">
        <f t="shared" si="231"/>
        <v>Kurush</v>
      </c>
      <c r="E2146" s="40"/>
      <c r="F2146" s="15"/>
      <c r="G2146" s="17"/>
      <c r="H2146" s="10" t="s">
        <v>8563</v>
      </c>
      <c r="I2146" s="4" t="str">
        <f t="shared" si="232"/>
        <v>|Kúru|</v>
      </c>
      <c r="J2146" s="3" t="str">
        <f t="shared" si="233"/>
        <v>|Kurush|</v>
      </c>
      <c r="K2146" s="3" t="str">
        <f t="shared" si="234"/>
        <v>Kurush</v>
      </c>
      <c r="N2146" s="39" t="str">
        <f t="shared" si="235"/>
        <v/>
      </c>
      <c r="P2146" s="39" t="str">
        <f t="shared" si="236"/>
        <v/>
      </c>
      <c r="R2146" s="39" t="str">
        <f t="shared" si="237"/>
        <v/>
      </c>
      <c r="S2146" s="28"/>
      <c r="T2146" s="28"/>
      <c r="U2146" s="28"/>
    </row>
    <row r="2147" spans="1:21" s="5" customFormat="1">
      <c r="A2147" s="179" t="s">
        <v>2605</v>
      </c>
      <c r="B2147" s="185" t="s">
        <v>6745</v>
      </c>
      <c r="C2147" s="35" t="str">
        <f t="shared" si="231"/>
        <v>Kuwait</v>
      </c>
      <c r="E2147" s="40"/>
      <c r="F2147" s="14"/>
      <c r="G2147" s="17"/>
      <c r="H2147" s="10" t="s">
        <v>8563</v>
      </c>
      <c r="I2147" s="4" t="str">
        <f t="shared" si="232"/>
        <v>|Kuwait|</v>
      </c>
      <c r="J2147" s="3" t="str">
        <f t="shared" si="233"/>
        <v>|Kuwait|</v>
      </c>
      <c r="K2147" s="3" t="str">
        <f t="shared" si="234"/>
        <v>Kuwait</v>
      </c>
      <c r="N2147" s="39" t="str">
        <f t="shared" si="235"/>
        <v/>
      </c>
      <c r="P2147" s="39" t="str">
        <f t="shared" si="236"/>
        <v/>
      </c>
      <c r="R2147" s="39" t="str">
        <f t="shared" si="237"/>
        <v/>
      </c>
      <c r="S2147" s="28"/>
      <c r="T2147" s="28"/>
      <c r="U2147" s="28"/>
    </row>
    <row r="2148" spans="1:21" s="5" customFormat="1">
      <c r="A2148" s="179" t="s">
        <v>2537</v>
      </c>
      <c r="B2148" s="185" t="s">
        <v>6746</v>
      </c>
      <c r="C2148" s="35" t="str">
        <f t="shared" si="231"/>
        <v>Kuy</v>
      </c>
      <c r="E2148" s="40"/>
      <c r="F2148" s="15"/>
      <c r="G2148" s="17"/>
      <c r="H2148" s="10" t="s">
        <v>8563</v>
      </c>
      <c r="I2148" s="4" t="str">
        <f t="shared" si="232"/>
        <v>|Kúy|</v>
      </c>
      <c r="J2148" s="3" t="str">
        <f t="shared" si="233"/>
        <v>|Kuy|</v>
      </c>
      <c r="K2148" s="3" t="str">
        <f t="shared" si="234"/>
        <v>Kuy</v>
      </c>
      <c r="N2148" s="39" t="str">
        <f t="shared" si="235"/>
        <v/>
      </c>
      <c r="P2148" s="39" t="str">
        <f t="shared" si="236"/>
        <v/>
      </c>
      <c r="R2148" s="39" t="str">
        <f t="shared" si="237"/>
        <v/>
      </c>
      <c r="S2148" s="28"/>
      <c r="T2148" s="28"/>
      <c r="U2148" s="28"/>
    </row>
    <row r="2149" spans="1:21" s="5" customFormat="1">
      <c r="A2149" s="179" t="s">
        <v>2606</v>
      </c>
      <c r="B2149" s="185" t="s">
        <v>6747</v>
      </c>
      <c r="C2149" s="35" t="str">
        <f t="shared" si="231"/>
        <v>La</v>
      </c>
      <c r="E2149" s="40"/>
      <c r="F2149" s="14"/>
      <c r="G2149" s="17"/>
      <c r="H2149" s="10" t="s">
        <v>8563</v>
      </c>
      <c r="I2149" s="4" t="str">
        <f t="shared" si="232"/>
        <v>|Lá|</v>
      </c>
      <c r="J2149" s="3" t="str">
        <f t="shared" si="233"/>
        <v>|La|</v>
      </c>
      <c r="K2149" s="3" t="str">
        <f t="shared" si="234"/>
        <v>La</v>
      </c>
      <c r="L2149" s="5" t="s">
        <v>59</v>
      </c>
      <c r="N2149" s="39" t="str">
        <f t="shared" si="235"/>
        <v/>
      </c>
      <c r="P2149" s="39" t="str">
        <f t="shared" si="236"/>
        <v/>
      </c>
      <c r="R2149" s="39" t="str">
        <f t="shared" si="237"/>
        <v/>
      </c>
      <c r="S2149" s="28"/>
      <c r="T2149" s="28"/>
      <c r="U2149" s="28"/>
    </row>
    <row r="2150" spans="1:21" s="5" customFormat="1">
      <c r="A2150" s="179" t="s">
        <v>2607</v>
      </c>
      <c r="B2150" s="185" t="s">
        <v>6748</v>
      </c>
      <c r="C2150" s="35" t="str">
        <f t="shared" si="231"/>
        <v>Labbadih</v>
      </c>
      <c r="E2150" s="40"/>
      <c r="F2150" s="15" t="s">
        <v>2608</v>
      </c>
      <c r="G2150" s="17"/>
      <c r="H2150" s="10" t="s">
        <v>8563</v>
      </c>
      <c r="I2150" s="4" t="str">
        <f t="shared" si="232"/>
        <v>|Labbádih|</v>
      </c>
      <c r="J2150" s="3" t="str">
        <f t="shared" si="233"/>
        <v>|Labbadih|</v>
      </c>
      <c r="K2150" s="3" t="str">
        <f t="shared" si="234"/>
        <v>Labbadih</v>
      </c>
      <c r="N2150" s="39" t="str">
        <f t="shared" si="235"/>
        <v/>
      </c>
      <c r="P2150" s="39" t="str">
        <f t="shared" si="236"/>
        <v/>
      </c>
      <c r="R2150" s="39" t="str">
        <f t="shared" si="237"/>
        <v/>
      </c>
      <c r="S2150" s="28"/>
      <c r="T2150" s="28"/>
      <c r="U2150" s="28"/>
    </row>
    <row r="2151" spans="1:21" s="5" customFormat="1">
      <c r="A2151" s="179" t="s">
        <v>2609</v>
      </c>
      <c r="B2151" s="185" t="s">
        <v>6749</v>
      </c>
      <c r="C2151" s="35" t="str">
        <f t="shared" si="231"/>
        <v>Labu</v>
      </c>
      <c r="E2151" s="40"/>
      <c r="F2151" s="15"/>
      <c r="G2151" s="17"/>
      <c r="H2151" s="10" t="s">
        <v>8563</v>
      </c>
      <c r="I2151" s="4" t="str">
        <f t="shared" si="232"/>
        <v>|Labú|</v>
      </c>
      <c r="J2151" s="3" t="str">
        <f t="shared" si="233"/>
        <v>|Labu|</v>
      </c>
      <c r="K2151" s="3" t="str">
        <f t="shared" si="234"/>
        <v>Labu</v>
      </c>
      <c r="N2151" s="39" t="str">
        <f t="shared" si="235"/>
        <v/>
      </c>
      <c r="P2151" s="39" t="str">
        <f t="shared" si="236"/>
        <v/>
      </c>
      <c r="R2151" s="39" t="str">
        <f t="shared" si="237"/>
        <v/>
      </c>
      <c r="S2151" s="28"/>
      <c r="T2151" s="28"/>
      <c r="U2151" s="28"/>
    </row>
    <row r="2152" spans="1:21" s="5" customFormat="1">
      <c r="A2152" s="179" t="s">
        <v>2610</v>
      </c>
      <c r="B2152" s="185" t="s">
        <v>6750</v>
      </c>
      <c r="C2152" s="35" t="str">
        <f t="shared" si="231"/>
        <v>Lahijan</v>
      </c>
      <c r="E2152" s="40"/>
      <c r="F2152" s="14"/>
      <c r="G2152" s="17"/>
      <c r="H2152" s="10" t="s">
        <v>8563</v>
      </c>
      <c r="I2152" s="4" t="str">
        <f t="shared" si="232"/>
        <v>|Láhíján|</v>
      </c>
      <c r="J2152" s="3" t="str">
        <f t="shared" si="233"/>
        <v>|Lahijan|</v>
      </c>
      <c r="K2152" s="3" t="str">
        <f t="shared" si="234"/>
        <v>Lahijan</v>
      </c>
      <c r="N2152" s="39" t="str">
        <f t="shared" si="235"/>
        <v/>
      </c>
      <c r="P2152" s="39" t="str">
        <f t="shared" si="236"/>
        <v/>
      </c>
      <c r="R2152" s="39" t="str">
        <f t="shared" si="237"/>
        <v/>
      </c>
      <c r="S2152" s="28"/>
      <c r="T2152" s="28"/>
      <c r="U2152" s="28"/>
    </row>
    <row r="2153" spans="1:21" s="5" customFormat="1">
      <c r="A2153" s="179" t="s">
        <v>2611</v>
      </c>
      <c r="B2153" s="185" t="s">
        <v>6751</v>
      </c>
      <c r="C2153" s="35" t="str">
        <f t="shared" si="231"/>
        <v>Lahijani</v>
      </c>
      <c r="E2153" s="40"/>
      <c r="F2153" s="15"/>
      <c r="G2153" s="17"/>
      <c r="H2153" s="10" t="s">
        <v>8563</v>
      </c>
      <c r="I2153" s="4" t="str">
        <f t="shared" si="232"/>
        <v>|Lahíjání|</v>
      </c>
      <c r="J2153" s="3" t="str">
        <f t="shared" si="233"/>
        <v>|Lahijani|</v>
      </c>
      <c r="K2153" s="3" t="str">
        <f t="shared" si="234"/>
        <v>Lahijani</v>
      </c>
      <c r="N2153" s="39" t="str">
        <f t="shared" si="235"/>
        <v/>
      </c>
      <c r="P2153" s="39" t="str">
        <f t="shared" si="236"/>
        <v/>
      </c>
      <c r="R2153" s="39" t="str">
        <f t="shared" si="237"/>
        <v/>
      </c>
      <c r="S2153" s="28"/>
      <c r="T2153" s="28"/>
      <c r="U2153" s="28"/>
    </row>
    <row r="2154" spans="1:21" s="5" customFormat="1">
      <c r="A2154" s="179" t="s">
        <v>2612</v>
      </c>
      <c r="B2154" s="185" t="s">
        <v>6752</v>
      </c>
      <c r="C2154" s="35" t="str">
        <f t="shared" si="231"/>
        <v>Lahut</v>
      </c>
      <c r="E2154" s="40"/>
      <c r="F2154" s="15" t="s">
        <v>2613</v>
      </c>
      <c r="G2154" s="17"/>
      <c r="H2154" s="10" t="s">
        <v>8563</v>
      </c>
      <c r="I2154" s="4" t="str">
        <f t="shared" si="232"/>
        <v>|Láhút|</v>
      </c>
      <c r="J2154" s="3" t="str">
        <f t="shared" si="233"/>
        <v>|Lahut|</v>
      </c>
      <c r="K2154" s="3" t="str">
        <f t="shared" si="234"/>
        <v>Lahut</v>
      </c>
      <c r="N2154" s="39" t="str">
        <f t="shared" si="235"/>
        <v/>
      </c>
      <c r="P2154" s="39" t="str">
        <f t="shared" si="236"/>
        <v/>
      </c>
      <c r="R2154" s="39" t="str">
        <f t="shared" si="237"/>
        <v/>
      </c>
      <c r="S2154" s="28"/>
      <c r="T2154" s="28"/>
      <c r="U2154" s="28"/>
    </row>
    <row r="2155" spans="1:21" s="5" customFormat="1">
      <c r="A2155" s="181"/>
      <c r="B2155" s="185" t="s">
        <v>174</v>
      </c>
      <c r="C2155" s="35" t="str">
        <f t="shared" si="231"/>
        <v>Lakhmiten</v>
      </c>
      <c r="D2155" s="1" t="s">
        <v>59</v>
      </c>
      <c r="E2155" s="40"/>
      <c r="F2155" s="12"/>
      <c r="G2155" s="17" t="s">
        <v>9134</v>
      </c>
      <c r="H2155" s="12"/>
      <c r="I2155" s="4" t="str">
        <f t="shared" si="232"/>
        <v>|Lamiten|</v>
      </c>
      <c r="J2155" s="3" t="str">
        <f t="shared" si="233"/>
        <v>|Lakhmiten|</v>
      </c>
      <c r="K2155" s="3" t="str">
        <f t="shared" si="234"/>
        <v>Lakhmiten</v>
      </c>
      <c r="M2155" s="1"/>
      <c r="N2155" s="39" t="str">
        <f t="shared" si="235"/>
        <v/>
      </c>
      <c r="O2155" s="1"/>
      <c r="P2155" s="39" t="str">
        <f t="shared" si="236"/>
        <v/>
      </c>
      <c r="Q2155" s="1"/>
      <c r="R2155" s="39" t="str">
        <f t="shared" si="237"/>
        <v/>
      </c>
      <c r="S2155" s="28"/>
      <c r="T2155" s="28"/>
      <c r="U2155" s="28"/>
    </row>
    <row r="2156" spans="1:21" s="5" customFormat="1">
      <c r="A2156" s="179" t="s">
        <v>2614</v>
      </c>
      <c r="B2156" s="185" t="s">
        <v>6753</v>
      </c>
      <c r="C2156" s="35" t="str">
        <f t="shared" si="231"/>
        <v>Lalih</v>
      </c>
      <c r="E2156" s="40"/>
      <c r="F2156" s="15" t="s">
        <v>2615</v>
      </c>
      <c r="G2156" s="17"/>
      <c r="H2156" s="10" t="s">
        <v>8563</v>
      </c>
      <c r="I2156" s="4" t="str">
        <f t="shared" si="232"/>
        <v>|Lálih|</v>
      </c>
      <c r="J2156" s="3" t="str">
        <f t="shared" si="233"/>
        <v>|Lalih|</v>
      </c>
      <c r="K2156" s="3" t="str">
        <f t="shared" si="234"/>
        <v>Lalih</v>
      </c>
      <c r="N2156" s="39" t="str">
        <f t="shared" si="235"/>
        <v/>
      </c>
      <c r="P2156" s="39" t="str">
        <f t="shared" si="236"/>
        <v/>
      </c>
      <c r="R2156" s="39" t="str">
        <f t="shared" si="237"/>
        <v/>
      </c>
      <c r="S2156" s="28"/>
      <c r="T2156" s="28"/>
      <c r="U2156" s="28"/>
    </row>
    <row r="2157" spans="1:21" s="5" customFormat="1">
      <c r="A2157" s="179" t="s">
        <v>2616</v>
      </c>
      <c r="B2157" s="185" t="s">
        <v>6754</v>
      </c>
      <c r="C2157" s="35" t="str">
        <f t="shared" si="231"/>
        <v>LalihBashi</v>
      </c>
      <c r="E2157" s="40"/>
      <c r="F2157" s="15"/>
      <c r="G2157" s="17"/>
      <c r="H2157" s="10" t="s">
        <v>8563</v>
      </c>
      <c r="I2157" s="4" t="str">
        <f t="shared" si="232"/>
        <v>|Lalih-Báí|</v>
      </c>
      <c r="J2157" s="3" t="str">
        <f t="shared" si="233"/>
        <v>|Lalih-Bashi|</v>
      </c>
      <c r="K2157" s="3" t="str">
        <f t="shared" si="234"/>
        <v>Lalih-Bashi</v>
      </c>
      <c r="N2157" s="39" t="str">
        <f t="shared" si="235"/>
        <v/>
      </c>
      <c r="P2157" s="39" t="str">
        <f t="shared" si="236"/>
        <v/>
      </c>
      <c r="R2157" s="39" t="str">
        <f t="shared" si="237"/>
        <v/>
      </c>
      <c r="S2157" s="28"/>
      <c r="T2157" s="28"/>
      <c r="U2157" s="28"/>
    </row>
    <row r="2158" spans="1:21" s="5" customFormat="1">
      <c r="A2158" s="179" t="s">
        <v>2617</v>
      </c>
      <c r="B2158" s="185" t="s">
        <v>6755</v>
      </c>
      <c r="C2158" s="35" t="str">
        <f t="shared" si="231"/>
        <v>Lalizar</v>
      </c>
      <c r="E2158" s="40"/>
      <c r="F2158" s="15" t="s">
        <v>2618</v>
      </c>
      <c r="G2158" s="17"/>
      <c r="H2158" s="10" t="s">
        <v>8563</v>
      </c>
      <c r="I2158" s="4" t="str">
        <f t="shared" si="232"/>
        <v>|Lálizár|</v>
      </c>
      <c r="J2158" s="3" t="str">
        <f t="shared" si="233"/>
        <v>|Lalizar|</v>
      </c>
      <c r="K2158" s="3" t="str">
        <f t="shared" si="234"/>
        <v>Lalizar</v>
      </c>
      <c r="N2158" s="39" t="str">
        <f t="shared" si="235"/>
        <v/>
      </c>
      <c r="P2158" s="39" t="str">
        <f t="shared" si="236"/>
        <v/>
      </c>
      <c r="R2158" s="39" t="str">
        <f t="shared" si="237"/>
        <v/>
      </c>
      <c r="S2158" s="28"/>
      <c r="T2158" s="28"/>
      <c r="U2158" s="28"/>
    </row>
    <row r="2159" spans="1:21" s="5" customFormat="1">
      <c r="A2159" s="179" t="s">
        <v>2619</v>
      </c>
      <c r="B2159" s="185" t="s">
        <v>6756</v>
      </c>
      <c r="C2159" s="35" t="str">
        <f t="shared" si="231"/>
        <v>Lam</v>
      </c>
      <c r="E2159" s="40"/>
      <c r="F2159" s="14"/>
      <c r="G2159" s="17"/>
      <c r="H2159" s="10" t="s">
        <v>8563</v>
      </c>
      <c r="I2159" s="4" t="str">
        <f t="shared" si="232"/>
        <v>|Lám|</v>
      </c>
      <c r="J2159" s="3" t="str">
        <f t="shared" si="233"/>
        <v>|Lam|</v>
      </c>
      <c r="K2159" s="3" t="str">
        <f t="shared" si="234"/>
        <v>Lam</v>
      </c>
      <c r="N2159" s="39" t="str">
        <f t="shared" si="235"/>
        <v/>
      </c>
      <c r="P2159" s="39" t="str">
        <f t="shared" si="236"/>
        <v/>
      </c>
      <c r="R2159" s="39" t="str">
        <f t="shared" si="237"/>
        <v/>
      </c>
      <c r="S2159" s="28"/>
      <c r="T2159" s="28"/>
      <c r="U2159" s="28"/>
    </row>
    <row r="2160" spans="1:21" s="5" customFormat="1">
      <c r="A2160" s="179" t="s">
        <v>2620</v>
      </c>
      <c r="B2160" s="185" t="s">
        <v>6757</v>
      </c>
      <c r="C2160" s="35" t="str">
        <f t="shared" si="231"/>
        <v>Lamiih</v>
      </c>
      <c r="E2160" s="40"/>
      <c r="F2160" s="15"/>
      <c r="G2160" s="17"/>
      <c r="H2160" s="10" t="s">
        <v>8563</v>
      </c>
      <c r="I2160" s="4" t="str">
        <f t="shared" si="232"/>
        <v>|Lamíʿih|</v>
      </c>
      <c r="J2160" s="3" t="str">
        <f t="shared" si="233"/>
        <v>|Lami'ih|</v>
      </c>
      <c r="K2160" s="3" t="str">
        <f t="shared" si="234"/>
        <v>Lamiih</v>
      </c>
      <c r="N2160" s="39" t="str">
        <f t="shared" si="235"/>
        <v/>
      </c>
      <c r="P2160" s="39" t="str">
        <f t="shared" si="236"/>
        <v/>
      </c>
      <c r="R2160" s="39" t="str">
        <f t="shared" si="237"/>
        <v/>
      </c>
      <c r="S2160" s="28"/>
      <c r="T2160" s="28"/>
      <c r="U2160" s="28"/>
    </row>
    <row r="2161" spans="1:21" s="5" customFormat="1">
      <c r="A2161" s="179" t="s">
        <v>2621</v>
      </c>
      <c r="B2161" s="185" t="s">
        <v>6758</v>
      </c>
      <c r="C2161" s="35" t="str">
        <f t="shared" si="231"/>
        <v>Lar</v>
      </c>
      <c r="E2161" s="40"/>
      <c r="F2161" s="14"/>
      <c r="G2161" s="17"/>
      <c r="H2161" s="10" t="s">
        <v>8563</v>
      </c>
      <c r="I2161" s="4" t="str">
        <f t="shared" si="232"/>
        <v>|Lár|</v>
      </c>
      <c r="J2161" s="3" t="str">
        <f t="shared" si="233"/>
        <v>|Lar|</v>
      </c>
      <c r="K2161" s="3" t="str">
        <f t="shared" si="234"/>
        <v>Lar</v>
      </c>
      <c r="N2161" s="39" t="str">
        <f t="shared" si="235"/>
        <v/>
      </c>
      <c r="P2161" s="39" t="str">
        <f t="shared" si="236"/>
        <v/>
      </c>
      <c r="R2161" s="39" t="str">
        <f t="shared" si="237"/>
        <v/>
      </c>
      <c r="S2161" s="28"/>
      <c r="T2161" s="28"/>
      <c r="U2161" s="28"/>
    </row>
    <row r="2162" spans="1:21" s="5" customFormat="1">
      <c r="A2162" s="179" t="s">
        <v>2622</v>
      </c>
      <c r="B2162" s="185" t="s">
        <v>6759</v>
      </c>
      <c r="C2162" s="35" t="str">
        <f t="shared" si="231"/>
        <v>Larijan</v>
      </c>
      <c r="E2162" s="40"/>
      <c r="F2162" s="15" t="s">
        <v>1312</v>
      </c>
      <c r="G2162" s="17"/>
      <c r="H2162" s="10" t="s">
        <v>8563</v>
      </c>
      <c r="I2162" s="4" t="str">
        <f t="shared" si="232"/>
        <v>|Láríján|</v>
      </c>
      <c r="J2162" s="3" t="str">
        <f t="shared" si="233"/>
        <v>|Larijan|</v>
      </c>
      <c r="K2162" s="3" t="str">
        <f t="shared" si="234"/>
        <v>Larijan</v>
      </c>
      <c r="N2162" s="39" t="str">
        <f t="shared" si="235"/>
        <v/>
      </c>
      <c r="P2162" s="39" t="str">
        <f t="shared" si="236"/>
        <v/>
      </c>
      <c r="R2162" s="39" t="str">
        <f t="shared" si="237"/>
        <v/>
      </c>
      <c r="S2162" s="28"/>
      <c r="T2162" s="28"/>
      <c r="U2162" s="28"/>
    </row>
    <row r="2163" spans="1:21" s="5" customFormat="1">
      <c r="A2163" s="179" t="s">
        <v>2623</v>
      </c>
      <c r="B2163" s="185" t="s">
        <v>6760</v>
      </c>
      <c r="C2163" s="35" t="str">
        <f t="shared" si="231"/>
        <v>Larijani</v>
      </c>
      <c r="E2163" s="40"/>
      <c r="F2163" s="15"/>
      <c r="G2163" s="17"/>
      <c r="H2163" s="10" t="s">
        <v>8563</v>
      </c>
      <c r="I2163" s="4" t="str">
        <f t="shared" si="232"/>
        <v>|Láríjání|</v>
      </c>
      <c r="J2163" s="3" t="str">
        <f t="shared" si="233"/>
        <v>|Larijani|</v>
      </c>
      <c r="K2163" s="3" t="str">
        <f t="shared" si="234"/>
        <v>Larijani</v>
      </c>
      <c r="N2163" s="39" t="str">
        <f t="shared" si="235"/>
        <v/>
      </c>
      <c r="P2163" s="39" t="str">
        <f t="shared" si="236"/>
        <v/>
      </c>
      <c r="R2163" s="39" t="str">
        <f t="shared" si="237"/>
        <v/>
      </c>
      <c r="S2163" s="28"/>
      <c r="T2163" s="28"/>
      <c r="U2163" s="28"/>
    </row>
    <row r="2164" spans="1:21" s="5" customFormat="1">
      <c r="A2164" s="179" t="s">
        <v>2624</v>
      </c>
      <c r="B2164" s="185" t="s">
        <v>6761</v>
      </c>
      <c r="C2164" s="35" t="str">
        <f t="shared" si="231"/>
        <v>Lavasan</v>
      </c>
      <c r="E2164" s="40"/>
      <c r="F2164" s="14"/>
      <c r="G2164" s="17"/>
      <c r="H2164" s="10" t="s">
        <v>8563</v>
      </c>
      <c r="I2164" s="4" t="str">
        <f t="shared" si="232"/>
        <v>|Lavásán|</v>
      </c>
      <c r="J2164" s="3" t="str">
        <f t="shared" si="233"/>
        <v>|Lavasan|</v>
      </c>
      <c r="K2164" s="3" t="str">
        <f t="shared" si="234"/>
        <v>Lavasan</v>
      </c>
      <c r="N2164" s="39" t="str">
        <f t="shared" si="235"/>
        <v/>
      </c>
      <c r="P2164" s="39" t="str">
        <f t="shared" si="236"/>
        <v/>
      </c>
      <c r="R2164" s="39" t="str">
        <f t="shared" si="237"/>
        <v/>
      </c>
      <c r="S2164" s="28"/>
      <c r="T2164" s="28"/>
      <c r="U2164" s="28"/>
    </row>
    <row r="2165" spans="1:21" s="5" customFormat="1">
      <c r="A2165" s="179" t="s">
        <v>2625</v>
      </c>
      <c r="B2165" s="185" t="s">
        <v>6762</v>
      </c>
      <c r="C2165" s="35" t="str">
        <f t="shared" si="231"/>
        <v>Lawh</v>
      </c>
      <c r="E2165" s="40"/>
      <c r="F2165" s="14"/>
      <c r="G2165" s="17"/>
      <c r="H2165" s="10" t="s">
        <v>8563</v>
      </c>
      <c r="I2165" s="4" t="str">
        <f t="shared" si="232"/>
        <v>|Lawḥ|</v>
      </c>
      <c r="J2165" s="3" t="str">
        <f t="shared" si="233"/>
        <v>|Lawh|</v>
      </c>
      <c r="K2165" s="3" t="str">
        <f t="shared" si="234"/>
        <v>Lawh</v>
      </c>
      <c r="N2165" s="39" t="str">
        <f t="shared" si="235"/>
        <v/>
      </c>
      <c r="P2165" s="39" t="str">
        <f t="shared" si="236"/>
        <v/>
      </c>
      <c r="R2165" s="39" t="str">
        <f t="shared" si="237"/>
        <v/>
      </c>
      <c r="S2165" s="28"/>
      <c r="T2165" s="28"/>
      <c r="U2165" s="28"/>
    </row>
    <row r="2166" spans="1:21" s="5" customFormat="1">
      <c r="A2166" s="179" t="s">
        <v>2626</v>
      </c>
      <c r="B2166" s="185" t="s">
        <v>6763</v>
      </c>
      <c r="C2166" s="35" t="str">
        <f t="shared" si="231"/>
        <v>LawhiAbdulAziz</v>
      </c>
      <c r="E2166" s="40"/>
      <c r="F2166" s="15" t="s">
        <v>2627</v>
      </c>
      <c r="G2166" s="17"/>
      <c r="H2166" s="10" t="s">
        <v>8563</v>
      </c>
      <c r="I2166" s="4" t="str">
        <f t="shared" si="232"/>
        <v>|Lawḥ-i-ʿAbdu’l-ʿAzíz|</v>
      </c>
      <c r="J2166" s="3" t="str">
        <f t="shared" si="233"/>
        <v>|Lawh-i-'Abdu'l-'Aziz|</v>
      </c>
      <c r="K2166" s="3" t="str">
        <f t="shared" si="234"/>
        <v>Lawh-i-Abdul-Aziz</v>
      </c>
      <c r="N2166" s="39" t="str">
        <f t="shared" si="235"/>
        <v/>
      </c>
      <c r="P2166" s="39" t="str">
        <f t="shared" si="236"/>
        <v/>
      </c>
      <c r="R2166" s="39" t="str">
        <f t="shared" si="237"/>
        <v/>
      </c>
      <c r="S2166" s="28"/>
      <c r="T2166" s="28"/>
      <c r="U2166" s="28"/>
    </row>
    <row r="2167" spans="1:21" s="5" customFormat="1">
      <c r="A2167" s="179" t="s">
        <v>2628</v>
      </c>
      <c r="B2167" s="185" t="s">
        <v>6764</v>
      </c>
      <c r="C2167" s="35" t="str">
        <f t="shared" si="231"/>
        <v>LawhiAbdulAzizvaVukala</v>
      </c>
      <c r="E2167" s="40"/>
      <c r="F2167" s="15" t="s">
        <v>775</v>
      </c>
      <c r="G2167" s="17"/>
      <c r="H2167" s="10" t="s">
        <v>8563</v>
      </c>
      <c r="I2167" s="4" t="str">
        <f t="shared" si="232"/>
        <v>|Lawḥ-i-ʿAbdu’l-ʿAzíz va Vukalá|</v>
      </c>
      <c r="J2167" s="3" t="str">
        <f t="shared" si="233"/>
        <v>|Lawh-i-'Abdu'l-'Aziz va Vukala|</v>
      </c>
      <c r="K2167" s="3" t="str">
        <f t="shared" si="234"/>
        <v>Lawh-i-Abdul-Aziz va Vukala</v>
      </c>
      <c r="N2167" s="39" t="str">
        <f t="shared" si="235"/>
        <v/>
      </c>
      <c r="P2167" s="39" t="str">
        <f t="shared" si="236"/>
        <v/>
      </c>
      <c r="R2167" s="39" t="str">
        <f t="shared" si="237"/>
        <v/>
      </c>
      <c r="S2167" s="28"/>
      <c r="T2167" s="28"/>
      <c r="U2167" s="28"/>
    </row>
    <row r="2168" spans="1:21" s="5" customFormat="1">
      <c r="A2168" s="179" t="s">
        <v>2629</v>
      </c>
      <c r="B2168" s="185" t="s">
        <v>6765</v>
      </c>
      <c r="C2168" s="35" t="str">
        <f t="shared" si="231"/>
        <v>LawhiAbdulVahhab</v>
      </c>
      <c r="E2168" s="40"/>
      <c r="F2168" s="15" t="s">
        <v>2630</v>
      </c>
      <c r="G2168" s="17"/>
      <c r="H2168" s="10" t="s">
        <v>8563</v>
      </c>
      <c r="I2168" s="4" t="str">
        <f t="shared" si="232"/>
        <v>|Lawḥ-i-ʿAbdu’l-Vahhab|</v>
      </c>
      <c r="J2168" s="3" t="str">
        <f t="shared" si="233"/>
        <v>|Lawh-i-'Abdu'l-Vahhab|</v>
      </c>
      <c r="K2168" s="3" t="str">
        <f t="shared" si="234"/>
        <v>Lawh-i-Abdul-Vahhab</v>
      </c>
      <c r="N2168" s="39" t="str">
        <f t="shared" si="235"/>
        <v/>
      </c>
      <c r="P2168" s="39" t="str">
        <f t="shared" si="236"/>
        <v/>
      </c>
      <c r="R2168" s="39" t="str">
        <f t="shared" si="237"/>
        <v/>
      </c>
      <c r="S2168" s="28"/>
      <c r="T2168" s="29">
        <v>41801</v>
      </c>
      <c r="U2168" s="28" t="s">
        <v>9487</v>
      </c>
    </row>
    <row r="2169" spans="1:21" s="5" customFormat="1">
      <c r="A2169" s="179" t="s">
        <v>2631</v>
      </c>
      <c r="B2169" s="185" t="s">
        <v>6766</v>
      </c>
      <c r="C2169" s="35" t="str">
        <f t="shared" si="231"/>
        <v>LawhiAbdurRazzaq</v>
      </c>
      <c r="E2169" s="40"/>
      <c r="F2169" s="15" t="s">
        <v>775</v>
      </c>
      <c r="G2169" s="17"/>
      <c r="H2169" s="10" t="s">
        <v>8563</v>
      </c>
      <c r="I2169" s="4" t="str">
        <f t="shared" si="232"/>
        <v>|Lawḥ-i-ʿAbdu’r-Razzáq|</v>
      </c>
      <c r="J2169" s="3" t="str">
        <f t="shared" si="233"/>
        <v>|Lawh-i-'Abdu'r-Razzaq|</v>
      </c>
      <c r="K2169" s="3" t="str">
        <f t="shared" si="234"/>
        <v>Lawh-i-Abdur-Razzaq</v>
      </c>
      <c r="N2169" s="39" t="str">
        <f t="shared" si="235"/>
        <v/>
      </c>
      <c r="P2169" s="39" t="str">
        <f t="shared" si="236"/>
        <v/>
      </c>
      <c r="R2169" s="39" t="str">
        <f t="shared" si="237"/>
        <v/>
      </c>
      <c r="S2169" s="28"/>
      <c r="T2169" s="29">
        <v>41801</v>
      </c>
      <c r="U2169" s="28" t="s">
        <v>9488</v>
      </c>
    </row>
    <row r="2170" spans="1:21" s="5" customFormat="1">
      <c r="A2170" s="179" t="s">
        <v>2632</v>
      </c>
      <c r="B2170" s="185" t="s">
        <v>6767</v>
      </c>
      <c r="C2170" s="35" t="str">
        <f t="shared" si="231"/>
        <v>LawhiAflakiyyih</v>
      </c>
      <c r="E2170" s="40"/>
      <c r="F2170" s="15" t="s">
        <v>2633</v>
      </c>
      <c r="G2170" s="17"/>
      <c r="H2170" s="10" t="s">
        <v>8563</v>
      </c>
      <c r="I2170" s="4" t="str">
        <f t="shared" si="232"/>
        <v>|Lawḥ-i-Aflákíyyih|</v>
      </c>
      <c r="J2170" s="3" t="str">
        <f t="shared" si="233"/>
        <v>|Lawh-i-Aflakiyyih|</v>
      </c>
      <c r="K2170" s="3" t="str">
        <f t="shared" si="234"/>
        <v>Lawh-i-Aflakiyyih</v>
      </c>
      <c r="N2170" s="39" t="str">
        <f t="shared" si="235"/>
        <v/>
      </c>
      <c r="P2170" s="39" t="str">
        <f t="shared" si="236"/>
        <v/>
      </c>
      <c r="R2170" s="39" t="str">
        <f t="shared" si="237"/>
        <v/>
      </c>
      <c r="S2170" s="28"/>
      <c r="T2170" s="28"/>
      <c r="U2170" s="28"/>
    </row>
    <row r="2171" spans="1:21" s="5" customFormat="1">
      <c r="A2171" s="179" t="s">
        <v>2634</v>
      </c>
      <c r="B2171" s="185" t="s">
        <v>6768</v>
      </c>
      <c r="C2171" s="35" t="str">
        <f t="shared" si="231"/>
        <v>LawhiAhbab</v>
      </c>
      <c r="E2171" s="40"/>
      <c r="F2171" s="15" t="s">
        <v>2635</v>
      </c>
      <c r="G2171" s="17"/>
      <c r="H2171" s="10" t="s">
        <v>8563</v>
      </c>
      <c r="I2171" s="4" t="str">
        <f t="shared" si="232"/>
        <v>|Lawḥ-i-Aḥbáb|</v>
      </c>
      <c r="J2171" s="3" t="str">
        <f t="shared" si="233"/>
        <v>|Lawh-i-Ahbab|</v>
      </c>
      <c r="K2171" s="3" t="str">
        <f t="shared" si="234"/>
        <v>Lawh-i-Ahbab</v>
      </c>
      <c r="N2171" s="39" t="str">
        <f t="shared" si="235"/>
        <v/>
      </c>
      <c r="P2171" s="39" t="str">
        <f t="shared" si="236"/>
        <v/>
      </c>
      <c r="R2171" s="39" t="str">
        <f t="shared" si="237"/>
        <v/>
      </c>
      <c r="S2171" s="28"/>
      <c r="T2171" s="28"/>
      <c r="U2171" s="28"/>
    </row>
    <row r="2172" spans="1:21" s="5" customFormat="1">
      <c r="A2172" s="179" t="s">
        <v>2636</v>
      </c>
      <c r="B2172" s="185" t="s">
        <v>6769</v>
      </c>
      <c r="C2172" s="35" t="str">
        <f t="shared" si="231"/>
        <v>LawhiAhd</v>
      </c>
      <c r="E2172" s="40"/>
      <c r="F2172" s="15"/>
      <c r="G2172" s="17"/>
      <c r="H2172" s="10" t="s">
        <v>8563</v>
      </c>
      <c r="I2172" s="4" t="str">
        <f t="shared" si="232"/>
        <v>|Lawḥ-i-ʿAhd|</v>
      </c>
      <c r="J2172" s="3" t="str">
        <f t="shared" si="233"/>
        <v>|Lawh-i-'Ahd|</v>
      </c>
      <c r="K2172" s="3" t="str">
        <f t="shared" si="234"/>
        <v>Lawh-i-Ahd</v>
      </c>
      <c r="N2172" s="39" t="str">
        <f t="shared" si="235"/>
        <v/>
      </c>
      <c r="P2172" s="39" t="str">
        <f t="shared" si="236"/>
        <v/>
      </c>
      <c r="R2172" s="39" t="str">
        <f t="shared" si="237"/>
        <v/>
      </c>
      <c r="S2172" s="28"/>
      <c r="T2172" s="28"/>
      <c r="U2172" s="28"/>
    </row>
    <row r="2173" spans="1:21" s="5" customFormat="1">
      <c r="A2173" s="179" t="s">
        <v>2637</v>
      </c>
      <c r="B2173" s="185" t="s">
        <v>6770</v>
      </c>
      <c r="C2173" s="35" t="str">
        <f t="shared" si="231"/>
        <v>LawhiAhmad</v>
      </c>
      <c r="E2173" s="40"/>
      <c r="F2173" s="15" t="s">
        <v>2638</v>
      </c>
      <c r="G2173" s="17"/>
      <c r="H2173" s="10" t="s">
        <v>8563</v>
      </c>
      <c r="I2173" s="4" t="str">
        <f t="shared" si="232"/>
        <v>|Lawḥ-i-Aḥmad|</v>
      </c>
      <c r="J2173" s="3" t="str">
        <f t="shared" si="233"/>
        <v>|Lawh-i-Ahmad|</v>
      </c>
      <c r="K2173" s="3" t="str">
        <f t="shared" si="234"/>
        <v>Lawh-i-Ahmad</v>
      </c>
      <c r="N2173" s="39" t="str">
        <f t="shared" si="235"/>
        <v/>
      </c>
      <c r="P2173" s="39" t="str">
        <f t="shared" si="236"/>
        <v/>
      </c>
      <c r="R2173" s="39" t="str">
        <f t="shared" si="237"/>
        <v/>
      </c>
      <c r="S2173" s="28"/>
      <c r="T2173" s="28"/>
      <c r="U2173" s="28"/>
    </row>
    <row r="2174" spans="1:21" s="5" customFormat="1">
      <c r="A2174" s="179" t="s">
        <v>2639</v>
      </c>
      <c r="B2174" s="185" t="s">
        <v>6771</v>
      </c>
      <c r="C2174" s="35" t="str">
        <f t="shared" si="231"/>
        <v>LawhiAmmih</v>
      </c>
      <c r="E2174" s="40"/>
      <c r="F2174" s="15" t="s">
        <v>2640</v>
      </c>
      <c r="G2174" s="17"/>
      <c r="H2174" s="10" t="s">
        <v>8563</v>
      </c>
      <c r="I2174" s="4" t="str">
        <f t="shared" si="232"/>
        <v>|Lawḥ-i-ʿAmmih|</v>
      </c>
      <c r="J2174" s="3" t="str">
        <f t="shared" si="233"/>
        <v>|Lawh-i-'Ammih|</v>
      </c>
      <c r="K2174" s="3" t="str">
        <f t="shared" si="234"/>
        <v>Lawh-i-Ammih</v>
      </c>
      <c r="N2174" s="39" t="str">
        <f t="shared" si="235"/>
        <v/>
      </c>
      <c r="P2174" s="39" t="str">
        <f t="shared" si="236"/>
        <v/>
      </c>
      <c r="R2174" s="39" t="str">
        <f t="shared" si="237"/>
        <v/>
      </c>
      <c r="S2174" s="28"/>
      <c r="T2174" s="28"/>
      <c r="U2174" s="28"/>
    </row>
    <row r="2175" spans="1:21" s="5" customFormat="1">
      <c r="A2175" s="179" t="s">
        <v>2641</v>
      </c>
      <c r="B2175" s="185" t="s">
        <v>6772</v>
      </c>
      <c r="C2175" s="35" t="str">
        <f t="shared" si="231"/>
        <v>LawhiAmr</v>
      </c>
      <c r="E2175" s="40"/>
      <c r="F2175" s="15" t="s">
        <v>2642</v>
      </c>
      <c r="G2175" s="17"/>
      <c r="H2175" s="10" t="s">
        <v>8563</v>
      </c>
      <c r="I2175" s="4" t="str">
        <f t="shared" si="232"/>
        <v>|Lawḥ-i-Amr|</v>
      </c>
      <c r="J2175" s="3" t="str">
        <f t="shared" si="233"/>
        <v>|Lawh-i-Amr|</v>
      </c>
      <c r="K2175" s="3" t="str">
        <f t="shared" si="234"/>
        <v>Lawh-i-Amr</v>
      </c>
      <c r="N2175" s="39" t="str">
        <f t="shared" si="235"/>
        <v/>
      </c>
      <c r="P2175" s="39" t="str">
        <f t="shared" si="236"/>
        <v/>
      </c>
      <c r="R2175" s="39" t="str">
        <f t="shared" si="237"/>
        <v/>
      </c>
      <c r="S2175" s="28"/>
      <c r="T2175" s="28"/>
      <c r="U2175" s="28"/>
    </row>
    <row r="2176" spans="1:21" s="5" customFormat="1">
      <c r="A2176" s="179" t="s">
        <v>2643</v>
      </c>
      <c r="B2176" s="185" t="s">
        <v>6773</v>
      </c>
      <c r="C2176" s="35" t="str">
        <f t="shared" si="231"/>
        <v>LawhiAmvaj</v>
      </c>
      <c r="E2176" s="40"/>
      <c r="F2176" s="15" t="s">
        <v>2644</v>
      </c>
      <c r="G2176" s="17"/>
      <c r="H2176" s="10" t="s">
        <v>8563</v>
      </c>
      <c r="I2176" s="4" t="str">
        <f t="shared" si="232"/>
        <v>|Lawḥ-i-Amváj|</v>
      </c>
      <c r="J2176" s="3" t="str">
        <f t="shared" si="233"/>
        <v>|Lawh-i-Amvaj|</v>
      </c>
      <c r="K2176" s="3" t="str">
        <f t="shared" si="234"/>
        <v>Lawh-i-Amvaj</v>
      </c>
      <c r="N2176" s="39" t="str">
        <f t="shared" si="235"/>
        <v/>
      </c>
      <c r="P2176" s="39" t="str">
        <f t="shared" si="236"/>
        <v/>
      </c>
      <c r="R2176" s="39" t="str">
        <f t="shared" si="237"/>
        <v/>
      </c>
      <c r="S2176" s="28"/>
      <c r="T2176" s="28"/>
      <c r="U2176" s="28"/>
    </row>
    <row r="2177" spans="1:22" s="5" customFormat="1">
      <c r="A2177" s="179" t="s">
        <v>2645</v>
      </c>
      <c r="B2177" s="185" t="s">
        <v>6774</v>
      </c>
      <c r="C2177" s="35" t="str">
        <f t="shared" si="231"/>
        <v>LawhiAntalKafi</v>
      </c>
      <c r="E2177" s="40"/>
      <c r="F2177" s="15" t="s">
        <v>2646</v>
      </c>
      <c r="G2177" s="17"/>
      <c r="H2177" s="10" t="s">
        <v>8563</v>
      </c>
      <c r="I2177" s="4" t="str">
        <f t="shared" si="232"/>
        <v>|Lawḥ-i-Anta’l-Káfí|</v>
      </c>
      <c r="J2177" s="3" t="str">
        <f t="shared" si="233"/>
        <v>|Lawh-i-Anta'l-Kafi|</v>
      </c>
      <c r="K2177" s="3" t="str">
        <f t="shared" si="234"/>
        <v>Lawh-i-Antal-Kafi</v>
      </c>
      <c r="N2177" s="39" t="str">
        <f t="shared" si="235"/>
        <v/>
      </c>
      <c r="P2177" s="39" t="str">
        <f t="shared" si="236"/>
        <v/>
      </c>
      <c r="R2177" s="39" t="str">
        <f t="shared" si="237"/>
        <v/>
      </c>
      <c r="S2177" s="28"/>
      <c r="T2177" s="28"/>
      <c r="U2177" s="28"/>
    </row>
    <row r="2178" spans="1:22" s="5" customFormat="1">
      <c r="A2178" s="179" t="s">
        <v>2647</v>
      </c>
      <c r="B2178" s="185" t="s">
        <v>6775</v>
      </c>
      <c r="C2178" s="35" t="str">
        <f t="shared" ref="C2178:C2241" si="238">SUBSTITUTE(SUBSTITUTE(K2178,"-","")," ","")</f>
        <v>LawhiAqdas</v>
      </c>
      <c r="E2178" s="40"/>
      <c r="F2178" s="14"/>
      <c r="G2178" s="17"/>
      <c r="H2178" s="10" t="s">
        <v>8563</v>
      </c>
      <c r="I2178" s="4" t="str">
        <f t="shared" ref="I2178:I2241" si="239">CONCATENATE("|",B2178,"|")</f>
        <v>|Lawḥ-i-Aqdas|</v>
      </c>
      <c r="J2178" s="3" t="str">
        <f t="shared" ref="J2178:J2241" si="240">CONCATENATE("|",F_OutputASCII(B2178),"|")</f>
        <v>|Lawh-i-Aqdas|</v>
      </c>
      <c r="K2178" s="3" t="str">
        <f t="shared" ref="K2178:K2241" si="241">IF(SUBSTITUTE(MID(J2178,2,LEN(J2178)-2),"'","")&lt;&gt;"",SUBSTITUTE(MID(J2178,2,LEN(J2178)-2),"'",""),"ZZZZZ")</f>
        <v>Lawh-i-Aqdas</v>
      </c>
      <c r="N2178" s="39" t="str">
        <f t="shared" si="235"/>
        <v/>
      </c>
      <c r="P2178" s="39" t="str">
        <f t="shared" si="236"/>
        <v/>
      </c>
      <c r="R2178" s="39" t="str">
        <f t="shared" si="237"/>
        <v/>
      </c>
      <c r="S2178" s="28"/>
      <c r="T2178" s="28"/>
      <c r="U2178" s="28"/>
    </row>
    <row r="2179" spans="1:22" s="5" customFormat="1">
      <c r="A2179" s="179" t="s">
        <v>2648</v>
      </c>
      <c r="B2179" s="185" t="s">
        <v>6776</v>
      </c>
      <c r="C2179" s="35" t="str">
        <f t="shared" si="238"/>
        <v>LawhiArdiBa</v>
      </c>
      <c r="E2179" s="40"/>
      <c r="F2179" s="15" t="s">
        <v>2649</v>
      </c>
      <c r="G2179" s="17"/>
      <c r="H2179" s="10" t="s">
        <v>8563</v>
      </c>
      <c r="I2179" s="4" t="str">
        <f t="shared" si="239"/>
        <v>|Lawḥ-i-Arḍ-i-Bá|</v>
      </c>
      <c r="J2179" s="3" t="str">
        <f t="shared" si="240"/>
        <v>|Lawh-i-Ard-i-Ba|</v>
      </c>
      <c r="K2179" s="3" t="str">
        <f t="shared" si="241"/>
        <v>Lawh-i-Ard-i-Ba</v>
      </c>
      <c r="N2179" s="39" t="str">
        <f t="shared" ref="N2179:N2242" si="242">SUBSTITUTE(SUBSTITUTE(SUBSTITUTE(F_OutputASCII(M2179),"-","")," ",""),"'","")</f>
        <v/>
      </c>
      <c r="P2179" s="39" t="str">
        <f t="shared" ref="P2179:P2242" si="243">SUBSTITUTE(SUBSTITUTE(SUBSTITUTE(F_OutputASCII(O2179),"-","")," ",""),"'","")</f>
        <v/>
      </c>
      <c r="R2179" s="39" t="str">
        <f t="shared" ref="R2179:R2242" si="244">SUBSTITUTE(SUBSTITUTE(Q2179,"-","")," ","")</f>
        <v/>
      </c>
      <c r="S2179" s="28"/>
      <c r="T2179" s="28"/>
      <c r="U2179" s="28"/>
    </row>
    <row r="2180" spans="1:22" s="5" customFormat="1">
      <c r="A2180" s="179" t="s">
        <v>2650</v>
      </c>
      <c r="B2180" s="185" t="s">
        <v>6777</v>
      </c>
      <c r="C2180" s="35" t="str">
        <f t="shared" si="238"/>
        <v>LawhiAshiqvaMashuq</v>
      </c>
      <c r="E2180" s="40"/>
      <c r="F2180" s="15" t="s">
        <v>2651</v>
      </c>
      <c r="G2180" s="17"/>
      <c r="H2180" s="10" t="s">
        <v>8563</v>
      </c>
      <c r="I2180" s="4" t="str">
        <f t="shared" si="239"/>
        <v>|Lawḥ-i-ʿÁiq-va-Maʿúq|</v>
      </c>
      <c r="J2180" s="3" t="str">
        <f t="shared" si="240"/>
        <v>|Lawh-i-'Ashiq-va-Ma'shuq|</v>
      </c>
      <c r="K2180" s="3" t="str">
        <f t="shared" si="241"/>
        <v>Lawh-i-Ashiq-va-Mashuq</v>
      </c>
      <c r="N2180" s="39" t="str">
        <f t="shared" si="242"/>
        <v/>
      </c>
      <c r="P2180" s="39" t="str">
        <f t="shared" si="243"/>
        <v/>
      </c>
      <c r="R2180" s="39" t="str">
        <f t="shared" si="244"/>
        <v/>
      </c>
      <c r="S2180" s="28"/>
      <c r="T2180" s="28"/>
      <c r="U2180" s="28"/>
    </row>
    <row r="2181" spans="1:22" s="5" customFormat="1">
      <c r="A2181" s="179" t="s">
        <v>2652</v>
      </c>
      <c r="B2181" s="185" t="s">
        <v>6778</v>
      </c>
      <c r="C2181" s="35" t="str">
        <f t="shared" si="238"/>
        <v>LawhiAshraf</v>
      </c>
      <c r="E2181" s="40"/>
      <c r="F2181" s="15" t="s">
        <v>2653</v>
      </c>
      <c r="G2181" s="17"/>
      <c r="H2181" s="10" t="s">
        <v>8563</v>
      </c>
      <c r="I2181" s="4" t="str">
        <f t="shared" si="239"/>
        <v>|Lawḥ-i-Araf|</v>
      </c>
      <c r="J2181" s="3" t="str">
        <f t="shared" si="240"/>
        <v>|Lawh-i-Ashraf|</v>
      </c>
      <c r="K2181" s="3" t="str">
        <f t="shared" si="241"/>
        <v>Lawh-i-Ashraf</v>
      </c>
      <c r="N2181" s="39" t="str">
        <f t="shared" si="242"/>
        <v/>
      </c>
      <c r="P2181" s="39" t="str">
        <f t="shared" si="243"/>
        <v/>
      </c>
      <c r="R2181" s="39" t="str">
        <f t="shared" si="244"/>
        <v/>
      </c>
      <c r="S2181" s="28"/>
      <c r="T2181" s="28"/>
      <c r="U2181" s="28"/>
    </row>
    <row r="2182" spans="1:22" s="5" customFormat="1">
      <c r="A2182" s="179" t="s">
        <v>2654</v>
      </c>
      <c r="B2182" s="185" t="s">
        <v>6779</v>
      </c>
      <c r="C2182" s="35" t="str">
        <f t="shared" si="238"/>
        <v>LawhiAyiyiNur</v>
      </c>
      <c r="E2182" s="40"/>
      <c r="F2182" s="15" t="s">
        <v>2655</v>
      </c>
      <c r="G2182" s="17"/>
      <c r="H2182" s="10" t="s">
        <v>8563</v>
      </c>
      <c r="I2182" s="4" t="str">
        <f t="shared" si="239"/>
        <v>|Lawḥ-i-Áyiy-i-Núr|</v>
      </c>
      <c r="J2182" s="3" t="str">
        <f t="shared" si="240"/>
        <v>|Lawh-i-Ayiy-i-Nur|</v>
      </c>
      <c r="K2182" s="3" t="str">
        <f t="shared" si="241"/>
        <v>Lawh-i-Ayiy-i-Nur</v>
      </c>
      <c r="N2182" s="39" t="str">
        <f t="shared" si="242"/>
        <v/>
      </c>
      <c r="P2182" s="39" t="str">
        <f t="shared" si="243"/>
        <v/>
      </c>
      <c r="R2182" s="39" t="str">
        <f t="shared" si="244"/>
        <v/>
      </c>
      <c r="S2182" s="28"/>
      <c r="T2182" s="28"/>
      <c r="U2182" s="28"/>
    </row>
    <row r="2183" spans="1:22" s="5" customFormat="1">
      <c r="A2183" s="179" t="s">
        <v>2656</v>
      </c>
      <c r="B2183" s="185" t="s">
        <v>6780</v>
      </c>
      <c r="C2183" s="35" t="str">
        <f t="shared" si="238"/>
        <v>LawhiAyyub</v>
      </c>
      <c r="E2183" s="40"/>
      <c r="F2183" s="15"/>
      <c r="G2183" s="17"/>
      <c r="H2183" s="10" t="s">
        <v>8563</v>
      </c>
      <c r="I2183" s="4" t="str">
        <f t="shared" si="239"/>
        <v>|Lawḥ-i-Ayyúb|</v>
      </c>
      <c r="J2183" s="3" t="str">
        <f t="shared" si="240"/>
        <v>|Lawh-i-Ayyub|</v>
      </c>
      <c r="K2183" s="3" t="str">
        <f t="shared" si="241"/>
        <v>Lawh-i-Ayyub</v>
      </c>
      <c r="N2183" s="39" t="str">
        <f t="shared" si="242"/>
        <v/>
      </c>
      <c r="P2183" s="39" t="str">
        <f t="shared" si="243"/>
        <v/>
      </c>
      <c r="R2183" s="39" t="str">
        <f t="shared" si="244"/>
        <v/>
      </c>
      <c r="S2183" s="28"/>
      <c r="T2183" s="28"/>
      <c r="U2183" s="28"/>
    </row>
    <row r="2184" spans="1:22" s="5" customFormat="1">
      <c r="A2184" s="179" t="s">
        <v>2657</v>
      </c>
      <c r="B2184" s="185" t="s">
        <v>6781</v>
      </c>
      <c r="C2184" s="35" t="str">
        <f t="shared" si="238"/>
        <v>LawhiBaha</v>
      </c>
      <c r="E2184" s="40"/>
      <c r="F2184" s="15" t="s">
        <v>2658</v>
      </c>
      <c r="G2184" s="17"/>
      <c r="H2184" s="10" t="s">
        <v>8563</v>
      </c>
      <c r="I2184" s="4" t="str">
        <f t="shared" si="239"/>
        <v>|Lawḥ-i-Bahá|</v>
      </c>
      <c r="J2184" s="3" t="str">
        <f t="shared" si="240"/>
        <v>|Lawh-i-Baha|</v>
      </c>
      <c r="K2184" s="3" t="str">
        <f t="shared" si="241"/>
        <v>Lawh-i-Baha</v>
      </c>
      <c r="N2184" s="39" t="str">
        <f t="shared" si="242"/>
        <v/>
      </c>
      <c r="P2184" s="39" t="str">
        <f t="shared" si="243"/>
        <v/>
      </c>
      <c r="R2184" s="39" t="str">
        <f t="shared" si="244"/>
        <v/>
      </c>
      <c r="S2184" s="28"/>
      <c r="T2184" s="28"/>
      <c r="U2184" s="28"/>
    </row>
    <row r="2185" spans="1:22" s="5" customFormat="1">
      <c r="A2185" s="179" t="s">
        <v>2659</v>
      </c>
      <c r="B2185" s="185" t="s">
        <v>6782</v>
      </c>
      <c r="C2185" s="35" t="str">
        <f t="shared" si="238"/>
        <v>LawhiBaqa</v>
      </c>
      <c r="E2185" s="40"/>
      <c r="F2185" s="15" t="s">
        <v>2660</v>
      </c>
      <c r="G2185" s="17"/>
      <c r="H2185" s="10" t="s">
        <v>8563</v>
      </c>
      <c r="I2185" s="4" t="str">
        <f t="shared" si="239"/>
        <v>|Lawḥ-i-Baqá|</v>
      </c>
      <c r="J2185" s="3" t="str">
        <f t="shared" si="240"/>
        <v>|Lawh-i-Baqa|</v>
      </c>
      <c r="K2185" s="3" t="str">
        <f t="shared" si="241"/>
        <v>Lawh-i-Baqa</v>
      </c>
      <c r="N2185" s="39" t="str">
        <f t="shared" si="242"/>
        <v/>
      </c>
      <c r="P2185" s="39" t="str">
        <f t="shared" si="243"/>
        <v/>
      </c>
      <c r="R2185" s="39" t="str">
        <f t="shared" si="244"/>
        <v/>
      </c>
      <c r="S2185" s="28"/>
      <c r="T2185" s="28"/>
      <c r="U2185" s="28"/>
    </row>
    <row r="2186" spans="1:22" s="5" customFormat="1">
      <c r="A2186" s="179" t="s">
        <v>2661</v>
      </c>
      <c r="B2186" s="185" t="s">
        <v>6783</v>
      </c>
      <c r="C2186" s="35" t="str">
        <f t="shared" si="238"/>
        <v>LawhiBasitulHaqiqih</v>
      </c>
      <c r="E2186" s="40"/>
      <c r="F2186" s="15" t="s">
        <v>2662</v>
      </c>
      <c r="G2186" s="17"/>
      <c r="H2186" s="10" t="s">
        <v>8563</v>
      </c>
      <c r="I2186" s="4" t="str">
        <f t="shared" si="239"/>
        <v>|Lawḥ-i-Basíṭu’l-Ḥaqíqíh|</v>
      </c>
      <c r="J2186" s="3" t="str">
        <f t="shared" si="240"/>
        <v>|Lawh-i-Basitu'l-Haqiqih|</v>
      </c>
      <c r="K2186" s="3" t="str">
        <f t="shared" si="241"/>
        <v>Lawh-i-Basitul-Haqiqih</v>
      </c>
      <c r="N2186" s="39" t="str">
        <f t="shared" si="242"/>
        <v/>
      </c>
      <c r="P2186" s="39" t="str">
        <f t="shared" si="243"/>
        <v/>
      </c>
      <c r="R2186" s="39" t="str">
        <f t="shared" si="244"/>
        <v/>
      </c>
      <c r="S2186" s="28"/>
      <c r="T2186" s="28"/>
      <c r="U2186" s="28"/>
    </row>
    <row r="2187" spans="1:22" s="5" customFormat="1">
      <c r="A2187" s="179" t="s">
        <v>2663</v>
      </c>
      <c r="B2187" s="185" t="s">
        <v>6784</v>
      </c>
      <c r="C2187" s="35" t="str">
        <f t="shared" si="238"/>
        <v>LawhiBismilih</v>
      </c>
      <c r="E2187" s="40"/>
      <c r="F2187" s="15" t="s">
        <v>2664</v>
      </c>
      <c r="G2187" s="17"/>
      <c r="H2187" s="10" t="s">
        <v>8563</v>
      </c>
      <c r="I2187" s="4" t="str">
        <f t="shared" si="239"/>
        <v>|Lawḥ-i-Bismilih|</v>
      </c>
      <c r="J2187" s="3" t="str">
        <f t="shared" si="240"/>
        <v>|Lawh-i-Bismilih|</v>
      </c>
      <c r="K2187" s="3" t="str">
        <f t="shared" si="241"/>
        <v>Lawh-i-Bismilih</v>
      </c>
      <c r="N2187" s="39" t="str">
        <f t="shared" si="242"/>
        <v/>
      </c>
      <c r="P2187" s="39" t="str">
        <f t="shared" si="243"/>
        <v/>
      </c>
      <c r="R2187" s="39" t="str">
        <f t="shared" si="244"/>
        <v/>
      </c>
      <c r="S2187" s="28"/>
      <c r="T2187" s="28"/>
      <c r="U2187" s="28"/>
    </row>
    <row r="2188" spans="1:22" s="5" customFormat="1">
      <c r="A2188" s="179" t="s">
        <v>2665</v>
      </c>
      <c r="B2188" s="185" t="s">
        <v>6785</v>
      </c>
      <c r="C2188" s="35" t="str">
        <f t="shared" si="238"/>
        <v>LawhiBulbululFiraq</v>
      </c>
      <c r="E2188" s="40"/>
      <c r="F2188" s="15" t="s">
        <v>2666</v>
      </c>
      <c r="G2188" s="17"/>
      <c r="H2188" s="10" t="s">
        <v>8563</v>
      </c>
      <c r="I2188" s="4" t="str">
        <f t="shared" si="239"/>
        <v>|Lawḥ-i-Bulbulu’l-Firáq|</v>
      </c>
      <c r="J2188" s="3" t="str">
        <f t="shared" si="240"/>
        <v>|Lawh-i-Bulbulu'l-Firaq|</v>
      </c>
      <c r="K2188" s="3" t="str">
        <f t="shared" si="241"/>
        <v>Lawh-i-Bulbulul-Firaq</v>
      </c>
      <c r="N2188" s="39" t="str">
        <f t="shared" si="242"/>
        <v/>
      </c>
      <c r="P2188" s="39" t="str">
        <f t="shared" si="243"/>
        <v/>
      </c>
      <c r="R2188" s="39" t="str">
        <f t="shared" si="244"/>
        <v/>
      </c>
      <c r="S2188" s="28"/>
      <c r="T2188" s="28"/>
      <c r="U2188" s="28"/>
    </row>
    <row r="2189" spans="1:22" s="5" customFormat="1">
      <c r="A2189" s="179" t="s">
        <v>2667</v>
      </c>
      <c r="B2189" s="185" t="s">
        <v>6786</v>
      </c>
      <c r="C2189" s="35" t="str">
        <f t="shared" si="238"/>
        <v>LawhiBurhan</v>
      </c>
      <c r="E2189" s="40"/>
      <c r="F2189" s="14"/>
      <c r="G2189" s="17"/>
      <c r="H2189" s="10" t="s">
        <v>8563</v>
      </c>
      <c r="I2189" s="4" t="str">
        <f t="shared" si="239"/>
        <v>|Lawḥ-i-Burhán|</v>
      </c>
      <c r="J2189" s="3" t="str">
        <f t="shared" si="240"/>
        <v>|Lawh-i-Burhan|</v>
      </c>
      <c r="K2189" s="3" t="str">
        <f t="shared" si="241"/>
        <v>Lawh-i-Burhan</v>
      </c>
      <c r="N2189" s="39" t="str">
        <f t="shared" si="242"/>
        <v/>
      </c>
      <c r="P2189" s="39" t="str">
        <f t="shared" si="243"/>
        <v/>
      </c>
      <c r="R2189" s="39" t="str">
        <f t="shared" si="244"/>
        <v/>
      </c>
      <c r="S2189" s="28"/>
      <c r="T2189" s="28"/>
      <c r="U2189" s="28"/>
    </row>
    <row r="2190" spans="1:22" s="5" customFormat="1">
      <c r="A2190" s="179" t="s">
        <v>2668</v>
      </c>
      <c r="B2190" s="185" t="s">
        <v>6787</v>
      </c>
      <c r="C2190" s="35" t="str">
        <f t="shared" si="238"/>
        <v>LawhiDunya</v>
      </c>
      <c r="E2190" s="40"/>
      <c r="F2190" s="14"/>
      <c r="G2190" s="17"/>
      <c r="H2190" s="10" t="s">
        <v>8563</v>
      </c>
      <c r="I2190" s="4" t="str">
        <f t="shared" si="239"/>
        <v>|Lawḥ-i-Dunyá|</v>
      </c>
      <c r="J2190" s="3" t="str">
        <f t="shared" si="240"/>
        <v>|Lawh-i-Dunya|</v>
      </c>
      <c r="K2190" s="3" t="str">
        <f t="shared" si="241"/>
        <v>Lawh-i-Dunya</v>
      </c>
      <c r="N2190" s="39" t="str">
        <f t="shared" si="242"/>
        <v/>
      </c>
      <c r="P2190" s="39" t="str">
        <f t="shared" si="243"/>
        <v/>
      </c>
      <c r="R2190" s="39" t="str">
        <f t="shared" si="244"/>
        <v/>
      </c>
      <c r="S2190" s="28"/>
      <c r="T2190" s="29">
        <v>41801</v>
      </c>
      <c r="U2190" s="28" t="s">
        <v>9426</v>
      </c>
    </row>
    <row r="2191" spans="1:22" s="5" customFormat="1">
      <c r="A2191" s="179" t="s">
        <v>2669</v>
      </c>
      <c r="B2191" s="185" t="s">
        <v>6788</v>
      </c>
      <c r="C2191" s="35" t="str">
        <f t="shared" si="238"/>
        <v>LawhiFitnih</v>
      </c>
      <c r="E2191" s="40"/>
      <c r="F2191" s="15" t="s">
        <v>2670</v>
      </c>
      <c r="G2191" s="17"/>
      <c r="H2191" s="10" t="s">
        <v>8563</v>
      </c>
      <c r="I2191" s="4" t="str">
        <f t="shared" si="239"/>
        <v>|Lawḥ-i-Fitnih|</v>
      </c>
      <c r="J2191" s="3" t="str">
        <f t="shared" si="240"/>
        <v>|Lawh-i-Fitnih|</v>
      </c>
      <c r="K2191" s="3" t="str">
        <f t="shared" si="241"/>
        <v>Lawh-i-Fitnih</v>
      </c>
      <c r="N2191" s="39" t="str">
        <f t="shared" si="242"/>
        <v/>
      </c>
      <c r="P2191" s="39" t="str">
        <f t="shared" si="243"/>
        <v/>
      </c>
      <c r="R2191" s="39" t="str">
        <f t="shared" si="244"/>
        <v/>
      </c>
      <c r="S2191" s="28"/>
      <c r="T2191" s="28"/>
      <c r="U2191" s="28"/>
      <c r="V2191" s="1"/>
    </row>
    <row r="2192" spans="1:22" s="5" customFormat="1">
      <c r="A2192" s="179" t="s">
        <v>2671</v>
      </c>
      <c r="B2192" s="185" t="s">
        <v>6789</v>
      </c>
      <c r="C2192" s="35" t="str">
        <f t="shared" si="238"/>
        <v>LawhiFuad</v>
      </c>
      <c r="E2192" s="40" t="s">
        <v>9115</v>
      </c>
      <c r="F2192" s="14"/>
      <c r="G2192" s="17" t="s">
        <v>9060</v>
      </c>
      <c r="H2192" s="10" t="s">
        <v>8563</v>
      </c>
      <c r="I2192" s="4" t="str">
        <f t="shared" si="239"/>
        <v>|Lawḥ-i-Fu’ád|</v>
      </c>
      <c r="J2192" s="3" t="str">
        <f t="shared" si="240"/>
        <v>|Lawh-i-Fu'ad|</v>
      </c>
      <c r="K2192" s="3" t="str">
        <f t="shared" si="241"/>
        <v>Lawh-i-Fuad</v>
      </c>
      <c r="N2192" s="39" t="str">
        <f t="shared" si="242"/>
        <v/>
      </c>
      <c r="P2192" s="39" t="str">
        <f t="shared" si="243"/>
        <v/>
      </c>
      <c r="R2192" s="39" t="str">
        <f t="shared" si="244"/>
        <v/>
      </c>
      <c r="S2192" s="28"/>
      <c r="T2192" s="28"/>
      <c r="U2192" s="28"/>
    </row>
    <row r="2193" spans="1:21" s="5" customFormat="1">
      <c r="A2193" s="179" t="s">
        <v>2672</v>
      </c>
      <c r="B2193" s="185" t="s">
        <v>6790</v>
      </c>
      <c r="C2193" s="35" t="str">
        <f t="shared" si="238"/>
        <v>LawhiGhulamulKhuld</v>
      </c>
      <c r="E2193" s="40"/>
      <c r="F2193" s="15" t="s">
        <v>2673</v>
      </c>
      <c r="G2193" s="17"/>
      <c r="H2193" s="10" t="s">
        <v>8563</v>
      </c>
      <c r="I2193" s="4" t="str">
        <f t="shared" si="239"/>
        <v>|Lawḥ-i-ulámu’l-uld|</v>
      </c>
      <c r="J2193" s="3" t="str">
        <f t="shared" si="240"/>
        <v>|Lawh-i-Ghulamu'l-Khuld|</v>
      </c>
      <c r="K2193" s="3" t="str">
        <f t="shared" si="241"/>
        <v>Lawh-i-Ghulamul-Khuld</v>
      </c>
      <c r="N2193" s="39" t="str">
        <f t="shared" si="242"/>
        <v/>
      </c>
      <c r="P2193" s="39" t="str">
        <f t="shared" si="243"/>
        <v/>
      </c>
      <c r="R2193" s="39" t="str">
        <f t="shared" si="244"/>
        <v/>
      </c>
      <c r="S2193" s="28"/>
      <c r="T2193" s="28"/>
      <c r="U2193" s="28"/>
    </row>
    <row r="2194" spans="1:21" s="5" customFormat="1">
      <c r="A2194" s="179" t="s">
        <v>2674</v>
      </c>
      <c r="B2194" s="185" t="s">
        <v>6791</v>
      </c>
      <c r="C2194" s="35" t="str">
        <f t="shared" si="238"/>
        <v>LawhiHabib</v>
      </c>
      <c r="E2194" s="40"/>
      <c r="F2194" s="15" t="s">
        <v>775</v>
      </c>
      <c r="G2194" s="17"/>
      <c r="H2194" s="10" t="s">
        <v>8563</v>
      </c>
      <c r="I2194" s="4" t="str">
        <f t="shared" si="239"/>
        <v>|Lawḥ-i-Ḥabíb|</v>
      </c>
      <c r="J2194" s="3" t="str">
        <f t="shared" si="240"/>
        <v>|Lawh-i-Habib|</v>
      </c>
      <c r="K2194" s="3" t="str">
        <f t="shared" si="241"/>
        <v>Lawh-i-Habib</v>
      </c>
      <c r="N2194" s="39" t="str">
        <f t="shared" si="242"/>
        <v/>
      </c>
      <c r="P2194" s="39" t="str">
        <f t="shared" si="243"/>
        <v/>
      </c>
      <c r="R2194" s="39" t="str">
        <f t="shared" si="244"/>
        <v/>
      </c>
      <c r="S2194" s="28"/>
      <c r="T2194" s="28"/>
      <c r="U2194" s="28"/>
    </row>
    <row r="2195" spans="1:21" s="5" customFormat="1">
      <c r="A2195" s="179"/>
      <c r="B2195" s="185" t="s">
        <v>9071</v>
      </c>
      <c r="C2195" s="35" t="str">
        <f t="shared" si="238"/>
        <v>LawhiHadi</v>
      </c>
      <c r="E2195" s="40"/>
      <c r="F2195" s="15"/>
      <c r="G2195" s="17"/>
      <c r="H2195" s="10"/>
      <c r="I2195" s="4" t="str">
        <f t="shared" si="239"/>
        <v>|Lawḥ-i-Hádí|</v>
      </c>
      <c r="J2195" s="3" t="str">
        <f t="shared" si="240"/>
        <v>|Lawh-i-Hadi|</v>
      </c>
      <c r="K2195" s="3" t="str">
        <f t="shared" si="241"/>
        <v>Lawh-i-Hadi</v>
      </c>
      <c r="L2195" s="1"/>
      <c r="N2195" s="39" t="str">
        <f t="shared" si="242"/>
        <v/>
      </c>
      <c r="P2195" s="39" t="str">
        <f t="shared" si="243"/>
        <v/>
      </c>
      <c r="R2195" s="39" t="str">
        <f t="shared" si="244"/>
        <v/>
      </c>
      <c r="S2195" s="29">
        <v>41771</v>
      </c>
      <c r="T2195" s="29">
        <v>41801</v>
      </c>
      <c r="U2195" s="28" t="s">
        <v>9488</v>
      </c>
    </row>
    <row r="2196" spans="1:21" s="5" customFormat="1">
      <c r="A2196" s="179" t="s">
        <v>2675</v>
      </c>
      <c r="B2196" s="185" t="s">
        <v>6792</v>
      </c>
      <c r="C2196" s="35" t="str">
        <f t="shared" si="238"/>
        <v>LawhiHaft</v>
      </c>
      <c r="E2196" s="40"/>
      <c r="F2196" s="14"/>
      <c r="G2196" s="17"/>
      <c r="H2196" s="10" t="s">
        <v>8563</v>
      </c>
      <c r="I2196" s="4" t="str">
        <f t="shared" si="239"/>
        <v>|Lawḥ-i-Haft|</v>
      </c>
      <c r="J2196" s="3" t="str">
        <f t="shared" si="240"/>
        <v>|Lawh-i-Haft|</v>
      </c>
      <c r="K2196" s="3" t="str">
        <f t="shared" si="241"/>
        <v>Lawh-i-Haft</v>
      </c>
      <c r="N2196" s="39" t="str">
        <f t="shared" si="242"/>
        <v/>
      </c>
      <c r="P2196" s="39" t="str">
        <f t="shared" si="243"/>
        <v/>
      </c>
      <c r="R2196" s="39" t="str">
        <f t="shared" si="244"/>
        <v/>
      </c>
      <c r="S2196" s="28"/>
      <c r="T2196" s="28"/>
      <c r="U2196" s="28"/>
    </row>
    <row r="2197" spans="1:21" s="5" customFormat="1">
      <c r="A2197" s="179" t="s">
        <v>2676</v>
      </c>
      <c r="B2197" s="185" t="s">
        <v>6793</v>
      </c>
      <c r="C2197" s="35" t="str">
        <f t="shared" si="238"/>
        <v>LawhiHaftPursish</v>
      </c>
      <c r="E2197" s="40"/>
      <c r="F2197" s="15" t="s">
        <v>2677</v>
      </c>
      <c r="G2197" s="17"/>
      <c r="H2197" s="10" t="s">
        <v>8563</v>
      </c>
      <c r="I2197" s="4" t="str">
        <f t="shared" si="239"/>
        <v>|Lawḥ-i-Haft-Pursi|</v>
      </c>
      <c r="J2197" s="3" t="str">
        <f t="shared" si="240"/>
        <v>|Lawh-i-Haft-Pursish|</v>
      </c>
      <c r="K2197" s="3" t="str">
        <f t="shared" si="241"/>
        <v>Lawh-i-Haft-Pursish</v>
      </c>
      <c r="N2197" s="39" t="str">
        <f t="shared" si="242"/>
        <v/>
      </c>
      <c r="P2197" s="39" t="str">
        <f t="shared" si="243"/>
        <v/>
      </c>
      <c r="R2197" s="39" t="str">
        <f t="shared" si="244"/>
        <v/>
      </c>
      <c r="S2197" s="28"/>
      <c r="T2197" s="28"/>
      <c r="U2197" s="28"/>
    </row>
    <row r="2198" spans="1:21" s="5" customFormat="1">
      <c r="A2198" s="179" t="s">
        <v>2678</v>
      </c>
      <c r="B2198" s="185" t="s">
        <v>6794</v>
      </c>
      <c r="C2198" s="35" t="str">
        <f t="shared" si="238"/>
        <v>LawhiHalih</v>
      </c>
      <c r="E2198" s="40"/>
      <c r="F2198" s="15"/>
      <c r="G2198" s="17"/>
      <c r="H2198" s="10" t="s">
        <v>8563</v>
      </c>
      <c r="I2198" s="4" t="str">
        <f t="shared" si="239"/>
        <v>|Lawḥ-i-Halih|</v>
      </c>
      <c r="J2198" s="3" t="str">
        <f t="shared" si="240"/>
        <v>|Lawh-i-Halih|</v>
      </c>
      <c r="K2198" s="3" t="str">
        <f t="shared" si="241"/>
        <v>Lawh-i-Halih</v>
      </c>
      <c r="N2198" s="39" t="str">
        <f t="shared" si="242"/>
        <v/>
      </c>
      <c r="P2198" s="39" t="str">
        <f t="shared" si="243"/>
        <v/>
      </c>
      <c r="R2198" s="39" t="str">
        <f t="shared" si="244"/>
        <v/>
      </c>
      <c r="S2198" s="28"/>
      <c r="T2198" s="28"/>
      <c r="U2198" s="28"/>
    </row>
    <row r="2199" spans="1:21" s="5" customFormat="1">
      <c r="A2199" s="179" t="s">
        <v>2679</v>
      </c>
      <c r="B2199" s="185" t="s">
        <v>6795</v>
      </c>
      <c r="C2199" s="35" t="str">
        <f t="shared" si="238"/>
        <v>LawhiHaqq</v>
      </c>
      <c r="E2199" s="40"/>
      <c r="F2199" s="15" t="s">
        <v>775</v>
      </c>
      <c r="G2199" s="17"/>
      <c r="H2199" s="10" t="s">
        <v>8563</v>
      </c>
      <c r="I2199" s="4" t="str">
        <f t="shared" si="239"/>
        <v>|Lawḥ-i-Ḥaqq|</v>
      </c>
      <c r="J2199" s="3" t="str">
        <f t="shared" si="240"/>
        <v>|Lawh-i-Haqq|</v>
      </c>
      <c r="K2199" s="3" t="str">
        <f t="shared" si="241"/>
        <v>Lawh-i-Haqq</v>
      </c>
      <c r="N2199" s="39" t="str">
        <f t="shared" si="242"/>
        <v/>
      </c>
      <c r="P2199" s="39" t="str">
        <f t="shared" si="243"/>
        <v/>
      </c>
      <c r="R2199" s="39" t="str">
        <f t="shared" si="244"/>
        <v/>
      </c>
      <c r="S2199" s="28"/>
      <c r="T2199" s="28"/>
      <c r="U2199" s="28"/>
    </row>
    <row r="2200" spans="1:21" s="5" customFormat="1">
      <c r="A2200" s="179" t="s">
        <v>2680</v>
      </c>
      <c r="B2200" s="185" t="s">
        <v>6796</v>
      </c>
      <c r="C2200" s="35" t="str">
        <f t="shared" si="238"/>
        <v>LawhiHawdaj</v>
      </c>
      <c r="E2200" s="40"/>
      <c r="F2200" s="14"/>
      <c r="G2200" s="17"/>
      <c r="H2200" s="10" t="s">
        <v>8563</v>
      </c>
      <c r="I2200" s="4" t="str">
        <f t="shared" si="239"/>
        <v>|Lawḥ-i-Hawdaj|</v>
      </c>
      <c r="J2200" s="3" t="str">
        <f t="shared" si="240"/>
        <v>|Lawh-i-Hawdaj|</v>
      </c>
      <c r="K2200" s="3" t="str">
        <f t="shared" si="241"/>
        <v>Lawh-i-Hawdaj</v>
      </c>
      <c r="N2200" s="39" t="str">
        <f t="shared" si="242"/>
        <v/>
      </c>
      <c r="P2200" s="39" t="str">
        <f t="shared" si="243"/>
        <v/>
      </c>
      <c r="R2200" s="39" t="str">
        <f t="shared" si="244"/>
        <v/>
      </c>
      <c r="S2200" s="28"/>
      <c r="T2200" s="28"/>
      <c r="U2200" s="28"/>
    </row>
    <row r="2201" spans="1:21" s="5" customFormat="1">
      <c r="A2201" s="179" t="s">
        <v>2681</v>
      </c>
      <c r="B2201" s="185" t="s">
        <v>6797</v>
      </c>
      <c r="C2201" s="35" t="str">
        <f t="shared" si="238"/>
        <v>LawhiHaykal</v>
      </c>
      <c r="E2201" s="40"/>
      <c r="F2201" s="14"/>
      <c r="G2201" s="17"/>
      <c r="H2201" s="10" t="s">
        <v>8563</v>
      </c>
      <c r="I2201" s="4" t="str">
        <f t="shared" si="239"/>
        <v>|Lawḥ-i-Haykal|</v>
      </c>
      <c r="J2201" s="3" t="str">
        <f t="shared" si="240"/>
        <v>|Lawh-i-Haykal|</v>
      </c>
      <c r="K2201" s="3" t="str">
        <f t="shared" si="241"/>
        <v>Lawh-i-Haykal</v>
      </c>
      <c r="N2201" s="39" t="str">
        <f t="shared" si="242"/>
        <v/>
      </c>
      <c r="P2201" s="39" t="str">
        <f t="shared" si="243"/>
        <v/>
      </c>
      <c r="R2201" s="39" t="str">
        <f t="shared" si="244"/>
        <v/>
      </c>
      <c r="S2201" s="28"/>
      <c r="T2201" s="28"/>
      <c r="U2201" s="28"/>
    </row>
    <row r="2202" spans="1:21" s="5" customFormat="1">
      <c r="A2202" s="179" t="s">
        <v>2682</v>
      </c>
      <c r="B2202" s="185" t="s">
        <v>6798</v>
      </c>
      <c r="C2202" s="35" t="str">
        <f t="shared" si="238"/>
        <v>LawhiHikmat</v>
      </c>
      <c r="E2202" s="40"/>
      <c r="F2202" s="15" t="s">
        <v>2683</v>
      </c>
      <c r="G2202" s="17"/>
      <c r="H2202" s="10" t="s">
        <v>8563</v>
      </c>
      <c r="I2202" s="4" t="str">
        <f t="shared" si="239"/>
        <v>|Lawḥ-i-Ḥikmat|</v>
      </c>
      <c r="J2202" s="3" t="str">
        <f t="shared" si="240"/>
        <v>|Lawh-i-Hikmat|</v>
      </c>
      <c r="K2202" s="3" t="str">
        <f t="shared" si="241"/>
        <v>Lawh-i-Hikmat</v>
      </c>
      <c r="N2202" s="39" t="str">
        <f t="shared" si="242"/>
        <v/>
      </c>
      <c r="P2202" s="39" t="str">
        <f t="shared" si="243"/>
        <v/>
      </c>
      <c r="R2202" s="39" t="str">
        <f t="shared" si="244"/>
        <v/>
      </c>
      <c r="S2202" s="28"/>
      <c r="T2202" s="29">
        <v>41801</v>
      </c>
      <c r="U2202" s="28" t="s">
        <v>9430</v>
      </c>
    </row>
    <row r="2203" spans="1:21" s="5" customFormat="1">
      <c r="A2203" s="179" t="s">
        <v>2684</v>
      </c>
      <c r="B2203" s="185" t="s">
        <v>6799</v>
      </c>
      <c r="C2203" s="35" t="str">
        <f t="shared" si="238"/>
        <v>LawhiHirtik</v>
      </c>
      <c r="E2203" s="40"/>
      <c r="F2203" s="15" t="s">
        <v>2685</v>
      </c>
      <c r="G2203" s="17"/>
      <c r="H2203" s="10" t="s">
        <v>8563</v>
      </c>
      <c r="I2203" s="4" t="str">
        <f t="shared" si="239"/>
        <v>|Lawḥ-i-Hirtík|</v>
      </c>
      <c r="J2203" s="3" t="str">
        <f t="shared" si="240"/>
        <v>|Lawh-i-Hirtik|</v>
      </c>
      <c r="K2203" s="3" t="str">
        <f t="shared" si="241"/>
        <v>Lawh-i-Hirtik</v>
      </c>
      <c r="N2203" s="39" t="str">
        <f t="shared" si="242"/>
        <v/>
      </c>
      <c r="P2203" s="39" t="str">
        <f t="shared" si="243"/>
        <v/>
      </c>
      <c r="R2203" s="39" t="str">
        <f t="shared" si="244"/>
        <v/>
      </c>
      <c r="S2203" s="28"/>
      <c r="T2203" s="28"/>
      <c r="U2203" s="28"/>
    </row>
    <row r="2204" spans="1:21" s="5" customFormat="1">
      <c r="A2204" s="179" t="s">
        <v>2686</v>
      </c>
      <c r="B2204" s="185" t="s">
        <v>6800</v>
      </c>
      <c r="C2204" s="35" t="str">
        <f t="shared" si="238"/>
        <v>LawhiHizar</v>
      </c>
      <c r="E2204" s="40"/>
      <c r="F2204" s="15" t="s">
        <v>2687</v>
      </c>
      <c r="G2204" s="17"/>
      <c r="H2204" s="10" t="s">
        <v>8563</v>
      </c>
      <c r="I2204" s="4" t="str">
        <f t="shared" si="239"/>
        <v>|Lawḥ-i-Hizár|</v>
      </c>
      <c r="J2204" s="3" t="str">
        <f t="shared" si="240"/>
        <v>|Lawh-i-Hizar|</v>
      </c>
      <c r="K2204" s="3" t="str">
        <f t="shared" si="241"/>
        <v>Lawh-i-Hizar</v>
      </c>
      <c r="N2204" s="39" t="str">
        <f t="shared" si="242"/>
        <v/>
      </c>
      <c r="P2204" s="39" t="str">
        <f t="shared" si="243"/>
        <v/>
      </c>
      <c r="R2204" s="39" t="str">
        <f t="shared" si="244"/>
        <v/>
      </c>
      <c r="S2204" s="28"/>
      <c r="T2204" s="28"/>
      <c r="U2204" s="28"/>
    </row>
    <row r="2205" spans="1:21" s="5" customFormat="1">
      <c r="A2205" s="179" t="s">
        <v>2688</v>
      </c>
      <c r="B2205" s="185" t="s">
        <v>6801</v>
      </c>
      <c r="C2205" s="35" t="str">
        <f t="shared" si="238"/>
        <v>LawhiHuriyyih</v>
      </c>
      <c r="E2205" s="40"/>
      <c r="F2205" s="15" t="s">
        <v>2689</v>
      </c>
      <c r="G2205" s="17"/>
      <c r="H2205" s="10" t="s">
        <v>8563</v>
      </c>
      <c r="I2205" s="4" t="str">
        <f t="shared" si="239"/>
        <v>|Lawḥ-i-Ḥuríyyih|</v>
      </c>
      <c r="J2205" s="3" t="str">
        <f t="shared" si="240"/>
        <v>|Lawh-i-Huriyyih|</v>
      </c>
      <c r="K2205" s="3" t="str">
        <f t="shared" si="241"/>
        <v>Lawh-i-Huriyyih</v>
      </c>
      <c r="N2205" s="39" t="str">
        <f t="shared" si="242"/>
        <v/>
      </c>
      <c r="P2205" s="39" t="str">
        <f t="shared" si="243"/>
        <v/>
      </c>
      <c r="R2205" s="39" t="str">
        <f t="shared" si="244"/>
        <v/>
      </c>
      <c r="S2205" s="28"/>
      <c r="T2205" s="28"/>
      <c r="U2205" s="28"/>
    </row>
    <row r="2206" spans="1:21" s="5" customFormat="1">
      <c r="A2206" s="179" t="s">
        <v>2690</v>
      </c>
      <c r="B2206" s="185" t="s">
        <v>6802</v>
      </c>
      <c r="C2206" s="35" t="str">
        <f t="shared" si="238"/>
        <v>LawhiHurufat</v>
      </c>
      <c r="E2206" s="40"/>
      <c r="F2206" s="15" t="s">
        <v>2691</v>
      </c>
      <c r="G2206" s="17"/>
      <c r="H2206" s="10" t="s">
        <v>8563</v>
      </c>
      <c r="I2206" s="4" t="str">
        <f t="shared" si="239"/>
        <v>|Lawḥ-i-Ḥurúfát|</v>
      </c>
      <c r="J2206" s="3" t="str">
        <f t="shared" si="240"/>
        <v>|Lawh-i-Hurufat|</v>
      </c>
      <c r="K2206" s="3" t="str">
        <f t="shared" si="241"/>
        <v>Lawh-i-Hurufat</v>
      </c>
      <c r="N2206" s="39" t="str">
        <f t="shared" si="242"/>
        <v/>
      </c>
      <c r="P2206" s="39" t="str">
        <f t="shared" si="243"/>
        <v/>
      </c>
      <c r="R2206" s="39" t="str">
        <f t="shared" si="244"/>
        <v/>
      </c>
      <c r="S2206" s="28"/>
      <c r="T2206" s="28"/>
      <c r="U2206" s="28"/>
    </row>
    <row r="2207" spans="1:21" s="5" customFormat="1">
      <c r="A2207" s="179" t="s">
        <v>2692</v>
      </c>
      <c r="B2207" s="185" t="s">
        <v>6803</v>
      </c>
      <c r="C2207" s="35" t="str">
        <f t="shared" si="238"/>
        <v>LawhiHusayn</v>
      </c>
      <c r="E2207" s="40"/>
      <c r="F2207" s="15" t="s">
        <v>775</v>
      </c>
      <c r="G2207" s="17"/>
      <c r="H2207" s="10" t="s">
        <v>8563</v>
      </c>
      <c r="I2207" s="4" t="str">
        <f t="shared" si="239"/>
        <v>|Lawḥ-i-Ḥusayn|</v>
      </c>
      <c r="J2207" s="3" t="str">
        <f t="shared" si="240"/>
        <v>|Lawh-i-Husayn|</v>
      </c>
      <c r="K2207" s="3" t="str">
        <f t="shared" si="241"/>
        <v>Lawh-i-Husayn</v>
      </c>
      <c r="N2207" s="39" t="str">
        <f t="shared" si="242"/>
        <v/>
      </c>
      <c r="P2207" s="39" t="str">
        <f t="shared" si="243"/>
        <v/>
      </c>
      <c r="R2207" s="39" t="str">
        <f t="shared" si="244"/>
        <v/>
      </c>
      <c r="S2207" s="28"/>
      <c r="T2207" s="28"/>
      <c r="U2207" s="28"/>
    </row>
    <row r="2208" spans="1:21" s="5" customFormat="1">
      <c r="A2208" s="179" t="s">
        <v>2693</v>
      </c>
      <c r="B2208" s="185" t="s">
        <v>6804</v>
      </c>
      <c r="C2208" s="35" t="str">
        <f t="shared" si="238"/>
        <v>LawhiIbniDhib</v>
      </c>
      <c r="E2208" s="40"/>
      <c r="F2208" s="15" t="s">
        <v>2694</v>
      </c>
      <c r="G2208" s="17"/>
      <c r="H2208" s="10" t="s">
        <v>8563</v>
      </c>
      <c r="I2208" s="4" t="str">
        <f t="shared" si="239"/>
        <v>|Lawḥ-i-Ibn-i-i’b|</v>
      </c>
      <c r="J2208" s="3" t="str">
        <f t="shared" si="240"/>
        <v>|Lawh-i-Ibn-i-Dhi'b|</v>
      </c>
      <c r="K2208" s="3" t="str">
        <f t="shared" si="241"/>
        <v>Lawh-i-Ibn-i-Dhib</v>
      </c>
      <c r="N2208" s="39" t="str">
        <f t="shared" si="242"/>
        <v/>
      </c>
      <c r="P2208" s="39" t="str">
        <f t="shared" si="243"/>
        <v/>
      </c>
      <c r="R2208" s="39" t="str">
        <f t="shared" si="244"/>
        <v/>
      </c>
      <c r="S2208" s="28"/>
      <c r="T2208" s="28"/>
      <c r="U2208" s="28"/>
    </row>
    <row r="2209" spans="1:21" s="5" customFormat="1">
      <c r="A2209" s="179" t="s">
        <v>2695</v>
      </c>
      <c r="B2209" s="185" t="s">
        <v>6805</v>
      </c>
      <c r="C2209" s="35" t="str">
        <f t="shared" si="238"/>
        <v>LawhiIttihad</v>
      </c>
      <c r="E2209" s="40"/>
      <c r="F2209" s="15" t="s">
        <v>2696</v>
      </c>
      <c r="G2209" s="17"/>
      <c r="H2209" s="10" t="s">
        <v>8563</v>
      </c>
      <c r="I2209" s="4" t="str">
        <f t="shared" si="239"/>
        <v>|Lawḥ-i-Ittiḥád|</v>
      </c>
      <c r="J2209" s="3" t="str">
        <f t="shared" si="240"/>
        <v>|Lawh-i-Ittihad|</v>
      </c>
      <c r="K2209" s="3" t="str">
        <f t="shared" si="241"/>
        <v>Lawh-i-Ittihad</v>
      </c>
      <c r="N2209" s="39" t="str">
        <f t="shared" si="242"/>
        <v/>
      </c>
      <c r="P2209" s="39" t="str">
        <f t="shared" si="243"/>
        <v/>
      </c>
      <c r="R2209" s="39" t="str">
        <f t="shared" si="244"/>
        <v/>
      </c>
      <c r="S2209" s="28"/>
      <c r="T2209" s="28"/>
      <c r="U2209" s="28"/>
    </row>
    <row r="2210" spans="1:21" s="5" customFormat="1">
      <c r="A2210" s="179" t="s">
        <v>2697</v>
      </c>
      <c r="B2210" s="185" t="s">
        <v>6806</v>
      </c>
      <c r="C2210" s="35" t="str">
        <f t="shared" si="238"/>
        <v>LawhiJamal</v>
      </c>
      <c r="E2210" s="40"/>
      <c r="F2210" s="15" t="s">
        <v>2698</v>
      </c>
      <c r="G2210" s="17"/>
      <c r="H2210" s="10" t="s">
        <v>8563</v>
      </c>
      <c r="I2210" s="4" t="str">
        <f t="shared" si="239"/>
        <v>|Lawḥ-i-Jamál|</v>
      </c>
      <c r="J2210" s="3" t="str">
        <f t="shared" si="240"/>
        <v>|Lawh-i-Jamal|</v>
      </c>
      <c r="K2210" s="3" t="str">
        <f t="shared" si="241"/>
        <v>Lawh-i-Jamal</v>
      </c>
      <c r="N2210" s="39" t="str">
        <f t="shared" si="242"/>
        <v/>
      </c>
      <c r="P2210" s="39" t="str">
        <f t="shared" si="243"/>
        <v/>
      </c>
      <c r="R2210" s="39" t="str">
        <f t="shared" si="244"/>
        <v/>
      </c>
      <c r="S2210" s="28"/>
      <c r="T2210" s="28"/>
      <c r="U2210" s="28"/>
    </row>
    <row r="2211" spans="1:21" s="5" customFormat="1">
      <c r="A2211" s="179" t="s">
        <v>2699</v>
      </c>
      <c r="B2211" s="185" t="s">
        <v>6807</v>
      </c>
      <c r="C2211" s="35" t="str">
        <f t="shared" si="238"/>
        <v>LawhiKarim</v>
      </c>
      <c r="E2211" s="40"/>
      <c r="F2211" s="15" t="s">
        <v>2700</v>
      </c>
      <c r="G2211" s="17"/>
      <c r="H2211" s="10" t="s">
        <v>8563</v>
      </c>
      <c r="I2211" s="4" t="str">
        <f t="shared" si="239"/>
        <v>|Lawḥ-i-Karím|</v>
      </c>
      <c r="J2211" s="3" t="str">
        <f t="shared" si="240"/>
        <v>|Lawh-i-Karim|</v>
      </c>
      <c r="K2211" s="3" t="str">
        <f t="shared" si="241"/>
        <v>Lawh-i-Karim</v>
      </c>
      <c r="N2211" s="39" t="str">
        <f t="shared" si="242"/>
        <v/>
      </c>
      <c r="P2211" s="39" t="str">
        <f t="shared" si="243"/>
        <v/>
      </c>
      <c r="R2211" s="39" t="str">
        <f t="shared" si="244"/>
        <v/>
      </c>
      <c r="S2211" s="28"/>
      <c r="T2211" s="28"/>
      <c r="U2211" s="28"/>
    </row>
    <row r="2212" spans="1:21" s="5" customFormat="1">
      <c r="A2212" s="179" t="s">
        <v>2701</v>
      </c>
      <c r="B2212" s="185" t="s">
        <v>6808</v>
      </c>
      <c r="C2212" s="35" t="str">
        <f t="shared" si="238"/>
        <v>LawhiKarmil</v>
      </c>
      <c r="E2212" s="40"/>
      <c r="F2212" s="14"/>
      <c r="G2212" s="17"/>
      <c r="H2212" s="10" t="s">
        <v>8563</v>
      </c>
      <c r="I2212" s="4" t="str">
        <f t="shared" si="239"/>
        <v>|Lawḥ-i-Karmil|</v>
      </c>
      <c r="J2212" s="3" t="str">
        <f t="shared" si="240"/>
        <v>|Lawh-i-Karmil|</v>
      </c>
      <c r="K2212" s="3" t="str">
        <f t="shared" si="241"/>
        <v>Lawh-i-Karmil</v>
      </c>
      <c r="N2212" s="39" t="str">
        <f t="shared" si="242"/>
        <v/>
      </c>
      <c r="P2212" s="39" t="str">
        <f t="shared" si="243"/>
        <v/>
      </c>
      <c r="R2212" s="39" t="str">
        <f t="shared" si="244"/>
        <v/>
      </c>
      <c r="S2212" s="28"/>
      <c r="T2212" s="28"/>
      <c r="U2212" s="28"/>
    </row>
    <row r="2213" spans="1:21" s="5" customFormat="1">
      <c r="A2213" s="179" t="s">
        <v>2702</v>
      </c>
      <c r="B2213" s="185" t="s">
        <v>6809</v>
      </c>
      <c r="C2213" s="35" t="str">
        <f t="shared" si="238"/>
        <v>LawhiKhalil</v>
      </c>
      <c r="E2213" s="40"/>
      <c r="F2213" s="15" t="s">
        <v>2703</v>
      </c>
      <c r="G2213" s="17"/>
      <c r="H2213" s="10" t="s">
        <v>8563</v>
      </c>
      <c r="I2213" s="4" t="str">
        <f t="shared" si="239"/>
        <v>|Lawḥ-i-alíl|</v>
      </c>
      <c r="J2213" s="3" t="str">
        <f t="shared" si="240"/>
        <v>|Lawh-i-Khalil|</v>
      </c>
      <c r="K2213" s="3" t="str">
        <f t="shared" si="241"/>
        <v>Lawh-i-Khalil</v>
      </c>
      <c r="N2213" s="39" t="str">
        <f t="shared" si="242"/>
        <v/>
      </c>
      <c r="P2213" s="39" t="str">
        <f t="shared" si="243"/>
        <v/>
      </c>
      <c r="R2213" s="39" t="str">
        <f t="shared" si="244"/>
        <v/>
      </c>
      <c r="S2213" s="28"/>
      <c r="T2213" s="28"/>
      <c r="U2213" s="28"/>
    </row>
    <row r="2214" spans="1:21" s="5" customFormat="1">
      <c r="A2214" s="179" t="s">
        <v>2704</v>
      </c>
      <c r="B2214" s="185" t="s">
        <v>6810</v>
      </c>
      <c r="C2214" s="35" t="str">
        <f t="shared" si="238"/>
        <v>LawhiKhurasan</v>
      </c>
      <c r="E2214" s="40"/>
      <c r="F2214" s="15" t="s">
        <v>2640</v>
      </c>
      <c r="G2214" s="17"/>
      <c r="H2214" s="10" t="s">
        <v>8563</v>
      </c>
      <c r="I2214" s="4" t="str">
        <f t="shared" si="239"/>
        <v>|Lawḥ-i-urásán|</v>
      </c>
      <c r="J2214" s="3" t="str">
        <f t="shared" si="240"/>
        <v>|Lawh-i-Khurasan|</v>
      </c>
      <c r="K2214" s="3" t="str">
        <f t="shared" si="241"/>
        <v>Lawh-i-Khurasan</v>
      </c>
      <c r="N2214" s="39" t="str">
        <f t="shared" si="242"/>
        <v/>
      </c>
      <c r="P2214" s="39" t="str">
        <f t="shared" si="243"/>
        <v/>
      </c>
      <c r="R2214" s="39" t="str">
        <f t="shared" si="244"/>
        <v/>
      </c>
      <c r="S2214" s="28"/>
      <c r="T2214" s="28"/>
      <c r="U2214" s="28"/>
    </row>
    <row r="2215" spans="1:21" s="5" customFormat="1">
      <c r="A2215" s="179" t="s">
        <v>2705</v>
      </c>
      <c r="B2215" s="185" t="s">
        <v>6811</v>
      </c>
      <c r="C2215" s="35" t="str">
        <f t="shared" si="238"/>
        <v>LawhiKullutTaam</v>
      </c>
      <c r="E2215" s="40"/>
      <c r="F2215" s="15" t="s">
        <v>2706</v>
      </c>
      <c r="G2215" s="17"/>
      <c r="H2215" s="10" t="s">
        <v>8563</v>
      </c>
      <c r="I2215" s="4" t="str">
        <f t="shared" si="239"/>
        <v>|Lawḥ-i-Kullu’ṭ-Ṭaʿám|</v>
      </c>
      <c r="J2215" s="3" t="str">
        <f t="shared" si="240"/>
        <v>|Lawh-i-Kullu't-Ta'am|</v>
      </c>
      <c r="K2215" s="3" t="str">
        <f t="shared" si="241"/>
        <v>Lawh-i-Kullut-Taam</v>
      </c>
      <c r="N2215" s="39" t="str">
        <f t="shared" si="242"/>
        <v/>
      </c>
      <c r="P2215" s="39" t="str">
        <f t="shared" si="243"/>
        <v/>
      </c>
      <c r="R2215" s="39" t="str">
        <f t="shared" si="244"/>
        <v/>
      </c>
      <c r="S2215" s="28"/>
      <c r="T2215" s="28"/>
      <c r="U2215" s="28"/>
    </row>
    <row r="2216" spans="1:21" s="5" customFormat="1">
      <c r="A2216" s="179" t="s">
        <v>2707</v>
      </c>
      <c r="B2216" s="185" t="s">
        <v>6812</v>
      </c>
      <c r="C2216" s="35" t="str">
        <f t="shared" si="238"/>
        <v>LawhiLahih</v>
      </c>
      <c r="E2216" s="40"/>
      <c r="F2216" s="15" t="s">
        <v>2640</v>
      </c>
      <c r="G2216" s="17"/>
      <c r="H2216" s="10" t="s">
        <v>8563</v>
      </c>
      <c r="I2216" s="4" t="str">
        <f t="shared" si="239"/>
        <v>|Lawḥ-i-Láhih|</v>
      </c>
      <c r="J2216" s="3" t="str">
        <f t="shared" si="240"/>
        <v>|Lawh-i-Lahih|</v>
      </c>
      <c r="K2216" s="3" t="str">
        <f t="shared" si="241"/>
        <v>Lawh-i-Lahih</v>
      </c>
      <c r="N2216" s="39" t="str">
        <f t="shared" si="242"/>
        <v/>
      </c>
      <c r="P2216" s="39" t="str">
        <f t="shared" si="243"/>
        <v/>
      </c>
      <c r="R2216" s="39" t="str">
        <f t="shared" si="244"/>
        <v/>
      </c>
      <c r="S2216" s="28"/>
      <c r="T2216" s="28"/>
      <c r="U2216" s="28"/>
    </row>
    <row r="2217" spans="1:21" s="5" customFormat="1">
      <c r="A2217" s="179" t="s">
        <v>2708</v>
      </c>
      <c r="B2217" s="185" t="s">
        <v>6813</v>
      </c>
      <c r="C2217" s="35" t="str">
        <f t="shared" si="238"/>
        <v>LawhiLaylatulQuds</v>
      </c>
      <c r="E2217" s="40"/>
      <c r="F2217" s="15" t="s">
        <v>2709</v>
      </c>
      <c r="G2217" s="17"/>
      <c r="H2217" s="10" t="s">
        <v>8563</v>
      </c>
      <c r="I2217" s="4" t="str">
        <f t="shared" si="239"/>
        <v>|Lawḥ-i-Laylatu’l-Quds|</v>
      </c>
      <c r="J2217" s="3" t="str">
        <f t="shared" si="240"/>
        <v>|Lawh-i-Laylatu'l-Quds|</v>
      </c>
      <c r="K2217" s="3" t="str">
        <f t="shared" si="241"/>
        <v>Lawh-i-Laylatul-Quds</v>
      </c>
      <c r="N2217" s="39" t="str">
        <f t="shared" si="242"/>
        <v/>
      </c>
      <c r="P2217" s="39" t="str">
        <f t="shared" si="243"/>
        <v/>
      </c>
      <c r="R2217" s="39" t="str">
        <f t="shared" si="244"/>
        <v/>
      </c>
      <c r="S2217" s="28"/>
      <c r="T2217" s="28"/>
      <c r="U2217" s="28"/>
    </row>
    <row r="2218" spans="1:21" s="5" customFormat="1">
      <c r="A2218" s="179" t="s">
        <v>2710</v>
      </c>
      <c r="B2218" s="185" t="s">
        <v>6814</v>
      </c>
      <c r="C2218" s="35" t="str">
        <f t="shared" si="238"/>
        <v>LawhiMadinaturRida</v>
      </c>
      <c r="E2218" s="40"/>
      <c r="F2218" s="15" t="s">
        <v>2711</v>
      </c>
      <c r="G2218" s="17"/>
      <c r="H2218" s="10" t="s">
        <v>8563</v>
      </c>
      <c r="I2218" s="4" t="str">
        <f t="shared" si="239"/>
        <v>|Lawḥ-i-Madínatu’r-Riḍá|</v>
      </c>
      <c r="J2218" s="3" t="str">
        <f t="shared" si="240"/>
        <v>|Lawh-i-Madinatu'r-Rida|</v>
      </c>
      <c r="K2218" s="3" t="str">
        <f t="shared" si="241"/>
        <v>Lawh-i-Madinatur-Rida</v>
      </c>
      <c r="N2218" s="39" t="str">
        <f t="shared" si="242"/>
        <v/>
      </c>
      <c r="P2218" s="39" t="str">
        <f t="shared" si="243"/>
        <v/>
      </c>
      <c r="R2218" s="39" t="str">
        <f t="shared" si="244"/>
        <v/>
      </c>
      <c r="S2218" s="28"/>
      <c r="T2218" s="28"/>
      <c r="U2218" s="28"/>
    </row>
    <row r="2219" spans="1:21" s="5" customFormat="1">
      <c r="A2219" s="179" t="s">
        <v>2712</v>
      </c>
      <c r="B2219" s="185" t="s">
        <v>6815</v>
      </c>
      <c r="C2219" s="35" t="str">
        <f t="shared" si="238"/>
        <v>LawhiMadinatutTawhid</v>
      </c>
      <c r="E2219" s="40"/>
      <c r="F2219" s="15" t="s">
        <v>2713</v>
      </c>
      <c r="G2219" s="17"/>
      <c r="H2219" s="10" t="s">
        <v>8563</v>
      </c>
      <c r="I2219" s="4" t="str">
        <f t="shared" si="239"/>
        <v>|Lawḥ-i-Madínatu’t-Tawḥíd|</v>
      </c>
      <c r="J2219" s="3" t="str">
        <f t="shared" si="240"/>
        <v>|Lawh-i-Madinatu't-Tawhid|</v>
      </c>
      <c r="K2219" s="3" t="str">
        <f t="shared" si="241"/>
        <v>Lawh-i-Madinatut-Tawhid</v>
      </c>
      <c r="N2219" s="39" t="str">
        <f t="shared" si="242"/>
        <v/>
      </c>
      <c r="P2219" s="39" t="str">
        <f t="shared" si="243"/>
        <v/>
      </c>
      <c r="R2219" s="39" t="str">
        <f t="shared" si="244"/>
        <v/>
      </c>
      <c r="S2219" s="28"/>
      <c r="T2219" s="28"/>
      <c r="U2219" s="28"/>
    </row>
    <row r="2220" spans="1:21" s="5" customFormat="1">
      <c r="A2220" s="179" t="s">
        <v>2714</v>
      </c>
      <c r="B2220" s="185" t="s">
        <v>6816</v>
      </c>
      <c r="C2220" s="35" t="str">
        <f t="shared" si="238"/>
        <v>LawhiMahfiliShawr</v>
      </c>
      <c r="E2220" s="40"/>
      <c r="F2220" s="15" t="s">
        <v>2640</v>
      </c>
      <c r="G2220" s="17"/>
      <c r="H2220" s="10" t="s">
        <v>8563</v>
      </c>
      <c r="I2220" s="4" t="str">
        <f t="shared" si="239"/>
        <v>|Lawḥ-i-Maḥfil-i-awr|</v>
      </c>
      <c r="J2220" s="3" t="str">
        <f t="shared" si="240"/>
        <v>|Lawh-i-Mahfil-i-Shawr|</v>
      </c>
      <c r="K2220" s="3" t="str">
        <f t="shared" si="241"/>
        <v>Lawh-i-Mahfil-i-Shawr</v>
      </c>
      <c r="N2220" s="39" t="str">
        <f t="shared" si="242"/>
        <v/>
      </c>
      <c r="P2220" s="39" t="str">
        <f t="shared" si="243"/>
        <v/>
      </c>
      <c r="R2220" s="39" t="str">
        <f t="shared" si="244"/>
        <v/>
      </c>
      <c r="S2220" s="28"/>
      <c r="T2220" s="28"/>
      <c r="U2220" s="28"/>
    </row>
    <row r="2221" spans="1:21" s="5" customFormat="1">
      <c r="A2221" s="179" t="s">
        <v>2715</v>
      </c>
      <c r="B2221" s="185" t="s">
        <v>6817</v>
      </c>
      <c r="C2221" s="35" t="str">
        <f t="shared" si="238"/>
        <v>LawhiMahfuz</v>
      </c>
      <c r="E2221" s="40"/>
      <c r="F2221" s="15"/>
      <c r="G2221" s="17"/>
      <c r="H2221" s="10" t="s">
        <v>8563</v>
      </c>
      <c r="I2221" s="4" t="str">
        <f t="shared" si="239"/>
        <v>|Lawḥ-i-Maḥfúẓ|</v>
      </c>
      <c r="J2221" s="3" t="str">
        <f t="shared" si="240"/>
        <v>|Lawh-i-Mahfuz|</v>
      </c>
      <c r="K2221" s="3" t="str">
        <f t="shared" si="241"/>
        <v>Lawh-i-Mahfuz</v>
      </c>
      <c r="N2221" s="39" t="str">
        <f t="shared" si="242"/>
        <v/>
      </c>
      <c r="P2221" s="39" t="str">
        <f t="shared" si="243"/>
        <v/>
      </c>
      <c r="R2221" s="39" t="str">
        <f t="shared" si="244"/>
        <v/>
      </c>
      <c r="S2221" s="28"/>
      <c r="T2221" s="28"/>
      <c r="U2221" s="28"/>
    </row>
    <row r="2222" spans="1:21" s="5" customFormat="1">
      <c r="A2222" s="179" t="s">
        <v>2716</v>
      </c>
      <c r="B2222" s="185" t="s">
        <v>6818</v>
      </c>
      <c r="C2222" s="35" t="str">
        <f t="shared" si="238"/>
        <v>LawhiMalikih</v>
      </c>
      <c r="E2222" s="40"/>
      <c r="F2222" s="15" t="s">
        <v>2717</v>
      </c>
      <c r="G2222" s="17"/>
      <c r="H2222" s="10" t="s">
        <v>8563</v>
      </c>
      <c r="I2222" s="4" t="str">
        <f t="shared" si="239"/>
        <v>|Lawḥ-i-Malikih|</v>
      </c>
      <c r="J2222" s="3" t="str">
        <f t="shared" si="240"/>
        <v>|Lawh-i-Malikih|</v>
      </c>
      <c r="K2222" s="3" t="str">
        <f t="shared" si="241"/>
        <v>Lawh-i-Malikih</v>
      </c>
      <c r="N2222" s="39" t="str">
        <f t="shared" si="242"/>
        <v/>
      </c>
      <c r="P2222" s="39" t="str">
        <f t="shared" si="243"/>
        <v/>
      </c>
      <c r="R2222" s="39" t="str">
        <f t="shared" si="244"/>
        <v/>
      </c>
      <c r="S2222" s="28"/>
      <c r="T2222" s="28"/>
      <c r="U2222" s="28"/>
    </row>
    <row r="2223" spans="1:21" s="5" customFormat="1">
      <c r="A2223" s="179" t="s">
        <v>2718</v>
      </c>
      <c r="B2223" s="185" t="s">
        <v>6819</v>
      </c>
      <c r="C2223" s="35" t="str">
        <f t="shared" si="238"/>
        <v>LawhiMalikiRus</v>
      </c>
      <c r="E2223" s="40"/>
      <c r="F2223" s="14"/>
      <c r="G2223" s="17"/>
      <c r="H2223" s="10" t="s">
        <v>8563</v>
      </c>
      <c r="I2223" s="4" t="str">
        <f t="shared" si="239"/>
        <v>|Lawḥ-i-Malik-i-Rús|</v>
      </c>
      <c r="J2223" s="3" t="str">
        <f t="shared" si="240"/>
        <v>|Lawh-i-Malik-i-Rus|</v>
      </c>
      <c r="K2223" s="3" t="str">
        <f t="shared" si="241"/>
        <v>Lawh-i-Malik-i-Rus</v>
      </c>
      <c r="N2223" s="39" t="str">
        <f t="shared" si="242"/>
        <v/>
      </c>
      <c r="P2223" s="39" t="str">
        <f t="shared" si="243"/>
        <v/>
      </c>
      <c r="R2223" s="39" t="str">
        <f t="shared" si="244"/>
        <v/>
      </c>
      <c r="S2223" s="28"/>
      <c r="T2223" s="28"/>
      <c r="U2223" s="28"/>
    </row>
    <row r="2224" spans="1:21" s="5" customFormat="1">
      <c r="A2224" s="179" t="s">
        <v>2719</v>
      </c>
      <c r="B2224" s="185" t="s">
        <v>6820</v>
      </c>
      <c r="C2224" s="35" t="str">
        <f t="shared" si="238"/>
        <v>LawhiMallahulQuds</v>
      </c>
      <c r="E2224" s="40"/>
      <c r="F2224" s="15" t="s">
        <v>2720</v>
      </c>
      <c r="G2224" s="17"/>
      <c r="H2224" s="10" t="s">
        <v>8563</v>
      </c>
      <c r="I2224" s="4" t="str">
        <f t="shared" si="239"/>
        <v>|Lawḥ-i-Malláḥu’l-Quds|</v>
      </c>
      <c r="J2224" s="3" t="str">
        <f t="shared" si="240"/>
        <v>|Lawh-i-Mallahu'l-Quds|</v>
      </c>
      <c r="K2224" s="3" t="str">
        <f t="shared" si="241"/>
        <v>Lawh-i-Mallahul-Quds</v>
      </c>
      <c r="N2224" s="39" t="str">
        <f t="shared" si="242"/>
        <v/>
      </c>
      <c r="P2224" s="39" t="str">
        <f t="shared" si="243"/>
        <v/>
      </c>
      <c r="R2224" s="39" t="str">
        <f t="shared" si="244"/>
        <v/>
      </c>
      <c r="S2224" s="28"/>
      <c r="T2224" s="28"/>
      <c r="U2224" s="28"/>
    </row>
    <row r="2225" spans="1:21" s="5" customFormat="1">
      <c r="A2225" s="179" t="s">
        <v>2721</v>
      </c>
      <c r="B2225" s="185" t="s">
        <v>6821</v>
      </c>
      <c r="C2225" s="35" t="str">
        <f t="shared" si="238"/>
        <v>LawhiManikchi</v>
      </c>
      <c r="E2225" s="40"/>
      <c r="F2225" s="14"/>
      <c r="G2225" s="17"/>
      <c r="H2225" s="10" t="s">
        <v>8563</v>
      </c>
      <c r="I2225" s="4" t="str">
        <f t="shared" si="239"/>
        <v>|Lawḥ-i-Mánikí|</v>
      </c>
      <c r="J2225" s="3" t="str">
        <f t="shared" si="240"/>
        <v>|Lawh-i-Manikchi|</v>
      </c>
      <c r="K2225" s="3" t="str">
        <f t="shared" si="241"/>
        <v>Lawh-i-Manikchi</v>
      </c>
      <c r="N2225" s="39" t="str">
        <f t="shared" si="242"/>
        <v/>
      </c>
      <c r="P2225" s="39" t="str">
        <f t="shared" si="243"/>
        <v/>
      </c>
      <c r="R2225" s="39" t="str">
        <f t="shared" si="244"/>
        <v/>
      </c>
      <c r="S2225" s="28"/>
      <c r="T2225" s="28"/>
      <c r="U2225" s="28"/>
    </row>
    <row r="2226" spans="1:21" s="5" customFormat="1">
      <c r="A2226" s="179" t="s">
        <v>2722</v>
      </c>
      <c r="B2226" s="185" t="s">
        <v>6822</v>
      </c>
      <c r="C2226" s="35" t="str">
        <f t="shared" si="238"/>
        <v>LawhiManikchiSahib</v>
      </c>
      <c r="E2226" s="40"/>
      <c r="F2226" s="14"/>
      <c r="G2226" s="17"/>
      <c r="H2226" s="10" t="s">
        <v>8563</v>
      </c>
      <c r="I2226" s="4" t="str">
        <f t="shared" si="239"/>
        <v>|Lawḥ-i-Mánikí-Ṣáḥib|</v>
      </c>
      <c r="J2226" s="3" t="str">
        <f t="shared" si="240"/>
        <v>|Lawh-i-Manikchi-Sahib|</v>
      </c>
      <c r="K2226" s="3" t="str">
        <f t="shared" si="241"/>
        <v>Lawh-i-Manikchi-Sahib</v>
      </c>
      <c r="N2226" s="39" t="str">
        <f t="shared" si="242"/>
        <v/>
      </c>
      <c r="P2226" s="39" t="str">
        <f t="shared" si="243"/>
        <v/>
      </c>
      <c r="R2226" s="39" t="str">
        <f t="shared" si="244"/>
        <v/>
      </c>
      <c r="S2226" s="28"/>
      <c r="T2226" s="28"/>
      <c r="U2226" s="28"/>
    </row>
    <row r="2227" spans="1:21" s="5" customFormat="1">
      <c r="A2227" s="179" t="s">
        <v>2723</v>
      </c>
      <c r="B2227" s="185" t="s">
        <v>6823</v>
      </c>
      <c r="C2227" s="35" t="str">
        <f t="shared" si="238"/>
        <v>LawhiMaqsud</v>
      </c>
      <c r="E2227" s="40"/>
      <c r="F2227" s="14"/>
      <c r="G2227" s="17"/>
      <c r="H2227" s="10" t="s">
        <v>8563</v>
      </c>
      <c r="I2227" s="4" t="str">
        <f t="shared" si="239"/>
        <v>|Lawḥ-i-Maqṣúd|</v>
      </c>
      <c r="J2227" s="3" t="str">
        <f t="shared" si="240"/>
        <v>|Lawh-i-Maqsud|</v>
      </c>
      <c r="K2227" s="3" t="str">
        <f t="shared" si="241"/>
        <v>Lawh-i-Maqsud</v>
      </c>
      <c r="N2227" s="39" t="str">
        <f t="shared" si="242"/>
        <v/>
      </c>
      <c r="P2227" s="39" t="str">
        <f t="shared" si="243"/>
        <v/>
      </c>
      <c r="R2227" s="39" t="str">
        <f t="shared" si="244"/>
        <v/>
      </c>
      <c r="S2227" s="28"/>
      <c r="T2227" s="29">
        <v>41801</v>
      </c>
      <c r="U2227" s="28" t="s">
        <v>9489</v>
      </c>
    </row>
    <row r="2228" spans="1:21" s="5" customFormat="1">
      <c r="A2228" s="179" t="s">
        <v>2724</v>
      </c>
      <c r="B2228" s="185" t="s">
        <v>6824</v>
      </c>
      <c r="C2228" s="35" t="str">
        <f t="shared" si="238"/>
        <v>LawhiMaryam</v>
      </c>
      <c r="E2228" s="40"/>
      <c r="F2228" s="14"/>
      <c r="G2228" s="17"/>
      <c r="H2228" s="10" t="s">
        <v>8563</v>
      </c>
      <c r="I2228" s="4" t="str">
        <f t="shared" si="239"/>
        <v>|Lawḥ-i-Maryam|</v>
      </c>
      <c r="J2228" s="3" t="str">
        <f t="shared" si="240"/>
        <v>|Lawh-i-Maryam|</v>
      </c>
      <c r="K2228" s="3" t="str">
        <f t="shared" si="241"/>
        <v>Lawh-i-Maryam</v>
      </c>
      <c r="N2228" s="39" t="str">
        <f t="shared" si="242"/>
        <v/>
      </c>
      <c r="P2228" s="39" t="str">
        <f t="shared" si="243"/>
        <v/>
      </c>
      <c r="R2228" s="39" t="str">
        <f t="shared" si="244"/>
        <v/>
      </c>
      <c r="S2228" s="28"/>
      <c r="T2228" s="28"/>
      <c r="U2228" s="28"/>
    </row>
    <row r="2229" spans="1:21" s="5" customFormat="1">
      <c r="A2229" s="179" t="s">
        <v>2725</v>
      </c>
      <c r="B2229" s="185" t="s">
        <v>6825</v>
      </c>
      <c r="C2229" s="35" t="str">
        <f t="shared" si="238"/>
        <v>LawhiMawlud</v>
      </c>
      <c r="E2229" s="40"/>
      <c r="F2229" s="15" t="s">
        <v>775</v>
      </c>
      <c r="G2229" s="17"/>
      <c r="H2229" s="10" t="s">
        <v>8563</v>
      </c>
      <c r="I2229" s="4" t="str">
        <f t="shared" si="239"/>
        <v>|Lawḥ-i-Mawlúd|</v>
      </c>
      <c r="J2229" s="3" t="str">
        <f t="shared" si="240"/>
        <v>|Lawh-i-Mawlud|</v>
      </c>
      <c r="K2229" s="3" t="str">
        <f t="shared" si="241"/>
        <v>Lawh-i-Mawlud</v>
      </c>
      <c r="N2229" s="39" t="str">
        <f t="shared" si="242"/>
        <v/>
      </c>
      <c r="P2229" s="39" t="str">
        <f t="shared" si="243"/>
        <v/>
      </c>
      <c r="R2229" s="39" t="str">
        <f t="shared" si="244"/>
        <v/>
      </c>
      <c r="S2229" s="28"/>
      <c r="T2229" s="28"/>
      <c r="U2229" s="28"/>
    </row>
    <row r="2230" spans="1:21" s="5" customFormat="1">
      <c r="A2230" s="179" t="s">
        <v>2726</v>
      </c>
      <c r="B2230" s="185" t="s">
        <v>6826</v>
      </c>
      <c r="C2230" s="35" t="str">
        <f t="shared" si="238"/>
        <v>LawhiMazzah</v>
      </c>
      <c r="E2230" s="40"/>
      <c r="F2230" s="15" t="s">
        <v>2727</v>
      </c>
      <c r="G2230" s="17"/>
      <c r="H2230" s="10" t="s">
        <v>8563</v>
      </c>
      <c r="I2230" s="4" t="str">
        <f t="shared" si="239"/>
        <v>|Lawḥ-i-Mazzaḥ|</v>
      </c>
      <c r="J2230" s="3" t="str">
        <f t="shared" si="240"/>
        <v>|Lawh-i-Mazzah|</v>
      </c>
      <c r="K2230" s="3" t="str">
        <f t="shared" si="241"/>
        <v>Lawh-i-Mazzah</v>
      </c>
      <c r="N2230" s="39" t="str">
        <f t="shared" si="242"/>
        <v/>
      </c>
      <c r="P2230" s="39" t="str">
        <f t="shared" si="243"/>
        <v/>
      </c>
      <c r="R2230" s="39" t="str">
        <f t="shared" si="244"/>
        <v/>
      </c>
      <c r="S2230" s="28"/>
      <c r="T2230" s="28"/>
      <c r="U2230" s="28"/>
    </row>
    <row r="2231" spans="1:21" s="5" customFormat="1">
      <c r="A2231" s="179" t="s">
        <v>2728</v>
      </c>
      <c r="B2231" s="185" t="s">
        <v>6827</v>
      </c>
      <c r="C2231" s="35" t="str">
        <f t="shared" si="238"/>
        <v>LawhiMubahilih</v>
      </c>
      <c r="E2231" s="40"/>
      <c r="F2231" s="15" t="s">
        <v>775</v>
      </c>
      <c r="G2231" s="17"/>
      <c r="H2231" s="10" t="s">
        <v>8563</v>
      </c>
      <c r="I2231" s="4" t="str">
        <f t="shared" si="239"/>
        <v>|Lawḥ-i-Mubáhilih|</v>
      </c>
      <c r="J2231" s="3" t="str">
        <f t="shared" si="240"/>
        <v>|Lawh-i-Mubahilih|</v>
      </c>
      <c r="K2231" s="3" t="str">
        <f t="shared" si="241"/>
        <v>Lawh-i-Mubahilih</v>
      </c>
      <c r="N2231" s="39" t="str">
        <f t="shared" si="242"/>
        <v/>
      </c>
      <c r="P2231" s="39" t="str">
        <f t="shared" si="243"/>
        <v/>
      </c>
      <c r="R2231" s="39" t="str">
        <f t="shared" si="244"/>
        <v/>
      </c>
      <c r="S2231" s="28"/>
      <c r="T2231" s="28"/>
      <c r="U2231" s="28"/>
    </row>
    <row r="2232" spans="1:21" s="5" customFormat="1">
      <c r="A2232" s="179" t="s">
        <v>2729</v>
      </c>
      <c r="B2232" s="185" t="s">
        <v>6828</v>
      </c>
      <c r="C2232" s="35" t="str">
        <f t="shared" si="238"/>
        <v>LawhiMubarak</v>
      </c>
      <c r="E2232" s="40"/>
      <c r="F2232" s="15"/>
      <c r="G2232" s="17"/>
      <c r="H2232" s="10" t="s">
        <v>8563</v>
      </c>
      <c r="I2232" s="4" t="str">
        <f t="shared" si="239"/>
        <v>|Lawḥ-i-Mubárak|</v>
      </c>
      <c r="J2232" s="3" t="str">
        <f t="shared" si="240"/>
        <v>|Lawh-i-Mubarak|</v>
      </c>
      <c r="K2232" s="3" t="str">
        <f t="shared" si="241"/>
        <v>Lawh-i-Mubarak</v>
      </c>
      <c r="N2232" s="39" t="str">
        <f t="shared" si="242"/>
        <v/>
      </c>
      <c r="P2232" s="39" t="str">
        <f t="shared" si="243"/>
        <v/>
      </c>
      <c r="R2232" s="39" t="str">
        <f t="shared" si="244"/>
        <v/>
      </c>
      <c r="S2232" s="28"/>
      <c r="T2232" s="28"/>
      <c r="U2232" s="28"/>
    </row>
    <row r="2233" spans="1:21" s="5" customFormat="1">
      <c r="A2233" s="179" t="s">
        <v>2730</v>
      </c>
      <c r="B2233" s="185" t="s">
        <v>6829</v>
      </c>
      <c r="C2233" s="35" t="str">
        <f t="shared" si="238"/>
        <v>LawhiMuhabbat</v>
      </c>
      <c r="E2233" s="40"/>
      <c r="F2233" s="15" t="s">
        <v>2640</v>
      </c>
      <c r="G2233" s="17"/>
      <c r="H2233" s="10" t="s">
        <v>8563</v>
      </c>
      <c r="I2233" s="4" t="str">
        <f t="shared" si="239"/>
        <v>|Lawḥ-i-Muḥabbat|</v>
      </c>
      <c r="J2233" s="3" t="str">
        <f t="shared" si="240"/>
        <v>|Lawh-i-Muhabbat|</v>
      </c>
      <c r="K2233" s="3" t="str">
        <f t="shared" si="241"/>
        <v>Lawh-i-Muhabbat</v>
      </c>
      <c r="N2233" s="39" t="str">
        <f t="shared" si="242"/>
        <v/>
      </c>
      <c r="P2233" s="39" t="str">
        <f t="shared" si="243"/>
        <v/>
      </c>
      <c r="R2233" s="39" t="str">
        <f t="shared" si="244"/>
        <v/>
      </c>
      <c r="S2233" s="28"/>
      <c r="T2233" s="28"/>
      <c r="U2233" s="28"/>
    </row>
    <row r="2234" spans="1:21" s="5" customFormat="1">
      <c r="A2234" s="179" t="s">
        <v>2731</v>
      </c>
      <c r="B2234" s="185" t="s">
        <v>6830</v>
      </c>
      <c r="C2234" s="35" t="str">
        <f t="shared" si="238"/>
        <v>LawhiNapulyun</v>
      </c>
      <c r="E2234" s="40"/>
      <c r="F2234" s="15" t="s">
        <v>2732</v>
      </c>
      <c r="G2234" s="17"/>
      <c r="H2234" s="10" t="s">
        <v>8563</v>
      </c>
      <c r="I2234" s="4" t="str">
        <f t="shared" si="239"/>
        <v>|Lawḥ-i-Nápulyún|</v>
      </c>
      <c r="J2234" s="3" t="str">
        <f t="shared" si="240"/>
        <v>|Lawh-i-Napulyun|</v>
      </c>
      <c r="K2234" s="3" t="str">
        <f t="shared" si="241"/>
        <v>Lawh-i-Napulyun</v>
      </c>
      <c r="N2234" s="39" t="str">
        <f t="shared" si="242"/>
        <v/>
      </c>
      <c r="P2234" s="39" t="str">
        <f t="shared" si="243"/>
        <v/>
      </c>
      <c r="R2234" s="39" t="str">
        <f t="shared" si="244"/>
        <v/>
      </c>
      <c r="S2234" s="28"/>
      <c r="T2234" s="28"/>
      <c r="U2234" s="28"/>
    </row>
    <row r="2235" spans="1:21" s="5" customFormat="1">
      <c r="A2235" s="179" t="s">
        <v>2733</v>
      </c>
      <c r="B2235" s="185" t="s">
        <v>6831</v>
      </c>
      <c r="C2235" s="35" t="str">
        <f t="shared" si="238"/>
        <v>LawhiNaqus</v>
      </c>
      <c r="E2235" s="40"/>
      <c r="F2235" s="15"/>
      <c r="G2235" s="17"/>
      <c r="H2235" s="10" t="s">
        <v>8563</v>
      </c>
      <c r="I2235" s="4" t="str">
        <f t="shared" si="239"/>
        <v>|Lawḥ-i-Náqús|</v>
      </c>
      <c r="J2235" s="3" t="str">
        <f t="shared" si="240"/>
        <v>|Lawh-i-Naqus|</v>
      </c>
      <c r="K2235" s="3" t="str">
        <f t="shared" si="241"/>
        <v>Lawh-i-Naqus</v>
      </c>
      <c r="N2235" s="39" t="str">
        <f t="shared" si="242"/>
        <v/>
      </c>
      <c r="P2235" s="39" t="str">
        <f t="shared" si="243"/>
        <v/>
      </c>
      <c r="R2235" s="39" t="str">
        <f t="shared" si="244"/>
        <v/>
      </c>
      <c r="S2235" s="28"/>
      <c r="T2235" s="28"/>
      <c r="U2235" s="28"/>
    </row>
    <row r="2236" spans="1:21" s="5" customFormat="1">
      <c r="A2236" s="179" t="s">
        <v>2734</v>
      </c>
      <c r="B2236" s="185" t="s">
        <v>6832</v>
      </c>
      <c r="C2236" s="35" t="str">
        <f t="shared" si="238"/>
        <v>LawhiNasir</v>
      </c>
      <c r="E2236" s="40"/>
      <c r="F2236" s="15" t="s">
        <v>775</v>
      </c>
      <c r="G2236" s="17"/>
      <c r="H2236" s="10" t="s">
        <v>8563</v>
      </c>
      <c r="I2236" s="4" t="str">
        <f t="shared" si="239"/>
        <v>|Lawḥ-i-Náṣir|</v>
      </c>
      <c r="J2236" s="3" t="str">
        <f t="shared" si="240"/>
        <v>|Lawh-i-Nasir|</v>
      </c>
      <c r="K2236" s="3" t="str">
        <f t="shared" si="241"/>
        <v>Lawh-i-Nasir</v>
      </c>
      <c r="N2236" s="39" t="str">
        <f t="shared" si="242"/>
        <v/>
      </c>
      <c r="P2236" s="39" t="str">
        <f t="shared" si="243"/>
        <v/>
      </c>
      <c r="R2236" s="39" t="str">
        <f t="shared" si="244"/>
        <v/>
      </c>
      <c r="S2236" s="28"/>
      <c r="T2236" s="28"/>
      <c r="U2236" s="28"/>
    </row>
    <row r="2237" spans="1:21" s="5" customFormat="1">
      <c r="A2237" s="179" t="s">
        <v>2735</v>
      </c>
      <c r="B2237" s="185" t="s">
        <v>6833</v>
      </c>
      <c r="C2237" s="35" t="str">
        <f t="shared" si="238"/>
        <v>LawhiNawRuz</v>
      </c>
      <c r="E2237" s="40"/>
      <c r="F2237" s="15"/>
      <c r="G2237" s="17"/>
      <c r="H2237" s="10" t="s">
        <v>8563</v>
      </c>
      <c r="I2237" s="4" t="str">
        <f t="shared" si="239"/>
        <v>|Lawḥ-i-Naw-Rúz|</v>
      </c>
      <c r="J2237" s="3" t="str">
        <f t="shared" si="240"/>
        <v>|Lawh-i-Naw-Ruz|</v>
      </c>
      <c r="K2237" s="3" t="str">
        <f t="shared" si="241"/>
        <v>Lawh-i-Naw-Ruz</v>
      </c>
      <c r="N2237" s="39" t="str">
        <f t="shared" si="242"/>
        <v/>
      </c>
      <c r="P2237" s="39" t="str">
        <f t="shared" si="243"/>
        <v/>
      </c>
      <c r="R2237" s="39" t="str">
        <f t="shared" si="244"/>
        <v/>
      </c>
      <c r="S2237" s="28"/>
      <c r="T2237" s="28"/>
      <c r="U2237" s="28"/>
    </row>
    <row r="2238" spans="1:21" s="5" customFormat="1">
      <c r="A2238" s="179" t="s">
        <v>2736</v>
      </c>
      <c r="B2238" s="185" t="s">
        <v>6834</v>
      </c>
      <c r="C2238" s="35" t="str">
        <f t="shared" si="238"/>
        <v>LawhiNuqtih</v>
      </c>
      <c r="E2238" s="40"/>
      <c r="F2238" s="15" t="s">
        <v>2737</v>
      </c>
      <c r="G2238" s="17"/>
      <c r="H2238" s="10" t="s">
        <v>8563</v>
      </c>
      <c r="I2238" s="4" t="str">
        <f t="shared" si="239"/>
        <v>|Lawḥ-i-Nuqṭih|</v>
      </c>
      <c r="J2238" s="3" t="str">
        <f t="shared" si="240"/>
        <v>|Lawh-i-Nuqtih|</v>
      </c>
      <c r="K2238" s="3" t="str">
        <f t="shared" si="241"/>
        <v>Lawh-i-Nuqtih</v>
      </c>
      <c r="N2238" s="39" t="str">
        <f t="shared" si="242"/>
        <v/>
      </c>
      <c r="P2238" s="39" t="str">
        <f t="shared" si="243"/>
        <v/>
      </c>
      <c r="R2238" s="39" t="str">
        <f t="shared" si="244"/>
        <v/>
      </c>
      <c r="S2238" s="28"/>
      <c r="T2238" s="28"/>
      <c r="U2238" s="28"/>
    </row>
    <row r="2239" spans="1:21" s="5" customFormat="1">
      <c r="A2239" s="179" t="s">
        <v>2738</v>
      </c>
      <c r="B2239" s="185" t="s">
        <v>6835</v>
      </c>
      <c r="C2239" s="35" t="str">
        <f t="shared" si="238"/>
        <v>LawhiPap</v>
      </c>
      <c r="E2239" s="40"/>
      <c r="F2239" s="14"/>
      <c r="G2239" s="17"/>
      <c r="H2239" s="10" t="s">
        <v>8563</v>
      </c>
      <c r="I2239" s="4" t="str">
        <f t="shared" si="239"/>
        <v>|Lawḥ-i-Páp|</v>
      </c>
      <c r="J2239" s="3" t="str">
        <f t="shared" si="240"/>
        <v>|Lawh-i-Pap|</v>
      </c>
      <c r="K2239" s="3" t="str">
        <f t="shared" si="241"/>
        <v>Lawh-i-Pap</v>
      </c>
      <c r="N2239" s="39" t="str">
        <f t="shared" si="242"/>
        <v/>
      </c>
      <c r="P2239" s="39" t="str">
        <f t="shared" si="243"/>
        <v/>
      </c>
      <c r="R2239" s="39" t="str">
        <f t="shared" si="244"/>
        <v/>
      </c>
      <c r="S2239" s="28"/>
      <c r="T2239" s="28"/>
      <c r="U2239" s="28"/>
    </row>
    <row r="2240" spans="1:21" s="5" customFormat="1">
      <c r="A2240" s="179" t="s">
        <v>2739</v>
      </c>
      <c r="B2240" s="185" t="s">
        <v>6836</v>
      </c>
      <c r="C2240" s="35" t="str">
        <f t="shared" si="238"/>
        <v>LawhiPisarAmm</v>
      </c>
      <c r="E2240" s="40"/>
      <c r="F2240" s="15" t="s">
        <v>775</v>
      </c>
      <c r="G2240" s="17"/>
      <c r="H2240" s="10" t="s">
        <v>8563</v>
      </c>
      <c r="I2240" s="4" t="str">
        <f t="shared" si="239"/>
        <v>|Lawḥ-i-Pisar-ʿAmm|</v>
      </c>
      <c r="J2240" s="3" t="str">
        <f t="shared" si="240"/>
        <v>|Lawh-i-Pisar-'Amm|</v>
      </c>
      <c r="K2240" s="3" t="str">
        <f t="shared" si="241"/>
        <v>Lawh-i-Pisar-Amm</v>
      </c>
      <c r="N2240" s="39" t="str">
        <f t="shared" si="242"/>
        <v/>
      </c>
      <c r="P2240" s="39" t="str">
        <f t="shared" si="243"/>
        <v/>
      </c>
      <c r="R2240" s="39" t="str">
        <f t="shared" si="244"/>
        <v/>
      </c>
      <c r="S2240" s="28"/>
      <c r="T2240" s="28"/>
      <c r="U2240" s="28"/>
    </row>
    <row r="2241" spans="1:21" s="5" customFormat="1">
      <c r="A2241" s="179" t="s">
        <v>2740</v>
      </c>
      <c r="B2241" s="185" t="s">
        <v>6837</v>
      </c>
      <c r="C2241" s="35" t="str">
        <f t="shared" si="238"/>
        <v>LawhiQad</v>
      </c>
      <c r="E2241" s="40"/>
      <c r="F2241" s="15"/>
      <c r="G2241" s="17"/>
      <c r="H2241" s="10" t="s">
        <v>8563</v>
      </c>
      <c r="I2241" s="4" t="str">
        <f t="shared" si="239"/>
        <v>|Lawḥ-i-Qad|</v>
      </c>
      <c r="J2241" s="3" t="str">
        <f t="shared" si="240"/>
        <v>|Lawh-i-Qad|</v>
      </c>
      <c r="K2241" s="3" t="str">
        <f t="shared" si="241"/>
        <v>Lawh-i-Qad</v>
      </c>
      <c r="N2241" s="39" t="str">
        <f t="shared" si="242"/>
        <v/>
      </c>
      <c r="P2241" s="39" t="str">
        <f t="shared" si="243"/>
        <v/>
      </c>
      <c r="R2241" s="39" t="str">
        <f t="shared" si="244"/>
        <v/>
      </c>
      <c r="S2241" s="28"/>
      <c r="T2241" s="28"/>
      <c r="U2241" s="28"/>
    </row>
    <row r="2242" spans="1:21" s="5" customFormat="1">
      <c r="A2242" s="179" t="s">
        <v>2741</v>
      </c>
      <c r="B2242" s="185" t="s">
        <v>6838</v>
      </c>
      <c r="C2242" s="35" t="str">
        <f t="shared" ref="C2242:C2305" si="245">SUBSTITUTE(SUBSTITUTE(K2242,"-","")," ","")</f>
        <v>LawhiQina</v>
      </c>
      <c r="E2242" s="40"/>
      <c r="F2242" s="15" t="s">
        <v>2742</v>
      </c>
      <c r="G2242" s="17"/>
      <c r="H2242" s="10" t="s">
        <v>8563</v>
      </c>
      <c r="I2242" s="4" t="str">
        <f t="shared" ref="I2242:I2305" si="246">CONCATENATE("|",B2242,"|")</f>
        <v>|Lawḥ-i-Qináʿ|</v>
      </c>
      <c r="J2242" s="3" t="str">
        <f t="shared" ref="J2242:J2305" si="247">CONCATENATE("|",F_OutputASCII(B2242),"|")</f>
        <v>|Lawh-i-Qina'|</v>
      </c>
      <c r="K2242" s="3" t="str">
        <f t="shared" ref="K2242:K2305" si="248">IF(SUBSTITUTE(MID(J2242,2,LEN(J2242)-2),"'","")&lt;&gt;"",SUBSTITUTE(MID(J2242,2,LEN(J2242)-2),"'",""),"ZZZZZ")</f>
        <v>Lawh-i-Qina</v>
      </c>
      <c r="N2242" s="39" t="str">
        <f t="shared" si="242"/>
        <v/>
      </c>
      <c r="P2242" s="39" t="str">
        <f t="shared" si="243"/>
        <v/>
      </c>
      <c r="R2242" s="39" t="str">
        <f t="shared" si="244"/>
        <v/>
      </c>
      <c r="S2242" s="28"/>
      <c r="T2242" s="28"/>
      <c r="U2242" s="28"/>
    </row>
    <row r="2243" spans="1:21" s="5" customFormat="1">
      <c r="A2243" s="179" t="s">
        <v>2743</v>
      </c>
      <c r="B2243" s="185" t="s">
        <v>6839</v>
      </c>
      <c r="C2243" s="35" t="str">
        <f t="shared" si="245"/>
        <v>LawhiQuds</v>
      </c>
      <c r="E2243" s="40"/>
      <c r="F2243" s="15" t="s">
        <v>2744</v>
      </c>
      <c r="G2243" s="17"/>
      <c r="H2243" s="10" t="s">
        <v>8563</v>
      </c>
      <c r="I2243" s="4" t="str">
        <f t="shared" si="246"/>
        <v>|Lawḥ-i-Quds|</v>
      </c>
      <c r="J2243" s="3" t="str">
        <f t="shared" si="247"/>
        <v>|Lawh-i-Quds|</v>
      </c>
      <c r="K2243" s="3" t="str">
        <f t="shared" si="248"/>
        <v>Lawh-i-Quds</v>
      </c>
      <c r="N2243" s="39" t="str">
        <f t="shared" ref="N2243:N2306" si="249">SUBSTITUTE(SUBSTITUTE(SUBSTITUTE(F_OutputASCII(M2243),"-","")," ",""),"'","")</f>
        <v/>
      </c>
      <c r="P2243" s="39" t="str">
        <f t="shared" ref="P2243:P2306" si="250">SUBSTITUTE(SUBSTITUTE(SUBSTITUTE(F_OutputASCII(O2243),"-","")," ",""),"'","")</f>
        <v/>
      </c>
      <c r="R2243" s="39" t="str">
        <f t="shared" ref="R2243:R2306" si="251">SUBSTITUTE(SUBSTITUTE(Q2243,"-","")," ","")</f>
        <v/>
      </c>
      <c r="S2243" s="28"/>
      <c r="T2243" s="28"/>
      <c r="U2243" s="28"/>
    </row>
    <row r="2244" spans="1:21" s="5" customFormat="1">
      <c r="A2244" s="179" t="s">
        <v>2745</v>
      </c>
      <c r="B2244" s="185" t="s">
        <v>6840</v>
      </c>
      <c r="C2244" s="35" t="str">
        <f t="shared" si="245"/>
        <v>LawhiRafi</v>
      </c>
      <c r="E2244" s="40"/>
      <c r="F2244" s="15" t="s">
        <v>775</v>
      </c>
      <c r="G2244" s="17"/>
      <c r="H2244" s="10" t="s">
        <v>8563</v>
      </c>
      <c r="I2244" s="4" t="str">
        <f t="shared" si="246"/>
        <v>|Lawḥ-i-Rafíʿ|</v>
      </c>
      <c r="J2244" s="3" t="str">
        <f t="shared" si="247"/>
        <v>|Lawh-i-Rafi'|</v>
      </c>
      <c r="K2244" s="3" t="str">
        <f t="shared" si="248"/>
        <v>Lawh-i-Rafi</v>
      </c>
      <c r="N2244" s="39" t="str">
        <f t="shared" si="249"/>
        <v/>
      </c>
      <c r="P2244" s="39" t="str">
        <f t="shared" si="250"/>
        <v/>
      </c>
      <c r="R2244" s="39" t="str">
        <f t="shared" si="251"/>
        <v/>
      </c>
      <c r="S2244" s="28"/>
      <c r="T2244" s="28"/>
      <c r="U2244" s="28"/>
    </row>
    <row r="2245" spans="1:21" s="5" customFormat="1">
      <c r="A2245" s="179" t="s">
        <v>2746</v>
      </c>
      <c r="B2245" s="185" t="s">
        <v>6841</v>
      </c>
      <c r="C2245" s="35" t="str">
        <f t="shared" si="245"/>
        <v>LawhiRais</v>
      </c>
      <c r="E2245" s="40"/>
      <c r="F2245" s="14"/>
      <c r="G2245" s="17"/>
      <c r="H2245" s="10" t="s">
        <v>8563</v>
      </c>
      <c r="I2245" s="4" t="str">
        <f t="shared" si="246"/>
        <v>|Lawḥ-i-Ra’ís|</v>
      </c>
      <c r="J2245" s="3" t="str">
        <f t="shared" si="247"/>
        <v>|Lawh-i-Ra'is|</v>
      </c>
      <c r="K2245" s="3" t="str">
        <f t="shared" si="248"/>
        <v>Lawh-i-Rais</v>
      </c>
      <c r="N2245" s="39" t="str">
        <f t="shared" si="249"/>
        <v/>
      </c>
      <c r="P2245" s="39" t="str">
        <f t="shared" si="250"/>
        <v/>
      </c>
      <c r="R2245" s="39" t="str">
        <f t="shared" si="251"/>
        <v/>
      </c>
      <c r="S2245" s="28"/>
      <c r="T2245" s="28"/>
      <c r="U2245" s="28"/>
    </row>
    <row r="2246" spans="1:21" s="5" customFormat="1">
      <c r="A2246" s="179" t="s">
        <v>2747</v>
      </c>
      <c r="B2246" s="185" t="s">
        <v>6842</v>
      </c>
      <c r="C2246" s="35" t="str">
        <f t="shared" si="245"/>
        <v>LawhiRaqsha</v>
      </c>
      <c r="E2246" s="40"/>
      <c r="F2246" s="15" t="s">
        <v>2748</v>
      </c>
      <c r="G2246" s="17"/>
      <c r="H2246" s="10" t="s">
        <v>8563</v>
      </c>
      <c r="I2246" s="4" t="str">
        <f t="shared" si="246"/>
        <v>|Lawḥ-i-Raqá’|</v>
      </c>
      <c r="J2246" s="3" t="str">
        <f t="shared" si="247"/>
        <v>|Lawh-i-Raqsha'|</v>
      </c>
      <c r="K2246" s="3" t="str">
        <f t="shared" si="248"/>
        <v>Lawh-i-Raqsha</v>
      </c>
      <c r="N2246" s="39" t="str">
        <f t="shared" si="249"/>
        <v/>
      </c>
      <c r="P2246" s="39" t="str">
        <f t="shared" si="250"/>
        <v/>
      </c>
      <c r="R2246" s="39" t="str">
        <f t="shared" si="251"/>
        <v/>
      </c>
      <c r="S2246" s="28"/>
      <c r="T2246" s="28"/>
      <c r="U2246" s="28"/>
    </row>
    <row r="2247" spans="1:21" s="5" customFormat="1">
      <c r="A2247" s="179" t="s">
        <v>2749</v>
      </c>
      <c r="B2247" s="185" t="s">
        <v>6843</v>
      </c>
      <c r="C2247" s="35" t="str">
        <f t="shared" si="245"/>
        <v>LawhiRasul</v>
      </c>
      <c r="E2247" s="40"/>
      <c r="F2247" s="15" t="s">
        <v>775</v>
      </c>
      <c r="G2247" s="17"/>
      <c r="H2247" s="10" t="s">
        <v>8563</v>
      </c>
      <c r="I2247" s="4" t="str">
        <f t="shared" si="246"/>
        <v>|Lawḥ-i-Rasúl|</v>
      </c>
      <c r="J2247" s="3" t="str">
        <f t="shared" si="247"/>
        <v>|Lawh-i-Rasul|</v>
      </c>
      <c r="K2247" s="3" t="str">
        <f t="shared" si="248"/>
        <v>Lawh-i-Rasul</v>
      </c>
      <c r="N2247" s="39" t="str">
        <f t="shared" si="249"/>
        <v/>
      </c>
      <c r="P2247" s="39" t="str">
        <f t="shared" si="250"/>
        <v/>
      </c>
      <c r="R2247" s="39" t="str">
        <f t="shared" si="251"/>
        <v/>
      </c>
      <c r="S2247" s="28"/>
      <c r="T2247" s="28"/>
      <c r="U2247" s="28"/>
    </row>
    <row r="2248" spans="1:21" s="5" customFormat="1">
      <c r="A2248" s="179" t="s">
        <v>2750</v>
      </c>
      <c r="B2248" s="185" t="s">
        <v>6844</v>
      </c>
      <c r="C2248" s="35" t="str">
        <f t="shared" si="245"/>
        <v>LawhiRuh</v>
      </c>
      <c r="E2248" s="40"/>
      <c r="F2248" s="15" t="s">
        <v>2751</v>
      </c>
      <c r="G2248" s="17"/>
      <c r="H2248" s="10" t="s">
        <v>8563</v>
      </c>
      <c r="I2248" s="4" t="str">
        <f t="shared" si="246"/>
        <v>|Lawḥ-i-Rúḥ|</v>
      </c>
      <c r="J2248" s="3" t="str">
        <f t="shared" si="247"/>
        <v>|Lawh-i-Ruh|</v>
      </c>
      <c r="K2248" s="3" t="str">
        <f t="shared" si="248"/>
        <v>Lawh-i-Ruh</v>
      </c>
      <c r="N2248" s="39" t="str">
        <f t="shared" si="249"/>
        <v/>
      </c>
      <c r="P2248" s="39" t="str">
        <f t="shared" si="250"/>
        <v/>
      </c>
      <c r="R2248" s="39" t="str">
        <f t="shared" si="251"/>
        <v/>
      </c>
      <c r="S2248" s="28"/>
      <c r="T2248" s="28"/>
      <c r="U2248" s="28"/>
    </row>
    <row r="2249" spans="1:21" s="5" customFormat="1">
      <c r="A2249" s="179" t="s">
        <v>2752</v>
      </c>
      <c r="B2249" s="185" t="s">
        <v>6845</v>
      </c>
      <c r="C2249" s="35" t="str">
        <f t="shared" si="245"/>
        <v>LawhiRuya</v>
      </c>
      <c r="E2249" s="40"/>
      <c r="F2249" s="14"/>
      <c r="G2249" s="17"/>
      <c r="H2249" s="10" t="s">
        <v>8563</v>
      </c>
      <c r="I2249" s="4" t="str">
        <f t="shared" si="246"/>
        <v>|Lawḥ-i-Ru’yá|</v>
      </c>
      <c r="J2249" s="3" t="str">
        <f t="shared" si="247"/>
        <v>|Lawh-i-Ru'ya|</v>
      </c>
      <c r="K2249" s="3" t="str">
        <f t="shared" si="248"/>
        <v>Lawh-i-Ruya</v>
      </c>
      <c r="N2249" s="39" t="str">
        <f t="shared" si="249"/>
        <v/>
      </c>
      <c r="P2249" s="39" t="str">
        <f t="shared" si="250"/>
        <v/>
      </c>
      <c r="R2249" s="39" t="str">
        <f t="shared" si="251"/>
        <v/>
      </c>
      <c r="S2249" s="28"/>
      <c r="T2249" s="28"/>
      <c r="U2249" s="28"/>
    </row>
    <row r="2250" spans="1:21" s="5" customFormat="1">
      <c r="A2250" s="179" t="s">
        <v>2753</v>
      </c>
      <c r="B2250" s="185" t="s">
        <v>6846</v>
      </c>
      <c r="C2250" s="35" t="str">
        <f t="shared" si="245"/>
        <v>LawhiSahab</v>
      </c>
      <c r="E2250" s="40"/>
      <c r="F2250" s="15" t="s">
        <v>2754</v>
      </c>
      <c r="G2250" s="17"/>
      <c r="H2250" s="10" t="s">
        <v>8563</v>
      </c>
      <c r="I2250" s="4" t="str">
        <f t="shared" si="246"/>
        <v>|Lawḥ-i-Saḥáb|</v>
      </c>
      <c r="J2250" s="3" t="str">
        <f t="shared" si="247"/>
        <v>|Lawh-i-Sahab|</v>
      </c>
      <c r="K2250" s="3" t="str">
        <f t="shared" si="248"/>
        <v>Lawh-i-Sahab</v>
      </c>
      <c r="N2250" s="39" t="str">
        <f t="shared" si="249"/>
        <v/>
      </c>
      <c r="P2250" s="39" t="str">
        <f t="shared" si="250"/>
        <v/>
      </c>
      <c r="R2250" s="39" t="str">
        <f t="shared" si="251"/>
        <v/>
      </c>
      <c r="S2250" s="28"/>
      <c r="T2250" s="28"/>
      <c r="U2250" s="28"/>
    </row>
    <row r="2251" spans="1:21" s="5" customFormat="1">
      <c r="A2251" s="179" t="s">
        <v>2755</v>
      </c>
      <c r="B2251" s="185" t="s">
        <v>6847</v>
      </c>
      <c r="C2251" s="35" t="str">
        <f t="shared" si="245"/>
        <v>LawhiSalat</v>
      </c>
      <c r="E2251" s="40"/>
      <c r="F2251" s="15" t="s">
        <v>2756</v>
      </c>
      <c r="G2251" s="17"/>
      <c r="H2251" s="10" t="s">
        <v>8563</v>
      </c>
      <c r="I2251" s="4" t="str">
        <f t="shared" si="246"/>
        <v>|Lawḥ-i-Ṣalát|</v>
      </c>
      <c r="J2251" s="3" t="str">
        <f t="shared" si="247"/>
        <v>|Lawh-i-Salat|</v>
      </c>
      <c r="K2251" s="3" t="str">
        <f t="shared" si="248"/>
        <v>Lawh-i-Salat</v>
      </c>
      <c r="N2251" s="39" t="str">
        <f t="shared" si="249"/>
        <v/>
      </c>
      <c r="P2251" s="39" t="str">
        <f t="shared" si="250"/>
        <v/>
      </c>
      <c r="R2251" s="39" t="str">
        <f t="shared" si="251"/>
        <v/>
      </c>
      <c r="S2251" s="28"/>
      <c r="T2251" s="28"/>
      <c r="U2251" s="28"/>
    </row>
    <row r="2252" spans="1:21" s="5" customFormat="1">
      <c r="A2252" s="179" t="s">
        <v>2757</v>
      </c>
      <c r="B2252" s="185" t="s">
        <v>6848</v>
      </c>
      <c r="C2252" s="35" t="str">
        <f t="shared" si="245"/>
        <v>LawhiSalman</v>
      </c>
      <c r="E2252" s="40"/>
      <c r="F2252" s="15" t="s">
        <v>775</v>
      </c>
      <c r="G2252" s="17"/>
      <c r="H2252" s="10" t="s">
        <v>8563</v>
      </c>
      <c r="I2252" s="4" t="str">
        <f t="shared" si="246"/>
        <v>|Lawḥ-i-Salmán|</v>
      </c>
      <c r="J2252" s="3" t="str">
        <f t="shared" si="247"/>
        <v>|Lawh-i-Salman|</v>
      </c>
      <c r="K2252" s="3" t="str">
        <f t="shared" si="248"/>
        <v>Lawh-i-Salman</v>
      </c>
      <c r="N2252" s="39" t="str">
        <f t="shared" si="249"/>
        <v/>
      </c>
      <c r="P2252" s="39" t="str">
        <f t="shared" si="250"/>
        <v/>
      </c>
      <c r="R2252" s="39" t="str">
        <f t="shared" si="251"/>
        <v/>
      </c>
      <c r="S2252" s="28"/>
      <c r="T2252" s="28"/>
      <c r="U2252" s="28"/>
    </row>
    <row r="2253" spans="1:21" s="5" customFormat="1">
      <c r="A2253" s="179" t="s">
        <v>2758</v>
      </c>
      <c r="B2253" s="185" t="s">
        <v>6849</v>
      </c>
      <c r="C2253" s="35" t="str">
        <f t="shared" si="245"/>
        <v>LawhiSamsun</v>
      </c>
      <c r="E2253" s="40"/>
      <c r="F2253" s="15" t="s">
        <v>775</v>
      </c>
      <c r="G2253" s="17"/>
      <c r="H2253" s="10" t="s">
        <v>8563</v>
      </c>
      <c r="I2253" s="4" t="str">
        <f t="shared" si="246"/>
        <v>|Lawḥ-i-Sámsún|</v>
      </c>
      <c r="J2253" s="3" t="str">
        <f t="shared" si="247"/>
        <v>|Lawh-i-Samsun|</v>
      </c>
      <c r="K2253" s="3" t="str">
        <f t="shared" si="248"/>
        <v>Lawh-i-Samsun</v>
      </c>
      <c r="N2253" s="39" t="str">
        <f t="shared" si="249"/>
        <v/>
      </c>
      <c r="P2253" s="39" t="str">
        <f t="shared" si="250"/>
        <v/>
      </c>
      <c r="R2253" s="39" t="str">
        <f t="shared" si="251"/>
        <v/>
      </c>
      <c r="S2253" s="28"/>
      <c r="T2253" s="28"/>
      <c r="U2253" s="28"/>
    </row>
    <row r="2254" spans="1:21" s="5" customFormat="1">
      <c r="A2254" s="179" t="s">
        <v>2759</v>
      </c>
      <c r="B2254" s="185" t="s">
        <v>6850</v>
      </c>
      <c r="C2254" s="35" t="str">
        <f t="shared" si="245"/>
        <v>LawhiSayyah</v>
      </c>
      <c r="E2254" s="40"/>
      <c r="F2254" s="15" t="s">
        <v>775</v>
      </c>
      <c r="G2254" s="17"/>
      <c r="H2254" s="10" t="s">
        <v>8563</v>
      </c>
      <c r="I2254" s="4" t="str">
        <f t="shared" si="246"/>
        <v>|Lawḥ-i-Sayyáḥ|</v>
      </c>
      <c r="J2254" s="3" t="str">
        <f t="shared" si="247"/>
        <v>|Lawh-i-Sayyah|</v>
      </c>
      <c r="K2254" s="3" t="str">
        <f t="shared" si="248"/>
        <v>Lawh-i-Sayyah</v>
      </c>
      <c r="N2254" s="39" t="str">
        <f t="shared" si="249"/>
        <v/>
      </c>
      <c r="P2254" s="39" t="str">
        <f t="shared" si="250"/>
        <v/>
      </c>
      <c r="R2254" s="39" t="str">
        <f t="shared" si="251"/>
        <v/>
      </c>
      <c r="S2254" s="28"/>
      <c r="T2254" s="28"/>
      <c r="U2254" s="28"/>
    </row>
    <row r="2255" spans="1:21" s="5" customFormat="1">
      <c r="A2255" s="179" t="s">
        <v>2761</v>
      </c>
      <c r="B2255" s="185" t="s">
        <v>6852</v>
      </c>
      <c r="C2255" s="35" t="str">
        <f t="shared" si="245"/>
        <v>LawhiShaykhBaqir</v>
      </c>
      <c r="E2255" s="40"/>
      <c r="F2255" s="15"/>
      <c r="G2255" s="17"/>
      <c r="H2255" s="10" t="s">
        <v>8563</v>
      </c>
      <c r="I2255" s="4" t="str">
        <f t="shared" si="246"/>
        <v>|Lawḥ-i-ay-Báqir|</v>
      </c>
      <c r="J2255" s="3" t="str">
        <f t="shared" si="247"/>
        <v>|Lawh-i-Shaykh-Baqir|</v>
      </c>
      <c r="K2255" s="3" t="str">
        <f t="shared" si="248"/>
        <v>Lawh-i-Shaykh-Baqir</v>
      </c>
      <c r="N2255" s="39" t="str">
        <f t="shared" si="249"/>
        <v/>
      </c>
      <c r="P2255" s="39" t="str">
        <f t="shared" si="250"/>
        <v/>
      </c>
      <c r="R2255" s="39" t="str">
        <f t="shared" si="251"/>
        <v/>
      </c>
      <c r="S2255" s="28"/>
      <c r="T2255" s="28"/>
      <c r="U2255" s="28"/>
    </row>
    <row r="2256" spans="1:21" s="5" customFormat="1">
      <c r="A2256" s="179" t="s">
        <v>2762</v>
      </c>
      <c r="B2256" s="185" t="s">
        <v>6853</v>
      </c>
      <c r="C2256" s="35" t="str">
        <f t="shared" si="245"/>
        <v>LawhiShaykhFani</v>
      </c>
      <c r="E2256" s="40"/>
      <c r="F2256" s="15" t="s">
        <v>775</v>
      </c>
      <c r="G2256" s="17"/>
      <c r="H2256" s="10" t="s">
        <v>8563</v>
      </c>
      <c r="I2256" s="4" t="str">
        <f t="shared" si="246"/>
        <v>|Lawḥ-i-ay-Fání|</v>
      </c>
      <c r="J2256" s="3" t="str">
        <f t="shared" si="247"/>
        <v>|Lawh-i-Shaykh-Fani|</v>
      </c>
      <c r="K2256" s="3" t="str">
        <f t="shared" si="248"/>
        <v>Lawh-i-Shaykh-Fani</v>
      </c>
      <c r="N2256" s="39" t="str">
        <f t="shared" si="249"/>
        <v/>
      </c>
      <c r="P2256" s="39" t="str">
        <f t="shared" si="250"/>
        <v/>
      </c>
      <c r="R2256" s="39" t="str">
        <f t="shared" si="251"/>
        <v/>
      </c>
      <c r="S2256" s="28"/>
      <c r="T2256" s="29">
        <v>41801</v>
      </c>
      <c r="U2256" s="28" t="s">
        <v>9426</v>
      </c>
    </row>
    <row r="2257" spans="1:21" s="5" customFormat="1">
      <c r="A2257" s="179" t="s">
        <v>2763</v>
      </c>
      <c r="B2257" s="185" t="s">
        <v>6854</v>
      </c>
      <c r="C2257" s="35" t="str">
        <f t="shared" si="245"/>
        <v>LawhiSiraj</v>
      </c>
      <c r="E2257" s="40"/>
      <c r="F2257" s="15"/>
      <c r="G2257" s="17"/>
      <c r="H2257" s="10" t="s">
        <v>8563</v>
      </c>
      <c r="I2257" s="4" t="str">
        <f t="shared" si="246"/>
        <v>|Lawḥ-i-Siráj|</v>
      </c>
      <c r="J2257" s="3" t="str">
        <f t="shared" si="247"/>
        <v>|Lawh-i-Siraj|</v>
      </c>
      <c r="K2257" s="3" t="str">
        <f t="shared" si="248"/>
        <v>Lawh-i-Siraj</v>
      </c>
      <c r="N2257" s="39" t="str">
        <f t="shared" si="249"/>
        <v/>
      </c>
      <c r="P2257" s="39" t="str">
        <f t="shared" si="250"/>
        <v/>
      </c>
      <c r="R2257" s="39" t="str">
        <f t="shared" si="251"/>
        <v/>
      </c>
      <c r="S2257" s="28"/>
      <c r="T2257" s="28"/>
      <c r="U2257" s="28"/>
    </row>
    <row r="2258" spans="1:21" s="5" customFormat="1">
      <c r="A2258" s="179" t="s">
        <v>2760</v>
      </c>
      <c r="B2258" s="185" t="s">
        <v>6851</v>
      </c>
      <c r="C2258" s="35" t="str">
        <f t="shared" si="245"/>
        <v>LawhiSiyyid</v>
      </c>
      <c r="E2258" s="40"/>
      <c r="F2258" s="15"/>
      <c r="G2258" s="17"/>
      <c r="H2258" s="10" t="s">
        <v>8563</v>
      </c>
      <c r="I2258" s="4" t="str">
        <f t="shared" si="246"/>
        <v>|Lawḥ-i-Siyyid|</v>
      </c>
      <c r="J2258" s="3" t="str">
        <f t="shared" si="247"/>
        <v>|Lawh-i-Siyyid|</v>
      </c>
      <c r="K2258" s="3" t="str">
        <f t="shared" si="248"/>
        <v>Lawh-i-Siyyid</v>
      </c>
      <c r="N2258" s="39" t="str">
        <f t="shared" si="249"/>
        <v/>
      </c>
      <c r="P2258" s="39" t="str">
        <f t="shared" si="250"/>
        <v/>
      </c>
      <c r="R2258" s="39" t="str">
        <f t="shared" si="251"/>
        <v/>
      </c>
      <c r="S2258" s="28"/>
      <c r="T2258" s="28"/>
      <c r="U2258" s="28"/>
    </row>
    <row r="2259" spans="1:21" s="5" customFormat="1">
      <c r="A2259" s="179" t="s">
        <v>2764</v>
      </c>
      <c r="B2259" s="185" t="s">
        <v>6855</v>
      </c>
      <c r="C2259" s="35" t="str">
        <f t="shared" si="245"/>
        <v>LawhiSiyyidiMihdiyiDahaji</v>
      </c>
      <c r="E2259" s="40"/>
      <c r="F2259" s="15" t="s">
        <v>775</v>
      </c>
      <c r="G2259" s="17"/>
      <c r="H2259" s="10" t="s">
        <v>8563</v>
      </c>
      <c r="I2259" s="4" t="str">
        <f t="shared" si="246"/>
        <v>|Lawḥ-i-Siyyid-i-Mihdíy-i-Dahají|</v>
      </c>
      <c r="J2259" s="3" t="str">
        <f t="shared" si="247"/>
        <v>|Lawh-i-Siyyid-i-Mihdiy-i-Dahaji|</v>
      </c>
      <c r="K2259" s="3" t="str">
        <f t="shared" si="248"/>
        <v>Lawh-i-Siyyid-i-Mihdiy-i-Dahaji</v>
      </c>
      <c r="N2259" s="39" t="str">
        <f t="shared" si="249"/>
        <v/>
      </c>
      <c r="P2259" s="39" t="str">
        <f t="shared" si="250"/>
        <v/>
      </c>
      <c r="R2259" s="39" t="str">
        <f t="shared" si="251"/>
        <v/>
      </c>
      <c r="S2259" s="28"/>
      <c r="T2259" s="28"/>
      <c r="U2259" s="28"/>
    </row>
    <row r="2260" spans="1:21" s="5" customFormat="1">
      <c r="A2260" s="179" t="s">
        <v>2765</v>
      </c>
      <c r="B2260" s="185" t="s">
        <v>6856</v>
      </c>
      <c r="C2260" s="35" t="str">
        <f t="shared" si="245"/>
        <v>LawhiSultan</v>
      </c>
      <c r="E2260" s="40"/>
      <c r="F2260" s="14"/>
      <c r="G2260" s="17"/>
      <c r="H2260" s="10" t="s">
        <v>8563</v>
      </c>
      <c r="I2260" s="4" t="str">
        <f t="shared" si="246"/>
        <v>|Lawḥ-i-Sulṭán|</v>
      </c>
      <c r="J2260" s="3" t="str">
        <f t="shared" si="247"/>
        <v>|Lawh-i-Sultan|</v>
      </c>
      <c r="K2260" s="3" t="str">
        <f t="shared" si="248"/>
        <v>Lawh-i-Sultan</v>
      </c>
      <c r="N2260" s="39" t="str">
        <f t="shared" si="249"/>
        <v/>
      </c>
      <c r="P2260" s="39" t="str">
        <f t="shared" si="250"/>
        <v/>
      </c>
      <c r="R2260" s="39" t="str">
        <f t="shared" si="251"/>
        <v/>
      </c>
      <c r="S2260" s="28"/>
      <c r="T2260" s="28"/>
      <c r="U2260" s="28"/>
    </row>
    <row r="2261" spans="1:21" s="5" customFormat="1">
      <c r="A2261" s="179" t="s">
        <v>2766</v>
      </c>
      <c r="B2261" s="185" t="s">
        <v>6857</v>
      </c>
      <c r="C2261" s="35" t="str">
        <f t="shared" si="245"/>
        <v>LawhiTanzih</v>
      </c>
      <c r="E2261" s="40"/>
      <c r="F2261" s="15" t="s">
        <v>2640</v>
      </c>
      <c r="G2261" s="17"/>
      <c r="H2261" s="10" t="s">
        <v>8563</v>
      </c>
      <c r="I2261" s="4" t="str">
        <f t="shared" si="246"/>
        <v>|Lawḥ-i-Tanzíḥ|</v>
      </c>
      <c r="J2261" s="3" t="str">
        <f t="shared" si="247"/>
        <v>|Lawh-i-Tanzih|</v>
      </c>
      <c r="K2261" s="3" t="str">
        <f t="shared" si="248"/>
        <v>Lawh-i-Tanzih</v>
      </c>
      <c r="N2261" s="39" t="str">
        <f t="shared" si="249"/>
        <v/>
      </c>
      <c r="P2261" s="39" t="str">
        <f t="shared" si="250"/>
        <v/>
      </c>
      <c r="R2261" s="39" t="str">
        <f t="shared" si="251"/>
        <v/>
      </c>
      <c r="S2261" s="28"/>
      <c r="T2261" s="28"/>
      <c r="U2261" s="28"/>
    </row>
    <row r="2262" spans="1:21" s="5" customFormat="1">
      <c r="A2262" s="179" t="s">
        <v>2767</v>
      </c>
      <c r="B2262" s="185" t="s">
        <v>6858</v>
      </c>
      <c r="C2262" s="35" t="str">
        <f t="shared" si="245"/>
        <v>LawhiTarbiyat</v>
      </c>
      <c r="E2262" s="40"/>
      <c r="F2262" s="15" t="s">
        <v>2640</v>
      </c>
      <c r="G2262" s="17"/>
      <c r="H2262" s="10" t="s">
        <v>8563</v>
      </c>
      <c r="I2262" s="4" t="str">
        <f t="shared" si="246"/>
        <v>|Lawḥ-i-Tarbíyat|</v>
      </c>
      <c r="J2262" s="3" t="str">
        <f t="shared" si="247"/>
        <v>|Lawh-i-Tarbiyat|</v>
      </c>
      <c r="K2262" s="3" t="str">
        <f t="shared" si="248"/>
        <v>Lawh-i-Tarbiyat</v>
      </c>
      <c r="N2262" s="39" t="str">
        <f t="shared" si="249"/>
        <v/>
      </c>
      <c r="P2262" s="39" t="str">
        <f t="shared" si="250"/>
        <v/>
      </c>
      <c r="R2262" s="39" t="str">
        <f t="shared" si="251"/>
        <v/>
      </c>
      <c r="S2262" s="28"/>
      <c r="T2262" s="28"/>
      <c r="U2262" s="28"/>
    </row>
    <row r="2263" spans="1:21" s="5" customFormat="1">
      <c r="A2263" s="179" t="s">
        <v>2768</v>
      </c>
      <c r="B2263" s="185" t="s">
        <v>6859</v>
      </c>
      <c r="C2263" s="35" t="str">
        <f t="shared" si="245"/>
        <v>LawhiTawhid</v>
      </c>
      <c r="E2263" s="40"/>
      <c r="F2263" s="15" t="s">
        <v>2696</v>
      </c>
      <c r="G2263" s="17"/>
      <c r="H2263" s="10" t="s">
        <v>8563</v>
      </c>
      <c r="I2263" s="4" t="str">
        <f t="shared" si="246"/>
        <v>|Lawḥ-i-Tawḥíd|</v>
      </c>
      <c r="J2263" s="3" t="str">
        <f t="shared" si="247"/>
        <v>|Lawh-i-Tawhid|</v>
      </c>
      <c r="K2263" s="3" t="str">
        <f t="shared" si="248"/>
        <v>Lawh-i-Tawhid</v>
      </c>
      <c r="N2263" s="39" t="str">
        <f t="shared" si="249"/>
        <v/>
      </c>
      <c r="P2263" s="39" t="str">
        <f t="shared" si="250"/>
        <v/>
      </c>
      <c r="R2263" s="39" t="str">
        <f t="shared" si="251"/>
        <v/>
      </c>
      <c r="S2263" s="28"/>
      <c r="T2263" s="28"/>
      <c r="U2263" s="28"/>
    </row>
    <row r="2264" spans="1:21" s="5" customFormat="1">
      <c r="A2264" s="179" t="s">
        <v>2769</v>
      </c>
      <c r="B2264" s="185" t="s">
        <v>6860</v>
      </c>
      <c r="C2264" s="35" t="str">
        <f t="shared" si="245"/>
        <v>LawhiTibb</v>
      </c>
      <c r="E2264" s="40"/>
      <c r="F2264" s="15" t="s">
        <v>2770</v>
      </c>
      <c r="G2264" s="17"/>
      <c r="H2264" s="10" t="s">
        <v>8563</v>
      </c>
      <c r="I2264" s="4" t="str">
        <f t="shared" si="246"/>
        <v>|Lawḥ-i-Ṭibb|</v>
      </c>
      <c r="J2264" s="3" t="str">
        <f t="shared" si="247"/>
        <v>|Lawh-i-Tibb|</v>
      </c>
      <c r="K2264" s="3" t="str">
        <f t="shared" si="248"/>
        <v>Lawh-i-Tibb</v>
      </c>
      <c r="N2264" s="39" t="str">
        <f t="shared" si="249"/>
        <v/>
      </c>
      <c r="P2264" s="39" t="str">
        <f t="shared" si="250"/>
        <v/>
      </c>
      <c r="R2264" s="39" t="str">
        <f t="shared" si="251"/>
        <v/>
      </c>
      <c r="S2264" s="28"/>
      <c r="T2264" s="28"/>
      <c r="U2264" s="28"/>
    </row>
    <row r="2265" spans="1:21" s="5" customFormat="1">
      <c r="A2265" s="179" t="s">
        <v>2771</v>
      </c>
      <c r="B2265" s="185" t="s">
        <v>6861</v>
      </c>
      <c r="C2265" s="35" t="str">
        <f t="shared" si="245"/>
        <v>LawhiTuqa</v>
      </c>
      <c r="E2265" s="40"/>
      <c r="F2265" s="15" t="s">
        <v>2772</v>
      </c>
      <c r="G2265" s="17"/>
      <c r="H2265" s="10" t="s">
        <v>8563</v>
      </c>
      <c r="I2265" s="4" t="str">
        <f t="shared" si="246"/>
        <v>|Lawḥ-i-Tuqá|</v>
      </c>
      <c r="J2265" s="3" t="str">
        <f t="shared" si="247"/>
        <v>|Lawh-i-Tuqa|</v>
      </c>
      <c r="K2265" s="3" t="str">
        <f t="shared" si="248"/>
        <v>Lawh-i-Tuqa</v>
      </c>
      <c r="N2265" s="39" t="str">
        <f t="shared" si="249"/>
        <v/>
      </c>
      <c r="P2265" s="39" t="str">
        <f t="shared" si="250"/>
        <v/>
      </c>
      <c r="R2265" s="39" t="str">
        <f t="shared" si="251"/>
        <v/>
      </c>
      <c r="S2265" s="28"/>
      <c r="T2265" s="28"/>
      <c r="U2265" s="28"/>
    </row>
    <row r="2266" spans="1:21" s="5" customFormat="1">
      <c r="A2266" s="179" t="s">
        <v>2773</v>
      </c>
      <c r="B2266" s="185" t="s">
        <v>6862</v>
      </c>
      <c r="C2266" s="35" t="str">
        <f t="shared" si="245"/>
        <v>LawhiYusif</v>
      </c>
      <c r="E2266" s="40"/>
      <c r="F2266" s="15" t="s">
        <v>2774</v>
      </c>
      <c r="G2266" s="17"/>
      <c r="H2266" s="10" t="s">
        <v>8563</v>
      </c>
      <c r="I2266" s="4" t="str">
        <f t="shared" si="246"/>
        <v>|Lawḥ-i-Yúsif|</v>
      </c>
      <c r="J2266" s="3" t="str">
        <f t="shared" si="247"/>
        <v>|Lawh-i-Yusif|</v>
      </c>
      <c r="K2266" s="3" t="str">
        <f t="shared" si="248"/>
        <v>Lawh-i-Yusif</v>
      </c>
      <c r="N2266" s="39" t="str">
        <f t="shared" si="249"/>
        <v/>
      </c>
      <c r="P2266" s="39" t="str">
        <f t="shared" si="250"/>
        <v/>
      </c>
      <c r="R2266" s="39" t="str">
        <f t="shared" si="251"/>
        <v/>
      </c>
      <c r="S2266" s="28"/>
      <c r="T2266" s="28"/>
      <c r="U2266" s="28"/>
    </row>
    <row r="2267" spans="1:21" s="5" customFormat="1">
      <c r="A2267" s="179" t="s">
        <v>2775</v>
      </c>
      <c r="B2267" s="185" t="s">
        <v>6863</v>
      </c>
      <c r="C2267" s="35" t="str">
        <f t="shared" si="245"/>
        <v>LawhiZaynulMuqarrabin</v>
      </c>
      <c r="E2267" s="40"/>
      <c r="F2267" s="15" t="s">
        <v>775</v>
      </c>
      <c r="G2267" s="17"/>
      <c r="H2267" s="10" t="s">
        <v>8563</v>
      </c>
      <c r="I2267" s="4" t="str">
        <f t="shared" si="246"/>
        <v>|Lawḥ-i-Zaynu’l-Muqarrabín|</v>
      </c>
      <c r="J2267" s="3" t="str">
        <f t="shared" si="247"/>
        <v>|Lawh-i-Zaynu'l-Muqarrabin|</v>
      </c>
      <c r="K2267" s="3" t="str">
        <f t="shared" si="248"/>
        <v>Lawh-i-Zaynul-Muqarrabin</v>
      </c>
      <c r="N2267" s="39" t="str">
        <f t="shared" si="249"/>
        <v/>
      </c>
      <c r="P2267" s="39" t="str">
        <f t="shared" si="250"/>
        <v/>
      </c>
      <c r="R2267" s="39" t="str">
        <f t="shared" si="251"/>
        <v/>
      </c>
      <c r="S2267" s="28"/>
      <c r="T2267" s="28"/>
      <c r="U2267" s="28"/>
    </row>
    <row r="2268" spans="1:21" s="5" customFormat="1">
      <c r="A2268" s="179" t="s">
        <v>2776</v>
      </c>
      <c r="B2268" s="185" t="s">
        <v>6864</v>
      </c>
      <c r="C2268" s="35" t="str">
        <f t="shared" si="245"/>
        <v>LawhiZiyarih</v>
      </c>
      <c r="E2268" s="40"/>
      <c r="F2268" s="15" t="s">
        <v>2777</v>
      </c>
      <c r="G2268" s="17"/>
      <c r="H2268" s="10" t="s">
        <v>8563</v>
      </c>
      <c r="I2268" s="4" t="str">
        <f t="shared" si="246"/>
        <v>|Lawḥ-i-Zíyárih|</v>
      </c>
      <c r="J2268" s="3" t="str">
        <f t="shared" si="247"/>
        <v>|Lawh-i-Ziyarih|</v>
      </c>
      <c r="K2268" s="3" t="str">
        <f t="shared" si="248"/>
        <v>Lawh-i-Ziyarih</v>
      </c>
      <c r="N2268" s="39" t="str">
        <f t="shared" si="249"/>
        <v/>
      </c>
      <c r="P2268" s="39" t="str">
        <f t="shared" si="250"/>
        <v/>
      </c>
      <c r="R2268" s="39" t="str">
        <f t="shared" si="251"/>
        <v/>
      </c>
      <c r="S2268" s="28"/>
      <c r="T2268" s="29">
        <v>41796</v>
      </c>
      <c r="U2268" s="28" t="s">
        <v>9383</v>
      </c>
    </row>
    <row r="2269" spans="1:21" s="5" customFormat="1">
      <c r="A2269" s="179" t="s">
        <v>2778</v>
      </c>
      <c r="B2269" s="185" t="s">
        <v>6865</v>
      </c>
      <c r="C2269" s="35" t="str">
        <f t="shared" si="245"/>
        <v>LawhurRidvan</v>
      </c>
      <c r="E2269" s="40"/>
      <c r="F2269" s="15" t="s">
        <v>775</v>
      </c>
      <c r="G2269" s="17"/>
      <c r="H2269" s="10" t="s">
        <v>8563</v>
      </c>
      <c r="I2269" s="4" t="str">
        <f t="shared" si="246"/>
        <v>|Lawḥu’r-Riḍván|</v>
      </c>
      <c r="J2269" s="3" t="str">
        <f t="shared" si="247"/>
        <v>|Lawhu'r-Ridvan|</v>
      </c>
      <c r="K2269" s="3" t="str">
        <f t="shared" si="248"/>
        <v>Lawhur-Ridvan</v>
      </c>
      <c r="N2269" s="39" t="str">
        <f t="shared" si="249"/>
        <v/>
      </c>
      <c r="P2269" s="39" t="str">
        <f t="shared" si="250"/>
        <v/>
      </c>
      <c r="R2269" s="39" t="str">
        <f t="shared" si="251"/>
        <v/>
      </c>
      <c r="S2269" s="28"/>
      <c r="T2269" s="28"/>
      <c r="U2269" s="28"/>
    </row>
    <row r="2270" spans="1:21" s="5" customFormat="1">
      <c r="A2270" s="179" t="s">
        <v>2779</v>
      </c>
      <c r="B2270" s="185" t="s">
        <v>6866</v>
      </c>
      <c r="C2270" s="35" t="str">
        <f t="shared" si="245"/>
        <v>LawhurRuh</v>
      </c>
      <c r="E2270" s="40"/>
      <c r="F2270" s="15" t="s">
        <v>2780</v>
      </c>
      <c r="G2270" s="17"/>
      <c r="H2270" s="10" t="s">
        <v>8563</v>
      </c>
      <c r="I2270" s="4" t="str">
        <f t="shared" si="246"/>
        <v>|Lawḥu’r-Rúḥ|</v>
      </c>
      <c r="J2270" s="3" t="str">
        <f t="shared" si="247"/>
        <v>|Lawhu'r-Ruh|</v>
      </c>
      <c r="K2270" s="3" t="str">
        <f t="shared" si="248"/>
        <v>Lawhur-Ruh</v>
      </c>
      <c r="N2270" s="39" t="str">
        <f t="shared" si="249"/>
        <v/>
      </c>
      <c r="P2270" s="39" t="str">
        <f t="shared" si="250"/>
        <v/>
      </c>
      <c r="R2270" s="39" t="str">
        <f t="shared" si="251"/>
        <v/>
      </c>
      <c r="S2270" s="28"/>
      <c r="T2270" s="28"/>
      <c r="U2270" s="28"/>
    </row>
    <row r="2271" spans="1:21" s="5" customFormat="1">
      <c r="A2271" s="179" t="s">
        <v>2781</v>
      </c>
      <c r="B2271" s="185" t="s">
        <v>6867</v>
      </c>
      <c r="C2271" s="35" t="str">
        <f t="shared" si="245"/>
        <v>LawhutTuqa</v>
      </c>
      <c r="E2271" s="40"/>
      <c r="F2271" s="15" t="s">
        <v>2782</v>
      </c>
      <c r="G2271" s="17"/>
      <c r="H2271" s="10" t="s">
        <v>8563</v>
      </c>
      <c r="I2271" s="4" t="str">
        <f t="shared" si="246"/>
        <v>|Lawḥu’t-Tuqá|</v>
      </c>
      <c r="J2271" s="3" t="str">
        <f t="shared" si="247"/>
        <v>|Lawhu't-Tuqa|</v>
      </c>
      <c r="K2271" s="3" t="str">
        <f t="shared" si="248"/>
        <v>Lawhut-Tuqa</v>
      </c>
      <c r="N2271" s="39" t="str">
        <f t="shared" si="249"/>
        <v/>
      </c>
      <c r="P2271" s="39" t="str">
        <f t="shared" si="250"/>
        <v/>
      </c>
      <c r="R2271" s="39" t="str">
        <f t="shared" si="251"/>
        <v/>
      </c>
      <c r="S2271" s="28"/>
      <c r="T2271" s="28"/>
      <c r="U2271" s="28"/>
    </row>
    <row r="2272" spans="1:21" s="5" customFormat="1">
      <c r="A2272" s="181"/>
      <c r="B2272" s="185" t="s">
        <v>8628</v>
      </c>
      <c r="C2272" s="35" t="str">
        <f t="shared" si="245"/>
        <v>LaylatulQadr</v>
      </c>
      <c r="D2272" s="1"/>
      <c r="E2272" s="40"/>
      <c r="F2272" s="12"/>
      <c r="G2272" s="9"/>
      <c r="H2272" s="12" t="s">
        <v>8622</v>
      </c>
      <c r="I2272" s="4" t="str">
        <f t="shared" si="246"/>
        <v>|Laylatu’l-Qadr|</v>
      </c>
      <c r="J2272" s="3" t="str">
        <f t="shared" si="247"/>
        <v>|Laylatu'l-Qadr|</v>
      </c>
      <c r="K2272" s="3" t="str">
        <f t="shared" si="248"/>
        <v>Laylatul-Qadr</v>
      </c>
      <c r="N2272" s="39" t="str">
        <f t="shared" si="249"/>
        <v/>
      </c>
      <c r="P2272" s="39" t="str">
        <f t="shared" si="250"/>
        <v/>
      </c>
      <c r="R2272" s="39" t="str">
        <f t="shared" si="251"/>
        <v/>
      </c>
      <c r="S2272" s="29">
        <v>41760</v>
      </c>
      <c r="T2272" s="28"/>
      <c r="U2272" s="28"/>
    </row>
    <row r="2273" spans="1:21" s="5" customFormat="1">
      <c r="A2273" s="179" t="s">
        <v>2783</v>
      </c>
      <c r="B2273" s="185" t="s">
        <v>6868</v>
      </c>
      <c r="C2273" s="35" t="str">
        <f t="shared" si="245"/>
        <v>Layli</v>
      </c>
      <c r="E2273" s="40"/>
      <c r="F2273" s="14"/>
      <c r="G2273" s="17"/>
      <c r="H2273" s="10" t="s">
        <v>8563</v>
      </c>
      <c r="I2273" s="4" t="str">
        <f t="shared" si="246"/>
        <v>|Laylí|</v>
      </c>
      <c r="J2273" s="3" t="str">
        <f t="shared" si="247"/>
        <v>|Layli|</v>
      </c>
      <c r="K2273" s="3" t="str">
        <f t="shared" si="248"/>
        <v>Layli</v>
      </c>
      <c r="N2273" s="39" t="str">
        <f t="shared" si="249"/>
        <v/>
      </c>
      <c r="P2273" s="39" t="str">
        <f t="shared" si="250"/>
        <v/>
      </c>
      <c r="R2273" s="39" t="str">
        <f t="shared" si="251"/>
        <v/>
      </c>
      <c r="S2273" s="28"/>
      <c r="T2273" s="28"/>
      <c r="U2273" s="28"/>
    </row>
    <row r="2274" spans="1:21" s="5" customFormat="1">
      <c r="A2274" s="179" t="s">
        <v>2784</v>
      </c>
      <c r="B2274" s="185" t="s">
        <v>6869</v>
      </c>
      <c r="C2274" s="35" t="str">
        <f t="shared" si="245"/>
        <v>Libas</v>
      </c>
      <c r="E2274" s="40"/>
      <c r="F2274" s="15"/>
      <c r="G2274" s="17"/>
      <c r="H2274" s="10" t="s">
        <v>8563</v>
      </c>
      <c r="I2274" s="4" t="str">
        <f t="shared" si="246"/>
        <v>|Libás|</v>
      </c>
      <c r="J2274" s="3" t="str">
        <f t="shared" si="247"/>
        <v>|Libas|</v>
      </c>
      <c r="K2274" s="3" t="str">
        <f t="shared" si="248"/>
        <v>Libas</v>
      </c>
      <c r="N2274" s="39" t="str">
        <f t="shared" si="249"/>
        <v/>
      </c>
      <c r="P2274" s="39" t="str">
        <f t="shared" si="250"/>
        <v/>
      </c>
      <c r="R2274" s="39" t="str">
        <f t="shared" si="251"/>
        <v/>
      </c>
      <c r="S2274" s="28"/>
      <c r="T2274" s="28"/>
      <c r="U2274" s="28"/>
    </row>
    <row r="2275" spans="1:21" s="5" customFormat="1">
      <c r="A2275" s="179" t="s">
        <v>2785</v>
      </c>
      <c r="B2275" s="185" t="s">
        <v>6870</v>
      </c>
      <c r="C2275" s="35" t="str">
        <f t="shared" si="245"/>
        <v>Lillah</v>
      </c>
      <c r="E2275" s="40"/>
      <c r="F2275" s="15" t="s">
        <v>2786</v>
      </c>
      <c r="G2275" s="17"/>
      <c r="H2275" s="10" t="s">
        <v>8563</v>
      </c>
      <c r="I2275" s="4" t="str">
        <f t="shared" si="246"/>
        <v>|Lilláh|</v>
      </c>
      <c r="J2275" s="3" t="str">
        <f t="shared" si="247"/>
        <v>|Lillah|</v>
      </c>
      <c r="K2275" s="3" t="str">
        <f t="shared" si="248"/>
        <v>Lillah</v>
      </c>
      <c r="N2275" s="39" t="str">
        <f t="shared" si="249"/>
        <v/>
      </c>
      <c r="P2275" s="39" t="str">
        <f t="shared" si="250"/>
        <v/>
      </c>
      <c r="R2275" s="39" t="str">
        <f t="shared" si="251"/>
        <v/>
      </c>
      <c r="S2275" s="28"/>
      <c r="T2275" s="28"/>
      <c r="U2275" s="28"/>
    </row>
    <row r="2276" spans="1:21" s="5" customFormat="1">
      <c r="A2276" s="179" t="s">
        <v>2787</v>
      </c>
      <c r="B2276" s="185" t="s">
        <v>6871</v>
      </c>
      <c r="C2276" s="35" t="str">
        <f t="shared" si="245"/>
        <v>Limji</v>
      </c>
      <c r="E2276" s="40"/>
      <c r="F2276" s="14"/>
      <c r="G2276" s="17"/>
      <c r="H2276" s="10" t="s">
        <v>8563</v>
      </c>
      <c r="I2276" s="4" t="str">
        <f t="shared" si="246"/>
        <v>|Limjí|</v>
      </c>
      <c r="J2276" s="3" t="str">
        <f t="shared" si="247"/>
        <v>|Limji|</v>
      </c>
      <c r="K2276" s="3" t="str">
        <f t="shared" si="248"/>
        <v>Limji</v>
      </c>
      <c r="N2276" s="39" t="str">
        <f t="shared" si="249"/>
        <v/>
      </c>
      <c r="P2276" s="39" t="str">
        <f t="shared" si="250"/>
        <v/>
      </c>
      <c r="R2276" s="39" t="str">
        <f t="shared" si="251"/>
        <v/>
      </c>
      <c r="S2276" s="28"/>
      <c r="T2276" s="28"/>
      <c r="U2276" s="28"/>
    </row>
    <row r="2277" spans="1:21" s="5" customFormat="1">
      <c r="A2277" s="179" t="s">
        <v>2788</v>
      </c>
      <c r="B2277" s="185" t="s">
        <v>6872</v>
      </c>
      <c r="C2277" s="35" t="str">
        <f t="shared" si="245"/>
        <v>Liqaullah</v>
      </c>
      <c r="E2277" s="40"/>
      <c r="F2277" s="15"/>
      <c r="G2277" s="17"/>
      <c r="H2277" s="10" t="s">
        <v>8563</v>
      </c>
      <c r="I2277" s="4" t="str">
        <f t="shared" si="246"/>
        <v>|Liqá’u’lláh|</v>
      </c>
      <c r="J2277" s="3" t="str">
        <f t="shared" si="247"/>
        <v>|Liqa'u'llah|</v>
      </c>
      <c r="K2277" s="3" t="str">
        <f t="shared" si="248"/>
        <v>Liqaullah</v>
      </c>
      <c r="N2277" s="39" t="str">
        <f t="shared" si="249"/>
        <v/>
      </c>
      <c r="P2277" s="39" t="str">
        <f t="shared" si="250"/>
        <v/>
      </c>
      <c r="R2277" s="39" t="str">
        <f t="shared" si="251"/>
        <v/>
      </c>
      <c r="S2277" s="28"/>
      <c r="T2277" s="28"/>
      <c r="U2277" s="28"/>
    </row>
    <row r="2278" spans="1:21" s="5" customFormat="1">
      <c r="A2278" s="179" t="s">
        <v>2789</v>
      </c>
      <c r="B2278" s="185" t="s">
        <v>6873</v>
      </c>
      <c r="C2278" s="35" t="str">
        <f t="shared" si="245"/>
        <v>LisanHudur</v>
      </c>
      <c r="E2278" s="40"/>
      <c r="F2278" s="15"/>
      <c r="G2278" s="17"/>
      <c r="H2278" s="10" t="s">
        <v>8563</v>
      </c>
      <c r="I2278" s="4" t="str">
        <f t="shared" si="246"/>
        <v>|Lisán-Ḥuḍúr|</v>
      </c>
      <c r="J2278" s="3" t="str">
        <f t="shared" si="247"/>
        <v>|Lisan-Hudur|</v>
      </c>
      <c r="K2278" s="3" t="str">
        <f t="shared" si="248"/>
        <v>Lisan-Hudur</v>
      </c>
      <c r="N2278" s="39" t="str">
        <f t="shared" si="249"/>
        <v/>
      </c>
      <c r="P2278" s="39" t="str">
        <f t="shared" si="250"/>
        <v/>
      </c>
      <c r="R2278" s="39" t="str">
        <f t="shared" si="251"/>
        <v/>
      </c>
      <c r="S2278" s="28"/>
      <c r="T2278" s="28"/>
      <c r="U2278" s="28"/>
    </row>
    <row r="2279" spans="1:21" s="5" customFormat="1">
      <c r="A2279" s="179" t="s">
        <v>2790</v>
      </c>
      <c r="B2279" s="185" t="s">
        <v>6874</v>
      </c>
      <c r="C2279" s="35" t="str">
        <f t="shared" si="245"/>
        <v>LisanulArab</v>
      </c>
      <c r="E2279" s="40"/>
      <c r="F2279" s="14"/>
      <c r="G2279" s="17"/>
      <c r="H2279" s="10" t="s">
        <v>8563</v>
      </c>
      <c r="I2279" s="4" t="str">
        <f t="shared" si="246"/>
        <v>|Lisánu’l-ʿArab|</v>
      </c>
      <c r="J2279" s="3" t="str">
        <f t="shared" si="247"/>
        <v>|Lisanu'l-'Arab|</v>
      </c>
      <c r="K2279" s="3" t="str">
        <f t="shared" si="248"/>
        <v>Lisanul-Arab</v>
      </c>
      <c r="N2279" s="39" t="str">
        <f t="shared" si="249"/>
        <v/>
      </c>
      <c r="P2279" s="39" t="str">
        <f t="shared" si="250"/>
        <v/>
      </c>
      <c r="R2279" s="39" t="str">
        <f t="shared" si="251"/>
        <v/>
      </c>
      <c r="S2279" s="28"/>
      <c r="T2279" s="28"/>
      <c r="U2279" s="28"/>
    </row>
    <row r="2280" spans="1:21" s="5" customFormat="1">
      <c r="A2280" s="179" t="s">
        <v>2791</v>
      </c>
      <c r="B2280" s="185" t="s">
        <v>6875</v>
      </c>
      <c r="C2280" s="35" t="str">
        <f t="shared" si="245"/>
        <v>LisanulMulk</v>
      </c>
      <c r="E2280" s="40"/>
      <c r="F2280" s="15"/>
      <c r="G2280" s="17"/>
      <c r="H2280" s="10" t="s">
        <v>8563</v>
      </c>
      <c r="I2280" s="4" t="str">
        <f t="shared" si="246"/>
        <v>|Lisánu’l-Mulk|</v>
      </c>
      <c r="J2280" s="3" t="str">
        <f t="shared" si="247"/>
        <v>|Lisanu'l-Mulk|</v>
      </c>
      <c r="K2280" s="3" t="str">
        <f t="shared" si="248"/>
        <v>Lisanul-Mulk</v>
      </c>
      <c r="N2280" s="39" t="str">
        <f t="shared" si="249"/>
        <v/>
      </c>
      <c r="P2280" s="39" t="str">
        <f t="shared" si="250"/>
        <v/>
      </c>
      <c r="R2280" s="39" t="str">
        <f t="shared" si="251"/>
        <v/>
      </c>
      <c r="S2280" s="28"/>
      <c r="T2280" s="28"/>
      <c r="U2280" s="28"/>
    </row>
    <row r="2281" spans="1:21" s="5" customFormat="1">
      <c r="A2281" s="179" t="s">
        <v>2792</v>
      </c>
      <c r="B2281" s="185" t="s">
        <v>6876</v>
      </c>
      <c r="C2281" s="35" t="str">
        <f t="shared" si="245"/>
        <v>Liva</v>
      </c>
      <c r="E2281" s="40"/>
      <c r="F2281" s="14"/>
      <c r="G2281" s="17"/>
      <c r="H2281" s="10" t="s">
        <v>8563</v>
      </c>
      <c r="I2281" s="4" t="str">
        <f t="shared" si="246"/>
        <v>|Livá|</v>
      </c>
      <c r="J2281" s="3" t="str">
        <f t="shared" si="247"/>
        <v>|Liva|</v>
      </c>
      <c r="K2281" s="3" t="str">
        <f t="shared" si="248"/>
        <v>Liva</v>
      </c>
      <c r="N2281" s="39" t="str">
        <f t="shared" si="249"/>
        <v/>
      </c>
      <c r="P2281" s="39" t="str">
        <f t="shared" si="250"/>
        <v/>
      </c>
      <c r="R2281" s="39" t="str">
        <f t="shared" si="251"/>
        <v/>
      </c>
      <c r="S2281" s="28"/>
      <c r="T2281" s="28"/>
      <c r="U2281" s="28"/>
    </row>
    <row r="2282" spans="1:21" s="5" customFormat="1">
      <c r="A2282" s="179" t="s">
        <v>2793</v>
      </c>
      <c r="B2282" s="185" t="s">
        <v>6877</v>
      </c>
      <c r="C2282" s="35" t="str">
        <f t="shared" si="245"/>
        <v>Lughat</v>
      </c>
      <c r="E2282" s="40"/>
      <c r="F2282" s="15"/>
      <c r="G2282" s="17"/>
      <c r="H2282" s="10" t="s">
        <v>8563</v>
      </c>
      <c r="I2282" s="4" t="str">
        <f t="shared" si="246"/>
        <v>|Luat|</v>
      </c>
      <c r="J2282" s="3" t="str">
        <f t="shared" si="247"/>
        <v>|Lughat|</v>
      </c>
      <c r="K2282" s="3" t="str">
        <f t="shared" si="248"/>
        <v>Lughat</v>
      </c>
      <c r="N2282" s="39" t="str">
        <f t="shared" si="249"/>
        <v/>
      </c>
      <c r="P2282" s="39" t="str">
        <f t="shared" si="250"/>
        <v/>
      </c>
      <c r="R2282" s="39" t="str">
        <f t="shared" si="251"/>
        <v/>
      </c>
      <c r="S2282" s="28"/>
      <c r="T2282" s="28"/>
      <c r="U2282" s="28"/>
    </row>
    <row r="2283" spans="1:21" s="5" customFormat="1">
      <c r="A2283" s="179" t="s">
        <v>2794</v>
      </c>
      <c r="B2283" s="185" t="s">
        <v>6878</v>
      </c>
      <c r="C2283" s="35" t="str">
        <f t="shared" si="245"/>
        <v>Luqman</v>
      </c>
      <c r="E2283" s="40"/>
      <c r="F2283" s="14"/>
      <c r="G2283" s="17"/>
      <c r="H2283" s="10" t="s">
        <v>8563</v>
      </c>
      <c r="I2283" s="4" t="str">
        <f t="shared" si="246"/>
        <v>|Luqmán|</v>
      </c>
      <c r="J2283" s="3" t="str">
        <f t="shared" si="247"/>
        <v>|Luqman|</v>
      </c>
      <c r="K2283" s="3" t="str">
        <f t="shared" si="248"/>
        <v>Luqman</v>
      </c>
      <c r="N2283" s="39" t="str">
        <f t="shared" si="249"/>
        <v/>
      </c>
      <c r="P2283" s="39" t="str">
        <f t="shared" si="250"/>
        <v/>
      </c>
      <c r="R2283" s="39" t="str">
        <f t="shared" si="251"/>
        <v/>
      </c>
      <c r="S2283" s="28"/>
      <c r="T2283" s="28"/>
      <c r="U2283" s="28"/>
    </row>
    <row r="2284" spans="1:21" s="5" customFormat="1">
      <c r="A2284" s="179" t="s">
        <v>2795</v>
      </c>
      <c r="B2284" s="185" t="s">
        <v>6879</v>
      </c>
      <c r="C2284" s="35" t="str">
        <f t="shared" si="245"/>
        <v>LuqmatulQadi</v>
      </c>
      <c r="E2284" s="40"/>
      <c r="F2284" s="15" t="s">
        <v>2796</v>
      </c>
      <c r="G2284" s="17"/>
      <c r="H2284" s="10" t="s">
        <v>8563</v>
      </c>
      <c r="I2284" s="4" t="str">
        <f t="shared" si="246"/>
        <v>|Luqmatu’l-Qáḍí|</v>
      </c>
      <c r="J2284" s="3" t="str">
        <f t="shared" si="247"/>
        <v>|Luqmatu'l-Qadi|</v>
      </c>
      <c r="K2284" s="3" t="str">
        <f t="shared" si="248"/>
        <v>Luqmatul-Qadi</v>
      </c>
      <c r="N2284" s="39" t="str">
        <f t="shared" si="249"/>
        <v/>
      </c>
      <c r="P2284" s="39" t="str">
        <f t="shared" si="250"/>
        <v/>
      </c>
      <c r="R2284" s="39" t="str">
        <f t="shared" si="251"/>
        <v/>
      </c>
      <c r="S2284" s="28"/>
      <c r="T2284" s="28"/>
      <c r="U2284" s="28"/>
    </row>
    <row r="2285" spans="1:21" s="5" customFormat="1">
      <c r="A2285" s="179" t="s">
        <v>2797</v>
      </c>
      <c r="B2285" s="185" t="s">
        <v>6880</v>
      </c>
      <c r="C2285" s="35" t="str">
        <f t="shared" si="245"/>
        <v>Luristan</v>
      </c>
      <c r="E2285" s="40"/>
      <c r="F2285" s="14"/>
      <c r="G2285" s="17"/>
      <c r="H2285" s="10" t="s">
        <v>8563</v>
      </c>
      <c r="I2285" s="4" t="str">
        <f t="shared" si="246"/>
        <v>|Luristán|</v>
      </c>
      <c r="J2285" s="3" t="str">
        <f t="shared" si="247"/>
        <v>|Luristan|</v>
      </c>
      <c r="K2285" s="3" t="str">
        <f t="shared" si="248"/>
        <v>Luristan</v>
      </c>
      <c r="N2285" s="39" t="str">
        <f t="shared" si="249"/>
        <v/>
      </c>
      <c r="P2285" s="39" t="str">
        <f t="shared" si="250"/>
        <v/>
      </c>
      <c r="R2285" s="39" t="str">
        <f t="shared" si="251"/>
        <v/>
      </c>
      <c r="S2285" s="28"/>
      <c r="T2285" s="28"/>
      <c r="U2285" s="28"/>
    </row>
    <row r="2286" spans="1:21" s="5" customFormat="1">
      <c r="A2286" s="179" t="s">
        <v>2798</v>
      </c>
      <c r="B2286" s="185" t="s">
        <v>6881</v>
      </c>
      <c r="C2286" s="35" t="str">
        <f t="shared" si="245"/>
        <v>LutfAli</v>
      </c>
      <c r="E2286" s="40"/>
      <c r="F2286" s="15"/>
      <c r="G2286" s="17"/>
      <c r="H2286" s="10" t="s">
        <v>8563</v>
      </c>
      <c r="I2286" s="4" t="str">
        <f t="shared" si="246"/>
        <v>|Luṭf-ʿAlí|</v>
      </c>
      <c r="J2286" s="3" t="str">
        <f t="shared" si="247"/>
        <v>|Lutf-'Ali|</v>
      </c>
      <c r="K2286" s="3" t="str">
        <f t="shared" si="248"/>
        <v>Lutf-Ali</v>
      </c>
      <c r="N2286" s="39" t="str">
        <f t="shared" si="249"/>
        <v/>
      </c>
      <c r="P2286" s="39" t="str">
        <f t="shared" si="250"/>
        <v/>
      </c>
      <c r="R2286" s="39" t="str">
        <f t="shared" si="251"/>
        <v/>
      </c>
      <c r="S2286" s="28"/>
      <c r="T2286" s="28"/>
      <c r="U2286" s="28"/>
    </row>
    <row r="2287" spans="1:21" s="5" customFormat="1">
      <c r="A2287" s="179" t="s">
        <v>2799</v>
      </c>
      <c r="B2287" s="185" t="s">
        <v>6882</v>
      </c>
      <c r="C2287" s="35" t="str">
        <f t="shared" si="245"/>
        <v>Lutfullah</v>
      </c>
      <c r="E2287" s="40"/>
      <c r="F2287" s="15"/>
      <c r="G2287" s="17"/>
      <c r="H2287" s="10" t="s">
        <v>8563</v>
      </c>
      <c r="I2287" s="4" t="str">
        <f t="shared" si="246"/>
        <v>|Luṭfu’lláh|</v>
      </c>
      <c r="J2287" s="3" t="str">
        <f t="shared" si="247"/>
        <v>|Lutfu'llah|</v>
      </c>
      <c r="K2287" s="3" t="str">
        <f t="shared" si="248"/>
        <v>Lutfullah</v>
      </c>
      <c r="N2287" s="39" t="str">
        <f t="shared" si="249"/>
        <v/>
      </c>
      <c r="P2287" s="39" t="str">
        <f t="shared" si="250"/>
        <v/>
      </c>
      <c r="R2287" s="39" t="str">
        <f t="shared" si="251"/>
        <v/>
      </c>
      <c r="S2287" s="28"/>
      <c r="T2287" s="28"/>
      <c r="U2287" s="28"/>
    </row>
    <row r="2288" spans="1:21" s="5" customFormat="1">
      <c r="A2288" s="179" t="s">
        <v>2800</v>
      </c>
      <c r="B2288" s="185" t="s">
        <v>6883</v>
      </c>
      <c r="C2288" s="35" t="str">
        <f t="shared" si="245"/>
        <v>Luti</v>
      </c>
      <c r="E2288" s="40"/>
      <c r="F2288" s="16"/>
      <c r="G2288" s="17"/>
      <c r="H2288" s="10" t="s">
        <v>8563</v>
      </c>
      <c r="I2288" s="4" t="str">
        <f t="shared" si="246"/>
        <v>|Lúṭí|</v>
      </c>
      <c r="J2288" s="3" t="str">
        <f t="shared" si="247"/>
        <v>|Luti|</v>
      </c>
      <c r="K2288" s="3" t="str">
        <f t="shared" si="248"/>
        <v>Luti</v>
      </c>
      <c r="N2288" s="39" t="str">
        <f t="shared" si="249"/>
        <v/>
      </c>
      <c r="P2288" s="39" t="str">
        <f t="shared" si="250"/>
        <v/>
      </c>
      <c r="R2288" s="39" t="str">
        <f t="shared" si="251"/>
        <v/>
      </c>
      <c r="S2288" s="28"/>
      <c r="T2288" s="28"/>
      <c r="U2288" s="28"/>
    </row>
    <row r="2289" spans="1:21" s="5" customFormat="1">
      <c r="A2289" s="179" t="s">
        <v>2802</v>
      </c>
      <c r="B2289" s="185" t="s">
        <v>6885</v>
      </c>
      <c r="C2289" s="35" t="str">
        <f t="shared" si="245"/>
        <v>Ma</v>
      </c>
      <c r="E2289" s="40"/>
      <c r="F2289" s="15"/>
      <c r="G2289" s="17"/>
      <c r="H2289" s="10" t="s">
        <v>8563</v>
      </c>
      <c r="I2289" s="4" t="str">
        <f t="shared" si="246"/>
        <v>|Má|</v>
      </c>
      <c r="J2289" s="3" t="str">
        <f t="shared" si="247"/>
        <v>|Ma|</v>
      </c>
      <c r="K2289" s="3" t="str">
        <f t="shared" si="248"/>
        <v>Ma</v>
      </c>
      <c r="N2289" s="39" t="str">
        <f t="shared" si="249"/>
        <v/>
      </c>
      <c r="P2289" s="39" t="str">
        <f t="shared" si="250"/>
        <v/>
      </c>
      <c r="R2289" s="39" t="str">
        <f t="shared" si="251"/>
        <v/>
      </c>
      <c r="S2289" s="28"/>
      <c r="T2289" s="28"/>
      <c r="U2289" s="28"/>
    </row>
    <row r="2290" spans="1:21" s="5" customFormat="1">
      <c r="A2290" s="179" t="s">
        <v>2803</v>
      </c>
      <c r="B2290" s="185" t="s">
        <v>6886</v>
      </c>
      <c r="C2290" s="35" t="str">
        <f t="shared" si="245"/>
        <v>Maad</v>
      </c>
      <c r="E2290" s="40"/>
      <c r="F2290" s="15" t="s">
        <v>2804</v>
      </c>
      <c r="G2290" s="17"/>
      <c r="H2290" s="10" t="s">
        <v>8563</v>
      </c>
      <c r="I2290" s="4" t="str">
        <f t="shared" si="246"/>
        <v>|Maʿád|</v>
      </c>
      <c r="J2290" s="3" t="str">
        <f t="shared" si="247"/>
        <v>|Ma'ad|</v>
      </c>
      <c r="K2290" s="3" t="str">
        <f t="shared" si="248"/>
        <v>Maad</v>
      </c>
      <c r="N2290" s="39" t="str">
        <f t="shared" si="249"/>
        <v/>
      </c>
      <c r="P2290" s="39" t="str">
        <f t="shared" si="250"/>
        <v/>
      </c>
      <c r="R2290" s="39" t="str">
        <f t="shared" si="251"/>
        <v/>
      </c>
      <c r="S2290" s="28"/>
      <c r="T2290" s="28"/>
      <c r="U2290" s="28"/>
    </row>
    <row r="2291" spans="1:21" s="5" customFormat="1">
      <c r="A2291" s="179" t="s">
        <v>2805</v>
      </c>
      <c r="B2291" s="185" t="s">
        <v>6887</v>
      </c>
      <c r="C2291" s="35" t="str">
        <f t="shared" si="245"/>
        <v>Maani</v>
      </c>
      <c r="E2291" s="40"/>
      <c r="F2291" s="14"/>
      <c r="G2291" s="17"/>
      <c r="H2291" s="10" t="s">
        <v>8563</v>
      </c>
      <c r="I2291" s="4" t="str">
        <f t="shared" si="246"/>
        <v>|Maʿání|</v>
      </c>
      <c r="J2291" s="3" t="str">
        <f t="shared" si="247"/>
        <v>|Ma'ani|</v>
      </c>
      <c r="K2291" s="3" t="str">
        <f t="shared" si="248"/>
        <v>Maani</v>
      </c>
      <c r="N2291" s="39" t="str">
        <f t="shared" si="249"/>
        <v/>
      </c>
      <c r="P2291" s="39" t="str">
        <f t="shared" si="250"/>
        <v/>
      </c>
      <c r="R2291" s="39" t="str">
        <f t="shared" si="251"/>
        <v/>
      </c>
      <c r="S2291" s="28"/>
      <c r="T2291" s="28"/>
      <c r="U2291" s="28"/>
    </row>
    <row r="2292" spans="1:21" s="5" customFormat="1">
      <c r="A2292" s="179" t="s">
        <v>2806</v>
      </c>
      <c r="B2292" s="185" t="s">
        <v>6888</v>
      </c>
      <c r="C2292" s="35" t="str">
        <f t="shared" si="245"/>
        <v>Madakhil</v>
      </c>
      <c r="E2292" s="40"/>
      <c r="F2292" s="15" t="s">
        <v>2807</v>
      </c>
      <c r="G2292" s="17"/>
      <c r="H2292" s="10" t="s">
        <v>8563</v>
      </c>
      <c r="I2292" s="4" t="str">
        <f t="shared" si="246"/>
        <v>|Madáil|</v>
      </c>
      <c r="J2292" s="3" t="str">
        <f t="shared" si="247"/>
        <v>|Madakhil|</v>
      </c>
      <c r="K2292" s="3" t="str">
        <f t="shared" si="248"/>
        <v>Madakhil</v>
      </c>
      <c r="N2292" s="39" t="str">
        <f t="shared" si="249"/>
        <v/>
      </c>
      <c r="P2292" s="39" t="str">
        <f t="shared" si="250"/>
        <v/>
      </c>
      <c r="R2292" s="39" t="str">
        <f t="shared" si="251"/>
        <v/>
      </c>
      <c r="S2292" s="28"/>
      <c r="T2292" s="28"/>
      <c r="U2292" s="28"/>
    </row>
    <row r="2293" spans="1:21" s="5" customFormat="1">
      <c r="A2293" s="179" t="s">
        <v>2808</v>
      </c>
      <c r="B2293" s="185" t="s">
        <v>6889</v>
      </c>
      <c r="C2293" s="35" t="str">
        <f t="shared" si="245"/>
        <v>Madan</v>
      </c>
      <c r="E2293" s="40"/>
      <c r="F2293" s="15"/>
      <c r="G2293" s="17"/>
      <c r="H2293" s="10" t="s">
        <v>8563</v>
      </c>
      <c r="I2293" s="4" t="str">
        <f t="shared" si="246"/>
        <v>|Maʿdan|</v>
      </c>
      <c r="J2293" s="3" t="str">
        <f t="shared" si="247"/>
        <v>|Ma'dan|</v>
      </c>
      <c r="K2293" s="3" t="str">
        <f t="shared" si="248"/>
        <v>Madan</v>
      </c>
      <c r="N2293" s="39" t="str">
        <f t="shared" si="249"/>
        <v/>
      </c>
      <c r="P2293" s="39" t="str">
        <f t="shared" si="250"/>
        <v/>
      </c>
      <c r="R2293" s="39" t="str">
        <f t="shared" si="251"/>
        <v/>
      </c>
      <c r="S2293" s="28"/>
      <c r="T2293" s="28"/>
      <c r="U2293" s="28"/>
    </row>
    <row r="2294" spans="1:21" s="5" customFormat="1">
      <c r="A2294" s="179" t="s">
        <v>2809</v>
      </c>
      <c r="B2294" s="185" t="s">
        <v>6890</v>
      </c>
      <c r="C2294" s="35" t="str">
        <f t="shared" si="245"/>
        <v>Madaniyyih</v>
      </c>
      <c r="E2294" s="40"/>
      <c r="F2294" s="15" t="s">
        <v>2687</v>
      </c>
      <c r="G2294" s="17"/>
      <c r="H2294" s="10" t="s">
        <v>8563</v>
      </c>
      <c r="I2294" s="4" t="str">
        <f t="shared" si="246"/>
        <v>|Madaníyyih|</v>
      </c>
      <c r="J2294" s="3" t="str">
        <f t="shared" si="247"/>
        <v>|Madaniyyih|</v>
      </c>
      <c r="K2294" s="3" t="str">
        <f t="shared" si="248"/>
        <v>Madaniyyih</v>
      </c>
      <c r="N2294" s="39" t="str">
        <f t="shared" si="249"/>
        <v/>
      </c>
      <c r="P2294" s="39" t="str">
        <f t="shared" si="250"/>
        <v/>
      </c>
      <c r="R2294" s="39" t="str">
        <f t="shared" si="251"/>
        <v/>
      </c>
      <c r="S2294" s="28"/>
      <c r="T2294" s="28"/>
      <c r="U2294" s="28"/>
    </row>
    <row r="2295" spans="1:21" s="5" customFormat="1">
      <c r="A2295" s="179" t="s">
        <v>2810</v>
      </c>
      <c r="B2295" s="185" t="s">
        <v>6891</v>
      </c>
      <c r="C2295" s="35" t="str">
        <f t="shared" si="245"/>
        <v>MaddiyiAthiriyyih</v>
      </c>
      <c r="E2295" s="40"/>
      <c r="F2295" s="15" t="s">
        <v>2811</v>
      </c>
      <c r="G2295" s="17"/>
      <c r="H2295" s="10" t="s">
        <v>8563</v>
      </c>
      <c r="I2295" s="4" t="str">
        <f t="shared" si="246"/>
        <v>|Máddíy-i-Aíríyyih|</v>
      </c>
      <c r="J2295" s="3" t="str">
        <f t="shared" si="247"/>
        <v>|Maddiy-i-Athiriyyih|</v>
      </c>
      <c r="K2295" s="3" t="str">
        <f t="shared" si="248"/>
        <v>Maddiy-i-Athiriyyih</v>
      </c>
      <c r="N2295" s="39" t="str">
        <f t="shared" si="249"/>
        <v/>
      </c>
      <c r="P2295" s="39" t="str">
        <f t="shared" si="250"/>
        <v/>
      </c>
      <c r="R2295" s="39" t="str">
        <f t="shared" si="251"/>
        <v/>
      </c>
      <c r="S2295" s="28"/>
      <c r="T2295" s="28"/>
      <c r="U2295" s="28"/>
    </row>
    <row r="2296" spans="1:21" s="5" customFormat="1">
      <c r="A2296" s="179" t="s">
        <v>2812</v>
      </c>
      <c r="B2296" s="185" t="s">
        <v>6892</v>
      </c>
      <c r="C2296" s="35" t="str">
        <f t="shared" si="245"/>
        <v>MadfanulAhibba</v>
      </c>
      <c r="E2296" s="40"/>
      <c r="F2296" s="15" t="s">
        <v>2813</v>
      </c>
      <c r="G2296" s="17"/>
      <c r="H2296" s="10" t="s">
        <v>8563</v>
      </c>
      <c r="I2296" s="4" t="str">
        <f t="shared" si="246"/>
        <v>|Madfanu’l-Aḥibbá|</v>
      </c>
      <c r="J2296" s="3" t="str">
        <f t="shared" si="247"/>
        <v>|Madfanu'l-Ahibba|</v>
      </c>
      <c r="K2296" s="3" t="str">
        <f t="shared" si="248"/>
        <v>Madfanul-Ahibba</v>
      </c>
      <c r="N2296" s="39" t="str">
        <f t="shared" si="249"/>
        <v/>
      </c>
      <c r="P2296" s="39" t="str">
        <f t="shared" si="250"/>
        <v/>
      </c>
      <c r="R2296" s="39" t="str">
        <f t="shared" si="251"/>
        <v/>
      </c>
      <c r="S2296" s="28"/>
      <c r="T2296" s="28"/>
      <c r="U2296" s="28"/>
    </row>
    <row r="2297" spans="1:21" s="5" customFormat="1">
      <c r="A2297" s="179" t="s">
        <v>2814</v>
      </c>
      <c r="B2297" s="185" t="s">
        <v>6893</v>
      </c>
      <c r="C2297" s="35" t="str">
        <f t="shared" si="245"/>
        <v>MadfanushShuhada</v>
      </c>
      <c r="E2297" s="40"/>
      <c r="F2297" s="15" t="s">
        <v>2815</v>
      </c>
      <c r="G2297" s="17"/>
      <c r="H2297" s="10" t="s">
        <v>8563</v>
      </c>
      <c r="I2297" s="4" t="str">
        <f t="shared" si="246"/>
        <v>|Madfanu’-uhadá|</v>
      </c>
      <c r="J2297" s="3" t="str">
        <f t="shared" si="247"/>
        <v>|Madfanu'sh-Shuhada|</v>
      </c>
      <c r="K2297" s="3" t="str">
        <f t="shared" si="248"/>
        <v>Madfanush-Shuhada</v>
      </c>
      <c r="N2297" s="39" t="str">
        <f t="shared" si="249"/>
        <v/>
      </c>
      <c r="P2297" s="39" t="str">
        <f t="shared" si="250"/>
        <v/>
      </c>
      <c r="R2297" s="39" t="str">
        <f t="shared" si="251"/>
        <v/>
      </c>
      <c r="S2297" s="28"/>
      <c r="T2297" s="28"/>
      <c r="U2297" s="28"/>
    </row>
    <row r="2298" spans="1:21" s="5" customFormat="1">
      <c r="A2298" s="179" t="s">
        <v>2816</v>
      </c>
      <c r="B2298" s="185" t="s">
        <v>6894</v>
      </c>
      <c r="C2298" s="35" t="str">
        <f t="shared" si="245"/>
        <v>Madhahib</v>
      </c>
      <c r="E2298" s="40"/>
      <c r="F2298" s="15" t="s">
        <v>2817</v>
      </c>
      <c r="G2298" s="17"/>
      <c r="H2298" s="10" t="s">
        <v>8563</v>
      </c>
      <c r="I2298" s="4" t="str">
        <f t="shared" si="246"/>
        <v>|Maáhib|</v>
      </c>
      <c r="J2298" s="3" t="str">
        <f t="shared" si="247"/>
        <v>|Madhahib|</v>
      </c>
      <c r="K2298" s="3" t="str">
        <f t="shared" si="248"/>
        <v>Madhahib</v>
      </c>
      <c r="N2298" s="39" t="str">
        <f t="shared" si="249"/>
        <v/>
      </c>
      <c r="P2298" s="39" t="str">
        <f t="shared" si="250"/>
        <v/>
      </c>
      <c r="R2298" s="39" t="str">
        <f t="shared" si="251"/>
        <v/>
      </c>
      <c r="S2298" s="28"/>
      <c r="T2298" s="28"/>
      <c r="U2298" s="28"/>
    </row>
    <row r="2299" spans="1:21" s="5" customFormat="1">
      <c r="A2299" s="179" t="s">
        <v>2818</v>
      </c>
      <c r="B2299" s="185" t="s">
        <v>6895</v>
      </c>
      <c r="C2299" s="35" t="str">
        <f t="shared" si="245"/>
        <v>madhhab</v>
      </c>
      <c r="E2299" s="40"/>
      <c r="F2299" s="15"/>
      <c r="G2299" s="17"/>
      <c r="H2299" s="10" t="s">
        <v>8563</v>
      </c>
      <c r="I2299" s="4" t="str">
        <f t="shared" si="246"/>
        <v>|mahab|</v>
      </c>
      <c r="J2299" s="3" t="str">
        <f t="shared" si="247"/>
        <v>|madhhab|</v>
      </c>
      <c r="K2299" s="3" t="str">
        <f t="shared" si="248"/>
        <v>madhhab</v>
      </c>
      <c r="N2299" s="39" t="str">
        <f t="shared" si="249"/>
        <v/>
      </c>
      <c r="P2299" s="39" t="str">
        <f t="shared" si="250"/>
        <v/>
      </c>
      <c r="R2299" s="39" t="str">
        <f t="shared" si="251"/>
        <v/>
      </c>
      <c r="S2299" s="28"/>
      <c r="T2299" s="28"/>
      <c r="U2299" s="28"/>
    </row>
    <row r="2300" spans="1:21" s="5" customFormat="1">
      <c r="A2300" s="179" t="s">
        <v>2819</v>
      </c>
      <c r="B2300" s="185" t="s">
        <v>9090</v>
      </c>
      <c r="C2300" s="35" t="str">
        <f t="shared" si="245"/>
        <v>MadhhabiIthnaAshariyyih</v>
      </c>
      <c r="E2300" s="40"/>
      <c r="F2300" s="15"/>
      <c r="G2300" s="17"/>
      <c r="H2300" s="10" t="s">
        <v>8563</v>
      </c>
      <c r="I2300" s="4" t="str">
        <f t="shared" si="246"/>
        <v>|Mahab-i-Iná-ʿAaríyyih|</v>
      </c>
      <c r="J2300" s="3" t="str">
        <f t="shared" si="247"/>
        <v>|Madhhab-i-Ithna-'Ashariyyih|</v>
      </c>
      <c r="K2300" s="3" t="str">
        <f t="shared" si="248"/>
        <v>Madhhab-i-Ithna-Ashariyyih</v>
      </c>
      <c r="N2300" s="39" t="str">
        <f t="shared" si="249"/>
        <v/>
      </c>
      <c r="P2300" s="39" t="str">
        <f t="shared" si="250"/>
        <v/>
      </c>
      <c r="R2300" s="39" t="str">
        <f t="shared" si="251"/>
        <v/>
      </c>
      <c r="S2300" s="28"/>
      <c r="T2300" s="28"/>
      <c r="U2300" s="28"/>
    </row>
    <row r="2301" spans="1:21" s="5" customFormat="1">
      <c r="A2301" s="179" t="s">
        <v>2820</v>
      </c>
      <c r="B2301" s="185" t="s">
        <v>6896</v>
      </c>
      <c r="C2301" s="35" t="str">
        <f t="shared" si="245"/>
        <v>MadinaturRida</v>
      </c>
      <c r="E2301" s="40"/>
      <c r="F2301" s="15" t="s">
        <v>775</v>
      </c>
      <c r="G2301" s="17"/>
      <c r="H2301" s="10" t="s">
        <v>8563</v>
      </c>
      <c r="I2301" s="4" t="str">
        <f t="shared" si="246"/>
        <v>|Madínatu’r-Riḍá|</v>
      </c>
      <c r="J2301" s="3" t="str">
        <f t="shared" si="247"/>
        <v>|Madinatu'r-Rida|</v>
      </c>
      <c r="K2301" s="3" t="str">
        <f t="shared" si="248"/>
        <v>Madinatur-Rida</v>
      </c>
      <c r="N2301" s="39" t="str">
        <f t="shared" si="249"/>
        <v/>
      </c>
      <c r="P2301" s="39" t="str">
        <f t="shared" si="250"/>
        <v/>
      </c>
      <c r="R2301" s="39" t="str">
        <f t="shared" si="251"/>
        <v/>
      </c>
      <c r="S2301" s="28"/>
      <c r="T2301" s="28"/>
      <c r="U2301" s="28"/>
    </row>
    <row r="2302" spans="1:21" s="5" customFormat="1">
      <c r="A2302" s="179" t="s">
        <v>2821</v>
      </c>
      <c r="B2302" s="185" t="s">
        <v>6897</v>
      </c>
      <c r="C2302" s="35" t="str">
        <f t="shared" si="245"/>
        <v>MadinatutTawhid</v>
      </c>
      <c r="E2302" s="40"/>
      <c r="F2302" s="15" t="s">
        <v>775</v>
      </c>
      <c r="G2302" s="17"/>
      <c r="H2302" s="10" t="s">
        <v>8563</v>
      </c>
      <c r="I2302" s="4" t="str">
        <f t="shared" si="246"/>
        <v>|Madínatu’t-Tawḥíd|</v>
      </c>
      <c r="J2302" s="3" t="str">
        <f t="shared" si="247"/>
        <v>|Madinatu't-Tawhid|</v>
      </c>
      <c r="K2302" s="3" t="str">
        <f t="shared" si="248"/>
        <v>Madinatut-Tawhid</v>
      </c>
      <c r="N2302" s="39" t="str">
        <f t="shared" si="249"/>
        <v/>
      </c>
      <c r="P2302" s="39" t="str">
        <f t="shared" si="250"/>
        <v/>
      </c>
      <c r="R2302" s="39" t="str">
        <f t="shared" si="251"/>
        <v/>
      </c>
      <c r="S2302" s="28"/>
      <c r="T2302" s="28"/>
      <c r="U2302" s="28"/>
    </row>
    <row r="2303" spans="1:21" s="5" customFormat="1">
      <c r="A2303" s="179" t="s">
        <v>2822</v>
      </c>
      <c r="B2303" s="185" t="s">
        <v>6898</v>
      </c>
      <c r="C2303" s="35" t="str">
        <f t="shared" si="245"/>
        <v>Madras</v>
      </c>
      <c r="E2303" s="40"/>
      <c r="F2303" s="14"/>
      <c r="G2303" s="17"/>
      <c r="H2303" s="10" t="s">
        <v>8563</v>
      </c>
      <c r="I2303" s="4" t="str">
        <f t="shared" si="246"/>
        <v>|Madras|</v>
      </c>
      <c r="J2303" s="3" t="str">
        <f t="shared" si="247"/>
        <v>|Madras|</v>
      </c>
      <c r="K2303" s="3" t="str">
        <f t="shared" si="248"/>
        <v>Madras</v>
      </c>
      <c r="N2303" s="39" t="str">
        <f t="shared" si="249"/>
        <v/>
      </c>
      <c r="P2303" s="39" t="str">
        <f t="shared" si="250"/>
        <v/>
      </c>
      <c r="R2303" s="39" t="str">
        <f t="shared" si="251"/>
        <v/>
      </c>
      <c r="S2303" s="28"/>
      <c r="T2303" s="28"/>
      <c r="U2303" s="28"/>
    </row>
    <row r="2304" spans="1:21" s="5" customFormat="1">
      <c r="A2304" s="179" t="s">
        <v>2823</v>
      </c>
      <c r="B2304" s="185" t="s">
        <v>6899</v>
      </c>
      <c r="C2304" s="35" t="str">
        <f t="shared" si="245"/>
        <v>Madrisih</v>
      </c>
      <c r="E2304" s="40"/>
      <c r="F2304" s="14" t="s">
        <v>2824</v>
      </c>
      <c r="G2304" s="17"/>
      <c r="H2304" s="10" t="s">
        <v>8563</v>
      </c>
      <c r="I2304" s="4" t="str">
        <f t="shared" si="246"/>
        <v>|Madrisih|</v>
      </c>
      <c r="J2304" s="3" t="str">
        <f t="shared" si="247"/>
        <v>|Madrisih|</v>
      </c>
      <c r="K2304" s="3" t="str">
        <f t="shared" si="248"/>
        <v>Madrisih</v>
      </c>
      <c r="N2304" s="39" t="str">
        <f t="shared" si="249"/>
        <v/>
      </c>
      <c r="P2304" s="39" t="str">
        <f t="shared" si="250"/>
        <v/>
      </c>
      <c r="R2304" s="39" t="str">
        <f t="shared" si="251"/>
        <v/>
      </c>
      <c r="S2304" s="28"/>
      <c r="T2304" s="28"/>
      <c r="U2304" s="28"/>
    </row>
    <row r="2305" spans="1:21" s="5" customFormat="1">
      <c r="A2305" s="179" t="s">
        <v>2826</v>
      </c>
      <c r="B2305" s="185" t="s">
        <v>6900</v>
      </c>
      <c r="C2305" s="35" t="str">
        <f t="shared" si="245"/>
        <v>MadrisiyiDarushShafa</v>
      </c>
      <c r="E2305" s="40"/>
      <c r="F2305" s="15"/>
      <c r="G2305" s="17"/>
      <c r="H2305" s="10" t="s">
        <v>8563</v>
      </c>
      <c r="I2305" s="4" t="str">
        <f t="shared" si="246"/>
        <v>|Madrisiy-i-Dáru’-afá|</v>
      </c>
      <c r="J2305" s="3" t="str">
        <f t="shared" si="247"/>
        <v>|Madrisiy-i-Daru'sh-Shafa|</v>
      </c>
      <c r="K2305" s="3" t="str">
        <f t="shared" si="248"/>
        <v>Madrisiy-i-Darush-Shafa</v>
      </c>
      <c r="N2305" s="39" t="str">
        <f t="shared" si="249"/>
        <v/>
      </c>
      <c r="P2305" s="39" t="str">
        <f t="shared" si="250"/>
        <v/>
      </c>
      <c r="R2305" s="39" t="str">
        <f t="shared" si="251"/>
        <v/>
      </c>
      <c r="S2305" s="28"/>
      <c r="T2305" s="28"/>
      <c r="U2305" s="28"/>
    </row>
    <row r="2306" spans="1:21" s="5" customFormat="1">
      <c r="A2306" s="179" t="s">
        <v>2825</v>
      </c>
      <c r="B2306" s="185" t="s">
        <v>8612</v>
      </c>
      <c r="C2306" s="35" t="str">
        <f t="shared" ref="C2306:C2369" si="252">SUBSTITUTE(SUBSTITUTE(K2306,"-","")," ","")</f>
        <v>MadrisiyiDarushShafayiMasjidiShah</v>
      </c>
      <c r="E2306" s="40"/>
      <c r="F2306" s="15"/>
      <c r="G2306" s="17"/>
      <c r="H2306" s="10" t="s">
        <v>8563</v>
      </c>
      <c r="I2306" s="4" t="str">
        <f t="shared" ref="I2306:I2369" si="253">CONCATENATE("|",B2306,"|")</f>
        <v>|Madrisiy-i-Dárú’-afáy-i-Masjid-i-áh|</v>
      </c>
      <c r="J2306" s="3" t="str">
        <f t="shared" ref="J2306:J2369" si="254">CONCATENATE("|",F_OutputASCII(B2306),"|")</f>
        <v>|Madrisiy-i-Daru'sh-Shafay-i-Masjid-i-Shah|</v>
      </c>
      <c r="K2306" s="3" t="str">
        <f t="shared" ref="K2306:K2369" si="255">IF(SUBSTITUTE(MID(J2306,2,LEN(J2306)-2),"'","")&lt;&gt;"",SUBSTITUTE(MID(J2306,2,LEN(J2306)-2),"'",""),"ZZZZZ")</f>
        <v>Madrisiy-i-Darush-Shafay-i-Masjid-i-Shah</v>
      </c>
      <c r="N2306" s="39" t="str">
        <f t="shared" si="249"/>
        <v/>
      </c>
      <c r="P2306" s="39" t="str">
        <f t="shared" si="250"/>
        <v/>
      </c>
      <c r="R2306" s="39" t="str">
        <f t="shared" si="251"/>
        <v/>
      </c>
      <c r="S2306" s="28"/>
      <c r="T2306" s="28"/>
      <c r="U2306" s="28"/>
    </row>
    <row r="2307" spans="1:21" s="5" customFormat="1">
      <c r="A2307" s="179" t="s">
        <v>2827</v>
      </c>
      <c r="B2307" s="185" t="s">
        <v>6901</v>
      </c>
      <c r="C2307" s="35" t="str">
        <f t="shared" si="252"/>
        <v>MadrisiyiiSadr</v>
      </c>
      <c r="E2307" s="40"/>
      <c r="F2307" s="15"/>
      <c r="G2307" s="17"/>
      <c r="H2307" s="10" t="s">
        <v>8563</v>
      </c>
      <c r="I2307" s="4" t="str">
        <f t="shared" si="253"/>
        <v>|Madrisiyi-i-Ṣadr|</v>
      </c>
      <c r="J2307" s="3" t="str">
        <f t="shared" si="254"/>
        <v>|Madrisiyi-i-Sadr|</v>
      </c>
      <c r="K2307" s="3" t="str">
        <f t="shared" si="255"/>
        <v>Madrisiyi-i-Sadr</v>
      </c>
      <c r="N2307" s="39" t="str">
        <f t="shared" ref="N2307:N2370" si="256">SUBSTITUTE(SUBSTITUTE(SUBSTITUTE(F_OutputASCII(M2307),"-","")," ",""),"'","")</f>
        <v/>
      </c>
      <c r="P2307" s="39" t="str">
        <f t="shared" ref="P2307:P2370" si="257">SUBSTITUTE(SUBSTITUTE(SUBSTITUTE(F_OutputASCII(O2307),"-","")," ",""),"'","")</f>
        <v/>
      </c>
      <c r="R2307" s="39" t="str">
        <f t="shared" ref="R2307:R2370" si="258">SUBSTITUTE(SUBSTITUTE(Q2307,"-","")," ","")</f>
        <v/>
      </c>
      <c r="S2307" s="28"/>
      <c r="T2307" s="28"/>
      <c r="U2307" s="28"/>
    </row>
    <row r="2308" spans="1:21" s="5" customFormat="1">
      <c r="A2308" s="179" t="s">
        <v>2828</v>
      </c>
      <c r="B2308" s="185" t="s">
        <v>6902</v>
      </c>
      <c r="C2308" s="35" t="str">
        <f t="shared" si="252"/>
        <v>MadrisiyiMadariShah</v>
      </c>
      <c r="E2308" s="40"/>
      <c r="F2308" s="15"/>
      <c r="G2308" s="17"/>
      <c r="H2308" s="10" t="s">
        <v>8563</v>
      </c>
      <c r="I2308" s="4" t="str">
        <f t="shared" si="253"/>
        <v>|Madrisiy-i-Mádar-i-áh|</v>
      </c>
      <c r="J2308" s="3" t="str">
        <f t="shared" si="254"/>
        <v>|Madrisiy-i-Madar-i-Shah|</v>
      </c>
      <c r="K2308" s="3" t="str">
        <f t="shared" si="255"/>
        <v>Madrisiy-i-Madar-i-Shah</v>
      </c>
      <c r="N2308" s="39" t="str">
        <f t="shared" si="256"/>
        <v/>
      </c>
      <c r="P2308" s="39" t="str">
        <f t="shared" si="257"/>
        <v/>
      </c>
      <c r="R2308" s="39" t="str">
        <f t="shared" si="258"/>
        <v/>
      </c>
      <c r="S2308" s="28"/>
      <c r="T2308" s="28"/>
      <c r="U2308" s="28"/>
    </row>
    <row r="2309" spans="1:21" s="5" customFormat="1">
      <c r="A2309" s="179" t="s">
        <v>2829</v>
      </c>
      <c r="B2309" s="185" t="s">
        <v>6903</v>
      </c>
      <c r="C2309" s="35" t="str">
        <f t="shared" si="252"/>
        <v>MadrisiyiMirzaSalih</v>
      </c>
      <c r="E2309" s="40"/>
      <c r="F2309" s="15"/>
      <c r="G2309" s="17"/>
      <c r="H2309" s="10" t="s">
        <v>8563</v>
      </c>
      <c r="I2309" s="4" t="str">
        <f t="shared" si="253"/>
        <v>|Madrisiy-i-Mírzá-Ṣálih|</v>
      </c>
      <c r="J2309" s="3" t="str">
        <f t="shared" si="254"/>
        <v>|Madrisiy-i-Mirza-Salih|</v>
      </c>
      <c r="K2309" s="3" t="str">
        <f t="shared" si="255"/>
        <v>Madrisiy-i-Mirza-Salih</v>
      </c>
      <c r="N2309" s="39" t="str">
        <f t="shared" si="256"/>
        <v/>
      </c>
      <c r="P2309" s="39" t="str">
        <f t="shared" si="257"/>
        <v/>
      </c>
      <c r="R2309" s="39" t="str">
        <f t="shared" si="258"/>
        <v/>
      </c>
      <c r="S2309" s="28"/>
      <c r="T2309" s="28"/>
      <c r="U2309" s="28"/>
    </row>
    <row r="2310" spans="1:21" s="5" customFormat="1">
      <c r="A2310" s="179" t="s">
        <v>2827</v>
      </c>
      <c r="B2310" s="185" t="s">
        <v>6904</v>
      </c>
      <c r="C2310" s="35" t="str">
        <f t="shared" si="252"/>
        <v>MadrisiyiSadr</v>
      </c>
      <c r="E2310" s="40"/>
      <c r="F2310" s="15"/>
      <c r="G2310" s="17"/>
      <c r="H2310" s="10" t="s">
        <v>8563</v>
      </c>
      <c r="I2310" s="4" t="str">
        <f t="shared" si="253"/>
        <v>|Madrisiy-i-Ṣadr|</v>
      </c>
      <c r="J2310" s="3" t="str">
        <f t="shared" si="254"/>
        <v>|Madrisiy-i-Sadr|</v>
      </c>
      <c r="K2310" s="3" t="str">
        <f t="shared" si="255"/>
        <v>Madrisiy-i-Sadr</v>
      </c>
      <c r="N2310" s="39" t="str">
        <f t="shared" si="256"/>
        <v/>
      </c>
      <c r="P2310" s="39" t="str">
        <f t="shared" si="257"/>
        <v/>
      </c>
      <c r="R2310" s="39" t="str">
        <f t="shared" si="258"/>
        <v/>
      </c>
      <c r="S2310" s="28"/>
      <c r="T2310" s="28"/>
      <c r="U2310" s="28"/>
    </row>
    <row r="2311" spans="1:21" s="5" customFormat="1">
      <c r="A2311" s="179" t="s">
        <v>2830</v>
      </c>
      <c r="B2311" s="185" t="s">
        <v>6905</v>
      </c>
      <c r="C2311" s="35" t="str">
        <f t="shared" si="252"/>
        <v>Maghfarat</v>
      </c>
      <c r="E2311" s="40"/>
      <c r="F2311" s="15"/>
      <c r="G2311" s="17"/>
      <c r="H2311" s="10" t="s">
        <v>8563</v>
      </c>
      <c r="I2311" s="4" t="str">
        <f t="shared" si="253"/>
        <v>|Mafarat|</v>
      </c>
      <c r="J2311" s="3" t="str">
        <f t="shared" si="254"/>
        <v>|Maghfarat|</v>
      </c>
      <c r="K2311" s="3" t="str">
        <f t="shared" si="255"/>
        <v>Maghfarat</v>
      </c>
      <c r="N2311" s="39" t="str">
        <f t="shared" si="256"/>
        <v/>
      </c>
      <c r="P2311" s="39" t="str">
        <f t="shared" si="257"/>
        <v/>
      </c>
      <c r="R2311" s="39" t="str">
        <f t="shared" si="258"/>
        <v/>
      </c>
      <c r="S2311" s="28"/>
      <c r="T2311" s="28"/>
      <c r="U2311" s="28"/>
    </row>
    <row r="2312" spans="1:21" s="5" customFormat="1">
      <c r="A2312" s="179" t="s">
        <v>2831</v>
      </c>
      <c r="B2312" s="185" t="s">
        <v>6906</v>
      </c>
      <c r="C2312" s="35" t="str">
        <f t="shared" si="252"/>
        <v>Mahabad</v>
      </c>
      <c r="E2312" s="40"/>
      <c r="F2312" s="14"/>
      <c r="G2312" s="17"/>
      <c r="H2312" s="10" t="s">
        <v>8563</v>
      </c>
      <c r="I2312" s="4" t="str">
        <f t="shared" si="253"/>
        <v>|Mahábád|</v>
      </c>
      <c r="J2312" s="3" t="str">
        <f t="shared" si="254"/>
        <v>|Mahabad|</v>
      </c>
      <c r="K2312" s="3" t="str">
        <f t="shared" si="255"/>
        <v>Mahabad</v>
      </c>
      <c r="N2312" s="39" t="str">
        <f t="shared" si="256"/>
        <v/>
      </c>
      <c r="P2312" s="39" t="str">
        <f t="shared" si="257"/>
        <v/>
      </c>
      <c r="R2312" s="39" t="str">
        <f t="shared" si="258"/>
        <v/>
      </c>
      <c r="S2312" s="28"/>
      <c r="T2312" s="28"/>
      <c r="U2312" s="28"/>
    </row>
    <row r="2313" spans="1:21" s="5" customFormat="1">
      <c r="A2313" s="179" t="s">
        <v>2832</v>
      </c>
      <c r="B2313" s="185" t="s">
        <v>6907</v>
      </c>
      <c r="C2313" s="35" t="str">
        <f t="shared" si="252"/>
        <v>Mahal</v>
      </c>
      <c r="E2313" s="40"/>
      <c r="F2313" s="15"/>
      <c r="G2313" s="17"/>
      <c r="H2313" s="10" t="s">
        <v>8563</v>
      </c>
      <c r="I2313" s="4" t="str">
        <f t="shared" si="253"/>
        <v>|Maḥal|</v>
      </c>
      <c r="J2313" s="3" t="str">
        <f t="shared" si="254"/>
        <v>|Mahal|</v>
      </c>
      <c r="K2313" s="3" t="str">
        <f t="shared" si="255"/>
        <v>Mahal</v>
      </c>
      <c r="N2313" s="39" t="str">
        <f t="shared" si="256"/>
        <v/>
      </c>
      <c r="P2313" s="39" t="str">
        <f t="shared" si="257"/>
        <v/>
      </c>
      <c r="R2313" s="39" t="str">
        <f t="shared" si="258"/>
        <v/>
      </c>
      <c r="S2313" s="28"/>
      <c r="T2313" s="28"/>
      <c r="U2313" s="28"/>
    </row>
    <row r="2314" spans="1:21" s="5" customFormat="1">
      <c r="A2314" s="179" t="s">
        <v>2833</v>
      </c>
      <c r="B2314" s="185" t="s">
        <v>6908</v>
      </c>
      <c r="C2314" s="35" t="str">
        <f t="shared" si="252"/>
        <v>Mahallati</v>
      </c>
      <c r="E2314" s="40"/>
      <c r="F2314" s="14"/>
      <c r="G2314" s="17"/>
      <c r="H2314" s="10" t="s">
        <v>8563</v>
      </c>
      <c r="I2314" s="4" t="str">
        <f t="shared" si="253"/>
        <v>|Maḥallátí|</v>
      </c>
      <c r="J2314" s="3" t="str">
        <f t="shared" si="254"/>
        <v>|Mahallati|</v>
      </c>
      <c r="K2314" s="3" t="str">
        <f t="shared" si="255"/>
        <v>Mahallati</v>
      </c>
      <c r="N2314" s="39" t="str">
        <f t="shared" si="256"/>
        <v/>
      </c>
      <c r="P2314" s="39" t="str">
        <f t="shared" si="257"/>
        <v/>
      </c>
      <c r="R2314" s="39" t="str">
        <f t="shared" si="258"/>
        <v/>
      </c>
      <c r="S2314" s="28"/>
      <c r="T2314" s="28"/>
      <c r="U2314" s="28"/>
    </row>
    <row r="2315" spans="1:21" s="5" customFormat="1">
      <c r="A2315" s="179" t="s">
        <v>2834</v>
      </c>
      <c r="B2315" s="185" t="s">
        <v>6909</v>
      </c>
      <c r="C2315" s="35" t="str">
        <f t="shared" si="252"/>
        <v>Mahallih</v>
      </c>
      <c r="E2315" s="40"/>
      <c r="F2315" s="15" t="s">
        <v>2835</v>
      </c>
      <c r="G2315" s="17"/>
      <c r="H2315" s="10" t="s">
        <v>8563</v>
      </c>
      <c r="I2315" s="4" t="str">
        <f t="shared" si="253"/>
        <v>|Maḥallih|</v>
      </c>
      <c r="J2315" s="3" t="str">
        <f t="shared" si="254"/>
        <v>|Mahallih|</v>
      </c>
      <c r="K2315" s="3" t="str">
        <f t="shared" si="255"/>
        <v>Mahallih</v>
      </c>
      <c r="N2315" s="39" t="str">
        <f t="shared" si="256"/>
        <v/>
      </c>
      <c r="P2315" s="39" t="str">
        <f t="shared" si="257"/>
        <v/>
      </c>
      <c r="R2315" s="39" t="str">
        <f t="shared" si="258"/>
        <v/>
      </c>
      <c r="S2315" s="28"/>
      <c r="T2315" s="28"/>
      <c r="U2315" s="28"/>
    </row>
    <row r="2316" spans="1:21" s="5" customFormat="1">
      <c r="A2316" s="179" t="s">
        <v>2836</v>
      </c>
      <c r="B2316" s="185" t="s">
        <v>6910</v>
      </c>
      <c r="C2316" s="35" t="str">
        <f t="shared" si="252"/>
        <v>Mahbub</v>
      </c>
      <c r="E2316" s="40"/>
      <c r="F2316" s="15" t="s">
        <v>2837</v>
      </c>
      <c r="G2316" s="17"/>
      <c r="H2316" s="10" t="s">
        <v>8563</v>
      </c>
      <c r="I2316" s="4" t="str">
        <f t="shared" si="253"/>
        <v>|Maḥbúb|</v>
      </c>
      <c r="J2316" s="3" t="str">
        <f t="shared" si="254"/>
        <v>|Mahbub|</v>
      </c>
      <c r="K2316" s="3" t="str">
        <f t="shared" si="255"/>
        <v>Mahbub</v>
      </c>
      <c r="N2316" s="39" t="str">
        <f t="shared" si="256"/>
        <v/>
      </c>
      <c r="P2316" s="39" t="str">
        <f t="shared" si="257"/>
        <v/>
      </c>
      <c r="R2316" s="39" t="str">
        <f t="shared" si="258"/>
        <v/>
      </c>
      <c r="S2316" s="28"/>
      <c r="T2316" s="28"/>
      <c r="U2316" s="28"/>
    </row>
    <row r="2317" spans="1:21" s="5" customFormat="1">
      <c r="A2317" s="179" t="s">
        <v>2838</v>
      </c>
      <c r="B2317" s="185" t="s">
        <v>6911</v>
      </c>
      <c r="C2317" s="35" t="str">
        <f t="shared" si="252"/>
        <v>MahbubiAlam</v>
      </c>
      <c r="E2317" s="40"/>
      <c r="F2317" s="15"/>
      <c r="G2317" s="17"/>
      <c r="H2317" s="10" t="s">
        <v>8563</v>
      </c>
      <c r="I2317" s="4" t="str">
        <f t="shared" si="253"/>
        <v>|Maḥbúb-i-ʿÁlam|</v>
      </c>
      <c r="J2317" s="3" t="str">
        <f t="shared" si="254"/>
        <v>|Mahbub-i-'Alam|</v>
      </c>
      <c r="K2317" s="3" t="str">
        <f t="shared" si="255"/>
        <v>Mahbub-i-Alam</v>
      </c>
      <c r="N2317" s="39" t="str">
        <f t="shared" si="256"/>
        <v/>
      </c>
      <c r="P2317" s="39" t="str">
        <f t="shared" si="257"/>
        <v/>
      </c>
      <c r="R2317" s="39" t="str">
        <f t="shared" si="258"/>
        <v/>
      </c>
      <c r="S2317" s="28"/>
      <c r="T2317" s="28"/>
      <c r="U2317" s="28"/>
    </row>
    <row r="2318" spans="1:21" s="5" customFormat="1">
      <c r="A2318" s="179" t="s">
        <v>2839</v>
      </c>
      <c r="B2318" s="185" t="s">
        <v>6912</v>
      </c>
      <c r="C2318" s="35" t="str">
        <f t="shared" si="252"/>
        <v>Mahbubih</v>
      </c>
      <c r="E2318" s="40"/>
      <c r="F2318" s="15"/>
      <c r="G2318" s="17"/>
      <c r="H2318" s="10" t="s">
        <v>8563</v>
      </c>
      <c r="I2318" s="4" t="str">
        <f t="shared" si="253"/>
        <v>|Maḥbúbih|</v>
      </c>
      <c r="J2318" s="3" t="str">
        <f t="shared" si="254"/>
        <v>|Mahbubih|</v>
      </c>
      <c r="K2318" s="3" t="str">
        <f t="shared" si="255"/>
        <v>Mahbubih</v>
      </c>
      <c r="N2318" s="39" t="str">
        <f t="shared" si="256"/>
        <v/>
      </c>
      <c r="P2318" s="39" t="str">
        <f t="shared" si="257"/>
        <v/>
      </c>
      <c r="R2318" s="39" t="str">
        <f t="shared" si="258"/>
        <v/>
      </c>
      <c r="S2318" s="28"/>
      <c r="T2318" s="28"/>
      <c r="U2318" s="28"/>
    </row>
    <row r="2319" spans="1:21" s="5" customFormat="1">
      <c r="A2319" s="179" t="s">
        <v>2840</v>
      </c>
      <c r="B2319" s="185" t="s">
        <v>6913</v>
      </c>
      <c r="C2319" s="35" t="str">
        <f t="shared" si="252"/>
        <v>Mahbubiyan</v>
      </c>
      <c r="E2319" s="40"/>
      <c r="F2319" s="15"/>
      <c r="G2319" s="17"/>
      <c r="H2319" s="10" t="s">
        <v>8563</v>
      </c>
      <c r="I2319" s="4" t="str">
        <f t="shared" si="253"/>
        <v>|Maḥbúbíyán|</v>
      </c>
      <c r="J2319" s="3" t="str">
        <f t="shared" si="254"/>
        <v>|Mahbubiyan|</v>
      </c>
      <c r="K2319" s="3" t="str">
        <f t="shared" si="255"/>
        <v>Mahbubiyan</v>
      </c>
      <c r="N2319" s="39" t="str">
        <f t="shared" si="256"/>
        <v/>
      </c>
      <c r="P2319" s="39" t="str">
        <f t="shared" si="257"/>
        <v/>
      </c>
      <c r="R2319" s="39" t="str">
        <f t="shared" si="258"/>
        <v/>
      </c>
      <c r="S2319" s="28"/>
      <c r="T2319" s="28"/>
      <c r="U2319" s="28"/>
    </row>
    <row r="2320" spans="1:21" s="5" customFormat="1">
      <c r="A2320" s="179" t="s">
        <v>2841</v>
      </c>
      <c r="B2320" s="185" t="s">
        <v>6914</v>
      </c>
      <c r="C2320" s="35" t="str">
        <f t="shared" si="252"/>
        <v>MahbubushShuhada</v>
      </c>
      <c r="E2320" s="40"/>
      <c r="F2320" s="14"/>
      <c r="G2320" s="17"/>
      <c r="H2320" s="10" t="s">
        <v>8563</v>
      </c>
      <c r="I2320" s="4" t="str">
        <f t="shared" si="253"/>
        <v>|Maḥbúbu’-uhadá|</v>
      </c>
      <c r="J2320" s="3" t="str">
        <f t="shared" si="254"/>
        <v>|Mahbubu'sh-Shuhada|</v>
      </c>
      <c r="K2320" s="3" t="str">
        <f t="shared" si="255"/>
        <v>Mahbubush-Shuhada</v>
      </c>
      <c r="N2320" s="39" t="str">
        <f t="shared" si="256"/>
        <v/>
      </c>
      <c r="P2320" s="39" t="str">
        <f t="shared" si="257"/>
        <v/>
      </c>
      <c r="R2320" s="39" t="str">
        <f t="shared" si="258"/>
        <v/>
      </c>
      <c r="S2320" s="28"/>
      <c r="T2320" s="28"/>
      <c r="U2320" s="28"/>
    </row>
    <row r="2321" spans="1:21" s="5" customFormat="1">
      <c r="A2321" s="179" t="s">
        <v>2842</v>
      </c>
      <c r="B2321" s="185" t="s">
        <v>6915</v>
      </c>
      <c r="C2321" s="35" t="str">
        <f t="shared" si="252"/>
        <v>Mahdaviyyat</v>
      </c>
      <c r="E2321" s="40"/>
      <c r="F2321" s="15" t="s">
        <v>2843</v>
      </c>
      <c r="G2321" s="17"/>
      <c r="H2321" s="10" t="s">
        <v>8563</v>
      </c>
      <c r="I2321" s="4" t="str">
        <f t="shared" si="253"/>
        <v>|Mahdavíyyat|</v>
      </c>
      <c r="J2321" s="3" t="str">
        <f t="shared" si="254"/>
        <v>|Mahdaviyyat|</v>
      </c>
      <c r="K2321" s="3" t="str">
        <f t="shared" si="255"/>
        <v>Mahdaviyyat</v>
      </c>
      <c r="N2321" s="39" t="str">
        <f t="shared" si="256"/>
        <v/>
      </c>
      <c r="P2321" s="39" t="str">
        <f t="shared" si="257"/>
        <v/>
      </c>
      <c r="R2321" s="39" t="str">
        <f t="shared" si="258"/>
        <v/>
      </c>
      <c r="S2321" s="28"/>
      <c r="T2321" s="28"/>
      <c r="U2321" s="28"/>
    </row>
    <row r="2322" spans="1:21" s="5" customFormat="1">
      <c r="A2322" s="179" t="s">
        <v>2844</v>
      </c>
      <c r="B2322" s="185" t="s">
        <v>69</v>
      </c>
      <c r="C2322" s="35" t="str">
        <f t="shared" si="252"/>
        <v>Mahdi</v>
      </c>
      <c r="E2322" s="40"/>
      <c r="F2322" s="15" t="s">
        <v>2845</v>
      </c>
      <c r="G2322" s="17"/>
      <c r="H2322" s="10" t="s">
        <v>8563</v>
      </c>
      <c r="I2322" s="4" t="str">
        <f t="shared" si="253"/>
        <v>|Mahdí|</v>
      </c>
      <c r="J2322" s="3" t="str">
        <f t="shared" si="254"/>
        <v>|Mahdi|</v>
      </c>
      <c r="K2322" s="3" t="str">
        <f t="shared" si="255"/>
        <v>Mahdi</v>
      </c>
      <c r="N2322" s="39" t="str">
        <f t="shared" si="256"/>
        <v/>
      </c>
      <c r="P2322" s="39" t="str">
        <f t="shared" si="257"/>
        <v/>
      </c>
      <c r="R2322" s="39" t="str">
        <f t="shared" si="258"/>
        <v/>
      </c>
      <c r="S2322" s="28"/>
      <c r="T2322" s="29">
        <v>41796</v>
      </c>
      <c r="U2322" s="28" t="s">
        <v>9371</v>
      </c>
    </row>
    <row r="2323" spans="1:21" s="5" customFormat="1">
      <c r="A2323" s="179" t="s">
        <v>2846</v>
      </c>
      <c r="B2323" s="185" t="s">
        <v>6916</v>
      </c>
      <c r="C2323" s="35" t="str">
        <f t="shared" si="252"/>
        <v>MahdiUlya</v>
      </c>
      <c r="E2323" s="40"/>
      <c r="F2323" s="14"/>
      <c r="G2323" s="17"/>
      <c r="H2323" s="10" t="s">
        <v>8563</v>
      </c>
      <c r="I2323" s="4" t="str">
        <f t="shared" si="253"/>
        <v>|Mahd-i-ʿUlyá|</v>
      </c>
      <c r="J2323" s="3" t="str">
        <f t="shared" si="254"/>
        <v>|Mahd-i-'Ulya|</v>
      </c>
      <c r="K2323" s="3" t="str">
        <f t="shared" si="255"/>
        <v>Mahd-i-Ulya</v>
      </c>
      <c r="N2323" s="39" t="str">
        <f t="shared" si="256"/>
        <v/>
      </c>
      <c r="P2323" s="39" t="str">
        <f t="shared" si="257"/>
        <v/>
      </c>
      <c r="R2323" s="39" t="str">
        <f t="shared" si="258"/>
        <v/>
      </c>
      <c r="S2323" s="28"/>
      <c r="T2323" s="28"/>
      <c r="U2323" s="28"/>
    </row>
    <row r="2324" spans="1:21" s="5" customFormat="1">
      <c r="A2324" s="179" t="s">
        <v>2847</v>
      </c>
      <c r="B2324" s="185" t="s">
        <v>6917</v>
      </c>
      <c r="C2324" s="35" t="str">
        <f t="shared" si="252"/>
        <v>MahfiliRawhani</v>
      </c>
      <c r="E2324" s="40"/>
      <c r="F2324" s="15" t="s">
        <v>2848</v>
      </c>
      <c r="G2324" s="17"/>
      <c r="H2324" s="10" t="s">
        <v>8563</v>
      </c>
      <c r="I2324" s="4" t="str">
        <f t="shared" si="253"/>
        <v>|Maḥfil-i-Rawḥání|</v>
      </c>
      <c r="J2324" s="3" t="str">
        <f t="shared" si="254"/>
        <v>|Mahfil-i-Rawhani|</v>
      </c>
      <c r="K2324" s="3" t="str">
        <f t="shared" si="255"/>
        <v>Mahfil-i-Rawhani</v>
      </c>
      <c r="N2324" s="39" t="str">
        <f t="shared" si="256"/>
        <v/>
      </c>
      <c r="P2324" s="39" t="str">
        <f t="shared" si="257"/>
        <v/>
      </c>
      <c r="R2324" s="39" t="str">
        <f t="shared" si="258"/>
        <v/>
      </c>
      <c r="S2324" s="28"/>
      <c r="T2324" s="28"/>
      <c r="U2324" s="28"/>
    </row>
    <row r="2325" spans="1:21" s="5" customFormat="1">
      <c r="A2325" s="179" t="s">
        <v>2849</v>
      </c>
      <c r="B2325" s="185" t="s">
        <v>6918</v>
      </c>
      <c r="C2325" s="35" t="str">
        <f t="shared" si="252"/>
        <v>Mahin</v>
      </c>
      <c r="E2325" s="40"/>
      <c r="F2325" s="15"/>
      <c r="G2325" s="17"/>
      <c r="H2325" s="10" t="s">
        <v>8563</v>
      </c>
      <c r="I2325" s="4" t="str">
        <f t="shared" si="253"/>
        <v>|Mahín|</v>
      </c>
      <c r="J2325" s="3" t="str">
        <f t="shared" si="254"/>
        <v>|Mahin|</v>
      </c>
      <c r="K2325" s="3" t="str">
        <f t="shared" si="255"/>
        <v>Mahin</v>
      </c>
      <c r="N2325" s="39" t="str">
        <f t="shared" si="256"/>
        <v/>
      </c>
      <c r="P2325" s="39" t="str">
        <f t="shared" si="257"/>
        <v/>
      </c>
      <c r="R2325" s="39" t="str">
        <f t="shared" si="258"/>
        <v/>
      </c>
      <c r="S2325" s="28"/>
      <c r="T2325" s="28"/>
      <c r="U2325" s="28"/>
    </row>
    <row r="2326" spans="1:21" s="5" customFormat="1">
      <c r="A2326" s="179" t="s">
        <v>2850</v>
      </c>
      <c r="B2326" s="185" t="s">
        <v>6919</v>
      </c>
      <c r="C2326" s="35" t="str">
        <f t="shared" si="252"/>
        <v>MahinBanu</v>
      </c>
      <c r="E2326" s="40"/>
      <c r="F2326" s="15"/>
      <c r="G2326" s="17"/>
      <c r="H2326" s="10" t="s">
        <v>8563</v>
      </c>
      <c r="I2326" s="4" t="str">
        <f t="shared" si="253"/>
        <v>|Mahín-Bánú|</v>
      </c>
      <c r="J2326" s="3" t="str">
        <f t="shared" si="254"/>
        <v>|Mahin-Banu|</v>
      </c>
      <c r="K2326" s="3" t="str">
        <f t="shared" si="255"/>
        <v>Mahin-Banu</v>
      </c>
      <c r="N2326" s="39" t="str">
        <f t="shared" si="256"/>
        <v/>
      </c>
      <c r="P2326" s="39" t="str">
        <f t="shared" si="257"/>
        <v/>
      </c>
      <c r="R2326" s="39" t="str">
        <f t="shared" si="258"/>
        <v/>
      </c>
      <c r="S2326" s="28"/>
      <c r="T2326" s="28"/>
      <c r="U2326" s="28"/>
    </row>
    <row r="2327" spans="1:21" s="5" customFormat="1">
      <c r="A2327" s="179" t="s">
        <v>2851</v>
      </c>
      <c r="B2327" s="185" t="s">
        <v>6920</v>
      </c>
      <c r="C2327" s="35" t="str">
        <f t="shared" si="252"/>
        <v>Mahjuri</v>
      </c>
      <c r="E2327" s="40"/>
      <c r="F2327" s="15"/>
      <c r="G2327" s="17"/>
      <c r="H2327" s="10" t="s">
        <v>8563</v>
      </c>
      <c r="I2327" s="4" t="str">
        <f t="shared" si="253"/>
        <v>|Mahjúrí|</v>
      </c>
      <c r="J2327" s="3" t="str">
        <f t="shared" si="254"/>
        <v>|Mahjuri|</v>
      </c>
      <c r="K2327" s="3" t="str">
        <f t="shared" si="255"/>
        <v>Mahjuri</v>
      </c>
      <c r="N2327" s="39" t="str">
        <f t="shared" si="256"/>
        <v/>
      </c>
      <c r="P2327" s="39" t="str">
        <f t="shared" si="257"/>
        <v/>
      </c>
      <c r="R2327" s="39" t="str">
        <f t="shared" si="258"/>
        <v/>
      </c>
      <c r="S2327" s="28"/>
      <c r="T2327" s="28"/>
      <c r="U2327" s="28"/>
    </row>
    <row r="2328" spans="1:21" s="5" customFormat="1">
      <c r="A2328" s="179" t="s">
        <v>2852</v>
      </c>
      <c r="B2328" s="185" t="s">
        <v>23</v>
      </c>
      <c r="C2328" s="35" t="str">
        <f t="shared" si="252"/>
        <v>MahKu</v>
      </c>
      <c r="E2328" s="40"/>
      <c r="F2328" s="14"/>
      <c r="G2328" s="17"/>
      <c r="H2328" s="10" t="s">
        <v>8563</v>
      </c>
      <c r="I2328" s="4" t="str">
        <f t="shared" si="253"/>
        <v>|Máh-Kú|</v>
      </c>
      <c r="J2328" s="3" t="str">
        <f t="shared" si="254"/>
        <v>|Mah-Ku|</v>
      </c>
      <c r="K2328" s="3" t="str">
        <f t="shared" si="255"/>
        <v>Mah-Ku</v>
      </c>
      <c r="N2328" s="39" t="str">
        <f t="shared" si="256"/>
        <v/>
      </c>
      <c r="P2328" s="39" t="str">
        <f t="shared" si="257"/>
        <v/>
      </c>
      <c r="R2328" s="39" t="str">
        <f t="shared" si="258"/>
        <v/>
      </c>
      <c r="S2328" s="28"/>
      <c r="T2328" s="29">
        <v>41781</v>
      </c>
      <c r="U2328" s="28" t="s">
        <v>9457</v>
      </c>
    </row>
    <row r="2329" spans="1:21" s="5" customFormat="1">
      <c r="A2329" s="179" t="s">
        <v>2853</v>
      </c>
      <c r="B2329" s="185" t="s">
        <v>175</v>
      </c>
      <c r="C2329" s="35" t="str">
        <f t="shared" si="252"/>
        <v>Mahmud</v>
      </c>
      <c r="E2329" s="40"/>
      <c r="F2329" s="14"/>
      <c r="G2329" s="17"/>
      <c r="H2329" s="10" t="s">
        <v>8563</v>
      </c>
      <c r="I2329" s="4" t="str">
        <f t="shared" si="253"/>
        <v>|Maḥmúd|</v>
      </c>
      <c r="J2329" s="3" t="str">
        <f t="shared" si="254"/>
        <v>|Mahmud|</v>
      </c>
      <c r="K2329" s="3" t="str">
        <f t="shared" si="255"/>
        <v>Mahmud</v>
      </c>
      <c r="N2329" s="39" t="str">
        <f t="shared" si="256"/>
        <v/>
      </c>
      <c r="P2329" s="39" t="str">
        <f t="shared" si="257"/>
        <v/>
      </c>
      <c r="R2329" s="39" t="str">
        <f t="shared" si="258"/>
        <v/>
      </c>
      <c r="S2329" s="28"/>
      <c r="T2329" s="28"/>
      <c r="U2329" s="28"/>
    </row>
    <row r="2330" spans="1:21" s="5" customFormat="1">
      <c r="A2330" s="181"/>
      <c r="B2330" s="185" t="s">
        <v>8692</v>
      </c>
      <c r="C2330" s="35" t="str">
        <f t="shared" si="252"/>
        <v>MahmudKhan</v>
      </c>
      <c r="D2330" s="1"/>
      <c r="E2330" s="40"/>
      <c r="F2330" s="12"/>
      <c r="G2330" s="9"/>
      <c r="H2330" s="12" t="s">
        <v>8622</v>
      </c>
      <c r="I2330" s="4" t="str">
        <f t="shared" si="253"/>
        <v>|Maḥmúd án|</v>
      </c>
      <c r="J2330" s="3" t="str">
        <f t="shared" si="254"/>
        <v>|Mahmud Khan|</v>
      </c>
      <c r="K2330" s="3" t="str">
        <f t="shared" si="255"/>
        <v>Mahmud Khan</v>
      </c>
      <c r="N2330" s="39" t="str">
        <f t="shared" si="256"/>
        <v/>
      </c>
      <c r="P2330" s="39" t="str">
        <f t="shared" si="257"/>
        <v/>
      </c>
      <c r="R2330" s="39" t="str">
        <f t="shared" si="258"/>
        <v/>
      </c>
      <c r="S2330" s="29">
        <v>41760</v>
      </c>
      <c r="T2330" s="28"/>
      <c r="U2330" s="28"/>
    </row>
    <row r="2331" spans="1:21" s="5" customFormat="1">
      <c r="A2331" s="179" t="s">
        <v>2854</v>
      </c>
      <c r="B2331" s="185" t="s">
        <v>6921</v>
      </c>
      <c r="C2331" s="35" t="str">
        <f t="shared" si="252"/>
        <v>Mahmudi</v>
      </c>
      <c r="E2331" s="40"/>
      <c r="F2331" s="15"/>
      <c r="G2331" s="17"/>
      <c r="H2331" s="10" t="s">
        <v>8563</v>
      </c>
      <c r="I2331" s="4" t="str">
        <f t="shared" si="253"/>
        <v>|Maḥmúdí|</v>
      </c>
      <c r="J2331" s="3" t="str">
        <f t="shared" si="254"/>
        <v>|Mahmudi|</v>
      </c>
      <c r="K2331" s="3" t="str">
        <f t="shared" si="255"/>
        <v>Mahmudi</v>
      </c>
      <c r="N2331" s="39" t="str">
        <f t="shared" si="256"/>
        <v/>
      </c>
      <c r="P2331" s="39" t="str">
        <f t="shared" si="257"/>
        <v/>
      </c>
      <c r="R2331" s="39" t="str">
        <f t="shared" si="258"/>
        <v/>
      </c>
      <c r="S2331" s="28"/>
      <c r="T2331" s="28"/>
      <c r="U2331" s="28"/>
    </row>
    <row r="2332" spans="1:21" s="5" customFormat="1">
      <c r="A2332" s="179" t="s">
        <v>2855</v>
      </c>
      <c r="B2332" s="185" t="s">
        <v>6922</v>
      </c>
      <c r="C2332" s="35" t="str">
        <f t="shared" si="252"/>
        <v>MahmudiAluri</v>
      </c>
      <c r="E2332" s="40"/>
      <c r="F2332" s="14"/>
      <c r="G2332" s="17"/>
      <c r="H2332" s="10" t="s">
        <v>8563</v>
      </c>
      <c r="I2332" s="4" t="str">
        <f t="shared" si="253"/>
        <v>|Maḥmúd-i-Álúrí|</v>
      </c>
      <c r="J2332" s="3" t="str">
        <f t="shared" si="254"/>
        <v>|Mahmud-i-Aluri|</v>
      </c>
      <c r="K2332" s="3" t="str">
        <f t="shared" si="255"/>
        <v>Mahmud-i-Aluri</v>
      </c>
      <c r="N2332" s="39" t="str">
        <f t="shared" si="256"/>
        <v/>
      </c>
      <c r="P2332" s="39" t="str">
        <f t="shared" si="257"/>
        <v/>
      </c>
      <c r="R2332" s="39" t="str">
        <f t="shared" si="258"/>
        <v/>
      </c>
      <c r="S2332" s="28"/>
      <c r="T2332" s="28"/>
      <c r="U2332" s="28"/>
    </row>
    <row r="2333" spans="1:21" s="5" customFormat="1">
      <c r="A2333" s="179" t="s">
        <v>2856</v>
      </c>
      <c r="B2333" s="185" t="s">
        <v>6923</v>
      </c>
      <c r="C2333" s="35" t="str">
        <f t="shared" si="252"/>
        <v>MahmudiAlusi</v>
      </c>
      <c r="E2333" s="40"/>
      <c r="F2333" s="14"/>
      <c r="G2333" s="17"/>
      <c r="H2333" s="10" t="s">
        <v>8563</v>
      </c>
      <c r="I2333" s="4" t="str">
        <f t="shared" si="253"/>
        <v>|Maḥmúd-i-Álúsí|</v>
      </c>
      <c r="J2333" s="3" t="str">
        <f t="shared" si="254"/>
        <v>|Mahmud-i-Alusi|</v>
      </c>
      <c r="K2333" s="3" t="str">
        <f t="shared" si="255"/>
        <v>Mahmud-i-Alusi</v>
      </c>
      <c r="N2333" s="39" t="str">
        <f t="shared" si="256"/>
        <v/>
      </c>
      <c r="P2333" s="39" t="str">
        <f t="shared" si="257"/>
        <v/>
      </c>
      <c r="R2333" s="39" t="str">
        <f t="shared" si="258"/>
        <v/>
      </c>
      <c r="S2333" s="28"/>
      <c r="T2333" s="28"/>
      <c r="U2333" s="28"/>
    </row>
    <row r="2334" spans="1:21" s="5" customFormat="1">
      <c r="A2334" s="179" t="s">
        <v>2857</v>
      </c>
      <c r="B2334" s="185" t="s">
        <v>6924</v>
      </c>
      <c r="C2334" s="35" t="str">
        <f t="shared" si="252"/>
        <v>MahmudiMuqarii</v>
      </c>
      <c r="E2334" s="40"/>
      <c r="F2334" s="15"/>
      <c r="G2334" s="17"/>
      <c r="H2334" s="10" t="s">
        <v>8563</v>
      </c>
      <c r="I2334" s="4" t="str">
        <f t="shared" si="253"/>
        <v>|Maḥmúd-i-Muqári’í|</v>
      </c>
      <c r="J2334" s="3" t="str">
        <f t="shared" si="254"/>
        <v>|Mahmud-i-Muqari'i|</v>
      </c>
      <c r="K2334" s="3" t="str">
        <f t="shared" si="255"/>
        <v>Mahmud-i-Muqarii</v>
      </c>
      <c r="N2334" s="39" t="str">
        <f t="shared" si="256"/>
        <v/>
      </c>
      <c r="P2334" s="39" t="str">
        <f t="shared" si="257"/>
        <v/>
      </c>
      <c r="R2334" s="39" t="str">
        <f t="shared" si="258"/>
        <v/>
      </c>
      <c r="S2334" s="28"/>
      <c r="T2334" s="28"/>
      <c r="U2334" s="28"/>
    </row>
    <row r="2335" spans="1:21" s="5" customFormat="1">
      <c r="A2335" s="179" t="s">
        <v>2858</v>
      </c>
      <c r="B2335" s="185" t="s">
        <v>6925</v>
      </c>
      <c r="C2335" s="35" t="str">
        <f t="shared" si="252"/>
        <v>MahmudiQamsari</v>
      </c>
      <c r="E2335" s="40"/>
      <c r="F2335" s="15"/>
      <c r="G2335" s="17"/>
      <c r="H2335" s="10" t="s">
        <v>8563</v>
      </c>
      <c r="I2335" s="4" t="str">
        <f t="shared" si="253"/>
        <v>|Maḥmúd-i-Qamṣarí|</v>
      </c>
      <c r="J2335" s="3" t="str">
        <f t="shared" si="254"/>
        <v>|Mahmud-i-Qamsari|</v>
      </c>
      <c r="K2335" s="3" t="str">
        <f t="shared" si="255"/>
        <v>Mahmud-i-Qamsari</v>
      </c>
      <c r="N2335" s="39" t="str">
        <f t="shared" si="256"/>
        <v/>
      </c>
      <c r="P2335" s="39" t="str">
        <f t="shared" si="257"/>
        <v/>
      </c>
      <c r="R2335" s="39" t="str">
        <f t="shared" si="258"/>
        <v/>
      </c>
      <c r="S2335" s="28"/>
      <c r="T2335" s="28"/>
      <c r="U2335" s="28"/>
    </row>
    <row r="2336" spans="1:21" s="5" customFormat="1">
      <c r="A2336" s="179" t="s">
        <v>2859</v>
      </c>
      <c r="B2336" s="185" t="s">
        <v>6926</v>
      </c>
      <c r="C2336" s="35" t="str">
        <f t="shared" si="252"/>
        <v>Mahmudnizhad</v>
      </c>
      <c r="E2336" s="40"/>
      <c r="F2336" s="15"/>
      <c r="G2336" s="17"/>
      <c r="H2336" s="10" t="s">
        <v>8563</v>
      </c>
      <c r="I2336" s="4" t="str">
        <f t="shared" si="253"/>
        <v>|Maḥmúdniád|</v>
      </c>
      <c r="J2336" s="3" t="str">
        <f t="shared" si="254"/>
        <v>|Mahmudnizhad|</v>
      </c>
      <c r="K2336" s="3" t="str">
        <f t="shared" si="255"/>
        <v>Mahmudnizhad</v>
      </c>
      <c r="N2336" s="39" t="str">
        <f t="shared" si="256"/>
        <v/>
      </c>
      <c r="P2336" s="39" t="str">
        <f t="shared" si="257"/>
        <v/>
      </c>
      <c r="R2336" s="39" t="str">
        <f t="shared" si="258"/>
        <v/>
      </c>
      <c r="S2336" s="28"/>
      <c r="T2336" s="28"/>
      <c r="U2336" s="28"/>
    </row>
    <row r="2337" spans="1:21" s="5" customFormat="1">
      <c r="A2337" s="179" t="s">
        <v>2860</v>
      </c>
      <c r="B2337" s="185" t="s">
        <v>6927</v>
      </c>
      <c r="C2337" s="35" t="str">
        <f t="shared" si="252"/>
        <v>MahParih</v>
      </c>
      <c r="E2337" s="40"/>
      <c r="F2337" s="15"/>
      <c r="G2337" s="17"/>
      <c r="H2337" s="10" t="s">
        <v>8563</v>
      </c>
      <c r="I2337" s="4" t="str">
        <f t="shared" si="253"/>
        <v>|Máh-Párih|</v>
      </c>
      <c r="J2337" s="3" t="str">
        <f t="shared" si="254"/>
        <v>|Mah-Parih|</v>
      </c>
      <c r="K2337" s="3" t="str">
        <f t="shared" si="255"/>
        <v>Mah-Parih</v>
      </c>
      <c r="N2337" s="39" t="str">
        <f t="shared" si="256"/>
        <v/>
      </c>
      <c r="P2337" s="39" t="str">
        <f t="shared" si="257"/>
        <v/>
      </c>
      <c r="R2337" s="39" t="str">
        <f t="shared" si="258"/>
        <v/>
      </c>
      <c r="S2337" s="28"/>
      <c r="T2337" s="28"/>
      <c r="U2337" s="28"/>
    </row>
    <row r="2338" spans="1:21" s="5" customFormat="1">
      <c r="A2338" s="179" t="s">
        <v>2861</v>
      </c>
      <c r="B2338" s="185" t="s">
        <v>6928</v>
      </c>
      <c r="C2338" s="35" t="str">
        <f t="shared" si="252"/>
        <v>Mahriyyih</v>
      </c>
      <c r="E2338" s="40"/>
      <c r="F2338" s="15"/>
      <c r="G2338" s="17"/>
      <c r="H2338" s="10" t="s">
        <v>8563</v>
      </c>
      <c r="I2338" s="4" t="str">
        <f t="shared" si="253"/>
        <v>|Mahríyyih|</v>
      </c>
      <c r="J2338" s="3" t="str">
        <f t="shared" si="254"/>
        <v>|Mahriyyih|</v>
      </c>
      <c r="K2338" s="3" t="str">
        <f t="shared" si="255"/>
        <v>Mahriyyih</v>
      </c>
      <c r="N2338" s="39" t="str">
        <f t="shared" si="256"/>
        <v/>
      </c>
      <c r="P2338" s="39" t="str">
        <f t="shared" si="257"/>
        <v/>
      </c>
      <c r="R2338" s="39" t="str">
        <f t="shared" si="258"/>
        <v/>
      </c>
      <c r="S2338" s="28"/>
      <c r="T2338" s="28"/>
      <c r="U2338" s="28"/>
    </row>
    <row r="2339" spans="1:21" s="5" customFormat="1">
      <c r="A2339" s="179" t="s">
        <v>2862</v>
      </c>
      <c r="B2339" s="185" t="s">
        <v>6929</v>
      </c>
      <c r="C2339" s="35" t="str">
        <f t="shared" si="252"/>
        <v>Mahshid</v>
      </c>
      <c r="E2339" s="40"/>
      <c r="F2339" s="15"/>
      <c r="G2339" s="17"/>
      <c r="H2339" s="10" t="s">
        <v>8563</v>
      </c>
      <c r="I2339" s="4" t="str">
        <f t="shared" si="253"/>
        <v>|Mahíd|</v>
      </c>
      <c r="J2339" s="3" t="str">
        <f t="shared" si="254"/>
        <v>|Mahshid|</v>
      </c>
      <c r="K2339" s="3" t="str">
        <f t="shared" si="255"/>
        <v>Mahshid</v>
      </c>
      <c r="N2339" s="39" t="str">
        <f t="shared" si="256"/>
        <v/>
      </c>
      <c r="P2339" s="39" t="str">
        <f t="shared" si="257"/>
        <v/>
      </c>
      <c r="R2339" s="39" t="str">
        <f t="shared" si="258"/>
        <v/>
      </c>
      <c r="S2339" s="28"/>
      <c r="T2339" s="28"/>
      <c r="U2339" s="28"/>
    </row>
    <row r="2340" spans="1:21" s="5" customFormat="1">
      <c r="A2340" s="179" t="s">
        <v>2863</v>
      </c>
      <c r="B2340" s="185" t="s">
        <v>6930</v>
      </c>
      <c r="C2340" s="35" t="str">
        <f t="shared" si="252"/>
        <v>Mahtabi</v>
      </c>
      <c r="E2340" s="40"/>
      <c r="F2340" s="15" t="s">
        <v>2864</v>
      </c>
      <c r="G2340" s="17"/>
      <c r="H2340" s="10" t="s">
        <v>8563</v>
      </c>
      <c r="I2340" s="4" t="str">
        <f t="shared" si="253"/>
        <v>|Mahtábí|</v>
      </c>
      <c r="J2340" s="3" t="str">
        <f t="shared" si="254"/>
        <v>|Mahtabi|</v>
      </c>
      <c r="K2340" s="3" t="str">
        <f t="shared" si="255"/>
        <v>Mahtabi</v>
      </c>
      <c r="N2340" s="39" t="str">
        <f t="shared" si="256"/>
        <v/>
      </c>
      <c r="P2340" s="39" t="str">
        <f t="shared" si="257"/>
        <v/>
      </c>
      <c r="R2340" s="39" t="str">
        <f t="shared" si="258"/>
        <v/>
      </c>
      <c r="S2340" s="28"/>
      <c r="T2340" s="28"/>
      <c r="U2340" s="28"/>
    </row>
    <row r="2341" spans="1:21" s="5" customFormat="1">
      <c r="A2341" s="179" t="s">
        <v>2865</v>
      </c>
      <c r="B2341" s="185" t="s">
        <v>6931</v>
      </c>
      <c r="C2341" s="35" t="str">
        <f t="shared" si="252"/>
        <v>Mahv</v>
      </c>
      <c r="E2341" s="40"/>
      <c r="F2341" s="15" t="s">
        <v>2866</v>
      </c>
      <c r="G2341" s="17"/>
      <c r="H2341" s="10" t="s">
        <v>8563</v>
      </c>
      <c r="I2341" s="4" t="str">
        <f t="shared" si="253"/>
        <v>|Maḥv|</v>
      </c>
      <c r="J2341" s="3" t="str">
        <f t="shared" si="254"/>
        <v>|Mahv|</v>
      </c>
      <c r="K2341" s="3" t="str">
        <f t="shared" si="255"/>
        <v>Mahv</v>
      </c>
      <c r="N2341" s="39" t="str">
        <f t="shared" si="256"/>
        <v/>
      </c>
      <c r="P2341" s="39" t="str">
        <f t="shared" si="257"/>
        <v/>
      </c>
      <c r="R2341" s="39" t="str">
        <f t="shared" si="258"/>
        <v/>
      </c>
      <c r="S2341" s="28"/>
      <c r="T2341" s="28"/>
      <c r="U2341" s="28"/>
    </row>
    <row r="2342" spans="1:21" s="5" customFormat="1">
      <c r="A2342" s="179" t="s">
        <v>2867</v>
      </c>
      <c r="B2342" s="185" t="s">
        <v>6932</v>
      </c>
      <c r="C2342" s="35" t="str">
        <f t="shared" si="252"/>
        <v>MaidiyiAsmani</v>
      </c>
      <c r="E2342" s="40"/>
      <c r="F2342" s="14"/>
      <c r="G2342" s="17"/>
      <c r="H2342" s="10" t="s">
        <v>8563</v>
      </c>
      <c r="I2342" s="4" t="str">
        <f t="shared" si="253"/>
        <v>|Má’idiy-i-Ásmání|</v>
      </c>
      <c r="J2342" s="3" t="str">
        <f t="shared" si="254"/>
        <v>|Ma'idiy-i-Asmani|</v>
      </c>
      <c r="K2342" s="3" t="str">
        <f t="shared" si="255"/>
        <v>Maidiy-i-Asmani</v>
      </c>
      <c r="N2342" s="39" t="str">
        <f t="shared" si="256"/>
        <v/>
      </c>
      <c r="P2342" s="39" t="str">
        <f t="shared" si="257"/>
        <v/>
      </c>
      <c r="R2342" s="39" t="str">
        <f t="shared" si="258"/>
        <v/>
      </c>
      <c r="S2342" s="28"/>
      <c r="T2342" s="28"/>
      <c r="U2342" s="28"/>
    </row>
    <row r="2343" spans="1:21" s="5" customFormat="1">
      <c r="A2343" s="179" t="s">
        <v>2868</v>
      </c>
      <c r="B2343" s="185" t="s">
        <v>6933</v>
      </c>
      <c r="C2343" s="35" t="str">
        <f t="shared" si="252"/>
        <v>Majdhub</v>
      </c>
      <c r="E2343" s="40"/>
      <c r="F2343" s="14"/>
      <c r="G2343" s="17"/>
      <c r="H2343" s="10" t="s">
        <v>8563</v>
      </c>
      <c r="I2343" s="4" t="str">
        <f t="shared" si="253"/>
        <v>|Majúb|</v>
      </c>
      <c r="J2343" s="3" t="str">
        <f t="shared" si="254"/>
        <v>|Majdhub|</v>
      </c>
      <c r="K2343" s="3" t="str">
        <f t="shared" si="255"/>
        <v>Majdhub</v>
      </c>
      <c r="N2343" s="39" t="str">
        <f t="shared" si="256"/>
        <v/>
      </c>
      <c r="P2343" s="39" t="str">
        <f t="shared" si="257"/>
        <v/>
      </c>
      <c r="R2343" s="39" t="str">
        <f t="shared" si="258"/>
        <v/>
      </c>
      <c r="S2343" s="28"/>
      <c r="T2343" s="28"/>
      <c r="U2343" s="28"/>
    </row>
    <row r="2344" spans="1:21" s="5" customFormat="1">
      <c r="A2344" s="179" t="s">
        <v>2869</v>
      </c>
      <c r="B2344" s="185" t="s">
        <v>6934</v>
      </c>
      <c r="C2344" s="35" t="str">
        <f t="shared" si="252"/>
        <v>MajdidDin</v>
      </c>
      <c r="E2344" s="40"/>
      <c r="F2344" s="14"/>
      <c r="G2344" s="17"/>
      <c r="H2344" s="10" t="s">
        <v>8563</v>
      </c>
      <c r="I2344" s="4" t="str">
        <f t="shared" si="253"/>
        <v>|Majdi’d-Dín|</v>
      </c>
      <c r="J2344" s="3" t="str">
        <f t="shared" si="254"/>
        <v>|Majdi'd-Din|</v>
      </c>
      <c r="K2344" s="3" t="str">
        <f t="shared" si="255"/>
        <v>Majdid-Din</v>
      </c>
      <c r="N2344" s="39" t="str">
        <f t="shared" si="256"/>
        <v/>
      </c>
      <c r="P2344" s="39" t="str">
        <f t="shared" si="257"/>
        <v/>
      </c>
      <c r="R2344" s="39" t="str">
        <f t="shared" si="258"/>
        <v/>
      </c>
      <c r="S2344" s="28"/>
      <c r="T2344" s="28"/>
      <c r="U2344" s="28"/>
    </row>
    <row r="2345" spans="1:21" s="5" customFormat="1">
      <c r="A2345" s="179" t="s">
        <v>2870</v>
      </c>
      <c r="B2345" s="185" t="s">
        <v>6935</v>
      </c>
      <c r="C2345" s="35" t="str">
        <f t="shared" si="252"/>
        <v>MajdudDawlih</v>
      </c>
      <c r="E2345" s="40"/>
      <c r="F2345" s="14"/>
      <c r="G2345" s="17"/>
      <c r="H2345" s="10" t="s">
        <v>8563</v>
      </c>
      <c r="I2345" s="4" t="str">
        <f t="shared" si="253"/>
        <v>|Majdu’d-Dawlih|</v>
      </c>
      <c r="J2345" s="3" t="str">
        <f t="shared" si="254"/>
        <v>|Majdu'd-Dawlih|</v>
      </c>
      <c r="K2345" s="3" t="str">
        <f t="shared" si="255"/>
        <v>Majdud-Dawlih</v>
      </c>
      <c r="N2345" s="39" t="str">
        <f t="shared" si="256"/>
        <v/>
      </c>
      <c r="P2345" s="39" t="str">
        <f t="shared" si="257"/>
        <v/>
      </c>
      <c r="R2345" s="39" t="str">
        <f t="shared" si="258"/>
        <v/>
      </c>
      <c r="S2345" s="28"/>
      <c r="T2345" s="28"/>
      <c r="U2345" s="28"/>
    </row>
    <row r="2346" spans="1:21" s="5" customFormat="1">
      <c r="A2346" s="179" t="s">
        <v>2871</v>
      </c>
      <c r="B2346" s="185" t="s">
        <v>6936</v>
      </c>
      <c r="C2346" s="35" t="str">
        <f t="shared" si="252"/>
        <v>MajdulAshraf</v>
      </c>
      <c r="E2346" s="40"/>
      <c r="F2346" s="14"/>
      <c r="G2346" s="17"/>
      <c r="H2346" s="10" t="s">
        <v>8563</v>
      </c>
      <c r="I2346" s="4" t="str">
        <f t="shared" si="253"/>
        <v>|Majdu’l-Araf|</v>
      </c>
      <c r="J2346" s="3" t="str">
        <f t="shared" si="254"/>
        <v>|Majdu'l-Ashraf|</v>
      </c>
      <c r="K2346" s="3" t="str">
        <f t="shared" si="255"/>
        <v>Majdul-Ashraf</v>
      </c>
      <c r="N2346" s="39" t="str">
        <f t="shared" si="256"/>
        <v/>
      </c>
      <c r="P2346" s="39" t="str">
        <f t="shared" si="257"/>
        <v/>
      </c>
      <c r="R2346" s="39" t="str">
        <f t="shared" si="258"/>
        <v/>
      </c>
      <c r="S2346" s="28"/>
      <c r="T2346" s="28"/>
      <c r="U2346" s="28"/>
    </row>
    <row r="2347" spans="1:21" s="5" customFormat="1">
      <c r="A2347" s="179" t="s">
        <v>2872</v>
      </c>
      <c r="B2347" s="185" t="s">
        <v>6937</v>
      </c>
      <c r="C2347" s="35" t="str">
        <f t="shared" si="252"/>
        <v>Majid</v>
      </c>
      <c r="E2347" s="40"/>
      <c r="F2347" s="14"/>
      <c r="G2347" s="17"/>
      <c r="H2347" s="10" t="s">
        <v>8563</v>
      </c>
      <c r="I2347" s="4" t="str">
        <f t="shared" si="253"/>
        <v>|Majíd|</v>
      </c>
      <c r="J2347" s="3" t="str">
        <f t="shared" si="254"/>
        <v>|Majid|</v>
      </c>
      <c r="K2347" s="3" t="str">
        <f t="shared" si="255"/>
        <v>Majid</v>
      </c>
      <c r="N2347" s="39" t="str">
        <f t="shared" si="256"/>
        <v/>
      </c>
      <c r="P2347" s="39" t="str">
        <f t="shared" si="257"/>
        <v/>
      </c>
      <c r="R2347" s="39" t="str">
        <f t="shared" si="258"/>
        <v/>
      </c>
      <c r="S2347" s="28"/>
      <c r="T2347" s="28"/>
      <c r="U2347" s="28"/>
    </row>
    <row r="2348" spans="1:21" s="5" customFormat="1">
      <c r="A2348" s="179" t="s">
        <v>2873</v>
      </c>
      <c r="B2348" s="185" t="s">
        <v>6938</v>
      </c>
      <c r="C2348" s="35" t="str">
        <f t="shared" si="252"/>
        <v>Majlisi</v>
      </c>
      <c r="E2348" s="40"/>
      <c r="F2348" s="15"/>
      <c r="G2348" s="17"/>
      <c r="H2348" s="10" t="s">
        <v>8563</v>
      </c>
      <c r="I2348" s="4" t="str">
        <f t="shared" si="253"/>
        <v>|Majlisí|</v>
      </c>
      <c r="J2348" s="3" t="str">
        <f t="shared" si="254"/>
        <v>|Majlisi|</v>
      </c>
      <c r="K2348" s="3" t="str">
        <f t="shared" si="255"/>
        <v>Majlisi</v>
      </c>
      <c r="N2348" s="39" t="str">
        <f t="shared" si="256"/>
        <v/>
      </c>
      <c r="P2348" s="39" t="str">
        <f t="shared" si="257"/>
        <v/>
      </c>
      <c r="R2348" s="39" t="str">
        <f t="shared" si="258"/>
        <v/>
      </c>
      <c r="S2348" s="28"/>
      <c r="T2348" s="28"/>
      <c r="U2348" s="28"/>
    </row>
    <row r="2349" spans="1:21" s="5" customFormat="1">
      <c r="A2349" s="179" t="s">
        <v>2874</v>
      </c>
      <c r="B2349" s="185" t="s">
        <v>6939</v>
      </c>
      <c r="C2349" s="35" t="str">
        <f t="shared" si="252"/>
        <v>MajmaiAbrar</v>
      </c>
      <c r="E2349" s="40"/>
      <c r="F2349" s="15" t="s">
        <v>2875</v>
      </c>
      <c r="G2349" s="17"/>
      <c r="H2349" s="10" t="s">
        <v>8563</v>
      </c>
      <c r="I2349" s="4" t="str">
        <f t="shared" si="253"/>
        <v>|Majmaʿ-i-Abrár|</v>
      </c>
      <c r="J2349" s="3" t="str">
        <f t="shared" si="254"/>
        <v>|Majma'-i-Abrar|</v>
      </c>
      <c r="K2349" s="3" t="str">
        <f t="shared" si="255"/>
        <v>Majma-i-Abrar</v>
      </c>
      <c r="N2349" s="39" t="str">
        <f t="shared" si="256"/>
        <v/>
      </c>
      <c r="P2349" s="39" t="str">
        <f t="shared" si="257"/>
        <v/>
      </c>
      <c r="R2349" s="39" t="str">
        <f t="shared" si="258"/>
        <v/>
      </c>
      <c r="S2349" s="28"/>
      <c r="T2349" s="28"/>
      <c r="U2349" s="28"/>
    </row>
    <row r="2350" spans="1:21" s="5" customFormat="1">
      <c r="A2350" s="179" t="s">
        <v>2876</v>
      </c>
      <c r="B2350" s="185" t="s">
        <v>6940</v>
      </c>
      <c r="C2350" s="35" t="str">
        <f t="shared" si="252"/>
        <v>MajmaiIrfan</v>
      </c>
      <c r="E2350" s="40"/>
      <c r="F2350" s="15" t="s">
        <v>2877</v>
      </c>
      <c r="G2350" s="17"/>
      <c r="H2350" s="10" t="s">
        <v>8563</v>
      </c>
      <c r="I2350" s="4" t="str">
        <f t="shared" si="253"/>
        <v>|Majmaʿ-i-Irfán|</v>
      </c>
      <c r="J2350" s="3" t="str">
        <f t="shared" si="254"/>
        <v>|Majma'-i-Irfan|</v>
      </c>
      <c r="K2350" s="3" t="str">
        <f t="shared" si="255"/>
        <v>Majma-i-Irfan</v>
      </c>
      <c r="N2350" s="39" t="str">
        <f t="shared" si="256"/>
        <v/>
      </c>
      <c r="P2350" s="39" t="str">
        <f t="shared" si="257"/>
        <v/>
      </c>
      <c r="R2350" s="39" t="str">
        <f t="shared" si="258"/>
        <v/>
      </c>
      <c r="S2350" s="28"/>
      <c r="T2350" s="28"/>
      <c r="U2350" s="28"/>
    </row>
    <row r="2351" spans="1:21" s="5" customFormat="1">
      <c r="A2351" s="179" t="s">
        <v>2878</v>
      </c>
      <c r="B2351" s="185" t="s">
        <v>6941</v>
      </c>
      <c r="C2351" s="35" t="str">
        <f t="shared" si="252"/>
        <v>MajmaulFusaha</v>
      </c>
      <c r="E2351" s="40"/>
      <c r="F2351" s="15"/>
      <c r="G2351" s="17"/>
      <c r="H2351" s="10" t="s">
        <v>8563</v>
      </c>
      <c r="I2351" s="4" t="str">
        <f t="shared" si="253"/>
        <v>|Majmaʿu’l-Fuṣaḥá|</v>
      </c>
      <c r="J2351" s="3" t="str">
        <f t="shared" si="254"/>
        <v>|Majma'u'l-Fusaha|</v>
      </c>
      <c r="K2351" s="3" t="str">
        <f t="shared" si="255"/>
        <v>Majmaul-Fusaha</v>
      </c>
      <c r="N2351" s="39" t="str">
        <f t="shared" si="256"/>
        <v/>
      </c>
      <c r="P2351" s="39" t="str">
        <f t="shared" si="257"/>
        <v/>
      </c>
      <c r="R2351" s="39" t="str">
        <f t="shared" si="258"/>
        <v/>
      </c>
      <c r="S2351" s="28"/>
      <c r="T2351" s="28"/>
      <c r="U2351" s="28"/>
    </row>
    <row r="2352" spans="1:21" s="5" customFormat="1">
      <c r="A2352" s="179" t="s">
        <v>2879</v>
      </c>
      <c r="B2352" s="185" t="s">
        <v>6942</v>
      </c>
      <c r="C2352" s="35" t="str">
        <f t="shared" si="252"/>
        <v>Majmuih</v>
      </c>
      <c r="E2352" s="40"/>
      <c r="F2352" s="15"/>
      <c r="G2352" s="17"/>
      <c r="H2352" s="10" t="s">
        <v>8563</v>
      </c>
      <c r="I2352" s="4" t="str">
        <f t="shared" si="253"/>
        <v>|Majmúʿih|</v>
      </c>
      <c r="J2352" s="3" t="str">
        <f t="shared" si="254"/>
        <v>|Majmu'ih|</v>
      </c>
      <c r="K2352" s="3" t="str">
        <f t="shared" si="255"/>
        <v>Majmuih</v>
      </c>
      <c r="N2352" s="39" t="str">
        <f t="shared" si="256"/>
        <v/>
      </c>
      <c r="P2352" s="39" t="str">
        <f t="shared" si="257"/>
        <v/>
      </c>
      <c r="R2352" s="39" t="str">
        <f t="shared" si="258"/>
        <v/>
      </c>
      <c r="S2352" s="28"/>
      <c r="T2352" s="28"/>
      <c r="U2352" s="28"/>
    </row>
    <row r="2353" spans="1:21" s="5" customFormat="1">
      <c r="A2353" s="179" t="s">
        <v>2880</v>
      </c>
      <c r="B2353" s="185" t="s">
        <v>6943</v>
      </c>
      <c r="C2353" s="35" t="str">
        <f t="shared" si="252"/>
        <v>Majnun</v>
      </c>
      <c r="E2353" s="40"/>
      <c r="F2353" s="14"/>
      <c r="G2353" s="17"/>
      <c r="H2353" s="10" t="s">
        <v>8563</v>
      </c>
      <c r="I2353" s="4" t="str">
        <f t="shared" si="253"/>
        <v>|Majnún|</v>
      </c>
      <c r="J2353" s="3" t="str">
        <f t="shared" si="254"/>
        <v>|Majnun|</v>
      </c>
      <c r="K2353" s="3" t="str">
        <f t="shared" si="255"/>
        <v>Majnun</v>
      </c>
      <c r="N2353" s="39" t="str">
        <f t="shared" si="256"/>
        <v/>
      </c>
      <c r="P2353" s="39" t="str">
        <f t="shared" si="257"/>
        <v/>
      </c>
      <c r="R2353" s="39" t="str">
        <f t="shared" si="258"/>
        <v/>
      </c>
      <c r="S2353" s="28"/>
      <c r="T2353" s="28"/>
      <c r="U2353" s="28"/>
    </row>
    <row r="2354" spans="1:21" s="5" customFormat="1">
      <c r="A2354" s="179" t="s">
        <v>2881</v>
      </c>
      <c r="B2354" s="185" t="s">
        <v>6944</v>
      </c>
      <c r="C2354" s="35" t="str">
        <f t="shared" si="252"/>
        <v>Majuj</v>
      </c>
      <c r="E2354" s="40"/>
      <c r="F2354" s="15"/>
      <c r="G2354" s="17"/>
      <c r="H2354" s="10" t="s">
        <v>8563</v>
      </c>
      <c r="I2354" s="4" t="str">
        <f t="shared" si="253"/>
        <v>|Májúj|</v>
      </c>
      <c r="J2354" s="3" t="str">
        <f t="shared" si="254"/>
        <v>|Majuj|</v>
      </c>
      <c r="K2354" s="3" t="str">
        <f t="shared" si="255"/>
        <v>Majuj</v>
      </c>
      <c r="N2354" s="39" t="str">
        <f t="shared" si="256"/>
        <v/>
      </c>
      <c r="P2354" s="39" t="str">
        <f t="shared" si="257"/>
        <v/>
      </c>
      <c r="R2354" s="39" t="str">
        <f t="shared" si="258"/>
        <v/>
      </c>
      <c r="S2354" s="28"/>
      <c r="T2354" s="28"/>
      <c r="U2354" s="28"/>
    </row>
    <row r="2355" spans="1:21" s="5" customFormat="1">
      <c r="A2355" s="179" t="s">
        <v>2882</v>
      </c>
      <c r="B2355" s="185" t="s">
        <v>6945</v>
      </c>
      <c r="C2355" s="35" t="str">
        <f t="shared" si="252"/>
        <v>Makan</v>
      </c>
      <c r="E2355" s="40"/>
      <c r="F2355" s="15"/>
      <c r="G2355" s="17"/>
      <c r="H2355" s="10" t="s">
        <v>8563</v>
      </c>
      <c r="I2355" s="4" t="str">
        <f t="shared" si="253"/>
        <v>|Makán|</v>
      </c>
      <c r="J2355" s="3" t="str">
        <f t="shared" si="254"/>
        <v>|Makan|</v>
      </c>
      <c r="K2355" s="3" t="str">
        <f t="shared" si="255"/>
        <v>Makan</v>
      </c>
      <c r="N2355" s="39" t="str">
        <f t="shared" si="256"/>
        <v/>
      </c>
      <c r="P2355" s="39" t="str">
        <f t="shared" si="257"/>
        <v/>
      </c>
      <c r="R2355" s="39" t="str">
        <f t="shared" si="258"/>
        <v/>
      </c>
      <c r="S2355" s="28"/>
      <c r="T2355" s="28"/>
      <c r="U2355" s="28"/>
    </row>
    <row r="2356" spans="1:21" s="5" customFormat="1">
      <c r="A2356" s="179" t="s">
        <v>2883</v>
      </c>
      <c r="B2356" s="185" t="s">
        <v>6946</v>
      </c>
      <c r="C2356" s="35" t="str">
        <f t="shared" si="252"/>
        <v>MakatibiAbdulBaha</v>
      </c>
      <c r="E2356" s="40"/>
      <c r="F2356" s="15" t="s">
        <v>2640</v>
      </c>
      <c r="G2356" s="17"/>
      <c r="H2356" s="10" t="s">
        <v>8563</v>
      </c>
      <c r="I2356" s="4" t="str">
        <f t="shared" si="253"/>
        <v>|Makátíb-i-ʿAbdu’l-Bahá|</v>
      </c>
      <c r="J2356" s="3" t="str">
        <f t="shared" si="254"/>
        <v>|Makatib-i-'Abdu'l-Baha|</v>
      </c>
      <c r="K2356" s="3" t="str">
        <f t="shared" si="255"/>
        <v>Makatib-i-Abdul-Baha</v>
      </c>
      <c r="N2356" s="39" t="str">
        <f t="shared" si="256"/>
        <v/>
      </c>
      <c r="P2356" s="39" t="str">
        <f t="shared" si="257"/>
        <v/>
      </c>
      <c r="R2356" s="39" t="str">
        <f t="shared" si="258"/>
        <v/>
      </c>
      <c r="S2356" s="28"/>
      <c r="T2356" s="28"/>
      <c r="U2356" s="28"/>
    </row>
    <row r="2357" spans="1:21" s="5" customFormat="1">
      <c r="A2357" s="179" t="s">
        <v>2884</v>
      </c>
      <c r="B2357" s="185" t="s">
        <v>6947</v>
      </c>
      <c r="C2357" s="35" t="str">
        <f t="shared" si="252"/>
        <v>Makhfiyan</v>
      </c>
      <c r="E2357" s="40"/>
      <c r="F2357" s="15"/>
      <c r="G2357" s="17"/>
      <c r="H2357" s="10" t="s">
        <v>8563</v>
      </c>
      <c r="I2357" s="4" t="str">
        <f t="shared" si="253"/>
        <v>|Mafíyan|</v>
      </c>
      <c r="J2357" s="3" t="str">
        <f t="shared" si="254"/>
        <v>|Makhfiyan|</v>
      </c>
      <c r="K2357" s="3" t="str">
        <f t="shared" si="255"/>
        <v>Makhfiyan</v>
      </c>
      <c r="N2357" s="39" t="str">
        <f t="shared" si="256"/>
        <v/>
      </c>
      <c r="P2357" s="39" t="str">
        <f t="shared" si="257"/>
        <v/>
      </c>
      <c r="R2357" s="39" t="str">
        <f t="shared" si="258"/>
        <v/>
      </c>
      <c r="S2357" s="28"/>
      <c r="T2357" s="28"/>
      <c r="U2357" s="28"/>
    </row>
    <row r="2358" spans="1:21" s="5" customFormat="1">
      <c r="A2358" s="179" t="s">
        <v>2885</v>
      </c>
      <c r="B2358" s="185" t="s">
        <v>6948</v>
      </c>
      <c r="C2358" s="35" t="str">
        <f t="shared" si="252"/>
        <v>Makhzun</v>
      </c>
      <c r="E2358" s="40"/>
      <c r="F2358" s="15"/>
      <c r="G2358" s="17"/>
      <c r="H2358" s="10" t="s">
        <v>8563</v>
      </c>
      <c r="I2358" s="4" t="str">
        <f t="shared" si="253"/>
        <v>|Mazún|</v>
      </c>
      <c r="J2358" s="3" t="str">
        <f t="shared" si="254"/>
        <v>|Makhzun|</v>
      </c>
      <c r="K2358" s="3" t="str">
        <f t="shared" si="255"/>
        <v>Makhzun</v>
      </c>
      <c r="N2358" s="39" t="str">
        <f t="shared" si="256"/>
        <v/>
      </c>
      <c r="P2358" s="39" t="str">
        <f t="shared" si="257"/>
        <v/>
      </c>
      <c r="R2358" s="39" t="str">
        <f t="shared" si="258"/>
        <v/>
      </c>
      <c r="S2358" s="28"/>
      <c r="T2358" s="28"/>
      <c r="U2358" s="28"/>
    </row>
    <row r="2359" spans="1:21" s="5" customFormat="1">
      <c r="A2359" s="179" t="s">
        <v>2886</v>
      </c>
      <c r="B2359" s="185" t="s">
        <v>6949</v>
      </c>
      <c r="C2359" s="35" t="str">
        <f t="shared" si="252"/>
        <v>Makui</v>
      </c>
      <c r="E2359" s="40"/>
      <c r="F2359" s="15"/>
      <c r="G2359" s="17"/>
      <c r="H2359" s="10" t="s">
        <v>8563</v>
      </c>
      <c r="I2359" s="4" t="str">
        <f t="shared" si="253"/>
        <v>|Makú’í|</v>
      </c>
      <c r="J2359" s="3" t="str">
        <f t="shared" si="254"/>
        <v>|Maku'i|</v>
      </c>
      <c r="K2359" s="3" t="str">
        <f t="shared" si="255"/>
        <v>Makui</v>
      </c>
      <c r="N2359" s="39" t="str">
        <f t="shared" si="256"/>
        <v/>
      </c>
      <c r="P2359" s="39" t="str">
        <f t="shared" si="257"/>
        <v/>
      </c>
      <c r="R2359" s="39" t="str">
        <f t="shared" si="258"/>
        <v/>
      </c>
      <c r="S2359" s="28"/>
      <c r="T2359" s="28"/>
      <c r="U2359" s="28"/>
    </row>
    <row r="2360" spans="1:21" s="5" customFormat="1">
      <c r="A2360" s="179" t="s">
        <v>2887</v>
      </c>
      <c r="B2360" s="185" t="s">
        <v>6950</v>
      </c>
      <c r="C2360" s="35" t="str">
        <f t="shared" si="252"/>
        <v>Malakut</v>
      </c>
      <c r="E2360" s="40"/>
      <c r="F2360" s="14"/>
      <c r="G2360" s="17"/>
      <c r="H2360" s="10" t="s">
        <v>8563</v>
      </c>
      <c r="I2360" s="4" t="str">
        <f t="shared" si="253"/>
        <v>|Malakút|</v>
      </c>
      <c r="J2360" s="3" t="str">
        <f t="shared" si="254"/>
        <v>|Malakut|</v>
      </c>
      <c r="K2360" s="3" t="str">
        <f t="shared" si="255"/>
        <v>Malakut</v>
      </c>
      <c r="N2360" s="39" t="str">
        <f t="shared" si="256"/>
        <v/>
      </c>
      <c r="P2360" s="39" t="str">
        <f t="shared" si="257"/>
        <v/>
      </c>
      <c r="R2360" s="39" t="str">
        <f t="shared" si="258"/>
        <v/>
      </c>
      <c r="S2360" s="28"/>
      <c r="T2360" s="28"/>
      <c r="U2360" s="28"/>
    </row>
    <row r="2361" spans="1:21" s="5" customFormat="1">
      <c r="A2361" s="179" t="s">
        <v>2888</v>
      </c>
      <c r="B2361" s="185" t="s">
        <v>6951</v>
      </c>
      <c r="C2361" s="35" t="str">
        <f t="shared" si="252"/>
        <v>MalakutiPidar</v>
      </c>
      <c r="E2361" s="40"/>
      <c r="F2361" s="15"/>
      <c r="G2361" s="17"/>
      <c r="H2361" s="10" t="s">
        <v>8563</v>
      </c>
      <c r="I2361" s="4" t="str">
        <f t="shared" si="253"/>
        <v>|Malakút-i-Pidar|</v>
      </c>
      <c r="J2361" s="3" t="str">
        <f t="shared" si="254"/>
        <v>|Malakut-i-Pidar|</v>
      </c>
      <c r="K2361" s="3" t="str">
        <f t="shared" si="255"/>
        <v>Malakut-i-Pidar</v>
      </c>
      <c r="N2361" s="39" t="str">
        <f t="shared" si="256"/>
        <v/>
      </c>
      <c r="P2361" s="39" t="str">
        <f t="shared" si="257"/>
        <v/>
      </c>
      <c r="R2361" s="39" t="str">
        <f t="shared" si="258"/>
        <v/>
      </c>
      <c r="S2361" s="28"/>
      <c r="T2361" s="28"/>
      <c r="U2361" s="28"/>
    </row>
    <row r="2362" spans="1:21" s="5" customFormat="1">
      <c r="A2362" s="179" t="s">
        <v>2889</v>
      </c>
      <c r="B2362" s="185" t="s">
        <v>6952</v>
      </c>
      <c r="C2362" s="35" t="str">
        <f t="shared" si="252"/>
        <v>Malayir</v>
      </c>
      <c r="E2362" s="40"/>
      <c r="F2362" s="14"/>
      <c r="G2362" s="17"/>
      <c r="H2362" s="10" t="s">
        <v>8563</v>
      </c>
      <c r="I2362" s="4" t="str">
        <f t="shared" si="253"/>
        <v>|Maláyir|</v>
      </c>
      <c r="J2362" s="3" t="str">
        <f t="shared" si="254"/>
        <v>|Malayir|</v>
      </c>
      <c r="K2362" s="3" t="str">
        <f t="shared" si="255"/>
        <v>Malayir</v>
      </c>
      <c r="N2362" s="39" t="str">
        <f t="shared" si="256"/>
        <v/>
      </c>
      <c r="P2362" s="39" t="str">
        <f t="shared" si="257"/>
        <v/>
      </c>
      <c r="R2362" s="39" t="str">
        <f t="shared" si="258"/>
        <v/>
      </c>
      <c r="S2362" s="28"/>
      <c r="T2362" s="28"/>
      <c r="U2362" s="28"/>
    </row>
    <row r="2363" spans="1:21" s="5" customFormat="1">
      <c r="A2363" s="179" t="s">
        <v>2890</v>
      </c>
      <c r="B2363" s="185" t="s">
        <v>6953</v>
      </c>
      <c r="C2363" s="35" t="str">
        <f t="shared" si="252"/>
        <v>Malik</v>
      </c>
      <c r="E2363" s="40"/>
      <c r="F2363" s="14"/>
      <c r="G2363" s="17"/>
      <c r="H2363" s="10" t="s">
        <v>8563</v>
      </c>
      <c r="I2363" s="4" t="str">
        <f t="shared" si="253"/>
        <v>|Malik|</v>
      </c>
      <c r="J2363" s="3" t="str">
        <f t="shared" si="254"/>
        <v>|Malik|</v>
      </c>
      <c r="K2363" s="3" t="str">
        <f t="shared" si="255"/>
        <v>Malik</v>
      </c>
      <c r="N2363" s="39" t="str">
        <f t="shared" si="256"/>
        <v/>
      </c>
      <c r="P2363" s="39" t="str">
        <f t="shared" si="257"/>
        <v/>
      </c>
      <c r="R2363" s="39" t="str">
        <f t="shared" si="258"/>
        <v/>
      </c>
      <c r="S2363" s="28"/>
      <c r="T2363" s="28"/>
      <c r="U2363" s="28"/>
    </row>
    <row r="2364" spans="1:21" s="5" customFormat="1">
      <c r="A2364" s="179" t="s">
        <v>2891</v>
      </c>
      <c r="B2364" s="185" t="s">
        <v>6954</v>
      </c>
      <c r="C2364" s="35" t="str">
        <f t="shared" si="252"/>
        <v>Maliki</v>
      </c>
      <c r="E2364" s="40"/>
      <c r="F2364" s="15" t="s">
        <v>2892</v>
      </c>
      <c r="G2364" s="17"/>
      <c r="H2364" s="10" t="s">
        <v>8563</v>
      </c>
      <c r="I2364" s="4" t="str">
        <f t="shared" si="253"/>
        <v>|Málikí|</v>
      </c>
      <c r="J2364" s="3" t="str">
        <f t="shared" si="254"/>
        <v>|Maliki|</v>
      </c>
      <c r="K2364" s="3" t="str">
        <f t="shared" si="255"/>
        <v>Maliki</v>
      </c>
      <c r="N2364" s="39" t="str">
        <f t="shared" si="256"/>
        <v/>
      </c>
      <c r="P2364" s="39" t="str">
        <f t="shared" si="257"/>
        <v/>
      </c>
      <c r="R2364" s="39" t="str">
        <f t="shared" si="258"/>
        <v/>
      </c>
      <c r="S2364" s="28"/>
      <c r="T2364" s="28"/>
      <c r="U2364" s="28"/>
    </row>
    <row r="2365" spans="1:21" s="5" customFormat="1">
      <c r="A2365" s="179" t="s">
        <v>2893</v>
      </c>
      <c r="B2365" s="185" t="s">
        <v>6955</v>
      </c>
      <c r="C2365" s="35" t="str">
        <f t="shared" si="252"/>
        <v>MalikulQalam</v>
      </c>
      <c r="E2365" s="40"/>
      <c r="F2365" s="15"/>
      <c r="G2365" s="17"/>
      <c r="H2365" s="10" t="s">
        <v>8563</v>
      </c>
      <c r="I2365" s="4" t="str">
        <f t="shared" si="253"/>
        <v>|Máliku’l-Qalam|</v>
      </c>
      <c r="J2365" s="3" t="str">
        <f t="shared" si="254"/>
        <v>|Maliku'l-Qalam|</v>
      </c>
      <c r="K2365" s="3" t="str">
        <f t="shared" si="255"/>
        <v>Malikul-Qalam</v>
      </c>
      <c r="N2365" s="39" t="str">
        <f t="shared" si="256"/>
        <v/>
      </c>
      <c r="P2365" s="39" t="str">
        <f t="shared" si="257"/>
        <v/>
      </c>
      <c r="R2365" s="39" t="str">
        <f t="shared" si="258"/>
        <v/>
      </c>
      <c r="S2365" s="28"/>
      <c r="T2365" s="28"/>
      <c r="U2365" s="28"/>
    </row>
    <row r="2366" spans="1:21" s="5" customFormat="1">
      <c r="A2366" s="179" t="s">
        <v>2894</v>
      </c>
      <c r="B2366" s="185" t="s">
        <v>6956</v>
      </c>
      <c r="C2366" s="35" t="str">
        <f t="shared" si="252"/>
        <v>MalikutTujjar</v>
      </c>
      <c r="E2366" s="40"/>
      <c r="F2366" s="15"/>
      <c r="G2366" s="17"/>
      <c r="H2366" s="10" t="s">
        <v>8563</v>
      </c>
      <c r="I2366" s="4" t="str">
        <f t="shared" si="253"/>
        <v>|Maliku’t-Tujjár|</v>
      </c>
      <c r="J2366" s="3" t="str">
        <f t="shared" si="254"/>
        <v>|Maliku't-Tujjar|</v>
      </c>
      <c r="K2366" s="3" t="str">
        <f t="shared" si="255"/>
        <v>Malikut-Tujjar</v>
      </c>
      <c r="N2366" s="39" t="str">
        <f t="shared" si="256"/>
        <v/>
      </c>
      <c r="P2366" s="39" t="str">
        <f t="shared" si="257"/>
        <v/>
      </c>
      <c r="R2366" s="39" t="str">
        <f t="shared" si="258"/>
        <v/>
      </c>
      <c r="S2366" s="28"/>
      <c r="T2366" s="28"/>
      <c r="U2366" s="28"/>
    </row>
    <row r="2367" spans="1:21" s="5" customFormat="1">
      <c r="A2367" s="179" t="s">
        <v>2895</v>
      </c>
      <c r="B2367" s="185" t="s">
        <v>6957</v>
      </c>
      <c r="C2367" s="35" t="str">
        <f t="shared" si="252"/>
        <v>Malmiri</v>
      </c>
      <c r="E2367" s="40"/>
      <c r="F2367" s="15"/>
      <c r="G2367" s="17"/>
      <c r="H2367" s="10" t="s">
        <v>8563</v>
      </c>
      <c r="I2367" s="4" t="str">
        <f t="shared" si="253"/>
        <v>|Málmírí|</v>
      </c>
      <c r="J2367" s="3" t="str">
        <f t="shared" si="254"/>
        <v>|Malmiri|</v>
      </c>
      <c r="K2367" s="3" t="str">
        <f t="shared" si="255"/>
        <v>Malmiri</v>
      </c>
      <c r="N2367" s="39" t="str">
        <f t="shared" si="256"/>
        <v/>
      </c>
      <c r="P2367" s="39" t="str">
        <f t="shared" si="257"/>
        <v/>
      </c>
      <c r="R2367" s="39" t="str">
        <f t="shared" si="258"/>
        <v/>
      </c>
      <c r="S2367" s="28"/>
      <c r="T2367" s="28"/>
      <c r="U2367" s="28"/>
    </row>
    <row r="2368" spans="1:21" s="5" customFormat="1">
      <c r="A2368" s="179" t="s">
        <v>2896</v>
      </c>
      <c r="B2368" s="185" t="s">
        <v>6958</v>
      </c>
      <c r="C2368" s="35" t="str">
        <f t="shared" si="252"/>
        <v>Malun</v>
      </c>
      <c r="E2368" s="40"/>
      <c r="F2368" s="14"/>
      <c r="G2368" s="17"/>
      <c r="H2368" s="10" t="s">
        <v>8563</v>
      </c>
      <c r="I2368" s="4" t="str">
        <f t="shared" si="253"/>
        <v>|Malʿún|</v>
      </c>
      <c r="J2368" s="3" t="str">
        <f t="shared" si="254"/>
        <v>|Mal'un|</v>
      </c>
      <c r="K2368" s="3" t="str">
        <f t="shared" si="255"/>
        <v>Malun</v>
      </c>
      <c r="N2368" s="39" t="str">
        <f t="shared" si="256"/>
        <v/>
      </c>
      <c r="P2368" s="39" t="str">
        <f t="shared" si="257"/>
        <v/>
      </c>
      <c r="R2368" s="39" t="str">
        <f t="shared" si="258"/>
        <v/>
      </c>
      <c r="S2368" s="28"/>
      <c r="T2368" s="28"/>
      <c r="U2368" s="28"/>
    </row>
    <row r="2369" spans="1:21" s="5" customFormat="1">
      <c r="A2369" s="179" t="s">
        <v>2897</v>
      </c>
      <c r="B2369" s="185" t="s">
        <v>6959</v>
      </c>
      <c r="C2369" s="35" t="str">
        <f t="shared" si="252"/>
        <v>Mamaqan</v>
      </c>
      <c r="E2369" s="40"/>
      <c r="F2369" s="14"/>
      <c r="G2369" s="17"/>
      <c r="H2369" s="10" t="s">
        <v>8563</v>
      </c>
      <c r="I2369" s="4" t="str">
        <f t="shared" si="253"/>
        <v>|Mamaqán|</v>
      </c>
      <c r="J2369" s="3" t="str">
        <f t="shared" si="254"/>
        <v>|Mamaqan|</v>
      </c>
      <c r="K2369" s="3" t="str">
        <f t="shared" si="255"/>
        <v>Mamaqan</v>
      </c>
      <c r="N2369" s="39" t="str">
        <f t="shared" si="256"/>
        <v/>
      </c>
      <c r="P2369" s="39" t="str">
        <f t="shared" si="257"/>
        <v/>
      </c>
      <c r="R2369" s="39" t="str">
        <f t="shared" si="258"/>
        <v/>
      </c>
      <c r="S2369" s="28"/>
      <c r="T2369" s="28"/>
      <c r="U2369" s="28"/>
    </row>
    <row r="2370" spans="1:21" s="5" customFormat="1">
      <c r="A2370" s="179" t="s">
        <v>2898</v>
      </c>
      <c r="B2370" s="185" t="s">
        <v>6960</v>
      </c>
      <c r="C2370" s="35" t="str">
        <f t="shared" ref="C2370:C2433" si="259">SUBSTITUTE(SUBSTITUTE(K2370,"-","")," ","")</f>
        <v>Mamum</v>
      </c>
      <c r="E2370" s="40"/>
      <c r="F2370" s="14"/>
      <c r="G2370" s="17"/>
      <c r="H2370" s="10" t="s">
        <v>8563</v>
      </c>
      <c r="I2370" s="4" t="str">
        <f t="shared" ref="I2370:I2433" si="260">CONCATENATE("|",B2370,"|")</f>
        <v>|Ma’múm|</v>
      </c>
      <c r="J2370" s="3" t="str">
        <f t="shared" ref="J2370:J2433" si="261">CONCATENATE("|",F_OutputASCII(B2370),"|")</f>
        <v>|Ma'mum|</v>
      </c>
      <c r="K2370" s="3" t="str">
        <f t="shared" ref="K2370:K2433" si="262">IF(SUBSTITUTE(MID(J2370,2,LEN(J2370)-2),"'","")&lt;&gt;"",SUBSTITUTE(MID(J2370,2,LEN(J2370)-2),"'",""),"ZZZZZ")</f>
        <v>Mamum</v>
      </c>
      <c r="N2370" s="39" t="str">
        <f t="shared" si="256"/>
        <v/>
      </c>
      <c r="P2370" s="39" t="str">
        <f t="shared" si="257"/>
        <v/>
      </c>
      <c r="R2370" s="39" t="str">
        <f t="shared" si="258"/>
        <v/>
      </c>
      <c r="S2370" s="28"/>
      <c r="T2370" s="28"/>
      <c r="U2370" s="28"/>
    </row>
    <row r="2371" spans="1:21" s="5" customFormat="1">
      <c r="A2371" s="181"/>
      <c r="B2371" s="185" t="s">
        <v>8629</v>
      </c>
      <c r="C2371" s="35" t="str">
        <f t="shared" si="259"/>
        <v>Mamun</v>
      </c>
      <c r="D2371" s="1"/>
      <c r="E2371" s="40"/>
      <c r="F2371" s="12"/>
      <c r="G2371" s="9"/>
      <c r="H2371" s="12" t="s">
        <v>8622</v>
      </c>
      <c r="I2371" s="4" t="str">
        <f t="shared" si="260"/>
        <v>|Ma’mún|</v>
      </c>
      <c r="J2371" s="3" t="str">
        <f t="shared" si="261"/>
        <v>|Ma'mun|</v>
      </c>
      <c r="K2371" s="3" t="str">
        <f t="shared" si="262"/>
        <v>Mamun</v>
      </c>
      <c r="N2371" s="39" t="str">
        <f t="shared" ref="N2371:N2434" si="263">SUBSTITUTE(SUBSTITUTE(SUBSTITUTE(F_OutputASCII(M2371),"-","")," ",""),"'","")</f>
        <v/>
      </c>
      <c r="P2371" s="39" t="str">
        <f t="shared" ref="P2371:P2434" si="264">SUBSTITUTE(SUBSTITUTE(SUBSTITUTE(F_OutputASCII(O2371),"-","")," ",""),"'","")</f>
        <v/>
      </c>
      <c r="R2371" s="39" t="str">
        <f t="shared" ref="R2371:R2434" si="265">SUBSTITUTE(SUBSTITUTE(Q2371,"-","")," ","")</f>
        <v/>
      </c>
      <c r="S2371" s="29">
        <v>41760</v>
      </c>
      <c r="T2371" s="28"/>
      <c r="U2371" s="28"/>
    </row>
    <row r="2372" spans="1:21" s="5" customFormat="1">
      <c r="A2372" s="179" t="s">
        <v>2899</v>
      </c>
      <c r="B2372" s="185" t="s">
        <v>6961</v>
      </c>
      <c r="C2372" s="35" t="str">
        <f t="shared" si="259"/>
        <v>Manba</v>
      </c>
      <c r="E2372" s="40"/>
      <c r="F2372" s="15"/>
      <c r="G2372" s="17"/>
      <c r="H2372" s="10" t="s">
        <v>8563</v>
      </c>
      <c r="I2372" s="4" t="str">
        <f t="shared" si="260"/>
        <v>|Manbaʿ|</v>
      </c>
      <c r="J2372" s="3" t="str">
        <f t="shared" si="261"/>
        <v>|Manba'|</v>
      </c>
      <c r="K2372" s="3" t="str">
        <f t="shared" si="262"/>
        <v>Manba</v>
      </c>
      <c r="N2372" s="39" t="str">
        <f t="shared" si="263"/>
        <v/>
      </c>
      <c r="P2372" s="39" t="str">
        <f t="shared" si="264"/>
        <v/>
      </c>
      <c r="R2372" s="39" t="str">
        <f t="shared" si="265"/>
        <v/>
      </c>
      <c r="S2372" s="28"/>
      <c r="T2372" s="28"/>
      <c r="U2372" s="28"/>
    </row>
    <row r="2373" spans="1:21" s="5" customFormat="1">
      <c r="A2373" s="179" t="s">
        <v>2900</v>
      </c>
      <c r="B2373" s="185" t="s">
        <v>6962</v>
      </c>
      <c r="C2373" s="35" t="str">
        <f t="shared" si="259"/>
        <v>Mandalij</v>
      </c>
      <c r="E2373" s="40"/>
      <c r="F2373" s="14"/>
      <c r="G2373" s="17"/>
      <c r="H2373" s="10" t="s">
        <v>8563</v>
      </c>
      <c r="I2373" s="4" t="str">
        <f t="shared" si="260"/>
        <v>|Mandalíj|</v>
      </c>
      <c r="J2373" s="3" t="str">
        <f t="shared" si="261"/>
        <v>|Mandalij|</v>
      </c>
      <c r="K2373" s="3" t="str">
        <f t="shared" si="262"/>
        <v>Mandalij</v>
      </c>
      <c r="N2373" s="39" t="str">
        <f t="shared" si="263"/>
        <v/>
      </c>
      <c r="P2373" s="39" t="str">
        <f t="shared" si="264"/>
        <v/>
      </c>
      <c r="R2373" s="39" t="str">
        <f t="shared" si="265"/>
        <v/>
      </c>
      <c r="S2373" s="28"/>
      <c r="T2373" s="28"/>
      <c r="U2373" s="28"/>
    </row>
    <row r="2374" spans="1:21" s="5" customFormat="1">
      <c r="A2374" s="179" t="s">
        <v>2901</v>
      </c>
      <c r="B2374" s="185" t="s">
        <v>6963</v>
      </c>
      <c r="C2374" s="35" t="str">
        <f t="shared" si="259"/>
        <v>Mani</v>
      </c>
      <c r="E2374" s="40"/>
      <c r="F2374" s="15"/>
      <c r="G2374" s="17"/>
      <c r="H2374" s="10" t="s">
        <v>8563</v>
      </c>
      <c r="I2374" s="4" t="str">
        <f t="shared" si="260"/>
        <v>|Mání|</v>
      </c>
      <c r="J2374" s="3" t="str">
        <f t="shared" si="261"/>
        <v>|Mani|</v>
      </c>
      <c r="K2374" s="3" t="str">
        <f t="shared" si="262"/>
        <v>Mani</v>
      </c>
      <c r="N2374" s="39" t="str">
        <f t="shared" si="263"/>
        <v/>
      </c>
      <c r="P2374" s="39" t="str">
        <f t="shared" si="264"/>
        <v/>
      </c>
      <c r="R2374" s="39" t="str">
        <f t="shared" si="265"/>
        <v/>
      </c>
      <c r="S2374" s="28"/>
      <c r="T2374" s="28"/>
      <c r="U2374" s="28"/>
    </row>
    <row r="2375" spans="1:21" s="5" customFormat="1">
      <c r="A2375" s="179" t="s">
        <v>2902</v>
      </c>
      <c r="B2375" s="185" t="s">
        <v>6964</v>
      </c>
      <c r="C2375" s="35" t="str">
        <f t="shared" si="259"/>
        <v>Manikchi</v>
      </c>
      <c r="E2375" s="40"/>
      <c r="F2375" s="14"/>
      <c r="G2375" s="17"/>
      <c r="H2375" s="10" t="s">
        <v>8563</v>
      </c>
      <c r="I2375" s="4" t="str">
        <f t="shared" si="260"/>
        <v>|Mánikí|</v>
      </c>
      <c r="J2375" s="3" t="str">
        <f t="shared" si="261"/>
        <v>|Manikchi|</v>
      </c>
      <c r="K2375" s="3" t="str">
        <f t="shared" si="262"/>
        <v>Manikchi</v>
      </c>
      <c r="N2375" s="39" t="str">
        <f t="shared" si="263"/>
        <v/>
      </c>
      <c r="P2375" s="39" t="str">
        <f t="shared" si="264"/>
        <v/>
      </c>
      <c r="R2375" s="39" t="str">
        <f t="shared" si="265"/>
        <v/>
      </c>
      <c r="S2375" s="28"/>
      <c r="T2375" s="28"/>
      <c r="U2375" s="28"/>
    </row>
    <row r="2376" spans="1:21" s="5" customFormat="1">
      <c r="A2376" s="179" t="s">
        <v>2903</v>
      </c>
      <c r="B2376" s="185" t="s">
        <v>6965</v>
      </c>
      <c r="C2376" s="35" t="str">
        <f t="shared" si="259"/>
        <v>Manqul</v>
      </c>
      <c r="E2376" s="40"/>
      <c r="F2376" s="14"/>
      <c r="G2376" s="17"/>
      <c r="H2376" s="10" t="s">
        <v>8563</v>
      </c>
      <c r="I2376" s="4" t="str">
        <f t="shared" si="260"/>
        <v>|Manqúl|</v>
      </c>
      <c r="J2376" s="3" t="str">
        <f t="shared" si="261"/>
        <v>|Manqul|</v>
      </c>
      <c r="K2376" s="3" t="str">
        <f t="shared" si="262"/>
        <v>Manqul</v>
      </c>
      <c r="N2376" s="39" t="str">
        <f t="shared" si="263"/>
        <v/>
      </c>
      <c r="P2376" s="39" t="str">
        <f t="shared" si="264"/>
        <v/>
      </c>
      <c r="R2376" s="39" t="str">
        <f t="shared" si="265"/>
        <v/>
      </c>
      <c r="S2376" s="28"/>
      <c r="T2376" s="28"/>
      <c r="U2376" s="28"/>
    </row>
    <row r="2377" spans="1:21" s="5" customFormat="1">
      <c r="A2377" s="179" t="s">
        <v>2904</v>
      </c>
      <c r="B2377" s="185" t="s">
        <v>6966</v>
      </c>
      <c r="C2377" s="35" t="str">
        <f t="shared" si="259"/>
        <v>Manshad</v>
      </c>
      <c r="E2377" s="40"/>
      <c r="F2377" s="15"/>
      <c r="G2377" s="17"/>
      <c r="H2377" s="10" t="s">
        <v>8563</v>
      </c>
      <c r="I2377" s="4" t="str">
        <f t="shared" si="260"/>
        <v>|Manád|</v>
      </c>
      <c r="J2377" s="3" t="str">
        <f t="shared" si="261"/>
        <v>|Manshad|</v>
      </c>
      <c r="K2377" s="3" t="str">
        <f t="shared" si="262"/>
        <v>Manshad</v>
      </c>
      <c r="N2377" s="39" t="str">
        <f t="shared" si="263"/>
        <v/>
      </c>
      <c r="P2377" s="39" t="str">
        <f t="shared" si="264"/>
        <v/>
      </c>
      <c r="R2377" s="39" t="str">
        <f t="shared" si="265"/>
        <v/>
      </c>
      <c r="S2377" s="28"/>
      <c r="T2377" s="28"/>
      <c r="U2377" s="28"/>
    </row>
    <row r="2378" spans="1:21" s="5" customFormat="1">
      <c r="A2378" s="179" t="s">
        <v>2905</v>
      </c>
      <c r="B2378" s="185" t="s">
        <v>133</v>
      </c>
      <c r="C2378" s="35" t="str">
        <f t="shared" si="259"/>
        <v>Manshadi</v>
      </c>
      <c r="E2378" s="40"/>
      <c r="F2378" s="15"/>
      <c r="G2378" s="17"/>
      <c r="H2378" s="10" t="s">
        <v>8563</v>
      </c>
      <c r="I2378" s="4" t="str">
        <f t="shared" si="260"/>
        <v>|Manádí|</v>
      </c>
      <c r="J2378" s="3" t="str">
        <f t="shared" si="261"/>
        <v>|Manshadi|</v>
      </c>
      <c r="K2378" s="3" t="str">
        <f t="shared" si="262"/>
        <v>Manshadi</v>
      </c>
      <c r="N2378" s="39" t="str">
        <f t="shared" si="263"/>
        <v/>
      </c>
      <c r="P2378" s="39" t="str">
        <f t="shared" si="264"/>
        <v/>
      </c>
      <c r="R2378" s="39" t="str">
        <f t="shared" si="265"/>
        <v/>
      </c>
      <c r="S2378" s="28"/>
      <c r="T2378" s="28"/>
      <c r="U2378" s="28"/>
    </row>
    <row r="2379" spans="1:21" s="5" customFormat="1">
      <c r="A2379" s="179" t="s">
        <v>2906</v>
      </c>
      <c r="B2379" s="185" t="s">
        <v>6967</v>
      </c>
      <c r="C2379" s="35" t="str">
        <f t="shared" si="259"/>
        <v>Manshiyyih</v>
      </c>
      <c r="E2379" s="40"/>
      <c r="F2379" s="14"/>
      <c r="G2379" s="17"/>
      <c r="H2379" s="10" t="s">
        <v>8563</v>
      </c>
      <c r="I2379" s="4" t="str">
        <f t="shared" si="260"/>
        <v>|Maníyyih|</v>
      </c>
      <c r="J2379" s="3" t="str">
        <f t="shared" si="261"/>
        <v>|Manshiyyih|</v>
      </c>
      <c r="K2379" s="3" t="str">
        <f t="shared" si="262"/>
        <v>Manshiyyih</v>
      </c>
      <c r="N2379" s="39" t="str">
        <f t="shared" si="263"/>
        <v/>
      </c>
      <c r="P2379" s="39" t="str">
        <f t="shared" si="264"/>
        <v/>
      </c>
      <c r="R2379" s="39" t="str">
        <f t="shared" si="265"/>
        <v/>
      </c>
      <c r="S2379" s="28"/>
      <c r="T2379" s="28"/>
      <c r="U2379" s="28"/>
    </row>
    <row r="2380" spans="1:21" s="5" customFormat="1">
      <c r="A2380" s="179" t="s">
        <v>2907</v>
      </c>
      <c r="B2380" s="185" t="s">
        <v>6968</v>
      </c>
      <c r="C2380" s="35" t="str">
        <f t="shared" si="259"/>
        <v>Mansur</v>
      </c>
      <c r="E2380" s="40"/>
      <c r="F2380" s="15" t="s">
        <v>2908</v>
      </c>
      <c r="G2380" s="17"/>
      <c r="H2380" s="10" t="s">
        <v>8563</v>
      </c>
      <c r="I2380" s="4" t="str">
        <f t="shared" si="260"/>
        <v>|Manṣúr|</v>
      </c>
      <c r="J2380" s="3" t="str">
        <f t="shared" si="261"/>
        <v>|Mansur|</v>
      </c>
      <c r="K2380" s="3" t="str">
        <f t="shared" si="262"/>
        <v>Mansur</v>
      </c>
      <c r="N2380" s="39" t="str">
        <f t="shared" si="263"/>
        <v/>
      </c>
      <c r="P2380" s="39" t="str">
        <f t="shared" si="264"/>
        <v/>
      </c>
      <c r="R2380" s="39" t="str">
        <f t="shared" si="265"/>
        <v/>
      </c>
      <c r="S2380" s="28"/>
      <c r="T2380" s="28"/>
      <c r="U2380" s="28"/>
    </row>
    <row r="2381" spans="1:21" s="5" customFormat="1">
      <c r="A2381" s="179" t="s">
        <v>2909</v>
      </c>
      <c r="B2381" s="185" t="s">
        <v>6969</v>
      </c>
      <c r="C2381" s="35" t="str">
        <f t="shared" si="259"/>
        <v>Mansuri</v>
      </c>
      <c r="E2381" s="40"/>
      <c r="F2381" s="15"/>
      <c r="G2381" s="17"/>
      <c r="H2381" s="10" t="s">
        <v>8563</v>
      </c>
      <c r="I2381" s="4" t="str">
        <f t="shared" si="260"/>
        <v>|Manṣúrí|</v>
      </c>
      <c r="J2381" s="3" t="str">
        <f t="shared" si="261"/>
        <v>|Mansuri|</v>
      </c>
      <c r="K2381" s="3" t="str">
        <f t="shared" si="262"/>
        <v>Mansuri</v>
      </c>
      <c r="N2381" s="39" t="str">
        <f t="shared" si="263"/>
        <v/>
      </c>
      <c r="P2381" s="39" t="str">
        <f t="shared" si="264"/>
        <v/>
      </c>
      <c r="R2381" s="39" t="str">
        <f t="shared" si="265"/>
        <v/>
      </c>
      <c r="S2381" s="28"/>
      <c r="T2381" s="28"/>
      <c r="U2381" s="28"/>
    </row>
    <row r="2382" spans="1:21" s="5" customFormat="1">
      <c r="A2382" s="179" t="s">
        <v>2910</v>
      </c>
      <c r="B2382" s="185" t="s">
        <v>6970</v>
      </c>
      <c r="C2382" s="35" t="str">
        <f t="shared" si="259"/>
        <v>Mansuriyyih</v>
      </c>
      <c r="E2382" s="40"/>
      <c r="F2382" s="14"/>
      <c r="G2382" s="17"/>
      <c r="H2382" s="10" t="s">
        <v>8563</v>
      </c>
      <c r="I2382" s="4" t="str">
        <f t="shared" si="260"/>
        <v>|Manṣúríyyih|</v>
      </c>
      <c r="J2382" s="3" t="str">
        <f t="shared" si="261"/>
        <v>|Mansuriyyih|</v>
      </c>
      <c r="K2382" s="3" t="str">
        <f t="shared" si="262"/>
        <v>Mansuriyyih</v>
      </c>
      <c r="N2382" s="39" t="str">
        <f t="shared" si="263"/>
        <v/>
      </c>
      <c r="P2382" s="39" t="str">
        <f t="shared" si="264"/>
        <v/>
      </c>
      <c r="R2382" s="39" t="str">
        <f t="shared" si="265"/>
        <v/>
      </c>
      <c r="S2382" s="28"/>
      <c r="T2382" s="28"/>
      <c r="U2382" s="28"/>
    </row>
    <row r="2383" spans="1:21" s="5" customFormat="1">
      <c r="A2383" s="179" t="s">
        <v>2911</v>
      </c>
      <c r="B2383" s="185" t="s">
        <v>6971</v>
      </c>
      <c r="C2383" s="35" t="str">
        <f t="shared" si="259"/>
        <v>Manuchihr</v>
      </c>
      <c r="E2383" s="40"/>
      <c r="F2383" s="14"/>
      <c r="G2383" s="17"/>
      <c r="H2383" s="10" t="s">
        <v>8563</v>
      </c>
      <c r="I2383" s="4" t="str">
        <f t="shared" si="260"/>
        <v>|Manúihr|</v>
      </c>
      <c r="J2383" s="3" t="str">
        <f t="shared" si="261"/>
        <v>|Manuchihr|</v>
      </c>
      <c r="K2383" s="3" t="str">
        <f t="shared" si="262"/>
        <v>Manuchihr</v>
      </c>
      <c r="N2383" s="39" t="str">
        <f t="shared" si="263"/>
        <v/>
      </c>
      <c r="P2383" s="39" t="str">
        <f t="shared" si="264"/>
        <v/>
      </c>
      <c r="R2383" s="39" t="str">
        <f t="shared" si="265"/>
        <v/>
      </c>
      <c r="S2383" s="28"/>
      <c r="T2383" s="28"/>
      <c r="U2383" s="28"/>
    </row>
    <row r="2384" spans="1:21" s="5" customFormat="1">
      <c r="A2384" s="181"/>
      <c r="B2384" s="185" t="s">
        <v>8693</v>
      </c>
      <c r="C2384" s="35" t="str">
        <f t="shared" si="259"/>
        <v>ManuchihrKhan</v>
      </c>
      <c r="D2384" s="1"/>
      <c r="E2384" s="40"/>
      <c r="F2384" s="12"/>
      <c r="G2384" s="9"/>
      <c r="H2384" s="12" t="s">
        <v>8622</v>
      </c>
      <c r="I2384" s="4" t="str">
        <f t="shared" si="260"/>
        <v>|Manúihr án|</v>
      </c>
      <c r="J2384" s="3" t="str">
        <f t="shared" si="261"/>
        <v>|Manuchihr Khan|</v>
      </c>
      <c r="K2384" s="3" t="str">
        <f t="shared" si="262"/>
        <v>Manuchihr Khan</v>
      </c>
      <c r="N2384" s="39" t="str">
        <f t="shared" si="263"/>
        <v/>
      </c>
      <c r="P2384" s="39" t="str">
        <f t="shared" si="264"/>
        <v/>
      </c>
      <c r="R2384" s="39" t="str">
        <f t="shared" si="265"/>
        <v/>
      </c>
      <c r="S2384" s="29">
        <v>41760</v>
      </c>
      <c r="T2384" s="28"/>
      <c r="U2384" s="28"/>
    </row>
    <row r="2385" spans="1:21" s="5" customFormat="1">
      <c r="A2385" s="179" t="s">
        <v>2912</v>
      </c>
      <c r="B2385" s="185" t="s">
        <v>6972</v>
      </c>
      <c r="C2385" s="35" t="str">
        <f t="shared" si="259"/>
        <v>Manuchihri</v>
      </c>
      <c r="E2385" s="40"/>
      <c r="F2385" s="15"/>
      <c r="G2385" s="17"/>
      <c r="H2385" s="10" t="s">
        <v>8563</v>
      </c>
      <c r="I2385" s="4" t="str">
        <f t="shared" si="260"/>
        <v>|Manúihrí|</v>
      </c>
      <c r="J2385" s="3" t="str">
        <f t="shared" si="261"/>
        <v>|Manuchihri|</v>
      </c>
      <c r="K2385" s="3" t="str">
        <f t="shared" si="262"/>
        <v>Manuchihri</v>
      </c>
      <c r="N2385" s="39" t="str">
        <f t="shared" si="263"/>
        <v/>
      </c>
      <c r="P2385" s="39" t="str">
        <f t="shared" si="264"/>
        <v/>
      </c>
      <c r="R2385" s="39" t="str">
        <f t="shared" si="265"/>
        <v/>
      </c>
      <c r="S2385" s="28"/>
      <c r="T2385" s="28"/>
      <c r="U2385" s="28"/>
    </row>
    <row r="2386" spans="1:21" s="5" customFormat="1">
      <c r="A2386" s="179" t="s">
        <v>2913</v>
      </c>
      <c r="B2386" s="185" t="s">
        <v>6973</v>
      </c>
      <c r="C2386" s="35" t="str">
        <f t="shared" si="259"/>
        <v>ManYuzhirullah</v>
      </c>
      <c r="E2386" s="40"/>
      <c r="F2386" s="14" t="s">
        <v>2914</v>
      </c>
      <c r="G2386" s="17"/>
      <c r="H2386" s="10" t="s">
        <v>8563</v>
      </c>
      <c r="I2386" s="4" t="str">
        <f t="shared" si="260"/>
        <v>|Man-Yuẓhiru’lláh|</v>
      </c>
      <c r="J2386" s="3" t="str">
        <f t="shared" si="261"/>
        <v>|Man-Yuzhiru'llah|</v>
      </c>
      <c r="K2386" s="3" t="str">
        <f t="shared" si="262"/>
        <v>Man-Yuzhirullah</v>
      </c>
      <c r="N2386" s="39" t="str">
        <f t="shared" si="263"/>
        <v/>
      </c>
      <c r="P2386" s="39" t="str">
        <f t="shared" si="264"/>
        <v/>
      </c>
      <c r="R2386" s="39" t="str">
        <f t="shared" si="265"/>
        <v/>
      </c>
      <c r="S2386" s="28"/>
      <c r="T2386" s="28"/>
      <c r="U2386" s="28"/>
    </row>
    <row r="2387" spans="1:21" s="5" customFormat="1">
      <c r="A2387" s="179" t="s">
        <v>2915</v>
      </c>
      <c r="B2387" s="185" t="s">
        <v>6974</v>
      </c>
      <c r="C2387" s="35" t="str">
        <f t="shared" si="259"/>
        <v>Maqalih</v>
      </c>
      <c r="E2387" s="40"/>
      <c r="F2387" s="15"/>
      <c r="G2387" s="17"/>
      <c r="H2387" s="10" t="s">
        <v>8563</v>
      </c>
      <c r="I2387" s="4" t="str">
        <f t="shared" si="260"/>
        <v>|Maqálih|</v>
      </c>
      <c r="J2387" s="3" t="str">
        <f t="shared" si="261"/>
        <v>|Maqalih|</v>
      </c>
      <c r="K2387" s="3" t="str">
        <f t="shared" si="262"/>
        <v>Maqalih</v>
      </c>
      <c r="N2387" s="39" t="str">
        <f t="shared" si="263"/>
        <v/>
      </c>
      <c r="P2387" s="39" t="str">
        <f t="shared" si="264"/>
        <v/>
      </c>
      <c r="R2387" s="39" t="str">
        <f t="shared" si="265"/>
        <v/>
      </c>
      <c r="S2387" s="28"/>
      <c r="T2387" s="28"/>
      <c r="U2387" s="28"/>
    </row>
    <row r="2388" spans="1:21" s="5" customFormat="1">
      <c r="A2388" s="179" t="s">
        <v>2916</v>
      </c>
      <c r="B2388" s="185" t="s">
        <v>6975</v>
      </c>
      <c r="C2388" s="35" t="str">
        <f t="shared" si="259"/>
        <v>MaqaliyiSayyah</v>
      </c>
      <c r="E2388" s="40"/>
      <c r="F2388" s="15" t="s">
        <v>2687</v>
      </c>
      <c r="G2388" s="17"/>
      <c r="H2388" s="10" t="s">
        <v>8563</v>
      </c>
      <c r="I2388" s="4" t="str">
        <f t="shared" si="260"/>
        <v>|Maqáliy-i-Sayyáḥ|</v>
      </c>
      <c r="J2388" s="3" t="str">
        <f t="shared" si="261"/>
        <v>|Maqaliy-i-Sayyah|</v>
      </c>
      <c r="K2388" s="3" t="str">
        <f t="shared" si="262"/>
        <v>Maqaliy-i-Sayyah</v>
      </c>
      <c r="N2388" s="39" t="str">
        <f t="shared" si="263"/>
        <v/>
      </c>
      <c r="P2388" s="39" t="str">
        <f t="shared" si="264"/>
        <v/>
      </c>
      <c r="R2388" s="39" t="str">
        <f t="shared" si="265"/>
        <v/>
      </c>
      <c r="S2388" s="28"/>
      <c r="T2388" s="28"/>
      <c r="U2388" s="28"/>
    </row>
    <row r="2389" spans="1:21" s="5" customFormat="1">
      <c r="A2389" s="179" t="s">
        <v>2917</v>
      </c>
      <c r="B2389" s="185" t="s">
        <v>6976</v>
      </c>
      <c r="C2389" s="35" t="str">
        <f t="shared" si="259"/>
        <v>Maqam</v>
      </c>
      <c r="E2389" s="40"/>
      <c r="F2389" s="14"/>
      <c r="G2389" s="17"/>
      <c r="H2389" s="10" t="s">
        <v>8563</v>
      </c>
      <c r="I2389" s="4" t="str">
        <f t="shared" si="260"/>
        <v>|Maqám|</v>
      </c>
      <c r="J2389" s="3" t="str">
        <f t="shared" si="261"/>
        <v>|Maqam|</v>
      </c>
      <c r="K2389" s="3" t="str">
        <f t="shared" si="262"/>
        <v>Maqam</v>
      </c>
      <c r="N2389" s="39" t="str">
        <f t="shared" si="263"/>
        <v/>
      </c>
      <c r="P2389" s="39" t="str">
        <f t="shared" si="264"/>
        <v/>
      </c>
      <c r="R2389" s="39" t="str">
        <f t="shared" si="265"/>
        <v/>
      </c>
      <c r="S2389" s="28"/>
      <c r="T2389" s="28"/>
      <c r="U2389" s="28"/>
    </row>
    <row r="2390" spans="1:21" s="5" customFormat="1">
      <c r="A2390" s="179" t="s">
        <v>2918</v>
      </c>
      <c r="B2390" s="185" t="s">
        <v>6977</v>
      </c>
      <c r="C2390" s="35" t="str">
        <f t="shared" si="259"/>
        <v>Maqamat</v>
      </c>
      <c r="E2390" s="40"/>
      <c r="F2390" s="15" t="s">
        <v>2919</v>
      </c>
      <c r="G2390" s="17"/>
      <c r="H2390" s="10" t="s">
        <v>8563</v>
      </c>
      <c r="I2390" s="4" t="str">
        <f t="shared" si="260"/>
        <v>|Maqámát|</v>
      </c>
      <c r="J2390" s="3" t="str">
        <f t="shared" si="261"/>
        <v>|Maqamat|</v>
      </c>
      <c r="K2390" s="3" t="str">
        <f t="shared" si="262"/>
        <v>Maqamat</v>
      </c>
      <c r="N2390" s="39" t="str">
        <f t="shared" si="263"/>
        <v/>
      </c>
      <c r="P2390" s="39" t="str">
        <f t="shared" si="264"/>
        <v/>
      </c>
      <c r="R2390" s="39" t="str">
        <f t="shared" si="265"/>
        <v/>
      </c>
      <c r="S2390" s="28"/>
      <c r="T2390" s="28"/>
      <c r="U2390" s="28"/>
    </row>
    <row r="2391" spans="1:21" s="5" customFormat="1">
      <c r="A2391" s="179" t="s">
        <v>2920</v>
      </c>
      <c r="B2391" s="185" t="s">
        <v>6978</v>
      </c>
      <c r="C2391" s="35" t="str">
        <f t="shared" si="259"/>
        <v>Maqami</v>
      </c>
      <c r="E2391" s="40"/>
      <c r="F2391" s="15"/>
      <c r="G2391" s="17"/>
      <c r="H2391" s="10" t="s">
        <v>8563</v>
      </c>
      <c r="I2391" s="4" t="str">
        <f t="shared" si="260"/>
        <v>|Maqámí|</v>
      </c>
      <c r="J2391" s="3" t="str">
        <f t="shared" si="261"/>
        <v>|Maqami|</v>
      </c>
      <c r="K2391" s="3" t="str">
        <f t="shared" si="262"/>
        <v>Maqami</v>
      </c>
      <c r="N2391" s="39" t="str">
        <f t="shared" si="263"/>
        <v/>
      </c>
      <c r="P2391" s="39" t="str">
        <f t="shared" si="264"/>
        <v/>
      </c>
      <c r="R2391" s="39" t="str">
        <f t="shared" si="265"/>
        <v/>
      </c>
      <c r="S2391" s="28"/>
      <c r="T2391" s="28"/>
      <c r="U2391" s="28"/>
    </row>
    <row r="2392" spans="1:21" s="5" customFormat="1">
      <c r="A2392" s="179" t="s">
        <v>2921</v>
      </c>
      <c r="B2392" s="185" t="s">
        <v>6979</v>
      </c>
      <c r="C2392" s="35" t="str">
        <f t="shared" si="259"/>
        <v>MaqamiKhidr</v>
      </c>
      <c r="E2392" s="40"/>
      <c r="F2392" s="15" t="s">
        <v>2922</v>
      </c>
      <c r="G2392" s="17"/>
      <c r="H2392" s="10" t="s">
        <v>8563</v>
      </c>
      <c r="I2392" s="4" t="str">
        <f t="shared" si="260"/>
        <v>|Maqám-i-iḍr|</v>
      </c>
      <c r="J2392" s="3" t="str">
        <f t="shared" si="261"/>
        <v>|Maqam-i-Khidr|</v>
      </c>
      <c r="K2392" s="3" t="str">
        <f t="shared" si="262"/>
        <v>Maqam-i-Khidr</v>
      </c>
      <c r="N2392" s="39" t="str">
        <f t="shared" si="263"/>
        <v/>
      </c>
      <c r="P2392" s="39" t="str">
        <f t="shared" si="264"/>
        <v/>
      </c>
      <c r="R2392" s="39" t="str">
        <f t="shared" si="265"/>
        <v/>
      </c>
      <c r="S2392" s="28"/>
      <c r="T2392" s="28"/>
      <c r="U2392" s="28"/>
    </row>
    <row r="2393" spans="1:21" s="5" customFormat="1">
      <c r="A2393" s="179" t="s">
        <v>2923</v>
      </c>
      <c r="B2393" s="185" t="s">
        <v>6980</v>
      </c>
      <c r="C2393" s="35" t="str">
        <f t="shared" si="259"/>
        <v>MaqamiMahmud</v>
      </c>
      <c r="E2393" s="40"/>
      <c r="F2393" s="14"/>
      <c r="G2393" s="17"/>
      <c r="H2393" s="10" t="s">
        <v>8563</v>
      </c>
      <c r="I2393" s="4" t="str">
        <f t="shared" si="260"/>
        <v>|Maqám-i-Maḥmúd|</v>
      </c>
      <c r="J2393" s="3" t="str">
        <f t="shared" si="261"/>
        <v>|Maqam-i-Mahmud|</v>
      </c>
      <c r="K2393" s="3" t="str">
        <f t="shared" si="262"/>
        <v>Maqam-i-Mahmud</v>
      </c>
      <c r="N2393" s="39" t="str">
        <f t="shared" si="263"/>
        <v/>
      </c>
      <c r="P2393" s="39" t="str">
        <f t="shared" si="264"/>
        <v/>
      </c>
      <c r="R2393" s="39" t="str">
        <f t="shared" si="265"/>
        <v/>
      </c>
      <c r="S2393" s="28"/>
      <c r="T2393" s="28"/>
      <c r="U2393" s="28"/>
    </row>
    <row r="2394" spans="1:21" s="5" customFormat="1">
      <c r="A2394" s="179" t="s">
        <v>2924</v>
      </c>
      <c r="B2394" s="185" t="s">
        <v>6981</v>
      </c>
      <c r="C2394" s="35" t="str">
        <f t="shared" si="259"/>
        <v>Maqsud</v>
      </c>
      <c r="E2394" s="40"/>
      <c r="F2394" s="15" t="s">
        <v>2925</v>
      </c>
      <c r="G2394" s="17"/>
      <c r="H2394" s="10" t="s">
        <v>8563</v>
      </c>
      <c r="I2394" s="4" t="str">
        <f t="shared" si="260"/>
        <v>|Maqṣúd|</v>
      </c>
      <c r="J2394" s="3" t="str">
        <f t="shared" si="261"/>
        <v>|Maqsud|</v>
      </c>
      <c r="K2394" s="3" t="str">
        <f t="shared" si="262"/>
        <v>Maqsud</v>
      </c>
      <c r="N2394" s="39" t="str">
        <f t="shared" si="263"/>
        <v/>
      </c>
      <c r="P2394" s="39" t="str">
        <f t="shared" si="264"/>
        <v/>
      </c>
      <c r="R2394" s="39" t="str">
        <f t="shared" si="265"/>
        <v/>
      </c>
      <c r="S2394" s="28"/>
      <c r="T2394" s="28"/>
      <c r="U2394" s="28"/>
    </row>
    <row r="2395" spans="1:21" s="5" customFormat="1">
      <c r="A2395" s="179" t="s">
        <v>2926</v>
      </c>
      <c r="B2395" s="185" t="s">
        <v>6982</v>
      </c>
      <c r="C2395" s="35" t="str">
        <f t="shared" si="259"/>
        <v>Maqul</v>
      </c>
      <c r="E2395" s="40"/>
      <c r="F2395" s="15" t="s">
        <v>2927</v>
      </c>
      <c r="G2395" s="17"/>
      <c r="H2395" s="10" t="s">
        <v>8563</v>
      </c>
      <c r="I2395" s="4" t="str">
        <f t="shared" si="260"/>
        <v>|Maʿqúl|</v>
      </c>
      <c r="J2395" s="3" t="str">
        <f t="shared" si="261"/>
        <v>|Ma'qul|</v>
      </c>
      <c r="K2395" s="3" t="str">
        <f t="shared" si="262"/>
        <v>Maqul</v>
      </c>
      <c r="N2395" s="39" t="str">
        <f t="shared" si="263"/>
        <v/>
      </c>
      <c r="P2395" s="39" t="str">
        <f t="shared" si="264"/>
        <v/>
      </c>
      <c r="R2395" s="39" t="str">
        <f t="shared" si="265"/>
        <v/>
      </c>
      <c r="S2395" s="28"/>
      <c r="T2395" s="28"/>
      <c r="U2395" s="28"/>
    </row>
    <row r="2396" spans="1:21" s="5" customFormat="1">
      <c r="A2396" s="179" t="s">
        <v>2928</v>
      </c>
      <c r="B2396" s="185" t="s">
        <v>6983</v>
      </c>
      <c r="C2396" s="35" t="str">
        <f t="shared" si="259"/>
        <v>Maraghih</v>
      </c>
      <c r="E2396" s="40"/>
      <c r="F2396" s="14"/>
      <c r="G2396" s="17"/>
      <c r="H2396" s="10" t="s">
        <v>8563</v>
      </c>
      <c r="I2396" s="4" t="str">
        <f t="shared" si="260"/>
        <v>|Maráih|</v>
      </c>
      <c r="J2396" s="3" t="str">
        <f t="shared" si="261"/>
        <v>|Maraghih|</v>
      </c>
      <c r="K2396" s="3" t="str">
        <f t="shared" si="262"/>
        <v>Maraghih</v>
      </c>
      <c r="N2396" s="39" t="str">
        <f t="shared" si="263"/>
        <v/>
      </c>
      <c r="P2396" s="39" t="str">
        <f t="shared" si="264"/>
        <v/>
      </c>
      <c r="R2396" s="39" t="str">
        <f t="shared" si="265"/>
        <v/>
      </c>
      <c r="S2396" s="28"/>
      <c r="T2396" s="28"/>
      <c r="U2396" s="28"/>
    </row>
    <row r="2397" spans="1:21" s="5" customFormat="1">
      <c r="A2397" s="179" t="s">
        <v>2929</v>
      </c>
      <c r="B2397" s="185" t="s">
        <v>6984</v>
      </c>
      <c r="C2397" s="35" t="str">
        <f t="shared" si="259"/>
        <v>Maraghihʼi</v>
      </c>
      <c r="E2397" s="40"/>
      <c r="F2397" s="15"/>
      <c r="G2397" s="17"/>
      <c r="H2397" s="10" t="s">
        <v>8563</v>
      </c>
      <c r="I2397" s="4" t="str">
        <f t="shared" si="260"/>
        <v>|Maráihʼí|</v>
      </c>
      <c r="J2397" s="3" t="str">
        <f t="shared" si="261"/>
        <v>|Maraghihʼi|</v>
      </c>
      <c r="K2397" s="3" t="str">
        <f t="shared" si="262"/>
        <v>Maraghihʼi</v>
      </c>
      <c r="N2397" s="39" t="str">
        <f t="shared" si="263"/>
        <v/>
      </c>
      <c r="P2397" s="39" t="str">
        <f t="shared" si="264"/>
        <v/>
      </c>
      <c r="R2397" s="39" t="str">
        <f t="shared" si="265"/>
        <v/>
      </c>
      <c r="S2397" s="28"/>
      <c r="T2397" s="28"/>
      <c r="U2397" s="28"/>
    </row>
    <row r="2398" spans="1:21" s="5" customFormat="1">
      <c r="A2398" s="179" t="s">
        <v>2930</v>
      </c>
      <c r="B2398" s="185" t="s">
        <v>6985</v>
      </c>
      <c r="C2398" s="35" t="str">
        <f t="shared" si="259"/>
        <v>MarajiatTaqlid</v>
      </c>
      <c r="E2398" s="40"/>
      <c r="F2398" s="15"/>
      <c r="G2398" s="17"/>
      <c r="H2398" s="10" t="s">
        <v>8563</v>
      </c>
      <c r="I2398" s="4" t="str">
        <f t="shared" si="260"/>
        <v>|Marájiʿat-Taqlíd|</v>
      </c>
      <c r="J2398" s="3" t="str">
        <f t="shared" si="261"/>
        <v>|Maraji'at-Taqlid|</v>
      </c>
      <c r="K2398" s="3" t="str">
        <f t="shared" si="262"/>
        <v>Marajiat-Taqlid</v>
      </c>
      <c r="N2398" s="39" t="str">
        <f t="shared" si="263"/>
        <v/>
      </c>
      <c r="P2398" s="39" t="str">
        <f t="shared" si="264"/>
        <v/>
      </c>
      <c r="R2398" s="39" t="str">
        <f t="shared" si="265"/>
        <v/>
      </c>
      <c r="S2398" s="28"/>
      <c r="T2398" s="28"/>
      <c r="U2398" s="28"/>
    </row>
    <row r="2399" spans="1:21" s="5" customFormat="1">
      <c r="A2399" s="179" t="s">
        <v>2931</v>
      </c>
      <c r="B2399" s="185" t="s">
        <v>6986</v>
      </c>
      <c r="C2399" s="35" t="str">
        <f t="shared" si="259"/>
        <v>Mardan</v>
      </c>
      <c r="E2399" s="40"/>
      <c r="F2399" s="14"/>
      <c r="G2399" s="17"/>
      <c r="H2399" s="10" t="s">
        <v>8563</v>
      </c>
      <c r="I2399" s="4" t="str">
        <f t="shared" si="260"/>
        <v>|Mardán|</v>
      </c>
      <c r="J2399" s="3" t="str">
        <f t="shared" si="261"/>
        <v>|Mardan|</v>
      </c>
      <c r="K2399" s="3" t="str">
        <f t="shared" si="262"/>
        <v>Mardan</v>
      </c>
      <c r="N2399" s="39" t="str">
        <f t="shared" si="263"/>
        <v/>
      </c>
      <c r="P2399" s="39" t="str">
        <f t="shared" si="264"/>
        <v/>
      </c>
      <c r="R2399" s="39" t="str">
        <f t="shared" si="265"/>
        <v/>
      </c>
      <c r="S2399" s="28"/>
      <c r="T2399" s="28"/>
      <c r="U2399" s="28"/>
    </row>
    <row r="2400" spans="1:21" s="5" customFormat="1">
      <c r="A2400" s="179" t="s">
        <v>2932</v>
      </c>
      <c r="B2400" s="185" t="s">
        <v>6987</v>
      </c>
      <c r="C2400" s="35" t="str">
        <f t="shared" si="259"/>
        <v>MardanAli</v>
      </c>
      <c r="E2400" s="40"/>
      <c r="F2400" s="14"/>
      <c r="G2400" s="17"/>
      <c r="H2400" s="10" t="s">
        <v>8563</v>
      </c>
      <c r="I2400" s="4" t="str">
        <f t="shared" si="260"/>
        <v>|Mardán-ʿAlí|</v>
      </c>
      <c r="J2400" s="3" t="str">
        <f t="shared" si="261"/>
        <v>|Mardan-'Ali|</v>
      </c>
      <c r="K2400" s="3" t="str">
        <f t="shared" si="262"/>
        <v>Mardan-Ali</v>
      </c>
      <c r="N2400" s="39" t="str">
        <f t="shared" si="263"/>
        <v/>
      </c>
      <c r="P2400" s="39" t="str">
        <f t="shared" si="264"/>
        <v/>
      </c>
      <c r="R2400" s="39" t="str">
        <f t="shared" si="265"/>
        <v/>
      </c>
      <c r="S2400" s="28"/>
      <c r="T2400" s="28"/>
      <c r="U2400" s="28"/>
    </row>
    <row r="2401" spans="1:21" s="5" customFormat="1">
      <c r="A2401" s="179" t="s">
        <v>2933</v>
      </c>
      <c r="B2401" s="185" t="s">
        <v>6988</v>
      </c>
      <c r="C2401" s="35" t="str">
        <f t="shared" si="259"/>
        <v>Mardin</v>
      </c>
      <c r="E2401" s="40"/>
      <c r="F2401" s="14"/>
      <c r="G2401" s="17"/>
      <c r="H2401" s="10" t="s">
        <v>8563</v>
      </c>
      <c r="I2401" s="4" t="str">
        <f t="shared" si="260"/>
        <v>|Mardín|</v>
      </c>
      <c r="J2401" s="3" t="str">
        <f t="shared" si="261"/>
        <v>|Mardin|</v>
      </c>
      <c r="K2401" s="3" t="str">
        <f t="shared" si="262"/>
        <v>Mardin</v>
      </c>
      <c r="N2401" s="39" t="str">
        <f t="shared" si="263"/>
        <v/>
      </c>
      <c r="P2401" s="39" t="str">
        <f t="shared" si="264"/>
        <v/>
      </c>
      <c r="R2401" s="39" t="str">
        <f t="shared" si="265"/>
        <v/>
      </c>
      <c r="S2401" s="28"/>
      <c r="T2401" s="28"/>
      <c r="U2401" s="28"/>
    </row>
    <row r="2402" spans="1:21" s="5" customFormat="1">
      <c r="A2402" s="179" t="s">
        <v>2934</v>
      </c>
      <c r="B2402" s="185" t="s">
        <v>6989</v>
      </c>
      <c r="C2402" s="35" t="str">
        <f t="shared" si="259"/>
        <v>Mardiyyih</v>
      </c>
      <c r="E2402" s="40"/>
      <c r="F2402" s="15" t="s">
        <v>2935</v>
      </c>
      <c r="G2402" s="17"/>
      <c r="H2402" s="10" t="s">
        <v>8563</v>
      </c>
      <c r="I2402" s="4" t="str">
        <f t="shared" si="260"/>
        <v>|Marḍíyyih|</v>
      </c>
      <c r="J2402" s="3" t="str">
        <f t="shared" si="261"/>
        <v>|Mardiyyih|</v>
      </c>
      <c r="K2402" s="3" t="str">
        <f t="shared" si="262"/>
        <v>Mardiyyih</v>
      </c>
      <c r="N2402" s="39" t="str">
        <f t="shared" si="263"/>
        <v/>
      </c>
      <c r="P2402" s="39" t="str">
        <f t="shared" si="264"/>
        <v/>
      </c>
      <c r="R2402" s="39" t="str">
        <f t="shared" si="265"/>
        <v/>
      </c>
      <c r="S2402" s="28"/>
      <c r="T2402" s="28"/>
      <c r="U2402" s="28"/>
    </row>
    <row r="2403" spans="1:21" s="5" customFormat="1">
      <c r="A2403" s="179" t="s">
        <v>2936</v>
      </c>
      <c r="B2403" s="185" t="s">
        <v>6990</v>
      </c>
      <c r="C2403" s="35" t="str">
        <f t="shared" si="259"/>
        <v>Marhaba</v>
      </c>
      <c r="E2403" s="40"/>
      <c r="F2403" s="14" t="s">
        <v>2937</v>
      </c>
      <c r="G2403" s="17"/>
      <c r="H2403" s="10" t="s">
        <v>8563</v>
      </c>
      <c r="I2403" s="4" t="str">
        <f t="shared" si="260"/>
        <v>|Marḥabá|</v>
      </c>
      <c r="J2403" s="3" t="str">
        <f t="shared" si="261"/>
        <v>|Marhaba|</v>
      </c>
      <c r="K2403" s="3" t="str">
        <f t="shared" si="262"/>
        <v>Marhaba</v>
      </c>
      <c r="N2403" s="39" t="str">
        <f t="shared" si="263"/>
        <v/>
      </c>
      <c r="P2403" s="39" t="str">
        <f t="shared" si="264"/>
        <v/>
      </c>
      <c r="R2403" s="39" t="str">
        <f t="shared" si="265"/>
        <v/>
      </c>
      <c r="S2403" s="28"/>
      <c r="T2403" s="28"/>
      <c r="U2403" s="28"/>
    </row>
    <row r="2404" spans="1:21" s="5" customFormat="1">
      <c r="A2404" s="179" t="s">
        <v>2938</v>
      </c>
      <c r="B2404" s="185" t="s">
        <v>6991</v>
      </c>
      <c r="C2404" s="35" t="str">
        <f t="shared" si="259"/>
        <v>marja</v>
      </c>
      <c r="E2404" s="40"/>
      <c r="F2404" s="15"/>
      <c r="G2404" s="17"/>
      <c r="H2404" s="10" t="s">
        <v>8563</v>
      </c>
      <c r="I2404" s="4" t="str">
        <f t="shared" si="260"/>
        <v>|marjaʿ|</v>
      </c>
      <c r="J2404" s="3" t="str">
        <f t="shared" si="261"/>
        <v>|marja'|</v>
      </c>
      <c r="K2404" s="3" t="str">
        <f t="shared" si="262"/>
        <v>marja</v>
      </c>
      <c r="N2404" s="39" t="str">
        <f t="shared" si="263"/>
        <v/>
      </c>
      <c r="P2404" s="39" t="str">
        <f t="shared" si="264"/>
        <v/>
      </c>
      <c r="R2404" s="39" t="str">
        <f t="shared" si="265"/>
        <v/>
      </c>
      <c r="S2404" s="28"/>
      <c r="T2404" s="28"/>
      <c r="U2404" s="28"/>
    </row>
    <row r="2405" spans="1:21" s="5" customFormat="1">
      <c r="A2405" s="179" t="s">
        <v>2939</v>
      </c>
      <c r="B2405" s="185" t="s">
        <v>6992</v>
      </c>
      <c r="C2405" s="35" t="str">
        <f t="shared" si="259"/>
        <v>MarjaatTaqlid</v>
      </c>
      <c r="E2405" s="40"/>
      <c r="F2405" s="15"/>
      <c r="G2405" s="17"/>
      <c r="H2405" s="10" t="s">
        <v>8563</v>
      </c>
      <c r="I2405" s="4" t="str">
        <f t="shared" si="260"/>
        <v>|Marjaʿat-Taqlíd|</v>
      </c>
      <c r="J2405" s="3" t="str">
        <f t="shared" si="261"/>
        <v>|Marja'at-Taqlid|</v>
      </c>
      <c r="K2405" s="3" t="str">
        <f t="shared" si="262"/>
        <v>Marjaat-Taqlid</v>
      </c>
      <c r="N2405" s="39" t="str">
        <f t="shared" si="263"/>
        <v/>
      </c>
      <c r="P2405" s="39" t="str">
        <f t="shared" si="264"/>
        <v/>
      </c>
      <c r="R2405" s="39" t="str">
        <f t="shared" si="265"/>
        <v/>
      </c>
      <c r="S2405" s="28"/>
      <c r="T2405" s="28"/>
      <c r="U2405" s="28"/>
    </row>
    <row r="2406" spans="1:21" s="5" customFormat="1">
      <c r="A2406" s="179" t="s">
        <v>2940</v>
      </c>
      <c r="B2406" s="185" t="s">
        <v>6993</v>
      </c>
      <c r="C2406" s="35" t="str">
        <f t="shared" si="259"/>
        <v>Marjaiyyat</v>
      </c>
      <c r="E2406" s="40"/>
      <c r="F2406" s="15"/>
      <c r="G2406" s="17"/>
      <c r="H2406" s="10" t="s">
        <v>8563</v>
      </c>
      <c r="I2406" s="4" t="str">
        <f t="shared" si="260"/>
        <v>|Marjaʿiyyat|</v>
      </c>
      <c r="J2406" s="3" t="str">
        <f t="shared" si="261"/>
        <v>|Marja'iyyat|</v>
      </c>
      <c r="K2406" s="3" t="str">
        <f t="shared" si="262"/>
        <v>Marjaiyyat</v>
      </c>
      <c r="N2406" s="39" t="str">
        <f t="shared" si="263"/>
        <v/>
      </c>
      <c r="P2406" s="39" t="str">
        <f t="shared" si="264"/>
        <v/>
      </c>
      <c r="R2406" s="39" t="str">
        <f t="shared" si="265"/>
        <v/>
      </c>
      <c r="S2406" s="28"/>
      <c r="T2406" s="28"/>
      <c r="U2406" s="28"/>
    </row>
    <row r="2407" spans="1:21" s="5" customFormat="1">
      <c r="A2407" s="179" t="s">
        <v>2941</v>
      </c>
      <c r="B2407" s="185" t="s">
        <v>6994</v>
      </c>
      <c r="C2407" s="35" t="str">
        <f t="shared" si="259"/>
        <v>Markazi</v>
      </c>
      <c r="E2407" s="40"/>
      <c r="F2407" s="15"/>
      <c r="G2407" s="17"/>
      <c r="H2407" s="10" t="s">
        <v>8563</v>
      </c>
      <c r="I2407" s="4" t="str">
        <f t="shared" si="260"/>
        <v>|Markazí|</v>
      </c>
      <c r="J2407" s="3" t="str">
        <f t="shared" si="261"/>
        <v>|Markazi|</v>
      </c>
      <c r="K2407" s="3" t="str">
        <f t="shared" si="262"/>
        <v>Markazi</v>
      </c>
      <c r="N2407" s="39" t="str">
        <f t="shared" si="263"/>
        <v/>
      </c>
      <c r="P2407" s="39" t="str">
        <f t="shared" si="264"/>
        <v/>
      </c>
      <c r="R2407" s="39" t="str">
        <f t="shared" si="265"/>
        <v/>
      </c>
      <c r="S2407" s="28"/>
      <c r="T2407" s="28"/>
      <c r="U2407" s="28"/>
    </row>
    <row r="2408" spans="1:21" s="5" customFormat="1">
      <c r="A2408" s="179" t="s">
        <v>2942</v>
      </c>
      <c r="B2408" s="185" t="s">
        <v>6995</v>
      </c>
      <c r="C2408" s="35" t="str">
        <f t="shared" si="259"/>
        <v>MarkaziAthar</v>
      </c>
      <c r="E2408" s="40"/>
      <c r="F2408" s="15" t="s">
        <v>2943</v>
      </c>
      <c r="G2408" s="17"/>
      <c r="H2408" s="10" t="s">
        <v>8563</v>
      </c>
      <c r="I2408" s="4" t="str">
        <f t="shared" si="260"/>
        <v>|Markaz-i-Áár|</v>
      </c>
      <c r="J2408" s="3" t="str">
        <f t="shared" si="261"/>
        <v>|Markaz-i-Athar|</v>
      </c>
      <c r="K2408" s="3" t="str">
        <f t="shared" si="262"/>
        <v>Markaz-i-Athar</v>
      </c>
      <c r="N2408" s="39" t="str">
        <f t="shared" si="263"/>
        <v/>
      </c>
      <c r="P2408" s="39" t="str">
        <f t="shared" si="264"/>
        <v/>
      </c>
      <c r="R2408" s="39" t="str">
        <f t="shared" si="265"/>
        <v/>
      </c>
      <c r="S2408" s="28"/>
      <c r="T2408" s="28"/>
      <c r="U2408" s="28"/>
    </row>
    <row r="2409" spans="1:21" s="5" customFormat="1">
      <c r="A2409" s="179" t="s">
        <v>2944</v>
      </c>
      <c r="B2409" s="185" t="s">
        <v>6996</v>
      </c>
      <c r="C2409" s="35" t="str">
        <f t="shared" si="259"/>
        <v>Marthiyih</v>
      </c>
      <c r="E2409" s="40"/>
      <c r="F2409" s="15" t="s">
        <v>2945</v>
      </c>
      <c r="G2409" s="17"/>
      <c r="H2409" s="10" t="s">
        <v>8563</v>
      </c>
      <c r="I2409" s="4" t="str">
        <f t="shared" si="260"/>
        <v>|Maríyih|</v>
      </c>
      <c r="J2409" s="3" t="str">
        <f t="shared" si="261"/>
        <v>|Marthiyih|</v>
      </c>
      <c r="K2409" s="3" t="str">
        <f t="shared" si="262"/>
        <v>Marthiyih</v>
      </c>
      <c r="N2409" s="39" t="str">
        <f t="shared" si="263"/>
        <v/>
      </c>
      <c r="P2409" s="39" t="str">
        <f t="shared" si="264"/>
        <v/>
      </c>
      <c r="R2409" s="39" t="str">
        <f t="shared" si="265"/>
        <v/>
      </c>
      <c r="S2409" s="28"/>
      <c r="T2409" s="28"/>
      <c r="U2409" s="28"/>
    </row>
    <row r="2410" spans="1:21" s="5" customFormat="1">
      <c r="A2410" s="179" t="s">
        <v>2946</v>
      </c>
      <c r="B2410" s="185" t="s">
        <v>6997</v>
      </c>
      <c r="C2410" s="35" t="str">
        <f t="shared" si="259"/>
        <v>Marv</v>
      </c>
      <c r="E2410" s="40"/>
      <c r="F2410" s="14"/>
      <c r="G2410" s="17"/>
      <c r="H2410" s="10" t="s">
        <v>8563</v>
      </c>
      <c r="I2410" s="4" t="str">
        <f t="shared" si="260"/>
        <v>|Marv|</v>
      </c>
      <c r="J2410" s="3" t="str">
        <f t="shared" si="261"/>
        <v>|Marv|</v>
      </c>
      <c r="K2410" s="3" t="str">
        <f t="shared" si="262"/>
        <v>Marv</v>
      </c>
      <c r="N2410" s="39" t="str">
        <f t="shared" si="263"/>
        <v/>
      </c>
      <c r="P2410" s="39" t="str">
        <f t="shared" si="264"/>
        <v/>
      </c>
      <c r="R2410" s="39" t="str">
        <f t="shared" si="265"/>
        <v/>
      </c>
      <c r="S2410" s="28"/>
      <c r="T2410" s="28"/>
      <c r="U2410" s="28"/>
    </row>
    <row r="2411" spans="1:21" s="5" customFormat="1">
      <c r="A2411" s="179" t="s">
        <v>2947</v>
      </c>
      <c r="B2411" s="185" t="s">
        <v>6998</v>
      </c>
      <c r="C2411" s="35" t="str">
        <f t="shared" si="259"/>
        <v>Marvan</v>
      </c>
      <c r="E2411" s="40"/>
      <c r="F2411" s="14"/>
      <c r="G2411" s="17"/>
      <c r="H2411" s="10" t="s">
        <v>8563</v>
      </c>
      <c r="I2411" s="4" t="str">
        <f t="shared" si="260"/>
        <v>|Marván|</v>
      </c>
      <c r="J2411" s="3" t="str">
        <f t="shared" si="261"/>
        <v>|Marvan|</v>
      </c>
      <c r="K2411" s="3" t="str">
        <f t="shared" si="262"/>
        <v>Marvan</v>
      </c>
      <c r="N2411" s="39" t="str">
        <f t="shared" si="263"/>
        <v/>
      </c>
      <c r="P2411" s="39" t="str">
        <f t="shared" si="264"/>
        <v/>
      </c>
      <c r="R2411" s="39" t="str">
        <f t="shared" si="265"/>
        <v/>
      </c>
      <c r="S2411" s="28"/>
      <c r="T2411" s="28"/>
      <c r="U2411" s="28"/>
    </row>
    <row r="2412" spans="1:21" s="5" customFormat="1">
      <c r="A2412" s="179" t="s">
        <v>2948</v>
      </c>
      <c r="B2412" s="185" t="s">
        <v>6999</v>
      </c>
      <c r="C2412" s="35" t="str">
        <f t="shared" si="259"/>
        <v>Maryam</v>
      </c>
      <c r="E2412" s="40"/>
      <c r="F2412" s="14"/>
      <c r="G2412" s="17"/>
      <c r="H2412" s="10" t="s">
        <v>8563</v>
      </c>
      <c r="I2412" s="4" t="str">
        <f t="shared" si="260"/>
        <v>|Maryam|</v>
      </c>
      <c r="J2412" s="3" t="str">
        <f t="shared" si="261"/>
        <v>|Maryam|</v>
      </c>
      <c r="K2412" s="3" t="str">
        <f t="shared" si="262"/>
        <v>Maryam</v>
      </c>
      <c r="N2412" s="39" t="str">
        <f t="shared" si="263"/>
        <v/>
      </c>
      <c r="P2412" s="39" t="str">
        <f t="shared" si="264"/>
        <v/>
      </c>
      <c r="R2412" s="39" t="str">
        <f t="shared" si="265"/>
        <v/>
      </c>
      <c r="S2412" s="28"/>
      <c r="T2412" s="28"/>
      <c r="U2412" s="28"/>
    </row>
    <row r="2413" spans="1:21" s="5" customFormat="1">
      <c r="A2413" s="179" t="s">
        <v>2949</v>
      </c>
      <c r="B2413" s="185" t="s">
        <v>7000</v>
      </c>
      <c r="C2413" s="35" t="str">
        <f t="shared" si="259"/>
        <v>MasabihiHidayat</v>
      </c>
      <c r="E2413" s="40"/>
      <c r="F2413" s="15" t="s">
        <v>2950</v>
      </c>
      <c r="G2413" s="17"/>
      <c r="H2413" s="10" t="s">
        <v>8563</v>
      </c>
      <c r="I2413" s="4" t="str">
        <f t="shared" si="260"/>
        <v>|Maṣábíḥ-i-Hidáyat|</v>
      </c>
      <c r="J2413" s="3" t="str">
        <f t="shared" si="261"/>
        <v>|Masabih-i-Hidayat|</v>
      </c>
      <c r="K2413" s="3" t="str">
        <f t="shared" si="262"/>
        <v>Masabih-i-Hidayat</v>
      </c>
      <c r="N2413" s="39" t="str">
        <f t="shared" si="263"/>
        <v/>
      </c>
      <c r="P2413" s="39" t="str">
        <f t="shared" si="264"/>
        <v/>
      </c>
      <c r="R2413" s="39" t="str">
        <f t="shared" si="265"/>
        <v/>
      </c>
      <c r="S2413" s="28"/>
      <c r="T2413" s="28"/>
      <c r="U2413" s="28"/>
    </row>
    <row r="2414" spans="1:21" s="5" customFormat="1">
      <c r="A2414" s="179" t="s">
        <v>2951</v>
      </c>
      <c r="B2414" s="185" t="s">
        <v>7001</v>
      </c>
      <c r="C2414" s="35" t="str">
        <f t="shared" si="259"/>
        <v>Masail</v>
      </c>
      <c r="E2414" s="40"/>
      <c r="F2414" s="14" t="s">
        <v>2952</v>
      </c>
      <c r="G2414" s="17"/>
      <c r="H2414" s="10" t="s">
        <v>8563</v>
      </c>
      <c r="I2414" s="4" t="str">
        <f t="shared" si="260"/>
        <v>|Masá’il|</v>
      </c>
      <c r="J2414" s="3" t="str">
        <f t="shared" si="261"/>
        <v>|Masa'il|</v>
      </c>
      <c r="K2414" s="3" t="str">
        <f t="shared" si="262"/>
        <v>Masail</v>
      </c>
      <c r="N2414" s="39" t="str">
        <f t="shared" si="263"/>
        <v/>
      </c>
      <c r="P2414" s="39" t="str">
        <f t="shared" si="264"/>
        <v/>
      </c>
      <c r="R2414" s="39" t="str">
        <f t="shared" si="265"/>
        <v/>
      </c>
      <c r="S2414" s="28"/>
      <c r="T2414" s="28"/>
      <c r="U2414" s="28"/>
    </row>
    <row r="2415" spans="1:21" s="5" customFormat="1">
      <c r="A2415" s="179" t="s">
        <v>2953</v>
      </c>
      <c r="B2415" s="185" t="s">
        <v>7002</v>
      </c>
      <c r="C2415" s="35" t="str">
        <f t="shared" si="259"/>
        <v>MasdariAmr</v>
      </c>
      <c r="E2415" s="40"/>
      <c r="F2415" s="15"/>
      <c r="G2415" s="17"/>
      <c r="H2415" s="10" t="s">
        <v>8563</v>
      </c>
      <c r="I2415" s="4" t="str">
        <f t="shared" si="260"/>
        <v>|Maṣdar-i-Amr|</v>
      </c>
      <c r="J2415" s="3" t="str">
        <f t="shared" si="261"/>
        <v>|Masdar-i-Amr|</v>
      </c>
      <c r="K2415" s="3" t="str">
        <f t="shared" si="262"/>
        <v>Masdar-i-Amr</v>
      </c>
      <c r="N2415" s="39" t="str">
        <f t="shared" si="263"/>
        <v/>
      </c>
      <c r="P2415" s="39" t="str">
        <f t="shared" si="264"/>
        <v/>
      </c>
      <c r="R2415" s="39" t="str">
        <f t="shared" si="265"/>
        <v/>
      </c>
      <c r="S2415" s="28"/>
      <c r="T2415" s="28"/>
      <c r="U2415" s="28"/>
    </row>
    <row r="2416" spans="1:21" s="5" customFormat="1">
      <c r="A2416" s="179" t="s">
        <v>2954</v>
      </c>
      <c r="B2416" s="185" t="s">
        <v>7003</v>
      </c>
      <c r="C2416" s="35" t="str">
        <f t="shared" si="259"/>
        <v>Mashhad</v>
      </c>
      <c r="E2416" s="40"/>
      <c r="F2416" s="14"/>
      <c r="G2416" s="17"/>
      <c r="H2416" s="10" t="s">
        <v>8563</v>
      </c>
      <c r="I2416" s="4" t="str">
        <f t="shared" si="260"/>
        <v>|Mahad|</v>
      </c>
      <c r="J2416" s="3" t="str">
        <f t="shared" si="261"/>
        <v>|Mashhad|</v>
      </c>
      <c r="K2416" s="3" t="str">
        <f t="shared" si="262"/>
        <v>Mashhad</v>
      </c>
      <c r="N2416" s="39" t="str">
        <f t="shared" si="263"/>
        <v/>
      </c>
      <c r="P2416" s="39" t="str">
        <f t="shared" si="264"/>
        <v/>
      </c>
      <c r="R2416" s="39" t="str">
        <f t="shared" si="265"/>
        <v/>
      </c>
      <c r="S2416" s="28"/>
      <c r="T2416" s="28"/>
      <c r="U2416" s="28"/>
    </row>
    <row r="2417" spans="1:21" s="5" customFormat="1">
      <c r="A2417" s="179" t="s">
        <v>2955</v>
      </c>
      <c r="B2417" s="185" t="s">
        <v>7004</v>
      </c>
      <c r="C2417" s="35" t="str">
        <f t="shared" si="259"/>
        <v>Mashhadi</v>
      </c>
      <c r="E2417" s="40"/>
      <c r="F2417" s="14" t="s">
        <v>2956</v>
      </c>
      <c r="G2417" s="17"/>
      <c r="H2417" s="10" t="s">
        <v>8563</v>
      </c>
      <c r="I2417" s="4" t="str">
        <f t="shared" si="260"/>
        <v>|Mahadí|</v>
      </c>
      <c r="J2417" s="3" t="str">
        <f t="shared" si="261"/>
        <v>|Mashhadi|</v>
      </c>
      <c r="K2417" s="3" t="str">
        <f t="shared" si="262"/>
        <v>Mashhadi</v>
      </c>
      <c r="N2417" s="39" t="str">
        <f t="shared" si="263"/>
        <v/>
      </c>
      <c r="P2417" s="39" t="str">
        <f t="shared" si="264"/>
        <v/>
      </c>
      <c r="R2417" s="39" t="str">
        <f t="shared" si="265"/>
        <v/>
      </c>
      <c r="S2417" s="28"/>
      <c r="T2417" s="28"/>
      <c r="U2417" s="28"/>
    </row>
    <row r="2418" spans="1:21" s="5" customFormat="1">
      <c r="A2418" s="179" t="s">
        <v>2957</v>
      </c>
      <c r="B2418" s="185" t="s">
        <v>7005</v>
      </c>
      <c r="C2418" s="35" t="str">
        <f t="shared" si="259"/>
        <v>Mashiyyat</v>
      </c>
      <c r="E2418" s="40"/>
      <c r="F2418" s="14" t="s">
        <v>2958</v>
      </c>
      <c r="G2418" s="17"/>
      <c r="H2418" s="10" t="s">
        <v>8563</v>
      </c>
      <c r="I2418" s="4" t="str">
        <f t="shared" si="260"/>
        <v>|Maíyyat|</v>
      </c>
      <c r="J2418" s="3" t="str">
        <f t="shared" si="261"/>
        <v>|Mashiyyat|</v>
      </c>
      <c r="K2418" s="3" t="str">
        <f t="shared" si="262"/>
        <v>Mashiyyat</v>
      </c>
      <c r="N2418" s="39" t="str">
        <f t="shared" si="263"/>
        <v/>
      </c>
      <c r="P2418" s="39" t="str">
        <f t="shared" si="264"/>
        <v/>
      </c>
      <c r="R2418" s="39" t="str">
        <f t="shared" si="265"/>
        <v/>
      </c>
      <c r="S2418" s="28"/>
      <c r="T2418" s="28"/>
      <c r="U2418" s="28"/>
    </row>
    <row r="2419" spans="1:21" s="5" customFormat="1">
      <c r="A2419" s="179" t="s">
        <v>2959</v>
      </c>
      <c r="B2419" s="185" t="s">
        <v>147</v>
      </c>
      <c r="C2419" s="35" t="str">
        <f t="shared" si="259"/>
        <v>MashriqulAdhkar</v>
      </c>
      <c r="E2419" s="40"/>
      <c r="F2419" s="14" t="s">
        <v>2960</v>
      </c>
      <c r="G2419" s="17"/>
      <c r="H2419" s="10" t="s">
        <v>8563</v>
      </c>
      <c r="I2419" s="4" t="str">
        <f t="shared" si="260"/>
        <v>|Mariqu’l-Akár|</v>
      </c>
      <c r="J2419" s="3" t="str">
        <f t="shared" si="261"/>
        <v>|Mashriqu'l-Adhkar|</v>
      </c>
      <c r="K2419" s="3" t="str">
        <f t="shared" si="262"/>
        <v>Mashriqul-Adhkar</v>
      </c>
      <c r="N2419" s="39" t="str">
        <f t="shared" si="263"/>
        <v/>
      </c>
      <c r="P2419" s="39" t="str">
        <f t="shared" si="264"/>
        <v/>
      </c>
      <c r="R2419" s="39" t="str">
        <f t="shared" si="265"/>
        <v/>
      </c>
      <c r="S2419" s="28"/>
      <c r="T2419" s="29">
        <v>41801</v>
      </c>
      <c r="U2419" s="28" t="s">
        <v>9421</v>
      </c>
    </row>
    <row r="2420" spans="1:21" s="5" customFormat="1">
      <c r="A2420" s="179" t="s">
        <v>2961</v>
      </c>
      <c r="B2420" s="185" t="s">
        <v>134</v>
      </c>
      <c r="C2420" s="35" t="str">
        <f t="shared" si="259"/>
        <v>Masih</v>
      </c>
      <c r="E2420" s="40"/>
      <c r="F2420" s="15" t="s">
        <v>2962</v>
      </c>
      <c r="G2420" s="17"/>
      <c r="H2420" s="10" t="s">
        <v>8563</v>
      </c>
      <c r="I2420" s="4" t="str">
        <f t="shared" si="260"/>
        <v>|Masíḥ|</v>
      </c>
      <c r="J2420" s="3" t="str">
        <f t="shared" si="261"/>
        <v>|Masih|</v>
      </c>
      <c r="K2420" s="3" t="str">
        <f t="shared" si="262"/>
        <v>Masih</v>
      </c>
      <c r="N2420" s="39" t="str">
        <f t="shared" si="263"/>
        <v/>
      </c>
      <c r="P2420" s="39" t="str">
        <f t="shared" si="264"/>
        <v/>
      </c>
      <c r="R2420" s="39" t="str">
        <f t="shared" si="265"/>
        <v/>
      </c>
      <c r="S2420" s="28"/>
      <c r="T2420" s="28"/>
      <c r="U2420" s="28"/>
    </row>
    <row r="2421" spans="1:21" s="5" customFormat="1">
      <c r="A2421" s="179" t="s">
        <v>2963</v>
      </c>
      <c r="B2421" s="185" t="s">
        <v>7006</v>
      </c>
      <c r="C2421" s="35" t="str">
        <f t="shared" si="259"/>
        <v>MasihiNuri</v>
      </c>
      <c r="E2421" s="40"/>
      <c r="F2421" s="15"/>
      <c r="G2421" s="17"/>
      <c r="H2421" s="10" t="s">
        <v>8563</v>
      </c>
      <c r="I2421" s="4" t="str">
        <f t="shared" si="260"/>
        <v>|Masíḥ-i-Núrí|</v>
      </c>
      <c r="J2421" s="3" t="str">
        <f t="shared" si="261"/>
        <v>|Masih-i-Nuri|</v>
      </c>
      <c r="K2421" s="3" t="str">
        <f t="shared" si="262"/>
        <v>Masih-i-Nuri</v>
      </c>
      <c r="N2421" s="39" t="str">
        <f t="shared" si="263"/>
        <v/>
      </c>
      <c r="P2421" s="39" t="str">
        <f t="shared" si="264"/>
        <v/>
      </c>
      <c r="R2421" s="39" t="str">
        <f t="shared" si="265"/>
        <v/>
      </c>
      <c r="S2421" s="28"/>
      <c r="T2421" s="28"/>
      <c r="U2421" s="28"/>
    </row>
    <row r="2422" spans="1:21" s="5" customFormat="1">
      <c r="A2422" s="179" t="s">
        <v>2964</v>
      </c>
      <c r="B2422" s="185" t="s">
        <v>7007</v>
      </c>
      <c r="C2422" s="35" t="str">
        <f t="shared" si="259"/>
        <v>Masikh</v>
      </c>
      <c r="E2422" s="40"/>
      <c r="F2422" s="14"/>
      <c r="G2422" s="17"/>
      <c r="H2422" s="10" t="s">
        <v>8563</v>
      </c>
      <c r="I2422" s="4" t="str">
        <f t="shared" si="260"/>
        <v>|Masí|</v>
      </c>
      <c r="J2422" s="3" t="str">
        <f t="shared" si="261"/>
        <v>|Masikh|</v>
      </c>
      <c r="K2422" s="3" t="str">
        <f t="shared" si="262"/>
        <v>Masikh</v>
      </c>
      <c r="N2422" s="39" t="str">
        <f t="shared" si="263"/>
        <v/>
      </c>
      <c r="P2422" s="39" t="str">
        <f t="shared" si="264"/>
        <v/>
      </c>
      <c r="R2422" s="39" t="str">
        <f t="shared" si="265"/>
        <v/>
      </c>
      <c r="S2422" s="28"/>
      <c r="T2422" s="28"/>
      <c r="U2422" s="28"/>
    </row>
    <row r="2423" spans="1:21" s="5" customFormat="1">
      <c r="A2423" s="179" t="s">
        <v>2965</v>
      </c>
      <c r="B2423" s="185" t="s">
        <v>7008</v>
      </c>
      <c r="C2423" s="35" t="str">
        <f t="shared" si="259"/>
        <v>Masjid</v>
      </c>
      <c r="E2423" s="40"/>
      <c r="F2423" s="14" t="s">
        <v>2966</v>
      </c>
      <c r="G2423" s="17"/>
      <c r="H2423" s="10" t="s">
        <v>8563</v>
      </c>
      <c r="I2423" s="4" t="str">
        <f t="shared" si="260"/>
        <v>|Masjid|</v>
      </c>
      <c r="J2423" s="3" t="str">
        <f t="shared" si="261"/>
        <v>|Masjid|</v>
      </c>
      <c r="K2423" s="3" t="str">
        <f t="shared" si="262"/>
        <v>Masjid</v>
      </c>
      <c r="N2423" s="39" t="str">
        <f t="shared" si="263"/>
        <v/>
      </c>
      <c r="P2423" s="39" t="str">
        <f t="shared" si="264"/>
        <v/>
      </c>
      <c r="R2423" s="39" t="str">
        <f t="shared" si="265"/>
        <v/>
      </c>
      <c r="S2423" s="28"/>
      <c r="T2423" s="28"/>
      <c r="U2423" s="28"/>
    </row>
    <row r="2424" spans="1:21" s="5" customFormat="1">
      <c r="A2424" s="179" t="s">
        <v>2967</v>
      </c>
      <c r="B2424" s="185" t="s">
        <v>7009</v>
      </c>
      <c r="C2424" s="35" t="str">
        <f t="shared" si="259"/>
        <v>MasjidiAli</v>
      </c>
      <c r="E2424" s="40"/>
      <c r="F2424" s="14"/>
      <c r="G2424" s="17"/>
      <c r="H2424" s="10" t="s">
        <v>8563</v>
      </c>
      <c r="I2424" s="4" t="str">
        <f t="shared" si="260"/>
        <v>|Masjid-i-ʿAlí|</v>
      </c>
      <c r="J2424" s="3" t="str">
        <f t="shared" si="261"/>
        <v>|Masjid-i-'Ali|</v>
      </c>
      <c r="K2424" s="3" t="str">
        <f t="shared" si="262"/>
        <v>Masjid-i-Ali</v>
      </c>
      <c r="N2424" s="39" t="str">
        <f t="shared" si="263"/>
        <v/>
      </c>
      <c r="P2424" s="39" t="str">
        <f t="shared" si="264"/>
        <v/>
      </c>
      <c r="R2424" s="39" t="str">
        <f t="shared" si="265"/>
        <v/>
      </c>
      <c r="S2424" s="28"/>
      <c r="T2424" s="28"/>
      <c r="U2424" s="28"/>
    </row>
    <row r="2425" spans="1:21" s="5" customFormat="1">
      <c r="A2425" s="179" t="s">
        <v>2968</v>
      </c>
      <c r="B2425" s="185" t="s">
        <v>8613</v>
      </c>
      <c r="C2425" s="35" t="str">
        <f t="shared" si="259"/>
        <v>MasjidiBuratha</v>
      </c>
      <c r="E2425" s="40"/>
      <c r="F2425" s="14"/>
      <c r="G2425" s="17"/>
      <c r="H2425" s="10" t="s">
        <v>8563</v>
      </c>
      <c r="I2425" s="4" t="str">
        <f t="shared" si="260"/>
        <v>|Masjid-i-Buráá|</v>
      </c>
      <c r="J2425" s="3" t="str">
        <f t="shared" si="261"/>
        <v>|Masjid-i-Buratha|</v>
      </c>
      <c r="K2425" s="3" t="str">
        <f t="shared" si="262"/>
        <v>Masjid-i-Buratha</v>
      </c>
      <c r="N2425" s="39" t="str">
        <f t="shared" si="263"/>
        <v/>
      </c>
      <c r="P2425" s="39" t="str">
        <f t="shared" si="264"/>
        <v/>
      </c>
      <c r="R2425" s="39" t="str">
        <f t="shared" si="265"/>
        <v/>
      </c>
      <c r="S2425" s="28"/>
      <c r="T2425" s="28"/>
      <c r="U2425" s="28"/>
    </row>
    <row r="2426" spans="1:21" s="5" customFormat="1">
      <c r="A2426" s="179" t="s">
        <v>2969</v>
      </c>
      <c r="B2426" s="185" t="s">
        <v>7010</v>
      </c>
      <c r="C2426" s="35" t="str">
        <f t="shared" si="259"/>
        <v>MasjidiIlkhani</v>
      </c>
      <c r="E2426" s="40"/>
      <c r="F2426" s="14"/>
      <c r="G2426" s="17"/>
      <c r="H2426" s="10" t="s">
        <v>8563</v>
      </c>
      <c r="I2426" s="4" t="str">
        <f t="shared" si="260"/>
        <v>|Masjid-i-Ílání|</v>
      </c>
      <c r="J2426" s="3" t="str">
        <f t="shared" si="261"/>
        <v>|Masjid-i-Ilkhani|</v>
      </c>
      <c r="K2426" s="3" t="str">
        <f t="shared" si="262"/>
        <v>Masjid-i-Ilkhani</v>
      </c>
      <c r="N2426" s="39" t="str">
        <f t="shared" si="263"/>
        <v/>
      </c>
      <c r="P2426" s="39" t="str">
        <f t="shared" si="264"/>
        <v/>
      </c>
      <c r="R2426" s="39" t="str">
        <f t="shared" si="265"/>
        <v/>
      </c>
      <c r="S2426" s="28"/>
      <c r="T2426" s="28"/>
      <c r="U2426" s="28"/>
    </row>
    <row r="2427" spans="1:21" s="5" customFormat="1">
      <c r="A2427" s="179" t="s">
        <v>2970</v>
      </c>
      <c r="B2427" s="185" t="s">
        <v>7011</v>
      </c>
      <c r="C2427" s="35" t="str">
        <f t="shared" si="259"/>
        <v>MasjidiImamHasan</v>
      </c>
      <c r="E2427" s="40"/>
      <c r="F2427" s="14"/>
      <c r="G2427" s="17"/>
      <c r="H2427" s="10" t="s">
        <v>8563</v>
      </c>
      <c r="I2427" s="4" t="str">
        <f t="shared" si="260"/>
        <v>|Masjid-i-Imám-Ḥasan|</v>
      </c>
      <c r="J2427" s="3" t="str">
        <f t="shared" si="261"/>
        <v>|Masjid-i-Imam-Hasan|</v>
      </c>
      <c r="K2427" s="3" t="str">
        <f t="shared" si="262"/>
        <v>Masjid-i-Imam-Hasan</v>
      </c>
      <c r="N2427" s="39" t="str">
        <f t="shared" si="263"/>
        <v/>
      </c>
      <c r="P2427" s="39" t="str">
        <f t="shared" si="264"/>
        <v/>
      </c>
      <c r="R2427" s="39" t="str">
        <f t="shared" si="265"/>
        <v/>
      </c>
      <c r="S2427" s="28"/>
      <c r="T2427" s="28"/>
      <c r="U2427" s="28"/>
    </row>
    <row r="2428" spans="1:21" s="5" customFormat="1">
      <c r="A2428" s="179" t="s">
        <v>2971</v>
      </c>
      <c r="B2428" s="185" t="s">
        <v>7012</v>
      </c>
      <c r="C2428" s="35" t="str">
        <f t="shared" si="259"/>
        <v>MasjidiJami</v>
      </c>
      <c r="E2428" s="40"/>
      <c r="F2428" s="15"/>
      <c r="G2428" s="17"/>
      <c r="H2428" s="10" t="s">
        <v>8563</v>
      </c>
      <c r="I2428" s="4" t="str">
        <f t="shared" si="260"/>
        <v>|Masjid-i-Jámiʿ|</v>
      </c>
      <c r="J2428" s="3" t="str">
        <f t="shared" si="261"/>
        <v>|Masjid-i-Jami'|</v>
      </c>
      <c r="K2428" s="3" t="str">
        <f t="shared" si="262"/>
        <v>Masjid-i-Jami</v>
      </c>
      <c r="N2428" s="39" t="str">
        <f t="shared" si="263"/>
        <v/>
      </c>
      <c r="P2428" s="39" t="str">
        <f t="shared" si="264"/>
        <v/>
      </c>
      <c r="R2428" s="39" t="str">
        <f t="shared" si="265"/>
        <v/>
      </c>
      <c r="S2428" s="28"/>
      <c r="T2428" s="28"/>
      <c r="U2428" s="28"/>
    </row>
    <row r="2429" spans="1:21" s="5" customFormat="1">
      <c r="A2429" s="179" t="s">
        <v>2972</v>
      </c>
      <c r="B2429" s="185" t="s">
        <v>7013</v>
      </c>
      <c r="C2429" s="35" t="str">
        <f t="shared" si="259"/>
        <v>MasjidiJumih</v>
      </c>
      <c r="E2429" s="40"/>
      <c r="F2429" s="14"/>
      <c r="G2429" s="17"/>
      <c r="H2429" s="10" t="s">
        <v>8563</v>
      </c>
      <c r="I2429" s="4" t="str">
        <f t="shared" si="260"/>
        <v>|Masjid-i-Jumʿih|</v>
      </c>
      <c r="J2429" s="3" t="str">
        <f t="shared" si="261"/>
        <v>|Masjid-i-Jum'ih|</v>
      </c>
      <c r="K2429" s="3" t="str">
        <f t="shared" si="262"/>
        <v>Masjid-i-Jumih</v>
      </c>
      <c r="N2429" s="39" t="str">
        <f t="shared" si="263"/>
        <v/>
      </c>
      <c r="P2429" s="39" t="str">
        <f t="shared" si="264"/>
        <v/>
      </c>
      <c r="R2429" s="39" t="str">
        <f t="shared" si="265"/>
        <v/>
      </c>
      <c r="S2429" s="28"/>
      <c r="T2429" s="28"/>
      <c r="U2429" s="28"/>
    </row>
    <row r="2430" spans="1:21" s="5" customFormat="1">
      <c r="A2430" s="179" t="s">
        <v>2973</v>
      </c>
      <c r="B2430" s="185" t="s">
        <v>7014</v>
      </c>
      <c r="C2430" s="35" t="str">
        <f t="shared" si="259"/>
        <v>MasjidiKazimBig</v>
      </c>
      <c r="E2430" s="40"/>
      <c r="F2430" s="15"/>
      <c r="G2430" s="17"/>
      <c r="H2430" s="10" t="s">
        <v>8563</v>
      </c>
      <c r="I2430" s="4" t="str">
        <f t="shared" si="260"/>
        <v>|Masjid-i-Káẓim-Big|</v>
      </c>
      <c r="J2430" s="3" t="str">
        <f t="shared" si="261"/>
        <v>|Masjid-i-Kazim-Big|</v>
      </c>
      <c r="K2430" s="3" t="str">
        <f t="shared" si="262"/>
        <v>Masjid-i-Kazim-Big</v>
      </c>
      <c r="N2430" s="39" t="str">
        <f t="shared" si="263"/>
        <v/>
      </c>
      <c r="P2430" s="39" t="str">
        <f t="shared" si="264"/>
        <v/>
      </c>
      <c r="R2430" s="39" t="str">
        <f t="shared" si="265"/>
        <v/>
      </c>
      <c r="S2430" s="28"/>
      <c r="T2430" s="28"/>
      <c r="U2430" s="28"/>
    </row>
    <row r="2431" spans="1:21" s="5" customFormat="1">
      <c r="A2431" s="179" t="s">
        <v>2974</v>
      </c>
      <c r="B2431" s="185" t="s">
        <v>7015</v>
      </c>
      <c r="C2431" s="35" t="str">
        <f t="shared" si="259"/>
        <v>MasjidiKufih</v>
      </c>
      <c r="E2431" s="40"/>
      <c r="F2431" s="14"/>
      <c r="G2431" s="17"/>
      <c r="H2431" s="10" t="s">
        <v>8563</v>
      </c>
      <c r="I2431" s="4" t="str">
        <f t="shared" si="260"/>
        <v>|Masjid-i-Kúfih|</v>
      </c>
      <c r="J2431" s="3" t="str">
        <f t="shared" si="261"/>
        <v>|Masjid-i-Kufih|</v>
      </c>
      <c r="K2431" s="3" t="str">
        <f t="shared" si="262"/>
        <v>Masjid-i-Kufih</v>
      </c>
      <c r="N2431" s="39" t="str">
        <f t="shared" si="263"/>
        <v/>
      </c>
      <c r="P2431" s="39" t="str">
        <f t="shared" si="264"/>
        <v/>
      </c>
      <c r="R2431" s="39" t="str">
        <f t="shared" si="265"/>
        <v/>
      </c>
      <c r="S2431" s="28"/>
      <c r="T2431" s="28"/>
      <c r="U2431" s="28"/>
    </row>
    <row r="2432" spans="1:21" s="5" customFormat="1">
      <c r="A2432" s="179" t="s">
        <v>2975</v>
      </c>
      <c r="B2432" s="185" t="s">
        <v>7016</v>
      </c>
      <c r="C2432" s="35" t="str">
        <f t="shared" si="259"/>
        <v>MasjidiMashaullah</v>
      </c>
      <c r="E2432" s="40"/>
      <c r="F2432" s="14"/>
      <c r="G2432" s="17"/>
      <c r="H2432" s="10" t="s">
        <v>8563</v>
      </c>
      <c r="I2432" s="4" t="str">
        <f t="shared" si="260"/>
        <v>|Masjid-i-Maá’u’lláh|</v>
      </c>
      <c r="J2432" s="3" t="str">
        <f t="shared" si="261"/>
        <v>|Masjid-i-Masha'u'llah|</v>
      </c>
      <c r="K2432" s="3" t="str">
        <f t="shared" si="262"/>
        <v>Masjid-i-Mashaullah</v>
      </c>
      <c r="N2432" s="39" t="str">
        <f t="shared" si="263"/>
        <v/>
      </c>
      <c r="P2432" s="39" t="str">
        <f t="shared" si="264"/>
        <v/>
      </c>
      <c r="R2432" s="39" t="str">
        <f t="shared" si="265"/>
        <v/>
      </c>
      <c r="S2432" s="28"/>
      <c r="T2432" s="28"/>
      <c r="U2432" s="28"/>
    </row>
    <row r="2433" spans="1:21" s="5" customFormat="1">
      <c r="A2433" s="179" t="s">
        <v>2976</v>
      </c>
      <c r="B2433" s="185" t="s">
        <v>7017</v>
      </c>
      <c r="C2433" s="35" t="str">
        <f t="shared" si="259"/>
        <v>MasjidiNaw</v>
      </c>
      <c r="E2433" s="40"/>
      <c r="F2433" s="14"/>
      <c r="G2433" s="17"/>
      <c r="H2433" s="10" t="s">
        <v>8563</v>
      </c>
      <c r="I2433" s="4" t="str">
        <f t="shared" si="260"/>
        <v>|Masjid-i-Naw|</v>
      </c>
      <c r="J2433" s="3" t="str">
        <f t="shared" si="261"/>
        <v>|Masjid-i-Naw|</v>
      </c>
      <c r="K2433" s="3" t="str">
        <f t="shared" si="262"/>
        <v>Masjid-i-Naw</v>
      </c>
      <c r="N2433" s="39" t="str">
        <f t="shared" si="263"/>
        <v/>
      </c>
      <c r="P2433" s="39" t="str">
        <f t="shared" si="264"/>
        <v/>
      </c>
      <c r="R2433" s="39" t="str">
        <f t="shared" si="265"/>
        <v/>
      </c>
      <c r="S2433" s="28"/>
      <c r="T2433" s="28"/>
      <c r="U2433" s="28"/>
    </row>
    <row r="2434" spans="1:21" s="5" customFormat="1">
      <c r="A2434" s="179" t="s">
        <v>2977</v>
      </c>
      <c r="B2434" s="185" t="s">
        <v>7018</v>
      </c>
      <c r="C2434" s="35" t="str">
        <f t="shared" ref="C2434:C2497" si="266">SUBSTITUTE(SUBSTITUTE(K2434,"-","")," ","")</f>
        <v>MasjidiShah</v>
      </c>
      <c r="E2434" s="40"/>
      <c r="F2434" s="14"/>
      <c r="G2434" s="17"/>
      <c r="H2434" s="10" t="s">
        <v>8563</v>
      </c>
      <c r="I2434" s="4" t="str">
        <f t="shared" ref="I2434:I2497" si="267">CONCATENATE("|",B2434,"|")</f>
        <v>|Masjid-i-áh|</v>
      </c>
      <c r="J2434" s="3" t="str">
        <f t="shared" ref="J2434:J2497" si="268">CONCATENATE("|",F_OutputASCII(B2434),"|")</f>
        <v>|Masjid-i-Shah|</v>
      </c>
      <c r="K2434" s="3" t="str">
        <f t="shared" ref="K2434:K2497" si="269">IF(SUBSTITUTE(MID(J2434,2,LEN(J2434)-2),"'","")&lt;&gt;"",SUBSTITUTE(MID(J2434,2,LEN(J2434)-2),"'",""),"ZZZZZ")</f>
        <v>Masjid-i-Shah</v>
      </c>
      <c r="N2434" s="39" t="str">
        <f t="shared" si="263"/>
        <v/>
      </c>
      <c r="P2434" s="39" t="str">
        <f t="shared" si="264"/>
        <v/>
      </c>
      <c r="R2434" s="39" t="str">
        <f t="shared" si="265"/>
        <v/>
      </c>
      <c r="S2434" s="28"/>
      <c r="T2434" s="28"/>
      <c r="U2434" s="28"/>
    </row>
    <row r="2435" spans="1:21" s="5" customFormat="1">
      <c r="A2435" s="179" t="s">
        <v>2978</v>
      </c>
      <c r="B2435" s="185" t="s">
        <v>7019</v>
      </c>
      <c r="C2435" s="35" t="str">
        <f t="shared" si="266"/>
        <v>MasjidiVakil</v>
      </c>
      <c r="E2435" s="40"/>
      <c r="F2435" s="14"/>
      <c r="G2435" s="17"/>
      <c r="H2435" s="10" t="s">
        <v>8563</v>
      </c>
      <c r="I2435" s="4" t="str">
        <f t="shared" si="267"/>
        <v>|Masjid-i-Vakíl|</v>
      </c>
      <c r="J2435" s="3" t="str">
        <f t="shared" si="268"/>
        <v>|Masjid-i-Vakil|</v>
      </c>
      <c r="K2435" s="3" t="str">
        <f t="shared" si="269"/>
        <v>Masjid-i-Vakil</v>
      </c>
      <c r="N2435" s="39" t="str">
        <f t="shared" ref="N2435:N2498" si="270">SUBSTITUTE(SUBSTITUTE(SUBSTITUTE(F_OutputASCII(M2435),"-","")," ",""),"'","")</f>
        <v/>
      </c>
      <c r="P2435" s="39" t="str">
        <f t="shared" ref="P2435:P2498" si="271">SUBSTITUTE(SUBSTITUTE(SUBSTITUTE(F_OutputASCII(O2435),"-","")," ",""),"'","")</f>
        <v/>
      </c>
      <c r="R2435" s="39" t="str">
        <f t="shared" ref="R2435:R2498" si="272">SUBSTITUTE(SUBSTITUTE(Q2435,"-","")," ","")</f>
        <v/>
      </c>
      <c r="S2435" s="28"/>
      <c r="T2435" s="28"/>
      <c r="U2435" s="28"/>
    </row>
    <row r="2436" spans="1:21" s="5" customFormat="1">
      <c r="A2436" s="179" t="s">
        <v>2979</v>
      </c>
      <c r="B2436" s="185" t="s">
        <v>7020</v>
      </c>
      <c r="C2436" s="35" t="str">
        <f t="shared" si="266"/>
        <v>Masqat</v>
      </c>
      <c r="E2436" s="40"/>
      <c r="F2436" s="15"/>
      <c r="G2436" s="17"/>
      <c r="H2436" s="10" t="s">
        <v>8563</v>
      </c>
      <c r="I2436" s="4" t="str">
        <f t="shared" si="267"/>
        <v>|Masqáṭ|</v>
      </c>
      <c r="J2436" s="3" t="str">
        <f t="shared" si="268"/>
        <v>|Masqat|</v>
      </c>
      <c r="K2436" s="3" t="str">
        <f t="shared" si="269"/>
        <v>Masqat</v>
      </c>
      <c r="N2436" s="39" t="str">
        <f t="shared" si="270"/>
        <v/>
      </c>
      <c r="P2436" s="39" t="str">
        <f t="shared" si="271"/>
        <v/>
      </c>
      <c r="R2436" s="39" t="str">
        <f t="shared" si="272"/>
        <v/>
      </c>
      <c r="S2436" s="28"/>
      <c r="T2436" s="28"/>
      <c r="U2436" s="28"/>
    </row>
    <row r="2437" spans="1:21" s="5" customFormat="1">
      <c r="A2437" s="179" t="s">
        <v>2980</v>
      </c>
      <c r="B2437" s="185" t="s">
        <v>7021</v>
      </c>
      <c r="C2437" s="35" t="str">
        <f t="shared" si="266"/>
        <v>Masrur</v>
      </c>
      <c r="E2437" s="40"/>
      <c r="F2437" s="15"/>
      <c r="G2437" s="17"/>
      <c r="H2437" s="10" t="s">
        <v>8563</v>
      </c>
      <c r="I2437" s="4" t="str">
        <f t="shared" si="267"/>
        <v>|Masrúr|</v>
      </c>
      <c r="J2437" s="3" t="str">
        <f t="shared" si="268"/>
        <v>|Masrur|</v>
      </c>
      <c r="K2437" s="3" t="str">
        <f t="shared" si="269"/>
        <v>Masrur</v>
      </c>
      <c r="N2437" s="39" t="str">
        <f t="shared" si="270"/>
        <v/>
      </c>
      <c r="P2437" s="39" t="str">
        <f t="shared" si="271"/>
        <v/>
      </c>
      <c r="R2437" s="39" t="str">
        <f t="shared" si="272"/>
        <v/>
      </c>
      <c r="S2437" s="28"/>
      <c r="T2437" s="28"/>
      <c r="U2437" s="28"/>
    </row>
    <row r="2438" spans="1:21" s="5" customFormat="1">
      <c r="A2438" s="179" t="s">
        <v>2981</v>
      </c>
      <c r="B2438" s="185" t="s">
        <v>7022</v>
      </c>
      <c r="C2438" s="35" t="str">
        <f t="shared" si="266"/>
        <v>Masud</v>
      </c>
      <c r="E2438" s="40"/>
      <c r="F2438" s="15"/>
      <c r="G2438" s="17"/>
      <c r="H2438" s="10" t="s">
        <v>8563</v>
      </c>
      <c r="I2438" s="4" t="str">
        <f t="shared" si="267"/>
        <v>|Masʿúd|</v>
      </c>
      <c r="J2438" s="3" t="str">
        <f t="shared" si="268"/>
        <v>|Mas'ud|</v>
      </c>
      <c r="K2438" s="3" t="str">
        <f t="shared" si="269"/>
        <v>Masud</v>
      </c>
      <c r="N2438" s="39" t="str">
        <f t="shared" si="270"/>
        <v/>
      </c>
      <c r="P2438" s="39" t="str">
        <f t="shared" si="271"/>
        <v/>
      </c>
      <c r="R2438" s="39" t="str">
        <f t="shared" si="272"/>
        <v/>
      </c>
      <c r="S2438" s="28"/>
      <c r="T2438" s="28"/>
      <c r="U2438" s="28"/>
    </row>
    <row r="2439" spans="1:21" s="5" customFormat="1">
      <c r="A2439" s="179" t="s">
        <v>2982</v>
      </c>
      <c r="B2439" s="185" t="s">
        <v>7023</v>
      </c>
      <c r="C2439" s="35" t="str">
        <f t="shared" si="266"/>
        <v>Masudi</v>
      </c>
      <c r="E2439" s="40"/>
      <c r="F2439" s="15"/>
      <c r="G2439" s="17"/>
      <c r="H2439" s="10" t="s">
        <v>8563</v>
      </c>
      <c r="I2439" s="4" t="str">
        <f t="shared" si="267"/>
        <v>|Masʿúdí|</v>
      </c>
      <c r="J2439" s="3" t="str">
        <f t="shared" si="268"/>
        <v>|Mas'udi|</v>
      </c>
      <c r="K2439" s="3" t="str">
        <f t="shared" si="269"/>
        <v>Masudi</v>
      </c>
      <c r="N2439" s="39" t="str">
        <f t="shared" si="270"/>
        <v/>
      </c>
      <c r="P2439" s="39" t="str">
        <f t="shared" si="271"/>
        <v/>
      </c>
      <c r="R2439" s="39" t="str">
        <f t="shared" si="272"/>
        <v/>
      </c>
      <c r="S2439" s="28"/>
      <c r="T2439" s="28"/>
      <c r="U2439" s="28"/>
    </row>
    <row r="2440" spans="1:21" s="5" customFormat="1">
      <c r="A2440" s="179" t="s">
        <v>2983</v>
      </c>
      <c r="B2440" s="185" t="s">
        <v>190</v>
      </c>
      <c r="C2440" s="35" t="str">
        <f t="shared" si="266"/>
        <v>MasudKaldih</v>
      </c>
      <c r="E2440" s="40"/>
      <c r="F2440" s="15"/>
      <c r="G2440" s="17"/>
      <c r="H2440" s="10" t="s">
        <v>8563</v>
      </c>
      <c r="I2440" s="4" t="str">
        <f t="shared" si="267"/>
        <v>|Masʿúd-Kaldih|</v>
      </c>
      <c r="J2440" s="3" t="str">
        <f t="shared" si="268"/>
        <v>|Mas'ud-Kaldih|</v>
      </c>
      <c r="K2440" s="3" t="str">
        <f t="shared" si="269"/>
        <v>Masud-Kaldih</v>
      </c>
      <c r="N2440" s="39" t="str">
        <f t="shared" si="270"/>
        <v/>
      </c>
      <c r="P2440" s="39" t="str">
        <f t="shared" si="271"/>
        <v/>
      </c>
      <c r="R2440" s="39" t="str">
        <f t="shared" si="272"/>
        <v/>
      </c>
      <c r="S2440" s="28"/>
      <c r="T2440" s="28"/>
      <c r="U2440" s="28"/>
    </row>
    <row r="2441" spans="1:21" s="5" customFormat="1">
      <c r="A2441" s="179" t="s">
        <v>2984</v>
      </c>
      <c r="B2441" s="185" t="s">
        <v>7024</v>
      </c>
      <c r="C2441" s="35" t="str">
        <f t="shared" si="266"/>
        <v>Masum</v>
      </c>
      <c r="E2441" s="40"/>
      <c r="F2441" s="15"/>
      <c r="G2441" s="17"/>
      <c r="H2441" s="10" t="s">
        <v>8563</v>
      </c>
      <c r="I2441" s="4" t="str">
        <f t="shared" si="267"/>
        <v>|Maʿṣúm|</v>
      </c>
      <c r="J2441" s="3" t="str">
        <f t="shared" si="268"/>
        <v>|Ma'sum|</v>
      </c>
      <c r="K2441" s="3" t="str">
        <f t="shared" si="269"/>
        <v>Masum</v>
      </c>
      <c r="N2441" s="39" t="str">
        <f t="shared" si="270"/>
        <v/>
      </c>
      <c r="P2441" s="39" t="str">
        <f t="shared" si="271"/>
        <v/>
      </c>
      <c r="R2441" s="39" t="str">
        <f t="shared" si="272"/>
        <v/>
      </c>
      <c r="S2441" s="28"/>
      <c r="T2441" s="28"/>
      <c r="U2441" s="28"/>
    </row>
    <row r="2442" spans="1:21" s="5" customFormat="1">
      <c r="A2442" s="179" t="s">
        <v>2985</v>
      </c>
      <c r="B2442" s="185" t="s">
        <v>7025</v>
      </c>
      <c r="C2442" s="35" t="str">
        <f t="shared" si="266"/>
        <v>MasumiTabib</v>
      </c>
      <c r="E2442" s="40"/>
      <c r="F2442" s="15"/>
      <c r="G2442" s="17"/>
      <c r="H2442" s="10" t="s">
        <v>8563</v>
      </c>
      <c r="I2442" s="4" t="str">
        <f t="shared" si="267"/>
        <v>|Maʿṣúm-i-Tabíb|</v>
      </c>
      <c r="J2442" s="3" t="str">
        <f t="shared" si="268"/>
        <v>|Ma'sum-i-Tabib|</v>
      </c>
      <c r="K2442" s="3" t="str">
        <f t="shared" si="269"/>
        <v>Masum-i-Tabib</v>
      </c>
      <c r="N2442" s="39" t="str">
        <f t="shared" si="270"/>
        <v/>
      </c>
      <c r="P2442" s="39" t="str">
        <f t="shared" si="271"/>
        <v/>
      </c>
      <c r="R2442" s="39" t="str">
        <f t="shared" si="272"/>
        <v/>
      </c>
      <c r="S2442" s="28"/>
      <c r="T2442" s="28"/>
      <c r="U2442" s="28"/>
    </row>
    <row r="2443" spans="1:21" s="5" customFormat="1">
      <c r="A2443" s="179" t="s">
        <v>2986</v>
      </c>
      <c r="B2443" s="185" t="s">
        <v>7026</v>
      </c>
      <c r="C2443" s="35" t="str">
        <f t="shared" si="266"/>
        <v>Mathani</v>
      </c>
      <c r="E2443" s="40"/>
      <c r="F2443" s="14"/>
      <c r="G2443" s="17"/>
      <c r="H2443" s="10" t="s">
        <v>8563</v>
      </c>
      <c r="I2443" s="4" t="str">
        <f t="shared" si="267"/>
        <v>|Maání|</v>
      </c>
      <c r="J2443" s="3" t="str">
        <f t="shared" si="268"/>
        <v>|Mathani|</v>
      </c>
      <c r="K2443" s="3" t="str">
        <f t="shared" si="269"/>
        <v>Mathani</v>
      </c>
      <c r="N2443" s="39" t="str">
        <f t="shared" si="270"/>
        <v/>
      </c>
      <c r="P2443" s="39" t="str">
        <f t="shared" si="271"/>
        <v/>
      </c>
      <c r="R2443" s="39" t="str">
        <f t="shared" si="272"/>
        <v/>
      </c>
      <c r="S2443" s="28"/>
      <c r="T2443" s="28"/>
      <c r="U2443" s="28"/>
    </row>
    <row r="2444" spans="1:21" s="5" customFormat="1">
      <c r="A2444" s="179" t="s">
        <v>2987</v>
      </c>
      <c r="B2444" s="185" t="s">
        <v>191</v>
      </c>
      <c r="C2444" s="35" t="str">
        <f t="shared" si="266"/>
        <v>Mathnavi</v>
      </c>
      <c r="E2444" s="40"/>
      <c r="F2444" s="14"/>
      <c r="G2444" s="17"/>
      <c r="H2444" s="10" t="s">
        <v>8563</v>
      </c>
      <c r="I2444" s="4" t="str">
        <f t="shared" si="267"/>
        <v>|Manaví|</v>
      </c>
      <c r="J2444" s="3" t="str">
        <f t="shared" si="268"/>
        <v>|Mathnavi|</v>
      </c>
      <c r="K2444" s="3" t="str">
        <f t="shared" si="269"/>
        <v>Mathnavi</v>
      </c>
      <c r="N2444" s="39" t="str">
        <f t="shared" si="270"/>
        <v/>
      </c>
      <c r="P2444" s="39" t="str">
        <f t="shared" si="271"/>
        <v/>
      </c>
      <c r="R2444" s="39" t="str">
        <f t="shared" si="272"/>
        <v/>
      </c>
      <c r="S2444" s="28"/>
      <c r="T2444" s="28"/>
      <c r="U2444" s="28"/>
    </row>
    <row r="2445" spans="1:21" s="5" customFormat="1">
      <c r="A2445" s="179" t="s">
        <v>2988</v>
      </c>
      <c r="B2445" s="185" t="s">
        <v>7027</v>
      </c>
      <c r="C2445" s="35" t="str">
        <f t="shared" si="266"/>
        <v>MathnaviyiMubarak</v>
      </c>
      <c r="E2445" s="40"/>
      <c r="F2445" s="15" t="s">
        <v>2989</v>
      </c>
      <c r="G2445" s="17"/>
      <c r="H2445" s="10" t="s">
        <v>8563</v>
      </c>
      <c r="I2445" s="4" t="str">
        <f t="shared" si="267"/>
        <v>|Manaví-yi-Mubárak|</v>
      </c>
      <c r="J2445" s="3" t="str">
        <f t="shared" si="268"/>
        <v>|Mathnavi-yi-Mubarak|</v>
      </c>
      <c r="K2445" s="3" t="str">
        <f t="shared" si="269"/>
        <v>Mathnavi-yi-Mubarak</v>
      </c>
      <c r="N2445" s="39" t="str">
        <f t="shared" si="270"/>
        <v/>
      </c>
      <c r="P2445" s="39" t="str">
        <f t="shared" si="271"/>
        <v/>
      </c>
      <c r="R2445" s="39" t="str">
        <f t="shared" si="272"/>
        <v/>
      </c>
      <c r="S2445" s="28"/>
      <c r="T2445" s="28"/>
      <c r="U2445" s="28"/>
    </row>
    <row r="2446" spans="1:21" s="5" customFormat="1">
      <c r="A2446" s="179" t="s">
        <v>2990</v>
      </c>
      <c r="B2446" s="185" t="s">
        <v>7028</v>
      </c>
      <c r="C2446" s="35" t="str">
        <f t="shared" si="266"/>
        <v>Matin</v>
      </c>
      <c r="E2446" s="40"/>
      <c r="F2446" s="15"/>
      <c r="G2446" s="17"/>
      <c r="H2446" s="10" t="s">
        <v>8563</v>
      </c>
      <c r="I2446" s="4" t="str">
        <f t="shared" si="267"/>
        <v>|Matín|</v>
      </c>
      <c r="J2446" s="3" t="str">
        <f t="shared" si="268"/>
        <v>|Matin|</v>
      </c>
      <c r="K2446" s="3" t="str">
        <f t="shared" si="269"/>
        <v>Matin</v>
      </c>
      <c r="N2446" s="39" t="str">
        <f t="shared" si="270"/>
        <v/>
      </c>
      <c r="P2446" s="39" t="str">
        <f t="shared" si="271"/>
        <v/>
      </c>
      <c r="R2446" s="39" t="str">
        <f t="shared" si="272"/>
        <v/>
      </c>
      <c r="S2446" s="28"/>
      <c r="T2446" s="28"/>
      <c r="U2446" s="28"/>
    </row>
    <row r="2447" spans="1:21" s="5" customFormat="1">
      <c r="A2447" s="179" t="s">
        <v>2991</v>
      </c>
      <c r="B2447" s="185" t="s">
        <v>7029</v>
      </c>
      <c r="C2447" s="35" t="str">
        <f t="shared" si="266"/>
        <v>MatlaiAnvar</v>
      </c>
      <c r="E2447" s="40"/>
      <c r="F2447" s="15"/>
      <c r="G2447" s="17"/>
      <c r="H2447" s="10" t="s">
        <v>8563</v>
      </c>
      <c r="I2447" s="4" t="str">
        <f t="shared" si="267"/>
        <v>|Maṭlaʿ-i-Anvár|</v>
      </c>
      <c r="J2447" s="3" t="str">
        <f t="shared" si="268"/>
        <v>|Matla'-i-Anvar|</v>
      </c>
      <c r="K2447" s="3" t="str">
        <f t="shared" si="269"/>
        <v>Matla-i-Anvar</v>
      </c>
      <c r="N2447" s="39" t="str">
        <f t="shared" si="270"/>
        <v/>
      </c>
      <c r="P2447" s="39" t="str">
        <f t="shared" si="271"/>
        <v/>
      </c>
      <c r="R2447" s="39" t="str">
        <f t="shared" si="272"/>
        <v/>
      </c>
      <c r="S2447" s="28"/>
      <c r="T2447" s="28"/>
      <c r="U2447" s="28"/>
    </row>
    <row r="2448" spans="1:21" s="5" customFormat="1">
      <c r="A2448" s="179" t="s">
        <v>2992</v>
      </c>
      <c r="B2448" s="185" t="s">
        <v>7030</v>
      </c>
      <c r="C2448" s="35" t="str">
        <f t="shared" si="266"/>
        <v>Mawlana</v>
      </c>
      <c r="E2448" s="40"/>
      <c r="F2448" s="14"/>
      <c r="G2448" s="17"/>
      <c r="H2448" s="10" t="s">
        <v>8563</v>
      </c>
      <c r="I2448" s="4" t="str">
        <f t="shared" si="267"/>
        <v>|Mawláná|</v>
      </c>
      <c r="J2448" s="3" t="str">
        <f t="shared" si="268"/>
        <v>|Mawlana|</v>
      </c>
      <c r="K2448" s="3" t="str">
        <f t="shared" si="269"/>
        <v>Mawlana</v>
      </c>
      <c r="N2448" s="39" t="str">
        <f t="shared" si="270"/>
        <v/>
      </c>
      <c r="P2448" s="39" t="str">
        <f t="shared" si="271"/>
        <v/>
      </c>
      <c r="R2448" s="39" t="str">
        <f t="shared" si="272"/>
        <v/>
      </c>
      <c r="S2448" s="28"/>
      <c r="T2448" s="28"/>
      <c r="U2448" s="28"/>
    </row>
    <row r="2449" spans="1:21" s="5" customFormat="1">
      <c r="A2449" s="179" t="s">
        <v>2993</v>
      </c>
      <c r="B2449" s="185" t="s">
        <v>7031</v>
      </c>
      <c r="C2449" s="35" t="str">
        <f t="shared" si="266"/>
        <v>MawlaQuliAqaDadash</v>
      </c>
      <c r="E2449" s="40"/>
      <c r="F2449" s="14"/>
      <c r="G2449" s="17"/>
      <c r="H2449" s="10" t="s">
        <v>8563</v>
      </c>
      <c r="I2449" s="4" t="str">
        <f t="shared" si="267"/>
        <v>|Mawlá-Qulí-Áqá-Dádá|</v>
      </c>
      <c r="J2449" s="3" t="str">
        <f t="shared" si="268"/>
        <v>|Mawla-Quli-Aqa-Dadash|</v>
      </c>
      <c r="K2449" s="3" t="str">
        <f t="shared" si="269"/>
        <v>Mawla-Quli-Aqa-Dadash</v>
      </c>
      <c r="N2449" s="39" t="str">
        <f t="shared" si="270"/>
        <v/>
      </c>
      <c r="P2449" s="39" t="str">
        <f t="shared" si="271"/>
        <v/>
      </c>
      <c r="R2449" s="39" t="str">
        <f t="shared" si="272"/>
        <v/>
      </c>
      <c r="S2449" s="28"/>
      <c r="T2449" s="28"/>
      <c r="U2449" s="28"/>
    </row>
    <row r="2450" spans="1:21" s="5" customFormat="1">
      <c r="A2450" s="179" t="s">
        <v>2994</v>
      </c>
      <c r="B2450" s="185" t="s">
        <v>7032</v>
      </c>
      <c r="C2450" s="35" t="str">
        <f t="shared" si="266"/>
        <v>Mawlavi</v>
      </c>
      <c r="E2450" s="40"/>
      <c r="F2450" s="14"/>
      <c r="G2450" s="17"/>
      <c r="H2450" s="10" t="s">
        <v>8563</v>
      </c>
      <c r="I2450" s="4" t="str">
        <f t="shared" si="267"/>
        <v>|Mawlaví|</v>
      </c>
      <c r="J2450" s="3" t="str">
        <f t="shared" si="268"/>
        <v>|Mawlavi|</v>
      </c>
      <c r="K2450" s="3" t="str">
        <f t="shared" si="269"/>
        <v>Mawlavi</v>
      </c>
      <c r="N2450" s="39" t="str">
        <f t="shared" si="270"/>
        <v/>
      </c>
      <c r="P2450" s="39" t="str">
        <f t="shared" si="271"/>
        <v/>
      </c>
      <c r="R2450" s="39" t="str">
        <f t="shared" si="272"/>
        <v/>
      </c>
      <c r="S2450" s="28"/>
      <c r="T2450" s="28"/>
      <c r="U2450" s="28"/>
    </row>
    <row r="2451" spans="1:21" s="5" customFormat="1">
      <c r="A2451" s="179" t="s">
        <v>2995</v>
      </c>
      <c r="B2451" s="185" t="s">
        <v>7033</v>
      </c>
      <c r="C2451" s="35" t="str">
        <f t="shared" si="266"/>
        <v>Maydan</v>
      </c>
      <c r="E2451" s="40"/>
      <c r="F2451" s="14" t="s">
        <v>2996</v>
      </c>
      <c r="G2451" s="17"/>
      <c r="H2451" s="10" t="s">
        <v>8563</v>
      </c>
      <c r="I2451" s="4" t="str">
        <f t="shared" si="267"/>
        <v>|Maydán|</v>
      </c>
      <c r="J2451" s="3" t="str">
        <f t="shared" si="268"/>
        <v>|Maydan|</v>
      </c>
      <c r="K2451" s="3" t="str">
        <f t="shared" si="269"/>
        <v>Maydan</v>
      </c>
      <c r="N2451" s="39" t="str">
        <f t="shared" si="270"/>
        <v/>
      </c>
      <c r="P2451" s="39" t="str">
        <f t="shared" si="271"/>
        <v/>
      </c>
      <c r="R2451" s="39" t="str">
        <f t="shared" si="272"/>
        <v/>
      </c>
      <c r="S2451" s="28"/>
      <c r="T2451" s="28"/>
      <c r="U2451" s="28"/>
    </row>
    <row r="2452" spans="1:21" s="5" customFormat="1">
      <c r="A2452" s="179" t="s">
        <v>2997</v>
      </c>
      <c r="B2452" s="185" t="s">
        <v>7034</v>
      </c>
      <c r="C2452" s="35" t="str">
        <f t="shared" si="266"/>
        <v>MaydaniKhan</v>
      </c>
      <c r="E2452" s="40"/>
      <c r="F2452" s="14"/>
      <c r="G2452" s="17"/>
      <c r="H2452" s="10" t="s">
        <v>8563</v>
      </c>
      <c r="I2452" s="4" t="str">
        <f t="shared" si="267"/>
        <v>|Maydán-i-án|</v>
      </c>
      <c r="J2452" s="3" t="str">
        <f t="shared" si="268"/>
        <v>|Maydan-i-Khan|</v>
      </c>
      <c r="K2452" s="3" t="str">
        <f t="shared" si="269"/>
        <v>Maydan-i-Khan</v>
      </c>
      <c r="N2452" s="39" t="str">
        <f t="shared" si="270"/>
        <v/>
      </c>
      <c r="P2452" s="39" t="str">
        <f t="shared" si="271"/>
        <v/>
      </c>
      <c r="R2452" s="39" t="str">
        <f t="shared" si="272"/>
        <v/>
      </c>
      <c r="S2452" s="28"/>
      <c r="T2452" s="28"/>
      <c r="U2452" s="28"/>
    </row>
    <row r="2453" spans="1:21" s="5" customFormat="1">
      <c r="A2453" s="179" t="s">
        <v>2998</v>
      </c>
      <c r="B2453" s="185" t="s">
        <v>7035</v>
      </c>
      <c r="C2453" s="35" t="str">
        <f t="shared" si="266"/>
        <v>MaydaniShah</v>
      </c>
      <c r="E2453" s="40"/>
      <c r="F2453" s="14"/>
      <c r="G2453" s="17"/>
      <c r="H2453" s="10" t="s">
        <v>8563</v>
      </c>
      <c r="I2453" s="4" t="str">
        <f t="shared" si="267"/>
        <v>|Maydán-i-áh|</v>
      </c>
      <c r="J2453" s="3" t="str">
        <f t="shared" si="268"/>
        <v>|Maydan-i-Shah|</v>
      </c>
      <c r="K2453" s="3" t="str">
        <f t="shared" si="269"/>
        <v>Maydan-i-Shah</v>
      </c>
      <c r="N2453" s="39" t="str">
        <f t="shared" si="270"/>
        <v/>
      </c>
      <c r="P2453" s="39" t="str">
        <f t="shared" si="271"/>
        <v/>
      </c>
      <c r="R2453" s="39" t="str">
        <f t="shared" si="272"/>
        <v/>
      </c>
      <c r="S2453" s="28"/>
      <c r="T2453" s="28"/>
      <c r="U2453" s="28"/>
    </row>
    <row r="2454" spans="1:21" s="5" customFormat="1">
      <c r="A2454" s="179" t="s">
        <v>2999</v>
      </c>
      <c r="B2454" s="185" t="s">
        <v>7036</v>
      </c>
      <c r="C2454" s="35" t="str">
        <f t="shared" si="266"/>
        <v>Mazahir</v>
      </c>
      <c r="E2454" s="40"/>
      <c r="F2454" s="15"/>
      <c r="G2454" s="17"/>
      <c r="H2454" s="10" t="s">
        <v>8563</v>
      </c>
      <c r="I2454" s="4" t="str">
        <f t="shared" si="267"/>
        <v>|Maẓáhir|</v>
      </c>
      <c r="J2454" s="3" t="str">
        <f t="shared" si="268"/>
        <v>|Mazahir|</v>
      </c>
      <c r="K2454" s="3" t="str">
        <f t="shared" si="269"/>
        <v>Mazahir</v>
      </c>
      <c r="N2454" s="39" t="str">
        <f t="shared" si="270"/>
        <v/>
      </c>
      <c r="P2454" s="39" t="str">
        <f t="shared" si="271"/>
        <v/>
      </c>
      <c r="R2454" s="39" t="str">
        <f t="shared" si="272"/>
        <v/>
      </c>
      <c r="S2454" s="28"/>
      <c r="T2454" s="28"/>
      <c r="U2454" s="28"/>
    </row>
    <row r="2455" spans="1:21" s="5" customFormat="1">
      <c r="A2455" s="179" t="s">
        <v>3000</v>
      </c>
      <c r="B2455" s="185" t="s">
        <v>7037</v>
      </c>
      <c r="C2455" s="35" t="str">
        <f t="shared" si="266"/>
        <v>Mazdaki</v>
      </c>
      <c r="E2455" s="40"/>
      <c r="F2455" s="15"/>
      <c r="G2455" s="17"/>
      <c r="H2455" s="10" t="s">
        <v>8563</v>
      </c>
      <c r="I2455" s="4" t="str">
        <f t="shared" si="267"/>
        <v>|Mazdakí|</v>
      </c>
      <c r="J2455" s="3" t="str">
        <f t="shared" si="268"/>
        <v>|Mazdaki|</v>
      </c>
      <c r="K2455" s="3" t="str">
        <f t="shared" si="269"/>
        <v>Mazdaki</v>
      </c>
      <c r="N2455" s="39" t="str">
        <f t="shared" si="270"/>
        <v/>
      </c>
      <c r="P2455" s="39" t="str">
        <f t="shared" si="271"/>
        <v/>
      </c>
      <c r="R2455" s="39" t="str">
        <f t="shared" si="272"/>
        <v/>
      </c>
      <c r="S2455" s="28"/>
      <c r="T2455" s="28"/>
      <c r="U2455" s="28"/>
    </row>
    <row r="2456" spans="1:21" s="5" customFormat="1">
      <c r="A2456" s="179" t="s">
        <v>3001</v>
      </c>
      <c r="B2456" s="185" t="s">
        <v>7038</v>
      </c>
      <c r="C2456" s="35" t="str">
        <f t="shared" si="266"/>
        <v>Mazdayasnian</v>
      </c>
      <c r="E2456" s="40"/>
      <c r="F2456" s="15"/>
      <c r="G2456" s="17"/>
      <c r="H2456" s="10" t="s">
        <v>8563</v>
      </c>
      <c r="I2456" s="4" t="str">
        <f t="shared" si="267"/>
        <v>|Mazdáyasníán|</v>
      </c>
      <c r="J2456" s="3" t="str">
        <f t="shared" si="268"/>
        <v>|Mazdayasnian|</v>
      </c>
      <c r="K2456" s="3" t="str">
        <f t="shared" si="269"/>
        <v>Mazdayasnian</v>
      </c>
      <c r="N2456" s="39" t="str">
        <f t="shared" si="270"/>
        <v/>
      </c>
      <c r="P2456" s="39" t="str">
        <f t="shared" si="271"/>
        <v/>
      </c>
      <c r="R2456" s="39" t="str">
        <f t="shared" si="272"/>
        <v/>
      </c>
      <c r="S2456" s="28"/>
      <c r="T2456" s="28"/>
      <c r="U2456" s="28"/>
    </row>
    <row r="2457" spans="1:21" s="5" customFormat="1">
      <c r="A2457" s="179" t="s">
        <v>3002</v>
      </c>
      <c r="B2457" s="185" t="s">
        <v>7039</v>
      </c>
      <c r="C2457" s="35" t="str">
        <f t="shared" si="266"/>
        <v>Mazgan</v>
      </c>
      <c r="E2457" s="40"/>
      <c r="F2457" s="15"/>
      <c r="G2457" s="17"/>
      <c r="H2457" s="10" t="s">
        <v>8563</v>
      </c>
      <c r="I2457" s="4" t="str">
        <f t="shared" si="267"/>
        <v>|Mázgán|</v>
      </c>
      <c r="J2457" s="3" t="str">
        <f t="shared" si="268"/>
        <v>|Mazgan|</v>
      </c>
      <c r="K2457" s="3" t="str">
        <f t="shared" si="269"/>
        <v>Mazgan</v>
      </c>
      <c r="N2457" s="39" t="str">
        <f t="shared" si="270"/>
        <v/>
      </c>
      <c r="P2457" s="39" t="str">
        <f t="shared" si="271"/>
        <v/>
      </c>
      <c r="R2457" s="39" t="str">
        <f t="shared" si="272"/>
        <v/>
      </c>
      <c r="S2457" s="28"/>
      <c r="T2457" s="28"/>
      <c r="U2457" s="28"/>
    </row>
    <row r="2458" spans="1:21" s="5" customFormat="1">
      <c r="A2458" s="179" t="s">
        <v>3003</v>
      </c>
      <c r="B2458" s="185" t="s">
        <v>7040</v>
      </c>
      <c r="C2458" s="35" t="str">
        <f t="shared" si="266"/>
        <v>Mazhar</v>
      </c>
      <c r="E2458" s="40"/>
      <c r="F2458" s="15"/>
      <c r="G2458" s="17"/>
      <c r="H2458" s="10" t="s">
        <v>8563</v>
      </c>
      <c r="I2458" s="4" t="str">
        <f t="shared" si="267"/>
        <v>|Maẓhar|</v>
      </c>
      <c r="J2458" s="3" t="str">
        <f t="shared" si="268"/>
        <v>|Mazhar|</v>
      </c>
      <c r="K2458" s="3" t="str">
        <f t="shared" si="269"/>
        <v>Mazhar</v>
      </c>
      <c r="N2458" s="39" t="str">
        <f t="shared" si="270"/>
        <v/>
      </c>
      <c r="P2458" s="39" t="str">
        <f t="shared" si="271"/>
        <v/>
      </c>
      <c r="R2458" s="39" t="str">
        <f t="shared" si="272"/>
        <v/>
      </c>
      <c r="S2458" s="28"/>
      <c r="T2458" s="28"/>
      <c r="U2458" s="28"/>
    </row>
    <row r="2459" spans="1:21" s="5" customFormat="1">
      <c r="A2459" s="179" t="s">
        <v>3004</v>
      </c>
      <c r="B2459" s="185" t="s">
        <v>7041</v>
      </c>
      <c r="C2459" s="35" t="str">
        <f t="shared" si="266"/>
        <v>MazhariIlahi</v>
      </c>
      <c r="E2459" s="40"/>
      <c r="F2459" s="15"/>
      <c r="G2459" s="17"/>
      <c r="H2459" s="10" t="s">
        <v>8563</v>
      </c>
      <c r="I2459" s="4" t="str">
        <f t="shared" si="267"/>
        <v>|Maẓhar-i-Iláhí|</v>
      </c>
      <c r="J2459" s="3" t="str">
        <f t="shared" si="268"/>
        <v>|Mazhar-i-Ilahi|</v>
      </c>
      <c r="K2459" s="3" t="str">
        <f t="shared" si="269"/>
        <v>Mazhar-i-Ilahi</v>
      </c>
      <c r="N2459" s="39" t="str">
        <f t="shared" si="270"/>
        <v/>
      </c>
      <c r="P2459" s="39" t="str">
        <f t="shared" si="271"/>
        <v/>
      </c>
      <c r="R2459" s="39" t="str">
        <f t="shared" si="272"/>
        <v/>
      </c>
      <c r="S2459" s="28"/>
      <c r="T2459" s="28"/>
      <c r="U2459" s="28"/>
    </row>
    <row r="2460" spans="1:21" s="5" customFormat="1">
      <c r="A2460" s="179" t="s">
        <v>3005</v>
      </c>
      <c r="B2460" s="185" t="s">
        <v>7042</v>
      </c>
      <c r="C2460" s="35" t="str">
        <f t="shared" si="266"/>
        <v>Mazindaran</v>
      </c>
      <c r="E2460" s="40"/>
      <c r="F2460" s="14"/>
      <c r="G2460" s="17"/>
      <c r="H2460" s="10" t="s">
        <v>8563</v>
      </c>
      <c r="I2460" s="4" t="str">
        <f t="shared" si="267"/>
        <v>|Mázindarán|</v>
      </c>
      <c r="J2460" s="3" t="str">
        <f t="shared" si="268"/>
        <v>|Mazindaran|</v>
      </c>
      <c r="K2460" s="3" t="str">
        <f t="shared" si="269"/>
        <v>Mazindaran</v>
      </c>
      <c r="N2460" s="39" t="str">
        <f t="shared" si="270"/>
        <v/>
      </c>
      <c r="P2460" s="39" t="str">
        <f t="shared" si="271"/>
        <v/>
      </c>
      <c r="R2460" s="39" t="str">
        <f t="shared" si="272"/>
        <v/>
      </c>
      <c r="S2460" s="28"/>
      <c r="T2460" s="28"/>
      <c r="U2460" s="28"/>
    </row>
    <row r="2461" spans="1:21" s="5" customFormat="1">
      <c r="A2461" s="179" t="s">
        <v>3006</v>
      </c>
      <c r="B2461" s="185" t="s">
        <v>7043</v>
      </c>
      <c r="C2461" s="35" t="str">
        <f t="shared" si="266"/>
        <v>Mazindarani</v>
      </c>
      <c r="E2461" s="40"/>
      <c r="F2461" s="14"/>
      <c r="G2461" s="17"/>
      <c r="H2461" s="10" t="s">
        <v>8563</v>
      </c>
      <c r="I2461" s="4" t="str">
        <f t="shared" si="267"/>
        <v>|Mázindarání|</v>
      </c>
      <c r="J2461" s="3" t="str">
        <f t="shared" si="268"/>
        <v>|Mazindarani|</v>
      </c>
      <c r="K2461" s="3" t="str">
        <f t="shared" si="269"/>
        <v>Mazindarani</v>
      </c>
      <c r="N2461" s="39" t="str">
        <f t="shared" si="270"/>
        <v/>
      </c>
      <c r="P2461" s="39" t="str">
        <f t="shared" si="271"/>
        <v/>
      </c>
      <c r="R2461" s="39" t="str">
        <f t="shared" si="272"/>
        <v/>
      </c>
      <c r="S2461" s="28"/>
      <c r="T2461" s="28"/>
      <c r="U2461" s="28"/>
    </row>
    <row r="2462" spans="1:21" s="5" customFormat="1">
      <c r="A2462" s="179" t="s">
        <v>3007</v>
      </c>
      <c r="B2462" s="185" t="s">
        <v>7044</v>
      </c>
      <c r="C2462" s="35" t="str">
        <f t="shared" si="266"/>
        <v>Mazraih</v>
      </c>
      <c r="E2462" s="40"/>
      <c r="F2462" s="15" t="s">
        <v>3008</v>
      </c>
      <c r="G2462" s="17"/>
      <c r="H2462" s="10" t="s">
        <v>8563</v>
      </c>
      <c r="I2462" s="4" t="str">
        <f t="shared" si="267"/>
        <v>|Mazraʿih|</v>
      </c>
      <c r="J2462" s="3" t="str">
        <f t="shared" si="268"/>
        <v>|Mazra'ih|</v>
      </c>
      <c r="K2462" s="3" t="str">
        <f t="shared" si="269"/>
        <v>Mazraih</v>
      </c>
      <c r="N2462" s="39" t="str">
        <f t="shared" si="270"/>
        <v/>
      </c>
      <c r="P2462" s="39" t="str">
        <f t="shared" si="271"/>
        <v/>
      </c>
      <c r="R2462" s="39" t="str">
        <f t="shared" si="272"/>
        <v/>
      </c>
      <c r="S2462" s="28"/>
      <c r="T2462" s="28"/>
      <c r="U2462" s="28"/>
    </row>
    <row r="2463" spans="1:21" s="5" customFormat="1">
      <c r="A2463" s="179" t="s">
        <v>3009</v>
      </c>
      <c r="B2463" s="185" t="s">
        <v>7045</v>
      </c>
      <c r="C2463" s="35" t="str">
        <f t="shared" si="266"/>
        <v>MazraiyiVashshash</v>
      </c>
      <c r="E2463" s="40"/>
      <c r="F2463" s="15"/>
      <c r="G2463" s="17"/>
      <c r="H2463" s="10" t="s">
        <v>8563</v>
      </c>
      <c r="I2463" s="4" t="str">
        <f t="shared" si="267"/>
        <v>|Mazraʿiy-i-Vaá|</v>
      </c>
      <c r="J2463" s="3" t="str">
        <f t="shared" si="268"/>
        <v>|Mazra'iy-i-Vashshash|</v>
      </c>
      <c r="K2463" s="3" t="str">
        <f t="shared" si="269"/>
        <v>Mazraiy-i-Vashshash</v>
      </c>
      <c r="N2463" s="39" t="str">
        <f t="shared" si="270"/>
        <v/>
      </c>
      <c r="P2463" s="39" t="str">
        <f t="shared" si="271"/>
        <v/>
      </c>
      <c r="R2463" s="39" t="str">
        <f t="shared" si="272"/>
        <v/>
      </c>
      <c r="S2463" s="28"/>
      <c r="T2463" s="28"/>
      <c r="U2463" s="28"/>
    </row>
    <row r="2464" spans="1:21" s="5" customFormat="1">
      <c r="A2464" s="179" t="s">
        <v>3010</v>
      </c>
      <c r="B2464" s="185" t="s">
        <v>7046</v>
      </c>
      <c r="C2464" s="35" t="str">
        <f t="shared" si="266"/>
        <v>Mazyar</v>
      </c>
      <c r="E2464" s="40"/>
      <c r="F2464" s="15"/>
      <c r="G2464" s="17"/>
      <c r="H2464" s="10" t="s">
        <v>8563</v>
      </c>
      <c r="I2464" s="4" t="str">
        <f t="shared" si="267"/>
        <v>|Mázyár|</v>
      </c>
      <c r="J2464" s="3" t="str">
        <f t="shared" si="268"/>
        <v>|Mazyar|</v>
      </c>
      <c r="K2464" s="3" t="str">
        <f t="shared" si="269"/>
        <v>Mazyar</v>
      </c>
      <c r="N2464" s="39" t="str">
        <f t="shared" si="270"/>
        <v/>
      </c>
      <c r="P2464" s="39" t="str">
        <f t="shared" si="271"/>
        <v/>
      </c>
      <c r="R2464" s="39" t="str">
        <f t="shared" si="272"/>
        <v/>
      </c>
      <c r="S2464" s="28"/>
      <c r="T2464" s="28"/>
      <c r="U2464" s="28"/>
    </row>
    <row r="2465" spans="1:21" s="5" customFormat="1">
      <c r="A2465" s="179" t="s">
        <v>3011</v>
      </c>
      <c r="B2465" s="185" t="s">
        <v>7047</v>
      </c>
      <c r="C2465" s="35" t="str">
        <f t="shared" si="266"/>
        <v>Mazzah</v>
      </c>
      <c r="E2465" s="40"/>
      <c r="F2465" s="15" t="s">
        <v>3012</v>
      </c>
      <c r="G2465" s="17"/>
      <c r="H2465" s="10" t="s">
        <v>8563</v>
      </c>
      <c r="I2465" s="4" t="str">
        <f t="shared" si="267"/>
        <v>|Mazzáḥ|</v>
      </c>
      <c r="J2465" s="3" t="str">
        <f t="shared" si="268"/>
        <v>|Mazzah|</v>
      </c>
      <c r="K2465" s="3" t="str">
        <f t="shared" si="269"/>
        <v>Mazzah</v>
      </c>
      <c r="N2465" s="39" t="str">
        <f t="shared" si="270"/>
        <v/>
      </c>
      <c r="P2465" s="39" t="str">
        <f t="shared" si="271"/>
        <v/>
      </c>
      <c r="R2465" s="39" t="str">
        <f t="shared" si="272"/>
        <v/>
      </c>
      <c r="S2465" s="28"/>
      <c r="T2465" s="28"/>
      <c r="U2465" s="28"/>
    </row>
    <row r="2466" spans="1:21" s="5" customFormat="1">
      <c r="A2466" s="181"/>
      <c r="B2466" s="185"/>
      <c r="C2466" s="35" t="str">
        <f t="shared" si="266"/>
        <v>ZZZZZ</v>
      </c>
      <c r="D2466" s="1"/>
      <c r="E2466" s="40"/>
      <c r="F2466" s="12"/>
      <c r="G2466" s="9" t="s">
        <v>9135</v>
      </c>
      <c r="H2466" s="12"/>
      <c r="I2466" s="4" t="str">
        <f t="shared" si="267"/>
        <v>||</v>
      </c>
      <c r="J2466" s="3" t="str">
        <f t="shared" si="268"/>
        <v>||</v>
      </c>
      <c r="K2466" s="3" t="str">
        <f t="shared" si="269"/>
        <v>ZZZZZ</v>
      </c>
      <c r="M2466" s="1"/>
      <c r="N2466" s="39" t="str">
        <f t="shared" si="270"/>
        <v/>
      </c>
      <c r="O2466" s="1" t="s">
        <v>101</v>
      </c>
      <c r="P2466" s="39" t="str">
        <f t="shared" si="271"/>
        <v>Medina</v>
      </c>
      <c r="Q2466" s="1"/>
      <c r="R2466" s="39" t="str">
        <f t="shared" si="272"/>
        <v/>
      </c>
      <c r="S2466" s="28"/>
      <c r="T2466" s="28"/>
      <c r="U2466" s="28"/>
    </row>
    <row r="2467" spans="1:21" s="5" customFormat="1">
      <c r="A2467" s="181"/>
      <c r="B2467" s="186"/>
      <c r="C2467" s="35" t="str">
        <f t="shared" si="266"/>
        <v>ZZZZZ</v>
      </c>
      <c r="D2467" s="1"/>
      <c r="E2467" s="40"/>
      <c r="F2467" s="12"/>
      <c r="G2467" s="9" t="s">
        <v>9495</v>
      </c>
      <c r="H2467" s="12" t="s">
        <v>8622</v>
      </c>
      <c r="I2467" s="4" t="str">
        <f t="shared" si="267"/>
        <v>||</v>
      </c>
      <c r="J2467" s="3" t="str">
        <f t="shared" si="268"/>
        <v>||</v>
      </c>
      <c r="K2467" s="3" t="str">
        <f t="shared" si="269"/>
        <v>ZZZZZ</v>
      </c>
      <c r="M2467" s="5" t="s">
        <v>9116</v>
      </c>
      <c r="N2467" s="39" t="str">
        <f t="shared" si="270"/>
        <v>Mecca</v>
      </c>
      <c r="O2467" s="5" t="s">
        <v>24</v>
      </c>
      <c r="P2467" s="39" t="str">
        <f t="shared" si="271"/>
        <v>Mekka</v>
      </c>
      <c r="R2467" s="39" t="str">
        <f t="shared" si="272"/>
        <v/>
      </c>
      <c r="S2467" s="28"/>
      <c r="T2467" s="29">
        <v>41801</v>
      </c>
      <c r="U2467" s="28"/>
    </row>
    <row r="2468" spans="1:21" s="5" customFormat="1">
      <c r="A2468" s="179" t="s">
        <v>2844</v>
      </c>
      <c r="B2468" s="185" t="s">
        <v>102</v>
      </c>
      <c r="C2468" s="35" t="str">
        <f t="shared" si="266"/>
        <v>Mihdi</v>
      </c>
      <c r="E2468" s="40"/>
      <c r="F2468" s="14" t="s">
        <v>3015</v>
      </c>
      <c r="G2468" s="17"/>
      <c r="H2468" s="10" t="s">
        <v>8563</v>
      </c>
      <c r="I2468" s="4" t="str">
        <f t="shared" si="267"/>
        <v>|Mihdí|</v>
      </c>
      <c r="J2468" s="3" t="str">
        <f t="shared" si="268"/>
        <v>|Mihdi|</v>
      </c>
      <c r="K2468" s="3" t="str">
        <f t="shared" si="269"/>
        <v>Mihdi</v>
      </c>
      <c r="N2468" s="39" t="str">
        <f t="shared" si="270"/>
        <v/>
      </c>
      <c r="P2468" s="39" t="str">
        <f t="shared" si="271"/>
        <v/>
      </c>
      <c r="R2468" s="39" t="str">
        <f t="shared" si="272"/>
        <v/>
      </c>
      <c r="S2468" s="28"/>
      <c r="T2468" s="28"/>
      <c r="U2468" s="28"/>
    </row>
    <row r="2469" spans="1:21" s="5" customFormat="1">
      <c r="A2469" s="179" t="s">
        <v>3017</v>
      </c>
      <c r="B2469" s="185" t="s">
        <v>7051</v>
      </c>
      <c r="C2469" s="35" t="str">
        <f t="shared" si="266"/>
        <v>MihdiAbad</v>
      </c>
      <c r="E2469" s="40"/>
      <c r="F2469" s="15" t="s">
        <v>3018</v>
      </c>
      <c r="G2469" s="17"/>
      <c r="H2469" s="10" t="s">
        <v>8563</v>
      </c>
      <c r="I2469" s="4" t="str">
        <f t="shared" si="267"/>
        <v>|Mihdí-Ábád|</v>
      </c>
      <c r="J2469" s="3" t="str">
        <f t="shared" si="268"/>
        <v>|Mihdi-Abad|</v>
      </c>
      <c r="K2469" s="3" t="str">
        <f t="shared" si="269"/>
        <v>Mihdi-Abad</v>
      </c>
      <c r="N2469" s="39" t="str">
        <f t="shared" si="270"/>
        <v/>
      </c>
      <c r="P2469" s="39" t="str">
        <f t="shared" si="271"/>
        <v/>
      </c>
      <c r="R2469" s="39" t="str">
        <f t="shared" si="272"/>
        <v/>
      </c>
      <c r="S2469" s="28"/>
      <c r="T2469" s="28"/>
      <c r="U2469" s="28"/>
    </row>
    <row r="2470" spans="1:21" s="5" customFormat="1">
      <c r="A2470" s="179" t="s">
        <v>3016</v>
      </c>
      <c r="B2470" s="185" t="s">
        <v>7050</v>
      </c>
      <c r="C2470" s="35" t="str">
        <f t="shared" si="266"/>
        <v>MihdiQuli</v>
      </c>
      <c r="E2470" s="40"/>
      <c r="F2470" s="14"/>
      <c r="G2470" s="17"/>
      <c r="H2470" s="10" t="s">
        <v>8563</v>
      </c>
      <c r="I2470" s="4" t="str">
        <f t="shared" si="267"/>
        <v>|Mihdí-Qulí|</v>
      </c>
      <c r="J2470" s="3" t="str">
        <f t="shared" si="268"/>
        <v>|Mihdi-Quli|</v>
      </c>
      <c r="K2470" s="3" t="str">
        <f t="shared" si="269"/>
        <v>Mihdi-Quli</v>
      </c>
      <c r="N2470" s="39" t="str">
        <f t="shared" si="270"/>
        <v/>
      </c>
      <c r="P2470" s="39" t="str">
        <f t="shared" si="271"/>
        <v/>
      </c>
      <c r="R2470" s="39" t="str">
        <f t="shared" si="272"/>
        <v/>
      </c>
      <c r="S2470" s="28"/>
      <c r="T2470" s="28"/>
      <c r="U2470" s="28"/>
    </row>
    <row r="2471" spans="1:21" s="5" customFormat="1">
      <c r="A2471" s="179" t="s">
        <v>3019</v>
      </c>
      <c r="B2471" s="185" t="s">
        <v>7052</v>
      </c>
      <c r="C2471" s="35" t="str">
        <f t="shared" si="266"/>
        <v>MihdiyiAstirabadi</v>
      </c>
      <c r="E2471" s="40"/>
      <c r="F2471" s="15"/>
      <c r="G2471" s="17"/>
      <c r="H2471" s="10" t="s">
        <v>8563</v>
      </c>
      <c r="I2471" s="4" t="str">
        <f t="shared" si="267"/>
        <v>|Mihdíy-i-Astirábádí|</v>
      </c>
      <c r="J2471" s="3" t="str">
        <f t="shared" si="268"/>
        <v>|Mihdiy-i-Astirabadi|</v>
      </c>
      <c r="K2471" s="3" t="str">
        <f t="shared" si="269"/>
        <v>Mihdiy-i-Astirabadi</v>
      </c>
      <c r="N2471" s="39" t="str">
        <f t="shared" si="270"/>
        <v/>
      </c>
      <c r="P2471" s="39" t="str">
        <f t="shared" si="271"/>
        <v/>
      </c>
      <c r="R2471" s="39" t="str">
        <f t="shared" si="272"/>
        <v/>
      </c>
      <c r="S2471" s="28"/>
      <c r="T2471" s="28"/>
      <c r="U2471" s="28"/>
    </row>
    <row r="2472" spans="1:21" s="5" customFormat="1">
      <c r="A2472" s="179" t="s">
        <v>3020</v>
      </c>
      <c r="B2472" s="185" t="s">
        <v>7053</v>
      </c>
      <c r="C2472" s="35" t="str">
        <f t="shared" si="266"/>
        <v>MihdiyiAtri</v>
      </c>
      <c r="E2472" s="40"/>
      <c r="F2472" s="15" t="s">
        <v>3021</v>
      </c>
      <c r="G2472" s="17"/>
      <c r="H2472" s="10" t="s">
        <v>8563</v>
      </c>
      <c r="I2472" s="4" t="str">
        <f t="shared" si="267"/>
        <v>|Mihdíy-i-ʿAṭrí|</v>
      </c>
      <c r="J2472" s="3" t="str">
        <f t="shared" si="268"/>
        <v>|Mihdiy-i-'Atri|</v>
      </c>
      <c r="K2472" s="3" t="str">
        <f t="shared" si="269"/>
        <v>Mihdiy-i-Atri</v>
      </c>
      <c r="N2472" s="39" t="str">
        <f t="shared" si="270"/>
        <v/>
      </c>
      <c r="P2472" s="39" t="str">
        <f t="shared" si="271"/>
        <v/>
      </c>
      <c r="R2472" s="39" t="str">
        <f t="shared" si="272"/>
        <v/>
      </c>
      <c r="S2472" s="28"/>
      <c r="T2472" s="28"/>
      <c r="U2472" s="28"/>
    </row>
    <row r="2473" spans="1:21" s="5" customFormat="1">
      <c r="A2473" s="179" t="s">
        <v>3022</v>
      </c>
      <c r="B2473" s="185" t="s">
        <v>2100</v>
      </c>
      <c r="C2473" s="35" t="str">
        <f t="shared" si="266"/>
        <v>MihdiyiDahaji</v>
      </c>
      <c r="E2473" s="40"/>
      <c r="F2473" s="15"/>
      <c r="G2473" s="17"/>
      <c r="H2473" s="10" t="s">
        <v>8563</v>
      </c>
      <c r="I2473" s="4" t="str">
        <f t="shared" si="267"/>
        <v>|Mihdíy-i-Dahají|</v>
      </c>
      <c r="J2473" s="3" t="str">
        <f t="shared" si="268"/>
        <v>|Mihdiy-i-Dahaji|</v>
      </c>
      <c r="K2473" s="3" t="str">
        <f t="shared" si="269"/>
        <v>Mihdiy-i-Dahaji</v>
      </c>
      <c r="N2473" s="39" t="str">
        <f t="shared" si="270"/>
        <v/>
      </c>
      <c r="P2473" s="39" t="str">
        <f t="shared" si="271"/>
        <v/>
      </c>
      <c r="R2473" s="39" t="str">
        <f t="shared" si="272"/>
        <v/>
      </c>
      <c r="S2473" s="28"/>
      <c r="T2473" s="28"/>
      <c r="U2473" s="28"/>
    </row>
    <row r="2474" spans="1:21" s="5" customFormat="1">
      <c r="A2474" s="179" t="s">
        <v>3023</v>
      </c>
      <c r="B2474" s="185" t="s">
        <v>7054</v>
      </c>
      <c r="C2474" s="35" t="str">
        <f t="shared" si="266"/>
        <v>MihdiyiGilani</v>
      </c>
      <c r="E2474" s="40"/>
      <c r="F2474" s="15"/>
      <c r="G2474" s="17"/>
      <c r="H2474" s="10" t="s">
        <v>8563</v>
      </c>
      <c r="I2474" s="4" t="str">
        <f t="shared" si="267"/>
        <v>|Mihdiy-i-Gilání|</v>
      </c>
      <c r="J2474" s="3" t="str">
        <f t="shared" si="268"/>
        <v>|Mihdiy-i-Gilani|</v>
      </c>
      <c r="K2474" s="3" t="str">
        <f t="shared" si="269"/>
        <v>Mihdiy-i-Gilani</v>
      </c>
      <c r="N2474" s="39" t="str">
        <f t="shared" si="270"/>
        <v/>
      </c>
      <c r="P2474" s="39" t="str">
        <f t="shared" si="271"/>
        <v/>
      </c>
      <c r="R2474" s="39" t="str">
        <f t="shared" si="272"/>
        <v/>
      </c>
      <c r="S2474" s="28"/>
      <c r="T2474" s="28"/>
      <c r="U2474" s="28"/>
    </row>
    <row r="2475" spans="1:21" s="5" customFormat="1">
      <c r="A2475" s="179" t="s">
        <v>3024</v>
      </c>
      <c r="B2475" s="185" t="s">
        <v>7055</v>
      </c>
      <c r="C2475" s="35" t="str">
        <f t="shared" si="266"/>
        <v>MihdiyiKandi</v>
      </c>
      <c r="E2475" s="40"/>
      <c r="F2475" s="14"/>
      <c r="G2475" s="17"/>
      <c r="H2475" s="10" t="s">
        <v>8563</v>
      </c>
      <c r="I2475" s="4" t="str">
        <f t="shared" si="267"/>
        <v>|Mihdíy-i-Kandí|</v>
      </c>
      <c r="J2475" s="3" t="str">
        <f t="shared" si="268"/>
        <v>|Mihdiy-i-Kandi|</v>
      </c>
      <c r="K2475" s="3" t="str">
        <f t="shared" si="269"/>
        <v>Mihdiy-i-Kandi</v>
      </c>
      <c r="N2475" s="39" t="str">
        <f t="shared" si="270"/>
        <v/>
      </c>
      <c r="P2475" s="39" t="str">
        <f t="shared" si="271"/>
        <v/>
      </c>
      <c r="R2475" s="39" t="str">
        <f t="shared" si="272"/>
        <v/>
      </c>
      <c r="S2475" s="28"/>
      <c r="T2475" s="28"/>
      <c r="U2475" s="28"/>
    </row>
    <row r="2476" spans="1:21" s="5" customFormat="1">
      <c r="A2476" s="179" t="s">
        <v>3025</v>
      </c>
      <c r="B2476" s="185" t="s">
        <v>7056</v>
      </c>
      <c r="C2476" s="35" t="str">
        <f t="shared" si="266"/>
        <v>MihdiyiKashani</v>
      </c>
      <c r="E2476" s="40"/>
      <c r="F2476" s="14"/>
      <c r="G2476" s="17"/>
      <c r="H2476" s="10" t="s">
        <v>8563</v>
      </c>
      <c r="I2476" s="4" t="str">
        <f t="shared" si="267"/>
        <v>|Mihdíy-i-Káání|</v>
      </c>
      <c r="J2476" s="3" t="str">
        <f t="shared" si="268"/>
        <v>|Mihdiy-i-Kashani|</v>
      </c>
      <c r="K2476" s="3" t="str">
        <f t="shared" si="269"/>
        <v>Mihdiy-i-Kashani</v>
      </c>
      <c r="N2476" s="39" t="str">
        <f t="shared" si="270"/>
        <v/>
      </c>
      <c r="P2476" s="39" t="str">
        <f t="shared" si="271"/>
        <v/>
      </c>
      <c r="R2476" s="39" t="str">
        <f t="shared" si="272"/>
        <v/>
      </c>
      <c r="S2476" s="28"/>
      <c r="T2476" s="28"/>
      <c r="U2476" s="28"/>
    </row>
    <row r="2477" spans="1:21" s="5" customFormat="1">
      <c r="A2477" s="179" t="s">
        <v>3026</v>
      </c>
      <c r="B2477" s="185" t="s">
        <v>7057</v>
      </c>
      <c r="C2477" s="35" t="str">
        <f t="shared" si="266"/>
        <v>MihdiyiKhui</v>
      </c>
      <c r="E2477" s="40"/>
      <c r="F2477" s="15"/>
      <c r="G2477" s="17"/>
      <c r="H2477" s="10" t="s">
        <v>8563</v>
      </c>
      <c r="I2477" s="4" t="str">
        <f t="shared" si="267"/>
        <v>|Mihdíy-i-u’í|</v>
      </c>
      <c r="J2477" s="3" t="str">
        <f t="shared" si="268"/>
        <v>|Mihdiy-i-Khu'i|</v>
      </c>
      <c r="K2477" s="3" t="str">
        <f t="shared" si="269"/>
        <v>Mihdiy-i-Khui</v>
      </c>
      <c r="N2477" s="39" t="str">
        <f t="shared" si="270"/>
        <v/>
      </c>
      <c r="P2477" s="39" t="str">
        <f t="shared" si="271"/>
        <v/>
      </c>
      <c r="R2477" s="39" t="str">
        <f t="shared" si="272"/>
        <v/>
      </c>
      <c r="S2477" s="28"/>
      <c r="T2477" s="28"/>
      <c r="U2477" s="28"/>
    </row>
    <row r="2478" spans="1:21" s="5" customFormat="1">
      <c r="A2478" s="179" t="s">
        <v>3027</v>
      </c>
      <c r="B2478" s="185" t="s">
        <v>7058</v>
      </c>
      <c r="C2478" s="35" t="str">
        <f t="shared" si="266"/>
        <v>MihdiyiRashti</v>
      </c>
      <c r="E2478" s="40"/>
      <c r="F2478" s="14"/>
      <c r="G2478" s="17"/>
      <c r="H2478" s="10" t="s">
        <v>8563</v>
      </c>
      <c r="I2478" s="4" t="str">
        <f t="shared" si="267"/>
        <v>|Mihdíy-i-Ratí|</v>
      </c>
      <c r="J2478" s="3" t="str">
        <f t="shared" si="268"/>
        <v>|Mihdiy-i-Rashti|</v>
      </c>
      <c r="K2478" s="3" t="str">
        <f t="shared" si="269"/>
        <v>Mihdiy-i-Rashti</v>
      </c>
      <c r="N2478" s="39" t="str">
        <f t="shared" si="270"/>
        <v/>
      </c>
      <c r="P2478" s="39" t="str">
        <f t="shared" si="271"/>
        <v/>
      </c>
      <c r="R2478" s="39" t="str">
        <f t="shared" si="272"/>
        <v/>
      </c>
      <c r="S2478" s="28"/>
      <c r="T2478" s="28"/>
      <c r="U2478" s="28"/>
    </row>
    <row r="2479" spans="1:21" s="5" customFormat="1">
      <c r="A2479" s="179" t="s">
        <v>3028</v>
      </c>
      <c r="B2479" s="185" t="s">
        <v>7059</v>
      </c>
      <c r="C2479" s="35" t="str">
        <f t="shared" si="266"/>
        <v>MihdiyiYazdi</v>
      </c>
      <c r="E2479" s="40"/>
      <c r="F2479" s="14"/>
      <c r="G2479" s="17"/>
      <c r="H2479" s="10" t="s">
        <v>8563</v>
      </c>
      <c r="I2479" s="4" t="str">
        <f t="shared" si="267"/>
        <v>|Mihdíy-i-Yazdí|</v>
      </c>
      <c r="J2479" s="3" t="str">
        <f t="shared" si="268"/>
        <v>|Mihdiy-i-Yazdi|</v>
      </c>
      <c r="K2479" s="3" t="str">
        <f t="shared" si="269"/>
        <v>Mihdiy-i-Yazdi</v>
      </c>
      <c r="N2479" s="39" t="str">
        <f t="shared" si="270"/>
        <v/>
      </c>
      <c r="P2479" s="39" t="str">
        <f t="shared" si="271"/>
        <v/>
      </c>
      <c r="R2479" s="39" t="str">
        <f t="shared" si="272"/>
        <v/>
      </c>
      <c r="S2479" s="28"/>
      <c r="T2479" s="28"/>
      <c r="U2479" s="28"/>
    </row>
    <row r="2480" spans="1:21" s="5" customFormat="1">
      <c r="A2480" s="179" t="s">
        <v>3029</v>
      </c>
      <c r="B2480" s="185" t="s">
        <v>7060</v>
      </c>
      <c r="C2480" s="35" t="str">
        <f t="shared" si="266"/>
        <v>Mihdizadih</v>
      </c>
      <c r="E2480" s="40"/>
      <c r="F2480" s="15"/>
      <c r="G2480" s="17"/>
      <c r="H2480" s="10" t="s">
        <v>8563</v>
      </c>
      <c r="I2480" s="4" t="str">
        <f t="shared" si="267"/>
        <v>|Mihdízádih|</v>
      </c>
      <c r="J2480" s="3" t="str">
        <f t="shared" si="268"/>
        <v>|Mihdizadih|</v>
      </c>
      <c r="K2480" s="3" t="str">
        <f t="shared" si="269"/>
        <v>Mihdizadih</v>
      </c>
      <c r="N2480" s="39" t="str">
        <f t="shared" si="270"/>
        <v/>
      </c>
      <c r="P2480" s="39" t="str">
        <f t="shared" si="271"/>
        <v/>
      </c>
      <c r="R2480" s="39" t="str">
        <f t="shared" si="272"/>
        <v/>
      </c>
      <c r="S2480" s="28"/>
      <c r="T2480" s="28"/>
      <c r="U2480" s="28"/>
    </row>
    <row r="2481" spans="1:21" s="5" customFormat="1">
      <c r="A2481" s="179" t="s">
        <v>3030</v>
      </c>
      <c r="B2481" s="185" t="s">
        <v>7061</v>
      </c>
      <c r="C2481" s="35" t="str">
        <f t="shared" si="266"/>
        <v>Mihrab</v>
      </c>
      <c r="E2481" s="40"/>
      <c r="F2481" s="14" t="s">
        <v>3031</v>
      </c>
      <c r="G2481" s="17"/>
      <c r="H2481" s="10" t="s">
        <v>8563</v>
      </c>
      <c r="I2481" s="4" t="str">
        <f t="shared" si="267"/>
        <v>|Miḥráb|</v>
      </c>
      <c r="J2481" s="3" t="str">
        <f t="shared" si="268"/>
        <v>|Mihrab|</v>
      </c>
      <c r="K2481" s="3" t="str">
        <f t="shared" si="269"/>
        <v>Mihrab</v>
      </c>
      <c r="N2481" s="39" t="str">
        <f t="shared" si="270"/>
        <v/>
      </c>
      <c r="P2481" s="39" t="str">
        <f t="shared" si="271"/>
        <v/>
      </c>
      <c r="R2481" s="39" t="str">
        <f t="shared" si="272"/>
        <v/>
      </c>
      <c r="S2481" s="28"/>
      <c r="T2481" s="28"/>
      <c r="U2481" s="28"/>
    </row>
    <row r="2482" spans="1:21" s="5" customFormat="1">
      <c r="A2482" s="179" t="s">
        <v>3013</v>
      </c>
      <c r="B2482" s="185" t="s">
        <v>7048</v>
      </c>
      <c r="C2482" s="35" t="str">
        <f t="shared" si="266"/>
        <v>Mihrabkhani</v>
      </c>
      <c r="E2482" s="40"/>
      <c r="F2482" s="15"/>
      <c r="G2482" s="17"/>
      <c r="H2482" s="10" t="s">
        <v>8563</v>
      </c>
      <c r="I2482" s="4" t="str">
        <f t="shared" si="267"/>
        <v>|Mihrábání|</v>
      </c>
      <c r="J2482" s="3" t="str">
        <f t="shared" si="268"/>
        <v>|Mihrabkhani|</v>
      </c>
      <c r="K2482" s="3" t="str">
        <f t="shared" si="269"/>
        <v>Mihrabkhani</v>
      </c>
      <c r="N2482" s="39" t="str">
        <f t="shared" si="270"/>
        <v/>
      </c>
      <c r="P2482" s="39" t="str">
        <f t="shared" si="271"/>
        <v/>
      </c>
      <c r="R2482" s="39" t="str">
        <f t="shared" si="272"/>
        <v/>
      </c>
      <c r="S2482" s="28"/>
      <c r="T2482" s="28"/>
      <c r="U2482" s="28"/>
    </row>
    <row r="2483" spans="1:21" s="5" customFormat="1">
      <c r="A2483" s="179" t="s">
        <v>3032</v>
      </c>
      <c r="B2483" s="185" t="s">
        <v>7062</v>
      </c>
      <c r="C2483" s="35" t="str">
        <f t="shared" si="266"/>
        <v>Mihragan</v>
      </c>
      <c r="E2483" s="40"/>
      <c r="F2483" s="15"/>
      <c r="G2483" s="17"/>
      <c r="H2483" s="10" t="s">
        <v>8563</v>
      </c>
      <c r="I2483" s="4" t="str">
        <f t="shared" si="267"/>
        <v>|Mihragán|</v>
      </c>
      <c r="J2483" s="3" t="str">
        <f t="shared" si="268"/>
        <v>|Mihragan|</v>
      </c>
      <c r="K2483" s="3" t="str">
        <f t="shared" si="269"/>
        <v>Mihragan</v>
      </c>
      <c r="N2483" s="39" t="str">
        <f t="shared" si="270"/>
        <v/>
      </c>
      <c r="P2483" s="39" t="str">
        <f t="shared" si="271"/>
        <v/>
      </c>
      <c r="R2483" s="39" t="str">
        <f t="shared" si="272"/>
        <v/>
      </c>
      <c r="S2483" s="28"/>
      <c r="T2483" s="28"/>
      <c r="U2483" s="28"/>
    </row>
    <row r="2484" spans="1:21" s="5" customFormat="1">
      <c r="A2484" s="179" t="s">
        <v>3033</v>
      </c>
      <c r="B2484" s="185" t="s">
        <v>7063</v>
      </c>
      <c r="C2484" s="35" t="str">
        <f t="shared" si="266"/>
        <v>MihrAli</v>
      </c>
      <c r="E2484" s="40"/>
      <c r="F2484" s="14"/>
      <c r="G2484" s="17"/>
      <c r="H2484" s="10" t="s">
        <v>8563</v>
      </c>
      <c r="I2484" s="4" t="str">
        <f t="shared" si="267"/>
        <v>|Mihr-ʿAlí|</v>
      </c>
      <c r="J2484" s="3" t="str">
        <f t="shared" si="268"/>
        <v>|Mihr-'Ali|</v>
      </c>
      <c r="K2484" s="3" t="str">
        <f t="shared" si="269"/>
        <v>Mihr-Ali</v>
      </c>
      <c r="N2484" s="39" t="str">
        <f t="shared" si="270"/>
        <v/>
      </c>
      <c r="P2484" s="39" t="str">
        <f t="shared" si="271"/>
        <v/>
      </c>
      <c r="R2484" s="39" t="str">
        <f t="shared" si="272"/>
        <v/>
      </c>
      <c r="S2484" s="28"/>
      <c r="T2484" s="28"/>
      <c r="U2484" s="28"/>
    </row>
    <row r="2485" spans="1:21" s="5" customFormat="1">
      <c r="A2485" s="179" t="s">
        <v>3034</v>
      </c>
      <c r="B2485" s="185" t="s">
        <v>7064</v>
      </c>
      <c r="C2485" s="35" t="str">
        <f t="shared" si="266"/>
        <v>MihrAliyiHaddad</v>
      </c>
      <c r="E2485" s="40"/>
      <c r="F2485" s="15"/>
      <c r="G2485" s="17"/>
      <c r="H2485" s="10" t="s">
        <v>8563</v>
      </c>
      <c r="I2485" s="4" t="str">
        <f t="shared" si="267"/>
        <v>|Mihr-ʿAlíy-i-Ḥaddád|</v>
      </c>
      <c r="J2485" s="3" t="str">
        <f t="shared" si="268"/>
        <v>|Mihr-'Aliy-i-Haddad|</v>
      </c>
      <c r="K2485" s="3" t="str">
        <f t="shared" si="269"/>
        <v>Mihr-Aliy-i-Haddad</v>
      </c>
      <c r="N2485" s="39" t="str">
        <f t="shared" si="270"/>
        <v/>
      </c>
      <c r="P2485" s="39" t="str">
        <f t="shared" si="271"/>
        <v/>
      </c>
      <c r="R2485" s="39" t="str">
        <f t="shared" si="272"/>
        <v/>
      </c>
      <c r="S2485" s="28"/>
      <c r="T2485" s="28"/>
      <c r="U2485" s="28"/>
    </row>
    <row r="2486" spans="1:21" s="5" customFormat="1">
      <c r="A2486" s="179" t="s">
        <v>3014</v>
      </c>
      <c r="B2486" s="185" t="s">
        <v>7049</v>
      </c>
      <c r="C2486" s="35" t="str">
        <f t="shared" si="266"/>
        <v>Mihrangiz</v>
      </c>
      <c r="E2486" s="40"/>
      <c r="F2486" s="14"/>
      <c r="G2486" s="17"/>
      <c r="H2486" s="10" t="s">
        <v>8563</v>
      </c>
      <c r="I2486" s="4" t="str">
        <f t="shared" si="267"/>
        <v>|Mihrangíz|</v>
      </c>
      <c r="J2486" s="3" t="str">
        <f t="shared" si="268"/>
        <v>|Mihrangiz|</v>
      </c>
      <c r="K2486" s="3" t="str">
        <f t="shared" si="269"/>
        <v>Mihrangiz</v>
      </c>
      <c r="N2486" s="39" t="str">
        <f t="shared" si="270"/>
        <v/>
      </c>
      <c r="P2486" s="39" t="str">
        <f t="shared" si="271"/>
        <v/>
      </c>
      <c r="R2486" s="39" t="str">
        <f t="shared" si="272"/>
        <v/>
      </c>
      <c r="S2486" s="28"/>
      <c r="T2486" s="28"/>
      <c r="U2486" s="28"/>
    </row>
    <row r="2487" spans="1:21" s="5" customFormat="1">
      <c r="A2487" s="179" t="s">
        <v>3035</v>
      </c>
      <c r="B2487" s="185" t="s">
        <v>7065</v>
      </c>
      <c r="C2487" s="35" t="str">
        <f t="shared" si="266"/>
        <v>Mihriyar</v>
      </c>
      <c r="E2487" s="40"/>
      <c r="F2487" s="14"/>
      <c r="G2487" s="17"/>
      <c r="H2487" s="10" t="s">
        <v>8563</v>
      </c>
      <c r="I2487" s="4" t="str">
        <f t="shared" si="267"/>
        <v>|Mihríyár|</v>
      </c>
      <c r="J2487" s="3" t="str">
        <f t="shared" si="268"/>
        <v>|Mihriyar|</v>
      </c>
      <c r="K2487" s="3" t="str">
        <f t="shared" si="269"/>
        <v>Mihriyar</v>
      </c>
      <c r="N2487" s="39" t="str">
        <f t="shared" si="270"/>
        <v/>
      </c>
      <c r="P2487" s="39" t="str">
        <f t="shared" si="271"/>
        <v/>
      </c>
      <c r="R2487" s="39" t="str">
        <f t="shared" si="272"/>
        <v/>
      </c>
      <c r="S2487" s="28"/>
      <c r="T2487" s="28"/>
      <c r="U2487" s="28"/>
    </row>
    <row r="2488" spans="1:21" s="5" customFormat="1">
      <c r="A2488" s="179" t="s">
        <v>3036</v>
      </c>
      <c r="B2488" s="185" t="s">
        <v>7066</v>
      </c>
      <c r="C2488" s="35" t="str">
        <f t="shared" si="266"/>
        <v>Mihriz</v>
      </c>
      <c r="E2488" s="40"/>
      <c r="F2488" s="14"/>
      <c r="G2488" s="17"/>
      <c r="H2488" s="10" t="s">
        <v>8563</v>
      </c>
      <c r="I2488" s="4" t="str">
        <f t="shared" si="267"/>
        <v>|Mihríz|</v>
      </c>
      <c r="J2488" s="3" t="str">
        <f t="shared" si="268"/>
        <v>|Mihriz|</v>
      </c>
      <c r="K2488" s="3" t="str">
        <f t="shared" si="269"/>
        <v>Mihriz</v>
      </c>
      <c r="N2488" s="39" t="str">
        <f t="shared" si="270"/>
        <v/>
      </c>
      <c r="P2488" s="39" t="str">
        <f t="shared" si="271"/>
        <v/>
      </c>
      <c r="R2488" s="39" t="str">
        <f t="shared" si="272"/>
        <v/>
      </c>
      <c r="S2488" s="28"/>
      <c r="T2488" s="28"/>
      <c r="U2488" s="28"/>
    </row>
    <row r="2489" spans="1:21" s="5" customFormat="1">
      <c r="A2489" s="179" t="s">
        <v>3037</v>
      </c>
      <c r="B2489" s="185" t="s">
        <v>7067</v>
      </c>
      <c r="C2489" s="35" t="str">
        <f t="shared" si="266"/>
        <v>Milan</v>
      </c>
      <c r="E2489" s="40"/>
      <c r="F2489" s="14"/>
      <c r="G2489" s="17"/>
      <c r="H2489" s="10" t="s">
        <v>8563</v>
      </c>
      <c r="I2489" s="4" t="str">
        <f t="shared" si="267"/>
        <v>|Mílán|</v>
      </c>
      <c r="J2489" s="3" t="str">
        <f t="shared" si="268"/>
        <v>|Milan|</v>
      </c>
      <c r="K2489" s="3" t="str">
        <f t="shared" si="269"/>
        <v>Milan</v>
      </c>
      <c r="N2489" s="39" t="str">
        <f t="shared" si="270"/>
        <v/>
      </c>
      <c r="P2489" s="39" t="str">
        <f t="shared" si="271"/>
        <v/>
      </c>
      <c r="R2489" s="39" t="str">
        <f t="shared" si="272"/>
        <v/>
      </c>
      <c r="S2489" s="28"/>
      <c r="T2489" s="28"/>
      <c r="U2489" s="28"/>
    </row>
    <row r="2490" spans="1:21" s="5" customFormat="1">
      <c r="A2490" s="179" t="s">
        <v>3038</v>
      </c>
      <c r="B2490" s="185" t="s">
        <v>7068</v>
      </c>
      <c r="C2490" s="35" t="str">
        <f t="shared" si="266"/>
        <v>Milani</v>
      </c>
      <c r="E2490" s="40"/>
      <c r="F2490" s="15"/>
      <c r="G2490" s="17"/>
      <c r="H2490" s="10" t="s">
        <v>8563</v>
      </c>
      <c r="I2490" s="4" t="str">
        <f t="shared" si="267"/>
        <v>|Mílání|</v>
      </c>
      <c r="J2490" s="3" t="str">
        <f t="shared" si="268"/>
        <v>|Milani|</v>
      </c>
      <c r="K2490" s="3" t="str">
        <f t="shared" si="269"/>
        <v>Milani</v>
      </c>
      <c r="N2490" s="39" t="str">
        <f t="shared" si="270"/>
        <v/>
      </c>
      <c r="P2490" s="39" t="str">
        <f t="shared" si="271"/>
        <v/>
      </c>
      <c r="R2490" s="39" t="str">
        <f t="shared" si="272"/>
        <v/>
      </c>
      <c r="S2490" s="28"/>
      <c r="T2490" s="28"/>
      <c r="U2490" s="28"/>
    </row>
    <row r="2491" spans="1:21" s="5" customFormat="1">
      <c r="A2491" s="179" t="s">
        <v>3039</v>
      </c>
      <c r="B2491" s="185" t="s">
        <v>7069</v>
      </c>
      <c r="C2491" s="35" t="str">
        <f t="shared" si="266"/>
        <v>Mim</v>
      </c>
      <c r="E2491" s="40"/>
      <c r="F2491" s="14"/>
      <c r="G2491" s="17"/>
      <c r="H2491" s="10" t="s">
        <v>8563</v>
      </c>
      <c r="I2491" s="4" t="str">
        <f t="shared" si="267"/>
        <v>|Mím|</v>
      </c>
      <c r="J2491" s="3" t="str">
        <f t="shared" si="268"/>
        <v>|Mim|</v>
      </c>
      <c r="K2491" s="3" t="str">
        <f t="shared" si="269"/>
        <v>Mim</v>
      </c>
      <c r="N2491" s="39" t="str">
        <f t="shared" si="270"/>
        <v/>
      </c>
      <c r="P2491" s="39" t="str">
        <f t="shared" si="271"/>
        <v/>
      </c>
      <c r="R2491" s="39" t="str">
        <f t="shared" si="272"/>
        <v/>
      </c>
      <c r="S2491" s="28"/>
      <c r="T2491" s="28"/>
      <c r="U2491" s="28"/>
    </row>
    <row r="2492" spans="1:21" s="5" customFormat="1">
      <c r="A2492" s="179" t="s">
        <v>3040</v>
      </c>
      <c r="B2492" s="185" t="s">
        <v>7070</v>
      </c>
      <c r="C2492" s="35" t="str">
        <f t="shared" si="266"/>
        <v>MinahijulAhkam</v>
      </c>
      <c r="E2492" s="40"/>
      <c r="F2492" s="15"/>
      <c r="G2492" s="17"/>
      <c r="H2492" s="10" t="s">
        <v>8563</v>
      </c>
      <c r="I2492" s="4" t="str">
        <f t="shared" si="267"/>
        <v>|Mináhiju’l-Aḥkám|</v>
      </c>
      <c r="J2492" s="3" t="str">
        <f t="shared" si="268"/>
        <v>|Minahiju'l-Ahkam|</v>
      </c>
      <c r="K2492" s="3" t="str">
        <f t="shared" si="269"/>
        <v>Minahijul-Ahkam</v>
      </c>
      <c r="N2492" s="39" t="str">
        <f t="shared" si="270"/>
        <v/>
      </c>
      <c r="P2492" s="39" t="str">
        <f t="shared" si="271"/>
        <v/>
      </c>
      <c r="R2492" s="39" t="str">
        <f t="shared" si="272"/>
        <v/>
      </c>
      <c r="S2492" s="28"/>
      <c r="T2492" s="28"/>
      <c r="U2492" s="28"/>
    </row>
    <row r="2493" spans="1:21" s="5" customFormat="1">
      <c r="A2493" s="179" t="s">
        <v>3041</v>
      </c>
      <c r="B2493" s="185" t="s">
        <v>7071</v>
      </c>
      <c r="C2493" s="35" t="str">
        <f t="shared" si="266"/>
        <v>Miqdadi</v>
      </c>
      <c r="E2493" s="40"/>
      <c r="F2493" s="15"/>
      <c r="G2493" s="17"/>
      <c r="H2493" s="10" t="s">
        <v>8563</v>
      </c>
      <c r="I2493" s="4" t="str">
        <f t="shared" si="267"/>
        <v>|Miqdádí|</v>
      </c>
      <c r="J2493" s="3" t="str">
        <f t="shared" si="268"/>
        <v>|Miqdadi|</v>
      </c>
      <c r="K2493" s="3" t="str">
        <f t="shared" si="269"/>
        <v>Miqdadi</v>
      </c>
      <c r="N2493" s="39" t="str">
        <f t="shared" si="270"/>
        <v/>
      </c>
      <c r="P2493" s="39" t="str">
        <f t="shared" si="271"/>
        <v/>
      </c>
      <c r="R2493" s="39" t="str">
        <f t="shared" si="272"/>
        <v/>
      </c>
      <c r="S2493" s="28"/>
      <c r="T2493" s="28"/>
      <c r="U2493" s="28"/>
    </row>
    <row r="2494" spans="1:21" s="5" customFormat="1">
      <c r="A2494" s="179" t="s">
        <v>3042</v>
      </c>
      <c r="B2494" s="185" t="s">
        <v>7072</v>
      </c>
      <c r="C2494" s="35" t="str">
        <f t="shared" si="266"/>
        <v>Mir</v>
      </c>
      <c r="E2494" s="40"/>
      <c r="F2494" s="14"/>
      <c r="G2494" s="17"/>
      <c r="H2494" s="10" t="s">
        <v>8563</v>
      </c>
      <c r="I2494" s="4" t="str">
        <f t="shared" si="267"/>
        <v>|Mír|</v>
      </c>
      <c r="J2494" s="3" t="str">
        <f t="shared" si="268"/>
        <v>|Mir|</v>
      </c>
      <c r="K2494" s="3" t="str">
        <f t="shared" si="269"/>
        <v>Mir</v>
      </c>
      <c r="L2494" s="5" t="s">
        <v>59</v>
      </c>
      <c r="N2494" s="39" t="str">
        <f t="shared" si="270"/>
        <v/>
      </c>
      <c r="P2494" s="39" t="str">
        <f t="shared" si="271"/>
        <v/>
      </c>
      <c r="R2494" s="39" t="str">
        <f t="shared" si="272"/>
        <v/>
      </c>
      <c r="S2494" s="28"/>
      <c r="T2494" s="28"/>
      <c r="U2494" s="28"/>
    </row>
    <row r="2495" spans="1:21" s="5" customFormat="1">
      <c r="A2495" s="179" t="s">
        <v>3043</v>
      </c>
      <c r="B2495" s="185" t="s">
        <v>7073</v>
      </c>
      <c r="C2495" s="35" t="str">
        <f t="shared" si="266"/>
        <v>Miraj</v>
      </c>
      <c r="E2495" s="40"/>
      <c r="F2495" s="14" t="s">
        <v>3044</v>
      </c>
      <c r="G2495" s="17"/>
      <c r="H2495" s="10" t="s">
        <v>8563</v>
      </c>
      <c r="I2495" s="4" t="str">
        <f t="shared" si="267"/>
        <v>|Miʿráj|</v>
      </c>
      <c r="J2495" s="3" t="str">
        <f t="shared" si="268"/>
        <v>|Mi'raj|</v>
      </c>
      <c r="K2495" s="3" t="str">
        <f t="shared" si="269"/>
        <v>Miraj</v>
      </c>
      <c r="N2495" s="39" t="str">
        <f t="shared" si="270"/>
        <v/>
      </c>
      <c r="P2495" s="39" t="str">
        <f t="shared" si="271"/>
        <v/>
      </c>
      <c r="R2495" s="39" t="str">
        <f t="shared" si="272"/>
        <v/>
      </c>
      <c r="S2495" s="28"/>
      <c r="T2495" s="28"/>
      <c r="U2495" s="28"/>
    </row>
    <row r="2496" spans="1:21" s="5" customFormat="1">
      <c r="A2496" s="179" t="s">
        <v>3045</v>
      </c>
      <c r="B2496" s="185" t="s">
        <v>7074</v>
      </c>
      <c r="C2496" s="35" t="str">
        <f t="shared" si="266"/>
        <v>MirAsadullah</v>
      </c>
      <c r="E2496" s="40"/>
      <c r="F2496" s="15"/>
      <c r="G2496" s="17"/>
      <c r="H2496" s="10" t="s">
        <v>8563</v>
      </c>
      <c r="I2496" s="4" t="str">
        <f t="shared" si="267"/>
        <v>|Mír-Asadú’lláh|</v>
      </c>
      <c r="J2496" s="3" t="str">
        <f t="shared" si="268"/>
        <v>|Mir-Asadu'llah|</v>
      </c>
      <c r="K2496" s="3" t="str">
        <f t="shared" si="269"/>
        <v>Mir-Asadullah</v>
      </c>
      <c r="N2496" s="39" t="str">
        <f t="shared" si="270"/>
        <v/>
      </c>
      <c r="P2496" s="39" t="str">
        <f t="shared" si="271"/>
        <v/>
      </c>
      <c r="R2496" s="39" t="str">
        <f t="shared" si="272"/>
        <v/>
      </c>
      <c r="S2496" s="28"/>
      <c r="T2496" s="28"/>
      <c r="U2496" s="28"/>
    </row>
    <row r="2497" spans="1:21" s="5" customFormat="1">
      <c r="A2497" s="179" t="s">
        <v>3046</v>
      </c>
      <c r="B2497" s="185" t="s">
        <v>7075</v>
      </c>
      <c r="C2497" s="35" t="str">
        <f t="shared" si="266"/>
        <v>Mirat</v>
      </c>
      <c r="E2497" s="40"/>
      <c r="F2497" s="15" t="s">
        <v>3047</v>
      </c>
      <c r="G2497" s="17"/>
      <c r="H2497" s="10" t="s">
        <v>8563</v>
      </c>
      <c r="I2497" s="4" t="str">
        <f t="shared" si="267"/>
        <v>|Mir’át|</v>
      </c>
      <c r="J2497" s="3" t="str">
        <f t="shared" si="268"/>
        <v>|Mir'at|</v>
      </c>
      <c r="K2497" s="3" t="str">
        <f t="shared" si="269"/>
        <v>Mirat</v>
      </c>
      <c r="N2497" s="39" t="str">
        <f t="shared" si="270"/>
        <v/>
      </c>
      <c r="P2497" s="39" t="str">
        <f t="shared" si="271"/>
        <v/>
      </c>
      <c r="R2497" s="39" t="str">
        <f t="shared" si="272"/>
        <v/>
      </c>
      <c r="S2497" s="28"/>
      <c r="T2497" s="28"/>
      <c r="U2497" s="28"/>
    </row>
    <row r="2498" spans="1:21" s="5" customFormat="1">
      <c r="A2498" s="179" t="s">
        <v>3048</v>
      </c>
      <c r="B2498" s="185" t="s">
        <v>7076</v>
      </c>
      <c r="C2498" s="35" t="str">
        <f t="shared" ref="C2498:C2561" si="273">SUBSTITUTE(SUBSTITUTE(K2498,"-","")," ","")</f>
        <v>MiratulAzaliyyih</v>
      </c>
      <c r="E2498" s="40"/>
      <c r="F2498" s="15" t="s">
        <v>3049</v>
      </c>
      <c r="G2498" s="17"/>
      <c r="H2498" s="10" t="s">
        <v>8563</v>
      </c>
      <c r="I2498" s="4" t="str">
        <f t="shared" ref="I2498:I2561" si="274">CONCATENATE("|",B2498,"|")</f>
        <v>|Mir’átu’l-Azalíyyih|</v>
      </c>
      <c r="J2498" s="3" t="str">
        <f t="shared" ref="J2498:J2561" si="275">CONCATENATE("|",F_OutputASCII(B2498),"|")</f>
        <v>|Mir'atu'l-Azaliyyih|</v>
      </c>
      <c r="K2498" s="3" t="str">
        <f t="shared" ref="K2498:K2561" si="276">IF(SUBSTITUTE(MID(J2498,2,LEN(J2498)-2),"'","")&lt;&gt;"",SUBSTITUTE(MID(J2498,2,LEN(J2498)-2),"'",""),"ZZZZZ")</f>
        <v>Miratul-Azaliyyih</v>
      </c>
      <c r="N2498" s="39" t="str">
        <f t="shared" si="270"/>
        <v/>
      </c>
      <c r="P2498" s="39" t="str">
        <f t="shared" si="271"/>
        <v/>
      </c>
      <c r="R2498" s="39" t="str">
        <f t="shared" si="272"/>
        <v/>
      </c>
      <c r="S2498" s="28"/>
      <c r="T2498" s="28"/>
      <c r="U2498" s="28"/>
    </row>
    <row r="2499" spans="1:21" s="5" customFormat="1">
      <c r="A2499" s="179" t="s">
        <v>3050</v>
      </c>
      <c r="B2499" s="185" t="s">
        <v>7077</v>
      </c>
      <c r="C2499" s="35" t="str">
        <f t="shared" si="273"/>
        <v>MirPanj</v>
      </c>
      <c r="E2499" s="40"/>
      <c r="F2499" s="14"/>
      <c r="G2499" s="17"/>
      <c r="H2499" s="10" t="s">
        <v>8563</v>
      </c>
      <c r="I2499" s="4" t="str">
        <f t="shared" si="274"/>
        <v>|Mír-Panj|</v>
      </c>
      <c r="J2499" s="3" t="str">
        <f t="shared" si="275"/>
        <v>|Mir-Panj|</v>
      </c>
      <c r="K2499" s="3" t="str">
        <f t="shared" si="276"/>
        <v>Mir-Panj</v>
      </c>
      <c r="N2499" s="39" t="str">
        <f t="shared" ref="N2499:N2562" si="277">SUBSTITUTE(SUBSTITUTE(SUBSTITUTE(F_OutputASCII(M2499),"-","")," ",""),"'","")</f>
        <v/>
      </c>
      <c r="P2499" s="39" t="str">
        <f t="shared" ref="P2499:P2562" si="278">SUBSTITUTE(SUBSTITUTE(SUBSTITUTE(F_OutputASCII(O2499),"-","")," ",""),"'","")</f>
        <v/>
      </c>
      <c r="R2499" s="39" t="str">
        <f t="shared" ref="R2499:R2562" si="279">SUBSTITUTE(SUBSTITUTE(Q2499,"-","")," ","")</f>
        <v/>
      </c>
      <c r="S2499" s="28"/>
      <c r="T2499" s="28"/>
      <c r="U2499" s="28"/>
    </row>
    <row r="2500" spans="1:21" s="5" customFormat="1">
      <c r="A2500" s="181"/>
      <c r="B2500" s="185" t="s">
        <v>135</v>
      </c>
      <c r="C2500" s="35" t="str">
        <f t="shared" si="273"/>
        <v>Mirvan</v>
      </c>
      <c r="D2500" s="1"/>
      <c r="E2500" s="40"/>
      <c r="F2500" s="12"/>
      <c r="G2500" s="9"/>
      <c r="H2500" s="11" t="s">
        <v>77</v>
      </c>
      <c r="I2500" s="4" t="str">
        <f t="shared" si="274"/>
        <v>|Mirván|</v>
      </c>
      <c r="J2500" s="3" t="str">
        <f t="shared" si="275"/>
        <v>|Mirvan|</v>
      </c>
      <c r="K2500" s="3" t="str">
        <f t="shared" si="276"/>
        <v>Mirvan</v>
      </c>
      <c r="M2500" s="1"/>
      <c r="N2500" s="39" t="str">
        <f t="shared" si="277"/>
        <v/>
      </c>
      <c r="O2500" s="1"/>
      <c r="P2500" s="39" t="str">
        <f t="shared" si="278"/>
        <v/>
      </c>
      <c r="Q2500" s="1"/>
      <c r="R2500" s="39" t="str">
        <f t="shared" si="279"/>
        <v/>
      </c>
      <c r="S2500" s="28"/>
      <c r="T2500" s="28"/>
      <c r="U2500" s="28"/>
    </row>
    <row r="2501" spans="1:21" s="5" customFormat="1">
      <c r="A2501" s="179" t="s">
        <v>3051</v>
      </c>
      <c r="B2501" s="185" t="s">
        <v>7078</v>
      </c>
      <c r="C2501" s="35" t="str">
        <f t="shared" si="273"/>
        <v>Mirza</v>
      </c>
      <c r="E2501" s="40"/>
      <c r="F2501" s="14" t="s">
        <v>3052</v>
      </c>
      <c r="G2501" s="17"/>
      <c r="H2501" s="10" t="s">
        <v>8563</v>
      </c>
      <c r="I2501" s="4" t="str">
        <f t="shared" si="274"/>
        <v>|Mírzá|</v>
      </c>
      <c r="J2501" s="3" t="str">
        <f t="shared" si="275"/>
        <v>|Mirza|</v>
      </c>
      <c r="K2501" s="3" t="str">
        <f t="shared" si="276"/>
        <v>Mirza</v>
      </c>
      <c r="N2501" s="39" t="str">
        <f t="shared" si="277"/>
        <v/>
      </c>
      <c r="P2501" s="39" t="str">
        <f t="shared" si="278"/>
        <v/>
      </c>
      <c r="R2501" s="39" t="str">
        <f t="shared" si="279"/>
        <v/>
      </c>
      <c r="S2501" s="28"/>
      <c r="T2501" s="28"/>
      <c r="U2501" s="28"/>
    </row>
    <row r="2502" spans="1:21" s="5" customFormat="1">
      <c r="A2502" s="181"/>
      <c r="B2502" s="185" t="s">
        <v>8694</v>
      </c>
      <c r="C2502" s="35" t="str">
        <f t="shared" si="273"/>
        <v>MirzaAbdullahiGhawgha</v>
      </c>
      <c r="D2502" s="1"/>
      <c r="E2502" s="40"/>
      <c r="F2502" s="12"/>
      <c r="G2502" s="9"/>
      <c r="H2502" s="12" t="s">
        <v>8622</v>
      </c>
      <c r="I2502" s="4" t="str">
        <f t="shared" si="274"/>
        <v>|Mírzá ʿAbdu’lláh-i-awá|</v>
      </c>
      <c r="J2502" s="3" t="str">
        <f t="shared" si="275"/>
        <v>|Mirza 'Abdu'llah-i-Ghawgha|</v>
      </c>
      <c r="K2502" s="3" t="str">
        <f t="shared" si="276"/>
        <v>Mirza Abdullah-i-Ghawgha</v>
      </c>
      <c r="N2502" s="39" t="str">
        <f t="shared" si="277"/>
        <v/>
      </c>
      <c r="P2502" s="39" t="str">
        <f t="shared" si="278"/>
        <v/>
      </c>
      <c r="R2502" s="39" t="str">
        <f t="shared" si="279"/>
        <v/>
      </c>
      <c r="S2502" s="29">
        <v>41760</v>
      </c>
      <c r="T2502" s="28"/>
      <c r="U2502" s="28"/>
    </row>
    <row r="2503" spans="1:21" s="5" customFormat="1">
      <c r="A2503" s="181"/>
      <c r="B2503" s="185" t="s">
        <v>8697</v>
      </c>
      <c r="C2503" s="35" t="str">
        <f t="shared" si="273"/>
        <v>MirzaAbulFadl</v>
      </c>
      <c r="D2503" s="1"/>
      <c r="E2503" s="40"/>
      <c r="F2503" s="12"/>
      <c r="G2503" s="9"/>
      <c r="H2503" s="12" t="s">
        <v>8622</v>
      </c>
      <c r="I2503" s="4" t="str">
        <f t="shared" si="274"/>
        <v>|Mírzá Abu’l Faḍl|</v>
      </c>
      <c r="J2503" s="3" t="str">
        <f t="shared" si="275"/>
        <v>|Mirza Abu'l Fadl|</v>
      </c>
      <c r="K2503" s="3" t="str">
        <f t="shared" si="276"/>
        <v>Mirza Abul Fadl</v>
      </c>
      <c r="N2503" s="39" t="str">
        <f t="shared" si="277"/>
        <v/>
      </c>
      <c r="P2503" s="39" t="str">
        <f t="shared" si="278"/>
        <v/>
      </c>
      <c r="R2503" s="39" t="str">
        <f t="shared" si="279"/>
        <v/>
      </c>
      <c r="S2503" s="29">
        <v>41760</v>
      </c>
      <c r="T2503" s="28"/>
      <c r="U2503" s="28"/>
    </row>
    <row r="2504" spans="1:21" s="5" customFormat="1">
      <c r="A2504" s="181"/>
      <c r="B2504" s="185" t="s">
        <v>8698</v>
      </c>
      <c r="C2504" s="35" t="str">
        <f t="shared" si="273"/>
        <v>MirzaAbulQasim</v>
      </c>
      <c r="D2504" s="1"/>
      <c r="E2504" s="40"/>
      <c r="F2504" s="12"/>
      <c r="G2504" s="9"/>
      <c r="H2504" s="12" t="s">
        <v>8622</v>
      </c>
      <c r="I2504" s="4" t="str">
        <f t="shared" si="274"/>
        <v>|Mírzá Abu’l Qásim|</v>
      </c>
      <c r="J2504" s="3" t="str">
        <f t="shared" si="275"/>
        <v>|Mirza Abu'l Qasim|</v>
      </c>
      <c r="K2504" s="3" t="str">
        <f t="shared" si="276"/>
        <v>Mirza Abul Qasim</v>
      </c>
      <c r="N2504" s="39" t="str">
        <f t="shared" si="277"/>
        <v/>
      </c>
      <c r="P2504" s="39" t="str">
        <f t="shared" si="278"/>
        <v/>
      </c>
      <c r="R2504" s="39" t="str">
        <f t="shared" si="279"/>
        <v/>
      </c>
      <c r="S2504" s="29">
        <v>41760</v>
      </c>
      <c r="T2504" s="28"/>
      <c r="U2504" s="28"/>
    </row>
    <row r="2505" spans="1:21" s="5" customFormat="1">
      <c r="A2505" s="181"/>
      <c r="B2505" s="185" t="s">
        <v>8699</v>
      </c>
      <c r="C2505" s="35" t="str">
        <f t="shared" si="273"/>
        <v>MirzaAbulFath</v>
      </c>
      <c r="D2505" s="1"/>
      <c r="E2505" s="40"/>
      <c r="F2505" s="12"/>
      <c r="G2505" s="9"/>
      <c r="H2505" s="12" t="s">
        <v>8622</v>
      </c>
      <c r="I2505" s="4" t="str">
        <f t="shared" si="274"/>
        <v>|Mírzá Abu’l-Fatḥ|</v>
      </c>
      <c r="J2505" s="3" t="str">
        <f t="shared" si="275"/>
        <v>|Mirza Abu'l-Fath|</v>
      </c>
      <c r="K2505" s="3" t="str">
        <f t="shared" si="276"/>
        <v>Mirza Abul-Fath</v>
      </c>
      <c r="N2505" s="39" t="str">
        <f t="shared" si="277"/>
        <v/>
      </c>
      <c r="P2505" s="39" t="str">
        <f t="shared" si="278"/>
        <v/>
      </c>
      <c r="R2505" s="39" t="str">
        <f t="shared" si="279"/>
        <v/>
      </c>
      <c r="S2505" s="29">
        <v>41760</v>
      </c>
      <c r="T2505" s="28"/>
      <c r="U2505" s="28"/>
    </row>
    <row r="2506" spans="1:21" s="5" customFormat="1">
      <c r="A2506" s="181"/>
      <c r="B2506" s="186" t="s">
        <v>8819</v>
      </c>
      <c r="C2506" s="35" t="str">
        <f t="shared" si="273"/>
        <v>MirzaAbulQasims</v>
      </c>
      <c r="D2506" s="1" t="s">
        <v>59</v>
      </c>
      <c r="E2506" s="40"/>
      <c r="F2506" s="12"/>
      <c r="G2506" s="9"/>
      <c r="H2506" s="12" t="s">
        <v>8622</v>
      </c>
      <c r="I2506" s="4" t="str">
        <f t="shared" si="274"/>
        <v>|Mírzá Abu’l-Qásims|</v>
      </c>
      <c r="J2506" s="3" t="str">
        <f t="shared" si="275"/>
        <v>|Mirza Abu'l-Qasims|</v>
      </c>
      <c r="K2506" s="3" t="str">
        <f t="shared" si="276"/>
        <v>Mirza Abul-Qasims</v>
      </c>
      <c r="N2506" s="39" t="str">
        <f t="shared" si="277"/>
        <v/>
      </c>
      <c r="P2506" s="39" t="str">
        <f t="shared" si="278"/>
        <v/>
      </c>
      <c r="R2506" s="39" t="str">
        <f t="shared" si="279"/>
        <v/>
      </c>
      <c r="S2506" s="28"/>
      <c r="T2506" s="28"/>
      <c r="U2506" s="28"/>
    </row>
    <row r="2507" spans="1:21" s="5" customFormat="1">
      <c r="A2507" s="181"/>
      <c r="B2507" s="185" t="s">
        <v>8700</v>
      </c>
      <c r="C2507" s="35" t="str">
        <f t="shared" si="273"/>
        <v>MirzaAhmad</v>
      </c>
      <c r="D2507" s="1"/>
      <c r="E2507" s="40"/>
      <c r="F2507" s="12"/>
      <c r="G2507" s="9"/>
      <c r="H2507" s="12" t="s">
        <v>8622</v>
      </c>
      <c r="I2507" s="4" t="str">
        <f t="shared" si="274"/>
        <v>|Mírzá Aḥmad|</v>
      </c>
      <c r="J2507" s="3" t="str">
        <f t="shared" si="275"/>
        <v>|Mirza Ahmad|</v>
      </c>
      <c r="K2507" s="3" t="str">
        <f t="shared" si="276"/>
        <v>Mirza Ahmad</v>
      </c>
      <c r="N2507" s="39" t="str">
        <f t="shared" si="277"/>
        <v/>
      </c>
      <c r="P2507" s="39" t="str">
        <f t="shared" si="278"/>
        <v/>
      </c>
      <c r="R2507" s="39" t="str">
        <f t="shared" si="279"/>
        <v/>
      </c>
      <c r="S2507" s="29">
        <v>41760</v>
      </c>
      <c r="T2507" s="28"/>
      <c r="U2507" s="28"/>
    </row>
    <row r="2508" spans="1:21" s="5" customFormat="1">
      <c r="A2508" s="181"/>
      <c r="B2508" s="185" t="s">
        <v>8701</v>
      </c>
      <c r="C2508" s="35" t="str">
        <f t="shared" si="273"/>
        <v>MirzaAhmadiAzghandi</v>
      </c>
      <c r="D2508" s="1"/>
      <c r="E2508" s="40"/>
      <c r="F2508" s="12"/>
      <c r="G2508" s="9"/>
      <c r="H2508" s="12" t="s">
        <v>8622</v>
      </c>
      <c r="I2508" s="4" t="str">
        <f t="shared" si="274"/>
        <v>|Mírzá Aḥmad-i-Azandí|</v>
      </c>
      <c r="J2508" s="3" t="str">
        <f t="shared" si="275"/>
        <v>|Mirza Ahmad-i-Azghandi|</v>
      </c>
      <c r="K2508" s="3" t="str">
        <f t="shared" si="276"/>
        <v>Mirza Ahmad-i-Azghandi</v>
      </c>
      <c r="N2508" s="39" t="str">
        <f t="shared" si="277"/>
        <v/>
      </c>
      <c r="P2508" s="39" t="str">
        <f t="shared" si="278"/>
        <v/>
      </c>
      <c r="R2508" s="39" t="str">
        <f t="shared" si="279"/>
        <v/>
      </c>
      <c r="S2508" s="29">
        <v>41760</v>
      </c>
      <c r="T2508" s="28"/>
      <c r="U2508" s="28"/>
    </row>
    <row r="2509" spans="1:21" s="5" customFormat="1">
      <c r="A2509" s="181"/>
      <c r="B2509" s="185" t="s">
        <v>8702</v>
      </c>
      <c r="C2509" s="35" t="str">
        <f t="shared" si="273"/>
        <v>MirzaAhmadiKatib</v>
      </c>
      <c r="D2509" s="1"/>
      <c r="E2509" s="40"/>
      <c r="F2509" s="12"/>
      <c r="G2509" s="9"/>
      <c r="H2509" s="12" t="s">
        <v>8622</v>
      </c>
      <c r="I2509" s="4" t="str">
        <f t="shared" si="274"/>
        <v>|Mírzá Aḥmad-i-Kátib|</v>
      </c>
      <c r="J2509" s="3" t="str">
        <f t="shared" si="275"/>
        <v>|Mirza Ahmad-i-Katib|</v>
      </c>
      <c r="K2509" s="3" t="str">
        <f t="shared" si="276"/>
        <v>Mirza Ahmad-i-Katib</v>
      </c>
      <c r="N2509" s="39" t="str">
        <f t="shared" si="277"/>
        <v/>
      </c>
      <c r="P2509" s="39" t="str">
        <f t="shared" si="278"/>
        <v/>
      </c>
      <c r="R2509" s="39" t="str">
        <f t="shared" si="279"/>
        <v/>
      </c>
      <c r="S2509" s="29">
        <v>41760</v>
      </c>
      <c r="T2509" s="28"/>
      <c r="U2509" s="28"/>
    </row>
    <row r="2510" spans="1:21" s="5" customFormat="1">
      <c r="A2510" s="181"/>
      <c r="B2510" s="185" t="s">
        <v>8703</v>
      </c>
      <c r="C2510" s="35" t="str">
        <f t="shared" si="273"/>
        <v>MirzaAhmadiQazvini</v>
      </c>
      <c r="D2510" s="1"/>
      <c r="E2510" s="40"/>
      <c r="F2510" s="12"/>
      <c r="G2510" s="9"/>
      <c r="H2510" s="12" t="s">
        <v>8622</v>
      </c>
      <c r="I2510" s="4" t="str">
        <f t="shared" si="274"/>
        <v>|Mírzá Aḥmad-i-Qazvíní|</v>
      </c>
      <c r="J2510" s="3" t="str">
        <f t="shared" si="275"/>
        <v>|Mirza Ahmad-i-Qazvini|</v>
      </c>
      <c r="K2510" s="3" t="str">
        <f t="shared" si="276"/>
        <v>Mirza Ahmad-i-Qazvini</v>
      </c>
      <c r="N2510" s="39" t="str">
        <f t="shared" si="277"/>
        <v/>
      </c>
      <c r="P2510" s="39" t="str">
        <f t="shared" si="278"/>
        <v/>
      </c>
      <c r="R2510" s="39" t="str">
        <f t="shared" si="279"/>
        <v/>
      </c>
      <c r="S2510" s="29">
        <v>41760</v>
      </c>
      <c r="T2510" s="28"/>
      <c r="U2510" s="28"/>
    </row>
    <row r="2511" spans="1:21" s="5" customFormat="1">
      <c r="A2511" s="181"/>
      <c r="B2511" s="186" t="s">
        <v>8704</v>
      </c>
      <c r="C2511" s="35" t="str">
        <f t="shared" si="273"/>
        <v>MirzaAhmads</v>
      </c>
      <c r="D2511" s="1" t="s">
        <v>59</v>
      </c>
      <c r="E2511" s="40"/>
      <c r="F2511" s="12"/>
      <c r="G2511" s="9"/>
      <c r="H2511" s="12" t="s">
        <v>8622</v>
      </c>
      <c r="I2511" s="4" t="str">
        <f t="shared" si="274"/>
        <v>|Mírzá Aḥmads|</v>
      </c>
      <c r="J2511" s="3" t="str">
        <f t="shared" si="275"/>
        <v>|Mirza Ahmads|</v>
      </c>
      <c r="K2511" s="3" t="str">
        <f t="shared" si="276"/>
        <v>Mirza Ahmads</v>
      </c>
      <c r="N2511" s="39" t="str">
        <f t="shared" si="277"/>
        <v/>
      </c>
      <c r="P2511" s="39" t="str">
        <f t="shared" si="278"/>
        <v/>
      </c>
      <c r="R2511" s="39" t="str">
        <f t="shared" si="279"/>
        <v/>
      </c>
      <c r="S2511" s="28"/>
      <c r="T2511" s="28"/>
      <c r="U2511" s="28"/>
    </row>
    <row r="2512" spans="1:21" s="5" customFormat="1">
      <c r="A2512" s="181"/>
      <c r="B2512" s="185" t="s">
        <v>8695</v>
      </c>
      <c r="C2512" s="35" t="str">
        <f t="shared" si="273"/>
        <v>MirzaAli</v>
      </c>
      <c r="D2512" s="1"/>
      <c r="E2512" s="40"/>
      <c r="F2512" s="12"/>
      <c r="G2512" s="9"/>
      <c r="H2512" s="12" t="s">
        <v>8622</v>
      </c>
      <c r="I2512" s="4" t="str">
        <f t="shared" si="274"/>
        <v>|Mírzá ʿAlí|</v>
      </c>
      <c r="J2512" s="3" t="str">
        <f t="shared" si="275"/>
        <v>|Mirza 'Ali|</v>
      </c>
      <c r="K2512" s="3" t="str">
        <f t="shared" si="276"/>
        <v>Mirza Ali</v>
      </c>
      <c r="N2512" s="39" t="str">
        <f t="shared" si="277"/>
        <v/>
      </c>
      <c r="P2512" s="39" t="str">
        <f t="shared" si="278"/>
        <v/>
      </c>
      <c r="R2512" s="39" t="str">
        <f t="shared" si="279"/>
        <v/>
      </c>
      <c r="S2512" s="29">
        <v>41760</v>
      </c>
      <c r="T2512" s="28"/>
      <c r="U2512" s="28"/>
    </row>
    <row r="2513" spans="1:21" s="5" customFormat="1">
      <c r="A2513" s="181"/>
      <c r="B2513" s="185" t="s">
        <v>8696</v>
      </c>
      <c r="C2513" s="35" t="str">
        <f t="shared" si="273"/>
        <v>MirzaAliMuhammad</v>
      </c>
      <c r="D2513" s="1"/>
      <c r="E2513" s="40"/>
      <c r="F2513" s="12"/>
      <c r="G2513" s="9"/>
      <c r="H2513" s="12" t="s">
        <v>8622</v>
      </c>
      <c r="I2513" s="4" t="str">
        <f t="shared" si="274"/>
        <v>|Mírzá ʿAlí-Muḥammad|</v>
      </c>
      <c r="J2513" s="3" t="str">
        <f t="shared" si="275"/>
        <v>|Mirza 'Ali-Muhammad|</v>
      </c>
      <c r="K2513" s="3" t="str">
        <f t="shared" si="276"/>
        <v>Mirza Ali-Muhammad</v>
      </c>
      <c r="N2513" s="39" t="str">
        <f t="shared" si="277"/>
        <v/>
      </c>
      <c r="P2513" s="39" t="str">
        <f t="shared" si="278"/>
        <v/>
      </c>
      <c r="R2513" s="39" t="str">
        <f t="shared" si="279"/>
        <v/>
      </c>
      <c r="S2513" s="29">
        <v>41760</v>
      </c>
      <c r="T2513" s="28"/>
      <c r="U2513" s="28"/>
    </row>
    <row r="2514" spans="1:21" s="5" customFormat="1">
      <c r="A2514" s="181"/>
      <c r="B2514" s="185" t="s">
        <v>8705</v>
      </c>
      <c r="C2514" s="35" t="str">
        <f t="shared" si="273"/>
        <v>MirzaAqaJan</v>
      </c>
      <c r="D2514" s="1"/>
      <c r="E2514" s="40"/>
      <c r="F2514" s="12"/>
      <c r="G2514" s="9"/>
      <c r="H2514" s="12" t="s">
        <v>8622</v>
      </c>
      <c r="I2514" s="4" t="str">
        <f t="shared" si="274"/>
        <v>|Mírzá Áqá Ján|</v>
      </c>
      <c r="J2514" s="3" t="str">
        <f t="shared" si="275"/>
        <v>|Mirza Aqa Jan|</v>
      </c>
      <c r="K2514" s="3" t="str">
        <f t="shared" si="276"/>
        <v>Mirza Aqa Jan</v>
      </c>
      <c r="N2514" s="39" t="str">
        <f t="shared" si="277"/>
        <v/>
      </c>
      <c r="P2514" s="39" t="str">
        <f t="shared" si="278"/>
        <v/>
      </c>
      <c r="R2514" s="39" t="str">
        <f t="shared" si="279"/>
        <v/>
      </c>
      <c r="S2514" s="29">
        <v>41760</v>
      </c>
      <c r="T2514" s="28"/>
      <c r="U2514" s="28"/>
    </row>
    <row r="2515" spans="1:21" s="5" customFormat="1">
      <c r="A2515" s="181"/>
      <c r="B2515" s="185" t="s">
        <v>8706</v>
      </c>
      <c r="C2515" s="35" t="str">
        <f t="shared" si="273"/>
        <v>MirzaAqaKhaniNuri</v>
      </c>
      <c r="D2515" s="1"/>
      <c r="E2515" s="40"/>
      <c r="F2515" s="12"/>
      <c r="G2515" s="9"/>
      <c r="H2515" s="12" t="s">
        <v>8622</v>
      </c>
      <c r="I2515" s="4" t="str">
        <f t="shared" si="274"/>
        <v>|Mírzá Áqá án-i-Núrí|</v>
      </c>
      <c r="J2515" s="3" t="str">
        <f t="shared" si="275"/>
        <v>|Mirza Aqa Khan-i-Nuri|</v>
      </c>
      <c r="K2515" s="3" t="str">
        <f t="shared" si="276"/>
        <v>Mirza Aqa Khan-i-Nuri</v>
      </c>
      <c r="N2515" s="39" t="str">
        <f t="shared" si="277"/>
        <v/>
      </c>
      <c r="P2515" s="39" t="str">
        <f t="shared" si="278"/>
        <v/>
      </c>
      <c r="R2515" s="39" t="str">
        <f t="shared" si="279"/>
        <v/>
      </c>
      <c r="S2515" s="29">
        <v>41760</v>
      </c>
      <c r="T2515" s="28"/>
      <c r="U2515" s="28"/>
    </row>
    <row r="2516" spans="1:21" s="5" customFormat="1">
      <c r="A2516" s="181"/>
      <c r="B2516" s="185" t="s">
        <v>8707</v>
      </c>
      <c r="C2516" s="35" t="str">
        <f t="shared" si="273"/>
        <v>MirzaAqayiRikabSaz</v>
      </c>
      <c r="D2516" s="1"/>
      <c r="E2516" s="40"/>
      <c r="F2516" s="12"/>
      <c r="G2516" s="9"/>
      <c r="H2516" s="12" t="s">
        <v>8622</v>
      </c>
      <c r="I2516" s="4" t="str">
        <f t="shared" si="274"/>
        <v>|Mírzá Áqáy-i-Rikáb-Sáz|</v>
      </c>
      <c r="J2516" s="3" t="str">
        <f t="shared" si="275"/>
        <v>|Mirza Aqay-i-Rikab-Saz|</v>
      </c>
      <c r="K2516" s="3" t="str">
        <f t="shared" si="276"/>
        <v>Mirza Aqay-i-Rikab-Saz</v>
      </c>
      <c r="N2516" s="39" t="str">
        <f t="shared" si="277"/>
        <v/>
      </c>
      <c r="P2516" s="39" t="str">
        <f t="shared" si="278"/>
        <v/>
      </c>
      <c r="R2516" s="39" t="str">
        <f t="shared" si="279"/>
        <v/>
      </c>
      <c r="S2516" s="29">
        <v>41760</v>
      </c>
      <c r="T2516" s="28"/>
      <c r="U2516" s="28"/>
    </row>
    <row r="2517" spans="1:21" s="5" customFormat="1">
      <c r="A2517" s="181"/>
      <c r="B2517" s="185" t="s">
        <v>86</v>
      </c>
      <c r="C2517" s="35" t="str">
        <f t="shared" si="273"/>
        <v>MirzaBadiKhurasani</v>
      </c>
      <c r="D2517" s="1"/>
      <c r="E2517" s="40"/>
      <c r="F2517" s="12"/>
      <c r="G2517" s="9"/>
      <c r="H2517" s="12"/>
      <c r="I2517" s="4" t="str">
        <f t="shared" si="274"/>
        <v>|Mírzá Badíʿ urásání|</v>
      </c>
      <c r="J2517" s="3" t="str">
        <f t="shared" si="275"/>
        <v>|Mirza Badi' Khurasani|</v>
      </c>
      <c r="K2517" s="3" t="str">
        <f t="shared" si="276"/>
        <v>Mirza Badi Khurasani</v>
      </c>
      <c r="M2517" s="1"/>
      <c r="N2517" s="39" t="str">
        <f t="shared" si="277"/>
        <v/>
      </c>
      <c r="O2517" s="1"/>
      <c r="P2517" s="39" t="str">
        <f t="shared" si="278"/>
        <v/>
      </c>
      <c r="Q2517" s="1"/>
      <c r="R2517" s="39" t="str">
        <f t="shared" si="279"/>
        <v/>
      </c>
      <c r="S2517" s="28"/>
      <c r="T2517" s="28"/>
      <c r="U2517" s="28"/>
    </row>
    <row r="2518" spans="1:21" s="5" customFormat="1">
      <c r="A2518" s="181"/>
      <c r="B2518" s="185" t="s">
        <v>8708</v>
      </c>
      <c r="C2518" s="35" t="str">
        <f t="shared" si="273"/>
        <v>MirzaBuzurg</v>
      </c>
      <c r="D2518" s="1"/>
      <c r="E2518" s="40"/>
      <c r="F2518" s="12"/>
      <c r="G2518" s="9"/>
      <c r="H2518" s="12" t="s">
        <v>8622</v>
      </c>
      <c r="I2518" s="4" t="str">
        <f t="shared" si="274"/>
        <v>|Mírzá Buzurg|</v>
      </c>
      <c r="J2518" s="3" t="str">
        <f t="shared" si="275"/>
        <v>|Mirza Buzurg|</v>
      </c>
      <c r="K2518" s="3" t="str">
        <f t="shared" si="276"/>
        <v>Mirza Buzurg</v>
      </c>
      <c r="N2518" s="39" t="str">
        <f t="shared" si="277"/>
        <v/>
      </c>
      <c r="P2518" s="39" t="str">
        <f t="shared" si="278"/>
        <v/>
      </c>
      <c r="R2518" s="39" t="str">
        <f t="shared" si="279"/>
        <v/>
      </c>
      <c r="S2518" s="29">
        <v>41760</v>
      </c>
      <c r="T2518" s="28"/>
      <c r="U2518" s="28"/>
    </row>
    <row r="2519" spans="1:21" s="5" customFormat="1">
      <c r="A2519" s="181"/>
      <c r="B2519" s="185" t="s">
        <v>8709</v>
      </c>
      <c r="C2519" s="35" t="str">
        <f t="shared" si="273"/>
        <v>MirzaBuzurgiNuri</v>
      </c>
      <c r="D2519" s="1"/>
      <c r="E2519" s="40"/>
      <c r="F2519" s="12"/>
      <c r="G2519" s="9"/>
      <c r="H2519" s="12" t="s">
        <v>8622</v>
      </c>
      <c r="I2519" s="4" t="str">
        <f t="shared" si="274"/>
        <v>|Mírzá Buzurg-i-Núrí|</v>
      </c>
      <c r="J2519" s="3" t="str">
        <f t="shared" si="275"/>
        <v>|Mirza Buzurg-i-Nuri|</v>
      </c>
      <c r="K2519" s="3" t="str">
        <f t="shared" si="276"/>
        <v>Mirza Buzurg-i-Nuri</v>
      </c>
      <c r="N2519" s="39" t="str">
        <f t="shared" si="277"/>
        <v/>
      </c>
      <c r="P2519" s="39" t="str">
        <f t="shared" si="278"/>
        <v/>
      </c>
      <c r="R2519" s="39" t="str">
        <f t="shared" si="279"/>
        <v/>
      </c>
      <c r="S2519" s="29">
        <v>41760</v>
      </c>
      <c r="T2519" s="28"/>
      <c r="U2519" s="28"/>
    </row>
    <row r="2520" spans="1:21" s="5" customFormat="1">
      <c r="A2520" s="181"/>
      <c r="B2520" s="185" t="s">
        <v>8710</v>
      </c>
      <c r="C2520" s="35" t="str">
        <f t="shared" si="273"/>
        <v>MirzaFathAliKhan</v>
      </c>
      <c r="D2520" s="1"/>
      <c r="E2520" s="40"/>
      <c r="F2520" s="12"/>
      <c r="G2520" s="9"/>
      <c r="H2520" s="12" t="s">
        <v>8622</v>
      </c>
      <c r="I2520" s="4" t="str">
        <f t="shared" si="274"/>
        <v>|Mírzá Fatḥ-ʿAlí án|</v>
      </c>
      <c r="J2520" s="3" t="str">
        <f t="shared" si="275"/>
        <v>|Mirza Fath-'Ali Khan|</v>
      </c>
      <c r="K2520" s="3" t="str">
        <f t="shared" si="276"/>
        <v>Mirza Fath-Ali Khan</v>
      </c>
      <c r="N2520" s="39" t="str">
        <f t="shared" si="277"/>
        <v/>
      </c>
      <c r="P2520" s="39" t="str">
        <f t="shared" si="278"/>
        <v/>
      </c>
      <c r="R2520" s="39" t="str">
        <f t="shared" si="279"/>
        <v/>
      </c>
      <c r="S2520" s="29">
        <v>41760</v>
      </c>
      <c r="T2520" s="28"/>
      <c r="U2520" s="28"/>
    </row>
    <row r="2521" spans="1:21" s="5" customFormat="1">
      <c r="A2521" s="181"/>
      <c r="B2521" s="185" t="s">
        <v>128</v>
      </c>
      <c r="C2521" s="35" t="str">
        <f t="shared" si="273"/>
        <v>MirzaHadi</v>
      </c>
      <c r="D2521" s="1"/>
      <c r="E2521" s="40"/>
      <c r="F2521" s="12"/>
      <c r="G2521" s="9"/>
      <c r="H2521" s="11" t="s">
        <v>77</v>
      </c>
      <c r="I2521" s="4" t="str">
        <f t="shared" si="274"/>
        <v>|Mírzá Hádí|</v>
      </c>
      <c r="J2521" s="3" t="str">
        <f t="shared" si="275"/>
        <v>|Mirza Hadi|</v>
      </c>
      <c r="K2521" s="3" t="str">
        <f t="shared" si="276"/>
        <v>Mirza Hadi</v>
      </c>
      <c r="M2521" s="1"/>
      <c r="N2521" s="39" t="str">
        <f t="shared" si="277"/>
        <v/>
      </c>
      <c r="O2521" s="1"/>
      <c r="P2521" s="39" t="str">
        <f t="shared" si="278"/>
        <v/>
      </c>
      <c r="Q2521" s="1"/>
      <c r="R2521" s="39" t="str">
        <f t="shared" si="279"/>
        <v/>
      </c>
      <c r="S2521" s="28"/>
      <c r="T2521" s="28"/>
      <c r="U2521" s="28"/>
    </row>
    <row r="2522" spans="1:21" s="5" customFormat="1">
      <c r="A2522" s="181"/>
      <c r="B2522" s="185" t="s">
        <v>8711</v>
      </c>
      <c r="C2522" s="35" t="str">
        <f t="shared" si="273"/>
        <v>MirzaHasaniGawhar</v>
      </c>
      <c r="D2522" s="1"/>
      <c r="E2522" s="40"/>
      <c r="F2522" s="12"/>
      <c r="G2522" s="9"/>
      <c r="H2522" s="12" t="s">
        <v>8622</v>
      </c>
      <c r="I2522" s="4" t="str">
        <f t="shared" si="274"/>
        <v>|Mírzá Ḥasan-i-Gawhar|</v>
      </c>
      <c r="J2522" s="3" t="str">
        <f t="shared" si="275"/>
        <v>|Mirza Hasan-i-Gawhar|</v>
      </c>
      <c r="K2522" s="3" t="str">
        <f t="shared" si="276"/>
        <v>Mirza Hasan-i-Gawhar</v>
      </c>
      <c r="N2522" s="39" t="str">
        <f t="shared" si="277"/>
        <v/>
      </c>
      <c r="P2522" s="39" t="str">
        <f t="shared" si="278"/>
        <v/>
      </c>
      <c r="R2522" s="39" t="str">
        <f t="shared" si="279"/>
        <v/>
      </c>
      <c r="S2522" s="29">
        <v>41760</v>
      </c>
      <c r="T2522" s="28"/>
      <c r="U2522" s="28"/>
    </row>
    <row r="2523" spans="1:21" s="5" customFormat="1">
      <c r="A2523" s="181"/>
      <c r="B2523" s="185" t="s">
        <v>25</v>
      </c>
      <c r="C2523" s="35" t="str">
        <f t="shared" si="273"/>
        <v>MirzaHusaynAli</v>
      </c>
      <c r="D2523" s="1"/>
      <c r="E2523" s="40"/>
      <c r="F2523" s="12"/>
      <c r="G2523" s="9"/>
      <c r="H2523" s="12"/>
      <c r="I2523" s="4" t="str">
        <f t="shared" si="274"/>
        <v>|Mírzá Ḥusayn-ʿAlí|</v>
      </c>
      <c r="J2523" s="3" t="str">
        <f t="shared" si="275"/>
        <v>|Mirza Husayn-'Ali|</v>
      </c>
      <c r="K2523" s="3" t="str">
        <f t="shared" si="276"/>
        <v>Mirza Husayn-Ali</v>
      </c>
      <c r="M2523" s="1"/>
      <c r="N2523" s="39" t="str">
        <f t="shared" si="277"/>
        <v/>
      </c>
      <c r="O2523" s="1"/>
      <c r="P2523" s="39" t="str">
        <f t="shared" si="278"/>
        <v/>
      </c>
      <c r="Q2523" s="1"/>
      <c r="R2523" s="39" t="str">
        <f t="shared" si="279"/>
        <v/>
      </c>
      <c r="S2523" s="28"/>
      <c r="T2523" s="29">
        <v>41781</v>
      </c>
      <c r="U2523" s="28" t="s">
        <v>9446</v>
      </c>
    </row>
    <row r="2524" spans="1:21" s="5" customFormat="1">
      <c r="A2524" s="181"/>
      <c r="B2524" s="185" t="s">
        <v>8712</v>
      </c>
      <c r="C2524" s="35" t="str">
        <f t="shared" si="273"/>
        <v>MirzaIbrahimiShirazi</v>
      </c>
      <c r="D2524" s="1"/>
      <c r="E2524" s="40"/>
      <c r="F2524" s="12"/>
      <c r="G2524" s="9"/>
      <c r="H2524" s="12" t="s">
        <v>8622</v>
      </c>
      <c r="I2524" s="4" t="str">
        <f t="shared" si="274"/>
        <v>|Mírzá Ibráhím-i-írází|</v>
      </c>
      <c r="J2524" s="3" t="str">
        <f t="shared" si="275"/>
        <v>|Mirza Ibrahim-i-Shirazi|</v>
      </c>
      <c r="K2524" s="3" t="str">
        <f t="shared" si="276"/>
        <v>Mirza Ibrahim-i-Shirazi</v>
      </c>
      <c r="N2524" s="39" t="str">
        <f t="shared" si="277"/>
        <v/>
      </c>
      <c r="P2524" s="39" t="str">
        <f t="shared" si="278"/>
        <v/>
      </c>
      <c r="R2524" s="39" t="str">
        <f t="shared" si="279"/>
        <v/>
      </c>
      <c r="S2524" s="29">
        <v>41760</v>
      </c>
      <c r="T2524" s="28"/>
      <c r="U2524" s="28"/>
    </row>
    <row r="2525" spans="1:21" s="5" customFormat="1">
      <c r="A2525" s="181"/>
      <c r="B2525" s="185" t="s">
        <v>8714</v>
      </c>
      <c r="C2525" s="35" t="str">
        <f t="shared" si="273"/>
        <v>MirzaJafar</v>
      </c>
      <c r="D2525" s="1"/>
      <c r="E2525" s="40"/>
      <c r="F2525" s="12"/>
      <c r="G2525" s="9"/>
      <c r="H2525" s="12" t="s">
        <v>8622</v>
      </c>
      <c r="I2525" s="4" t="str">
        <f t="shared" si="274"/>
        <v>|Mírzá Jaʿfar|</v>
      </c>
      <c r="J2525" s="3" t="str">
        <f t="shared" si="275"/>
        <v>|Mirza Ja'far|</v>
      </c>
      <c r="K2525" s="3" t="str">
        <f t="shared" si="276"/>
        <v>Mirza Jafar</v>
      </c>
      <c r="N2525" s="39" t="str">
        <f t="shared" si="277"/>
        <v/>
      </c>
      <c r="P2525" s="39" t="str">
        <f t="shared" si="278"/>
        <v/>
      </c>
      <c r="R2525" s="39" t="str">
        <f t="shared" si="279"/>
        <v/>
      </c>
      <c r="S2525" s="29">
        <v>41760</v>
      </c>
      <c r="T2525" s="28"/>
      <c r="U2525" s="28"/>
    </row>
    <row r="2526" spans="1:21" s="5" customFormat="1">
      <c r="A2526" s="181"/>
      <c r="B2526" s="185" t="s">
        <v>8713</v>
      </c>
      <c r="C2526" s="35" t="str">
        <f t="shared" si="273"/>
        <v>MirzaJafarKhanMushirudDawlih</v>
      </c>
      <c r="D2526" s="1"/>
      <c r="E2526" s="40"/>
      <c r="F2526" s="12"/>
      <c r="G2526" s="9"/>
      <c r="H2526" s="12" t="s">
        <v>8622</v>
      </c>
      <c r="I2526" s="4" t="str">
        <f t="shared" si="274"/>
        <v>|Mírzá Jáʿfar án Muíru’d-Dawlih|</v>
      </c>
      <c r="J2526" s="3" t="str">
        <f t="shared" si="275"/>
        <v>|Mirza Ja'far Khan Mushiru'd-Dawlih|</v>
      </c>
      <c r="K2526" s="3" t="str">
        <f t="shared" si="276"/>
        <v>Mirza Jafar Khan Mushirud-Dawlih</v>
      </c>
      <c r="N2526" s="39" t="str">
        <f t="shared" si="277"/>
        <v/>
      </c>
      <c r="P2526" s="39" t="str">
        <f t="shared" si="278"/>
        <v/>
      </c>
      <c r="R2526" s="39" t="str">
        <f t="shared" si="279"/>
        <v/>
      </c>
      <c r="S2526" s="29">
        <v>41760</v>
      </c>
      <c r="T2526" s="28"/>
      <c r="U2526" s="28"/>
    </row>
    <row r="2527" spans="1:21" s="5" customFormat="1">
      <c r="A2527" s="181"/>
      <c r="B2527" s="185" t="s">
        <v>8715</v>
      </c>
      <c r="C2527" s="35" t="str">
        <f t="shared" si="273"/>
        <v>MirzaJani</v>
      </c>
      <c r="D2527" s="1"/>
      <c r="E2527" s="40"/>
      <c r="F2527" s="12"/>
      <c r="G2527" s="9"/>
      <c r="H2527" s="12" t="s">
        <v>8622</v>
      </c>
      <c r="I2527" s="4" t="str">
        <f t="shared" si="274"/>
        <v>|Mírzá Jání|</v>
      </c>
      <c r="J2527" s="3" t="str">
        <f t="shared" si="275"/>
        <v>|Mirza Jani|</v>
      </c>
      <c r="K2527" s="3" t="str">
        <f t="shared" si="276"/>
        <v>Mirza Jani</v>
      </c>
      <c r="N2527" s="39" t="str">
        <f t="shared" si="277"/>
        <v/>
      </c>
      <c r="P2527" s="39" t="str">
        <f t="shared" si="278"/>
        <v/>
      </c>
      <c r="R2527" s="39" t="str">
        <f t="shared" si="279"/>
        <v/>
      </c>
      <c r="S2527" s="29">
        <v>41760</v>
      </c>
      <c r="T2527" s="28"/>
      <c r="U2527" s="28"/>
    </row>
    <row r="2528" spans="1:21" s="5" customFormat="1">
      <c r="A2528" s="181"/>
      <c r="B2528" s="185" t="s">
        <v>8716</v>
      </c>
      <c r="C2528" s="35" t="str">
        <f t="shared" si="273"/>
        <v>MirzaLutfAli</v>
      </c>
      <c r="D2528" s="1"/>
      <c r="E2528" s="40"/>
      <c r="F2528" s="12"/>
      <c r="G2528" s="9"/>
      <c r="H2528" s="12" t="s">
        <v>8622</v>
      </c>
      <c r="I2528" s="4" t="str">
        <f t="shared" si="274"/>
        <v>|Mírzá Luṭf-ʿAlí|</v>
      </c>
      <c r="J2528" s="3" t="str">
        <f t="shared" si="275"/>
        <v>|Mirza Lutf-'Ali|</v>
      </c>
      <c r="K2528" s="3" t="str">
        <f t="shared" si="276"/>
        <v>Mirza Lutf-Ali</v>
      </c>
      <c r="N2528" s="39" t="str">
        <f t="shared" si="277"/>
        <v/>
      </c>
      <c r="P2528" s="39" t="str">
        <f t="shared" si="278"/>
        <v/>
      </c>
      <c r="R2528" s="39" t="str">
        <f t="shared" si="279"/>
        <v/>
      </c>
      <c r="S2528" s="29">
        <v>41760</v>
      </c>
      <c r="T2528" s="28"/>
      <c r="U2528" s="28"/>
    </row>
    <row r="2529" spans="1:21" s="5" customFormat="1">
      <c r="A2529" s="181"/>
      <c r="B2529" s="185" t="s">
        <v>8717</v>
      </c>
      <c r="C2529" s="35" t="str">
        <f t="shared" si="273"/>
        <v>MirzaMahmudiQamsari</v>
      </c>
      <c r="D2529" s="1"/>
      <c r="E2529" s="40"/>
      <c r="F2529" s="12"/>
      <c r="G2529" s="9"/>
      <c r="H2529" s="12" t="s">
        <v>8622</v>
      </c>
      <c r="I2529" s="4" t="str">
        <f t="shared" si="274"/>
        <v>|Mírzá Maḥmúd-i-Qamṣarí|</v>
      </c>
      <c r="J2529" s="3" t="str">
        <f t="shared" si="275"/>
        <v>|Mirza Mahmud-i-Qamsari|</v>
      </c>
      <c r="K2529" s="3" t="str">
        <f t="shared" si="276"/>
        <v>Mirza Mahmud-i-Qamsari</v>
      </c>
      <c r="N2529" s="39" t="str">
        <f t="shared" si="277"/>
        <v/>
      </c>
      <c r="P2529" s="39" t="str">
        <f t="shared" si="278"/>
        <v/>
      </c>
      <c r="R2529" s="39" t="str">
        <f t="shared" si="279"/>
        <v/>
      </c>
      <c r="S2529" s="29">
        <v>41760</v>
      </c>
      <c r="T2529" s="28"/>
      <c r="U2529" s="28"/>
    </row>
    <row r="2530" spans="1:21" s="5" customFormat="1">
      <c r="A2530" s="181"/>
      <c r="B2530" s="185" t="s">
        <v>8718</v>
      </c>
      <c r="C2530" s="35" t="str">
        <f t="shared" si="273"/>
        <v>MirzaMuhammadBaqiriQaini</v>
      </c>
      <c r="D2530" s="1"/>
      <c r="E2530" s="40"/>
      <c r="F2530" s="12"/>
      <c r="G2530" s="9"/>
      <c r="H2530" s="12" t="s">
        <v>8622</v>
      </c>
      <c r="I2530" s="4" t="str">
        <f t="shared" si="274"/>
        <v>|Mírzá Muḥammad Báqir-i-Qá’iní|</v>
      </c>
      <c r="J2530" s="3" t="str">
        <f t="shared" si="275"/>
        <v>|Mirza Muhammad Baqir-i-Qa'ini|</v>
      </c>
      <c r="K2530" s="3" t="str">
        <f t="shared" si="276"/>
        <v>Mirza Muhammad Baqir-i-Qaini</v>
      </c>
      <c r="N2530" s="39" t="str">
        <f t="shared" si="277"/>
        <v/>
      </c>
      <c r="P2530" s="39" t="str">
        <f t="shared" si="278"/>
        <v/>
      </c>
      <c r="R2530" s="39" t="str">
        <f t="shared" si="279"/>
        <v/>
      </c>
      <c r="S2530" s="29">
        <v>41760</v>
      </c>
      <c r="T2530" s="28"/>
      <c r="U2530" s="28"/>
    </row>
    <row r="2531" spans="1:21" s="5" customFormat="1">
      <c r="A2531" s="181"/>
      <c r="B2531" s="185" t="s">
        <v>8719</v>
      </c>
      <c r="C2531" s="35" t="str">
        <f t="shared" si="273"/>
        <v>MirzaMuhammadRawdihKhaniYazdi</v>
      </c>
      <c r="D2531" s="1"/>
      <c r="E2531" s="40"/>
      <c r="F2531" s="12"/>
      <c r="G2531" s="9"/>
      <c r="H2531" s="12" t="s">
        <v>8622</v>
      </c>
      <c r="I2531" s="4" t="str">
        <f t="shared" si="274"/>
        <v>|Mírzá Muḥammad Rawḍih-án-i-Yazdí|</v>
      </c>
      <c r="J2531" s="3" t="str">
        <f t="shared" si="275"/>
        <v>|Mirza Muhammad Rawdih-Khan-i-Yazdi|</v>
      </c>
      <c r="K2531" s="3" t="str">
        <f t="shared" si="276"/>
        <v>Mirza Muhammad Rawdih-Khan-i-Yazdi</v>
      </c>
      <c r="N2531" s="39" t="str">
        <f t="shared" si="277"/>
        <v/>
      </c>
      <c r="P2531" s="39" t="str">
        <f t="shared" si="278"/>
        <v/>
      </c>
      <c r="R2531" s="39" t="str">
        <f t="shared" si="279"/>
        <v/>
      </c>
      <c r="S2531" s="29">
        <v>41760</v>
      </c>
      <c r="T2531" s="28"/>
      <c r="U2531" s="28"/>
    </row>
    <row r="2532" spans="1:21" s="5" customFormat="1">
      <c r="A2532" s="181"/>
      <c r="B2532" s="185" t="s">
        <v>8720</v>
      </c>
      <c r="C2532" s="35" t="str">
        <f t="shared" si="273"/>
        <v>MirzaMuhammadTaqiyiNuri</v>
      </c>
      <c r="D2532" s="1"/>
      <c r="E2532" s="40" t="s">
        <v>9115</v>
      </c>
      <c r="F2532" s="12"/>
      <c r="G2532" s="9"/>
      <c r="H2532" s="12" t="s">
        <v>8622</v>
      </c>
      <c r="I2532" s="4" t="str">
        <f t="shared" si="274"/>
        <v>|Mírzá Muḥammad Taqíy-i-Núrí|</v>
      </c>
      <c r="J2532" s="3" t="str">
        <f t="shared" si="275"/>
        <v>|Mirza Muhammad Taqiy-i-Nuri|</v>
      </c>
      <c r="K2532" s="3" t="str">
        <f t="shared" si="276"/>
        <v>Mirza Muhammad Taqiy-i-Nuri</v>
      </c>
      <c r="N2532" s="39" t="str">
        <f t="shared" si="277"/>
        <v/>
      </c>
      <c r="P2532" s="39" t="str">
        <f t="shared" si="278"/>
        <v/>
      </c>
      <c r="R2532" s="39" t="str">
        <f t="shared" si="279"/>
        <v/>
      </c>
      <c r="S2532" s="29">
        <v>41760</v>
      </c>
      <c r="T2532" s="28"/>
      <c r="U2532" s="28"/>
    </row>
    <row r="2533" spans="1:21" s="5" customFormat="1">
      <c r="A2533" s="181"/>
      <c r="B2533" s="185" t="s">
        <v>8721</v>
      </c>
      <c r="C2533" s="35" t="str">
        <f t="shared" si="273"/>
        <v>MirzaMuhammadAli</v>
      </c>
      <c r="D2533" s="1"/>
      <c r="E2533" s="40"/>
      <c r="F2533" s="12"/>
      <c r="G2533" s="9"/>
      <c r="H2533" s="12" t="s">
        <v>8622</v>
      </c>
      <c r="I2533" s="4" t="str">
        <f t="shared" si="274"/>
        <v>|Mírzá Muḥammad-ʿAlí|</v>
      </c>
      <c r="J2533" s="3" t="str">
        <f t="shared" si="275"/>
        <v>|Mirza Muhammad-'Ali|</v>
      </c>
      <c r="K2533" s="3" t="str">
        <f t="shared" si="276"/>
        <v>Mirza Muhammad-Ali</v>
      </c>
      <c r="N2533" s="39" t="str">
        <f t="shared" si="277"/>
        <v/>
      </c>
      <c r="P2533" s="39" t="str">
        <f t="shared" si="278"/>
        <v/>
      </c>
      <c r="R2533" s="39" t="str">
        <f t="shared" si="279"/>
        <v/>
      </c>
      <c r="S2533" s="29">
        <v>41760</v>
      </c>
      <c r="T2533" s="28"/>
      <c r="U2533" s="28"/>
    </row>
    <row r="2534" spans="1:21" s="5" customFormat="1">
      <c r="A2534" s="181"/>
      <c r="B2534" s="185" t="s">
        <v>8722</v>
      </c>
      <c r="C2534" s="35" t="str">
        <f t="shared" si="273"/>
        <v>MirzaMuhammadiKirmani</v>
      </c>
      <c r="D2534" s="1"/>
      <c r="E2534" s="40"/>
      <c r="F2534" s="12"/>
      <c r="G2534" s="9"/>
      <c r="H2534" s="12" t="s">
        <v>8622</v>
      </c>
      <c r="I2534" s="4" t="str">
        <f t="shared" si="274"/>
        <v>|Mírzá Muḥammad-i-Kirmání|</v>
      </c>
      <c r="J2534" s="3" t="str">
        <f t="shared" si="275"/>
        <v>|Mirza Muhammad-i-Kirmani|</v>
      </c>
      <c r="K2534" s="3" t="str">
        <f t="shared" si="276"/>
        <v>Mirza Muhammad-i-Kirmani</v>
      </c>
      <c r="N2534" s="39" t="str">
        <f t="shared" si="277"/>
        <v/>
      </c>
      <c r="P2534" s="39" t="str">
        <f t="shared" si="278"/>
        <v/>
      </c>
      <c r="R2534" s="39" t="str">
        <f t="shared" si="279"/>
        <v/>
      </c>
      <c r="S2534" s="29">
        <v>41760</v>
      </c>
      <c r="T2534" s="28"/>
      <c r="U2534" s="28"/>
    </row>
    <row r="2535" spans="1:21" s="5" customFormat="1">
      <c r="A2535" s="181"/>
      <c r="B2535" s="185" t="s">
        <v>9503</v>
      </c>
      <c r="C2535" s="35" t="str">
        <f t="shared" si="273"/>
        <v>MirzaMuhammadTaqi</v>
      </c>
      <c r="D2535" s="1"/>
      <c r="E2535" s="40"/>
      <c r="F2535" s="12"/>
      <c r="G2535" s="9"/>
      <c r="H2535" s="12" t="s">
        <v>8622</v>
      </c>
      <c r="I2535" s="4" t="str">
        <f t="shared" si="274"/>
        <v>|Mírzá Muḥammad-Taqí|</v>
      </c>
      <c r="J2535" s="3" t="str">
        <f t="shared" si="275"/>
        <v>|Mirza Muhammad-Taqi|</v>
      </c>
      <c r="K2535" s="3" t="str">
        <f t="shared" si="276"/>
        <v>Mirza Muhammad-Taqi</v>
      </c>
      <c r="N2535" s="39" t="str">
        <f t="shared" si="277"/>
        <v/>
      </c>
      <c r="P2535" s="39" t="str">
        <f t="shared" si="278"/>
        <v/>
      </c>
      <c r="R2535" s="39" t="str">
        <f t="shared" si="279"/>
        <v/>
      </c>
      <c r="S2535" s="29">
        <v>41760</v>
      </c>
      <c r="T2535" s="28"/>
      <c r="U2535" s="28"/>
    </row>
    <row r="2536" spans="1:21" s="5" customFormat="1">
      <c r="A2536" s="181"/>
      <c r="B2536" s="185" t="s">
        <v>8723</v>
      </c>
      <c r="C2536" s="35" t="str">
        <f t="shared" si="273"/>
        <v>MirzaMuhammadTaqiyiNuri</v>
      </c>
      <c r="D2536" s="1"/>
      <c r="E2536" s="40" t="s">
        <v>9115</v>
      </c>
      <c r="F2536" s="12"/>
      <c r="G2536" s="9"/>
      <c r="H2536" s="12" t="s">
        <v>8622</v>
      </c>
      <c r="I2536" s="4" t="str">
        <f t="shared" si="274"/>
        <v>|Mírzá Muḥammad-Taqíy-i-Núrí|</v>
      </c>
      <c r="J2536" s="3" t="str">
        <f t="shared" si="275"/>
        <v>|Mirza Muhammad-Taqiy-i-Nuri|</v>
      </c>
      <c r="K2536" s="3" t="str">
        <f t="shared" si="276"/>
        <v>Mirza Muhammad-Taqiy-i-Nuri</v>
      </c>
      <c r="N2536" s="39" t="str">
        <f t="shared" si="277"/>
        <v/>
      </c>
      <c r="P2536" s="39" t="str">
        <f t="shared" si="278"/>
        <v/>
      </c>
      <c r="R2536" s="39" t="str">
        <f t="shared" si="279"/>
        <v/>
      </c>
      <c r="S2536" s="29">
        <v>41760</v>
      </c>
      <c r="T2536" s="28"/>
      <c r="U2536" s="28"/>
    </row>
    <row r="2537" spans="1:21" s="5" customFormat="1">
      <c r="A2537" s="181"/>
      <c r="B2537" s="185" t="s">
        <v>8724</v>
      </c>
      <c r="C2537" s="35" t="str">
        <f t="shared" si="273"/>
        <v>MirzaMuhsin</v>
      </c>
      <c r="D2537" s="1"/>
      <c r="E2537" s="40"/>
      <c r="F2537" s="12"/>
      <c r="G2537" s="9"/>
      <c r="H2537" s="12" t="s">
        <v>8622</v>
      </c>
      <c r="I2537" s="4" t="str">
        <f t="shared" si="274"/>
        <v>|Mírzá Muḥsin|</v>
      </c>
      <c r="J2537" s="3" t="str">
        <f t="shared" si="275"/>
        <v>|Mirza Muhsin|</v>
      </c>
      <c r="K2537" s="3" t="str">
        <f t="shared" si="276"/>
        <v>Mirza Muhsin</v>
      </c>
      <c r="N2537" s="39" t="str">
        <f t="shared" si="277"/>
        <v/>
      </c>
      <c r="P2537" s="39" t="str">
        <f t="shared" si="278"/>
        <v/>
      </c>
      <c r="R2537" s="39" t="str">
        <f t="shared" si="279"/>
        <v/>
      </c>
      <c r="S2537" s="29">
        <v>41760</v>
      </c>
      <c r="T2537" s="28"/>
      <c r="U2537" s="28"/>
    </row>
    <row r="2538" spans="1:21" s="5" customFormat="1">
      <c r="A2538" s="181"/>
      <c r="B2538" s="185" t="s">
        <v>8725</v>
      </c>
      <c r="C2538" s="35" t="str">
        <f t="shared" si="273"/>
        <v>MirzaMusa</v>
      </c>
      <c r="D2538" s="1"/>
      <c r="E2538" s="40"/>
      <c r="F2538" s="12"/>
      <c r="G2538" s="9"/>
      <c r="H2538" s="12" t="s">
        <v>8622</v>
      </c>
      <c r="I2538" s="4" t="str">
        <f t="shared" si="274"/>
        <v>|Mírzá Músá|</v>
      </c>
      <c r="J2538" s="3" t="str">
        <f t="shared" si="275"/>
        <v>|Mirza Musa|</v>
      </c>
      <c r="K2538" s="3" t="str">
        <f t="shared" si="276"/>
        <v>Mirza Musa</v>
      </c>
      <c r="N2538" s="39" t="str">
        <f t="shared" si="277"/>
        <v/>
      </c>
      <c r="P2538" s="39" t="str">
        <f t="shared" si="278"/>
        <v/>
      </c>
      <c r="R2538" s="39" t="str">
        <f t="shared" si="279"/>
        <v/>
      </c>
      <c r="S2538" s="29">
        <v>41760</v>
      </c>
      <c r="T2538" s="28"/>
      <c r="U2538" s="28"/>
    </row>
    <row r="2539" spans="1:21" s="5" customFormat="1">
      <c r="A2539" s="181"/>
      <c r="B2539" s="185" t="s">
        <v>8726</v>
      </c>
      <c r="C2539" s="35" t="str">
        <f t="shared" si="273"/>
        <v>MirzaSalih</v>
      </c>
      <c r="D2539" s="1"/>
      <c r="E2539" s="40"/>
      <c r="F2539" s="12"/>
      <c r="G2539" s="9"/>
      <c r="H2539" s="12" t="s">
        <v>8622</v>
      </c>
      <c r="I2539" s="4" t="str">
        <f t="shared" si="274"/>
        <v>|Mírzá Ṣáliḥ|</v>
      </c>
      <c r="J2539" s="3" t="str">
        <f t="shared" si="275"/>
        <v>|Mirza Salih|</v>
      </c>
      <c r="K2539" s="3" t="str">
        <f t="shared" si="276"/>
        <v>Mirza Salih</v>
      </c>
      <c r="N2539" s="39" t="str">
        <f t="shared" si="277"/>
        <v/>
      </c>
      <c r="P2539" s="39" t="str">
        <f t="shared" si="278"/>
        <v/>
      </c>
      <c r="R2539" s="39" t="str">
        <f t="shared" si="279"/>
        <v/>
      </c>
      <c r="S2539" s="29">
        <v>41760</v>
      </c>
      <c r="T2539" s="28"/>
      <c r="U2539" s="28"/>
    </row>
    <row r="2540" spans="1:21" s="5" customFormat="1">
      <c r="A2540" s="181"/>
      <c r="B2540" s="186" t="s">
        <v>8727</v>
      </c>
      <c r="C2540" s="35" t="str">
        <f t="shared" si="273"/>
        <v>MirzaSiyyidHasans</v>
      </c>
      <c r="D2540" s="1" t="s">
        <v>59</v>
      </c>
      <c r="E2540" s="40"/>
      <c r="F2540" s="12"/>
      <c r="G2540" s="9"/>
      <c r="H2540" s="12" t="s">
        <v>8622</v>
      </c>
      <c r="I2540" s="4" t="str">
        <f t="shared" si="274"/>
        <v>|Mírzá Siyyid Ḥasans|</v>
      </c>
      <c r="J2540" s="3" t="str">
        <f t="shared" si="275"/>
        <v>|Mirza Siyyid Hasans|</v>
      </c>
      <c r="K2540" s="3" t="str">
        <f t="shared" si="276"/>
        <v>Mirza Siyyid Hasans</v>
      </c>
      <c r="N2540" s="39" t="str">
        <f t="shared" si="277"/>
        <v/>
      </c>
      <c r="P2540" s="39" t="str">
        <f t="shared" si="278"/>
        <v/>
      </c>
      <c r="R2540" s="39" t="str">
        <f t="shared" si="279"/>
        <v/>
      </c>
      <c r="S2540" s="28"/>
      <c r="T2540" s="28"/>
      <c r="U2540" s="28"/>
    </row>
    <row r="2541" spans="1:21" s="5" customFormat="1">
      <c r="A2541" s="181"/>
      <c r="B2541" s="185" t="s">
        <v>8730</v>
      </c>
      <c r="C2541" s="35" t="str">
        <f t="shared" si="273"/>
        <v>MirzaTaqi</v>
      </c>
      <c r="D2541" s="1"/>
      <c r="E2541" s="40"/>
      <c r="F2541" s="12"/>
      <c r="G2541" s="9"/>
      <c r="H2541" s="12" t="s">
        <v>8622</v>
      </c>
      <c r="I2541" s="4" t="str">
        <f t="shared" si="274"/>
        <v>|Mírzá Taqí|</v>
      </c>
      <c r="J2541" s="3" t="str">
        <f t="shared" si="275"/>
        <v>|Mirza Taqi|</v>
      </c>
      <c r="K2541" s="3" t="str">
        <f t="shared" si="276"/>
        <v>Mirza Taqi</v>
      </c>
      <c r="N2541" s="39" t="str">
        <f t="shared" si="277"/>
        <v/>
      </c>
      <c r="P2541" s="39" t="str">
        <f t="shared" si="278"/>
        <v/>
      </c>
      <c r="R2541" s="39" t="str">
        <f t="shared" si="279"/>
        <v/>
      </c>
      <c r="S2541" s="29">
        <v>41760</v>
      </c>
      <c r="T2541" s="28"/>
      <c r="U2541" s="28"/>
    </row>
    <row r="2542" spans="1:21" s="5" customFormat="1">
      <c r="A2542" s="181"/>
      <c r="B2542" s="185" t="s">
        <v>8729</v>
      </c>
      <c r="C2542" s="35" t="str">
        <f t="shared" si="273"/>
        <v>MirzaTaqiKhan</v>
      </c>
      <c r="D2542" s="1"/>
      <c r="E2542" s="40"/>
      <c r="F2542" s="12"/>
      <c r="G2542" s="9"/>
      <c r="H2542" s="12" t="s">
        <v>8622</v>
      </c>
      <c r="I2542" s="4" t="str">
        <f t="shared" si="274"/>
        <v>|Mírzá Taqí án|</v>
      </c>
      <c r="J2542" s="3" t="str">
        <f t="shared" si="275"/>
        <v>|Mirza Taqi Khan|</v>
      </c>
      <c r="K2542" s="3" t="str">
        <f t="shared" si="276"/>
        <v>Mirza Taqi Khan</v>
      </c>
      <c r="N2542" s="39" t="str">
        <f t="shared" si="277"/>
        <v/>
      </c>
      <c r="P2542" s="39" t="str">
        <f t="shared" si="278"/>
        <v/>
      </c>
      <c r="R2542" s="39" t="str">
        <f t="shared" si="279"/>
        <v/>
      </c>
      <c r="S2542" s="29">
        <v>41760</v>
      </c>
      <c r="T2542" s="28"/>
      <c r="U2542" s="28"/>
    </row>
    <row r="2543" spans="1:21" s="5" customFormat="1">
      <c r="A2543" s="181"/>
      <c r="B2543" s="185" t="s">
        <v>8728</v>
      </c>
      <c r="C2543" s="35" t="str">
        <f t="shared" si="273"/>
        <v>MirzaTaqiKhanAmirNizam</v>
      </c>
      <c r="D2543" s="1"/>
      <c r="E2543" s="40"/>
      <c r="F2543" s="12"/>
      <c r="G2543" s="9"/>
      <c r="H2543" s="12" t="s">
        <v>8622</v>
      </c>
      <c r="I2543" s="4" t="str">
        <f t="shared" si="274"/>
        <v>|Mírzá Taqí án Amír-Niẓám|</v>
      </c>
      <c r="J2543" s="3" t="str">
        <f t="shared" si="275"/>
        <v>|Mirza Taqi Khan Amir-Nizam|</v>
      </c>
      <c r="K2543" s="3" t="str">
        <f t="shared" si="276"/>
        <v>Mirza Taqi Khan Amir-Nizam</v>
      </c>
      <c r="N2543" s="39" t="str">
        <f t="shared" si="277"/>
        <v/>
      </c>
      <c r="P2543" s="39" t="str">
        <f t="shared" si="278"/>
        <v/>
      </c>
      <c r="R2543" s="39" t="str">
        <f t="shared" si="279"/>
        <v/>
      </c>
      <c r="S2543" s="29">
        <v>41760</v>
      </c>
      <c r="T2543" s="28"/>
      <c r="U2543" s="28"/>
    </row>
    <row r="2544" spans="1:21" s="5" customFormat="1">
      <c r="A2544" s="181"/>
      <c r="B2544" s="185" t="s">
        <v>26</v>
      </c>
      <c r="C2544" s="35" t="str">
        <f t="shared" si="273"/>
        <v>MirzaYahya</v>
      </c>
      <c r="D2544" s="1"/>
      <c r="E2544" s="40"/>
      <c r="F2544" s="12"/>
      <c r="G2544" s="9"/>
      <c r="H2544" s="12"/>
      <c r="I2544" s="4" t="str">
        <f t="shared" si="274"/>
        <v>|Mírzá Yaḥyá|</v>
      </c>
      <c r="J2544" s="3" t="str">
        <f t="shared" si="275"/>
        <v>|Mirza Yahya|</v>
      </c>
      <c r="K2544" s="3" t="str">
        <f t="shared" si="276"/>
        <v>Mirza Yahya</v>
      </c>
      <c r="M2544" s="1"/>
      <c r="N2544" s="39" t="str">
        <f t="shared" si="277"/>
        <v/>
      </c>
      <c r="O2544" s="1"/>
      <c r="P2544" s="39" t="str">
        <f t="shared" si="278"/>
        <v/>
      </c>
      <c r="Q2544" s="1"/>
      <c r="R2544" s="39" t="str">
        <f t="shared" si="279"/>
        <v/>
      </c>
      <c r="S2544" s="28"/>
      <c r="T2544" s="29">
        <v>41781</v>
      </c>
      <c r="U2544" s="28" t="s">
        <v>9458</v>
      </c>
    </row>
    <row r="2545" spans="1:21" s="5" customFormat="1">
      <c r="A2545" s="179"/>
      <c r="B2545" s="185" t="s">
        <v>9105</v>
      </c>
      <c r="C2545" s="35" t="str">
        <f t="shared" si="273"/>
        <v>MirzaYahyas</v>
      </c>
      <c r="D2545" s="5" t="s">
        <v>59</v>
      </c>
      <c r="E2545" s="40"/>
      <c r="F2545" s="15"/>
      <c r="G2545" s="17"/>
      <c r="H2545" s="10"/>
      <c r="I2545" s="4" t="str">
        <f t="shared" si="274"/>
        <v>|Mírzá Yaḥyás|</v>
      </c>
      <c r="J2545" s="3" t="str">
        <f t="shared" si="275"/>
        <v>|Mirza Yahyas|</v>
      </c>
      <c r="K2545" s="3" t="str">
        <f t="shared" si="276"/>
        <v>Mirza Yahyas</v>
      </c>
      <c r="L2545" s="1"/>
      <c r="N2545" s="39" t="str">
        <f t="shared" si="277"/>
        <v/>
      </c>
      <c r="P2545" s="39" t="str">
        <f t="shared" si="278"/>
        <v/>
      </c>
      <c r="R2545" s="39" t="str">
        <f t="shared" si="279"/>
        <v/>
      </c>
      <c r="S2545" s="29">
        <v>41781</v>
      </c>
      <c r="T2545" s="29">
        <v>41781</v>
      </c>
      <c r="U2545" s="28" t="s">
        <v>9446</v>
      </c>
    </row>
    <row r="2546" spans="1:21" s="5" customFormat="1">
      <c r="A2546" s="181"/>
      <c r="B2546" s="185" t="s">
        <v>8731</v>
      </c>
      <c r="C2546" s="35" t="str">
        <f t="shared" si="273"/>
        <v>MirzaZaynulAbidin</v>
      </c>
      <c r="D2546" s="1"/>
      <c r="E2546" s="40"/>
      <c r="F2546" s="12"/>
      <c r="G2546" s="9"/>
      <c r="H2546" s="12" t="s">
        <v>8622</v>
      </c>
      <c r="I2546" s="4" t="str">
        <f t="shared" si="274"/>
        <v>|Mírzá Zaynu’l-ʿÁbidín|</v>
      </c>
      <c r="J2546" s="3" t="str">
        <f t="shared" si="275"/>
        <v>|Mirza Zaynu'l-'Abidin|</v>
      </c>
      <c r="K2546" s="3" t="str">
        <f t="shared" si="276"/>
        <v>Mirza Zaynul-Abidin</v>
      </c>
      <c r="N2546" s="39" t="str">
        <f t="shared" si="277"/>
        <v/>
      </c>
      <c r="P2546" s="39" t="str">
        <f t="shared" si="278"/>
        <v/>
      </c>
      <c r="R2546" s="39" t="str">
        <f t="shared" si="279"/>
        <v/>
      </c>
      <c r="S2546" s="29">
        <v>41760</v>
      </c>
      <c r="T2546" s="28"/>
      <c r="U2546" s="28"/>
    </row>
    <row r="2547" spans="1:21" s="5" customFormat="1">
      <c r="A2547" s="179" t="s">
        <v>3053</v>
      </c>
      <c r="B2547" s="185" t="s">
        <v>7079</v>
      </c>
      <c r="C2547" s="35" t="str">
        <f t="shared" si="273"/>
        <v>MirzayiHalabiSaz</v>
      </c>
      <c r="E2547" s="40"/>
      <c r="F2547" s="14"/>
      <c r="G2547" s="17"/>
      <c r="H2547" s="10" t="s">
        <v>8563</v>
      </c>
      <c r="I2547" s="4" t="str">
        <f t="shared" si="274"/>
        <v>|Mírzáy-i-Ḥalabí-Sáz|</v>
      </c>
      <c r="J2547" s="3" t="str">
        <f t="shared" si="275"/>
        <v>|Mirzay-i-Halabi-Saz|</v>
      </c>
      <c r="K2547" s="3" t="str">
        <f t="shared" si="276"/>
        <v>Mirzay-i-Halabi-Saz</v>
      </c>
      <c r="N2547" s="39" t="str">
        <f t="shared" si="277"/>
        <v/>
      </c>
      <c r="P2547" s="39" t="str">
        <f t="shared" si="278"/>
        <v/>
      </c>
      <c r="R2547" s="39" t="str">
        <f t="shared" si="279"/>
        <v/>
      </c>
      <c r="S2547" s="28"/>
      <c r="T2547" s="28"/>
      <c r="U2547" s="28"/>
    </row>
    <row r="2548" spans="1:21" s="5" customFormat="1">
      <c r="A2548" s="179" t="s">
        <v>3054</v>
      </c>
      <c r="B2548" s="185" t="s">
        <v>7080</v>
      </c>
      <c r="C2548" s="35" t="str">
        <f t="shared" si="273"/>
        <v>Mishk</v>
      </c>
      <c r="E2548" s="40"/>
      <c r="F2548" s="14"/>
      <c r="G2548" s="17"/>
      <c r="H2548" s="10" t="s">
        <v>8563</v>
      </c>
      <c r="I2548" s="4" t="str">
        <f t="shared" si="274"/>
        <v>|Mik|</v>
      </c>
      <c r="J2548" s="3" t="str">
        <f t="shared" si="275"/>
        <v>|Mishk|</v>
      </c>
      <c r="K2548" s="3" t="str">
        <f t="shared" si="276"/>
        <v>Mishk</v>
      </c>
      <c r="N2548" s="39" t="str">
        <f t="shared" si="277"/>
        <v/>
      </c>
      <c r="P2548" s="39" t="str">
        <f t="shared" si="278"/>
        <v/>
      </c>
      <c r="R2548" s="39" t="str">
        <f t="shared" si="279"/>
        <v/>
      </c>
      <c r="S2548" s="28"/>
      <c r="T2548" s="28"/>
      <c r="U2548" s="28"/>
    </row>
    <row r="2549" spans="1:21" s="5" customFormat="1">
      <c r="A2549" s="179" t="s">
        <v>3055</v>
      </c>
      <c r="B2549" s="185" t="s">
        <v>7081</v>
      </c>
      <c r="C2549" s="35" t="str">
        <f t="shared" si="273"/>
        <v>MishkatudDawlih</v>
      </c>
      <c r="E2549" s="40"/>
      <c r="F2549" s="15"/>
      <c r="G2549" s="17"/>
      <c r="H2549" s="10" t="s">
        <v>8563</v>
      </c>
      <c r="I2549" s="4" t="str">
        <f t="shared" si="274"/>
        <v>|Mikátu’d-Dawlih|</v>
      </c>
      <c r="J2549" s="3" t="str">
        <f t="shared" si="275"/>
        <v>|Mishkatu'd-Dawlih|</v>
      </c>
      <c r="K2549" s="3" t="str">
        <f t="shared" si="276"/>
        <v>Mishkatud-Dawlih</v>
      </c>
      <c r="N2549" s="39" t="str">
        <f t="shared" si="277"/>
        <v/>
      </c>
      <c r="P2549" s="39" t="str">
        <f t="shared" si="278"/>
        <v/>
      </c>
      <c r="R2549" s="39" t="str">
        <f t="shared" si="279"/>
        <v/>
      </c>
      <c r="S2549" s="28"/>
      <c r="T2549" s="28"/>
      <c r="U2549" s="28"/>
    </row>
    <row r="2550" spans="1:21" s="5" customFormat="1">
      <c r="A2550" s="179" t="s">
        <v>3056</v>
      </c>
      <c r="B2550" s="185" t="s">
        <v>7082</v>
      </c>
      <c r="C2550" s="35" t="str">
        <f t="shared" si="273"/>
        <v>Mishkin</v>
      </c>
      <c r="E2550" s="40"/>
      <c r="F2550" s="15"/>
      <c r="G2550" s="17"/>
      <c r="H2550" s="10" t="s">
        <v>8563</v>
      </c>
      <c r="I2550" s="4" t="str">
        <f t="shared" si="274"/>
        <v>|Mikín|</v>
      </c>
      <c r="J2550" s="3" t="str">
        <f t="shared" si="275"/>
        <v>|Mishkin|</v>
      </c>
      <c r="K2550" s="3" t="str">
        <f t="shared" si="276"/>
        <v>Mishkin</v>
      </c>
      <c r="N2550" s="39" t="str">
        <f t="shared" si="277"/>
        <v/>
      </c>
      <c r="P2550" s="39" t="str">
        <f t="shared" si="278"/>
        <v/>
      </c>
      <c r="R2550" s="39" t="str">
        <f t="shared" si="279"/>
        <v/>
      </c>
      <c r="S2550" s="28"/>
      <c r="T2550" s="28"/>
      <c r="U2550" s="28"/>
    </row>
    <row r="2551" spans="1:21" s="5" customFormat="1">
      <c r="A2551" s="179" t="s">
        <v>3057</v>
      </c>
      <c r="B2551" s="185" t="s">
        <v>7083</v>
      </c>
      <c r="C2551" s="35" t="str">
        <f t="shared" si="273"/>
        <v>MishkinQalam</v>
      </c>
      <c r="E2551" s="40"/>
      <c r="F2551" s="14" t="s">
        <v>3058</v>
      </c>
      <c r="G2551" s="17"/>
      <c r="H2551" s="10" t="s">
        <v>8563</v>
      </c>
      <c r="I2551" s="4" t="str">
        <f t="shared" si="274"/>
        <v>|Mikín-Qalam|</v>
      </c>
      <c r="J2551" s="3" t="str">
        <f t="shared" si="275"/>
        <v>|Mishkin-Qalam|</v>
      </c>
      <c r="K2551" s="3" t="str">
        <f t="shared" si="276"/>
        <v>Mishkin-Qalam</v>
      </c>
      <c r="N2551" s="39" t="str">
        <f t="shared" si="277"/>
        <v/>
      </c>
      <c r="P2551" s="39" t="str">
        <f t="shared" si="278"/>
        <v/>
      </c>
      <c r="R2551" s="39" t="str">
        <f t="shared" si="279"/>
        <v/>
      </c>
      <c r="S2551" s="28"/>
      <c r="T2551" s="28"/>
      <c r="U2551" s="28"/>
    </row>
    <row r="2552" spans="1:21" s="5" customFormat="1">
      <c r="A2552" s="179" t="s">
        <v>3059</v>
      </c>
      <c r="B2552" s="185" t="s">
        <v>7084</v>
      </c>
      <c r="C2552" s="35" t="str">
        <f t="shared" si="273"/>
        <v>Mithaq</v>
      </c>
      <c r="E2552" s="40"/>
      <c r="F2552" s="15"/>
      <c r="G2552" s="17"/>
      <c r="H2552" s="10" t="s">
        <v>8563</v>
      </c>
      <c r="I2552" s="4" t="str">
        <f t="shared" si="274"/>
        <v>|Miáq|</v>
      </c>
      <c r="J2552" s="3" t="str">
        <f t="shared" si="275"/>
        <v>|Mithaq|</v>
      </c>
      <c r="K2552" s="3" t="str">
        <f t="shared" si="276"/>
        <v>Mithaq</v>
      </c>
      <c r="N2552" s="39" t="str">
        <f t="shared" si="277"/>
        <v/>
      </c>
      <c r="P2552" s="39" t="str">
        <f t="shared" si="278"/>
        <v/>
      </c>
      <c r="R2552" s="39" t="str">
        <f t="shared" si="279"/>
        <v/>
      </c>
      <c r="S2552" s="28"/>
      <c r="T2552" s="28"/>
      <c r="U2552" s="28"/>
    </row>
    <row r="2553" spans="1:21" s="5" customFormat="1">
      <c r="A2553" s="179" t="s">
        <v>3060</v>
      </c>
      <c r="B2553" s="185" t="s">
        <v>7085</v>
      </c>
      <c r="C2553" s="35" t="str">
        <f t="shared" si="273"/>
        <v>Mithaqi</v>
      </c>
      <c r="E2553" s="40"/>
      <c r="F2553" s="15"/>
      <c r="G2553" s="17"/>
      <c r="H2553" s="10" t="s">
        <v>8563</v>
      </c>
      <c r="I2553" s="4" t="str">
        <f t="shared" si="274"/>
        <v>|Míáqí|</v>
      </c>
      <c r="J2553" s="3" t="str">
        <f t="shared" si="275"/>
        <v>|Mithaqi|</v>
      </c>
      <c r="K2553" s="3" t="str">
        <f t="shared" si="276"/>
        <v>Mithaqi</v>
      </c>
      <c r="N2553" s="39" t="str">
        <f t="shared" si="277"/>
        <v/>
      </c>
      <c r="P2553" s="39" t="str">
        <f t="shared" si="278"/>
        <v/>
      </c>
      <c r="R2553" s="39" t="str">
        <f t="shared" si="279"/>
        <v/>
      </c>
      <c r="S2553" s="28"/>
      <c r="T2553" s="28"/>
      <c r="U2553" s="28"/>
    </row>
    <row r="2554" spans="1:21" s="5" customFormat="1">
      <c r="A2554" s="179" t="s">
        <v>3061</v>
      </c>
      <c r="B2554" s="185" t="s">
        <v>7086</v>
      </c>
      <c r="C2554" s="35" t="str">
        <f t="shared" si="273"/>
        <v>Mithaqiyan</v>
      </c>
      <c r="E2554" s="40"/>
      <c r="F2554" s="15"/>
      <c r="G2554" s="17"/>
      <c r="H2554" s="10" t="s">
        <v>8563</v>
      </c>
      <c r="I2554" s="4" t="str">
        <f t="shared" si="274"/>
        <v>|Míáqíyán|</v>
      </c>
      <c r="J2554" s="3" t="str">
        <f t="shared" si="275"/>
        <v>|Mithaqiyan|</v>
      </c>
      <c r="K2554" s="3" t="str">
        <f t="shared" si="276"/>
        <v>Mithaqiyan</v>
      </c>
      <c r="N2554" s="39" t="str">
        <f t="shared" si="277"/>
        <v/>
      </c>
      <c r="P2554" s="39" t="str">
        <f t="shared" si="278"/>
        <v/>
      </c>
      <c r="R2554" s="39" t="str">
        <f t="shared" si="279"/>
        <v/>
      </c>
      <c r="S2554" s="28"/>
      <c r="T2554" s="28"/>
      <c r="U2554" s="28"/>
    </row>
    <row r="2555" spans="1:21" s="5" customFormat="1">
      <c r="A2555" s="179" t="s">
        <v>3062</v>
      </c>
      <c r="B2555" s="185" t="s">
        <v>176</v>
      </c>
      <c r="C2555" s="35" t="str">
        <f t="shared" si="273"/>
        <v>Mithqal</v>
      </c>
      <c r="E2555" s="40"/>
      <c r="F2555" s="14"/>
      <c r="G2555" s="17"/>
      <c r="H2555" s="10" t="s">
        <v>8563</v>
      </c>
      <c r="I2555" s="4" t="str">
        <f t="shared" si="274"/>
        <v>|Miqál|</v>
      </c>
      <c r="J2555" s="3" t="str">
        <f t="shared" si="275"/>
        <v>|Mithqal|</v>
      </c>
      <c r="K2555" s="3" t="str">
        <f t="shared" si="276"/>
        <v>Mithqal</v>
      </c>
      <c r="N2555" s="39" t="str">
        <f t="shared" si="277"/>
        <v/>
      </c>
      <c r="P2555" s="39" t="str">
        <f t="shared" si="278"/>
        <v/>
      </c>
      <c r="R2555" s="39" t="str">
        <f t="shared" si="279"/>
        <v/>
      </c>
      <c r="S2555" s="28"/>
      <c r="T2555" s="28"/>
      <c r="U2555" s="28"/>
    </row>
    <row r="2556" spans="1:21" s="5" customFormat="1">
      <c r="A2556" s="179" t="s">
        <v>3063</v>
      </c>
      <c r="B2556" s="185" t="s">
        <v>7087</v>
      </c>
      <c r="C2556" s="35" t="str">
        <f t="shared" si="273"/>
        <v>Mithra</v>
      </c>
      <c r="E2556" s="40"/>
      <c r="F2556" s="15"/>
      <c r="G2556" s="17"/>
      <c r="H2556" s="10" t="s">
        <v>8563</v>
      </c>
      <c r="I2556" s="4" t="str">
        <f t="shared" si="274"/>
        <v>|Mirá|</v>
      </c>
      <c r="J2556" s="3" t="str">
        <f t="shared" si="275"/>
        <v>|Mithra|</v>
      </c>
      <c r="K2556" s="3" t="str">
        <f t="shared" si="276"/>
        <v>Mithra</v>
      </c>
      <c r="N2556" s="39" t="str">
        <f t="shared" si="277"/>
        <v/>
      </c>
      <c r="P2556" s="39" t="str">
        <f t="shared" si="278"/>
        <v/>
      </c>
      <c r="R2556" s="39" t="str">
        <f t="shared" si="279"/>
        <v/>
      </c>
      <c r="S2556" s="28"/>
      <c r="T2556" s="28"/>
      <c r="U2556" s="28"/>
    </row>
    <row r="2557" spans="1:21" s="5" customFormat="1">
      <c r="A2557" s="179" t="s">
        <v>3064</v>
      </c>
      <c r="B2557" s="185" t="s">
        <v>7088</v>
      </c>
      <c r="C2557" s="35" t="str">
        <f t="shared" si="273"/>
        <v>Miyami</v>
      </c>
      <c r="E2557" s="40"/>
      <c r="F2557" s="15"/>
      <c r="G2557" s="17"/>
      <c r="H2557" s="10" t="s">
        <v>8563</v>
      </c>
      <c r="I2557" s="4" t="str">
        <f t="shared" si="274"/>
        <v>|Míyámí|</v>
      </c>
      <c r="J2557" s="3" t="str">
        <f t="shared" si="275"/>
        <v>|Miyami|</v>
      </c>
      <c r="K2557" s="3" t="str">
        <f t="shared" si="276"/>
        <v>Miyami</v>
      </c>
      <c r="N2557" s="39" t="str">
        <f t="shared" si="277"/>
        <v/>
      </c>
      <c r="P2557" s="39" t="str">
        <f t="shared" si="278"/>
        <v/>
      </c>
      <c r="R2557" s="39" t="str">
        <f t="shared" si="279"/>
        <v/>
      </c>
      <c r="S2557" s="28"/>
      <c r="T2557" s="28"/>
      <c r="U2557" s="28"/>
    </row>
    <row r="2558" spans="1:21" s="5" customFormat="1">
      <c r="A2558" s="179" t="s">
        <v>3065</v>
      </c>
      <c r="B2558" s="185" t="s">
        <v>7089</v>
      </c>
      <c r="C2558" s="35" t="str">
        <f t="shared" si="273"/>
        <v>Miyanaj</v>
      </c>
      <c r="E2558" s="40"/>
      <c r="F2558" s="14"/>
      <c r="G2558" s="17"/>
      <c r="H2558" s="10" t="s">
        <v>8563</v>
      </c>
      <c r="I2558" s="4" t="str">
        <f t="shared" si="274"/>
        <v>|Míyánáj|</v>
      </c>
      <c r="J2558" s="3" t="str">
        <f t="shared" si="275"/>
        <v>|Miyanaj|</v>
      </c>
      <c r="K2558" s="3" t="str">
        <f t="shared" si="276"/>
        <v>Miyanaj</v>
      </c>
      <c r="N2558" s="39" t="str">
        <f t="shared" si="277"/>
        <v/>
      </c>
      <c r="P2558" s="39" t="str">
        <f t="shared" si="278"/>
        <v/>
      </c>
      <c r="R2558" s="39" t="str">
        <f t="shared" si="279"/>
        <v/>
      </c>
      <c r="S2558" s="28"/>
      <c r="T2558" s="28"/>
      <c r="U2558" s="28"/>
    </row>
    <row r="2559" spans="1:21" s="5" customFormat="1">
      <c r="A2559" s="179" t="s">
        <v>3066</v>
      </c>
      <c r="B2559" s="185" t="s">
        <v>7090</v>
      </c>
      <c r="C2559" s="35" t="str">
        <f t="shared" si="273"/>
        <v>Miyanduab</v>
      </c>
      <c r="E2559" s="40"/>
      <c r="F2559" s="14"/>
      <c r="G2559" s="17"/>
      <c r="H2559" s="10" t="s">
        <v>8563</v>
      </c>
      <c r="I2559" s="4" t="str">
        <f t="shared" si="274"/>
        <v>|Míyánduáb|</v>
      </c>
      <c r="J2559" s="3" t="str">
        <f t="shared" si="275"/>
        <v>|Miyanduab|</v>
      </c>
      <c r="K2559" s="3" t="str">
        <f t="shared" si="276"/>
        <v>Miyanduab</v>
      </c>
      <c r="N2559" s="39" t="str">
        <f t="shared" si="277"/>
        <v/>
      </c>
      <c r="P2559" s="39" t="str">
        <f t="shared" si="278"/>
        <v/>
      </c>
      <c r="R2559" s="39" t="str">
        <f t="shared" si="279"/>
        <v/>
      </c>
      <c r="S2559" s="28"/>
      <c r="T2559" s="28"/>
      <c r="U2559" s="28"/>
    </row>
    <row r="2560" spans="1:21" s="5" customFormat="1">
      <c r="A2560" s="179" t="s">
        <v>3067</v>
      </c>
      <c r="B2560" s="185" t="s">
        <v>7091</v>
      </c>
      <c r="C2560" s="35" t="str">
        <f t="shared" si="273"/>
        <v>Muadhdhin</v>
      </c>
      <c r="E2560" s="40"/>
      <c r="F2560" s="14" t="s">
        <v>3068</v>
      </c>
      <c r="G2560" s="17"/>
      <c r="H2560" s="10" t="s">
        <v>8563</v>
      </c>
      <c r="I2560" s="4" t="str">
        <f t="shared" si="274"/>
        <v>|Mu’ain|</v>
      </c>
      <c r="J2560" s="3" t="str">
        <f t="shared" si="275"/>
        <v>|Mu'adhdhin|</v>
      </c>
      <c r="K2560" s="3" t="str">
        <f t="shared" si="276"/>
        <v>Muadhdhin</v>
      </c>
      <c r="N2560" s="39" t="str">
        <f t="shared" si="277"/>
        <v/>
      </c>
      <c r="P2560" s="39" t="str">
        <f t="shared" si="278"/>
        <v/>
      </c>
      <c r="R2560" s="39" t="str">
        <f t="shared" si="279"/>
        <v/>
      </c>
      <c r="S2560" s="28"/>
      <c r="T2560" s="28"/>
      <c r="U2560" s="28"/>
    </row>
    <row r="2561" spans="1:21" s="5" customFormat="1">
      <c r="A2561" s="179" t="s">
        <v>3069</v>
      </c>
      <c r="B2561" s="185" t="s">
        <v>7092</v>
      </c>
      <c r="C2561" s="35" t="str">
        <f t="shared" si="273"/>
        <v>Muallaqih</v>
      </c>
      <c r="E2561" s="40"/>
      <c r="F2561" s="15"/>
      <c r="G2561" s="17"/>
      <c r="H2561" s="10" t="s">
        <v>8563</v>
      </c>
      <c r="I2561" s="4" t="str">
        <f t="shared" si="274"/>
        <v>|Muʿallaqih|</v>
      </c>
      <c r="J2561" s="3" t="str">
        <f t="shared" si="275"/>
        <v>|Mu'allaqih|</v>
      </c>
      <c r="K2561" s="3" t="str">
        <f t="shared" si="276"/>
        <v>Muallaqih</v>
      </c>
      <c r="N2561" s="39" t="str">
        <f t="shared" si="277"/>
        <v/>
      </c>
      <c r="P2561" s="39" t="str">
        <f t="shared" si="278"/>
        <v/>
      </c>
      <c r="R2561" s="39" t="str">
        <f t="shared" si="279"/>
        <v/>
      </c>
      <c r="S2561" s="28"/>
      <c r="T2561" s="28"/>
      <c r="U2561" s="28"/>
    </row>
    <row r="2562" spans="1:21" s="5" customFormat="1">
      <c r="A2562" s="179" t="s">
        <v>3070</v>
      </c>
      <c r="B2562" s="185" t="s">
        <v>7093</v>
      </c>
      <c r="C2562" s="35" t="str">
        <f t="shared" ref="C2562:C2625" si="280">SUBSTITUTE(SUBSTITUTE(K2562,"-","")," ","")</f>
        <v>Muallim</v>
      </c>
      <c r="E2562" s="40"/>
      <c r="F2562" s="15" t="s">
        <v>3071</v>
      </c>
      <c r="G2562" s="17"/>
      <c r="H2562" s="10" t="s">
        <v>8563</v>
      </c>
      <c r="I2562" s="4" t="str">
        <f t="shared" ref="I2562:I2625" si="281">CONCATENATE("|",B2562,"|")</f>
        <v>|Muʿallim|</v>
      </c>
      <c r="J2562" s="3" t="str">
        <f t="shared" ref="J2562:J2625" si="282">CONCATENATE("|",F_OutputASCII(B2562),"|")</f>
        <v>|Mu'allim|</v>
      </c>
      <c r="K2562" s="3" t="str">
        <f t="shared" ref="K2562:K2625" si="283">IF(SUBSTITUTE(MID(J2562,2,LEN(J2562)-2),"'","")&lt;&gt;"",SUBSTITUTE(MID(J2562,2,LEN(J2562)-2),"'",""),"ZZZZZ")</f>
        <v>Muallim</v>
      </c>
      <c r="N2562" s="39" t="str">
        <f t="shared" si="277"/>
        <v/>
      </c>
      <c r="P2562" s="39" t="str">
        <f t="shared" si="278"/>
        <v/>
      </c>
      <c r="R2562" s="39" t="str">
        <f t="shared" si="279"/>
        <v/>
      </c>
      <c r="S2562" s="28"/>
      <c r="T2562" s="28"/>
      <c r="U2562" s="28"/>
    </row>
    <row r="2563" spans="1:21" s="5" customFormat="1">
      <c r="A2563" s="179" t="s">
        <v>3072</v>
      </c>
      <c r="B2563" s="185" t="s">
        <v>7094</v>
      </c>
      <c r="C2563" s="35" t="str">
        <f t="shared" si="280"/>
        <v>Muallimi</v>
      </c>
      <c r="E2563" s="40"/>
      <c r="F2563" s="15"/>
      <c r="G2563" s="17"/>
      <c r="H2563" s="10" t="s">
        <v>8563</v>
      </c>
      <c r="I2563" s="4" t="str">
        <f t="shared" si="281"/>
        <v>|Muʿallimí|</v>
      </c>
      <c r="J2563" s="3" t="str">
        <f t="shared" si="282"/>
        <v>|Mu'allimi|</v>
      </c>
      <c r="K2563" s="3" t="str">
        <f t="shared" si="283"/>
        <v>Muallimi</v>
      </c>
      <c r="N2563" s="39" t="str">
        <f t="shared" ref="N2563:N2626" si="284">SUBSTITUTE(SUBSTITUTE(SUBSTITUTE(F_OutputASCII(M2563),"-","")," ",""),"'","")</f>
        <v/>
      </c>
      <c r="P2563" s="39" t="str">
        <f t="shared" ref="P2563:P2626" si="285">SUBSTITUTE(SUBSTITUTE(SUBSTITUTE(F_OutputASCII(O2563),"-","")," ",""),"'","")</f>
        <v/>
      </c>
      <c r="R2563" s="39" t="str">
        <f t="shared" ref="R2563:R2626" si="286">SUBSTITUTE(SUBSTITUTE(Q2563,"-","")," ","")</f>
        <v/>
      </c>
      <c r="S2563" s="28"/>
      <c r="T2563" s="28"/>
      <c r="U2563" s="28"/>
    </row>
    <row r="2564" spans="1:21" s="5" customFormat="1">
      <c r="A2564" s="179" t="s">
        <v>3073</v>
      </c>
      <c r="B2564" s="185" t="s">
        <v>7095</v>
      </c>
      <c r="C2564" s="35" t="str">
        <f t="shared" si="280"/>
        <v>Muashirat</v>
      </c>
      <c r="E2564" s="40"/>
      <c r="F2564" s="15"/>
      <c r="G2564" s="17"/>
      <c r="H2564" s="10" t="s">
        <v>8563</v>
      </c>
      <c r="I2564" s="4" t="str">
        <f t="shared" si="281"/>
        <v>|Muʿáirat|</v>
      </c>
      <c r="J2564" s="3" t="str">
        <f t="shared" si="282"/>
        <v>|Mu'ashirat|</v>
      </c>
      <c r="K2564" s="3" t="str">
        <f t="shared" si="283"/>
        <v>Muashirat</v>
      </c>
      <c r="N2564" s="39" t="str">
        <f t="shared" si="284"/>
        <v/>
      </c>
      <c r="P2564" s="39" t="str">
        <f t="shared" si="285"/>
        <v/>
      </c>
      <c r="R2564" s="39" t="str">
        <f t="shared" si="286"/>
        <v/>
      </c>
      <c r="S2564" s="28"/>
      <c r="T2564" s="28"/>
      <c r="U2564" s="28"/>
    </row>
    <row r="2565" spans="1:21" s="5" customFormat="1">
      <c r="A2565" s="179" t="s">
        <v>3074</v>
      </c>
      <c r="B2565" s="185" t="s">
        <v>7096</v>
      </c>
      <c r="C2565" s="35" t="str">
        <f t="shared" si="280"/>
        <v>Muattar</v>
      </c>
      <c r="E2565" s="40"/>
      <c r="F2565" s="15" t="s">
        <v>3075</v>
      </c>
      <c r="G2565" s="17"/>
      <c r="H2565" s="10" t="s">
        <v>8563</v>
      </c>
      <c r="I2565" s="4" t="str">
        <f t="shared" si="281"/>
        <v>|Muʿaṭṭar|</v>
      </c>
      <c r="J2565" s="3" t="str">
        <f t="shared" si="282"/>
        <v>|Mu'attar|</v>
      </c>
      <c r="K2565" s="3" t="str">
        <f t="shared" si="283"/>
        <v>Muattar</v>
      </c>
      <c r="N2565" s="39" t="str">
        <f t="shared" si="284"/>
        <v/>
      </c>
      <c r="P2565" s="39" t="str">
        <f t="shared" si="285"/>
        <v/>
      </c>
      <c r="R2565" s="39" t="str">
        <f t="shared" si="286"/>
        <v/>
      </c>
      <c r="S2565" s="28"/>
      <c r="T2565" s="28"/>
      <c r="U2565" s="28"/>
    </row>
    <row r="2566" spans="1:21" s="5" customFormat="1">
      <c r="A2566" s="179" t="s">
        <v>3076</v>
      </c>
      <c r="B2566" s="185" t="s">
        <v>7097</v>
      </c>
      <c r="C2566" s="35" t="str">
        <f t="shared" si="280"/>
        <v>Muaviyih</v>
      </c>
      <c r="E2566" s="40"/>
      <c r="F2566" s="15"/>
      <c r="G2566" s="17"/>
      <c r="H2566" s="10" t="s">
        <v>8563</v>
      </c>
      <c r="I2566" s="4" t="str">
        <f t="shared" si="281"/>
        <v>|Muʿávíyih|</v>
      </c>
      <c r="J2566" s="3" t="str">
        <f t="shared" si="282"/>
        <v>|Mu'aviyih|</v>
      </c>
      <c r="K2566" s="3" t="str">
        <f t="shared" si="283"/>
        <v>Muaviyih</v>
      </c>
      <c r="N2566" s="39" t="str">
        <f t="shared" si="284"/>
        <v/>
      </c>
      <c r="P2566" s="39" t="str">
        <f t="shared" si="285"/>
        <v/>
      </c>
      <c r="R2566" s="39" t="str">
        <f t="shared" si="286"/>
        <v/>
      </c>
      <c r="S2566" s="28"/>
      <c r="T2566" s="28"/>
      <c r="U2566" s="28"/>
    </row>
    <row r="2567" spans="1:21" s="5" customFormat="1">
      <c r="A2567" s="179" t="s">
        <v>3077</v>
      </c>
      <c r="B2567" s="185" t="s">
        <v>7098</v>
      </c>
      <c r="C2567" s="35" t="str">
        <f t="shared" si="280"/>
        <v>Muayyad</v>
      </c>
      <c r="E2567" s="40"/>
      <c r="F2567" s="15"/>
      <c r="G2567" s="17"/>
      <c r="H2567" s="10" t="s">
        <v>8563</v>
      </c>
      <c r="I2567" s="4" t="str">
        <f t="shared" si="281"/>
        <v>|Mu’ayyad|</v>
      </c>
      <c r="J2567" s="3" t="str">
        <f t="shared" si="282"/>
        <v>|Mu'ayyad|</v>
      </c>
      <c r="K2567" s="3" t="str">
        <f t="shared" si="283"/>
        <v>Muayyad</v>
      </c>
      <c r="N2567" s="39" t="str">
        <f t="shared" si="284"/>
        <v/>
      </c>
      <c r="P2567" s="39" t="str">
        <f t="shared" si="285"/>
        <v/>
      </c>
      <c r="R2567" s="39" t="str">
        <f t="shared" si="286"/>
        <v/>
      </c>
      <c r="S2567" s="28"/>
      <c r="T2567" s="28"/>
      <c r="U2567" s="28"/>
    </row>
    <row r="2568" spans="1:21" s="5" customFormat="1">
      <c r="A2568" s="179" t="s">
        <v>3078</v>
      </c>
      <c r="B2568" s="185" t="s">
        <v>7099</v>
      </c>
      <c r="C2568" s="35" t="str">
        <f t="shared" si="280"/>
        <v>MuayyadudDawlih</v>
      </c>
      <c r="E2568" s="40"/>
      <c r="F2568" s="14"/>
      <c r="G2568" s="17"/>
      <c r="H2568" s="10" t="s">
        <v>8563</v>
      </c>
      <c r="I2568" s="4" t="str">
        <f t="shared" si="281"/>
        <v>|Mu’ayyadu’d-Dawlih|</v>
      </c>
      <c r="J2568" s="3" t="str">
        <f t="shared" si="282"/>
        <v>|Mu'ayyadu'd-Dawlih|</v>
      </c>
      <c r="K2568" s="3" t="str">
        <f t="shared" si="283"/>
        <v>Muayyadud-Dawlih</v>
      </c>
      <c r="N2568" s="39" t="str">
        <f t="shared" si="284"/>
        <v/>
      </c>
      <c r="P2568" s="39" t="str">
        <f t="shared" si="285"/>
        <v/>
      </c>
      <c r="R2568" s="39" t="str">
        <f t="shared" si="286"/>
        <v/>
      </c>
      <c r="S2568" s="28"/>
      <c r="T2568" s="28"/>
      <c r="U2568" s="28"/>
    </row>
    <row r="2569" spans="1:21" s="5" customFormat="1">
      <c r="A2569" s="179" t="s">
        <v>3079</v>
      </c>
      <c r="B2569" s="185" t="s">
        <v>7100</v>
      </c>
      <c r="C2569" s="35" t="str">
        <f t="shared" si="280"/>
        <v>Mubahilih</v>
      </c>
      <c r="E2569" s="40"/>
      <c r="F2569" s="15" t="s">
        <v>3080</v>
      </c>
      <c r="G2569" s="17"/>
      <c r="H2569" s="10" t="s">
        <v>8563</v>
      </c>
      <c r="I2569" s="4" t="str">
        <f t="shared" si="281"/>
        <v>|Mubáhilih|</v>
      </c>
      <c r="J2569" s="3" t="str">
        <f t="shared" si="282"/>
        <v>|Mubahilih|</v>
      </c>
      <c r="K2569" s="3" t="str">
        <f t="shared" si="283"/>
        <v>Mubahilih</v>
      </c>
      <c r="N2569" s="39" t="str">
        <f t="shared" si="284"/>
        <v/>
      </c>
      <c r="P2569" s="39" t="str">
        <f t="shared" si="285"/>
        <v/>
      </c>
      <c r="R2569" s="39" t="str">
        <f t="shared" si="286"/>
        <v/>
      </c>
      <c r="S2569" s="28"/>
      <c r="T2569" s="28"/>
      <c r="U2569" s="28"/>
    </row>
    <row r="2570" spans="1:21" s="5" customFormat="1">
      <c r="A2570" s="179" t="s">
        <v>3081</v>
      </c>
      <c r="B2570" s="185" t="s">
        <v>7101</v>
      </c>
      <c r="C2570" s="35" t="str">
        <f t="shared" si="280"/>
        <v>Muballighin</v>
      </c>
      <c r="E2570" s="40"/>
      <c r="F2570" s="15" t="s">
        <v>3082</v>
      </c>
      <c r="G2570" s="17"/>
      <c r="H2570" s="10" t="s">
        <v>8563</v>
      </c>
      <c r="I2570" s="4" t="str">
        <f t="shared" si="281"/>
        <v>|Muballiín|</v>
      </c>
      <c r="J2570" s="3" t="str">
        <f t="shared" si="282"/>
        <v>|Muballighin|</v>
      </c>
      <c r="K2570" s="3" t="str">
        <f t="shared" si="283"/>
        <v>Muballighin</v>
      </c>
      <c r="N2570" s="39" t="str">
        <f t="shared" si="284"/>
        <v/>
      </c>
      <c r="P2570" s="39" t="str">
        <f t="shared" si="285"/>
        <v/>
      </c>
      <c r="R2570" s="39" t="str">
        <f t="shared" si="286"/>
        <v/>
      </c>
      <c r="S2570" s="28"/>
      <c r="T2570" s="28"/>
      <c r="U2570" s="28"/>
    </row>
    <row r="2571" spans="1:21" s="5" customFormat="1">
      <c r="A2571" s="179" t="s">
        <v>3083</v>
      </c>
      <c r="B2571" s="185" t="s">
        <v>7102</v>
      </c>
      <c r="C2571" s="35" t="str">
        <f t="shared" si="280"/>
        <v>Mubarak</v>
      </c>
      <c r="E2571" s="40"/>
      <c r="F2571" s="15" t="s">
        <v>3084</v>
      </c>
      <c r="G2571" s="17"/>
      <c r="H2571" s="10" t="s">
        <v>8563</v>
      </c>
      <c r="I2571" s="4" t="str">
        <f t="shared" si="281"/>
        <v>|Mubárak|</v>
      </c>
      <c r="J2571" s="3" t="str">
        <f t="shared" si="282"/>
        <v>|Mubarak|</v>
      </c>
      <c r="K2571" s="3" t="str">
        <f t="shared" si="283"/>
        <v>Mubarak</v>
      </c>
      <c r="N2571" s="39" t="str">
        <f t="shared" si="284"/>
        <v/>
      </c>
      <c r="P2571" s="39" t="str">
        <f t="shared" si="285"/>
        <v/>
      </c>
      <c r="R2571" s="39" t="str">
        <f t="shared" si="286"/>
        <v/>
      </c>
      <c r="S2571" s="28"/>
      <c r="T2571" s="28"/>
      <c r="U2571" s="28"/>
    </row>
    <row r="2572" spans="1:21" s="5" customFormat="1">
      <c r="A2572" s="179" t="s">
        <v>3085</v>
      </c>
      <c r="B2572" s="185" t="s">
        <v>7103</v>
      </c>
      <c r="C2572" s="35" t="str">
        <f t="shared" si="280"/>
        <v>Mubashshir</v>
      </c>
      <c r="E2572" s="40"/>
      <c r="F2572" s="15"/>
      <c r="G2572" s="17"/>
      <c r="H2572" s="10" t="s">
        <v>8563</v>
      </c>
      <c r="I2572" s="4" t="str">
        <f t="shared" si="281"/>
        <v>|Mubair|</v>
      </c>
      <c r="J2572" s="3" t="str">
        <f t="shared" si="282"/>
        <v>|Mubashshir|</v>
      </c>
      <c r="K2572" s="3" t="str">
        <f t="shared" si="283"/>
        <v>Mubashshir</v>
      </c>
      <c r="N2572" s="39" t="str">
        <f t="shared" si="284"/>
        <v/>
      </c>
      <c r="P2572" s="39" t="str">
        <f t="shared" si="285"/>
        <v/>
      </c>
      <c r="R2572" s="39" t="str">
        <f t="shared" si="286"/>
        <v/>
      </c>
      <c r="S2572" s="28"/>
      <c r="T2572" s="28"/>
      <c r="U2572" s="28"/>
    </row>
    <row r="2573" spans="1:21" s="5" customFormat="1">
      <c r="A2573" s="179" t="s">
        <v>3086</v>
      </c>
      <c r="B2573" s="185" t="s">
        <v>7104</v>
      </c>
      <c r="C2573" s="35" t="str">
        <f t="shared" si="280"/>
        <v>MubayyiniKitab</v>
      </c>
      <c r="E2573" s="40"/>
      <c r="F2573" s="15"/>
      <c r="G2573" s="17"/>
      <c r="H2573" s="10" t="s">
        <v>8563</v>
      </c>
      <c r="I2573" s="4" t="str">
        <f t="shared" si="281"/>
        <v>|Mubayyin-i-Kitáb|</v>
      </c>
      <c r="J2573" s="3" t="str">
        <f t="shared" si="282"/>
        <v>|Mubayyin-i-Kitab|</v>
      </c>
      <c r="K2573" s="3" t="str">
        <f t="shared" si="283"/>
        <v>Mubayyin-i-Kitab</v>
      </c>
      <c r="N2573" s="39" t="str">
        <f t="shared" si="284"/>
        <v/>
      </c>
      <c r="P2573" s="39" t="str">
        <f t="shared" si="285"/>
        <v/>
      </c>
      <c r="R2573" s="39" t="str">
        <f t="shared" si="286"/>
        <v/>
      </c>
      <c r="S2573" s="28"/>
      <c r="T2573" s="28"/>
      <c r="U2573" s="28"/>
    </row>
    <row r="2574" spans="1:21" s="5" customFormat="1">
      <c r="A2574" s="179" t="s">
        <v>3087</v>
      </c>
      <c r="B2574" s="185" t="s">
        <v>7105</v>
      </c>
      <c r="C2574" s="35" t="str">
        <f t="shared" si="280"/>
        <v>Mubin</v>
      </c>
      <c r="E2574" s="40"/>
      <c r="F2574" s="15"/>
      <c r="G2574" s="17"/>
      <c r="H2574" s="10" t="s">
        <v>8563</v>
      </c>
      <c r="I2574" s="4" t="str">
        <f t="shared" si="281"/>
        <v>|Mubín|</v>
      </c>
      <c r="J2574" s="3" t="str">
        <f t="shared" si="282"/>
        <v>|Mubin|</v>
      </c>
      <c r="K2574" s="3" t="str">
        <f t="shared" si="283"/>
        <v>Mubin</v>
      </c>
      <c r="N2574" s="39" t="str">
        <f t="shared" si="284"/>
        <v/>
      </c>
      <c r="P2574" s="39" t="str">
        <f t="shared" si="285"/>
        <v/>
      </c>
      <c r="R2574" s="39" t="str">
        <f t="shared" si="286"/>
        <v/>
      </c>
      <c r="S2574" s="28"/>
      <c r="T2574" s="28"/>
      <c r="U2574" s="28"/>
    </row>
    <row r="2575" spans="1:21" s="5" customFormat="1">
      <c r="A2575" s="179" t="s">
        <v>3088</v>
      </c>
      <c r="B2575" s="185" t="s">
        <v>192</v>
      </c>
      <c r="C2575" s="35" t="str">
        <f t="shared" si="280"/>
        <v>Mudallil</v>
      </c>
      <c r="E2575" s="40"/>
      <c r="F2575" s="14"/>
      <c r="G2575" s="17"/>
      <c r="H2575" s="10" t="s">
        <v>8563</v>
      </c>
      <c r="I2575" s="4" t="str">
        <f t="shared" si="281"/>
        <v>|Mudallil|</v>
      </c>
      <c r="J2575" s="3" t="str">
        <f t="shared" si="282"/>
        <v>|Mudallil|</v>
      </c>
      <c r="K2575" s="3" t="str">
        <f t="shared" si="283"/>
        <v>Mudallil</v>
      </c>
      <c r="N2575" s="39" t="str">
        <f t="shared" si="284"/>
        <v/>
      </c>
      <c r="P2575" s="39" t="str">
        <f t="shared" si="285"/>
        <v/>
      </c>
      <c r="R2575" s="39" t="str">
        <f t="shared" si="286"/>
        <v/>
      </c>
      <c r="S2575" s="28"/>
      <c r="T2575" s="28"/>
      <c r="U2575" s="28"/>
    </row>
    <row r="2576" spans="1:21" s="5" customFormat="1">
      <c r="A2576" s="179" t="s">
        <v>3089</v>
      </c>
      <c r="B2576" s="185" t="s">
        <v>7106</v>
      </c>
      <c r="C2576" s="35" t="str">
        <f t="shared" si="280"/>
        <v>Mudarrisun</v>
      </c>
      <c r="E2576" s="40"/>
      <c r="F2576" s="15" t="s">
        <v>3090</v>
      </c>
      <c r="G2576" s="17"/>
      <c r="H2576" s="10" t="s">
        <v>8563</v>
      </c>
      <c r="I2576" s="4" t="str">
        <f t="shared" si="281"/>
        <v>|Mudarrisún|</v>
      </c>
      <c r="J2576" s="3" t="str">
        <f t="shared" si="282"/>
        <v>|Mudarrisun|</v>
      </c>
      <c r="K2576" s="3" t="str">
        <f t="shared" si="283"/>
        <v>Mudarrisun</v>
      </c>
      <c r="N2576" s="39" t="str">
        <f t="shared" si="284"/>
        <v/>
      </c>
      <c r="P2576" s="39" t="str">
        <f t="shared" si="285"/>
        <v/>
      </c>
      <c r="R2576" s="39" t="str">
        <f t="shared" si="286"/>
        <v/>
      </c>
      <c r="S2576" s="28"/>
      <c r="T2576" s="28"/>
      <c r="U2576" s="28"/>
    </row>
    <row r="2577" spans="1:21" s="5" customFormat="1">
      <c r="A2577" s="179" t="s">
        <v>3092</v>
      </c>
      <c r="B2577" s="185" t="s">
        <v>7108</v>
      </c>
      <c r="C2577" s="35" t="str">
        <f t="shared" si="280"/>
        <v>Mufaddal</v>
      </c>
      <c r="E2577" s="40"/>
      <c r="F2577" s="15" t="s">
        <v>3093</v>
      </c>
      <c r="G2577" s="17"/>
      <c r="H2577" s="10" t="s">
        <v>8563</v>
      </c>
      <c r="I2577" s="4" t="str">
        <f t="shared" si="281"/>
        <v>|Mufaḍḍal|</v>
      </c>
      <c r="J2577" s="3" t="str">
        <f t="shared" si="282"/>
        <v>|Mufaddal|</v>
      </c>
      <c r="K2577" s="3" t="str">
        <f t="shared" si="283"/>
        <v>Mufaddal</v>
      </c>
      <c r="N2577" s="39" t="str">
        <f t="shared" si="284"/>
        <v/>
      </c>
      <c r="P2577" s="39" t="str">
        <f t="shared" si="285"/>
        <v/>
      </c>
      <c r="R2577" s="39" t="str">
        <f t="shared" si="286"/>
        <v/>
      </c>
      <c r="S2577" s="28"/>
      <c r="T2577" s="28"/>
      <c r="U2577" s="28"/>
    </row>
    <row r="2578" spans="1:21" s="5" customFormat="1">
      <c r="A2578" s="179" t="s">
        <v>3094</v>
      </c>
      <c r="B2578" s="185" t="s">
        <v>7109</v>
      </c>
      <c r="C2578" s="35" t="str">
        <f t="shared" si="280"/>
        <v>MufakhkhamudDawlih</v>
      </c>
      <c r="E2578" s="40"/>
      <c r="F2578" s="15"/>
      <c r="G2578" s="17"/>
      <c r="H2578" s="10" t="s">
        <v>8563</v>
      </c>
      <c r="I2578" s="4" t="str">
        <f t="shared" si="281"/>
        <v>|Mufaamu’d-Dawlih|</v>
      </c>
      <c r="J2578" s="3" t="str">
        <f t="shared" si="282"/>
        <v>|Mufakhkhamu'd-Dawlih|</v>
      </c>
      <c r="K2578" s="3" t="str">
        <f t="shared" si="283"/>
        <v>Mufakhkhamud-Dawlih</v>
      </c>
      <c r="N2578" s="39" t="str">
        <f t="shared" si="284"/>
        <v/>
      </c>
      <c r="P2578" s="39" t="str">
        <f t="shared" si="285"/>
        <v/>
      </c>
      <c r="R2578" s="39" t="str">
        <f t="shared" si="286"/>
        <v/>
      </c>
      <c r="S2578" s="28"/>
      <c r="T2578" s="28"/>
      <c r="U2578" s="28"/>
    </row>
    <row r="2579" spans="1:21" s="5" customFormat="1">
      <c r="A2579" s="179" t="s">
        <v>3091</v>
      </c>
      <c r="B2579" s="185" t="s">
        <v>7107</v>
      </c>
      <c r="C2579" s="35" t="str">
        <f t="shared" si="280"/>
        <v>Mufassal</v>
      </c>
      <c r="E2579" s="40"/>
      <c r="F2579" s="14"/>
      <c r="G2579" s="17"/>
      <c r="H2579" s="10" t="s">
        <v>8563</v>
      </c>
      <c r="I2579" s="4" t="str">
        <f t="shared" si="281"/>
        <v>|Mufaṣṣal|</v>
      </c>
      <c r="J2579" s="3" t="str">
        <f t="shared" si="282"/>
        <v>|Mufassal|</v>
      </c>
      <c r="K2579" s="3" t="str">
        <f t="shared" si="283"/>
        <v>Mufassal</v>
      </c>
      <c r="N2579" s="39" t="str">
        <f t="shared" si="284"/>
        <v/>
      </c>
      <c r="P2579" s="39" t="str">
        <f t="shared" si="285"/>
        <v/>
      </c>
      <c r="R2579" s="39" t="str">
        <f t="shared" si="286"/>
        <v/>
      </c>
      <c r="S2579" s="28"/>
      <c r="T2579" s="28"/>
      <c r="U2579" s="28"/>
    </row>
    <row r="2580" spans="1:21" s="5" customFormat="1">
      <c r="A2580" s="179" t="s">
        <v>3095</v>
      </c>
      <c r="B2580" s="185" t="s">
        <v>7110</v>
      </c>
      <c r="C2580" s="35" t="str">
        <f t="shared" si="280"/>
        <v>Mufavidat</v>
      </c>
      <c r="E2580" s="40"/>
      <c r="F2580" s="15" t="s">
        <v>2687</v>
      </c>
      <c r="G2580" s="17"/>
      <c r="H2580" s="10" t="s">
        <v>8563</v>
      </c>
      <c r="I2580" s="4" t="str">
        <f t="shared" si="281"/>
        <v>|Mufáviḍát|</v>
      </c>
      <c r="J2580" s="3" t="str">
        <f t="shared" si="282"/>
        <v>|Mufavidat|</v>
      </c>
      <c r="K2580" s="3" t="str">
        <f t="shared" si="283"/>
        <v>Mufavidat</v>
      </c>
      <c r="N2580" s="39" t="str">
        <f t="shared" si="284"/>
        <v/>
      </c>
      <c r="P2580" s="39" t="str">
        <f t="shared" si="285"/>
        <v/>
      </c>
      <c r="R2580" s="39" t="str">
        <f t="shared" si="286"/>
        <v/>
      </c>
      <c r="S2580" s="28"/>
      <c r="T2580" s="28"/>
      <c r="U2580" s="28"/>
    </row>
    <row r="2581" spans="1:21" s="5" customFormat="1">
      <c r="A2581" s="179" t="s">
        <v>3096</v>
      </c>
      <c r="B2581" s="185" t="s">
        <v>7111</v>
      </c>
      <c r="C2581" s="35" t="str">
        <f t="shared" si="280"/>
        <v>Mufti</v>
      </c>
      <c r="E2581" s="40"/>
      <c r="F2581" s="14" t="s">
        <v>3097</v>
      </c>
      <c r="G2581" s="17"/>
      <c r="H2581" s="10" t="s">
        <v>8563</v>
      </c>
      <c r="I2581" s="4" t="str">
        <f t="shared" si="281"/>
        <v>|Muftí|</v>
      </c>
      <c r="J2581" s="3" t="str">
        <f t="shared" si="282"/>
        <v>|Mufti|</v>
      </c>
      <c r="K2581" s="3" t="str">
        <f t="shared" si="283"/>
        <v>Mufti</v>
      </c>
      <c r="N2581" s="39" t="str">
        <f t="shared" si="284"/>
        <v/>
      </c>
      <c r="P2581" s="39" t="str">
        <f t="shared" si="285"/>
        <v/>
      </c>
      <c r="R2581" s="39" t="str">
        <f t="shared" si="286"/>
        <v/>
      </c>
      <c r="S2581" s="28"/>
      <c r="T2581" s="28"/>
      <c r="U2581" s="28"/>
    </row>
    <row r="2582" spans="1:21" s="5" customFormat="1">
      <c r="A2582" s="179" t="s">
        <v>3098</v>
      </c>
      <c r="B2582" s="185" t="s">
        <v>7112</v>
      </c>
      <c r="C2582" s="35" t="str">
        <f t="shared" si="280"/>
        <v>Muhabbatanih</v>
      </c>
      <c r="E2582" s="40"/>
      <c r="F2582" s="15"/>
      <c r="G2582" s="17"/>
      <c r="H2582" s="10" t="s">
        <v>8563</v>
      </c>
      <c r="I2582" s="4" t="str">
        <f t="shared" si="281"/>
        <v>|Muḥabbatánih|</v>
      </c>
      <c r="J2582" s="3" t="str">
        <f t="shared" si="282"/>
        <v>|Muhabbatanih|</v>
      </c>
      <c r="K2582" s="3" t="str">
        <f t="shared" si="283"/>
        <v>Muhabbatanih</v>
      </c>
      <c r="N2582" s="39" t="str">
        <f t="shared" si="284"/>
        <v/>
      </c>
      <c r="P2582" s="39" t="str">
        <f t="shared" si="285"/>
        <v/>
      </c>
      <c r="R2582" s="39" t="str">
        <f t="shared" si="286"/>
        <v/>
      </c>
      <c r="S2582" s="28"/>
      <c r="T2582" s="28"/>
      <c r="U2582" s="28"/>
    </row>
    <row r="2583" spans="1:21" s="5" customFormat="1">
      <c r="A2583" s="179" t="s">
        <v>3099</v>
      </c>
      <c r="B2583" s="185" t="s">
        <v>7113</v>
      </c>
      <c r="C2583" s="35" t="str">
        <f t="shared" si="280"/>
        <v>Muhadirat</v>
      </c>
      <c r="E2583" s="40"/>
      <c r="F2583" s="15"/>
      <c r="G2583" s="17"/>
      <c r="H2583" s="10" t="s">
        <v>8563</v>
      </c>
      <c r="I2583" s="4" t="str">
        <f t="shared" si="281"/>
        <v>|Muḥáḍirát|</v>
      </c>
      <c r="J2583" s="3" t="str">
        <f t="shared" si="282"/>
        <v>|Muhadirat|</v>
      </c>
      <c r="K2583" s="3" t="str">
        <f t="shared" si="283"/>
        <v>Muhadirat</v>
      </c>
      <c r="N2583" s="39" t="str">
        <f t="shared" si="284"/>
        <v/>
      </c>
      <c r="P2583" s="39" t="str">
        <f t="shared" si="285"/>
        <v/>
      </c>
      <c r="R2583" s="39" t="str">
        <f t="shared" si="286"/>
        <v/>
      </c>
      <c r="S2583" s="28"/>
      <c r="T2583" s="28"/>
      <c r="U2583" s="28"/>
    </row>
    <row r="2584" spans="1:21" s="5" customFormat="1">
      <c r="A2584" s="179" t="s">
        <v>3100</v>
      </c>
      <c r="B2584" s="185" t="s">
        <v>7114</v>
      </c>
      <c r="C2584" s="35" t="str">
        <f t="shared" si="280"/>
        <v>Muhajir</v>
      </c>
      <c r="E2584" s="40"/>
      <c r="F2584" s="14"/>
      <c r="G2584" s="17"/>
      <c r="H2584" s="10" t="s">
        <v>8563</v>
      </c>
      <c r="I2584" s="4" t="str">
        <f t="shared" si="281"/>
        <v>|Muhájir|</v>
      </c>
      <c r="J2584" s="3" t="str">
        <f t="shared" si="282"/>
        <v>|Muhajir|</v>
      </c>
      <c r="K2584" s="3" t="str">
        <f t="shared" si="283"/>
        <v>Muhajir</v>
      </c>
      <c r="N2584" s="39" t="str">
        <f t="shared" si="284"/>
        <v/>
      </c>
      <c r="P2584" s="39" t="str">
        <f t="shared" si="285"/>
        <v/>
      </c>
      <c r="R2584" s="39" t="str">
        <f t="shared" si="286"/>
        <v/>
      </c>
      <c r="S2584" s="28"/>
      <c r="T2584" s="28"/>
      <c r="U2584" s="28"/>
    </row>
    <row r="2585" spans="1:21" s="5" customFormat="1">
      <c r="A2585" s="179" t="s">
        <v>3101</v>
      </c>
      <c r="B2585" s="185" t="s">
        <v>7115</v>
      </c>
      <c r="C2585" s="35" t="str">
        <f t="shared" si="280"/>
        <v>Muhajirin</v>
      </c>
      <c r="E2585" s="40"/>
      <c r="F2585" s="15" t="s">
        <v>3102</v>
      </c>
      <c r="G2585" s="17"/>
      <c r="H2585" s="10" t="s">
        <v>8563</v>
      </c>
      <c r="I2585" s="4" t="str">
        <f t="shared" si="281"/>
        <v>|Muhájirín|</v>
      </c>
      <c r="J2585" s="3" t="str">
        <f t="shared" si="282"/>
        <v>|Muhajirin|</v>
      </c>
      <c r="K2585" s="3" t="str">
        <f t="shared" si="283"/>
        <v>Muhajirin</v>
      </c>
      <c r="N2585" s="39" t="str">
        <f t="shared" si="284"/>
        <v/>
      </c>
      <c r="P2585" s="39" t="str">
        <f t="shared" si="285"/>
        <v/>
      </c>
      <c r="R2585" s="39" t="str">
        <f t="shared" si="286"/>
        <v/>
      </c>
      <c r="S2585" s="28"/>
      <c r="T2585" s="28"/>
      <c r="U2585" s="28"/>
    </row>
    <row r="2586" spans="1:21" s="5" customFormat="1">
      <c r="A2586" s="179" t="s">
        <v>3103</v>
      </c>
      <c r="B2586" s="185" t="s">
        <v>27</v>
      </c>
      <c r="C2586" s="35" t="str">
        <f t="shared" si="280"/>
        <v>Muhammad</v>
      </c>
      <c r="E2586" s="40"/>
      <c r="F2586" s="14"/>
      <c r="G2586" s="17"/>
      <c r="H2586" s="10" t="s">
        <v>8563</v>
      </c>
      <c r="I2586" s="4" t="str">
        <f t="shared" si="281"/>
        <v>|Muḥammad|</v>
      </c>
      <c r="J2586" s="3" t="str">
        <f t="shared" si="282"/>
        <v>|Muhammad|</v>
      </c>
      <c r="K2586" s="3" t="str">
        <f t="shared" si="283"/>
        <v>Muhammad</v>
      </c>
      <c r="N2586" s="39" t="str">
        <f t="shared" si="284"/>
        <v/>
      </c>
      <c r="P2586" s="39" t="str">
        <f t="shared" si="285"/>
        <v/>
      </c>
      <c r="R2586" s="39" t="str">
        <f t="shared" si="286"/>
        <v/>
      </c>
      <c r="S2586" s="28"/>
      <c r="T2586" s="29">
        <v>41799</v>
      </c>
      <c r="U2586" s="28" t="s">
        <v>9459</v>
      </c>
    </row>
    <row r="2587" spans="1:21" s="5" customFormat="1">
      <c r="A2587" s="181"/>
      <c r="B2587" s="185" t="s">
        <v>8732</v>
      </c>
      <c r="C2587" s="35" t="str">
        <f t="shared" si="280"/>
        <v>MuhammadHasan</v>
      </c>
      <c r="D2587" s="1"/>
      <c r="E2587" s="40" t="s">
        <v>9115</v>
      </c>
      <c r="F2587" s="12"/>
      <c r="G2587" s="9"/>
      <c r="H2587" s="12" t="s">
        <v>8622</v>
      </c>
      <c r="I2587" s="4" t="str">
        <f t="shared" si="281"/>
        <v>|Muḥammad Ḥasan|</v>
      </c>
      <c r="J2587" s="3" t="str">
        <f t="shared" si="282"/>
        <v>|Muhammad Hasan|</v>
      </c>
      <c r="K2587" s="3" t="str">
        <f t="shared" si="283"/>
        <v>Muhammad Hasan</v>
      </c>
      <c r="N2587" s="39" t="str">
        <f t="shared" si="284"/>
        <v/>
      </c>
      <c r="P2587" s="39" t="str">
        <f t="shared" si="285"/>
        <v/>
      </c>
      <c r="R2587" s="39" t="str">
        <f t="shared" si="286"/>
        <v/>
      </c>
      <c r="S2587" s="29">
        <v>41760</v>
      </c>
      <c r="T2587" s="28"/>
      <c r="U2587" s="28"/>
    </row>
    <row r="2588" spans="1:21" s="5" customFormat="1">
      <c r="A2588" s="181"/>
      <c r="B2588" s="185" t="s">
        <v>8733</v>
      </c>
      <c r="C2588" s="35" t="str">
        <f t="shared" si="280"/>
        <v>MuhammadMustafa</v>
      </c>
      <c r="D2588" s="1"/>
      <c r="E2588" s="40" t="s">
        <v>9115</v>
      </c>
      <c r="F2588" s="12"/>
      <c r="G2588" s="9"/>
      <c r="H2588" s="12" t="s">
        <v>8622</v>
      </c>
      <c r="I2588" s="4" t="str">
        <f t="shared" si="281"/>
        <v>|Muḥammad Muṣṭafá|</v>
      </c>
      <c r="J2588" s="3" t="str">
        <f t="shared" si="282"/>
        <v>|Muhammad Mustafa|</v>
      </c>
      <c r="K2588" s="3" t="str">
        <f t="shared" si="283"/>
        <v>Muhammad Mustafa</v>
      </c>
      <c r="N2588" s="39" t="str">
        <f t="shared" si="284"/>
        <v/>
      </c>
      <c r="P2588" s="39" t="str">
        <f t="shared" si="285"/>
        <v/>
      </c>
      <c r="R2588" s="39" t="str">
        <f t="shared" si="286"/>
        <v/>
      </c>
      <c r="S2588" s="29">
        <v>41760</v>
      </c>
      <c r="T2588" s="28"/>
      <c r="U2588" s="28"/>
    </row>
    <row r="2589" spans="1:21" s="5" customFormat="1">
      <c r="A2589" s="181"/>
      <c r="B2589" s="185" t="s">
        <v>8734</v>
      </c>
      <c r="C2589" s="35" t="str">
        <f t="shared" si="280"/>
        <v>MuhammadShah</v>
      </c>
      <c r="D2589" s="1"/>
      <c r="E2589" s="40"/>
      <c r="F2589" s="12"/>
      <c r="G2589" s="9"/>
      <c r="H2589" s="12" t="s">
        <v>8622</v>
      </c>
      <c r="I2589" s="4" t="str">
        <f t="shared" si="281"/>
        <v>|Muḥammad áh|</v>
      </c>
      <c r="J2589" s="3" t="str">
        <f t="shared" si="282"/>
        <v>|Muhammad Shah|</v>
      </c>
      <c r="K2589" s="3" t="str">
        <f t="shared" si="283"/>
        <v>Muhammad Shah</v>
      </c>
      <c r="N2589" s="39" t="str">
        <f t="shared" si="284"/>
        <v/>
      </c>
      <c r="P2589" s="39" t="str">
        <f t="shared" si="285"/>
        <v/>
      </c>
      <c r="R2589" s="39" t="str">
        <f t="shared" si="286"/>
        <v/>
      </c>
      <c r="S2589" s="29">
        <v>41760</v>
      </c>
      <c r="T2589" s="28"/>
      <c r="U2589" s="28"/>
    </row>
    <row r="2590" spans="1:21" s="5" customFormat="1">
      <c r="A2590" s="179" t="s">
        <v>3104</v>
      </c>
      <c r="B2590" s="185" t="s">
        <v>7116</v>
      </c>
      <c r="C2590" s="35" t="str">
        <f t="shared" si="280"/>
        <v>MuhammadAbdullah</v>
      </c>
      <c r="E2590" s="40"/>
      <c r="F2590" s="14"/>
      <c r="G2590" s="17"/>
      <c r="H2590" s="10" t="s">
        <v>8563</v>
      </c>
      <c r="I2590" s="4" t="str">
        <f t="shared" si="281"/>
        <v>|Muḥammad-ʿAbdu’lláh|</v>
      </c>
      <c r="J2590" s="3" t="str">
        <f t="shared" si="282"/>
        <v>|Muhammad-'Abdu'llah|</v>
      </c>
      <c r="K2590" s="3" t="str">
        <f t="shared" si="283"/>
        <v>Muhammad-Abdullah</v>
      </c>
      <c r="N2590" s="39" t="str">
        <f t="shared" si="284"/>
        <v/>
      </c>
      <c r="P2590" s="39" t="str">
        <f t="shared" si="285"/>
        <v/>
      </c>
      <c r="R2590" s="39" t="str">
        <f t="shared" si="286"/>
        <v/>
      </c>
      <c r="S2590" s="28"/>
      <c r="T2590" s="28"/>
      <c r="U2590" s="28"/>
    </row>
    <row r="2591" spans="1:21" s="5" customFormat="1">
      <c r="A2591" s="179" t="s">
        <v>3105</v>
      </c>
      <c r="B2591" s="185" t="s">
        <v>7117</v>
      </c>
      <c r="C2591" s="35" t="str">
        <f t="shared" si="280"/>
        <v>MuhammadAli</v>
      </c>
      <c r="E2591" s="40"/>
      <c r="F2591" s="14"/>
      <c r="G2591" s="17"/>
      <c r="H2591" s="10" t="s">
        <v>8563</v>
      </c>
      <c r="I2591" s="4" t="str">
        <f t="shared" si="281"/>
        <v>|Muḥammad-ʿAlí|</v>
      </c>
      <c r="J2591" s="3" t="str">
        <f t="shared" si="282"/>
        <v>|Muhammad-'Ali|</v>
      </c>
      <c r="K2591" s="3" t="str">
        <f t="shared" si="283"/>
        <v>Muhammad-Ali</v>
      </c>
      <c r="N2591" s="39" t="str">
        <f t="shared" si="284"/>
        <v/>
      </c>
      <c r="P2591" s="39" t="str">
        <f t="shared" si="285"/>
        <v/>
      </c>
      <c r="R2591" s="39" t="str">
        <f t="shared" si="286"/>
        <v/>
      </c>
      <c r="S2591" s="28"/>
      <c r="T2591" s="28"/>
      <c r="U2591" s="28"/>
    </row>
    <row r="2592" spans="1:21" s="5" customFormat="1">
      <c r="A2592" s="181"/>
      <c r="B2592" s="185" t="s">
        <v>8735</v>
      </c>
      <c r="C2592" s="35" t="str">
        <f t="shared" si="280"/>
        <v>MuhammadAliMirza</v>
      </c>
      <c r="D2592" s="1"/>
      <c r="E2592" s="40"/>
      <c r="F2592" s="12"/>
      <c r="G2592" s="9"/>
      <c r="H2592" s="12" t="s">
        <v>8622</v>
      </c>
      <c r="I2592" s="4" t="str">
        <f t="shared" si="281"/>
        <v>|Muḥammad-ʿAlí Mírzá|</v>
      </c>
      <c r="J2592" s="3" t="str">
        <f t="shared" si="282"/>
        <v>|Muhammad-'Ali Mirza|</v>
      </c>
      <c r="K2592" s="3" t="str">
        <f t="shared" si="283"/>
        <v>Muhammad-Ali Mirza</v>
      </c>
      <c r="N2592" s="39" t="str">
        <f t="shared" si="284"/>
        <v/>
      </c>
      <c r="P2592" s="39" t="str">
        <f t="shared" si="285"/>
        <v/>
      </c>
      <c r="R2592" s="39" t="str">
        <f t="shared" si="286"/>
        <v/>
      </c>
      <c r="S2592" s="29">
        <v>41760</v>
      </c>
      <c r="T2592" s="28"/>
      <c r="U2592" s="28"/>
    </row>
    <row r="2593" spans="1:21" s="5" customFormat="1">
      <c r="A2593" s="181"/>
      <c r="B2593" s="185" t="s">
        <v>8736</v>
      </c>
      <c r="C2593" s="35" t="str">
        <f t="shared" si="280"/>
        <v>MuhammadAliShah</v>
      </c>
      <c r="D2593" s="1"/>
      <c r="E2593" s="40"/>
      <c r="F2593" s="12"/>
      <c r="G2593" s="9"/>
      <c r="H2593" s="12" t="s">
        <v>8622</v>
      </c>
      <c r="I2593" s="4" t="str">
        <f t="shared" si="281"/>
        <v>|Muḥammad-ʿAlí áh|</v>
      </c>
      <c r="J2593" s="3" t="str">
        <f t="shared" si="282"/>
        <v>|Muhammad-'Ali Shah|</v>
      </c>
      <c r="K2593" s="3" t="str">
        <f t="shared" si="283"/>
        <v>Muhammad-Ali Shah</v>
      </c>
      <c r="N2593" s="39" t="str">
        <f t="shared" si="284"/>
        <v/>
      </c>
      <c r="P2593" s="39" t="str">
        <f t="shared" si="285"/>
        <v/>
      </c>
      <c r="R2593" s="39" t="str">
        <f t="shared" si="286"/>
        <v/>
      </c>
      <c r="S2593" s="29">
        <v>41760</v>
      </c>
      <c r="T2593" s="28"/>
      <c r="U2593" s="28"/>
    </row>
    <row r="2594" spans="1:21" s="5" customFormat="1">
      <c r="A2594" s="179" t="s">
        <v>3106</v>
      </c>
      <c r="B2594" s="185" t="s">
        <v>7118</v>
      </c>
      <c r="C2594" s="35" t="str">
        <f t="shared" si="280"/>
        <v>MuhammadAliiDallak</v>
      </c>
      <c r="E2594" s="40"/>
      <c r="F2594" s="14"/>
      <c r="G2594" s="17"/>
      <c r="H2594" s="10" t="s">
        <v>8563</v>
      </c>
      <c r="I2594" s="4" t="str">
        <f t="shared" si="281"/>
        <v>|Muḥammad-ʿAlí-i-Dallák|</v>
      </c>
      <c r="J2594" s="3" t="str">
        <f t="shared" si="282"/>
        <v>|Muhammad-'Ali-i-Dallak|</v>
      </c>
      <c r="K2594" s="3" t="str">
        <f t="shared" si="283"/>
        <v>Muhammad-Ali-i-Dallak</v>
      </c>
      <c r="N2594" s="39" t="str">
        <f t="shared" si="284"/>
        <v/>
      </c>
      <c r="P2594" s="39" t="str">
        <f t="shared" si="285"/>
        <v/>
      </c>
      <c r="R2594" s="39" t="str">
        <f t="shared" si="286"/>
        <v/>
      </c>
      <c r="S2594" s="28"/>
      <c r="T2594" s="28"/>
      <c r="U2594" s="28"/>
    </row>
    <row r="2595" spans="1:21" s="5" customFormat="1">
      <c r="A2595" s="179" t="s">
        <v>3107</v>
      </c>
      <c r="B2595" s="185" t="s">
        <v>7119</v>
      </c>
      <c r="C2595" s="35" t="str">
        <f t="shared" si="280"/>
        <v>MuhammadAliiZunuzi</v>
      </c>
      <c r="E2595" s="40"/>
      <c r="F2595" s="14"/>
      <c r="G2595" s="17"/>
      <c r="H2595" s="10" t="s">
        <v>8563</v>
      </c>
      <c r="I2595" s="4" t="str">
        <f t="shared" si="281"/>
        <v>|Muḥammad-ʿAlí-i-Zunúzí|</v>
      </c>
      <c r="J2595" s="3" t="str">
        <f t="shared" si="282"/>
        <v>|Muhammad-'Ali-i-Zunuzi|</v>
      </c>
      <c r="K2595" s="3" t="str">
        <f t="shared" si="283"/>
        <v>Muhammad-Ali-i-Zunuzi</v>
      </c>
      <c r="N2595" s="39" t="str">
        <f t="shared" si="284"/>
        <v/>
      </c>
      <c r="P2595" s="39" t="str">
        <f t="shared" si="285"/>
        <v/>
      </c>
      <c r="R2595" s="39" t="str">
        <f t="shared" si="286"/>
        <v/>
      </c>
      <c r="S2595" s="28"/>
      <c r="T2595" s="28"/>
      <c r="U2595" s="28"/>
    </row>
    <row r="2596" spans="1:21" s="5" customFormat="1">
      <c r="A2596" s="179" t="s">
        <v>3108</v>
      </c>
      <c r="B2596" s="185" t="s">
        <v>7120</v>
      </c>
      <c r="C2596" s="35" t="str">
        <f t="shared" si="280"/>
        <v>MuhammadAliKhan</v>
      </c>
      <c r="E2596" s="40"/>
      <c r="F2596" s="15"/>
      <c r="G2596" s="17"/>
      <c r="H2596" s="10" t="s">
        <v>8563</v>
      </c>
      <c r="I2596" s="4" t="str">
        <f t="shared" si="281"/>
        <v>|Muḥammad-ʿAlí-án|</v>
      </c>
      <c r="J2596" s="3" t="str">
        <f t="shared" si="282"/>
        <v>|Muhammad-'Ali-Khan|</v>
      </c>
      <c r="K2596" s="3" t="str">
        <f t="shared" si="283"/>
        <v>Muhammad-Ali-Khan</v>
      </c>
      <c r="N2596" s="39" t="str">
        <f t="shared" si="284"/>
        <v/>
      </c>
      <c r="P2596" s="39" t="str">
        <f t="shared" si="285"/>
        <v/>
      </c>
      <c r="R2596" s="39" t="str">
        <f t="shared" si="286"/>
        <v/>
      </c>
      <c r="S2596" s="28"/>
      <c r="T2596" s="28"/>
      <c r="U2596" s="28"/>
    </row>
    <row r="2597" spans="1:21" s="5" customFormat="1">
      <c r="A2597" s="179" t="s">
        <v>3109</v>
      </c>
      <c r="B2597" s="185" t="s">
        <v>7121</v>
      </c>
      <c r="C2597" s="35" t="str">
        <f t="shared" si="280"/>
        <v>MuhammadAliyiArdikani</v>
      </c>
      <c r="E2597" s="40"/>
      <c r="F2597" s="14"/>
      <c r="G2597" s="17"/>
      <c r="H2597" s="10" t="s">
        <v>8563</v>
      </c>
      <c r="I2597" s="4" t="str">
        <f t="shared" si="281"/>
        <v>|Muḥammad-ʿAlíy-i-Ardikání|</v>
      </c>
      <c r="J2597" s="3" t="str">
        <f t="shared" si="282"/>
        <v>|Muhammad-'Aliy-i-Ardikani|</v>
      </c>
      <c r="K2597" s="3" t="str">
        <f t="shared" si="283"/>
        <v>Muhammad-Aliy-i-Ardikani</v>
      </c>
      <c r="N2597" s="39" t="str">
        <f t="shared" si="284"/>
        <v/>
      </c>
      <c r="P2597" s="39" t="str">
        <f t="shared" si="285"/>
        <v/>
      </c>
      <c r="R2597" s="39" t="str">
        <f t="shared" si="286"/>
        <v/>
      </c>
      <c r="S2597" s="28"/>
      <c r="T2597" s="28"/>
      <c r="U2597" s="28"/>
    </row>
    <row r="2598" spans="1:21" s="5" customFormat="1">
      <c r="A2598" s="179" t="s">
        <v>3110</v>
      </c>
      <c r="B2598" s="185" t="s">
        <v>7122</v>
      </c>
      <c r="C2598" s="35" t="str">
        <f t="shared" si="280"/>
        <v>MuhammadAliyiAttar</v>
      </c>
      <c r="E2598" s="40"/>
      <c r="F2598" s="15"/>
      <c r="G2598" s="17"/>
      <c r="H2598" s="10" t="s">
        <v>8563</v>
      </c>
      <c r="I2598" s="4" t="str">
        <f t="shared" si="281"/>
        <v>|Muḥammad-ʿAlíy-i-ʿAṭṭár|</v>
      </c>
      <c r="J2598" s="3" t="str">
        <f t="shared" si="282"/>
        <v>|Muhammad-'Aliy-i-'Attar|</v>
      </c>
      <c r="K2598" s="3" t="str">
        <f t="shared" si="283"/>
        <v>Muhammad-Aliy-i-Attar</v>
      </c>
      <c r="N2598" s="39" t="str">
        <f t="shared" si="284"/>
        <v/>
      </c>
      <c r="P2598" s="39" t="str">
        <f t="shared" si="285"/>
        <v/>
      </c>
      <c r="R2598" s="39" t="str">
        <f t="shared" si="286"/>
        <v/>
      </c>
      <c r="S2598" s="28"/>
      <c r="T2598" s="28"/>
      <c r="U2598" s="28"/>
    </row>
    <row r="2599" spans="1:21" s="5" customFormat="1">
      <c r="A2599" s="179" t="s">
        <v>3111</v>
      </c>
      <c r="B2599" s="185" t="s">
        <v>7123</v>
      </c>
      <c r="C2599" s="35" t="str">
        <f t="shared" si="280"/>
        <v>MuhammadAliyiBarfurushi</v>
      </c>
      <c r="E2599" s="40"/>
      <c r="F2599" s="15"/>
      <c r="G2599" s="17"/>
      <c r="H2599" s="10" t="s">
        <v>8563</v>
      </c>
      <c r="I2599" s="4" t="str">
        <f t="shared" si="281"/>
        <v>|Muḥammad-ʿAlíy-i-Bárfurúí|</v>
      </c>
      <c r="J2599" s="3" t="str">
        <f t="shared" si="282"/>
        <v>|Muhammad-'Aliy-i-Barfurushi|</v>
      </c>
      <c r="K2599" s="3" t="str">
        <f t="shared" si="283"/>
        <v>Muhammad-Aliy-i-Barfurushi</v>
      </c>
      <c r="N2599" s="39" t="str">
        <f t="shared" si="284"/>
        <v/>
      </c>
      <c r="P2599" s="39" t="str">
        <f t="shared" si="285"/>
        <v/>
      </c>
      <c r="R2599" s="39" t="str">
        <f t="shared" si="286"/>
        <v/>
      </c>
      <c r="S2599" s="28"/>
      <c r="T2599" s="28"/>
      <c r="U2599" s="28"/>
    </row>
    <row r="2600" spans="1:21" s="5" customFormat="1">
      <c r="A2600" s="179" t="s">
        <v>3112</v>
      </c>
      <c r="B2600" s="185" t="s">
        <v>7124</v>
      </c>
      <c r="C2600" s="35" t="str">
        <f t="shared" si="280"/>
        <v>MuhammadAliyiHamzih</v>
      </c>
      <c r="E2600" s="40"/>
      <c r="F2600" s="14"/>
      <c r="G2600" s="17"/>
      <c r="H2600" s="10" t="s">
        <v>8563</v>
      </c>
      <c r="I2600" s="4" t="str">
        <f t="shared" si="281"/>
        <v>|Muḥammad-ʿAlíy-i-Ḥamzih|</v>
      </c>
      <c r="J2600" s="3" t="str">
        <f t="shared" si="282"/>
        <v>|Muhammad-'Aliy-i-Hamzih|</v>
      </c>
      <c r="K2600" s="3" t="str">
        <f t="shared" si="283"/>
        <v>Muhammad-Aliy-i-Hamzih</v>
      </c>
      <c r="N2600" s="39" t="str">
        <f t="shared" si="284"/>
        <v/>
      </c>
      <c r="P2600" s="39" t="str">
        <f t="shared" si="285"/>
        <v/>
      </c>
      <c r="R2600" s="39" t="str">
        <f t="shared" si="286"/>
        <v/>
      </c>
      <c r="S2600" s="28"/>
      <c r="T2600" s="28"/>
      <c r="U2600" s="28"/>
    </row>
    <row r="2601" spans="1:21" s="5" customFormat="1">
      <c r="A2601" s="179" t="s">
        <v>3113</v>
      </c>
      <c r="B2601" s="185" t="s">
        <v>7125</v>
      </c>
      <c r="C2601" s="35" t="str">
        <f t="shared" si="280"/>
        <v>MuhammadAliyiIsfahani</v>
      </c>
      <c r="E2601" s="40"/>
      <c r="F2601" s="15"/>
      <c r="G2601" s="17"/>
      <c r="H2601" s="10" t="s">
        <v>8563</v>
      </c>
      <c r="I2601" s="4" t="str">
        <f t="shared" si="281"/>
        <v>|Muḥammad-ʿAlíy-i-Iṣfahání|</v>
      </c>
      <c r="J2601" s="3" t="str">
        <f t="shared" si="282"/>
        <v>|Muhammad-'Aliy-i-Isfahani|</v>
      </c>
      <c r="K2601" s="3" t="str">
        <f t="shared" si="283"/>
        <v>Muhammad-Aliy-i-Isfahani</v>
      </c>
      <c r="N2601" s="39" t="str">
        <f t="shared" si="284"/>
        <v/>
      </c>
      <c r="P2601" s="39" t="str">
        <f t="shared" si="285"/>
        <v/>
      </c>
      <c r="R2601" s="39" t="str">
        <f t="shared" si="286"/>
        <v/>
      </c>
      <c r="S2601" s="28"/>
      <c r="T2601" s="28"/>
      <c r="U2601" s="28"/>
    </row>
    <row r="2602" spans="1:21" s="5" customFormat="1">
      <c r="A2602" s="179" t="s">
        <v>3114</v>
      </c>
      <c r="B2602" s="185" t="s">
        <v>7126</v>
      </c>
      <c r="C2602" s="35" t="str">
        <f t="shared" si="280"/>
        <v>MuhammadAliyiNahri</v>
      </c>
      <c r="E2602" s="40"/>
      <c r="F2602" s="14"/>
      <c r="G2602" s="17"/>
      <c r="H2602" s="10" t="s">
        <v>8563</v>
      </c>
      <c r="I2602" s="4" t="str">
        <f t="shared" si="281"/>
        <v>|Muḥammad-ʿAlíy-i-Nahrí|</v>
      </c>
      <c r="J2602" s="3" t="str">
        <f t="shared" si="282"/>
        <v>|Muhammad-'Aliy-i-Nahri|</v>
      </c>
      <c r="K2602" s="3" t="str">
        <f t="shared" si="283"/>
        <v>Muhammad-Aliy-i-Nahri</v>
      </c>
      <c r="N2602" s="39" t="str">
        <f t="shared" si="284"/>
        <v/>
      </c>
      <c r="P2602" s="39" t="str">
        <f t="shared" si="285"/>
        <v/>
      </c>
      <c r="R2602" s="39" t="str">
        <f t="shared" si="286"/>
        <v/>
      </c>
      <c r="S2602" s="28"/>
      <c r="T2602" s="28"/>
      <c r="U2602" s="28"/>
    </row>
    <row r="2603" spans="1:21" s="5" customFormat="1">
      <c r="A2603" s="179" t="s">
        <v>3115</v>
      </c>
      <c r="B2603" s="185" t="s">
        <v>7127</v>
      </c>
      <c r="C2603" s="35" t="str">
        <f t="shared" si="280"/>
        <v>MuhammadAliyiQazvini</v>
      </c>
      <c r="E2603" s="40"/>
      <c r="F2603" s="14"/>
      <c r="G2603" s="17"/>
      <c r="H2603" s="10" t="s">
        <v>8563</v>
      </c>
      <c r="I2603" s="4" t="str">
        <f t="shared" si="281"/>
        <v>|Muḥammad-ʿAlíy-i-Qazvíní|</v>
      </c>
      <c r="J2603" s="3" t="str">
        <f t="shared" si="282"/>
        <v>|Muhammad-'Aliy-i-Qazvini|</v>
      </c>
      <c r="K2603" s="3" t="str">
        <f t="shared" si="283"/>
        <v>Muhammad-Aliy-i-Qazvini</v>
      </c>
      <c r="N2603" s="39" t="str">
        <f t="shared" si="284"/>
        <v/>
      </c>
      <c r="P2603" s="39" t="str">
        <f t="shared" si="285"/>
        <v/>
      </c>
      <c r="R2603" s="39" t="str">
        <f t="shared" si="286"/>
        <v/>
      </c>
      <c r="S2603" s="28"/>
      <c r="T2603" s="28"/>
      <c r="U2603" s="28"/>
    </row>
    <row r="2604" spans="1:21" s="5" customFormat="1">
      <c r="A2604" s="179" t="s">
        <v>3116</v>
      </c>
      <c r="B2604" s="185" t="s">
        <v>7128</v>
      </c>
      <c r="C2604" s="35" t="str">
        <f t="shared" si="280"/>
        <v>MuhammadAliyiSalmani</v>
      </c>
      <c r="E2604" s="40"/>
      <c r="F2604" s="14"/>
      <c r="G2604" s="17"/>
      <c r="H2604" s="10" t="s">
        <v>8563</v>
      </c>
      <c r="I2604" s="4" t="str">
        <f t="shared" si="281"/>
        <v>|Muḥammad-ʿAlíy-i-Salmání|</v>
      </c>
      <c r="J2604" s="3" t="str">
        <f t="shared" si="282"/>
        <v>|Muhammad-'Aliy-i-Salmani|</v>
      </c>
      <c r="K2604" s="3" t="str">
        <f t="shared" si="283"/>
        <v>Muhammad-Aliy-i-Salmani</v>
      </c>
      <c r="N2604" s="39" t="str">
        <f t="shared" si="284"/>
        <v/>
      </c>
      <c r="P2604" s="39" t="str">
        <f t="shared" si="285"/>
        <v/>
      </c>
      <c r="R2604" s="39" t="str">
        <f t="shared" si="286"/>
        <v/>
      </c>
      <c r="S2604" s="28"/>
      <c r="T2604" s="28"/>
      <c r="U2604" s="28"/>
    </row>
    <row r="2605" spans="1:21" s="5" customFormat="1">
      <c r="A2605" s="179" t="s">
        <v>3117</v>
      </c>
      <c r="B2605" s="185" t="s">
        <v>7129</v>
      </c>
      <c r="C2605" s="35" t="str">
        <f t="shared" si="280"/>
        <v>MuhammadAliyiTabib</v>
      </c>
      <c r="E2605" s="40"/>
      <c r="F2605" s="14"/>
      <c r="G2605" s="17"/>
      <c r="H2605" s="10" t="s">
        <v>8563</v>
      </c>
      <c r="I2605" s="4" t="str">
        <f t="shared" si="281"/>
        <v>|Muḥammad-ʿAlíy-i-Tabíb|</v>
      </c>
      <c r="J2605" s="3" t="str">
        <f t="shared" si="282"/>
        <v>|Muhammad-'Aliy-i-Tabib|</v>
      </c>
      <c r="K2605" s="3" t="str">
        <f t="shared" si="283"/>
        <v>Muhammad-Aliy-i-Tabib</v>
      </c>
      <c r="N2605" s="39" t="str">
        <f t="shared" si="284"/>
        <v/>
      </c>
      <c r="P2605" s="39" t="str">
        <f t="shared" si="285"/>
        <v/>
      </c>
      <c r="R2605" s="39" t="str">
        <f t="shared" si="286"/>
        <v/>
      </c>
      <c r="S2605" s="28"/>
      <c r="T2605" s="28"/>
      <c r="U2605" s="28"/>
    </row>
    <row r="2606" spans="1:21" s="5" customFormat="1">
      <c r="A2606" s="179" t="s">
        <v>3118</v>
      </c>
      <c r="B2606" s="185" t="s">
        <v>7130</v>
      </c>
      <c r="C2606" s="35" t="str">
        <f t="shared" si="280"/>
        <v>MuhammadAliyiTabibiZanjani</v>
      </c>
      <c r="E2606" s="40"/>
      <c r="F2606" s="14"/>
      <c r="G2606" s="17"/>
      <c r="H2606" s="10" t="s">
        <v>8563</v>
      </c>
      <c r="I2606" s="4" t="str">
        <f t="shared" si="281"/>
        <v>|Muḥammad-ʿAlíy-i-Tabíb-i-Zanjání|</v>
      </c>
      <c r="J2606" s="3" t="str">
        <f t="shared" si="282"/>
        <v>|Muhammad-'Aliy-i-Tabib-i-Zanjani|</v>
      </c>
      <c r="K2606" s="3" t="str">
        <f t="shared" si="283"/>
        <v>Muhammad-Aliy-i-Tabib-i-Zanjani</v>
      </c>
      <c r="N2606" s="39" t="str">
        <f t="shared" si="284"/>
        <v/>
      </c>
      <c r="P2606" s="39" t="str">
        <f t="shared" si="285"/>
        <v/>
      </c>
      <c r="R2606" s="39" t="str">
        <f t="shared" si="286"/>
        <v/>
      </c>
      <c r="S2606" s="28"/>
      <c r="T2606" s="28"/>
      <c r="U2606" s="28"/>
    </row>
    <row r="2607" spans="1:21" s="5" customFormat="1">
      <c r="A2607" s="179" t="s">
        <v>3119</v>
      </c>
      <c r="B2607" s="185" t="s">
        <v>7131</v>
      </c>
      <c r="C2607" s="35" t="str">
        <f t="shared" si="280"/>
        <v>MuhammadAliyiTanbakuFurush</v>
      </c>
      <c r="E2607" s="40"/>
      <c r="F2607" s="15"/>
      <c r="G2607" s="17"/>
      <c r="H2607" s="10" t="s">
        <v>8563</v>
      </c>
      <c r="I2607" s="4" t="str">
        <f t="shared" si="281"/>
        <v>|Muḥammad-ʿAlíy-i-Tanbákú-Furú|</v>
      </c>
      <c r="J2607" s="3" t="str">
        <f t="shared" si="282"/>
        <v>|Muhammad-'Aliy-i-Tanbaku-Furush|</v>
      </c>
      <c r="K2607" s="3" t="str">
        <f t="shared" si="283"/>
        <v>Muhammad-Aliy-i-Tanbaku-Furush</v>
      </c>
      <c r="N2607" s="39" t="str">
        <f t="shared" si="284"/>
        <v/>
      </c>
      <c r="P2607" s="39" t="str">
        <f t="shared" si="285"/>
        <v/>
      </c>
      <c r="R2607" s="39" t="str">
        <f t="shared" si="286"/>
        <v/>
      </c>
      <c r="S2607" s="28"/>
      <c r="T2607" s="28"/>
      <c r="U2607" s="28"/>
    </row>
    <row r="2608" spans="1:21" s="5" customFormat="1">
      <c r="A2608" s="179" t="s">
        <v>3120</v>
      </c>
      <c r="B2608" s="185" t="s">
        <v>7132</v>
      </c>
      <c r="C2608" s="35" t="str">
        <f t="shared" si="280"/>
        <v>MuhammadAliyiZanjani</v>
      </c>
      <c r="E2608" s="40"/>
      <c r="F2608" s="14"/>
      <c r="G2608" s="17"/>
      <c r="H2608" s="10" t="s">
        <v>8563</v>
      </c>
      <c r="I2608" s="4" t="str">
        <f t="shared" si="281"/>
        <v>|Muḥammad-ʿAlíy-i-Zanjání|</v>
      </c>
      <c r="J2608" s="3" t="str">
        <f t="shared" si="282"/>
        <v>|Muhammad-'Aliy-i-Zanjani|</v>
      </c>
      <c r="K2608" s="3" t="str">
        <f t="shared" si="283"/>
        <v>Muhammad-Aliy-i-Zanjani</v>
      </c>
      <c r="N2608" s="39" t="str">
        <f t="shared" si="284"/>
        <v/>
      </c>
      <c r="P2608" s="39" t="str">
        <f t="shared" si="285"/>
        <v/>
      </c>
      <c r="R2608" s="39" t="str">
        <f t="shared" si="286"/>
        <v/>
      </c>
      <c r="S2608" s="28"/>
      <c r="T2608" s="28"/>
      <c r="U2608" s="28"/>
    </row>
    <row r="2609" spans="1:21" s="5" customFormat="1">
      <c r="A2609" s="179" t="s">
        <v>3107</v>
      </c>
      <c r="B2609" s="185" t="s">
        <v>7133</v>
      </c>
      <c r="C2609" s="35" t="str">
        <f t="shared" si="280"/>
        <v>MuhammadAliyiZunuzi</v>
      </c>
      <c r="E2609" s="40"/>
      <c r="F2609" s="14"/>
      <c r="G2609" s="17"/>
      <c r="H2609" s="10" t="s">
        <v>8563</v>
      </c>
      <c r="I2609" s="4" t="str">
        <f t="shared" si="281"/>
        <v>|Muḥammad-ʿAlíy-i-Zunúzí|</v>
      </c>
      <c r="J2609" s="3" t="str">
        <f t="shared" si="282"/>
        <v>|Muhammad-'Aliy-i-Zunuzi|</v>
      </c>
      <c r="K2609" s="3" t="str">
        <f t="shared" si="283"/>
        <v>Muhammad-Aliy-i-Zunuzi</v>
      </c>
      <c r="N2609" s="39" t="str">
        <f t="shared" si="284"/>
        <v/>
      </c>
      <c r="P2609" s="39" t="str">
        <f t="shared" si="285"/>
        <v/>
      </c>
      <c r="R2609" s="39" t="str">
        <f t="shared" si="286"/>
        <v/>
      </c>
      <c r="S2609" s="28"/>
      <c r="T2609" s="28"/>
      <c r="U2609" s="28"/>
    </row>
    <row r="2610" spans="1:21" s="5" customFormat="1">
      <c r="A2610" s="179" t="s">
        <v>3121</v>
      </c>
      <c r="B2610" s="185" t="s">
        <v>7134</v>
      </c>
      <c r="C2610" s="35" t="str">
        <f t="shared" si="280"/>
        <v>MuhammadAmin</v>
      </c>
      <c r="E2610" s="40"/>
      <c r="F2610" s="15"/>
      <c r="G2610" s="17"/>
      <c r="H2610" s="10" t="s">
        <v>8563</v>
      </c>
      <c r="I2610" s="4" t="str">
        <f t="shared" si="281"/>
        <v>|Muḥammad-Amín|</v>
      </c>
      <c r="J2610" s="3" t="str">
        <f t="shared" si="282"/>
        <v>|Muhammad-Amin|</v>
      </c>
      <c r="K2610" s="3" t="str">
        <f t="shared" si="283"/>
        <v>Muhammad-Amin</v>
      </c>
      <c r="N2610" s="39" t="str">
        <f t="shared" si="284"/>
        <v/>
      </c>
      <c r="P2610" s="39" t="str">
        <f t="shared" si="285"/>
        <v/>
      </c>
      <c r="R2610" s="39" t="str">
        <f t="shared" si="286"/>
        <v/>
      </c>
      <c r="S2610" s="28"/>
      <c r="T2610" s="28"/>
      <c r="U2610" s="28"/>
    </row>
    <row r="2611" spans="1:21" s="5" customFormat="1">
      <c r="A2611" s="181"/>
      <c r="B2611" s="185" t="s">
        <v>28</v>
      </c>
      <c r="C2611" s="35" t="str">
        <f t="shared" si="280"/>
        <v>Muhammadaner</v>
      </c>
      <c r="D2611" s="1" t="s">
        <v>59</v>
      </c>
      <c r="E2611" s="40"/>
      <c r="F2611" s="12"/>
      <c r="G2611" s="9"/>
      <c r="H2611" s="12"/>
      <c r="I2611" s="4" t="str">
        <f t="shared" si="281"/>
        <v>|Muḥammadaner|</v>
      </c>
      <c r="J2611" s="3" t="str">
        <f t="shared" si="282"/>
        <v>|Muhammadaner|</v>
      </c>
      <c r="K2611" s="3" t="str">
        <f t="shared" si="283"/>
        <v>Muhammadaner</v>
      </c>
      <c r="M2611" s="1"/>
      <c r="N2611" s="39" t="str">
        <f t="shared" si="284"/>
        <v/>
      </c>
      <c r="O2611" s="1"/>
      <c r="P2611" s="39" t="str">
        <f t="shared" si="285"/>
        <v/>
      </c>
      <c r="Q2611" s="1"/>
      <c r="R2611" s="39" t="str">
        <f t="shared" si="286"/>
        <v/>
      </c>
      <c r="S2611" s="28"/>
      <c r="T2611" s="29">
        <v>41781</v>
      </c>
      <c r="U2611" s="28" t="s">
        <v>9446</v>
      </c>
    </row>
    <row r="2612" spans="1:21" s="5" customFormat="1">
      <c r="A2612" s="179" t="s">
        <v>3122</v>
      </c>
      <c r="B2612" s="185" t="s">
        <v>7135</v>
      </c>
      <c r="C2612" s="35" t="str">
        <f t="shared" si="280"/>
        <v>MuhammadAttar</v>
      </c>
      <c r="E2612" s="40"/>
      <c r="F2612" s="15"/>
      <c r="G2612" s="17"/>
      <c r="H2612" s="10" t="s">
        <v>8563</v>
      </c>
      <c r="I2612" s="4" t="str">
        <f t="shared" si="281"/>
        <v>|Muḥammad-ʿAṭṭár|</v>
      </c>
      <c r="J2612" s="3" t="str">
        <f t="shared" si="282"/>
        <v>|Muhammad-'Attar|</v>
      </c>
      <c r="K2612" s="3" t="str">
        <f t="shared" si="283"/>
        <v>Muhammad-Attar</v>
      </c>
      <c r="N2612" s="39" t="str">
        <f t="shared" si="284"/>
        <v/>
      </c>
      <c r="P2612" s="39" t="str">
        <f t="shared" si="285"/>
        <v/>
      </c>
      <c r="R2612" s="39" t="str">
        <f t="shared" si="286"/>
        <v/>
      </c>
      <c r="S2612" s="28"/>
      <c r="T2612" s="28"/>
      <c r="U2612" s="28"/>
    </row>
    <row r="2613" spans="1:21" s="5" customFormat="1">
      <c r="A2613" s="179" t="s">
        <v>3123</v>
      </c>
      <c r="B2613" s="185" t="s">
        <v>7136</v>
      </c>
      <c r="C2613" s="35" t="str">
        <f t="shared" si="280"/>
        <v>MuhammadBaqir</v>
      </c>
      <c r="E2613" s="40"/>
      <c r="F2613" s="14"/>
      <c r="G2613" s="17"/>
      <c r="H2613" s="10" t="s">
        <v>8563</v>
      </c>
      <c r="I2613" s="4" t="str">
        <f t="shared" si="281"/>
        <v>|Muḥammad-Báqir|</v>
      </c>
      <c r="J2613" s="3" t="str">
        <f t="shared" si="282"/>
        <v>|Muhammad-Baqir|</v>
      </c>
      <c r="K2613" s="3" t="str">
        <f t="shared" si="283"/>
        <v>Muhammad-Baqir</v>
      </c>
      <c r="N2613" s="39" t="str">
        <f t="shared" si="284"/>
        <v/>
      </c>
      <c r="P2613" s="39" t="str">
        <f t="shared" si="285"/>
        <v/>
      </c>
      <c r="R2613" s="39" t="str">
        <f t="shared" si="286"/>
        <v/>
      </c>
      <c r="S2613" s="28"/>
      <c r="T2613" s="28"/>
      <c r="U2613" s="28"/>
    </row>
    <row r="2614" spans="1:21" s="5" customFormat="1">
      <c r="A2614" s="179" t="s">
        <v>3124</v>
      </c>
      <c r="B2614" s="185" t="s">
        <v>7137</v>
      </c>
      <c r="C2614" s="35" t="str">
        <f t="shared" si="280"/>
        <v>MuhammadBaqiriKhurasaniyiQaini</v>
      </c>
      <c r="E2614" s="40"/>
      <c r="F2614" s="15"/>
      <c r="G2614" s="17"/>
      <c r="H2614" s="10" t="s">
        <v>8563</v>
      </c>
      <c r="I2614" s="4" t="str">
        <f t="shared" si="281"/>
        <v>|Muḥammad-Báqir-i-urásáníy-i-Qa’iní|</v>
      </c>
      <c r="J2614" s="3" t="str">
        <f t="shared" si="282"/>
        <v>|Muhammad-Baqir-i-Khurasaniy-i-Qa'ini|</v>
      </c>
      <c r="K2614" s="3" t="str">
        <f t="shared" si="283"/>
        <v>Muhammad-Baqir-i-Khurasaniy-i-Qaini</v>
      </c>
      <c r="N2614" s="39" t="str">
        <f t="shared" si="284"/>
        <v/>
      </c>
      <c r="P2614" s="39" t="str">
        <f t="shared" si="285"/>
        <v/>
      </c>
      <c r="R2614" s="39" t="str">
        <f t="shared" si="286"/>
        <v/>
      </c>
      <c r="S2614" s="28"/>
      <c r="T2614" s="28"/>
      <c r="U2614" s="28"/>
    </row>
    <row r="2615" spans="1:21" s="5" customFormat="1">
      <c r="A2615" s="179" t="s">
        <v>3125</v>
      </c>
      <c r="B2615" s="185" t="s">
        <v>7138</v>
      </c>
      <c r="C2615" s="35" t="str">
        <f t="shared" si="280"/>
        <v>MuhammadBaqiriMahallati</v>
      </c>
      <c r="E2615" s="40"/>
      <c r="F2615" s="15"/>
      <c r="G2615" s="17"/>
      <c r="H2615" s="10" t="s">
        <v>8563</v>
      </c>
      <c r="I2615" s="4" t="str">
        <f t="shared" si="281"/>
        <v>|Muḥammad-Báqir-i-Maḥallátí|</v>
      </c>
      <c r="J2615" s="3" t="str">
        <f t="shared" si="282"/>
        <v>|Muhammad-Baqir-i-Mahallati|</v>
      </c>
      <c r="K2615" s="3" t="str">
        <f t="shared" si="283"/>
        <v>Muhammad-Baqir-i-Mahallati</v>
      </c>
      <c r="N2615" s="39" t="str">
        <f t="shared" si="284"/>
        <v/>
      </c>
      <c r="P2615" s="39" t="str">
        <f t="shared" si="285"/>
        <v/>
      </c>
      <c r="R2615" s="39" t="str">
        <f t="shared" si="286"/>
        <v/>
      </c>
      <c r="S2615" s="28"/>
      <c r="T2615" s="28"/>
      <c r="U2615" s="28"/>
    </row>
    <row r="2616" spans="1:21" s="5" customFormat="1">
      <c r="A2616" s="179" t="s">
        <v>3126</v>
      </c>
      <c r="B2616" s="185" t="s">
        <v>7139</v>
      </c>
      <c r="C2616" s="35" t="str">
        <f t="shared" si="280"/>
        <v>MuhammadBaqiriQaini</v>
      </c>
      <c r="E2616" s="40"/>
      <c r="F2616" s="14"/>
      <c r="G2616" s="17"/>
      <c r="H2616" s="10" t="s">
        <v>8563</v>
      </c>
      <c r="I2616" s="4" t="str">
        <f t="shared" si="281"/>
        <v>|Muḥammad-Báqir-i-Qá’iní|</v>
      </c>
      <c r="J2616" s="3" t="str">
        <f t="shared" si="282"/>
        <v>|Muhammad-Baqir-i-Qa'ini|</v>
      </c>
      <c r="K2616" s="3" t="str">
        <f t="shared" si="283"/>
        <v>Muhammad-Baqir-i-Qaini</v>
      </c>
      <c r="N2616" s="39" t="str">
        <f t="shared" si="284"/>
        <v/>
      </c>
      <c r="P2616" s="39" t="str">
        <f t="shared" si="285"/>
        <v/>
      </c>
      <c r="R2616" s="39" t="str">
        <f t="shared" si="286"/>
        <v/>
      </c>
      <c r="S2616" s="28"/>
      <c r="T2616" s="28"/>
      <c r="U2616" s="28"/>
    </row>
    <row r="2617" spans="1:21" s="5" customFormat="1">
      <c r="A2617" s="179" t="s">
        <v>3127</v>
      </c>
      <c r="B2617" s="185" t="s">
        <v>7140</v>
      </c>
      <c r="C2617" s="35" t="str">
        <f t="shared" si="280"/>
        <v>MuhammadBaqiriRashti</v>
      </c>
      <c r="E2617" s="40"/>
      <c r="F2617" s="14"/>
      <c r="G2617" s="17"/>
      <c r="H2617" s="10" t="s">
        <v>8563</v>
      </c>
      <c r="I2617" s="4" t="str">
        <f t="shared" si="281"/>
        <v>|Muḥammad-Báqir-i-Ratí|</v>
      </c>
      <c r="J2617" s="3" t="str">
        <f t="shared" si="282"/>
        <v>|Muhammad-Baqir-i-Rashti|</v>
      </c>
      <c r="K2617" s="3" t="str">
        <f t="shared" si="283"/>
        <v>Muhammad-Baqir-i-Rashti</v>
      </c>
      <c r="N2617" s="39" t="str">
        <f t="shared" si="284"/>
        <v/>
      </c>
      <c r="P2617" s="39" t="str">
        <f t="shared" si="285"/>
        <v/>
      </c>
      <c r="R2617" s="39" t="str">
        <f t="shared" si="286"/>
        <v/>
      </c>
      <c r="S2617" s="28"/>
      <c r="T2617" s="28"/>
      <c r="U2617" s="28"/>
    </row>
    <row r="2618" spans="1:21" s="5" customFormat="1">
      <c r="A2618" s="179" t="s">
        <v>3128</v>
      </c>
      <c r="B2618" s="185" t="s">
        <v>7141</v>
      </c>
      <c r="C2618" s="35" t="str">
        <f t="shared" si="280"/>
        <v>MuhammadBaqirNaqsh</v>
      </c>
      <c r="E2618" s="40"/>
      <c r="F2618" s="15"/>
      <c r="G2618" s="17"/>
      <c r="H2618" s="10" t="s">
        <v>8563</v>
      </c>
      <c r="I2618" s="4" t="str">
        <f t="shared" si="281"/>
        <v>|Muḥammad-Báqir-Naq|</v>
      </c>
      <c r="J2618" s="3" t="str">
        <f t="shared" si="282"/>
        <v>|Muhammad-Baqir-Naqsh|</v>
      </c>
      <c r="K2618" s="3" t="str">
        <f t="shared" si="283"/>
        <v>Muhammad-Baqir-Naqsh</v>
      </c>
      <c r="N2618" s="39" t="str">
        <f t="shared" si="284"/>
        <v/>
      </c>
      <c r="P2618" s="39" t="str">
        <f t="shared" si="285"/>
        <v/>
      </c>
      <c r="R2618" s="39" t="str">
        <f t="shared" si="286"/>
        <v/>
      </c>
      <c r="S2618" s="28"/>
      <c r="T2618" s="28"/>
      <c r="U2618" s="28"/>
    </row>
    <row r="2619" spans="1:21" s="5" customFormat="1">
      <c r="A2619" s="179" t="s">
        <v>3129</v>
      </c>
      <c r="B2619" s="185" t="s">
        <v>7142</v>
      </c>
      <c r="C2619" s="35" t="str">
        <f t="shared" si="280"/>
        <v>MuhammadHadi</v>
      </c>
      <c r="E2619" s="40"/>
      <c r="F2619" s="14"/>
      <c r="G2619" s="17"/>
      <c r="H2619" s="10" t="s">
        <v>8563</v>
      </c>
      <c r="I2619" s="4" t="str">
        <f t="shared" si="281"/>
        <v>|Muḥammad-Hádí|</v>
      </c>
      <c r="J2619" s="3" t="str">
        <f t="shared" si="282"/>
        <v>|Muhammad-Hadi|</v>
      </c>
      <c r="K2619" s="3" t="str">
        <f t="shared" si="283"/>
        <v>Muhammad-Hadi</v>
      </c>
      <c r="N2619" s="39" t="str">
        <f t="shared" si="284"/>
        <v/>
      </c>
      <c r="P2619" s="39" t="str">
        <f t="shared" si="285"/>
        <v/>
      </c>
      <c r="R2619" s="39" t="str">
        <f t="shared" si="286"/>
        <v/>
      </c>
      <c r="S2619" s="28"/>
      <c r="T2619" s="28"/>
      <c r="U2619" s="28"/>
    </row>
    <row r="2620" spans="1:21" s="5" customFormat="1">
      <c r="A2620" s="179" t="s">
        <v>3130</v>
      </c>
      <c r="B2620" s="185" t="s">
        <v>7143</v>
      </c>
      <c r="C2620" s="35" t="str">
        <f t="shared" si="280"/>
        <v>MuhammadHadiyiFarhadi</v>
      </c>
      <c r="E2620" s="40"/>
      <c r="F2620" s="14"/>
      <c r="G2620" s="17"/>
      <c r="H2620" s="10" t="s">
        <v>8563</v>
      </c>
      <c r="I2620" s="4" t="str">
        <f t="shared" si="281"/>
        <v>|Muḥammad-Hádíy-i-Farhádí|</v>
      </c>
      <c r="J2620" s="3" t="str">
        <f t="shared" si="282"/>
        <v>|Muhammad-Hadiy-i-Farhadi|</v>
      </c>
      <c r="K2620" s="3" t="str">
        <f t="shared" si="283"/>
        <v>Muhammad-Hadiy-i-Farhadi</v>
      </c>
      <c r="N2620" s="39" t="str">
        <f t="shared" si="284"/>
        <v/>
      </c>
      <c r="P2620" s="39" t="str">
        <f t="shared" si="285"/>
        <v/>
      </c>
      <c r="R2620" s="39" t="str">
        <f t="shared" si="286"/>
        <v/>
      </c>
      <c r="S2620" s="28"/>
      <c r="T2620" s="28"/>
      <c r="U2620" s="28"/>
    </row>
    <row r="2621" spans="1:21" s="5" customFormat="1">
      <c r="A2621" s="179" t="s">
        <v>3131</v>
      </c>
      <c r="B2621" s="185" t="s">
        <v>7144</v>
      </c>
      <c r="C2621" s="35" t="str">
        <f t="shared" si="280"/>
        <v>MuhammadHadiyiSahhaf</v>
      </c>
      <c r="E2621" s="40"/>
      <c r="F2621" s="14"/>
      <c r="G2621" s="17"/>
      <c r="H2621" s="10" t="s">
        <v>8563</v>
      </c>
      <c r="I2621" s="4" t="str">
        <f t="shared" si="281"/>
        <v>|Muḥammad-Hádíy-i-Ṣaḥḥáf|</v>
      </c>
      <c r="J2621" s="3" t="str">
        <f t="shared" si="282"/>
        <v>|Muhammad-Hadiy-i-Sahhaf|</v>
      </c>
      <c r="K2621" s="3" t="str">
        <f t="shared" si="283"/>
        <v>Muhammad-Hadiy-i-Sahhaf</v>
      </c>
      <c r="N2621" s="39" t="str">
        <f t="shared" si="284"/>
        <v/>
      </c>
      <c r="P2621" s="39" t="str">
        <f t="shared" si="285"/>
        <v/>
      </c>
      <c r="R2621" s="39" t="str">
        <f t="shared" si="286"/>
        <v/>
      </c>
      <c r="S2621" s="28"/>
      <c r="T2621" s="28"/>
      <c r="U2621" s="28"/>
    </row>
    <row r="2622" spans="1:21" s="5" customFormat="1">
      <c r="A2622" s="179" t="s">
        <v>3132</v>
      </c>
      <c r="B2622" s="185" t="s">
        <v>7145</v>
      </c>
      <c r="C2622" s="35" t="str">
        <f t="shared" si="280"/>
        <v>MuhammadHasan</v>
      </c>
      <c r="E2622" s="40" t="s">
        <v>9115</v>
      </c>
      <c r="F2622" s="14"/>
      <c r="G2622" s="17"/>
      <c r="H2622" s="10" t="s">
        <v>8563</v>
      </c>
      <c r="I2622" s="4" t="str">
        <f t="shared" si="281"/>
        <v>|Muḥammad-Ḥasan|</v>
      </c>
      <c r="J2622" s="3" t="str">
        <f t="shared" si="282"/>
        <v>|Muhammad-Hasan|</v>
      </c>
      <c r="K2622" s="3" t="str">
        <f t="shared" si="283"/>
        <v>Muhammad-Hasan</v>
      </c>
      <c r="N2622" s="39" t="str">
        <f t="shared" si="284"/>
        <v/>
      </c>
      <c r="P2622" s="39" t="str">
        <f t="shared" si="285"/>
        <v/>
      </c>
      <c r="R2622" s="39" t="str">
        <f t="shared" si="286"/>
        <v/>
      </c>
      <c r="S2622" s="28"/>
      <c r="T2622" s="28"/>
      <c r="U2622" s="28"/>
    </row>
    <row r="2623" spans="1:21" s="5" customFormat="1">
      <c r="A2623" s="179" t="s">
        <v>3133</v>
      </c>
      <c r="B2623" s="185" t="s">
        <v>7146</v>
      </c>
      <c r="C2623" s="35" t="str">
        <f t="shared" si="280"/>
        <v>MuhammadHasaniChitSaz</v>
      </c>
      <c r="E2623" s="40"/>
      <c r="F2623" s="14"/>
      <c r="G2623" s="17"/>
      <c r="H2623" s="10" t="s">
        <v>8563</v>
      </c>
      <c r="I2623" s="4" t="str">
        <f t="shared" si="281"/>
        <v>|Muḥammad-Ḥasan-i-it-Sáz|</v>
      </c>
      <c r="J2623" s="3" t="str">
        <f t="shared" si="282"/>
        <v>|Muhammad-Hasan-i-Chit-Saz|</v>
      </c>
      <c r="K2623" s="3" t="str">
        <f t="shared" si="283"/>
        <v>Muhammad-Hasan-i-Chit-Saz</v>
      </c>
      <c r="N2623" s="39" t="str">
        <f t="shared" si="284"/>
        <v/>
      </c>
      <c r="P2623" s="39" t="str">
        <f t="shared" si="285"/>
        <v/>
      </c>
      <c r="R2623" s="39" t="str">
        <f t="shared" si="286"/>
        <v/>
      </c>
      <c r="S2623" s="28"/>
      <c r="T2623" s="28"/>
      <c r="U2623" s="28"/>
    </row>
    <row r="2624" spans="1:21" s="5" customFormat="1">
      <c r="A2624" s="179" t="s">
        <v>3134</v>
      </c>
      <c r="B2624" s="185" t="s">
        <v>7147</v>
      </c>
      <c r="C2624" s="35" t="str">
        <f t="shared" si="280"/>
        <v>MuhammadHasaniNajafi</v>
      </c>
      <c r="E2624" s="40"/>
      <c r="F2624" s="14"/>
      <c r="G2624" s="17"/>
      <c r="H2624" s="10" t="s">
        <v>8563</v>
      </c>
      <c r="I2624" s="4" t="str">
        <f t="shared" si="281"/>
        <v>|Muḥammad-Ḥasan-i-Najafí|</v>
      </c>
      <c r="J2624" s="3" t="str">
        <f t="shared" si="282"/>
        <v>|Muhammad-Hasan-i-Najafi|</v>
      </c>
      <c r="K2624" s="3" t="str">
        <f t="shared" si="283"/>
        <v>Muhammad-Hasan-i-Najafi</v>
      </c>
      <c r="N2624" s="39" t="str">
        <f t="shared" si="284"/>
        <v/>
      </c>
      <c r="P2624" s="39" t="str">
        <f t="shared" si="285"/>
        <v/>
      </c>
      <c r="R2624" s="39" t="str">
        <f t="shared" si="286"/>
        <v/>
      </c>
      <c r="S2624" s="28"/>
      <c r="T2624" s="28"/>
      <c r="U2624" s="28"/>
    </row>
    <row r="2625" spans="1:21" s="5" customFormat="1">
      <c r="A2625" s="179" t="s">
        <v>3135</v>
      </c>
      <c r="B2625" s="185" t="s">
        <v>7148</v>
      </c>
      <c r="C2625" s="35" t="str">
        <f t="shared" si="280"/>
        <v>MuhammadHasaniQazvini</v>
      </c>
      <c r="E2625" s="40"/>
      <c r="F2625" s="14"/>
      <c r="G2625" s="17"/>
      <c r="H2625" s="10" t="s">
        <v>8563</v>
      </c>
      <c r="I2625" s="4" t="str">
        <f t="shared" si="281"/>
        <v>|Muḥammad-Ḥasan-i-Qazvíní|</v>
      </c>
      <c r="J2625" s="3" t="str">
        <f t="shared" si="282"/>
        <v>|Muhammad-Hasan-i-Qazvini|</v>
      </c>
      <c r="K2625" s="3" t="str">
        <f t="shared" si="283"/>
        <v>Muhammad-Hasan-i-Qazvini</v>
      </c>
      <c r="N2625" s="39" t="str">
        <f t="shared" si="284"/>
        <v/>
      </c>
      <c r="P2625" s="39" t="str">
        <f t="shared" si="285"/>
        <v/>
      </c>
      <c r="R2625" s="39" t="str">
        <f t="shared" si="286"/>
        <v/>
      </c>
      <c r="S2625" s="28"/>
      <c r="T2625" s="28"/>
      <c r="U2625" s="28"/>
    </row>
    <row r="2626" spans="1:21" s="5" customFormat="1">
      <c r="A2626" s="179" t="s">
        <v>3136</v>
      </c>
      <c r="B2626" s="185" t="s">
        <v>7149</v>
      </c>
      <c r="C2626" s="35" t="str">
        <f t="shared" ref="C2626:C2689" si="287">SUBSTITUTE(SUBSTITUTE(K2626,"-","")," ","")</f>
        <v>MuhammadHusayn</v>
      </c>
      <c r="E2626" s="40"/>
      <c r="F2626" s="14"/>
      <c r="G2626" s="17"/>
      <c r="H2626" s="10" t="s">
        <v>8563</v>
      </c>
      <c r="I2626" s="4" t="str">
        <f t="shared" ref="I2626:I2689" si="288">CONCATENATE("|",B2626,"|")</f>
        <v>|Muḥammad-Ḥusayn|</v>
      </c>
      <c r="J2626" s="3" t="str">
        <f t="shared" ref="J2626:J2689" si="289">CONCATENATE("|",F_OutputASCII(B2626),"|")</f>
        <v>|Muhammad-Husayn|</v>
      </c>
      <c r="K2626" s="3" t="str">
        <f t="shared" ref="K2626:K2689" si="290">IF(SUBSTITUTE(MID(J2626,2,LEN(J2626)-2),"'","")&lt;&gt;"",SUBSTITUTE(MID(J2626,2,LEN(J2626)-2),"'",""),"ZZZZZ")</f>
        <v>Muhammad-Husayn</v>
      </c>
      <c r="N2626" s="39" t="str">
        <f t="shared" si="284"/>
        <v/>
      </c>
      <c r="P2626" s="39" t="str">
        <f t="shared" si="285"/>
        <v/>
      </c>
      <c r="R2626" s="39" t="str">
        <f t="shared" si="286"/>
        <v/>
      </c>
      <c r="S2626" s="28"/>
      <c r="T2626" s="28"/>
      <c r="U2626" s="28"/>
    </row>
    <row r="2627" spans="1:21" s="5" customFormat="1">
      <c r="A2627" s="179" t="s">
        <v>3137</v>
      </c>
      <c r="B2627" s="185" t="s">
        <v>7150</v>
      </c>
      <c r="C2627" s="35" t="str">
        <f t="shared" si="287"/>
        <v>MuhammadHusayniAttar</v>
      </c>
      <c r="E2627" s="40"/>
      <c r="F2627" s="15"/>
      <c r="G2627" s="17"/>
      <c r="H2627" s="10" t="s">
        <v>8563</v>
      </c>
      <c r="I2627" s="4" t="str">
        <f t="shared" si="288"/>
        <v>|Muḥammad-Ḥusayn-i-ʿAṭṭár|</v>
      </c>
      <c r="J2627" s="3" t="str">
        <f t="shared" si="289"/>
        <v>|Muhammad-Husayn-i-'Attar|</v>
      </c>
      <c r="K2627" s="3" t="str">
        <f t="shared" si="290"/>
        <v>Muhammad-Husayn-i-Attar</v>
      </c>
      <c r="N2627" s="39" t="str">
        <f t="shared" ref="N2627:N2690" si="291">SUBSTITUTE(SUBSTITUTE(SUBSTITUTE(F_OutputASCII(M2627),"-","")," ",""),"'","")</f>
        <v/>
      </c>
      <c r="P2627" s="39" t="str">
        <f t="shared" ref="P2627:P2690" si="292">SUBSTITUTE(SUBSTITUTE(SUBSTITUTE(F_OutputASCII(O2627),"-","")," ",""),"'","")</f>
        <v/>
      </c>
      <c r="R2627" s="39" t="str">
        <f t="shared" ref="R2627:R2690" si="293">SUBSTITUTE(SUBSTITUTE(Q2627,"-","")," ","")</f>
        <v/>
      </c>
      <c r="S2627" s="28"/>
      <c r="T2627" s="28"/>
      <c r="U2627" s="28"/>
    </row>
    <row r="2628" spans="1:21" s="5" customFormat="1">
      <c r="A2628" s="179" t="s">
        <v>3138</v>
      </c>
      <c r="B2628" s="185" t="s">
        <v>7151</v>
      </c>
      <c r="C2628" s="35" t="str">
        <f t="shared" si="287"/>
        <v>MuhammadHusayniHakamiyiKirmani</v>
      </c>
      <c r="E2628" s="40"/>
      <c r="F2628" s="14"/>
      <c r="G2628" s="17"/>
      <c r="H2628" s="10" t="s">
        <v>8563</v>
      </c>
      <c r="I2628" s="4" t="str">
        <f t="shared" si="288"/>
        <v>|Muḥammad-Ḥusayn-i-Ḥakamiy-i-Kirmání|</v>
      </c>
      <c r="J2628" s="3" t="str">
        <f t="shared" si="289"/>
        <v>|Muhammad-Husayn-i-Hakamiy-i-Kirmani|</v>
      </c>
      <c r="K2628" s="3" t="str">
        <f t="shared" si="290"/>
        <v>Muhammad-Husayn-i-Hakamiy-i-Kirmani</v>
      </c>
      <c r="N2628" s="39" t="str">
        <f t="shared" si="291"/>
        <v/>
      </c>
      <c r="P2628" s="39" t="str">
        <f t="shared" si="292"/>
        <v/>
      </c>
      <c r="R2628" s="39" t="str">
        <f t="shared" si="293"/>
        <v/>
      </c>
      <c r="S2628" s="28"/>
      <c r="T2628" s="28"/>
      <c r="U2628" s="28"/>
    </row>
    <row r="2629" spans="1:21" s="5" customFormat="1">
      <c r="A2629" s="179" t="s">
        <v>3139</v>
      </c>
      <c r="B2629" s="185" t="s">
        <v>7152</v>
      </c>
      <c r="C2629" s="35" t="str">
        <f t="shared" si="287"/>
        <v>MuhammadHusayniKashani</v>
      </c>
      <c r="E2629" s="40"/>
      <c r="F2629" s="14"/>
      <c r="G2629" s="17"/>
      <c r="H2629" s="10" t="s">
        <v>8563</v>
      </c>
      <c r="I2629" s="4" t="str">
        <f t="shared" si="288"/>
        <v>|Muḥammad-Ḥusayn-i-Káání|</v>
      </c>
      <c r="J2629" s="3" t="str">
        <f t="shared" si="289"/>
        <v>|Muhammad-Husayn-i-Kashani|</v>
      </c>
      <c r="K2629" s="3" t="str">
        <f t="shared" si="290"/>
        <v>Muhammad-Husayn-i-Kashani</v>
      </c>
      <c r="N2629" s="39" t="str">
        <f t="shared" si="291"/>
        <v/>
      </c>
      <c r="P2629" s="39" t="str">
        <f t="shared" si="292"/>
        <v/>
      </c>
      <c r="R2629" s="39" t="str">
        <f t="shared" si="293"/>
        <v/>
      </c>
      <c r="S2629" s="28"/>
      <c r="T2629" s="28"/>
      <c r="U2629" s="28"/>
    </row>
    <row r="2630" spans="1:21" s="5" customFormat="1">
      <c r="A2630" s="179" t="s">
        <v>3140</v>
      </c>
      <c r="B2630" s="185" t="s">
        <v>7153</v>
      </c>
      <c r="C2630" s="35" t="str">
        <f t="shared" si="287"/>
        <v>MuhammadHusayniKirmani</v>
      </c>
      <c r="E2630" s="40"/>
      <c r="F2630" s="14"/>
      <c r="G2630" s="17"/>
      <c r="H2630" s="10" t="s">
        <v>8563</v>
      </c>
      <c r="I2630" s="4" t="str">
        <f t="shared" si="288"/>
        <v>|Muḥammad-Ḥusayn-i-Kirmání|</v>
      </c>
      <c r="J2630" s="3" t="str">
        <f t="shared" si="289"/>
        <v>|Muhammad-Husayn-i-Kirmani|</v>
      </c>
      <c r="K2630" s="3" t="str">
        <f t="shared" si="290"/>
        <v>Muhammad-Husayn-i-Kirmani</v>
      </c>
      <c r="N2630" s="39" t="str">
        <f t="shared" si="291"/>
        <v/>
      </c>
      <c r="P2630" s="39" t="str">
        <f t="shared" si="292"/>
        <v/>
      </c>
      <c r="R2630" s="39" t="str">
        <f t="shared" si="293"/>
        <v/>
      </c>
      <c r="S2630" s="28"/>
      <c r="T2630" s="28"/>
      <c r="U2630" s="28"/>
    </row>
    <row r="2631" spans="1:21" s="5" customFormat="1">
      <c r="A2631" s="179" t="s">
        <v>3141</v>
      </c>
      <c r="B2631" s="185" t="s">
        <v>7154</v>
      </c>
      <c r="C2631" s="35" t="str">
        <f t="shared" si="287"/>
        <v>MuhammadHusayniMaraghihi</v>
      </c>
      <c r="E2631" s="40"/>
      <c r="F2631" s="15"/>
      <c r="G2631" s="17"/>
      <c r="H2631" s="10" t="s">
        <v>8563</v>
      </c>
      <c r="I2631" s="4" t="str">
        <f t="shared" si="288"/>
        <v>|Muḥammad-Ḥusayn-i-Maraih’í|</v>
      </c>
      <c r="J2631" s="3" t="str">
        <f t="shared" si="289"/>
        <v>|Muhammad-Husayn-i-Maraghih'i|</v>
      </c>
      <c r="K2631" s="3" t="str">
        <f t="shared" si="290"/>
        <v>Muhammad-Husayn-i-Maraghihi</v>
      </c>
      <c r="N2631" s="39" t="str">
        <f t="shared" si="291"/>
        <v/>
      </c>
      <c r="P2631" s="39" t="str">
        <f t="shared" si="292"/>
        <v/>
      </c>
      <c r="R2631" s="39" t="str">
        <f t="shared" si="293"/>
        <v/>
      </c>
      <c r="S2631" s="28"/>
      <c r="T2631" s="28"/>
      <c r="U2631" s="28"/>
    </row>
    <row r="2632" spans="1:21" s="5" customFormat="1">
      <c r="A2632" s="179" t="s">
        <v>3142</v>
      </c>
      <c r="B2632" s="185" t="s">
        <v>7155</v>
      </c>
      <c r="C2632" s="35" t="str">
        <f t="shared" si="287"/>
        <v>MuhammadiAdhirbayjani</v>
      </c>
      <c r="E2632" s="40"/>
      <c r="F2632" s="15"/>
      <c r="G2632" s="17"/>
      <c r="H2632" s="10" t="s">
        <v>8563</v>
      </c>
      <c r="I2632" s="4" t="str">
        <f t="shared" si="288"/>
        <v>|Muḥammad-i-Ádhirbayjání|</v>
      </c>
      <c r="J2632" s="3" t="str">
        <f t="shared" si="289"/>
        <v>|Muhammad-i-Adhirbayjani|</v>
      </c>
      <c r="K2632" s="3" t="str">
        <f t="shared" si="290"/>
        <v>Muhammad-i-Adhirbayjani</v>
      </c>
      <c r="N2632" s="39" t="str">
        <f t="shared" si="291"/>
        <v/>
      </c>
      <c r="P2632" s="39" t="str">
        <f t="shared" si="292"/>
        <v/>
      </c>
      <c r="R2632" s="39" t="str">
        <f t="shared" si="293"/>
        <v/>
      </c>
      <c r="S2632" s="28"/>
      <c r="T2632" s="28"/>
      <c r="U2632" s="28"/>
    </row>
    <row r="2633" spans="1:21" s="5" customFormat="1">
      <c r="A2633" s="179" t="s">
        <v>3143</v>
      </c>
      <c r="B2633" s="185" t="s">
        <v>7156</v>
      </c>
      <c r="C2633" s="35" t="str">
        <f t="shared" si="287"/>
        <v>MuhammadiAkhbari</v>
      </c>
      <c r="E2633" s="40"/>
      <c r="F2633" s="14"/>
      <c r="G2633" s="17"/>
      <c r="H2633" s="10" t="s">
        <v>8563</v>
      </c>
      <c r="I2633" s="4" t="str">
        <f t="shared" si="288"/>
        <v>|Muḥammad-i-Abarí|</v>
      </c>
      <c r="J2633" s="3" t="str">
        <f t="shared" si="289"/>
        <v>|Muhammad-i-Akhbari|</v>
      </c>
      <c r="K2633" s="3" t="str">
        <f t="shared" si="290"/>
        <v>Muhammad-i-Akhbari</v>
      </c>
      <c r="N2633" s="39" t="str">
        <f t="shared" si="291"/>
        <v/>
      </c>
      <c r="P2633" s="39" t="str">
        <f t="shared" si="292"/>
        <v/>
      </c>
      <c r="R2633" s="39" t="str">
        <f t="shared" si="293"/>
        <v/>
      </c>
      <c r="S2633" s="28"/>
      <c r="T2633" s="28"/>
      <c r="U2633" s="28"/>
    </row>
    <row r="2634" spans="1:21" s="5" customFormat="1">
      <c r="A2634" s="179" t="s">
        <v>3144</v>
      </c>
      <c r="B2634" s="185" t="s">
        <v>7157</v>
      </c>
      <c r="C2634" s="35" t="str">
        <f t="shared" si="287"/>
        <v>MuhammadiAshur</v>
      </c>
      <c r="E2634" s="40"/>
      <c r="F2634" s="15"/>
      <c r="G2634" s="17"/>
      <c r="H2634" s="10" t="s">
        <v>8563</v>
      </c>
      <c r="I2634" s="4" t="str">
        <f t="shared" si="288"/>
        <v>|Muḥammad-i-ʿAúr|</v>
      </c>
      <c r="J2634" s="3" t="str">
        <f t="shared" si="289"/>
        <v>|Muhammad-i-'Ashur|</v>
      </c>
      <c r="K2634" s="3" t="str">
        <f t="shared" si="290"/>
        <v>Muhammad-i-Ashur</v>
      </c>
      <c r="N2634" s="39" t="str">
        <f t="shared" si="291"/>
        <v/>
      </c>
      <c r="P2634" s="39" t="str">
        <f t="shared" si="292"/>
        <v/>
      </c>
      <c r="R2634" s="39" t="str">
        <f t="shared" si="293"/>
        <v/>
      </c>
      <c r="S2634" s="28"/>
      <c r="T2634" s="28"/>
      <c r="U2634" s="28"/>
    </row>
    <row r="2635" spans="1:21" s="5" customFormat="1">
      <c r="A2635" s="179" t="s">
        <v>3145</v>
      </c>
      <c r="B2635" s="185" t="s">
        <v>7158</v>
      </c>
      <c r="C2635" s="35" t="str">
        <f t="shared" si="287"/>
        <v>MuhammadiBalami</v>
      </c>
      <c r="E2635" s="40"/>
      <c r="F2635" s="15"/>
      <c r="G2635" s="17"/>
      <c r="H2635" s="10" t="s">
        <v>8563</v>
      </c>
      <c r="I2635" s="4" t="str">
        <f t="shared" si="288"/>
        <v>|Muḥammad-i-Balʿamí|</v>
      </c>
      <c r="J2635" s="3" t="str">
        <f t="shared" si="289"/>
        <v>|Muhammad-i-Bal'ami|</v>
      </c>
      <c r="K2635" s="3" t="str">
        <f t="shared" si="290"/>
        <v>Muhammad-i-Balami</v>
      </c>
      <c r="N2635" s="39" t="str">
        <f t="shared" si="291"/>
        <v/>
      </c>
      <c r="P2635" s="39" t="str">
        <f t="shared" si="292"/>
        <v/>
      </c>
      <c r="R2635" s="39" t="str">
        <f t="shared" si="293"/>
        <v/>
      </c>
      <c r="S2635" s="28"/>
      <c r="T2635" s="28"/>
      <c r="U2635" s="28"/>
    </row>
    <row r="2636" spans="1:21" s="5" customFormat="1">
      <c r="A2636" s="179" t="s">
        <v>3146</v>
      </c>
      <c r="B2636" s="185" t="s">
        <v>7159</v>
      </c>
      <c r="C2636" s="35" t="str">
        <f t="shared" si="287"/>
        <v>MuhammadiBanna</v>
      </c>
      <c r="E2636" s="40"/>
      <c r="F2636" s="14"/>
      <c r="G2636" s="17"/>
      <c r="H2636" s="10" t="s">
        <v>8563</v>
      </c>
      <c r="I2636" s="4" t="str">
        <f t="shared" si="288"/>
        <v>|Muḥammad-i-Banná|</v>
      </c>
      <c r="J2636" s="3" t="str">
        <f t="shared" si="289"/>
        <v>|Muhammad-i-Banna|</v>
      </c>
      <c r="K2636" s="3" t="str">
        <f t="shared" si="290"/>
        <v>Muhammad-i-Banna</v>
      </c>
      <c r="N2636" s="39" t="str">
        <f t="shared" si="291"/>
        <v/>
      </c>
      <c r="P2636" s="39" t="str">
        <f t="shared" si="292"/>
        <v/>
      </c>
      <c r="R2636" s="39" t="str">
        <f t="shared" si="293"/>
        <v/>
      </c>
      <c r="S2636" s="28"/>
      <c r="T2636" s="28"/>
      <c r="U2636" s="28"/>
    </row>
    <row r="2637" spans="1:21" s="5" customFormat="1">
      <c r="A2637" s="179" t="s">
        <v>3128</v>
      </c>
      <c r="B2637" s="185" t="s">
        <v>7160</v>
      </c>
      <c r="C2637" s="35" t="str">
        <f t="shared" si="287"/>
        <v>MuhammadiBaqirNaqsh</v>
      </c>
      <c r="E2637" s="40"/>
      <c r="F2637" s="14"/>
      <c r="G2637" s="17"/>
      <c r="H2637" s="10" t="s">
        <v>8563</v>
      </c>
      <c r="I2637" s="4" t="str">
        <f t="shared" si="288"/>
        <v>|Muḥammad-i-Báqir-Naq|</v>
      </c>
      <c r="J2637" s="3" t="str">
        <f t="shared" si="289"/>
        <v>|Muhammad-i-Baqir-Naqsh|</v>
      </c>
      <c r="K2637" s="3" t="str">
        <f t="shared" si="290"/>
        <v>Muhammad-i-Baqir-Naqsh</v>
      </c>
      <c r="N2637" s="39" t="str">
        <f t="shared" si="291"/>
        <v/>
      </c>
      <c r="P2637" s="39" t="str">
        <f t="shared" si="292"/>
        <v/>
      </c>
      <c r="R2637" s="39" t="str">
        <f t="shared" si="293"/>
        <v/>
      </c>
      <c r="S2637" s="28"/>
      <c r="T2637" s="28"/>
      <c r="U2637" s="28"/>
    </row>
    <row r="2638" spans="1:21" s="5" customFormat="1">
      <c r="A2638" s="179" t="s">
        <v>3147</v>
      </c>
      <c r="B2638" s="185" t="s">
        <v>7161</v>
      </c>
      <c r="C2638" s="35" t="str">
        <f t="shared" si="287"/>
        <v>MuhammadiBayigani</v>
      </c>
      <c r="E2638" s="40"/>
      <c r="F2638" s="14"/>
      <c r="G2638" s="17"/>
      <c r="H2638" s="10" t="s">
        <v>8563</v>
      </c>
      <c r="I2638" s="4" t="str">
        <f t="shared" si="288"/>
        <v>|Muḥammad-i-Bayigání|</v>
      </c>
      <c r="J2638" s="3" t="str">
        <f t="shared" si="289"/>
        <v>|Muhammad-i-Bayigani|</v>
      </c>
      <c r="K2638" s="3" t="str">
        <f t="shared" si="290"/>
        <v>Muhammad-i-Bayigani</v>
      </c>
      <c r="N2638" s="39" t="str">
        <f t="shared" si="291"/>
        <v/>
      </c>
      <c r="P2638" s="39" t="str">
        <f t="shared" si="292"/>
        <v/>
      </c>
      <c r="R2638" s="39" t="str">
        <f t="shared" si="293"/>
        <v/>
      </c>
      <c r="S2638" s="28"/>
      <c r="T2638" s="28"/>
      <c r="U2638" s="28"/>
    </row>
    <row r="2639" spans="1:21" s="5" customFormat="1">
      <c r="A2639" s="179" t="s">
        <v>3148</v>
      </c>
      <c r="B2639" s="185" t="s">
        <v>7162</v>
      </c>
      <c r="C2639" s="35" t="str">
        <f t="shared" si="287"/>
        <v>MuhammadibniMuhsin</v>
      </c>
      <c r="E2639" s="40"/>
      <c r="F2639" s="14"/>
      <c r="G2639" s="17"/>
      <c r="H2639" s="10" t="s">
        <v>8563</v>
      </c>
      <c r="I2639" s="4" t="str">
        <f t="shared" si="288"/>
        <v>|Muḥammad-ibn-i-Muḥsin|</v>
      </c>
      <c r="J2639" s="3" t="str">
        <f t="shared" si="289"/>
        <v>|Muhammad-ibn-i-Muhsin|</v>
      </c>
      <c r="K2639" s="3" t="str">
        <f t="shared" si="290"/>
        <v>Muhammad-ibn-i-Muhsin</v>
      </c>
      <c r="N2639" s="39" t="str">
        <f t="shared" si="291"/>
        <v/>
      </c>
      <c r="P2639" s="39" t="str">
        <f t="shared" si="292"/>
        <v/>
      </c>
      <c r="R2639" s="39" t="str">
        <f t="shared" si="293"/>
        <v/>
      </c>
      <c r="S2639" s="28"/>
      <c r="T2639" s="28"/>
      <c r="U2639" s="28"/>
    </row>
    <row r="2640" spans="1:21" s="5" customFormat="1">
      <c r="A2640" s="179" t="s">
        <v>3149</v>
      </c>
      <c r="B2640" s="185" t="s">
        <v>7163</v>
      </c>
      <c r="C2640" s="35" t="str">
        <f t="shared" si="287"/>
        <v>MuhammadibniMulla</v>
      </c>
      <c r="E2640" s="40"/>
      <c r="F2640" s="14"/>
      <c r="G2640" s="17"/>
      <c r="H2640" s="10" t="s">
        <v>8563</v>
      </c>
      <c r="I2640" s="4" t="str">
        <f t="shared" si="288"/>
        <v>|Muḥammad-ibn-i-Mullá|</v>
      </c>
      <c r="J2640" s="3" t="str">
        <f t="shared" si="289"/>
        <v>|Muhammad-ibn-i-Mulla|</v>
      </c>
      <c r="K2640" s="3" t="str">
        <f t="shared" si="290"/>
        <v>Muhammad-ibn-i-Mulla</v>
      </c>
      <c r="N2640" s="39" t="str">
        <f t="shared" si="291"/>
        <v/>
      </c>
      <c r="P2640" s="39" t="str">
        <f t="shared" si="292"/>
        <v/>
      </c>
      <c r="R2640" s="39" t="str">
        <f t="shared" si="293"/>
        <v/>
      </c>
      <c r="S2640" s="28"/>
      <c r="T2640" s="28"/>
      <c r="U2640" s="28"/>
    </row>
    <row r="2641" spans="1:21" s="5" customFormat="1">
      <c r="A2641" s="179" t="s">
        <v>3150</v>
      </c>
      <c r="B2641" s="185" t="s">
        <v>7164</v>
      </c>
      <c r="C2641" s="35" t="str">
        <f t="shared" si="287"/>
        <v>MuhammadibniShiblulAraqi</v>
      </c>
      <c r="E2641" s="40"/>
      <c r="F2641" s="15"/>
      <c r="G2641" s="17"/>
      <c r="H2641" s="10" t="s">
        <v>8563</v>
      </c>
      <c r="I2641" s="4" t="str">
        <f t="shared" si="288"/>
        <v>|Muḥammad-ibn-i-iblu’l-ʿAráqí|</v>
      </c>
      <c r="J2641" s="3" t="str">
        <f t="shared" si="289"/>
        <v>|Muhammad-ibn-i-Shiblu'l-'Araqi|</v>
      </c>
      <c r="K2641" s="3" t="str">
        <f t="shared" si="290"/>
        <v>Muhammad-ibn-i-Shiblul-Araqi</v>
      </c>
      <c r="N2641" s="39" t="str">
        <f t="shared" si="291"/>
        <v/>
      </c>
      <c r="P2641" s="39" t="str">
        <f t="shared" si="292"/>
        <v/>
      </c>
      <c r="R2641" s="39" t="str">
        <f t="shared" si="293"/>
        <v/>
      </c>
      <c r="S2641" s="28"/>
      <c r="T2641" s="28"/>
      <c r="U2641" s="28"/>
    </row>
    <row r="2642" spans="1:21" s="5" customFormat="1">
      <c r="A2642" s="179" t="s">
        <v>3151</v>
      </c>
      <c r="B2642" s="185" t="s">
        <v>7165</v>
      </c>
      <c r="C2642" s="35" t="str">
        <f t="shared" si="287"/>
        <v>MuhammadibniUthman</v>
      </c>
      <c r="E2642" s="40"/>
      <c r="F2642" s="15"/>
      <c r="G2642" s="17"/>
      <c r="H2642" s="10" t="s">
        <v>8563</v>
      </c>
      <c r="I2642" s="4" t="str">
        <f t="shared" si="288"/>
        <v>|Muḥammad-ibn-i-ʿUmán|</v>
      </c>
      <c r="J2642" s="3" t="str">
        <f t="shared" si="289"/>
        <v>|Muhammad-ibn-i-'Uthman|</v>
      </c>
      <c r="K2642" s="3" t="str">
        <f t="shared" si="290"/>
        <v>Muhammad-ibn-i-Uthman</v>
      </c>
      <c r="N2642" s="39" t="str">
        <f t="shared" si="291"/>
        <v/>
      </c>
      <c r="P2642" s="39" t="str">
        <f t="shared" si="292"/>
        <v/>
      </c>
      <c r="R2642" s="39" t="str">
        <f t="shared" si="293"/>
        <v/>
      </c>
      <c r="S2642" s="28"/>
      <c r="T2642" s="28"/>
      <c r="U2642" s="28"/>
    </row>
    <row r="2643" spans="1:21" s="5" customFormat="1">
      <c r="A2643" s="179" t="s">
        <v>3152</v>
      </c>
      <c r="B2643" s="185" t="s">
        <v>7166</v>
      </c>
      <c r="C2643" s="35" t="str">
        <f t="shared" si="287"/>
        <v>MuhammadibniYaqub</v>
      </c>
      <c r="E2643" s="40"/>
      <c r="F2643" s="14"/>
      <c r="G2643" s="17"/>
      <c r="H2643" s="10" t="s">
        <v>8563</v>
      </c>
      <c r="I2643" s="4" t="str">
        <f t="shared" si="288"/>
        <v>|Muḥammad-ibn-i-Yaʿqúb|</v>
      </c>
      <c r="J2643" s="3" t="str">
        <f t="shared" si="289"/>
        <v>|Muhammad-ibn-i-Ya'qub|</v>
      </c>
      <c r="K2643" s="3" t="str">
        <f t="shared" si="290"/>
        <v>Muhammad-ibn-i-Yaqub</v>
      </c>
      <c r="N2643" s="39" t="str">
        <f t="shared" si="291"/>
        <v/>
      </c>
      <c r="P2643" s="39" t="str">
        <f t="shared" si="292"/>
        <v/>
      </c>
      <c r="R2643" s="39" t="str">
        <f t="shared" si="293"/>
        <v/>
      </c>
      <c r="S2643" s="28"/>
      <c r="T2643" s="28"/>
      <c r="U2643" s="28"/>
    </row>
    <row r="2644" spans="1:21" s="5" customFormat="1">
      <c r="A2644" s="179" t="s">
        <v>3153</v>
      </c>
      <c r="B2644" s="185" t="s">
        <v>7167</v>
      </c>
      <c r="C2644" s="35" t="str">
        <f t="shared" si="287"/>
        <v>MuhammadIbrahim</v>
      </c>
      <c r="E2644" s="40"/>
      <c r="F2644" s="14"/>
      <c r="G2644" s="17"/>
      <c r="H2644" s="10" t="s">
        <v>8563</v>
      </c>
      <c r="I2644" s="4" t="str">
        <f t="shared" si="288"/>
        <v>|Muḥammad-Ibráhím|</v>
      </c>
      <c r="J2644" s="3" t="str">
        <f t="shared" si="289"/>
        <v>|Muhammad-Ibrahim|</v>
      </c>
      <c r="K2644" s="3" t="str">
        <f t="shared" si="290"/>
        <v>Muhammad-Ibrahim</v>
      </c>
      <c r="N2644" s="39" t="str">
        <f t="shared" si="291"/>
        <v/>
      </c>
      <c r="P2644" s="39" t="str">
        <f t="shared" si="292"/>
        <v/>
      </c>
      <c r="R2644" s="39" t="str">
        <f t="shared" si="293"/>
        <v/>
      </c>
      <c r="S2644" s="28"/>
      <c r="T2644" s="28"/>
      <c r="U2644" s="28"/>
    </row>
    <row r="2645" spans="1:21" s="5" customFormat="1">
      <c r="A2645" s="179" t="s">
        <v>3154</v>
      </c>
      <c r="B2645" s="185" t="s">
        <v>7168</v>
      </c>
      <c r="C2645" s="35" t="str">
        <f t="shared" si="287"/>
        <v>MuhammadIbrahimiKalbasi</v>
      </c>
      <c r="E2645" s="40"/>
      <c r="F2645" s="14"/>
      <c r="G2645" s="17"/>
      <c r="H2645" s="10" t="s">
        <v>8563</v>
      </c>
      <c r="I2645" s="4" t="str">
        <f t="shared" si="288"/>
        <v>|Muḥammad-Ibráhím-i-Kalbásí|</v>
      </c>
      <c r="J2645" s="3" t="str">
        <f t="shared" si="289"/>
        <v>|Muhammad-Ibrahim-i-Kalbasi|</v>
      </c>
      <c r="K2645" s="3" t="str">
        <f t="shared" si="290"/>
        <v>Muhammad-Ibrahim-i-Kalbasi</v>
      </c>
      <c r="N2645" s="39" t="str">
        <f t="shared" si="291"/>
        <v/>
      </c>
      <c r="P2645" s="39" t="str">
        <f t="shared" si="292"/>
        <v/>
      </c>
      <c r="R2645" s="39" t="str">
        <f t="shared" si="293"/>
        <v/>
      </c>
      <c r="S2645" s="28"/>
      <c r="T2645" s="28"/>
      <c r="U2645" s="28"/>
    </row>
    <row r="2646" spans="1:21" s="5" customFormat="1">
      <c r="A2646" s="179" t="s">
        <v>3155</v>
      </c>
      <c r="B2646" s="185" t="s">
        <v>7169</v>
      </c>
      <c r="C2646" s="35" t="str">
        <f t="shared" si="287"/>
        <v>MuhammadIbrahimiTabrizi</v>
      </c>
      <c r="E2646" s="40"/>
      <c r="F2646" s="14"/>
      <c r="G2646" s="17"/>
      <c r="H2646" s="10" t="s">
        <v>8563</v>
      </c>
      <c r="I2646" s="4" t="str">
        <f t="shared" si="288"/>
        <v>|Muḥammad-Ibráhím-i-Tabrízí|</v>
      </c>
      <c r="J2646" s="3" t="str">
        <f t="shared" si="289"/>
        <v>|Muhammad-Ibrahim-i-Tabrizi|</v>
      </c>
      <c r="K2646" s="3" t="str">
        <f t="shared" si="290"/>
        <v>Muhammad-Ibrahim-i-Tabrizi</v>
      </c>
      <c r="N2646" s="39" t="str">
        <f t="shared" si="291"/>
        <v/>
      </c>
      <c r="P2646" s="39" t="str">
        <f t="shared" si="292"/>
        <v/>
      </c>
      <c r="R2646" s="39" t="str">
        <f t="shared" si="293"/>
        <v/>
      </c>
      <c r="S2646" s="28"/>
      <c r="T2646" s="28"/>
      <c r="U2646" s="28"/>
    </row>
    <row r="2647" spans="1:21" s="5" customFormat="1">
      <c r="A2647" s="179" t="s">
        <v>3156</v>
      </c>
      <c r="B2647" s="185" t="s">
        <v>7170</v>
      </c>
      <c r="C2647" s="35" t="str">
        <f t="shared" si="287"/>
        <v>MuhammadiFurughi</v>
      </c>
      <c r="E2647" s="40"/>
      <c r="F2647" s="14"/>
      <c r="G2647" s="17"/>
      <c r="H2647" s="10" t="s">
        <v>8563</v>
      </c>
      <c r="I2647" s="4" t="str">
        <f t="shared" si="288"/>
        <v>|Muḥammad-i-Furúí|</v>
      </c>
      <c r="J2647" s="3" t="str">
        <f t="shared" si="289"/>
        <v>|Muhammad-i-Furughi|</v>
      </c>
      <c r="K2647" s="3" t="str">
        <f t="shared" si="290"/>
        <v>Muhammad-i-Furughi</v>
      </c>
      <c r="N2647" s="39" t="str">
        <f t="shared" si="291"/>
        <v/>
      </c>
      <c r="P2647" s="39" t="str">
        <f t="shared" si="292"/>
        <v/>
      </c>
      <c r="R2647" s="39" t="str">
        <f t="shared" si="293"/>
        <v/>
      </c>
      <c r="S2647" s="28"/>
      <c r="T2647" s="28"/>
      <c r="U2647" s="28"/>
    </row>
    <row r="2648" spans="1:21" s="5" customFormat="1">
      <c r="A2648" s="179" t="s">
        <v>3157</v>
      </c>
      <c r="B2648" s="185" t="s">
        <v>7171</v>
      </c>
      <c r="C2648" s="35" t="str">
        <f t="shared" si="287"/>
        <v>MuhammadiGulpaygani</v>
      </c>
      <c r="E2648" s="40"/>
      <c r="F2648" s="14"/>
      <c r="G2648" s="17"/>
      <c r="H2648" s="10" t="s">
        <v>8563</v>
      </c>
      <c r="I2648" s="4" t="str">
        <f t="shared" si="288"/>
        <v>|Muḥammad-i-Gulpáygání|</v>
      </c>
      <c r="J2648" s="3" t="str">
        <f t="shared" si="289"/>
        <v>|Muhammad-i-Gulpaygani|</v>
      </c>
      <c r="K2648" s="3" t="str">
        <f t="shared" si="290"/>
        <v>Muhammad-i-Gulpaygani</v>
      </c>
      <c r="N2648" s="39" t="str">
        <f t="shared" si="291"/>
        <v/>
      </c>
      <c r="P2648" s="39" t="str">
        <f t="shared" si="292"/>
        <v/>
      </c>
      <c r="R2648" s="39" t="str">
        <f t="shared" si="293"/>
        <v/>
      </c>
      <c r="S2648" s="28"/>
      <c r="T2648" s="28"/>
      <c r="U2648" s="28"/>
    </row>
    <row r="2649" spans="1:21" s="5" customFormat="1">
      <c r="A2649" s="179" t="s">
        <v>3158</v>
      </c>
      <c r="B2649" s="185" t="s">
        <v>7172</v>
      </c>
      <c r="C2649" s="35" t="str">
        <f t="shared" si="287"/>
        <v>MuhammadiHamzih</v>
      </c>
      <c r="E2649" s="40"/>
      <c r="F2649" s="14"/>
      <c r="G2649" s="17"/>
      <c r="H2649" s="10" t="s">
        <v>8563</v>
      </c>
      <c r="I2649" s="4" t="str">
        <f t="shared" si="288"/>
        <v>|Muḥammad-i-Ḥamzih|</v>
      </c>
      <c r="J2649" s="3" t="str">
        <f t="shared" si="289"/>
        <v>|Muhammad-i-Hamzih|</v>
      </c>
      <c r="K2649" s="3" t="str">
        <f t="shared" si="290"/>
        <v>Muhammad-i-Hamzih</v>
      </c>
      <c r="N2649" s="39" t="str">
        <f t="shared" si="291"/>
        <v/>
      </c>
      <c r="P2649" s="39" t="str">
        <f t="shared" si="292"/>
        <v/>
      </c>
      <c r="R2649" s="39" t="str">
        <f t="shared" si="293"/>
        <v/>
      </c>
      <c r="S2649" s="28"/>
      <c r="T2649" s="28"/>
      <c r="U2649" s="28"/>
    </row>
    <row r="2650" spans="1:21" s="5" customFormat="1">
      <c r="A2650" s="179" t="s">
        <v>3159</v>
      </c>
      <c r="B2650" s="185" t="s">
        <v>7173</v>
      </c>
      <c r="C2650" s="35" t="str">
        <f t="shared" si="287"/>
        <v>MuhammadiHanaSab</v>
      </c>
      <c r="E2650" s="40"/>
      <c r="F2650" s="14"/>
      <c r="G2650" s="17"/>
      <c r="H2650" s="10" t="s">
        <v>8563</v>
      </c>
      <c r="I2650" s="4" t="str">
        <f t="shared" si="288"/>
        <v>|Muḥammad-i-Ḥaná-Sáb|</v>
      </c>
      <c r="J2650" s="3" t="str">
        <f t="shared" si="289"/>
        <v>|Muhammad-i-Hana-Sab|</v>
      </c>
      <c r="K2650" s="3" t="str">
        <f t="shared" si="290"/>
        <v>Muhammad-i-Hana-Sab</v>
      </c>
      <c r="N2650" s="39" t="str">
        <f t="shared" si="291"/>
        <v/>
      </c>
      <c r="P2650" s="39" t="str">
        <f t="shared" si="292"/>
        <v/>
      </c>
      <c r="R2650" s="39" t="str">
        <f t="shared" si="293"/>
        <v/>
      </c>
      <c r="S2650" s="28"/>
      <c r="T2650" s="28"/>
      <c r="U2650" s="28"/>
    </row>
    <row r="2651" spans="1:21" s="5" customFormat="1">
      <c r="A2651" s="179" t="s">
        <v>3160</v>
      </c>
      <c r="B2651" s="185" t="s">
        <v>7174</v>
      </c>
      <c r="C2651" s="35" t="str">
        <f t="shared" si="287"/>
        <v>MuhammadiHusayn</v>
      </c>
      <c r="E2651" s="40"/>
      <c r="F2651" s="14"/>
      <c r="G2651" s="17"/>
      <c r="H2651" s="10" t="s">
        <v>8563</v>
      </c>
      <c r="I2651" s="4" t="str">
        <f t="shared" si="288"/>
        <v>|Muḥammad-i-Ḥusayn|</v>
      </c>
      <c r="J2651" s="3" t="str">
        <f t="shared" si="289"/>
        <v>|Muhammad-i-Husayn|</v>
      </c>
      <c r="K2651" s="3" t="str">
        <f t="shared" si="290"/>
        <v>Muhammad-i-Husayn</v>
      </c>
      <c r="N2651" s="39" t="str">
        <f t="shared" si="291"/>
        <v/>
      </c>
      <c r="P2651" s="39" t="str">
        <f t="shared" si="292"/>
        <v/>
      </c>
      <c r="R2651" s="39" t="str">
        <f t="shared" si="293"/>
        <v/>
      </c>
      <c r="S2651" s="28"/>
      <c r="T2651" s="28"/>
      <c r="U2651" s="28"/>
    </row>
    <row r="2652" spans="1:21" s="5" customFormat="1">
      <c r="A2652" s="179" t="s">
        <v>3161</v>
      </c>
      <c r="B2652" s="185" t="s">
        <v>7175</v>
      </c>
      <c r="C2652" s="35" t="str">
        <f t="shared" si="287"/>
        <v>MuhammadiIsfahani</v>
      </c>
      <c r="E2652" s="40"/>
      <c r="F2652" s="15"/>
      <c r="G2652" s="17"/>
      <c r="H2652" s="10" t="s">
        <v>8563</v>
      </c>
      <c r="I2652" s="4" t="str">
        <f t="shared" si="288"/>
        <v>|Muḥammad-i-Iṣfahání|</v>
      </c>
      <c r="J2652" s="3" t="str">
        <f t="shared" si="289"/>
        <v>|Muhammad-i-Isfahani|</v>
      </c>
      <c r="K2652" s="3" t="str">
        <f t="shared" si="290"/>
        <v>Muhammad-i-Isfahani</v>
      </c>
      <c r="N2652" s="39" t="str">
        <f t="shared" si="291"/>
        <v/>
      </c>
      <c r="P2652" s="39" t="str">
        <f t="shared" si="292"/>
        <v/>
      </c>
      <c r="R2652" s="39" t="str">
        <f t="shared" si="293"/>
        <v/>
      </c>
      <c r="S2652" s="28"/>
      <c r="T2652" s="28"/>
      <c r="U2652" s="28"/>
    </row>
    <row r="2653" spans="1:21" s="5" customFormat="1">
      <c r="A2653" s="179" t="s">
        <v>3162</v>
      </c>
      <c r="B2653" s="185" t="s">
        <v>7176</v>
      </c>
      <c r="C2653" s="35" t="str">
        <f t="shared" si="287"/>
        <v>MuhammadiKarradi</v>
      </c>
      <c r="E2653" s="40"/>
      <c r="F2653" s="14"/>
      <c r="G2653" s="17"/>
      <c r="H2653" s="10" t="s">
        <v>8563</v>
      </c>
      <c r="I2653" s="4" t="str">
        <f t="shared" si="288"/>
        <v>|Muḥammad-i-Karrádí|</v>
      </c>
      <c r="J2653" s="3" t="str">
        <f t="shared" si="289"/>
        <v>|Muhammad-i-Karradi|</v>
      </c>
      <c r="K2653" s="3" t="str">
        <f t="shared" si="290"/>
        <v>Muhammad-i-Karradi</v>
      </c>
      <c r="N2653" s="39" t="str">
        <f t="shared" si="291"/>
        <v/>
      </c>
      <c r="P2653" s="39" t="str">
        <f t="shared" si="292"/>
        <v/>
      </c>
      <c r="R2653" s="39" t="str">
        <f t="shared" si="293"/>
        <v/>
      </c>
      <c r="S2653" s="28"/>
      <c r="T2653" s="28"/>
      <c r="U2653" s="28"/>
    </row>
    <row r="2654" spans="1:21" s="5" customFormat="1">
      <c r="A2654" s="179" t="s">
        <v>3163</v>
      </c>
      <c r="B2654" s="185" t="s">
        <v>7177</v>
      </c>
      <c r="C2654" s="35" t="str">
        <f t="shared" si="287"/>
        <v>MuhammadiKhurasani</v>
      </c>
      <c r="E2654" s="40"/>
      <c r="F2654" s="14"/>
      <c r="G2654" s="17"/>
      <c r="H2654" s="10" t="s">
        <v>8563</v>
      </c>
      <c r="I2654" s="4" t="str">
        <f t="shared" si="288"/>
        <v>|Muḥammad-i-urásání|</v>
      </c>
      <c r="J2654" s="3" t="str">
        <f t="shared" si="289"/>
        <v>|Muhammad-i-Khurasani|</v>
      </c>
      <c r="K2654" s="3" t="str">
        <f t="shared" si="290"/>
        <v>Muhammad-i-Khurasani</v>
      </c>
      <c r="N2654" s="39" t="str">
        <f t="shared" si="291"/>
        <v/>
      </c>
      <c r="P2654" s="39" t="str">
        <f t="shared" si="292"/>
        <v/>
      </c>
      <c r="R2654" s="39" t="str">
        <f t="shared" si="293"/>
        <v/>
      </c>
      <c r="S2654" s="28"/>
      <c r="T2654" s="28"/>
      <c r="U2654" s="28"/>
    </row>
    <row r="2655" spans="1:21" s="5" customFormat="1">
      <c r="A2655" s="179" t="s">
        <v>3164</v>
      </c>
      <c r="B2655" s="185" t="s">
        <v>7178</v>
      </c>
      <c r="C2655" s="35" t="str">
        <f t="shared" si="287"/>
        <v>MuhammadiMamaqani</v>
      </c>
      <c r="E2655" s="40"/>
      <c r="F2655" s="14"/>
      <c r="G2655" s="17"/>
      <c r="H2655" s="10" t="s">
        <v>8563</v>
      </c>
      <c r="I2655" s="4" t="str">
        <f t="shared" si="288"/>
        <v>|Muḥammad-i-Mamaqání|</v>
      </c>
      <c r="J2655" s="3" t="str">
        <f t="shared" si="289"/>
        <v>|Muhammad-i-Mamaqani|</v>
      </c>
      <c r="K2655" s="3" t="str">
        <f t="shared" si="290"/>
        <v>Muhammad-i-Mamaqani</v>
      </c>
      <c r="N2655" s="39" t="str">
        <f t="shared" si="291"/>
        <v/>
      </c>
      <c r="P2655" s="39" t="str">
        <f t="shared" si="292"/>
        <v/>
      </c>
      <c r="R2655" s="39" t="str">
        <f t="shared" si="293"/>
        <v/>
      </c>
      <c r="S2655" s="28"/>
      <c r="T2655" s="28"/>
      <c r="U2655" s="28"/>
    </row>
    <row r="2656" spans="1:21" s="5" customFormat="1">
      <c r="A2656" s="179" t="s">
        <v>3165</v>
      </c>
      <c r="B2656" s="185" t="s">
        <v>7179</v>
      </c>
      <c r="C2656" s="35" t="str">
        <f t="shared" si="287"/>
        <v>MuhammadiManshadi</v>
      </c>
      <c r="E2656" s="40"/>
      <c r="F2656" s="15"/>
      <c r="G2656" s="17"/>
      <c r="H2656" s="10" t="s">
        <v>8563</v>
      </c>
      <c r="I2656" s="4" t="str">
        <f t="shared" si="288"/>
        <v>|Muḥammad-i-Manádí|</v>
      </c>
      <c r="J2656" s="3" t="str">
        <f t="shared" si="289"/>
        <v>|Muhammad-i-Manshadi|</v>
      </c>
      <c r="K2656" s="3" t="str">
        <f t="shared" si="290"/>
        <v>Muhammad-i-Manshadi</v>
      </c>
      <c r="N2656" s="39" t="str">
        <f t="shared" si="291"/>
        <v/>
      </c>
      <c r="P2656" s="39" t="str">
        <f t="shared" si="292"/>
        <v/>
      </c>
      <c r="R2656" s="39" t="str">
        <f t="shared" si="293"/>
        <v/>
      </c>
      <c r="S2656" s="28"/>
      <c r="T2656" s="28"/>
      <c r="U2656" s="28"/>
    </row>
    <row r="2657" spans="1:21" s="5" customFormat="1">
      <c r="A2657" s="179" t="s">
        <v>3166</v>
      </c>
      <c r="B2657" s="185" t="s">
        <v>7180</v>
      </c>
      <c r="C2657" s="35" t="str">
        <f t="shared" si="287"/>
        <v>MuhammadiMazindarani</v>
      </c>
      <c r="E2657" s="40"/>
      <c r="F2657" s="14"/>
      <c r="G2657" s="17"/>
      <c r="H2657" s="10" t="s">
        <v>8563</v>
      </c>
      <c r="I2657" s="4" t="str">
        <f t="shared" si="288"/>
        <v>|Muḥammad-i-Mázindarání|</v>
      </c>
      <c r="J2657" s="3" t="str">
        <f t="shared" si="289"/>
        <v>|Muhammad-i-Mazindarani|</v>
      </c>
      <c r="K2657" s="3" t="str">
        <f t="shared" si="290"/>
        <v>Muhammad-i-Mazindarani</v>
      </c>
      <c r="N2657" s="39" t="str">
        <f t="shared" si="291"/>
        <v/>
      </c>
      <c r="P2657" s="39" t="str">
        <f t="shared" si="292"/>
        <v/>
      </c>
      <c r="R2657" s="39" t="str">
        <f t="shared" si="293"/>
        <v/>
      </c>
      <c r="S2657" s="28"/>
      <c r="T2657" s="28"/>
      <c r="U2657" s="28"/>
    </row>
    <row r="2658" spans="1:21" s="5" customFormat="1">
      <c r="A2658" s="179" t="s">
        <v>3167</v>
      </c>
      <c r="B2658" s="185" t="s">
        <v>7181</v>
      </c>
      <c r="C2658" s="35" t="str">
        <f t="shared" si="287"/>
        <v>MuhammadiMuallimiNuri</v>
      </c>
      <c r="E2658" s="40"/>
      <c r="F2658" s="14"/>
      <c r="G2658" s="17"/>
      <c r="H2658" s="10" t="s">
        <v>8563</v>
      </c>
      <c r="I2658" s="4" t="str">
        <f t="shared" si="288"/>
        <v>|Muḥammad-i-Muʿallim-i-Núrí|</v>
      </c>
      <c r="J2658" s="3" t="str">
        <f t="shared" si="289"/>
        <v>|Muhammad-i-Mu'allim-i-Nuri|</v>
      </c>
      <c r="K2658" s="3" t="str">
        <f t="shared" si="290"/>
        <v>Muhammad-i-Muallim-i-Nuri</v>
      </c>
      <c r="N2658" s="39" t="str">
        <f t="shared" si="291"/>
        <v/>
      </c>
      <c r="P2658" s="39" t="str">
        <f t="shared" si="292"/>
        <v/>
      </c>
      <c r="R2658" s="39" t="str">
        <f t="shared" si="293"/>
        <v/>
      </c>
      <c r="S2658" s="28"/>
      <c r="T2658" s="28"/>
      <c r="U2658" s="28"/>
    </row>
    <row r="2659" spans="1:21" s="5" customFormat="1">
      <c r="A2659" s="179" t="s">
        <v>3168</v>
      </c>
      <c r="B2659" s="185" t="s">
        <v>7182</v>
      </c>
      <c r="C2659" s="35" t="str">
        <f t="shared" si="287"/>
        <v>MuhammadiMukari</v>
      </c>
      <c r="E2659" s="40"/>
      <c r="F2659" s="15"/>
      <c r="G2659" s="17"/>
      <c r="H2659" s="10" t="s">
        <v>8563</v>
      </c>
      <c r="I2659" s="4" t="str">
        <f t="shared" si="288"/>
        <v>|Muḥammad-i-Mukárí|</v>
      </c>
      <c r="J2659" s="3" t="str">
        <f t="shared" si="289"/>
        <v>|Muhammad-i-Mukari|</v>
      </c>
      <c r="K2659" s="3" t="str">
        <f t="shared" si="290"/>
        <v>Muhammad-i-Mukari</v>
      </c>
      <c r="N2659" s="39" t="str">
        <f t="shared" si="291"/>
        <v/>
      </c>
      <c r="P2659" s="39" t="str">
        <f t="shared" si="292"/>
        <v/>
      </c>
      <c r="R2659" s="39" t="str">
        <f t="shared" si="293"/>
        <v/>
      </c>
      <c r="S2659" s="28"/>
      <c r="T2659" s="28"/>
      <c r="U2659" s="28"/>
    </row>
    <row r="2660" spans="1:21" s="5" customFormat="1">
      <c r="A2660" s="179" t="s">
        <v>3169</v>
      </c>
      <c r="B2660" s="185" t="s">
        <v>7183</v>
      </c>
      <c r="C2660" s="35" t="str">
        <f t="shared" si="287"/>
        <v>MuhammadiMustafayiBaghdadi</v>
      </c>
      <c r="E2660" s="40"/>
      <c r="F2660" s="15"/>
      <c r="G2660" s="17"/>
      <c r="H2660" s="10" t="s">
        <v>8563</v>
      </c>
      <c r="I2660" s="4" t="str">
        <f t="shared" si="288"/>
        <v>|Muḥammad-i-Muṣṭafáy-i-Badádí|</v>
      </c>
      <c r="J2660" s="3" t="str">
        <f t="shared" si="289"/>
        <v>|Muhammad-i-Mustafay-i-Baghdadi|</v>
      </c>
      <c r="K2660" s="3" t="str">
        <f t="shared" si="290"/>
        <v>Muhammad-i-Mustafay-i-Baghdadi</v>
      </c>
      <c r="N2660" s="39" t="str">
        <f t="shared" si="291"/>
        <v/>
      </c>
      <c r="P2660" s="39" t="str">
        <f t="shared" si="292"/>
        <v/>
      </c>
      <c r="R2660" s="39" t="str">
        <f t="shared" si="293"/>
        <v/>
      </c>
      <c r="S2660" s="28"/>
      <c r="T2660" s="28"/>
      <c r="U2660" s="28"/>
    </row>
    <row r="2661" spans="1:21" s="5" customFormat="1">
      <c r="A2661" s="179" t="s">
        <v>3170</v>
      </c>
      <c r="B2661" s="185" t="s">
        <v>7184</v>
      </c>
      <c r="C2661" s="35" t="str">
        <f t="shared" si="287"/>
        <v>MuhammadiNuri</v>
      </c>
      <c r="E2661" s="40"/>
      <c r="F2661" s="15"/>
      <c r="G2661" s="17"/>
      <c r="H2661" s="10" t="s">
        <v>8563</v>
      </c>
      <c r="I2661" s="4" t="str">
        <f t="shared" si="288"/>
        <v>|Muḥammad-i-Núrí|</v>
      </c>
      <c r="J2661" s="3" t="str">
        <f t="shared" si="289"/>
        <v>|Muhammad-i-Nuri|</v>
      </c>
      <c r="K2661" s="3" t="str">
        <f t="shared" si="290"/>
        <v>Muhammad-i-Nuri</v>
      </c>
      <c r="N2661" s="39" t="str">
        <f t="shared" si="291"/>
        <v/>
      </c>
      <c r="P2661" s="39" t="str">
        <f t="shared" si="292"/>
        <v/>
      </c>
      <c r="R2661" s="39" t="str">
        <f t="shared" si="293"/>
        <v/>
      </c>
      <c r="S2661" s="28"/>
      <c r="T2661" s="28"/>
      <c r="U2661" s="28"/>
    </row>
    <row r="2662" spans="1:21" s="5" customFormat="1">
      <c r="A2662" s="179" t="s">
        <v>3171</v>
      </c>
      <c r="B2662" s="185" t="s">
        <v>7185</v>
      </c>
      <c r="C2662" s="35" t="str">
        <f t="shared" si="287"/>
        <v>MuhammadiQaini</v>
      </c>
      <c r="E2662" s="40"/>
      <c r="F2662" s="14"/>
      <c r="G2662" s="17"/>
      <c r="H2662" s="10" t="s">
        <v>8563</v>
      </c>
      <c r="I2662" s="4" t="str">
        <f t="shared" si="288"/>
        <v>|Muḥammad-i-Qá’iní|</v>
      </c>
      <c r="J2662" s="3" t="str">
        <f t="shared" si="289"/>
        <v>|Muhammad-i-Qa'ini|</v>
      </c>
      <c r="K2662" s="3" t="str">
        <f t="shared" si="290"/>
        <v>Muhammad-i-Qaini</v>
      </c>
      <c r="N2662" s="39" t="str">
        <f t="shared" si="291"/>
        <v/>
      </c>
      <c r="P2662" s="39" t="str">
        <f t="shared" si="292"/>
        <v/>
      </c>
      <c r="R2662" s="39" t="str">
        <f t="shared" si="293"/>
        <v/>
      </c>
      <c r="S2662" s="28"/>
      <c r="T2662" s="28"/>
      <c r="U2662" s="28"/>
    </row>
    <row r="2663" spans="1:21" s="5" customFormat="1">
      <c r="A2663" s="179" t="s">
        <v>3172</v>
      </c>
      <c r="B2663" s="185" t="s">
        <v>7186</v>
      </c>
      <c r="C2663" s="35" t="str">
        <f t="shared" si="287"/>
        <v>MuhammadiQazvini</v>
      </c>
      <c r="E2663" s="40"/>
      <c r="F2663" s="14"/>
      <c r="G2663" s="17"/>
      <c r="H2663" s="10" t="s">
        <v>8563</v>
      </c>
      <c r="I2663" s="4" t="str">
        <f t="shared" si="288"/>
        <v>|Muḥammad-i-Qazvíní|</v>
      </c>
      <c r="J2663" s="3" t="str">
        <f t="shared" si="289"/>
        <v>|Muhammad-i-Qazvini|</v>
      </c>
      <c r="K2663" s="3" t="str">
        <f t="shared" si="290"/>
        <v>Muhammad-i-Qazvini</v>
      </c>
      <c r="N2663" s="39" t="str">
        <f t="shared" si="291"/>
        <v/>
      </c>
      <c r="P2663" s="39" t="str">
        <f t="shared" si="292"/>
        <v/>
      </c>
      <c r="R2663" s="39" t="str">
        <f t="shared" si="293"/>
        <v/>
      </c>
      <c r="S2663" s="28"/>
      <c r="T2663" s="28"/>
      <c r="U2663" s="28"/>
    </row>
    <row r="2664" spans="1:21" s="5" customFormat="1">
      <c r="A2664" s="179" t="s">
        <v>3173</v>
      </c>
      <c r="B2664" s="185" t="s">
        <v>7187</v>
      </c>
      <c r="C2664" s="35" t="str">
        <f t="shared" si="287"/>
        <v>MuhammadiSarraf</v>
      </c>
      <c r="E2664" s="40"/>
      <c r="F2664" s="14"/>
      <c r="G2664" s="17"/>
      <c r="H2664" s="10" t="s">
        <v>8563</v>
      </c>
      <c r="I2664" s="4" t="str">
        <f t="shared" si="288"/>
        <v>|Muḥammad-i-Ṣarráf|</v>
      </c>
      <c r="J2664" s="3" t="str">
        <f t="shared" si="289"/>
        <v>|Muhammad-i-Sarraf|</v>
      </c>
      <c r="K2664" s="3" t="str">
        <f t="shared" si="290"/>
        <v>Muhammad-i-Sarraf</v>
      </c>
      <c r="N2664" s="39" t="str">
        <f t="shared" si="291"/>
        <v/>
      </c>
      <c r="P2664" s="39" t="str">
        <f t="shared" si="292"/>
        <v/>
      </c>
      <c r="R2664" s="39" t="str">
        <f t="shared" si="293"/>
        <v/>
      </c>
      <c r="S2664" s="28"/>
      <c r="T2664" s="28"/>
      <c r="U2664" s="28"/>
    </row>
    <row r="2665" spans="1:21" s="5" customFormat="1">
      <c r="A2665" s="179" t="s">
        <v>3103</v>
      </c>
      <c r="B2665" s="185" t="s">
        <v>7188</v>
      </c>
      <c r="C2665" s="35" t="str">
        <f t="shared" si="287"/>
        <v>MuhammadiShibl</v>
      </c>
      <c r="E2665" s="40"/>
      <c r="F2665" s="14"/>
      <c r="G2665" s="17"/>
      <c r="H2665" s="10" t="s">
        <v>8563</v>
      </c>
      <c r="I2665" s="4" t="str">
        <f t="shared" si="288"/>
        <v>|Muḥammad-i-ibl|</v>
      </c>
      <c r="J2665" s="3" t="str">
        <f t="shared" si="289"/>
        <v>|Muhammad-i-Shibl|</v>
      </c>
      <c r="K2665" s="3" t="str">
        <f t="shared" si="290"/>
        <v>Muhammad-i-Shibl</v>
      </c>
      <c r="N2665" s="39" t="str">
        <f t="shared" si="291"/>
        <v/>
      </c>
      <c r="P2665" s="39" t="str">
        <f t="shared" si="292"/>
        <v/>
      </c>
      <c r="R2665" s="39" t="str">
        <f t="shared" si="293"/>
        <v/>
      </c>
      <c r="S2665" s="28"/>
      <c r="T2665" s="28"/>
      <c r="U2665" s="28"/>
    </row>
    <row r="2666" spans="1:21" s="5" customFormat="1">
      <c r="A2666" s="179" t="s">
        <v>3174</v>
      </c>
      <c r="B2666" s="185" t="s">
        <v>7189</v>
      </c>
      <c r="C2666" s="35" t="str">
        <f t="shared" si="287"/>
        <v>MuhammadIsmail</v>
      </c>
      <c r="E2666" s="40"/>
      <c r="F2666" s="14"/>
      <c r="G2666" s="17"/>
      <c r="H2666" s="10" t="s">
        <v>8563</v>
      </c>
      <c r="I2666" s="4" t="str">
        <f t="shared" si="288"/>
        <v>|Muḥammad-Ismá’íl|</v>
      </c>
      <c r="J2666" s="3" t="str">
        <f t="shared" si="289"/>
        <v>|Muhammad-Isma'il|</v>
      </c>
      <c r="K2666" s="3" t="str">
        <f t="shared" si="290"/>
        <v>Muhammad-Ismail</v>
      </c>
      <c r="N2666" s="39" t="str">
        <f t="shared" si="291"/>
        <v/>
      </c>
      <c r="P2666" s="39" t="str">
        <f t="shared" si="292"/>
        <v/>
      </c>
      <c r="R2666" s="39" t="str">
        <f t="shared" si="293"/>
        <v/>
      </c>
      <c r="S2666" s="28"/>
      <c r="T2666" s="28"/>
      <c r="U2666" s="28"/>
    </row>
    <row r="2667" spans="1:21" s="5" customFormat="1">
      <c r="A2667" s="179" t="s">
        <v>3175</v>
      </c>
      <c r="B2667" s="185" t="s">
        <v>7190</v>
      </c>
      <c r="C2667" s="35" t="str">
        <f t="shared" si="287"/>
        <v>MuhammadIsmailiDhabih</v>
      </c>
      <c r="E2667" s="40"/>
      <c r="F2667" s="15"/>
      <c r="G2667" s="17"/>
      <c r="H2667" s="10" t="s">
        <v>8563</v>
      </c>
      <c r="I2667" s="4" t="str">
        <f t="shared" si="288"/>
        <v>|Muḥammad-Ismá’íl-i-abíḥ|</v>
      </c>
      <c r="J2667" s="3" t="str">
        <f t="shared" si="289"/>
        <v>|Muhammad-Isma'il-i-Dhabih|</v>
      </c>
      <c r="K2667" s="3" t="str">
        <f t="shared" si="290"/>
        <v>Muhammad-Ismail-i-Dhabih</v>
      </c>
      <c r="N2667" s="39" t="str">
        <f t="shared" si="291"/>
        <v/>
      </c>
      <c r="P2667" s="39" t="str">
        <f t="shared" si="292"/>
        <v/>
      </c>
      <c r="R2667" s="39" t="str">
        <f t="shared" si="293"/>
        <v/>
      </c>
      <c r="S2667" s="28"/>
      <c r="T2667" s="28"/>
      <c r="U2667" s="28"/>
    </row>
    <row r="2668" spans="1:21" s="5" customFormat="1">
      <c r="A2668" s="179" t="s">
        <v>3176</v>
      </c>
      <c r="B2668" s="185" t="s">
        <v>7191</v>
      </c>
      <c r="C2668" s="35" t="str">
        <f t="shared" si="287"/>
        <v>MuhammadiTabrizi</v>
      </c>
      <c r="E2668" s="40"/>
      <c r="F2668" s="14"/>
      <c r="G2668" s="17"/>
      <c r="H2668" s="10" t="s">
        <v>8563</v>
      </c>
      <c r="I2668" s="4" t="str">
        <f t="shared" si="288"/>
        <v>|Muḥammad-i-Tabrízí|</v>
      </c>
      <c r="J2668" s="3" t="str">
        <f t="shared" si="289"/>
        <v>|Muhammad-i-Tabrizi|</v>
      </c>
      <c r="K2668" s="3" t="str">
        <f t="shared" si="290"/>
        <v>Muhammad-i-Tabrizi</v>
      </c>
      <c r="N2668" s="39" t="str">
        <f t="shared" si="291"/>
        <v/>
      </c>
      <c r="P2668" s="39" t="str">
        <f t="shared" si="292"/>
        <v/>
      </c>
      <c r="R2668" s="39" t="str">
        <f t="shared" si="293"/>
        <v/>
      </c>
      <c r="S2668" s="28"/>
      <c r="T2668" s="28"/>
      <c r="U2668" s="28"/>
    </row>
    <row r="2669" spans="1:21" s="5" customFormat="1">
      <c r="A2669" s="179" t="s">
        <v>3177</v>
      </c>
      <c r="B2669" s="185" t="s">
        <v>7192</v>
      </c>
      <c r="C2669" s="35" t="str">
        <f t="shared" si="287"/>
        <v>MuhammadiTupChi</v>
      </c>
      <c r="E2669" s="40"/>
      <c r="F2669" s="14"/>
      <c r="G2669" s="17"/>
      <c r="H2669" s="10" t="s">
        <v>8563</v>
      </c>
      <c r="I2669" s="4" t="str">
        <f t="shared" si="288"/>
        <v>|Muḥammad-i-Túp-í|</v>
      </c>
      <c r="J2669" s="3" t="str">
        <f t="shared" si="289"/>
        <v>|Muhammad-i-Tup-Chi|</v>
      </c>
      <c r="K2669" s="3" t="str">
        <f t="shared" si="290"/>
        <v>Muhammad-i-Tup-Chi</v>
      </c>
      <c r="N2669" s="39" t="str">
        <f t="shared" si="291"/>
        <v/>
      </c>
      <c r="P2669" s="39" t="str">
        <f t="shared" si="292"/>
        <v/>
      </c>
      <c r="R2669" s="39" t="str">
        <f t="shared" si="293"/>
        <v/>
      </c>
      <c r="S2669" s="28"/>
      <c r="T2669" s="28"/>
      <c r="U2669" s="28"/>
    </row>
    <row r="2670" spans="1:21" s="5" customFormat="1">
      <c r="A2670" s="179" t="s">
        <v>3178</v>
      </c>
      <c r="B2670" s="185" t="s">
        <v>7193</v>
      </c>
      <c r="C2670" s="35" t="str">
        <f t="shared" si="287"/>
        <v>MuhammadiVakil</v>
      </c>
      <c r="E2670" s="40"/>
      <c r="F2670" s="14"/>
      <c r="G2670" s="17"/>
      <c r="H2670" s="10" t="s">
        <v>8563</v>
      </c>
      <c r="I2670" s="4" t="str">
        <f t="shared" si="288"/>
        <v>|Muḥammad-i-Vakíl|</v>
      </c>
      <c r="J2670" s="3" t="str">
        <f t="shared" si="289"/>
        <v>|Muhammad-i-Vakil|</v>
      </c>
      <c r="K2670" s="3" t="str">
        <f t="shared" si="290"/>
        <v>Muhammad-i-Vakil</v>
      </c>
      <c r="N2670" s="39" t="str">
        <f t="shared" si="291"/>
        <v/>
      </c>
      <c r="P2670" s="39" t="str">
        <f t="shared" si="292"/>
        <v/>
      </c>
      <c r="R2670" s="39" t="str">
        <f t="shared" si="293"/>
        <v/>
      </c>
      <c r="S2670" s="28"/>
      <c r="T2670" s="28"/>
      <c r="U2670" s="28"/>
    </row>
    <row r="2671" spans="1:21" s="5" customFormat="1">
      <c r="A2671" s="179" t="s">
        <v>3179</v>
      </c>
      <c r="B2671" s="185" t="s">
        <v>7194</v>
      </c>
      <c r="C2671" s="35" t="str">
        <f t="shared" si="287"/>
        <v>Muhammadiyyih</v>
      </c>
      <c r="E2671" s="40"/>
      <c r="F2671" s="15"/>
      <c r="G2671" s="17"/>
      <c r="H2671" s="10" t="s">
        <v>8563</v>
      </c>
      <c r="I2671" s="4" t="str">
        <f t="shared" si="288"/>
        <v>|Muḥammadiyyih|</v>
      </c>
      <c r="J2671" s="3" t="str">
        <f t="shared" si="289"/>
        <v>|Muhammadiyyih|</v>
      </c>
      <c r="K2671" s="3" t="str">
        <f t="shared" si="290"/>
        <v>Muhammadiyyih</v>
      </c>
      <c r="N2671" s="39" t="str">
        <f t="shared" si="291"/>
        <v/>
      </c>
      <c r="P2671" s="39" t="str">
        <f t="shared" si="292"/>
        <v/>
      </c>
      <c r="R2671" s="39" t="str">
        <f t="shared" si="293"/>
        <v/>
      </c>
      <c r="S2671" s="28"/>
      <c r="T2671" s="28"/>
      <c r="U2671" s="28"/>
    </row>
    <row r="2672" spans="1:21" s="5" customFormat="1">
      <c r="A2672" s="179" t="s">
        <v>3180</v>
      </c>
      <c r="B2672" s="185" t="s">
        <v>7195</v>
      </c>
      <c r="C2672" s="35" t="str">
        <f t="shared" si="287"/>
        <v>MuhammadiZarandi</v>
      </c>
      <c r="E2672" s="40"/>
      <c r="F2672" s="14"/>
      <c r="G2672" s="17"/>
      <c r="H2672" s="10" t="s">
        <v>8563</v>
      </c>
      <c r="I2672" s="4" t="str">
        <f t="shared" si="288"/>
        <v>|Muḥammad-i-Zarandí|</v>
      </c>
      <c r="J2672" s="3" t="str">
        <f t="shared" si="289"/>
        <v>|Muhammad-i-Zarandi|</v>
      </c>
      <c r="K2672" s="3" t="str">
        <f t="shared" si="290"/>
        <v>Muhammad-i-Zarandi</v>
      </c>
      <c r="N2672" s="39" t="str">
        <f t="shared" si="291"/>
        <v/>
      </c>
      <c r="P2672" s="39" t="str">
        <f t="shared" si="292"/>
        <v/>
      </c>
      <c r="R2672" s="39" t="str">
        <f t="shared" si="293"/>
        <v/>
      </c>
      <c r="S2672" s="28"/>
      <c r="T2672" s="28"/>
      <c r="U2672" s="28"/>
    </row>
    <row r="2673" spans="1:21" s="5" customFormat="1">
      <c r="A2673" s="179" t="s">
        <v>3181</v>
      </c>
      <c r="B2673" s="185" t="s">
        <v>7196</v>
      </c>
      <c r="C2673" s="35" t="str">
        <f t="shared" si="287"/>
        <v>MuhammadiZari</v>
      </c>
      <c r="E2673" s="40"/>
      <c r="F2673" s="15"/>
      <c r="G2673" s="17"/>
      <c r="H2673" s="10" t="s">
        <v>8563</v>
      </c>
      <c r="I2673" s="4" t="str">
        <f t="shared" si="288"/>
        <v>|Muḥammad-i-Záriʿ|</v>
      </c>
      <c r="J2673" s="3" t="str">
        <f t="shared" si="289"/>
        <v>|Muhammad-i-Zari'|</v>
      </c>
      <c r="K2673" s="3" t="str">
        <f t="shared" si="290"/>
        <v>Muhammad-i-Zari</v>
      </c>
      <c r="N2673" s="39" t="str">
        <f t="shared" si="291"/>
        <v/>
      </c>
      <c r="P2673" s="39" t="str">
        <f t="shared" si="292"/>
        <v/>
      </c>
      <c r="R2673" s="39" t="str">
        <f t="shared" si="293"/>
        <v/>
      </c>
      <c r="S2673" s="28"/>
      <c r="T2673" s="28"/>
      <c r="U2673" s="28"/>
    </row>
    <row r="2674" spans="1:21" s="5" customFormat="1">
      <c r="A2674" s="179" t="s">
        <v>3182</v>
      </c>
      <c r="B2674" s="185" t="s">
        <v>7197</v>
      </c>
      <c r="C2674" s="35" t="str">
        <f t="shared" si="287"/>
        <v>MuhammadJafar</v>
      </c>
      <c r="E2674" s="40"/>
      <c r="F2674" s="15"/>
      <c r="G2674" s="17"/>
      <c r="H2674" s="10" t="s">
        <v>8563</v>
      </c>
      <c r="I2674" s="4" t="str">
        <f t="shared" si="288"/>
        <v>|Muḥammad-Jaʿfar|</v>
      </c>
      <c r="J2674" s="3" t="str">
        <f t="shared" si="289"/>
        <v>|Muhammad-Ja'far|</v>
      </c>
      <c r="K2674" s="3" t="str">
        <f t="shared" si="290"/>
        <v>Muhammad-Jafar</v>
      </c>
      <c r="N2674" s="39" t="str">
        <f t="shared" si="291"/>
        <v/>
      </c>
      <c r="P2674" s="39" t="str">
        <f t="shared" si="292"/>
        <v/>
      </c>
      <c r="R2674" s="39" t="str">
        <f t="shared" si="293"/>
        <v/>
      </c>
      <c r="S2674" s="28"/>
      <c r="T2674" s="28"/>
      <c r="U2674" s="28"/>
    </row>
    <row r="2675" spans="1:21" s="5" customFormat="1">
      <c r="A2675" s="179" t="s">
        <v>3183</v>
      </c>
      <c r="B2675" s="185" t="s">
        <v>7198</v>
      </c>
      <c r="C2675" s="35" t="str">
        <f t="shared" si="287"/>
        <v>MuhammadJafariAbadiyi</v>
      </c>
      <c r="E2675" s="40"/>
      <c r="F2675" s="15"/>
      <c r="G2675" s="17"/>
      <c r="H2675" s="10" t="s">
        <v>8563</v>
      </c>
      <c r="I2675" s="4" t="str">
        <f t="shared" si="288"/>
        <v>|Muḥammad-Jaʿfar-i-Ábádiyí|</v>
      </c>
      <c r="J2675" s="3" t="str">
        <f t="shared" si="289"/>
        <v>|Muhammad-Ja'far-i-Abadiyi|</v>
      </c>
      <c r="K2675" s="3" t="str">
        <f t="shared" si="290"/>
        <v>Muhammad-Jafar-i-Abadiyi</v>
      </c>
      <c r="N2675" s="39" t="str">
        <f t="shared" si="291"/>
        <v/>
      </c>
      <c r="P2675" s="39" t="str">
        <f t="shared" si="292"/>
        <v/>
      </c>
      <c r="R2675" s="39" t="str">
        <f t="shared" si="293"/>
        <v/>
      </c>
      <c r="S2675" s="28"/>
      <c r="T2675" s="28"/>
      <c r="U2675" s="28"/>
    </row>
    <row r="2676" spans="1:21" s="5" customFormat="1">
      <c r="A2676" s="179" t="s">
        <v>3184</v>
      </c>
      <c r="B2676" s="185" t="s">
        <v>7199</v>
      </c>
      <c r="C2676" s="35" t="str">
        <f t="shared" si="287"/>
        <v>MuhammadJan</v>
      </c>
      <c r="E2676" s="40"/>
      <c r="F2676" s="14"/>
      <c r="G2676" s="17"/>
      <c r="H2676" s="10" t="s">
        <v>8563</v>
      </c>
      <c r="I2676" s="4" t="str">
        <f t="shared" si="288"/>
        <v>|Muḥammad-Ján|</v>
      </c>
      <c r="J2676" s="3" t="str">
        <f t="shared" si="289"/>
        <v>|Muhammad-Jan|</v>
      </c>
      <c r="K2676" s="3" t="str">
        <f t="shared" si="290"/>
        <v>Muhammad-Jan</v>
      </c>
      <c r="N2676" s="39" t="str">
        <f t="shared" si="291"/>
        <v/>
      </c>
      <c r="P2676" s="39" t="str">
        <f t="shared" si="292"/>
        <v/>
      </c>
      <c r="R2676" s="39" t="str">
        <f t="shared" si="293"/>
        <v/>
      </c>
      <c r="S2676" s="28"/>
      <c r="T2676" s="28"/>
      <c r="U2676" s="28"/>
    </row>
    <row r="2677" spans="1:21" s="5" customFormat="1">
      <c r="A2677" s="179" t="s">
        <v>3185</v>
      </c>
      <c r="B2677" s="185" t="s">
        <v>7200</v>
      </c>
      <c r="C2677" s="35" t="str">
        <f t="shared" si="287"/>
        <v>MuhammadJavad</v>
      </c>
      <c r="E2677" s="40"/>
      <c r="F2677" s="14"/>
      <c r="G2677" s="17"/>
      <c r="H2677" s="10" t="s">
        <v>8563</v>
      </c>
      <c r="I2677" s="4" t="str">
        <f t="shared" si="288"/>
        <v>|Muḥammad-Javád|</v>
      </c>
      <c r="J2677" s="3" t="str">
        <f t="shared" si="289"/>
        <v>|Muhammad-Javad|</v>
      </c>
      <c r="K2677" s="3" t="str">
        <f t="shared" si="290"/>
        <v>Muhammad-Javad</v>
      </c>
      <c r="N2677" s="39" t="str">
        <f t="shared" si="291"/>
        <v/>
      </c>
      <c r="P2677" s="39" t="str">
        <f t="shared" si="292"/>
        <v/>
      </c>
      <c r="R2677" s="39" t="str">
        <f t="shared" si="293"/>
        <v/>
      </c>
      <c r="S2677" s="28"/>
      <c r="T2677" s="28"/>
      <c r="U2677" s="28"/>
    </row>
    <row r="2678" spans="1:21" s="5" customFormat="1">
      <c r="A2678" s="179" t="s">
        <v>3186</v>
      </c>
      <c r="B2678" s="185" t="s">
        <v>7201</v>
      </c>
      <c r="C2678" s="35" t="str">
        <f t="shared" si="287"/>
        <v>MuhammadJavadiFarhadi</v>
      </c>
      <c r="E2678" s="40"/>
      <c r="F2678" s="14"/>
      <c r="G2678" s="17"/>
      <c r="H2678" s="10" t="s">
        <v>8563</v>
      </c>
      <c r="I2678" s="4" t="str">
        <f t="shared" si="288"/>
        <v>|Muḥammad-Javád-i-Farhádí|</v>
      </c>
      <c r="J2678" s="3" t="str">
        <f t="shared" si="289"/>
        <v>|Muhammad-Javad-i-Farhadi|</v>
      </c>
      <c r="K2678" s="3" t="str">
        <f t="shared" si="290"/>
        <v>Muhammad-Javad-i-Farhadi</v>
      </c>
      <c r="N2678" s="39" t="str">
        <f t="shared" si="291"/>
        <v/>
      </c>
      <c r="P2678" s="39" t="str">
        <f t="shared" si="292"/>
        <v/>
      </c>
      <c r="R2678" s="39" t="str">
        <f t="shared" si="293"/>
        <v/>
      </c>
      <c r="S2678" s="28"/>
      <c r="T2678" s="28"/>
      <c r="U2678" s="28"/>
    </row>
    <row r="2679" spans="1:21" s="5" customFormat="1">
      <c r="A2679" s="179" t="s">
        <v>3172</v>
      </c>
      <c r="B2679" s="185" t="s">
        <v>7202</v>
      </c>
      <c r="C2679" s="35" t="str">
        <f t="shared" si="287"/>
        <v>MuhammadJavadiQasvini</v>
      </c>
      <c r="E2679" s="40"/>
      <c r="F2679" s="14"/>
      <c r="G2679" s="17"/>
      <c r="H2679" s="10" t="s">
        <v>8563</v>
      </c>
      <c r="I2679" s="4" t="str">
        <f t="shared" si="288"/>
        <v>|Muḥammad-Javád-i-Qasvíní|</v>
      </c>
      <c r="J2679" s="3" t="str">
        <f t="shared" si="289"/>
        <v>|Muhammad-Javad-i-Qasvini|</v>
      </c>
      <c r="K2679" s="3" t="str">
        <f t="shared" si="290"/>
        <v>Muhammad-Javad-i-Qasvini</v>
      </c>
      <c r="N2679" s="39" t="str">
        <f t="shared" si="291"/>
        <v/>
      </c>
      <c r="P2679" s="39" t="str">
        <f t="shared" si="292"/>
        <v/>
      </c>
      <c r="R2679" s="39" t="str">
        <f t="shared" si="293"/>
        <v/>
      </c>
      <c r="S2679" s="28"/>
      <c r="T2679" s="28"/>
      <c r="U2679" s="28"/>
    </row>
    <row r="2680" spans="1:21" s="5" customFormat="1">
      <c r="A2680" s="179" t="s">
        <v>3187</v>
      </c>
      <c r="B2680" s="185" t="s">
        <v>7203</v>
      </c>
      <c r="C2680" s="35" t="str">
        <f t="shared" si="287"/>
        <v>MuhammadKamal</v>
      </c>
      <c r="E2680" s="40"/>
      <c r="F2680" s="14"/>
      <c r="G2680" s="17"/>
      <c r="H2680" s="10" t="s">
        <v>8563</v>
      </c>
      <c r="I2680" s="4" t="str">
        <f t="shared" si="288"/>
        <v>|Muḥammad-Kamál|</v>
      </c>
      <c r="J2680" s="3" t="str">
        <f t="shared" si="289"/>
        <v>|Muhammad-Kamal|</v>
      </c>
      <c r="K2680" s="3" t="str">
        <f t="shared" si="290"/>
        <v>Muhammad-Kamal</v>
      </c>
      <c r="N2680" s="39" t="str">
        <f t="shared" si="291"/>
        <v/>
      </c>
      <c r="P2680" s="39" t="str">
        <f t="shared" si="292"/>
        <v/>
      </c>
      <c r="R2680" s="39" t="str">
        <f t="shared" si="293"/>
        <v/>
      </c>
      <c r="S2680" s="28"/>
      <c r="T2680" s="28"/>
      <c r="U2680" s="28"/>
    </row>
    <row r="2681" spans="1:21" s="5" customFormat="1">
      <c r="A2681" s="179" t="s">
        <v>3188</v>
      </c>
      <c r="B2681" s="185" t="s">
        <v>7204</v>
      </c>
      <c r="C2681" s="35" t="str">
        <f t="shared" si="287"/>
        <v>MuhammadKarim</v>
      </c>
      <c r="E2681" s="40"/>
      <c r="F2681" s="14"/>
      <c r="G2681" s="17"/>
      <c r="H2681" s="10" t="s">
        <v>8563</v>
      </c>
      <c r="I2681" s="4" t="str">
        <f t="shared" si="288"/>
        <v>|Muḥammad-Karím|</v>
      </c>
      <c r="J2681" s="3" t="str">
        <f t="shared" si="289"/>
        <v>|Muhammad-Karim|</v>
      </c>
      <c r="K2681" s="3" t="str">
        <f t="shared" si="290"/>
        <v>Muhammad-Karim</v>
      </c>
      <c r="N2681" s="39" t="str">
        <f t="shared" si="291"/>
        <v/>
      </c>
      <c r="P2681" s="39" t="str">
        <f t="shared" si="292"/>
        <v/>
      </c>
      <c r="R2681" s="39" t="str">
        <f t="shared" si="293"/>
        <v/>
      </c>
      <c r="S2681" s="28"/>
      <c r="T2681" s="28"/>
      <c r="U2681" s="28"/>
    </row>
    <row r="2682" spans="1:21" s="5" customFormat="1">
      <c r="A2682" s="179" t="s">
        <v>3189</v>
      </c>
      <c r="B2682" s="185" t="s">
        <v>7205</v>
      </c>
      <c r="C2682" s="35" t="str">
        <f t="shared" si="287"/>
        <v>MuhammadKarimiAttar</v>
      </c>
      <c r="E2682" s="40"/>
      <c r="F2682" s="15"/>
      <c r="G2682" s="17"/>
      <c r="H2682" s="10" t="s">
        <v>8563</v>
      </c>
      <c r="I2682" s="4" t="str">
        <f t="shared" si="288"/>
        <v>|Muḥammad-Karím-i-ʿAṭṭár|</v>
      </c>
      <c r="J2682" s="3" t="str">
        <f t="shared" si="289"/>
        <v>|Muhammad-Karim-i-'Attar|</v>
      </c>
      <c r="K2682" s="3" t="str">
        <f t="shared" si="290"/>
        <v>Muhammad-Karim-i-Attar</v>
      </c>
      <c r="N2682" s="39" t="str">
        <f t="shared" si="291"/>
        <v/>
      </c>
      <c r="P2682" s="39" t="str">
        <f t="shared" si="292"/>
        <v/>
      </c>
      <c r="R2682" s="39" t="str">
        <f t="shared" si="293"/>
        <v/>
      </c>
      <c r="S2682" s="28"/>
      <c r="T2682" s="28"/>
      <c r="U2682" s="28"/>
    </row>
    <row r="2683" spans="1:21" s="5" customFormat="1">
      <c r="A2683" s="179" t="s">
        <v>3190</v>
      </c>
      <c r="B2683" s="185" t="s">
        <v>7206</v>
      </c>
      <c r="C2683" s="35" t="str">
        <f t="shared" si="287"/>
        <v>MuhammadKazim</v>
      </c>
      <c r="E2683" s="40"/>
      <c r="F2683" s="15"/>
      <c r="G2683" s="17"/>
      <c r="H2683" s="10" t="s">
        <v>8563</v>
      </c>
      <c r="I2683" s="4" t="str">
        <f t="shared" si="288"/>
        <v>|Muḥammad-Káẓim|</v>
      </c>
      <c r="J2683" s="3" t="str">
        <f t="shared" si="289"/>
        <v>|Muhammad-Kazim|</v>
      </c>
      <c r="K2683" s="3" t="str">
        <f t="shared" si="290"/>
        <v>Muhammad-Kazim</v>
      </c>
      <c r="N2683" s="39" t="str">
        <f t="shared" si="291"/>
        <v/>
      </c>
      <c r="P2683" s="39" t="str">
        <f t="shared" si="292"/>
        <v/>
      </c>
      <c r="R2683" s="39" t="str">
        <f t="shared" si="293"/>
        <v/>
      </c>
      <c r="S2683" s="28"/>
      <c r="T2683" s="28"/>
      <c r="U2683" s="28"/>
    </row>
    <row r="2684" spans="1:21" s="5" customFormat="1">
      <c r="A2684" s="179" t="s">
        <v>3191</v>
      </c>
      <c r="B2684" s="185" t="s">
        <v>7207</v>
      </c>
      <c r="C2684" s="35" t="str">
        <f t="shared" si="287"/>
        <v>MuhammadMahvalatiyiDughAbadi</v>
      </c>
      <c r="E2684" s="40"/>
      <c r="F2684" s="15"/>
      <c r="G2684" s="17"/>
      <c r="H2684" s="10" t="s">
        <v>8563</v>
      </c>
      <c r="I2684" s="4" t="str">
        <f t="shared" si="288"/>
        <v>|Muḥammad-Mahvalatiy-i-Dú-Ábádí|</v>
      </c>
      <c r="J2684" s="3" t="str">
        <f t="shared" si="289"/>
        <v>|Muhammad-Mahvalatiy-i-Dugh-Abadi|</v>
      </c>
      <c r="K2684" s="3" t="str">
        <f t="shared" si="290"/>
        <v>Muhammad-Mahvalatiy-i-Dugh-Abadi</v>
      </c>
      <c r="N2684" s="39" t="str">
        <f t="shared" si="291"/>
        <v/>
      </c>
      <c r="P2684" s="39" t="str">
        <f t="shared" si="292"/>
        <v/>
      </c>
      <c r="R2684" s="39" t="str">
        <f t="shared" si="293"/>
        <v/>
      </c>
      <c r="S2684" s="28"/>
      <c r="T2684" s="28"/>
      <c r="U2684" s="28"/>
    </row>
    <row r="2685" spans="1:21" s="5" customFormat="1">
      <c r="A2685" s="179" t="s">
        <v>3192</v>
      </c>
      <c r="B2685" s="185" t="s">
        <v>7208</v>
      </c>
      <c r="C2685" s="35" t="str">
        <f t="shared" si="287"/>
        <v>MuhammadMihdi</v>
      </c>
      <c r="E2685" s="40"/>
      <c r="F2685" s="14"/>
      <c r="G2685" s="17"/>
      <c r="H2685" s="10" t="s">
        <v>8563</v>
      </c>
      <c r="I2685" s="4" t="str">
        <f t="shared" si="288"/>
        <v>|Muḥammad-Mihdí|</v>
      </c>
      <c r="J2685" s="3" t="str">
        <f t="shared" si="289"/>
        <v>|Muhammad-Mihdi|</v>
      </c>
      <c r="K2685" s="3" t="str">
        <f t="shared" si="290"/>
        <v>Muhammad-Mihdi</v>
      </c>
      <c r="N2685" s="39" t="str">
        <f t="shared" si="291"/>
        <v/>
      </c>
      <c r="P2685" s="39" t="str">
        <f t="shared" si="292"/>
        <v/>
      </c>
      <c r="R2685" s="39" t="str">
        <f t="shared" si="293"/>
        <v/>
      </c>
      <c r="S2685" s="28"/>
      <c r="T2685" s="28"/>
      <c r="U2685" s="28"/>
    </row>
    <row r="2686" spans="1:21" s="5" customFormat="1">
      <c r="A2686" s="179" t="s">
        <v>3193</v>
      </c>
      <c r="B2686" s="185" t="s">
        <v>7209</v>
      </c>
      <c r="C2686" s="35" t="str">
        <f t="shared" si="287"/>
        <v>MuhammadMihdiyiKandi</v>
      </c>
      <c r="E2686" s="40"/>
      <c r="F2686" s="14"/>
      <c r="G2686" s="17"/>
      <c r="H2686" s="10" t="s">
        <v>8563</v>
      </c>
      <c r="I2686" s="4" t="str">
        <f t="shared" si="288"/>
        <v>|Muḥammad-Mihdíy-i-Kandí|</v>
      </c>
      <c r="J2686" s="3" t="str">
        <f t="shared" si="289"/>
        <v>|Muhammad-Mihdiy-i-Kandi|</v>
      </c>
      <c r="K2686" s="3" t="str">
        <f t="shared" si="290"/>
        <v>Muhammad-Mihdiy-i-Kandi</v>
      </c>
      <c r="N2686" s="39" t="str">
        <f t="shared" si="291"/>
        <v/>
      </c>
      <c r="P2686" s="39" t="str">
        <f t="shared" si="292"/>
        <v/>
      </c>
      <c r="R2686" s="39" t="str">
        <f t="shared" si="293"/>
        <v/>
      </c>
      <c r="S2686" s="28"/>
      <c r="T2686" s="28"/>
      <c r="U2686" s="28"/>
    </row>
    <row r="2687" spans="1:21" s="5" customFormat="1">
      <c r="A2687" s="179" t="s">
        <v>3194</v>
      </c>
      <c r="B2687" s="185" t="s">
        <v>7210</v>
      </c>
      <c r="C2687" s="35" t="str">
        <f t="shared" si="287"/>
        <v>MuhammadMusa</v>
      </c>
      <c r="E2687" s="40"/>
      <c r="F2687" s="14"/>
      <c r="G2687" s="17"/>
      <c r="H2687" s="10" t="s">
        <v>8563</v>
      </c>
      <c r="I2687" s="4" t="str">
        <f t="shared" si="288"/>
        <v>|Muḥammad-Músá|</v>
      </c>
      <c r="J2687" s="3" t="str">
        <f t="shared" si="289"/>
        <v>|Muhammad-Musa|</v>
      </c>
      <c r="K2687" s="3" t="str">
        <f t="shared" si="290"/>
        <v>Muhammad-Musa</v>
      </c>
      <c r="N2687" s="39" t="str">
        <f t="shared" si="291"/>
        <v/>
      </c>
      <c r="P2687" s="39" t="str">
        <f t="shared" si="292"/>
        <v/>
      </c>
      <c r="R2687" s="39" t="str">
        <f t="shared" si="293"/>
        <v/>
      </c>
      <c r="S2687" s="28"/>
      <c r="T2687" s="28"/>
      <c r="U2687" s="28"/>
    </row>
    <row r="2688" spans="1:21" s="5" customFormat="1">
      <c r="A2688" s="179" t="s">
        <v>3195</v>
      </c>
      <c r="B2688" s="185" t="s">
        <v>7211</v>
      </c>
      <c r="C2688" s="35" t="str">
        <f t="shared" si="287"/>
        <v>MuhammadMustafa</v>
      </c>
      <c r="E2688" s="40" t="s">
        <v>9115</v>
      </c>
      <c r="F2688" s="14"/>
      <c r="G2688" s="17"/>
      <c r="H2688" s="10" t="s">
        <v>8563</v>
      </c>
      <c r="I2688" s="4" t="str">
        <f t="shared" si="288"/>
        <v>|Muḥammad-Muṣṭafá|</v>
      </c>
      <c r="J2688" s="3" t="str">
        <f t="shared" si="289"/>
        <v>|Muhammad-Mustafa|</v>
      </c>
      <c r="K2688" s="3" t="str">
        <f t="shared" si="290"/>
        <v>Muhammad-Mustafa</v>
      </c>
      <c r="N2688" s="39" t="str">
        <f t="shared" si="291"/>
        <v/>
      </c>
      <c r="P2688" s="39" t="str">
        <f t="shared" si="292"/>
        <v/>
      </c>
      <c r="R2688" s="39" t="str">
        <f t="shared" si="293"/>
        <v/>
      </c>
      <c r="S2688" s="28"/>
      <c r="T2688" s="28"/>
      <c r="U2688" s="28"/>
    </row>
    <row r="2689" spans="1:21" s="5" customFormat="1">
      <c r="A2689" s="179" t="s">
        <v>3196</v>
      </c>
      <c r="B2689" s="185" t="s">
        <v>7212</v>
      </c>
      <c r="C2689" s="35" t="str">
        <f t="shared" si="287"/>
        <v>MuhammadQuli</v>
      </c>
      <c r="E2689" s="40"/>
      <c r="F2689" s="14"/>
      <c r="G2689" s="17"/>
      <c r="H2689" s="10" t="s">
        <v>8563</v>
      </c>
      <c r="I2689" s="4" t="str">
        <f t="shared" si="288"/>
        <v>|Muḥammad-Qulí|</v>
      </c>
      <c r="J2689" s="3" t="str">
        <f t="shared" si="289"/>
        <v>|Muhammad-Quli|</v>
      </c>
      <c r="K2689" s="3" t="str">
        <f t="shared" si="290"/>
        <v>Muhammad-Quli</v>
      </c>
      <c r="N2689" s="39" t="str">
        <f t="shared" si="291"/>
        <v/>
      </c>
      <c r="P2689" s="39" t="str">
        <f t="shared" si="292"/>
        <v/>
      </c>
      <c r="R2689" s="39" t="str">
        <f t="shared" si="293"/>
        <v/>
      </c>
      <c r="S2689" s="28"/>
      <c r="T2689" s="28"/>
      <c r="U2689" s="28"/>
    </row>
    <row r="2690" spans="1:21" s="5" customFormat="1">
      <c r="A2690" s="179" t="s">
        <v>3197</v>
      </c>
      <c r="B2690" s="185" t="s">
        <v>7213</v>
      </c>
      <c r="C2690" s="35" t="str">
        <f t="shared" ref="C2690:C2753" si="294">SUBSTITUTE(SUBSTITUTE(K2690,"-","")," ","")</f>
        <v>MuhammadRahim</v>
      </c>
      <c r="E2690" s="40"/>
      <c r="F2690" s="14"/>
      <c r="G2690" s="17"/>
      <c r="H2690" s="10" t="s">
        <v>8563</v>
      </c>
      <c r="I2690" s="4" t="str">
        <f t="shared" ref="I2690:I2753" si="295">CONCATENATE("|",B2690,"|")</f>
        <v>|Muḥammad-Raḥím|</v>
      </c>
      <c r="J2690" s="3" t="str">
        <f t="shared" ref="J2690:J2753" si="296">CONCATENATE("|",F_OutputASCII(B2690),"|")</f>
        <v>|Muhammad-Rahim|</v>
      </c>
      <c r="K2690" s="3" t="str">
        <f t="shared" ref="K2690:K2753" si="297">IF(SUBSTITUTE(MID(J2690,2,LEN(J2690)-2),"'","")&lt;&gt;"",SUBSTITUTE(MID(J2690,2,LEN(J2690)-2),"'",""),"ZZZZZ")</f>
        <v>Muhammad-Rahim</v>
      </c>
      <c r="N2690" s="39" t="str">
        <f t="shared" si="291"/>
        <v/>
      </c>
      <c r="P2690" s="39" t="str">
        <f t="shared" si="292"/>
        <v/>
      </c>
      <c r="R2690" s="39" t="str">
        <f t="shared" si="293"/>
        <v/>
      </c>
      <c r="S2690" s="28"/>
      <c r="T2690" s="28"/>
      <c r="U2690" s="28"/>
    </row>
    <row r="2691" spans="1:21" s="5" customFormat="1">
      <c r="A2691" s="179" t="s">
        <v>3198</v>
      </c>
      <c r="B2691" s="185" t="s">
        <v>7214</v>
      </c>
      <c r="C2691" s="35" t="str">
        <f t="shared" si="294"/>
        <v>MuhammadRida</v>
      </c>
      <c r="E2691" s="40"/>
      <c r="F2691" s="14"/>
      <c r="G2691" s="17"/>
      <c r="H2691" s="10" t="s">
        <v>8563</v>
      </c>
      <c r="I2691" s="4" t="str">
        <f t="shared" si="295"/>
        <v>|Muḥammad-Riḍá|</v>
      </c>
      <c r="J2691" s="3" t="str">
        <f t="shared" si="296"/>
        <v>|Muhammad-Rida|</v>
      </c>
      <c r="K2691" s="3" t="str">
        <f t="shared" si="297"/>
        <v>Muhammad-Rida</v>
      </c>
      <c r="N2691" s="39" t="str">
        <f t="shared" ref="N2691:N2754" si="298">SUBSTITUTE(SUBSTITUTE(SUBSTITUTE(F_OutputASCII(M2691),"-","")," ",""),"'","")</f>
        <v/>
      </c>
      <c r="P2691" s="39" t="str">
        <f t="shared" ref="P2691:P2754" si="299">SUBSTITUTE(SUBSTITUTE(SUBSTITUTE(F_OutputASCII(O2691),"-","")," ",""),"'","")</f>
        <v/>
      </c>
      <c r="R2691" s="39" t="str">
        <f t="shared" ref="R2691:R2754" si="300">SUBSTITUTE(SUBSTITUTE(Q2691,"-","")," ","")</f>
        <v/>
      </c>
      <c r="S2691" s="28"/>
      <c r="T2691" s="28"/>
      <c r="U2691" s="28"/>
    </row>
    <row r="2692" spans="1:21" s="5" customFormat="1">
      <c r="A2692" s="179" t="s">
        <v>3199</v>
      </c>
      <c r="B2692" s="185" t="s">
        <v>7215</v>
      </c>
      <c r="C2692" s="35" t="str">
        <f t="shared" si="294"/>
        <v>MuhammadRidayiIsfahani</v>
      </c>
      <c r="E2692" s="40"/>
      <c r="F2692" s="15"/>
      <c r="G2692" s="17"/>
      <c r="H2692" s="10" t="s">
        <v>8563</v>
      </c>
      <c r="I2692" s="4" t="str">
        <f t="shared" si="295"/>
        <v>|Muḥammad-Riḍáy-i-Iṣfahání|</v>
      </c>
      <c r="J2692" s="3" t="str">
        <f t="shared" si="296"/>
        <v>|Muhammad-Riday-i-Isfahani|</v>
      </c>
      <c r="K2692" s="3" t="str">
        <f t="shared" si="297"/>
        <v>Muhammad-Riday-i-Isfahani</v>
      </c>
      <c r="N2692" s="39" t="str">
        <f t="shared" si="298"/>
        <v/>
      </c>
      <c r="P2692" s="39" t="str">
        <f t="shared" si="299"/>
        <v/>
      </c>
      <c r="R2692" s="39" t="str">
        <f t="shared" si="300"/>
        <v/>
      </c>
      <c r="S2692" s="28"/>
      <c r="T2692" s="28"/>
      <c r="U2692" s="28"/>
    </row>
    <row r="2693" spans="1:21" s="5" customFormat="1">
      <c r="A2693" s="179" t="s">
        <v>3200</v>
      </c>
      <c r="B2693" s="185" t="s">
        <v>7216</v>
      </c>
      <c r="C2693" s="35" t="str">
        <f t="shared" si="294"/>
        <v>MuhammadRidayiManshadi</v>
      </c>
      <c r="E2693" s="40"/>
      <c r="F2693" s="14"/>
      <c r="G2693" s="17"/>
      <c r="H2693" s="10" t="s">
        <v>8563</v>
      </c>
      <c r="I2693" s="4" t="str">
        <f t="shared" si="295"/>
        <v>|Muḥammad-Riḍáy-i-Manadí|</v>
      </c>
      <c r="J2693" s="3" t="str">
        <f t="shared" si="296"/>
        <v>|Muhammad-Riday-i-Manshadi|</v>
      </c>
      <c r="K2693" s="3" t="str">
        <f t="shared" si="297"/>
        <v>Muhammad-Riday-i-Manshadi</v>
      </c>
      <c r="N2693" s="39" t="str">
        <f t="shared" si="298"/>
        <v/>
      </c>
      <c r="P2693" s="39" t="str">
        <f t="shared" si="299"/>
        <v/>
      </c>
      <c r="R2693" s="39" t="str">
        <f t="shared" si="300"/>
        <v/>
      </c>
      <c r="S2693" s="28"/>
      <c r="T2693" s="28"/>
      <c r="U2693" s="28"/>
    </row>
    <row r="2694" spans="1:21" s="5" customFormat="1">
      <c r="A2694" s="179" t="s">
        <v>3201</v>
      </c>
      <c r="B2694" s="185" t="s">
        <v>7217</v>
      </c>
      <c r="C2694" s="35" t="str">
        <f t="shared" si="294"/>
        <v>MuhammadRidayiPaQalihʼi</v>
      </c>
      <c r="E2694" s="40"/>
      <c r="F2694" s="14"/>
      <c r="G2694" s="17"/>
      <c r="H2694" s="10" t="s">
        <v>8563</v>
      </c>
      <c r="I2694" s="4" t="str">
        <f t="shared" si="295"/>
        <v>|Muḥammad-Riḍáy-i-Pá-Qalʿihʼí|</v>
      </c>
      <c r="J2694" s="3" t="str">
        <f t="shared" si="296"/>
        <v>|Muhammad-Riday-i-Pa-Qal'ihʼi|</v>
      </c>
      <c r="K2694" s="3" t="str">
        <f t="shared" si="297"/>
        <v>Muhammad-Riday-i-Pa-Qalihʼi</v>
      </c>
      <c r="N2694" s="39" t="str">
        <f t="shared" si="298"/>
        <v/>
      </c>
      <c r="P2694" s="39" t="str">
        <f t="shared" si="299"/>
        <v/>
      </c>
      <c r="R2694" s="39" t="str">
        <f t="shared" si="300"/>
        <v/>
      </c>
      <c r="S2694" s="28"/>
      <c r="T2694" s="28"/>
      <c r="U2694" s="28"/>
    </row>
    <row r="2695" spans="1:21" s="5" customFormat="1">
      <c r="A2695" s="179" t="s">
        <v>3202</v>
      </c>
      <c r="B2695" s="185" t="s">
        <v>7218</v>
      </c>
      <c r="C2695" s="35" t="str">
        <f t="shared" si="294"/>
        <v>MuhammadRidayiQannadiShirazi</v>
      </c>
      <c r="E2695" s="40"/>
      <c r="F2695" s="15"/>
      <c r="G2695" s="17"/>
      <c r="H2695" s="10" t="s">
        <v>8563</v>
      </c>
      <c r="I2695" s="4" t="str">
        <f t="shared" si="295"/>
        <v>|Muḥammad-Riḍáy-i-Qannád-i-írází|</v>
      </c>
      <c r="J2695" s="3" t="str">
        <f t="shared" si="296"/>
        <v>|Muhammad-Riday-i-Qannad-i-Shirazi|</v>
      </c>
      <c r="K2695" s="3" t="str">
        <f t="shared" si="297"/>
        <v>Muhammad-Riday-i-Qannad-i-Shirazi</v>
      </c>
      <c r="N2695" s="39" t="str">
        <f t="shared" si="298"/>
        <v/>
      </c>
      <c r="P2695" s="39" t="str">
        <f t="shared" si="299"/>
        <v/>
      </c>
      <c r="R2695" s="39" t="str">
        <f t="shared" si="300"/>
        <v/>
      </c>
      <c r="S2695" s="28"/>
      <c r="T2695" s="28"/>
      <c r="U2695" s="28"/>
    </row>
    <row r="2696" spans="1:21" s="5" customFormat="1">
      <c r="A2696" s="179" t="s">
        <v>3203</v>
      </c>
      <c r="B2696" s="185" t="s">
        <v>7219</v>
      </c>
      <c r="C2696" s="35" t="str">
        <f t="shared" si="294"/>
        <v>MuhammadRidayiShirazi</v>
      </c>
      <c r="E2696" s="40"/>
      <c r="F2696" s="14"/>
      <c r="G2696" s="17"/>
      <c r="H2696" s="10" t="s">
        <v>8563</v>
      </c>
      <c r="I2696" s="4" t="str">
        <f t="shared" si="295"/>
        <v>|Muḥammad-Riḍáy-i-írází|</v>
      </c>
      <c r="J2696" s="3" t="str">
        <f t="shared" si="296"/>
        <v>|Muhammad-Riday-i-Shirazi|</v>
      </c>
      <c r="K2696" s="3" t="str">
        <f t="shared" si="297"/>
        <v>Muhammad-Riday-i-Shirazi</v>
      </c>
      <c r="N2696" s="39" t="str">
        <f t="shared" si="298"/>
        <v/>
      </c>
      <c r="P2696" s="39" t="str">
        <f t="shared" si="299"/>
        <v/>
      </c>
      <c r="R2696" s="39" t="str">
        <f t="shared" si="300"/>
        <v/>
      </c>
      <c r="S2696" s="28"/>
      <c r="T2696" s="28"/>
      <c r="U2696" s="28"/>
    </row>
    <row r="2697" spans="1:21" s="5" customFormat="1">
      <c r="A2697" s="179" t="s">
        <v>3204</v>
      </c>
      <c r="B2697" s="185" t="s">
        <v>7220</v>
      </c>
      <c r="C2697" s="35" t="str">
        <f t="shared" si="294"/>
        <v>MuhammadRidayiYazdi</v>
      </c>
      <c r="E2697" s="40"/>
      <c r="F2697" s="14"/>
      <c r="G2697" s="17"/>
      <c r="H2697" s="10" t="s">
        <v>8563</v>
      </c>
      <c r="I2697" s="4" t="str">
        <f t="shared" si="295"/>
        <v>|Muḥammad-Riḍáy-i-Yazdí|</v>
      </c>
      <c r="J2697" s="3" t="str">
        <f t="shared" si="296"/>
        <v>|Muhammad-Riday-i-Yazdi|</v>
      </c>
      <c r="K2697" s="3" t="str">
        <f t="shared" si="297"/>
        <v>Muhammad-Riday-i-Yazdi</v>
      </c>
      <c r="N2697" s="39" t="str">
        <f t="shared" si="298"/>
        <v/>
      </c>
      <c r="P2697" s="39" t="str">
        <f t="shared" si="299"/>
        <v/>
      </c>
      <c r="R2697" s="39" t="str">
        <f t="shared" si="300"/>
        <v/>
      </c>
      <c r="S2697" s="28"/>
      <c r="T2697" s="28"/>
      <c r="U2697" s="28"/>
    </row>
    <row r="2698" spans="1:21" s="5" customFormat="1">
      <c r="A2698" s="179"/>
      <c r="B2698" s="185" t="s">
        <v>9106</v>
      </c>
      <c r="C2698" s="35" t="str">
        <f t="shared" si="294"/>
        <v>Muhammads</v>
      </c>
      <c r="D2698" s="5" t="s">
        <v>59</v>
      </c>
      <c r="E2698" s="40"/>
      <c r="F2698" s="15"/>
      <c r="G2698" s="17"/>
      <c r="H2698" s="10"/>
      <c r="I2698" s="4" t="str">
        <f t="shared" si="295"/>
        <v>|Muḥammads|</v>
      </c>
      <c r="J2698" s="3" t="str">
        <f t="shared" si="296"/>
        <v>|Muhammads|</v>
      </c>
      <c r="K2698" s="3" t="str">
        <f t="shared" si="297"/>
        <v>Muhammads</v>
      </c>
      <c r="L2698" s="1"/>
      <c r="N2698" s="39" t="str">
        <f t="shared" si="298"/>
        <v/>
      </c>
      <c r="P2698" s="39" t="str">
        <f t="shared" si="299"/>
        <v/>
      </c>
      <c r="R2698" s="39" t="str">
        <f t="shared" si="300"/>
        <v/>
      </c>
      <c r="S2698" s="29">
        <v>41781</v>
      </c>
      <c r="T2698" s="29">
        <v>41801</v>
      </c>
      <c r="U2698" s="28" t="s">
        <v>9460</v>
      </c>
    </row>
    <row r="2699" spans="1:21" s="5" customFormat="1">
      <c r="A2699" s="179" t="s">
        <v>3205</v>
      </c>
      <c r="B2699" s="185" t="s">
        <v>7221</v>
      </c>
      <c r="C2699" s="35" t="str">
        <f t="shared" si="294"/>
        <v>MuhammadSadiq</v>
      </c>
      <c r="E2699" s="40"/>
      <c r="F2699" s="14"/>
      <c r="G2699" s="17"/>
      <c r="H2699" s="10" t="s">
        <v>8563</v>
      </c>
      <c r="I2699" s="4" t="str">
        <f t="shared" si="295"/>
        <v>|Muḥammad-Ṣádiq|</v>
      </c>
      <c r="J2699" s="3" t="str">
        <f t="shared" si="296"/>
        <v>|Muhammad-Sadiq|</v>
      </c>
      <c r="K2699" s="3" t="str">
        <f t="shared" si="297"/>
        <v>Muhammad-Sadiq</v>
      </c>
      <c r="N2699" s="39" t="str">
        <f t="shared" si="298"/>
        <v/>
      </c>
      <c r="P2699" s="39" t="str">
        <f t="shared" si="299"/>
        <v/>
      </c>
      <c r="R2699" s="39" t="str">
        <f t="shared" si="300"/>
        <v/>
      </c>
      <c r="S2699" s="28"/>
      <c r="T2699" s="28"/>
      <c r="U2699" s="28"/>
    </row>
    <row r="2700" spans="1:21" s="5" customFormat="1">
      <c r="A2700" s="179" t="s">
        <v>3206</v>
      </c>
      <c r="B2700" s="185" t="s">
        <v>7222</v>
      </c>
      <c r="C2700" s="35" t="str">
        <f t="shared" si="294"/>
        <v>MuhammadSadiqiKhurasani</v>
      </c>
      <c r="E2700" s="40"/>
      <c r="F2700" s="14"/>
      <c r="G2700" s="17"/>
      <c r="H2700" s="10" t="s">
        <v>8563</v>
      </c>
      <c r="I2700" s="4" t="str">
        <f t="shared" si="295"/>
        <v>|Muḥammad-Ṣádiq-i-urásání|</v>
      </c>
      <c r="J2700" s="3" t="str">
        <f t="shared" si="296"/>
        <v>|Muhammad-Sadiq-i-Khurasani|</v>
      </c>
      <c r="K2700" s="3" t="str">
        <f t="shared" si="297"/>
        <v>Muhammad-Sadiq-i-Khurasani</v>
      </c>
      <c r="N2700" s="39" t="str">
        <f t="shared" si="298"/>
        <v/>
      </c>
      <c r="P2700" s="39" t="str">
        <f t="shared" si="299"/>
        <v/>
      </c>
      <c r="R2700" s="39" t="str">
        <f t="shared" si="300"/>
        <v/>
      </c>
      <c r="S2700" s="28"/>
      <c r="T2700" s="28"/>
      <c r="U2700" s="28"/>
    </row>
    <row r="2701" spans="1:21" s="5" customFormat="1">
      <c r="A2701" s="179" t="s">
        <v>3207</v>
      </c>
      <c r="B2701" s="185" t="s">
        <v>7223</v>
      </c>
      <c r="C2701" s="35" t="str">
        <f t="shared" si="294"/>
        <v>MuhammadSadiqiMuqaddas</v>
      </c>
      <c r="E2701" s="40"/>
      <c r="F2701" s="14"/>
      <c r="G2701" s="17"/>
      <c r="H2701" s="10" t="s">
        <v>8563</v>
      </c>
      <c r="I2701" s="4" t="str">
        <f t="shared" si="295"/>
        <v>|Muḥammad-Ṣádiq-i-Muqaddas|</v>
      </c>
      <c r="J2701" s="3" t="str">
        <f t="shared" si="296"/>
        <v>|Muhammad-Sadiq-i-Muqaddas|</v>
      </c>
      <c r="K2701" s="3" t="str">
        <f t="shared" si="297"/>
        <v>Muhammad-Sadiq-i-Muqaddas</v>
      </c>
      <c r="N2701" s="39" t="str">
        <f t="shared" si="298"/>
        <v/>
      </c>
      <c r="P2701" s="39" t="str">
        <f t="shared" si="299"/>
        <v/>
      </c>
      <c r="R2701" s="39" t="str">
        <f t="shared" si="300"/>
        <v/>
      </c>
      <c r="S2701" s="28"/>
      <c r="T2701" s="28"/>
      <c r="U2701" s="28"/>
    </row>
    <row r="2702" spans="1:21" s="5" customFormat="1">
      <c r="A2702" s="179" t="s">
        <v>3208</v>
      </c>
      <c r="B2702" s="185" t="s">
        <v>7224</v>
      </c>
      <c r="C2702" s="35" t="str">
        <f t="shared" si="294"/>
        <v>MuhammadSaid</v>
      </c>
      <c r="E2702" s="40"/>
      <c r="F2702" s="14"/>
      <c r="G2702" s="17"/>
      <c r="H2702" s="10" t="s">
        <v>8563</v>
      </c>
      <c r="I2702" s="4" t="str">
        <f t="shared" si="295"/>
        <v>|Muḥammad-Saʿíd|</v>
      </c>
      <c r="J2702" s="3" t="str">
        <f t="shared" si="296"/>
        <v>|Muhammad-Sa'id|</v>
      </c>
      <c r="K2702" s="3" t="str">
        <f t="shared" si="297"/>
        <v>Muhammad-Said</v>
      </c>
      <c r="N2702" s="39" t="str">
        <f t="shared" si="298"/>
        <v/>
      </c>
      <c r="P2702" s="39" t="str">
        <f t="shared" si="299"/>
        <v/>
      </c>
      <c r="R2702" s="39" t="str">
        <f t="shared" si="300"/>
        <v/>
      </c>
      <c r="S2702" s="28"/>
      <c r="T2702" s="28"/>
      <c r="U2702" s="28"/>
    </row>
    <row r="2703" spans="1:21" s="5" customFormat="1">
      <c r="A2703" s="181"/>
      <c r="B2703" s="186" t="s">
        <v>8737</v>
      </c>
      <c r="C2703" s="35" t="str">
        <f t="shared" si="294"/>
        <v>MuhammadShahs</v>
      </c>
      <c r="D2703" s="1" t="s">
        <v>59</v>
      </c>
      <c r="E2703" s="40" t="s">
        <v>9115</v>
      </c>
      <c r="F2703" s="12"/>
      <c r="G2703" s="9" t="s">
        <v>9504</v>
      </c>
      <c r="H2703" s="12" t="s">
        <v>8622</v>
      </c>
      <c r="I2703" s="4" t="str">
        <f t="shared" si="295"/>
        <v>|Muḥammad-áhs|</v>
      </c>
      <c r="J2703" s="3" t="str">
        <f t="shared" si="296"/>
        <v>|Muhammad-Shahs|</v>
      </c>
      <c r="K2703" s="3" t="str">
        <f t="shared" si="297"/>
        <v>Muhammad-Shahs</v>
      </c>
      <c r="N2703" s="39" t="str">
        <f t="shared" si="298"/>
        <v/>
      </c>
      <c r="P2703" s="39" t="str">
        <f t="shared" si="299"/>
        <v/>
      </c>
      <c r="R2703" s="39" t="str">
        <f t="shared" si="300"/>
        <v/>
      </c>
      <c r="S2703" s="28"/>
      <c r="T2703" s="28"/>
      <c r="U2703" s="28"/>
    </row>
    <row r="2704" spans="1:21" s="5" customFormat="1">
      <c r="A2704" s="179" t="s">
        <v>3209</v>
      </c>
      <c r="B2704" s="185" t="s">
        <v>7225</v>
      </c>
      <c r="C2704" s="35" t="str">
        <f t="shared" si="294"/>
        <v>MuhammadSultan</v>
      </c>
      <c r="E2704" s="40"/>
      <c r="F2704" s="14"/>
      <c r="G2704" s="17"/>
      <c r="H2704" s="10" t="s">
        <v>8563</v>
      </c>
      <c r="I2704" s="4" t="str">
        <f t="shared" si="295"/>
        <v>|Muḥammad-Sulṭán|</v>
      </c>
      <c r="J2704" s="3" t="str">
        <f t="shared" si="296"/>
        <v>|Muhammad-Sultan|</v>
      </c>
      <c r="K2704" s="3" t="str">
        <f t="shared" si="297"/>
        <v>Muhammad-Sultan</v>
      </c>
      <c r="N2704" s="39" t="str">
        <f t="shared" si="298"/>
        <v/>
      </c>
      <c r="P2704" s="39" t="str">
        <f t="shared" si="299"/>
        <v/>
      </c>
      <c r="R2704" s="39" t="str">
        <f t="shared" si="300"/>
        <v/>
      </c>
      <c r="S2704" s="28"/>
      <c r="T2704" s="28"/>
      <c r="U2704" s="28"/>
    </row>
    <row r="2705" spans="1:21" s="5" customFormat="1">
      <c r="A2705" s="179" t="s">
        <v>3210</v>
      </c>
      <c r="B2705" s="185" t="s">
        <v>7226</v>
      </c>
      <c r="C2705" s="35" t="str">
        <f t="shared" si="294"/>
        <v>MuhammadTaqi</v>
      </c>
      <c r="E2705" s="40"/>
      <c r="F2705" s="14"/>
      <c r="G2705" s="17"/>
      <c r="H2705" s="10" t="s">
        <v>8563</v>
      </c>
      <c r="I2705" s="4" t="str">
        <f t="shared" si="295"/>
        <v>|Muḥammad-Taqí|</v>
      </c>
      <c r="J2705" s="3" t="str">
        <f t="shared" si="296"/>
        <v>|Muhammad-Taqi|</v>
      </c>
      <c r="K2705" s="3" t="str">
        <f t="shared" si="297"/>
        <v>Muhammad-Taqi</v>
      </c>
      <c r="N2705" s="39" t="str">
        <f t="shared" si="298"/>
        <v/>
      </c>
      <c r="P2705" s="39" t="str">
        <f t="shared" si="299"/>
        <v/>
      </c>
      <c r="R2705" s="39" t="str">
        <f t="shared" si="300"/>
        <v/>
      </c>
      <c r="S2705" s="28"/>
      <c r="T2705" s="28"/>
      <c r="U2705" s="28"/>
    </row>
    <row r="2706" spans="1:21" s="5" customFormat="1">
      <c r="A2706" s="179" t="s">
        <v>3211</v>
      </c>
      <c r="B2706" s="185" t="s">
        <v>7227</v>
      </c>
      <c r="C2706" s="35" t="str">
        <f t="shared" si="294"/>
        <v>MuhammadTaqiyiHaravi</v>
      </c>
      <c r="E2706" s="40"/>
      <c r="F2706" s="14"/>
      <c r="G2706" s="17"/>
      <c r="H2706" s="10" t="s">
        <v>8563</v>
      </c>
      <c r="I2706" s="4" t="str">
        <f t="shared" si="295"/>
        <v>|Muḥammad-Taqíy-i-Haraví|</v>
      </c>
      <c r="J2706" s="3" t="str">
        <f t="shared" si="296"/>
        <v>|Muhammad-Taqiy-i-Haravi|</v>
      </c>
      <c r="K2706" s="3" t="str">
        <f t="shared" si="297"/>
        <v>Muhammad-Taqiy-i-Haravi</v>
      </c>
      <c r="N2706" s="39" t="str">
        <f t="shared" si="298"/>
        <v/>
      </c>
      <c r="P2706" s="39" t="str">
        <f t="shared" si="299"/>
        <v/>
      </c>
      <c r="R2706" s="39" t="str">
        <f t="shared" si="300"/>
        <v/>
      </c>
      <c r="S2706" s="28"/>
      <c r="T2706" s="28"/>
      <c r="U2706" s="28"/>
    </row>
    <row r="2707" spans="1:21" s="5" customFormat="1">
      <c r="A2707" s="179" t="s">
        <v>3212</v>
      </c>
      <c r="B2707" s="185" t="s">
        <v>7228</v>
      </c>
      <c r="C2707" s="35" t="str">
        <f t="shared" si="294"/>
        <v>MuhammadTaqiyiHirati</v>
      </c>
      <c r="E2707" s="40"/>
      <c r="F2707" s="15"/>
      <c r="G2707" s="17"/>
      <c r="H2707" s="10" t="s">
        <v>8563</v>
      </c>
      <c r="I2707" s="4" t="str">
        <f t="shared" si="295"/>
        <v>|Muḥammad-Taqíy-i-Hirátí|</v>
      </c>
      <c r="J2707" s="3" t="str">
        <f t="shared" si="296"/>
        <v>|Muhammad-Taqiy-i-Hirati|</v>
      </c>
      <c r="K2707" s="3" t="str">
        <f t="shared" si="297"/>
        <v>Muhammad-Taqiy-i-Hirati</v>
      </c>
      <c r="N2707" s="39" t="str">
        <f t="shared" si="298"/>
        <v/>
      </c>
      <c r="P2707" s="39" t="str">
        <f t="shared" si="299"/>
        <v/>
      </c>
      <c r="R2707" s="39" t="str">
        <f t="shared" si="300"/>
        <v/>
      </c>
      <c r="S2707" s="28"/>
      <c r="T2707" s="28"/>
      <c r="U2707" s="28"/>
    </row>
    <row r="2708" spans="1:21" s="5" customFormat="1">
      <c r="A2708" s="179" t="s">
        <v>3213</v>
      </c>
      <c r="B2708" s="185" t="s">
        <v>7229</v>
      </c>
      <c r="C2708" s="35" t="str">
        <f t="shared" si="294"/>
        <v>MuhammadTaqiyiJuvayni</v>
      </c>
      <c r="E2708" s="40"/>
      <c r="F2708" s="14"/>
      <c r="G2708" s="17"/>
      <c r="H2708" s="10" t="s">
        <v>8563</v>
      </c>
      <c r="I2708" s="4" t="str">
        <f t="shared" si="295"/>
        <v>|Muḥammad-Taqíy-i-Juvayní|</v>
      </c>
      <c r="J2708" s="3" t="str">
        <f t="shared" si="296"/>
        <v>|Muhammad-Taqiy-i-Juvayni|</v>
      </c>
      <c r="K2708" s="3" t="str">
        <f t="shared" si="297"/>
        <v>Muhammad-Taqiy-i-Juvayni</v>
      </c>
      <c r="N2708" s="39" t="str">
        <f t="shared" si="298"/>
        <v/>
      </c>
      <c r="P2708" s="39" t="str">
        <f t="shared" si="299"/>
        <v/>
      </c>
      <c r="R2708" s="39" t="str">
        <f t="shared" si="300"/>
        <v/>
      </c>
      <c r="S2708" s="28"/>
      <c r="T2708" s="28"/>
      <c r="U2708" s="28"/>
    </row>
    <row r="2709" spans="1:21" s="5" customFormat="1">
      <c r="A2709" s="179" t="s">
        <v>3214</v>
      </c>
      <c r="B2709" s="185" t="s">
        <v>7230</v>
      </c>
      <c r="C2709" s="35" t="str">
        <f t="shared" si="294"/>
        <v>MuhammadTaqiyiJuvayniyiSabzivari</v>
      </c>
      <c r="E2709" s="40"/>
      <c r="F2709" s="15"/>
      <c r="G2709" s="17"/>
      <c r="H2709" s="10" t="s">
        <v>8563</v>
      </c>
      <c r="I2709" s="4" t="str">
        <f t="shared" si="295"/>
        <v>|Muḥammad-Taqíy-i-Juvayníy-i-Sabzivárí|</v>
      </c>
      <c r="J2709" s="3" t="str">
        <f t="shared" si="296"/>
        <v>|Muhammad-Taqiy-i-Juvayniy-i-Sabzivari|</v>
      </c>
      <c r="K2709" s="3" t="str">
        <f t="shared" si="297"/>
        <v>Muhammad-Taqiy-i-Juvayniy-i-Sabzivari</v>
      </c>
      <c r="N2709" s="39" t="str">
        <f t="shared" si="298"/>
        <v/>
      </c>
      <c r="P2709" s="39" t="str">
        <f t="shared" si="299"/>
        <v/>
      </c>
      <c r="R2709" s="39" t="str">
        <f t="shared" si="300"/>
        <v/>
      </c>
      <c r="S2709" s="28"/>
      <c r="T2709" s="28"/>
      <c r="U2709" s="28"/>
    </row>
    <row r="2710" spans="1:21" s="5" customFormat="1">
      <c r="A2710" s="179" t="s">
        <v>3215</v>
      </c>
      <c r="B2710" s="185" t="s">
        <v>7231</v>
      </c>
      <c r="C2710" s="35" t="str">
        <f t="shared" si="294"/>
        <v>MuhammadTaqiyiKirmani</v>
      </c>
      <c r="E2710" s="40"/>
      <c r="F2710" s="14"/>
      <c r="G2710" s="17"/>
      <c r="H2710" s="10" t="s">
        <v>8563</v>
      </c>
      <c r="I2710" s="4" t="str">
        <f t="shared" si="295"/>
        <v>|Muḥammad-Taqíy-i-Kirmání|</v>
      </c>
      <c r="J2710" s="3" t="str">
        <f t="shared" si="296"/>
        <v>|Muhammad-Taqiy-i-Kirmani|</v>
      </c>
      <c r="K2710" s="3" t="str">
        <f t="shared" si="297"/>
        <v>Muhammad-Taqiy-i-Kirmani</v>
      </c>
      <c r="N2710" s="39" t="str">
        <f t="shared" si="298"/>
        <v/>
      </c>
      <c r="P2710" s="39" t="str">
        <f t="shared" si="299"/>
        <v/>
      </c>
      <c r="R2710" s="39" t="str">
        <f t="shared" si="300"/>
        <v/>
      </c>
      <c r="S2710" s="28"/>
      <c r="T2710" s="28"/>
      <c r="U2710" s="28"/>
    </row>
    <row r="2711" spans="1:21" s="5" customFormat="1">
      <c r="A2711" s="179" t="s">
        <v>3216</v>
      </c>
      <c r="B2711" s="185" t="s">
        <v>7232</v>
      </c>
      <c r="C2711" s="35" t="str">
        <f t="shared" si="294"/>
        <v>MuhammadTaqiyiMilani</v>
      </c>
      <c r="E2711" s="40"/>
      <c r="F2711" s="14"/>
      <c r="G2711" s="17"/>
      <c r="H2711" s="10" t="s">
        <v>8563</v>
      </c>
      <c r="I2711" s="4" t="str">
        <f t="shared" si="295"/>
        <v>|Muḥammad-Taqíy-i-Milání|</v>
      </c>
      <c r="J2711" s="3" t="str">
        <f t="shared" si="296"/>
        <v>|Muhammad-Taqiy-i-Milani|</v>
      </c>
      <c r="K2711" s="3" t="str">
        <f t="shared" si="297"/>
        <v>Muhammad-Taqiy-i-Milani</v>
      </c>
      <c r="N2711" s="39" t="str">
        <f t="shared" si="298"/>
        <v/>
      </c>
      <c r="P2711" s="39" t="str">
        <f t="shared" si="299"/>
        <v/>
      </c>
      <c r="R2711" s="39" t="str">
        <f t="shared" si="300"/>
        <v/>
      </c>
      <c r="S2711" s="28"/>
      <c r="T2711" s="28"/>
      <c r="U2711" s="28"/>
    </row>
    <row r="2712" spans="1:21" s="5" customFormat="1">
      <c r="A2712" s="179" t="s">
        <v>3217</v>
      </c>
      <c r="B2712" s="185" t="s">
        <v>7233</v>
      </c>
      <c r="C2712" s="35" t="str">
        <f t="shared" si="294"/>
        <v>MuhammadTaqiyiNajafi</v>
      </c>
      <c r="E2712" s="40"/>
      <c r="F2712" s="14"/>
      <c r="G2712" s="17"/>
      <c r="H2712" s="10" t="s">
        <v>8563</v>
      </c>
      <c r="I2712" s="4" t="str">
        <f t="shared" si="295"/>
        <v>|Muḥammad-Taqíy-i-Najafí|</v>
      </c>
      <c r="J2712" s="3" t="str">
        <f t="shared" si="296"/>
        <v>|Muhammad-Taqiy-i-Najafi|</v>
      </c>
      <c r="K2712" s="3" t="str">
        <f t="shared" si="297"/>
        <v>Muhammad-Taqiy-i-Najafi</v>
      </c>
      <c r="N2712" s="39" t="str">
        <f t="shared" si="298"/>
        <v/>
      </c>
      <c r="P2712" s="39" t="str">
        <f t="shared" si="299"/>
        <v/>
      </c>
      <c r="R2712" s="39" t="str">
        <f t="shared" si="300"/>
        <v/>
      </c>
      <c r="S2712" s="28"/>
      <c r="T2712" s="28"/>
      <c r="U2712" s="28"/>
    </row>
    <row r="2713" spans="1:21" s="5" customFormat="1">
      <c r="A2713" s="179" t="s">
        <v>3218</v>
      </c>
      <c r="B2713" s="185" t="s">
        <v>7234</v>
      </c>
      <c r="C2713" s="35" t="str">
        <f t="shared" si="294"/>
        <v>MuhammadTaqiyiNuri</v>
      </c>
      <c r="E2713" s="40"/>
      <c r="F2713" s="15"/>
      <c r="G2713" s="17"/>
      <c r="H2713" s="10" t="s">
        <v>8563</v>
      </c>
      <c r="I2713" s="4" t="str">
        <f t="shared" si="295"/>
        <v>|Muḥammad-Taqíy-i-Núrí|</v>
      </c>
      <c r="J2713" s="3" t="str">
        <f t="shared" si="296"/>
        <v>|Muhammad-Taqiy-i-Nuri|</v>
      </c>
      <c r="K2713" s="3" t="str">
        <f t="shared" si="297"/>
        <v>Muhammad-Taqiy-i-Nuri</v>
      </c>
      <c r="N2713" s="39" t="str">
        <f t="shared" si="298"/>
        <v/>
      </c>
      <c r="P2713" s="39" t="str">
        <f t="shared" si="299"/>
        <v/>
      </c>
      <c r="R2713" s="39" t="str">
        <f t="shared" si="300"/>
        <v/>
      </c>
      <c r="S2713" s="28"/>
      <c r="T2713" s="28"/>
      <c r="U2713" s="28"/>
    </row>
    <row r="2714" spans="1:21" s="5" customFormat="1">
      <c r="A2714" s="179" t="s">
        <v>3219</v>
      </c>
      <c r="B2714" s="185" t="s">
        <v>7235</v>
      </c>
      <c r="C2714" s="35" t="str">
        <f t="shared" si="294"/>
        <v>MuhammadTaqiyiQarakhili</v>
      </c>
      <c r="E2714" s="40"/>
      <c r="F2714" s="15"/>
      <c r="G2714" s="17"/>
      <c r="H2714" s="10" t="s">
        <v>8563</v>
      </c>
      <c r="I2714" s="4" t="str">
        <f t="shared" si="295"/>
        <v>|Muḥammad-Taqíy-i-Qarailí|</v>
      </c>
      <c r="J2714" s="3" t="str">
        <f t="shared" si="296"/>
        <v>|Muhammad-Taqiy-i-Qarakhili|</v>
      </c>
      <c r="K2714" s="3" t="str">
        <f t="shared" si="297"/>
        <v>Muhammad-Taqiy-i-Qarakhili</v>
      </c>
      <c r="N2714" s="39" t="str">
        <f t="shared" si="298"/>
        <v/>
      </c>
      <c r="P2714" s="39" t="str">
        <f t="shared" si="299"/>
        <v/>
      </c>
      <c r="R2714" s="39" t="str">
        <f t="shared" si="300"/>
        <v/>
      </c>
      <c r="S2714" s="28"/>
      <c r="T2714" s="28"/>
      <c r="U2714" s="28"/>
    </row>
    <row r="2715" spans="1:21" s="5" customFormat="1">
      <c r="A2715" s="179" t="s">
        <v>3177</v>
      </c>
      <c r="B2715" s="185" t="s">
        <v>7236</v>
      </c>
      <c r="C2715" s="35" t="str">
        <f t="shared" si="294"/>
        <v>MuhammadTupChi</v>
      </c>
      <c r="E2715" s="40"/>
      <c r="F2715" s="15"/>
      <c r="G2715" s="17"/>
      <c r="H2715" s="10" t="s">
        <v>8563</v>
      </c>
      <c r="I2715" s="4" t="str">
        <f t="shared" si="295"/>
        <v>|Muḥammad-Túp-í|</v>
      </c>
      <c r="J2715" s="3" t="str">
        <f t="shared" si="296"/>
        <v>|Muhammad-Tup-Chi|</v>
      </c>
      <c r="K2715" s="3" t="str">
        <f t="shared" si="297"/>
        <v>Muhammad-Tup-Chi</v>
      </c>
      <c r="N2715" s="39" t="str">
        <f t="shared" si="298"/>
        <v/>
      </c>
      <c r="P2715" s="39" t="str">
        <f t="shared" si="299"/>
        <v/>
      </c>
      <c r="R2715" s="39" t="str">
        <f t="shared" si="300"/>
        <v/>
      </c>
      <c r="S2715" s="28"/>
      <c r="T2715" s="28"/>
      <c r="U2715" s="28"/>
    </row>
    <row r="2716" spans="1:21" s="5" customFormat="1">
      <c r="A2716" s="179" t="s">
        <v>3220</v>
      </c>
      <c r="B2716" s="185" t="s">
        <v>7237</v>
      </c>
      <c r="C2716" s="35" t="str">
        <f t="shared" si="294"/>
        <v>MuhammadYusif</v>
      </c>
      <c r="E2716" s="40"/>
      <c r="F2716" s="14"/>
      <c r="G2716" s="17"/>
      <c r="H2716" s="10" t="s">
        <v>8563</v>
      </c>
      <c r="I2716" s="4" t="str">
        <f t="shared" si="295"/>
        <v>|Muḥammad-Yúsif|</v>
      </c>
      <c r="J2716" s="3" t="str">
        <f t="shared" si="296"/>
        <v>|Muhammad-Yusif|</v>
      </c>
      <c r="K2716" s="3" t="str">
        <f t="shared" si="297"/>
        <v>Muhammad-Yusif</v>
      </c>
      <c r="N2716" s="39" t="str">
        <f t="shared" si="298"/>
        <v/>
      </c>
      <c r="P2716" s="39" t="str">
        <f t="shared" si="299"/>
        <v/>
      </c>
      <c r="R2716" s="39" t="str">
        <f t="shared" si="300"/>
        <v/>
      </c>
      <c r="S2716" s="28"/>
      <c r="T2716" s="28"/>
      <c r="U2716" s="28"/>
    </row>
    <row r="2717" spans="1:21" s="5" customFormat="1">
      <c r="A2717" s="179" t="s">
        <v>3221</v>
      </c>
      <c r="B2717" s="185" t="s">
        <v>7238</v>
      </c>
      <c r="C2717" s="35" t="str">
        <f t="shared" si="294"/>
        <v>Muhammarih</v>
      </c>
      <c r="E2717" s="40"/>
      <c r="F2717" s="14"/>
      <c r="G2717" s="17"/>
      <c r="H2717" s="10" t="s">
        <v>8563</v>
      </c>
      <c r="I2717" s="4" t="str">
        <f t="shared" si="295"/>
        <v>|Muḥammarih|</v>
      </c>
      <c r="J2717" s="3" t="str">
        <f t="shared" si="296"/>
        <v>|Muhammarih|</v>
      </c>
      <c r="K2717" s="3" t="str">
        <f t="shared" si="297"/>
        <v>Muhammarih</v>
      </c>
      <c r="N2717" s="39" t="str">
        <f t="shared" si="298"/>
        <v/>
      </c>
      <c r="P2717" s="39" t="str">
        <f t="shared" si="299"/>
        <v/>
      </c>
      <c r="R2717" s="39" t="str">
        <f t="shared" si="300"/>
        <v/>
      </c>
      <c r="S2717" s="28"/>
      <c r="T2717" s="28"/>
      <c r="U2717" s="28"/>
    </row>
    <row r="2718" spans="1:21" s="5" customFormat="1">
      <c r="A2718" s="179" t="s">
        <v>3222</v>
      </c>
      <c r="B2718" s="185" t="s">
        <v>7239</v>
      </c>
      <c r="C2718" s="35" t="str">
        <f t="shared" si="294"/>
        <v>Muhandisi</v>
      </c>
      <c r="E2718" s="40"/>
      <c r="F2718" s="15"/>
      <c r="G2718" s="17"/>
      <c r="H2718" s="10" t="s">
        <v>8563</v>
      </c>
      <c r="I2718" s="4" t="str">
        <f t="shared" si="295"/>
        <v>|Muhandisí|</v>
      </c>
      <c r="J2718" s="3" t="str">
        <f t="shared" si="296"/>
        <v>|Muhandisi|</v>
      </c>
      <c r="K2718" s="3" t="str">
        <f t="shared" si="297"/>
        <v>Muhandisi</v>
      </c>
      <c r="N2718" s="39" t="str">
        <f t="shared" si="298"/>
        <v/>
      </c>
      <c r="P2718" s="39" t="str">
        <f t="shared" si="299"/>
        <v/>
      </c>
      <c r="R2718" s="39" t="str">
        <f t="shared" si="300"/>
        <v/>
      </c>
      <c r="S2718" s="28"/>
      <c r="T2718" s="28"/>
      <c r="U2718" s="28"/>
    </row>
    <row r="2719" spans="1:21" s="5" customFormat="1">
      <c r="A2719" s="179" t="s">
        <v>3223</v>
      </c>
      <c r="B2719" s="185" t="s">
        <v>7240</v>
      </c>
      <c r="C2719" s="35" t="str">
        <f t="shared" si="294"/>
        <v>MuhandisulMamalik</v>
      </c>
      <c r="E2719" s="40"/>
      <c r="F2719" s="15"/>
      <c r="G2719" s="17"/>
      <c r="H2719" s="10" t="s">
        <v>8563</v>
      </c>
      <c r="I2719" s="4" t="str">
        <f t="shared" si="295"/>
        <v>|Muhandisu’l-Mamálik|</v>
      </c>
      <c r="J2719" s="3" t="str">
        <f t="shared" si="296"/>
        <v>|Muhandisu'l-Mamalik|</v>
      </c>
      <c r="K2719" s="3" t="str">
        <f t="shared" si="297"/>
        <v>Muhandisul-Mamalik</v>
      </c>
      <c r="N2719" s="39" t="str">
        <f t="shared" si="298"/>
        <v/>
      </c>
      <c r="P2719" s="39" t="str">
        <f t="shared" si="299"/>
        <v/>
      </c>
      <c r="R2719" s="39" t="str">
        <f t="shared" si="300"/>
        <v/>
      </c>
      <c r="S2719" s="28"/>
      <c r="T2719" s="28"/>
      <c r="U2719" s="28"/>
    </row>
    <row r="2720" spans="1:21" s="5" customFormat="1">
      <c r="A2720" s="179" t="s">
        <v>3224</v>
      </c>
      <c r="B2720" s="185" t="s">
        <v>7241</v>
      </c>
      <c r="C2720" s="35" t="str">
        <f t="shared" si="294"/>
        <v>Muhaqqiq</v>
      </c>
      <c r="E2720" s="40"/>
      <c r="F2720" s="15"/>
      <c r="G2720" s="17"/>
      <c r="H2720" s="10" t="s">
        <v>8563</v>
      </c>
      <c r="I2720" s="4" t="str">
        <f t="shared" si="295"/>
        <v>|Muḥaqqiq|</v>
      </c>
      <c r="J2720" s="3" t="str">
        <f t="shared" si="296"/>
        <v>|Muhaqqiq|</v>
      </c>
      <c r="K2720" s="3" t="str">
        <f t="shared" si="297"/>
        <v>Muhaqqiq</v>
      </c>
      <c r="N2720" s="39" t="str">
        <f t="shared" si="298"/>
        <v/>
      </c>
      <c r="P2720" s="39" t="str">
        <f t="shared" si="299"/>
        <v/>
      </c>
      <c r="R2720" s="39" t="str">
        <f t="shared" si="300"/>
        <v/>
      </c>
      <c r="S2720" s="28"/>
      <c r="T2720" s="28"/>
      <c r="U2720" s="28"/>
    </row>
    <row r="2721" spans="1:21" s="5" customFormat="1">
      <c r="A2721" s="179" t="s">
        <v>3225</v>
      </c>
      <c r="B2721" s="185" t="s">
        <v>7242</v>
      </c>
      <c r="C2721" s="35" t="str">
        <f t="shared" si="294"/>
        <v>Muhaqqiqin</v>
      </c>
      <c r="E2721" s="40"/>
      <c r="F2721" s="15"/>
      <c r="G2721" s="17"/>
      <c r="H2721" s="10" t="s">
        <v>8563</v>
      </c>
      <c r="I2721" s="4" t="str">
        <f t="shared" si="295"/>
        <v>|Muḥaqqiqín|</v>
      </c>
      <c r="J2721" s="3" t="str">
        <f t="shared" si="296"/>
        <v>|Muhaqqiqin|</v>
      </c>
      <c r="K2721" s="3" t="str">
        <f t="shared" si="297"/>
        <v>Muhaqqiqin</v>
      </c>
      <c r="N2721" s="39" t="str">
        <f t="shared" si="298"/>
        <v/>
      </c>
      <c r="P2721" s="39" t="str">
        <f t="shared" si="299"/>
        <v/>
      </c>
      <c r="R2721" s="39" t="str">
        <f t="shared" si="300"/>
        <v/>
      </c>
      <c r="S2721" s="28"/>
      <c r="T2721" s="28"/>
      <c r="U2721" s="28"/>
    </row>
    <row r="2722" spans="1:21" s="5" customFormat="1">
      <c r="A2722" s="179" t="s">
        <v>3226</v>
      </c>
      <c r="B2722" s="185" t="s">
        <v>7243</v>
      </c>
      <c r="C2722" s="35" t="str">
        <f t="shared" si="294"/>
        <v>Muharram</v>
      </c>
      <c r="E2722" s="40"/>
      <c r="F2722" s="14" t="s">
        <v>3227</v>
      </c>
      <c r="G2722" s="17"/>
      <c r="H2722" s="10" t="s">
        <v>8563</v>
      </c>
      <c r="I2722" s="4" t="str">
        <f t="shared" si="295"/>
        <v>|Muḥarram|</v>
      </c>
      <c r="J2722" s="3" t="str">
        <f t="shared" si="296"/>
        <v>|Muharram|</v>
      </c>
      <c r="K2722" s="3" t="str">
        <f t="shared" si="297"/>
        <v>Muharram</v>
      </c>
      <c r="N2722" s="39" t="str">
        <f t="shared" si="298"/>
        <v/>
      </c>
      <c r="P2722" s="39" t="str">
        <f t="shared" si="299"/>
        <v/>
      </c>
      <c r="R2722" s="39" t="str">
        <f t="shared" si="300"/>
        <v/>
      </c>
      <c r="S2722" s="28"/>
      <c r="T2722" s="28"/>
      <c r="U2722" s="28"/>
    </row>
    <row r="2723" spans="1:21" s="5" customFormat="1">
      <c r="A2723" s="179" t="s">
        <v>3228</v>
      </c>
      <c r="B2723" s="185" t="s">
        <v>7244</v>
      </c>
      <c r="C2723" s="35" t="str">
        <f t="shared" si="294"/>
        <v>MuhibbusSultan</v>
      </c>
      <c r="E2723" s="40"/>
      <c r="F2723" s="15"/>
      <c r="G2723" s="17"/>
      <c r="H2723" s="10" t="s">
        <v>8563</v>
      </c>
      <c r="I2723" s="4" t="str">
        <f t="shared" si="295"/>
        <v>|Muḥibbu’s-Sulṭán|</v>
      </c>
      <c r="J2723" s="3" t="str">
        <f t="shared" si="296"/>
        <v>|Muhibbu's-Sultan|</v>
      </c>
      <c r="K2723" s="3" t="str">
        <f t="shared" si="297"/>
        <v>Muhibbus-Sultan</v>
      </c>
      <c r="N2723" s="39" t="str">
        <f t="shared" si="298"/>
        <v/>
      </c>
      <c r="P2723" s="39" t="str">
        <f t="shared" si="299"/>
        <v/>
      </c>
      <c r="R2723" s="39" t="str">
        <f t="shared" si="300"/>
        <v/>
      </c>
      <c r="S2723" s="28"/>
      <c r="T2723" s="28"/>
      <c r="U2723" s="28"/>
    </row>
    <row r="2724" spans="1:21" s="5" customFormat="1">
      <c r="A2724" s="179" t="s">
        <v>3229</v>
      </c>
      <c r="B2724" s="185" t="s">
        <v>7245</v>
      </c>
      <c r="C2724" s="35" t="str">
        <f t="shared" si="294"/>
        <v>Muhit</v>
      </c>
      <c r="E2724" s="40"/>
      <c r="F2724" s="15"/>
      <c r="G2724" s="17"/>
      <c r="H2724" s="10" t="s">
        <v>8563</v>
      </c>
      <c r="I2724" s="4" t="str">
        <f t="shared" si="295"/>
        <v>|Muḥíṭ|</v>
      </c>
      <c r="J2724" s="3" t="str">
        <f t="shared" si="296"/>
        <v>|Muhit|</v>
      </c>
      <c r="K2724" s="3" t="str">
        <f t="shared" si="297"/>
        <v>Muhit</v>
      </c>
      <c r="N2724" s="39" t="str">
        <f t="shared" si="298"/>
        <v/>
      </c>
      <c r="P2724" s="39" t="str">
        <f t="shared" si="299"/>
        <v/>
      </c>
      <c r="R2724" s="39" t="str">
        <f t="shared" si="300"/>
        <v/>
      </c>
      <c r="S2724" s="28"/>
      <c r="T2724" s="28"/>
      <c r="U2724" s="28"/>
    </row>
    <row r="2725" spans="1:21" s="5" customFormat="1">
      <c r="A2725" s="179" t="s">
        <v>3230</v>
      </c>
      <c r="B2725" s="185" t="s">
        <v>7246</v>
      </c>
      <c r="C2725" s="35" t="str">
        <f t="shared" si="294"/>
        <v>MuhitiKirmani</v>
      </c>
      <c r="E2725" s="40"/>
      <c r="F2725" s="15"/>
      <c r="G2725" s="17"/>
      <c r="H2725" s="10" t="s">
        <v>8563</v>
      </c>
      <c r="I2725" s="4" t="str">
        <f t="shared" si="295"/>
        <v>|Muḥíṭ-i-Kirmání|</v>
      </c>
      <c r="J2725" s="3" t="str">
        <f t="shared" si="296"/>
        <v>|Muhit-i-Kirmani|</v>
      </c>
      <c r="K2725" s="3" t="str">
        <f t="shared" si="297"/>
        <v>Muhit-i-Kirmani</v>
      </c>
      <c r="N2725" s="39" t="str">
        <f t="shared" si="298"/>
        <v/>
      </c>
      <c r="P2725" s="39" t="str">
        <f t="shared" si="299"/>
        <v/>
      </c>
      <c r="R2725" s="39" t="str">
        <f t="shared" si="300"/>
        <v/>
      </c>
      <c r="S2725" s="28"/>
      <c r="T2725" s="28"/>
      <c r="U2725" s="28"/>
    </row>
    <row r="2726" spans="1:21" s="5" customFormat="1">
      <c r="A2726" s="179" t="s">
        <v>3231</v>
      </c>
      <c r="B2726" s="185" t="s">
        <v>7247</v>
      </c>
      <c r="C2726" s="35" t="str">
        <f t="shared" si="294"/>
        <v>MuhitiShairiKirmani</v>
      </c>
      <c r="E2726" s="40"/>
      <c r="F2726" s="15"/>
      <c r="G2726" s="17"/>
      <c r="H2726" s="10" t="s">
        <v>8563</v>
      </c>
      <c r="I2726" s="4" t="str">
        <f t="shared" si="295"/>
        <v>|Muḥíṭ-i-áʿir-i-Kirmání|</v>
      </c>
      <c r="J2726" s="3" t="str">
        <f t="shared" si="296"/>
        <v>|Muhit-i-Sha'ir-i-Kirmani|</v>
      </c>
      <c r="K2726" s="3" t="str">
        <f t="shared" si="297"/>
        <v>Muhit-i-Shair-i-Kirmani</v>
      </c>
      <c r="N2726" s="39" t="str">
        <f t="shared" si="298"/>
        <v/>
      </c>
      <c r="P2726" s="39" t="str">
        <f t="shared" si="299"/>
        <v/>
      </c>
      <c r="R2726" s="39" t="str">
        <f t="shared" si="300"/>
        <v/>
      </c>
      <c r="S2726" s="28"/>
      <c r="T2726" s="28"/>
      <c r="U2726" s="28"/>
    </row>
    <row r="2727" spans="1:21" s="5" customFormat="1">
      <c r="A2727" s="179" t="s">
        <v>3179</v>
      </c>
      <c r="B2727" s="185" t="s">
        <v>7248</v>
      </c>
      <c r="C2727" s="35" t="str">
        <f t="shared" si="294"/>
        <v>Muhmmadiyyih</v>
      </c>
      <c r="E2727" s="40" t="s">
        <v>9115</v>
      </c>
      <c r="F2727" s="15"/>
      <c r="G2727" s="17"/>
      <c r="H2727" s="10" t="s">
        <v>8563</v>
      </c>
      <c r="I2727" s="4" t="str">
        <f t="shared" si="295"/>
        <v>|Muḥmmadíyyih|</v>
      </c>
      <c r="J2727" s="3" t="str">
        <f t="shared" si="296"/>
        <v>|Muhmmadiyyih|</v>
      </c>
      <c r="K2727" s="3" t="str">
        <f t="shared" si="297"/>
        <v>Muhmmadiyyih</v>
      </c>
      <c r="N2727" s="39" t="str">
        <f t="shared" si="298"/>
        <v/>
      </c>
      <c r="P2727" s="39" t="str">
        <f t="shared" si="299"/>
        <v/>
      </c>
      <c r="R2727" s="39" t="str">
        <f t="shared" si="300"/>
        <v/>
      </c>
      <c r="S2727" s="28"/>
      <c r="T2727" s="28"/>
      <c r="U2727" s="28"/>
    </row>
    <row r="2728" spans="1:21" s="5" customFormat="1">
      <c r="A2728" s="179" t="s">
        <v>2853</v>
      </c>
      <c r="B2728" s="185" t="s">
        <v>7249</v>
      </c>
      <c r="C2728" s="35" t="str">
        <f t="shared" si="294"/>
        <v>Muhmud</v>
      </c>
      <c r="E2728" s="40"/>
      <c r="F2728" s="15"/>
      <c r="G2728" s="17" t="s">
        <v>9501</v>
      </c>
      <c r="H2728" s="10" t="s">
        <v>8563</v>
      </c>
      <c r="I2728" s="4" t="str">
        <f t="shared" si="295"/>
        <v>|Muḥmúd|</v>
      </c>
      <c r="J2728" s="3" t="str">
        <f t="shared" si="296"/>
        <v>|Muhmud|</v>
      </c>
      <c r="K2728" s="3" t="str">
        <f t="shared" si="297"/>
        <v>Muhmud</v>
      </c>
      <c r="N2728" s="39" t="str">
        <f t="shared" si="298"/>
        <v/>
      </c>
      <c r="P2728" s="39" t="str">
        <f t="shared" si="299"/>
        <v/>
      </c>
      <c r="R2728" s="39" t="str">
        <f t="shared" si="300"/>
        <v/>
      </c>
      <c r="S2728" s="28"/>
      <c r="T2728" s="28"/>
      <c r="U2728" s="28"/>
    </row>
    <row r="2729" spans="1:21" s="5" customFormat="1">
      <c r="A2729" s="179" t="s">
        <v>3232</v>
      </c>
      <c r="B2729" s="185" t="s">
        <v>9500</v>
      </c>
      <c r="C2729" s="35" t="str">
        <f t="shared" si="294"/>
        <v>MahmudiZarqani</v>
      </c>
      <c r="E2729" s="40"/>
      <c r="F2729" s="15"/>
      <c r="G2729" s="17"/>
      <c r="H2729" s="10" t="s">
        <v>8563</v>
      </c>
      <c r="I2729" s="4" t="str">
        <f t="shared" si="295"/>
        <v>|Maḥmúd-i-Zarqání|</v>
      </c>
      <c r="J2729" s="3" t="str">
        <f t="shared" si="296"/>
        <v>|Mahmud-i-Zarqani|</v>
      </c>
      <c r="K2729" s="3" t="str">
        <f t="shared" si="297"/>
        <v>Mahmud-i-Zarqani</v>
      </c>
      <c r="N2729" s="39" t="str">
        <f t="shared" si="298"/>
        <v/>
      </c>
      <c r="P2729" s="39" t="str">
        <f t="shared" si="299"/>
        <v/>
      </c>
      <c r="R2729" s="39" t="str">
        <f t="shared" si="300"/>
        <v/>
      </c>
      <c r="S2729" s="28"/>
      <c r="T2729" s="28"/>
      <c r="U2729" s="28"/>
    </row>
    <row r="2730" spans="1:21" s="5" customFormat="1">
      <c r="A2730" s="179" t="s">
        <v>3233</v>
      </c>
      <c r="B2730" s="185" t="s">
        <v>7250</v>
      </c>
      <c r="C2730" s="35" t="str">
        <f t="shared" si="294"/>
        <v>MuhriqulQulub</v>
      </c>
      <c r="E2730" s="40"/>
      <c r="F2730" s="15"/>
      <c r="G2730" s="17"/>
      <c r="H2730" s="10" t="s">
        <v>8563</v>
      </c>
      <c r="I2730" s="4" t="str">
        <f t="shared" si="295"/>
        <v>|Muḥriqu’l-Qulúb|</v>
      </c>
      <c r="J2730" s="3" t="str">
        <f t="shared" si="296"/>
        <v>|Muhriqu'l-Qulub|</v>
      </c>
      <c r="K2730" s="3" t="str">
        <f t="shared" si="297"/>
        <v>Muhriqul-Qulub</v>
      </c>
      <c r="N2730" s="39" t="str">
        <f t="shared" si="298"/>
        <v/>
      </c>
      <c r="P2730" s="39" t="str">
        <f t="shared" si="299"/>
        <v/>
      </c>
      <c r="R2730" s="39" t="str">
        <f t="shared" si="300"/>
        <v/>
      </c>
      <c r="S2730" s="28"/>
      <c r="T2730" s="28"/>
      <c r="U2730" s="28"/>
    </row>
    <row r="2731" spans="1:21" s="5" customFormat="1">
      <c r="A2731" s="179" t="s">
        <v>3234</v>
      </c>
      <c r="B2731" s="185" t="s">
        <v>103</v>
      </c>
      <c r="C2731" s="35" t="str">
        <f t="shared" si="294"/>
        <v>Muhsin</v>
      </c>
      <c r="E2731" s="40"/>
      <c r="F2731" s="14"/>
      <c r="G2731" s="17"/>
      <c r="H2731" s="10" t="s">
        <v>8563</v>
      </c>
      <c r="I2731" s="4" t="str">
        <f t="shared" si="295"/>
        <v>|Muḥsin|</v>
      </c>
      <c r="J2731" s="3" t="str">
        <f t="shared" si="296"/>
        <v>|Muhsin|</v>
      </c>
      <c r="K2731" s="3" t="str">
        <f t="shared" si="297"/>
        <v>Muhsin</v>
      </c>
      <c r="N2731" s="39" t="str">
        <f t="shared" si="298"/>
        <v/>
      </c>
      <c r="P2731" s="39" t="str">
        <f t="shared" si="299"/>
        <v/>
      </c>
      <c r="R2731" s="39" t="str">
        <f t="shared" si="300"/>
        <v/>
      </c>
      <c r="S2731" s="28"/>
      <c r="T2731" s="28"/>
      <c r="U2731" s="28"/>
    </row>
    <row r="2732" spans="1:21" s="5" customFormat="1">
      <c r="A2732" s="179" t="s">
        <v>3235</v>
      </c>
      <c r="B2732" s="185" t="s">
        <v>7251</v>
      </c>
      <c r="C2732" s="35" t="str">
        <f t="shared" si="294"/>
        <v>MuhsiniKazimi</v>
      </c>
      <c r="E2732" s="40"/>
      <c r="F2732" s="15"/>
      <c r="G2732" s="17"/>
      <c r="H2732" s="10" t="s">
        <v>8563</v>
      </c>
      <c r="I2732" s="4" t="str">
        <f t="shared" si="295"/>
        <v>|Muḥsin-i-Káẓimí|</v>
      </c>
      <c r="J2732" s="3" t="str">
        <f t="shared" si="296"/>
        <v>|Muhsin-i-Kazimi|</v>
      </c>
      <c r="K2732" s="3" t="str">
        <f t="shared" si="297"/>
        <v>Muhsin-i-Kazimi</v>
      </c>
      <c r="N2732" s="39" t="str">
        <f t="shared" si="298"/>
        <v/>
      </c>
      <c r="P2732" s="39" t="str">
        <f t="shared" si="299"/>
        <v/>
      </c>
      <c r="R2732" s="39" t="str">
        <f t="shared" si="300"/>
        <v/>
      </c>
      <c r="S2732" s="28"/>
      <c r="T2732" s="28"/>
      <c r="U2732" s="28"/>
    </row>
    <row r="2733" spans="1:21" s="5" customFormat="1">
      <c r="A2733" s="179" t="s">
        <v>3236</v>
      </c>
      <c r="B2733" s="185" t="s">
        <v>7252</v>
      </c>
      <c r="C2733" s="35" t="str">
        <f t="shared" si="294"/>
        <v>MuhyidDin</v>
      </c>
      <c r="E2733" s="40"/>
      <c r="F2733" s="15"/>
      <c r="G2733" s="17"/>
      <c r="H2733" s="10" t="s">
        <v>8563</v>
      </c>
      <c r="I2733" s="4" t="str">
        <f t="shared" si="295"/>
        <v>|Muḥyi’d-Dín|</v>
      </c>
      <c r="J2733" s="3" t="str">
        <f t="shared" si="296"/>
        <v>|Muhyi'd-Din|</v>
      </c>
      <c r="K2733" s="3" t="str">
        <f t="shared" si="297"/>
        <v>Muhyid-Din</v>
      </c>
      <c r="N2733" s="39" t="str">
        <f t="shared" si="298"/>
        <v/>
      </c>
      <c r="P2733" s="39" t="str">
        <f t="shared" si="299"/>
        <v/>
      </c>
      <c r="R2733" s="39" t="str">
        <f t="shared" si="300"/>
        <v/>
      </c>
      <c r="S2733" s="28"/>
      <c r="T2733" s="28"/>
      <c r="U2733" s="28"/>
    </row>
    <row r="2734" spans="1:21" s="5" customFormat="1">
      <c r="A2734" s="179" t="s">
        <v>3237</v>
      </c>
      <c r="B2734" s="185" t="s">
        <v>7253</v>
      </c>
      <c r="C2734" s="35" t="str">
        <f t="shared" si="294"/>
        <v>MuhyidDiniArabi</v>
      </c>
      <c r="E2734" s="40"/>
      <c r="F2734" s="15"/>
      <c r="G2734" s="17"/>
      <c r="H2734" s="10" t="s">
        <v>8563</v>
      </c>
      <c r="I2734" s="4" t="str">
        <f t="shared" si="295"/>
        <v>|Muḥyi’d-Dín-i-ʿArabí|</v>
      </c>
      <c r="J2734" s="3" t="str">
        <f t="shared" si="296"/>
        <v>|Muhyi'd-Din-i-'Arabi|</v>
      </c>
      <c r="K2734" s="3" t="str">
        <f t="shared" si="297"/>
        <v>Muhyid-Din-i-Arabi</v>
      </c>
      <c r="N2734" s="39" t="str">
        <f t="shared" si="298"/>
        <v/>
      </c>
      <c r="P2734" s="39" t="str">
        <f t="shared" si="299"/>
        <v/>
      </c>
      <c r="R2734" s="39" t="str">
        <f t="shared" si="300"/>
        <v/>
      </c>
      <c r="S2734" s="28"/>
      <c r="T2734" s="28"/>
      <c r="U2734" s="28"/>
    </row>
    <row r="2735" spans="1:21" s="5" customFormat="1">
      <c r="A2735" s="179" t="s">
        <v>3238</v>
      </c>
      <c r="B2735" s="185" t="s">
        <v>7254</v>
      </c>
      <c r="C2735" s="35" t="str">
        <f t="shared" si="294"/>
        <v>Muina</v>
      </c>
      <c r="E2735" s="40"/>
      <c r="F2735" s="15"/>
      <c r="G2735" s="17"/>
      <c r="H2735" s="10" t="s">
        <v>8563</v>
      </c>
      <c r="I2735" s="4" t="str">
        <f t="shared" si="295"/>
        <v>|Muʿíná|</v>
      </c>
      <c r="J2735" s="3" t="str">
        <f t="shared" si="296"/>
        <v>|Mu'ina|</v>
      </c>
      <c r="K2735" s="3" t="str">
        <f t="shared" si="297"/>
        <v>Muina</v>
      </c>
      <c r="N2735" s="39" t="str">
        <f t="shared" si="298"/>
        <v/>
      </c>
      <c r="P2735" s="39" t="str">
        <f t="shared" si="299"/>
        <v/>
      </c>
      <c r="R2735" s="39" t="str">
        <f t="shared" si="300"/>
        <v/>
      </c>
      <c r="S2735" s="28"/>
      <c r="T2735" s="28"/>
      <c r="U2735" s="28"/>
    </row>
    <row r="2736" spans="1:21" s="5" customFormat="1">
      <c r="A2736" s="179" t="s">
        <v>3239</v>
      </c>
      <c r="B2736" s="185" t="s">
        <v>7255</v>
      </c>
      <c r="C2736" s="35" t="str">
        <f t="shared" si="294"/>
        <v>MuiniKhalvat</v>
      </c>
      <c r="E2736" s="40"/>
      <c r="F2736" s="15"/>
      <c r="G2736" s="17"/>
      <c r="H2736" s="10" t="s">
        <v>8563</v>
      </c>
      <c r="I2736" s="4" t="str">
        <f t="shared" si="295"/>
        <v>|Muʿín-i-alvat|</v>
      </c>
      <c r="J2736" s="3" t="str">
        <f t="shared" si="296"/>
        <v>|Mu'in-i-Khalvat|</v>
      </c>
      <c r="K2736" s="3" t="str">
        <f t="shared" si="297"/>
        <v>Muin-i-Khalvat</v>
      </c>
      <c r="N2736" s="39" t="str">
        <f t="shared" si="298"/>
        <v/>
      </c>
      <c r="P2736" s="39" t="str">
        <f t="shared" si="299"/>
        <v/>
      </c>
      <c r="R2736" s="39" t="str">
        <f t="shared" si="300"/>
        <v/>
      </c>
      <c r="S2736" s="28"/>
      <c r="T2736" s="28"/>
      <c r="U2736" s="28"/>
    </row>
    <row r="2737" spans="1:21" s="5" customFormat="1">
      <c r="A2737" s="179" t="s">
        <v>3240</v>
      </c>
      <c r="B2737" s="185" t="s">
        <v>7256</v>
      </c>
      <c r="C2737" s="35" t="str">
        <f t="shared" si="294"/>
        <v>MuinudDin</v>
      </c>
      <c r="E2737" s="40"/>
      <c r="F2737" s="16"/>
      <c r="G2737" s="17"/>
      <c r="H2737" s="10" t="s">
        <v>8563</v>
      </c>
      <c r="I2737" s="4" t="str">
        <f t="shared" si="295"/>
        <v>|Muʿínu’d-Dín|</v>
      </c>
      <c r="J2737" s="3" t="str">
        <f t="shared" si="296"/>
        <v>|Mu'inu'd-Din|</v>
      </c>
      <c r="K2737" s="3" t="str">
        <f t="shared" si="297"/>
        <v>Muinud-Din</v>
      </c>
      <c r="N2737" s="39" t="str">
        <f t="shared" si="298"/>
        <v/>
      </c>
      <c r="P2737" s="39" t="str">
        <f t="shared" si="299"/>
        <v/>
      </c>
      <c r="R2737" s="39" t="str">
        <f t="shared" si="300"/>
        <v/>
      </c>
      <c r="S2737" s="28"/>
      <c r="T2737" s="28"/>
      <c r="U2737" s="28"/>
    </row>
    <row r="2738" spans="1:21" s="5" customFormat="1">
      <c r="A2738" s="179" t="s">
        <v>3241</v>
      </c>
      <c r="B2738" s="185" t="s">
        <v>7257</v>
      </c>
      <c r="C2738" s="35" t="str">
        <f t="shared" si="294"/>
        <v>MuinulMulk</v>
      </c>
      <c r="E2738" s="40"/>
      <c r="F2738" s="15"/>
      <c r="G2738" s="17"/>
      <c r="H2738" s="10" t="s">
        <v>8563</v>
      </c>
      <c r="I2738" s="4" t="str">
        <f t="shared" si="295"/>
        <v>|Muʿínu’l-Mulk|</v>
      </c>
      <c r="J2738" s="3" t="str">
        <f t="shared" si="296"/>
        <v>|Mu'inu'l-Mulk|</v>
      </c>
      <c r="K2738" s="3" t="str">
        <f t="shared" si="297"/>
        <v>Muinul-Mulk</v>
      </c>
      <c r="N2738" s="39" t="str">
        <f t="shared" si="298"/>
        <v/>
      </c>
      <c r="P2738" s="39" t="str">
        <f t="shared" si="299"/>
        <v/>
      </c>
      <c r="R2738" s="39" t="str">
        <f t="shared" si="300"/>
        <v/>
      </c>
      <c r="S2738" s="28"/>
      <c r="T2738" s="28"/>
      <c r="U2738" s="28"/>
    </row>
    <row r="2739" spans="1:21" s="5" customFormat="1">
      <c r="A2739" s="179" t="s">
        <v>3242</v>
      </c>
      <c r="B2739" s="185" t="s">
        <v>7258</v>
      </c>
      <c r="C2739" s="35" t="str">
        <f t="shared" si="294"/>
        <v>MuinusSaltanih</v>
      </c>
      <c r="E2739" s="40"/>
      <c r="F2739" s="15" t="s">
        <v>8609</v>
      </c>
      <c r="G2739" s="17"/>
      <c r="H2739" s="10" t="s">
        <v>8563</v>
      </c>
      <c r="I2739" s="4" t="str">
        <f t="shared" si="295"/>
        <v>|Muʿínu’s-Salṭanih|</v>
      </c>
      <c r="J2739" s="3" t="str">
        <f t="shared" si="296"/>
        <v>|Mu'inu's-Saltanih|</v>
      </c>
      <c r="K2739" s="3" t="str">
        <f t="shared" si="297"/>
        <v>Muinus-Saltanih</v>
      </c>
      <c r="N2739" s="39" t="str">
        <f t="shared" si="298"/>
        <v/>
      </c>
      <c r="P2739" s="39" t="str">
        <f t="shared" si="299"/>
        <v/>
      </c>
      <c r="R2739" s="39" t="str">
        <f t="shared" si="300"/>
        <v/>
      </c>
      <c r="S2739" s="28"/>
      <c r="T2739" s="28"/>
      <c r="U2739" s="28"/>
    </row>
    <row r="2740" spans="1:21" s="5" customFormat="1">
      <c r="A2740" s="179" t="s">
        <v>3243</v>
      </c>
      <c r="B2740" s="185" t="s">
        <v>7259</v>
      </c>
      <c r="C2740" s="35" t="str">
        <f t="shared" si="294"/>
        <v>Mujizih</v>
      </c>
      <c r="E2740" s="40"/>
      <c r="F2740" s="15" t="s">
        <v>3244</v>
      </c>
      <c r="G2740" s="17"/>
      <c r="H2740" s="10" t="s">
        <v>8563</v>
      </c>
      <c r="I2740" s="4" t="str">
        <f t="shared" si="295"/>
        <v>|Muʿjizih|</v>
      </c>
      <c r="J2740" s="3" t="str">
        <f t="shared" si="296"/>
        <v>|Mu'jizih|</v>
      </c>
      <c r="K2740" s="3" t="str">
        <f t="shared" si="297"/>
        <v>Mujizih</v>
      </c>
      <c r="N2740" s="39" t="str">
        <f t="shared" si="298"/>
        <v/>
      </c>
      <c r="P2740" s="39" t="str">
        <f t="shared" si="299"/>
        <v/>
      </c>
      <c r="R2740" s="39" t="str">
        <f t="shared" si="300"/>
        <v/>
      </c>
      <c r="S2740" s="28"/>
      <c r="T2740" s="28"/>
      <c r="U2740" s="28"/>
    </row>
    <row r="2741" spans="1:21" s="5" customFormat="1">
      <c r="A2741" s="179" t="s">
        <v>3245</v>
      </c>
      <c r="B2741" s="185" t="s">
        <v>177</v>
      </c>
      <c r="C2741" s="35" t="str">
        <f t="shared" si="294"/>
        <v>Mujtahid</v>
      </c>
      <c r="E2741" s="40"/>
      <c r="F2741" s="14" t="s">
        <v>3246</v>
      </c>
      <c r="G2741" s="17"/>
      <c r="H2741" s="10" t="s">
        <v>8563</v>
      </c>
      <c r="I2741" s="4" t="str">
        <f t="shared" si="295"/>
        <v>|Mujtahid|</v>
      </c>
      <c r="J2741" s="3" t="str">
        <f t="shared" si="296"/>
        <v>|Mujtahid|</v>
      </c>
      <c r="K2741" s="3" t="str">
        <f t="shared" si="297"/>
        <v>Mujtahid</v>
      </c>
      <c r="N2741" s="39" t="str">
        <f t="shared" si="298"/>
        <v/>
      </c>
      <c r="P2741" s="39" t="str">
        <f t="shared" si="299"/>
        <v/>
      </c>
      <c r="R2741" s="39" t="str">
        <f t="shared" si="300"/>
        <v/>
      </c>
      <c r="S2741" s="28"/>
      <c r="T2741" s="28"/>
      <c r="U2741" s="28"/>
    </row>
    <row r="2742" spans="1:21" s="5" customFormat="1">
      <c r="A2742" s="179" t="s">
        <v>3247</v>
      </c>
      <c r="B2742" s="185" t="s">
        <v>7260</v>
      </c>
      <c r="C2742" s="35" t="str">
        <f t="shared" si="294"/>
        <v>Mukhaddarih</v>
      </c>
      <c r="E2742" s="40"/>
      <c r="F2742" s="15" t="s">
        <v>3248</v>
      </c>
      <c r="G2742" s="17"/>
      <c r="H2742" s="10" t="s">
        <v>8563</v>
      </c>
      <c r="I2742" s="4" t="str">
        <f t="shared" si="295"/>
        <v>|Muaddarih|</v>
      </c>
      <c r="J2742" s="3" t="str">
        <f t="shared" si="296"/>
        <v>|Mukhaddarih|</v>
      </c>
      <c r="K2742" s="3" t="str">
        <f t="shared" si="297"/>
        <v>Mukhaddarih</v>
      </c>
      <c r="N2742" s="39" t="str">
        <f t="shared" si="298"/>
        <v/>
      </c>
      <c r="P2742" s="39" t="str">
        <f t="shared" si="299"/>
        <v/>
      </c>
      <c r="R2742" s="39" t="str">
        <f t="shared" si="300"/>
        <v/>
      </c>
      <c r="S2742" s="28"/>
      <c r="T2742" s="28"/>
      <c r="U2742" s="28"/>
    </row>
    <row r="2743" spans="1:21" s="5" customFormat="1">
      <c r="A2743" s="179" t="s">
        <v>3249</v>
      </c>
      <c r="B2743" s="185" t="s">
        <v>7261</v>
      </c>
      <c r="C2743" s="35" t="str">
        <f t="shared" si="294"/>
        <v>MukhbirudDawlih</v>
      </c>
      <c r="E2743" s="40"/>
      <c r="F2743" s="15"/>
      <c r="G2743" s="17"/>
      <c r="H2743" s="10" t="s">
        <v>8563</v>
      </c>
      <c r="I2743" s="4" t="str">
        <f t="shared" si="295"/>
        <v>|Mubiru’d-Dawlih|</v>
      </c>
      <c r="J2743" s="3" t="str">
        <f t="shared" si="296"/>
        <v>|Mukhbiru'd-Dawlih|</v>
      </c>
      <c r="K2743" s="3" t="str">
        <f t="shared" si="297"/>
        <v>Mukhbirud-Dawlih</v>
      </c>
      <c r="N2743" s="39" t="str">
        <f t="shared" si="298"/>
        <v/>
      </c>
      <c r="P2743" s="39" t="str">
        <f t="shared" si="299"/>
        <v/>
      </c>
      <c r="R2743" s="39" t="str">
        <f t="shared" si="300"/>
        <v/>
      </c>
      <c r="S2743" s="28"/>
      <c r="T2743" s="28"/>
      <c r="U2743" s="28"/>
    </row>
    <row r="2744" spans="1:21" s="5" customFormat="1">
      <c r="A2744" s="179" t="s">
        <v>3250</v>
      </c>
      <c r="B2744" s="185" t="s">
        <v>7262</v>
      </c>
      <c r="C2744" s="35" t="str">
        <f t="shared" si="294"/>
        <v>Mukhlisun</v>
      </c>
      <c r="E2744" s="40"/>
      <c r="F2744" s="15"/>
      <c r="G2744" s="17"/>
      <c r="H2744" s="10" t="s">
        <v>8563</v>
      </c>
      <c r="I2744" s="4" t="str">
        <f t="shared" si="295"/>
        <v>|Muliṣún|</v>
      </c>
      <c r="J2744" s="3" t="str">
        <f t="shared" si="296"/>
        <v>|Mukhlisun|</v>
      </c>
      <c r="K2744" s="3" t="str">
        <f t="shared" si="297"/>
        <v>Mukhlisun</v>
      </c>
      <c r="N2744" s="39" t="str">
        <f t="shared" si="298"/>
        <v/>
      </c>
      <c r="P2744" s="39" t="str">
        <f t="shared" si="299"/>
        <v/>
      </c>
      <c r="R2744" s="39" t="str">
        <f t="shared" si="300"/>
        <v/>
      </c>
      <c r="S2744" s="28"/>
      <c r="T2744" s="28"/>
      <c r="U2744" s="28"/>
    </row>
    <row r="2745" spans="1:21" s="5" customFormat="1">
      <c r="A2745" s="179" t="s">
        <v>3251</v>
      </c>
      <c r="B2745" s="185" t="s">
        <v>7263</v>
      </c>
      <c r="C2745" s="35" t="str">
        <f t="shared" si="294"/>
        <v>Mukhtari</v>
      </c>
      <c r="E2745" s="40"/>
      <c r="F2745" s="15"/>
      <c r="G2745" s="17"/>
      <c r="H2745" s="10" t="s">
        <v>8563</v>
      </c>
      <c r="I2745" s="4" t="str">
        <f t="shared" si="295"/>
        <v>|Mutárí|</v>
      </c>
      <c r="J2745" s="3" t="str">
        <f t="shared" si="296"/>
        <v>|Mukhtari|</v>
      </c>
      <c r="K2745" s="3" t="str">
        <f t="shared" si="297"/>
        <v>Mukhtari</v>
      </c>
      <c r="N2745" s="39" t="str">
        <f t="shared" si="298"/>
        <v/>
      </c>
      <c r="P2745" s="39" t="str">
        <f t="shared" si="299"/>
        <v/>
      </c>
      <c r="R2745" s="39" t="str">
        <f t="shared" si="300"/>
        <v/>
      </c>
      <c r="S2745" s="28"/>
      <c r="T2745" s="28"/>
      <c r="U2745" s="28"/>
    </row>
    <row r="2746" spans="1:21" s="5" customFormat="1">
      <c r="A2746" s="179" t="s">
        <v>2890</v>
      </c>
      <c r="B2746" s="185" t="s">
        <v>7264</v>
      </c>
      <c r="C2746" s="35" t="str">
        <f t="shared" si="294"/>
        <v>Mulk</v>
      </c>
      <c r="E2746" s="40"/>
      <c r="F2746" s="14" t="s">
        <v>3252</v>
      </c>
      <c r="G2746" s="17"/>
      <c r="H2746" s="10" t="s">
        <v>8563</v>
      </c>
      <c r="I2746" s="4" t="str">
        <f t="shared" si="295"/>
        <v>|Mulk|</v>
      </c>
      <c r="J2746" s="3" t="str">
        <f t="shared" si="296"/>
        <v>|Mulk|</v>
      </c>
      <c r="K2746" s="3" t="str">
        <f t="shared" si="297"/>
        <v>Mulk</v>
      </c>
      <c r="N2746" s="39" t="str">
        <f t="shared" si="298"/>
        <v/>
      </c>
      <c r="P2746" s="39" t="str">
        <f t="shared" si="299"/>
        <v/>
      </c>
      <c r="R2746" s="39" t="str">
        <f t="shared" si="300"/>
        <v/>
      </c>
      <c r="S2746" s="28"/>
      <c r="T2746" s="28"/>
      <c r="U2746" s="28"/>
    </row>
    <row r="2747" spans="1:21" s="5" customFormat="1">
      <c r="A2747" s="179" t="s">
        <v>3253</v>
      </c>
      <c r="B2747" s="185" t="s">
        <v>104</v>
      </c>
      <c r="C2747" s="35" t="str">
        <f t="shared" si="294"/>
        <v>Mulla</v>
      </c>
      <c r="E2747" s="40"/>
      <c r="F2747" s="14" t="s">
        <v>3254</v>
      </c>
      <c r="G2747" s="17"/>
      <c r="H2747" s="10" t="s">
        <v>8563</v>
      </c>
      <c r="I2747" s="4" t="str">
        <f t="shared" si="295"/>
        <v>|Mullá|</v>
      </c>
      <c r="J2747" s="3" t="str">
        <f t="shared" si="296"/>
        <v>|Mulla|</v>
      </c>
      <c r="K2747" s="3" t="str">
        <f t="shared" si="297"/>
        <v>Mulla</v>
      </c>
      <c r="N2747" s="39" t="str">
        <f t="shared" si="298"/>
        <v/>
      </c>
      <c r="P2747" s="39" t="str">
        <f t="shared" si="299"/>
        <v/>
      </c>
      <c r="R2747" s="39" t="str">
        <f t="shared" si="300"/>
        <v/>
      </c>
      <c r="S2747" s="28"/>
      <c r="T2747" s="29"/>
      <c r="U2747" s="28"/>
    </row>
    <row r="2748" spans="1:21" s="5" customFormat="1">
      <c r="A2748" s="181"/>
      <c r="B2748" s="185" t="s">
        <v>8739</v>
      </c>
      <c r="C2748" s="35" t="str">
        <f t="shared" si="294"/>
        <v>MullaAbdulAli</v>
      </c>
      <c r="D2748" s="1"/>
      <c r="E2748" s="40"/>
      <c r="F2748" s="12"/>
      <c r="G2748" s="9"/>
      <c r="H2748" s="12" t="s">
        <v>8622</v>
      </c>
      <c r="I2748" s="4" t="str">
        <f t="shared" si="295"/>
        <v>|Mullá ʿAbdu’l-ʿAlí|</v>
      </c>
      <c r="J2748" s="3" t="str">
        <f t="shared" si="296"/>
        <v>|Mulla 'Abdu'l-'Ali|</v>
      </c>
      <c r="K2748" s="3" t="str">
        <f t="shared" si="297"/>
        <v>Mulla Abdul-Ali</v>
      </c>
      <c r="N2748" s="39" t="str">
        <f t="shared" si="298"/>
        <v/>
      </c>
      <c r="P2748" s="39" t="str">
        <f t="shared" si="299"/>
        <v/>
      </c>
      <c r="R2748" s="39" t="str">
        <f t="shared" si="300"/>
        <v/>
      </c>
      <c r="S2748" s="29">
        <v>41760</v>
      </c>
      <c r="T2748" s="28"/>
      <c r="U2748" s="28"/>
    </row>
    <row r="2749" spans="1:21" s="5" customFormat="1">
      <c r="A2749" s="181"/>
      <c r="B2749" s="185" t="s">
        <v>8740</v>
      </c>
      <c r="C2749" s="35" t="str">
        <f t="shared" si="294"/>
        <v>MullaAbdulAliyiHarati</v>
      </c>
      <c r="D2749" s="1"/>
      <c r="E2749" s="40"/>
      <c r="F2749" s="12"/>
      <c r="G2749" s="9"/>
      <c r="H2749" s="12" t="s">
        <v>8622</v>
      </c>
      <c r="I2749" s="4" t="str">
        <f t="shared" si="295"/>
        <v>|Mullá ʿAbdu’l-ʿAlíy-i-Harátí|</v>
      </c>
      <c r="J2749" s="3" t="str">
        <f t="shared" si="296"/>
        <v>|Mulla 'Abdu'l-'Aliy-i-Harati|</v>
      </c>
      <c r="K2749" s="3" t="str">
        <f t="shared" si="297"/>
        <v>Mulla Abdul-Aliy-i-Harati</v>
      </c>
      <c r="N2749" s="39" t="str">
        <f t="shared" si="298"/>
        <v/>
      </c>
      <c r="P2749" s="39" t="str">
        <f t="shared" si="299"/>
        <v/>
      </c>
      <c r="R2749" s="39" t="str">
        <f t="shared" si="300"/>
        <v/>
      </c>
      <c r="S2749" s="29">
        <v>41760</v>
      </c>
      <c r="T2749" s="28"/>
      <c r="U2749" s="28"/>
    </row>
    <row r="2750" spans="1:21" s="5" customFormat="1">
      <c r="A2750" s="181"/>
      <c r="B2750" s="185" t="s">
        <v>8741</v>
      </c>
      <c r="C2750" s="35" t="str">
        <f t="shared" si="294"/>
        <v>MullaAbdulKarim</v>
      </c>
      <c r="D2750" s="1"/>
      <c r="E2750" s="40"/>
      <c r="F2750" s="12"/>
      <c r="G2750" s="9"/>
      <c r="H2750" s="12" t="s">
        <v>8622</v>
      </c>
      <c r="I2750" s="4" t="str">
        <f t="shared" si="295"/>
        <v>|Mullá ʿAbdu’l-Karím|</v>
      </c>
      <c r="J2750" s="3" t="str">
        <f t="shared" si="296"/>
        <v>|Mulla 'Abdu'l-Karim|</v>
      </c>
      <c r="K2750" s="3" t="str">
        <f t="shared" si="297"/>
        <v>Mulla Abdul-Karim</v>
      </c>
      <c r="N2750" s="39" t="str">
        <f t="shared" si="298"/>
        <v/>
      </c>
      <c r="P2750" s="39" t="str">
        <f t="shared" si="299"/>
        <v/>
      </c>
      <c r="R2750" s="39" t="str">
        <f t="shared" si="300"/>
        <v/>
      </c>
      <c r="S2750" s="29">
        <v>41760</v>
      </c>
      <c r="T2750" s="28"/>
      <c r="U2750" s="28"/>
    </row>
    <row r="2751" spans="1:21" s="5" customFormat="1">
      <c r="A2751" s="181"/>
      <c r="B2751" s="185" t="s">
        <v>8742</v>
      </c>
      <c r="C2751" s="35" t="str">
        <f t="shared" si="294"/>
        <v>MullaAbdulKarimiIravani</v>
      </c>
      <c r="D2751" s="1"/>
      <c r="E2751" s="40"/>
      <c r="F2751" s="12"/>
      <c r="G2751" s="9"/>
      <c r="H2751" s="12" t="s">
        <v>8622</v>
      </c>
      <c r="I2751" s="4" t="str">
        <f t="shared" si="295"/>
        <v>|Mullá ʿAbdu’l-Karím-i-Íravání|</v>
      </c>
      <c r="J2751" s="3" t="str">
        <f t="shared" si="296"/>
        <v>|Mulla 'Abdu'l-Karim-i-Iravani|</v>
      </c>
      <c r="K2751" s="3" t="str">
        <f t="shared" si="297"/>
        <v>Mulla Abdul-Karim-i-Iravani</v>
      </c>
      <c r="N2751" s="39" t="str">
        <f t="shared" si="298"/>
        <v/>
      </c>
      <c r="P2751" s="39" t="str">
        <f t="shared" si="299"/>
        <v/>
      </c>
      <c r="R2751" s="39" t="str">
        <f t="shared" si="300"/>
        <v/>
      </c>
      <c r="S2751" s="29">
        <v>41760</v>
      </c>
      <c r="T2751" s="28"/>
      <c r="U2751" s="28"/>
    </row>
    <row r="2752" spans="1:21" s="5" customFormat="1">
      <c r="A2752" s="181"/>
      <c r="B2752" s="185" t="s">
        <v>8743</v>
      </c>
      <c r="C2752" s="35" t="str">
        <f t="shared" si="294"/>
        <v>MullaAbdulKarimiQazvini</v>
      </c>
      <c r="D2752" s="1"/>
      <c r="E2752" s="40"/>
      <c r="F2752" s="12"/>
      <c r="G2752" s="9"/>
      <c r="H2752" s="12" t="s">
        <v>8622</v>
      </c>
      <c r="I2752" s="4" t="str">
        <f t="shared" si="295"/>
        <v>|Mullá ʿAbdu’l-Karím-i-Qazvíní|</v>
      </c>
      <c r="J2752" s="3" t="str">
        <f t="shared" si="296"/>
        <v>|Mulla 'Abdu'l-Karim-i-Qazvini|</v>
      </c>
      <c r="K2752" s="3" t="str">
        <f t="shared" si="297"/>
        <v>Mulla Abdul-Karim-i-Qazvini</v>
      </c>
      <c r="N2752" s="39" t="str">
        <f t="shared" si="298"/>
        <v/>
      </c>
      <c r="P2752" s="39" t="str">
        <f t="shared" si="299"/>
        <v/>
      </c>
      <c r="R2752" s="39" t="str">
        <f t="shared" si="300"/>
        <v/>
      </c>
      <c r="S2752" s="29">
        <v>41760</v>
      </c>
      <c r="T2752" s="28"/>
      <c r="U2752" s="28"/>
    </row>
    <row r="2753" spans="1:21" s="5" customFormat="1">
      <c r="A2753" s="181"/>
      <c r="B2753" s="186" t="s">
        <v>8744</v>
      </c>
      <c r="C2753" s="35" t="str">
        <f t="shared" si="294"/>
        <v>MullaAbdulKarims</v>
      </c>
      <c r="D2753" s="1" t="s">
        <v>59</v>
      </c>
      <c r="E2753" s="40"/>
      <c r="F2753" s="12"/>
      <c r="G2753" s="9"/>
      <c r="H2753" s="12" t="s">
        <v>8622</v>
      </c>
      <c r="I2753" s="4" t="str">
        <f t="shared" si="295"/>
        <v>|Mullá ʿAbdu’l-Karíms|</v>
      </c>
      <c r="J2753" s="3" t="str">
        <f t="shared" si="296"/>
        <v>|Mulla 'Abdu'l-Karims|</v>
      </c>
      <c r="K2753" s="3" t="str">
        <f t="shared" si="297"/>
        <v>Mulla Abdul-Karims</v>
      </c>
      <c r="N2753" s="39" t="str">
        <f t="shared" si="298"/>
        <v/>
      </c>
      <c r="P2753" s="39" t="str">
        <f t="shared" si="299"/>
        <v/>
      </c>
      <c r="R2753" s="39" t="str">
        <f t="shared" si="300"/>
        <v/>
      </c>
      <c r="S2753" s="28"/>
      <c r="T2753" s="28"/>
      <c r="U2753" s="28"/>
    </row>
    <row r="2754" spans="1:21" s="5" customFormat="1">
      <c r="A2754" s="181"/>
      <c r="B2754" s="185" t="s">
        <v>8738</v>
      </c>
      <c r="C2754" s="35" t="str">
        <f t="shared" ref="C2754:C2817" si="301">SUBSTITUTE(SUBSTITUTE(K2754,"-","")," ","")</f>
        <v>MullaAbdulKhaliq</v>
      </c>
      <c r="D2754" s="1"/>
      <c r="E2754" s="40"/>
      <c r="F2754" s="12"/>
      <c r="G2754" s="9"/>
      <c r="H2754" s="12" t="s">
        <v>8622</v>
      </c>
      <c r="I2754" s="4" t="str">
        <f t="shared" ref="I2754:I2817" si="302">CONCATENATE("|",B2754,"|")</f>
        <v>|Mullá ʿAbdu’l-áliq|</v>
      </c>
      <c r="J2754" s="3" t="str">
        <f t="shared" ref="J2754:J2817" si="303">CONCATENATE("|",F_OutputASCII(B2754),"|")</f>
        <v>|Mulla 'Abdu'l-Khaliq|</v>
      </c>
      <c r="K2754" s="3" t="str">
        <f t="shared" ref="K2754:K2817" si="304">IF(SUBSTITUTE(MID(J2754,2,LEN(J2754)-2),"'","")&lt;&gt;"",SUBSTITUTE(MID(J2754,2,LEN(J2754)-2),"'",""),"ZZZZZ")</f>
        <v>Mulla Abdul-Khaliq</v>
      </c>
      <c r="N2754" s="39" t="str">
        <f t="shared" si="298"/>
        <v/>
      </c>
      <c r="P2754" s="39" t="str">
        <f t="shared" si="299"/>
        <v/>
      </c>
      <c r="R2754" s="39" t="str">
        <f t="shared" si="300"/>
        <v/>
      </c>
      <c r="S2754" s="29">
        <v>41760</v>
      </c>
      <c r="T2754" s="28"/>
      <c r="U2754" s="28"/>
    </row>
    <row r="2755" spans="1:21" s="5" customFormat="1">
      <c r="A2755" s="181"/>
      <c r="B2755" s="185" t="s">
        <v>8747</v>
      </c>
      <c r="C2755" s="35" t="str">
        <f t="shared" si="301"/>
        <v>MullaAbdulKhaliqiYazdi</v>
      </c>
      <c r="D2755" s="1"/>
      <c r="E2755" s="40"/>
      <c r="F2755" s="12"/>
      <c r="G2755" s="9"/>
      <c r="H2755" s="12" t="s">
        <v>8622</v>
      </c>
      <c r="I2755" s="4" t="str">
        <f t="shared" si="302"/>
        <v>|Mullá ʿAbdu’l-áliq-i-Yazdí|</v>
      </c>
      <c r="J2755" s="3" t="str">
        <f t="shared" si="303"/>
        <v>|Mulla 'Abdu'l-Khaliq-i-Yazdi|</v>
      </c>
      <c r="K2755" s="3" t="str">
        <f t="shared" si="304"/>
        <v>Mulla Abdul-Khaliq-i-Yazdi</v>
      </c>
      <c r="N2755" s="39" t="str">
        <f t="shared" ref="N2755:N2818" si="305">SUBSTITUTE(SUBSTITUTE(SUBSTITUTE(F_OutputASCII(M2755),"-","")," ",""),"'","")</f>
        <v/>
      </c>
      <c r="P2755" s="39" t="str">
        <f t="shared" ref="P2755:P2818" si="306">SUBSTITUTE(SUBSTITUTE(SUBSTITUTE(F_OutputASCII(O2755),"-","")," ",""),"'","")</f>
        <v/>
      </c>
      <c r="R2755" s="39" t="str">
        <f t="shared" ref="R2755:R2818" si="307">SUBSTITUTE(SUBSTITUTE(Q2755,"-","")," ","")</f>
        <v/>
      </c>
      <c r="S2755" s="29">
        <v>41760</v>
      </c>
      <c r="T2755" s="28"/>
      <c r="U2755" s="28"/>
    </row>
    <row r="2756" spans="1:21" s="5" customFormat="1">
      <c r="A2756" s="181"/>
      <c r="B2756" s="185" t="s">
        <v>8745</v>
      </c>
      <c r="C2756" s="35" t="str">
        <f t="shared" si="301"/>
        <v>MullaAbdulVahhab</v>
      </c>
      <c r="D2756" s="1"/>
      <c r="E2756" s="40"/>
      <c r="F2756" s="12"/>
      <c r="G2756" s="9"/>
      <c r="H2756" s="12" t="s">
        <v>8622</v>
      </c>
      <c r="I2756" s="4" t="str">
        <f t="shared" si="302"/>
        <v>|Mullá ʿAbdu’l-Vahháb|</v>
      </c>
      <c r="J2756" s="3" t="str">
        <f t="shared" si="303"/>
        <v>|Mulla 'Abdu'l-Vahhab|</v>
      </c>
      <c r="K2756" s="3" t="str">
        <f t="shared" si="304"/>
        <v>Mulla Abdul-Vahhab</v>
      </c>
      <c r="N2756" s="39" t="str">
        <f t="shared" si="305"/>
        <v/>
      </c>
      <c r="P2756" s="39" t="str">
        <f t="shared" si="306"/>
        <v/>
      </c>
      <c r="R2756" s="39" t="str">
        <f t="shared" si="307"/>
        <v/>
      </c>
      <c r="S2756" s="29">
        <v>41760</v>
      </c>
      <c r="T2756" s="28"/>
      <c r="U2756" s="28"/>
    </row>
    <row r="2757" spans="1:21" s="5" customFormat="1">
      <c r="A2757" s="181"/>
      <c r="B2757" s="185" t="s">
        <v>8746</v>
      </c>
      <c r="C2757" s="35" t="str">
        <f t="shared" si="301"/>
        <v>MullaAbdulVahhabiQazvini</v>
      </c>
      <c r="D2757" s="1"/>
      <c r="E2757" s="40"/>
      <c r="F2757" s="12"/>
      <c r="G2757" s="9"/>
      <c r="H2757" s="12" t="s">
        <v>8622</v>
      </c>
      <c r="I2757" s="4" t="str">
        <f t="shared" si="302"/>
        <v>|Mullá ʿAbdu’l-Vahháb-i-Qazvíní|</v>
      </c>
      <c r="J2757" s="3" t="str">
        <f t="shared" si="303"/>
        <v>|Mulla 'Abdu'l-Vahhab-i-Qazvini|</v>
      </c>
      <c r="K2757" s="3" t="str">
        <f t="shared" si="304"/>
        <v>Mulla Abdul-Vahhab-i-Qazvini</v>
      </c>
      <c r="N2757" s="39" t="str">
        <f t="shared" si="305"/>
        <v/>
      </c>
      <c r="P2757" s="39" t="str">
        <f t="shared" si="306"/>
        <v/>
      </c>
      <c r="R2757" s="39" t="str">
        <f t="shared" si="307"/>
        <v/>
      </c>
      <c r="S2757" s="29">
        <v>41760</v>
      </c>
      <c r="T2757" s="28"/>
      <c r="U2757" s="28"/>
    </row>
    <row r="2758" spans="1:21" s="5" customFormat="1">
      <c r="A2758" s="181"/>
      <c r="B2758" s="185" t="s">
        <v>8754</v>
      </c>
      <c r="C2758" s="35" t="str">
        <f t="shared" si="301"/>
        <v>MullaAhmadiIbdaliMaraghii</v>
      </c>
      <c r="D2758" s="1"/>
      <c r="E2758" s="40"/>
      <c r="F2758" s="12"/>
      <c r="G2758" s="9"/>
      <c r="H2758" s="12" t="s">
        <v>8622</v>
      </c>
      <c r="I2758" s="4" t="str">
        <f t="shared" si="302"/>
        <v>|Mullá Aḥmad-i-Ibdál-i-Marái’í|</v>
      </c>
      <c r="J2758" s="3" t="str">
        <f t="shared" si="303"/>
        <v>|Mulla Ahmad-i-Ibdal-i-Maraghi'i|</v>
      </c>
      <c r="K2758" s="3" t="str">
        <f t="shared" si="304"/>
        <v>Mulla Ahmad-i-Ibdal-i-Maraghii</v>
      </c>
      <c r="N2758" s="39" t="str">
        <f t="shared" si="305"/>
        <v/>
      </c>
      <c r="P2758" s="39" t="str">
        <f t="shared" si="306"/>
        <v/>
      </c>
      <c r="R2758" s="39" t="str">
        <f t="shared" si="307"/>
        <v/>
      </c>
      <c r="S2758" s="29">
        <v>41760</v>
      </c>
      <c r="T2758" s="28"/>
      <c r="U2758" s="28"/>
    </row>
    <row r="2759" spans="1:21" s="5" customFormat="1">
      <c r="A2759" s="181"/>
      <c r="B2759" s="185" t="s">
        <v>8755</v>
      </c>
      <c r="C2759" s="35" t="str">
        <f t="shared" si="301"/>
        <v>MullaAhmadiMuallim</v>
      </c>
      <c r="D2759" s="1"/>
      <c r="E2759" s="40"/>
      <c r="F2759" s="12"/>
      <c r="G2759" s="9"/>
      <c r="H2759" s="12" t="s">
        <v>8622</v>
      </c>
      <c r="I2759" s="4" t="str">
        <f t="shared" si="302"/>
        <v>|Mullá Aḥmad-i-Muʿallim|</v>
      </c>
      <c r="J2759" s="3" t="str">
        <f t="shared" si="303"/>
        <v>|Mulla Ahmad-i-Mu'allim|</v>
      </c>
      <c r="K2759" s="3" t="str">
        <f t="shared" si="304"/>
        <v>Mulla Ahmad-i-Muallim</v>
      </c>
      <c r="N2759" s="39" t="str">
        <f t="shared" si="305"/>
        <v/>
      </c>
      <c r="P2759" s="39" t="str">
        <f t="shared" si="306"/>
        <v/>
      </c>
      <c r="R2759" s="39" t="str">
        <f t="shared" si="307"/>
        <v/>
      </c>
      <c r="S2759" s="29">
        <v>41760</v>
      </c>
      <c r="T2759" s="28"/>
      <c r="U2759" s="28"/>
    </row>
    <row r="2760" spans="1:21" s="5" customFormat="1">
      <c r="A2760" s="181"/>
      <c r="B2760" s="185" t="s">
        <v>8748</v>
      </c>
      <c r="C2760" s="35" t="str">
        <f t="shared" si="301"/>
        <v>MullaAli</v>
      </c>
      <c r="D2760" s="1"/>
      <c r="E2760" s="40"/>
      <c r="F2760" s="12"/>
      <c r="G2760" s="9"/>
      <c r="H2760" s="12" t="s">
        <v>8622</v>
      </c>
      <c r="I2760" s="4" t="str">
        <f t="shared" si="302"/>
        <v>|Mullá ʿAlí|</v>
      </c>
      <c r="J2760" s="3" t="str">
        <f t="shared" si="303"/>
        <v>|Mulla 'Ali|</v>
      </c>
      <c r="K2760" s="3" t="str">
        <f t="shared" si="304"/>
        <v>Mulla Ali</v>
      </c>
      <c r="N2760" s="39" t="str">
        <f t="shared" si="305"/>
        <v/>
      </c>
      <c r="P2760" s="39" t="str">
        <f t="shared" si="306"/>
        <v/>
      </c>
      <c r="R2760" s="39" t="str">
        <f t="shared" si="307"/>
        <v/>
      </c>
      <c r="S2760" s="29">
        <v>41760</v>
      </c>
      <c r="T2760" s="29">
        <v>41799</v>
      </c>
      <c r="U2760" s="28" t="s">
        <v>9405</v>
      </c>
    </row>
    <row r="2761" spans="1:21" s="5" customFormat="1">
      <c r="A2761" s="181"/>
      <c r="B2761" s="185" t="s">
        <v>8749</v>
      </c>
      <c r="C2761" s="35" t="str">
        <f t="shared" si="301"/>
        <v>MullaAliAkbar</v>
      </c>
      <c r="D2761" s="1"/>
      <c r="E2761" s="40"/>
      <c r="F2761" s="12"/>
      <c r="G2761" s="9"/>
      <c r="H2761" s="12" t="s">
        <v>8622</v>
      </c>
      <c r="I2761" s="4" t="str">
        <f t="shared" si="302"/>
        <v>|Mullá ʿAlí-Akbar|</v>
      </c>
      <c r="J2761" s="3" t="str">
        <f t="shared" si="303"/>
        <v>|Mulla 'Ali-Akbar|</v>
      </c>
      <c r="K2761" s="3" t="str">
        <f t="shared" si="304"/>
        <v>Mulla Ali-Akbar</v>
      </c>
      <c r="N2761" s="39" t="str">
        <f t="shared" si="305"/>
        <v/>
      </c>
      <c r="P2761" s="39" t="str">
        <f t="shared" si="306"/>
        <v/>
      </c>
      <c r="R2761" s="39" t="str">
        <f t="shared" si="307"/>
        <v/>
      </c>
      <c r="S2761" s="29">
        <v>41760</v>
      </c>
      <c r="T2761" s="28"/>
      <c r="U2761" s="28"/>
    </row>
    <row r="2762" spans="1:21" s="5" customFormat="1">
      <c r="A2762" s="181"/>
      <c r="B2762" s="185" t="s">
        <v>8750</v>
      </c>
      <c r="C2762" s="35" t="str">
        <f t="shared" si="301"/>
        <v>MullaAliAkbariArdistani</v>
      </c>
      <c r="D2762" s="1"/>
      <c r="E2762" s="40"/>
      <c r="F2762" s="12"/>
      <c r="G2762" s="9"/>
      <c r="H2762" s="12" t="s">
        <v>8622</v>
      </c>
      <c r="I2762" s="4" t="str">
        <f t="shared" si="302"/>
        <v>|Mullá ʿAlí-Akbar-i-Ardistání|</v>
      </c>
      <c r="J2762" s="3" t="str">
        <f t="shared" si="303"/>
        <v>|Mulla 'Ali-Akbar-i-Ardistani|</v>
      </c>
      <c r="K2762" s="3" t="str">
        <f t="shared" si="304"/>
        <v>Mulla Ali-Akbar-i-Ardistani</v>
      </c>
      <c r="N2762" s="39" t="str">
        <f t="shared" si="305"/>
        <v/>
      </c>
      <c r="P2762" s="39" t="str">
        <f t="shared" si="306"/>
        <v/>
      </c>
      <c r="R2762" s="39" t="str">
        <f t="shared" si="307"/>
        <v/>
      </c>
      <c r="S2762" s="29">
        <v>41760</v>
      </c>
      <c r="T2762" s="28"/>
      <c r="U2762" s="28"/>
    </row>
    <row r="2763" spans="1:21" s="5" customFormat="1">
      <c r="A2763" s="181"/>
      <c r="B2763" s="186" t="s">
        <v>8751</v>
      </c>
      <c r="C2763" s="35" t="str">
        <f t="shared" si="301"/>
        <v>MullaAlis</v>
      </c>
      <c r="D2763" s="1" t="s">
        <v>59</v>
      </c>
      <c r="E2763" s="40"/>
      <c r="F2763" s="12"/>
      <c r="G2763" s="9"/>
      <c r="H2763" s="12" t="s">
        <v>8622</v>
      </c>
      <c r="I2763" s="4" t="str">
        <f t="shared" si="302"/>
        <v>|Mullá ʿAlís|</v>
      </c>
      <c r="J2763" s="3" t="str">
        <f t="shared" si="303"/>
        <v>|Mulla 'Alis|</v>
      </c>
      <c r="K2763" s="3" t="str">
        <f t="shared" si="304"/>
        <v>Mulla Alis</v>
      </c>
      <c r="N2763" s="39" t="str">
        <f t="shared" si="305"/>
        <v/>
      </c>
      <c r="P2763" s="39" t="str">
        <f t="shared" si="306"/>
        <v/>
      </c>
      <c r="R2763" s="39" t="str">
        <f t="shared" si="307"/>
        <v/>
      </c>
      <c r="S2763" s="28"/>
      <c r="T2763" s="28"/>
      <c r="U2763" s="28"/>
    </row>
    <row r="2764" spans="1:21" s="5" customFormat="1">
      <c r="A2764" s="181"/>
      <c r="B2764" s="185" t="s">
        <v>8752</v>
      </c>
      <c r="C2764" s="35" t="str">
        <f t="shared" si="301"/>
        <v>MullaAliyiBastami</v>
      </c>
      <c r="D2764" s="1"/>
      <c r="E2764" s="40" t="s">
        <v>9115</v>
      </c>
      <c r="F2764" s="12"/>
      <c r="G2764" s="9"/>
      <c r="H2764" s="12" t="s">
        <v>8622</v>
      </c>
      <c r="I2764" s="4" t="str">
        <f t="shared" si="302"/>
        <v>|Mullá ʿAlíy-i-Basṭámí|</v>
      </c>
      <c r="J2764" s="3" t="str">
        <f t="shared" si="303"/>
        <v>|Mulla 'Aliy-i-Bastami|</v>
      </c>
      <c r="K2764" s="3" t="str">
        <f t="shared" si="304"/>
        <v>Mulla Aliy-i-Bastami</v>
      </c>
      <c r="N2764" s="39" t="str">
        <f t="shared" si="305"/>
        <v/>
      </c>
      <c r="P2764" s="39" t="str">
        <f t="shared" si="306"/>
        <v/>
      </c>
      <c r="R2764" s="39" t="str">
        <f t="shared" si="307"/>
        <v/>
      </c>
      <c r="S2764" s="29">
        <v>41760</v>
      </c>
      <c r="T2764" s="28"/>
      <c r="U2764" s="28"/>
    </row>
    <row r="2765" spans="1:21" s="5" customFormat="1">
      <c r="A2765" s="181"/>
      <c r="B2765" s="186" t="s">
        <v>8753</v>
      </c>
      <c r="C2765" s="35" t="str">
        <f t="shared" si="301"/>
        <v>MullaAliyiBastamis</v>
      </c>
      <c r="D2765" s="1" t="s">
        <v>59</v>
      </c>
      <c r="E2765" s="40"/>
      <c r="F2765" s="12"/>
      <c r="G2765" s="9"/>
      <c r="H2765" s="12" t="s">
        <v>8622</v>
      </c>
      <c r="I2765" s="4" t="str">
        <f t="shared" si="302"/>
        <v>|Mullá ʿAlíy-i-Bastámís|</v>
      </c>
      <c r="J2765" s="3" t="str">
        <f t="shared" si="303"/>
        <v>|Mulla 'Aliy-i-Bastamis|</v>
      </c>
      <c r="K2765" s="3" t="str">
        <f t="shared" si="304"/>
        <v>Mulla Aliy-i-Bastamis</v>
      </c>
      <c r="N2765" s="39" t="str">
        <f t="shared" si="305"/>
        <v/>
      </c>
      <c r="P2765" s="39" t="str">
        <f t="shared" si="306"/>
        <v/>
      </c>
      <c r="R2765" s="39" t="str">
        <f t="shared" si="307"/>
        <v/>
      </c>
      <c r="S2765" s="28"/>
      <c r="T2765" s="28"/>
      <c r="U2765" s="28"/>
    </row>
    <row r="2766" spans="1:21" s="5" customFormat="1">
      <c r="A2766" s="181"/>
      <c r="B2766" s="185" t="s">
        <v>8756</v>
      </c>
      <c r="C2766" s="35" t="str">
        <f t="shared" si="301"/>
        <v>MullaBaqiriTabrizi</v>
      </c>
      <c r="D2766" s="1"/>
      <c r="E2766" s="40"/>
      <c r="F2766" s="12"/>
      <c r="G2766" s="9"/>
      <c r="H2766" s="12" t="s">
        <v>8622</v>
      </c>
      <c r="I2766" s="4" t="str">
        <f t="shared" si="302"/>
        <v>|Mullá Báqir-i-Tabrízí|</v>
      </c>
      <c r="J2766" s="3" t="str">
        <f t="shared" si="303"/>
        <v>|Mulla Baqir-i-Tabrizi|</v>
      </c>
      <c r="K2766" s="3" t="str">
        <f t="shared" si="304"/>
        <v>Mulla Baqir-i-Tabrizi</v>
      </c>
      <c r="N2766" s="39" t="str">
        <f t="shared" si="305"/>
        <v/>
      </c>
      <c r="P2766" s="39" t="str">
        <f t="shared" si="306"/>
        <v/>
      </c>
      <c r="R2766" s="39" t="str">
        <f t="shared" si="307"/>
        <v/>
      </c>
      <c r="S2766" s="29">
        <v>41760</v>
      </c>
      <c r="T2766" s="28"/>
      <c r="U2766" s="28"/>
    </row>
    <row r="2767" spans="1:21" s="5" customFormat="1">
      <c r="A2767" s="181"/>
      <c r="B2767" s="185" t="s">
        <v>8757</v>
      </c>
      <c r="C2767" s="35" t="str">
        <f t="shared" si="301"/>
        <v>MullaHasaniBajistani</v>
      </c>
      <c r="D2767" s="1"/>
      <c r="E2767" s="40"/>
      <c r="F2767" s="12"/>
      <c r="G2767" s="9"/>
      <c r="H2767" s="12" t="s">
        <v>8622</v>
      </c>
      <c r="I2767" s="4" t="str">
        <f t="shared" si="302"/>
        <v>|Mullá Ḥasan-i-Bajistání|</v>
      </c>
      <c r="J2767" s="3" t="str">
        <f t="shared" si="303"/>
        <v>|Mulla Hasan-i-Bajistani|</v>
      </c>
      <c r="K2767" s="3" t="str">
        <f t="shared" si="304"/>
        <v>Mulla Hasan-i-Bajistani</v>
      </c>
      <c r="N2767" s="39" t="str">
        <f t="shared" si="305"/>
        <v/>
      </c>
      <c r="P2767" s="39" t="str">
        <f t="shared" si="306"/>
        <v/>
      </c>
      <c r="R2767" s="39" t="str">
        <f t="shared" si="307"/>
        <v/>
      </c>
      <c r="S2767" s="29">
        <v>41760</v>
      </c>
      <c r="T2767" s="28"/>
      <c r="U2767" s="28"/>
    </row>
    <row r="2768" spans="1:21" s="5" customFormat="1">
      <c r="A2768" s="181"/>
      <c r="B2768" s="185" t="s">
        <v>29</v>
      </c>
      <c r="C2768" s="35" t="str">
        <f t="shared" si="301"/>
        <v>MullaHusayn</v>
      </c>
      <c r="D2768" s="1"/>
      <c r="E2768" s="40"/>
      <c r="F2768" s="12"/>
      <c r="G2768" s="9"/>
      <c r="H2768" s="12" t="s">
        <v>8622</v>
      </c>
      <c r="I2768" s="4" t="str">
        <f t="shared" si="302"/>
        <v>|Mullá Ḥusayn|</v>
      </c>
      <c r="J2768" s="3" t="str">
        <f t="shared" si="303"/>
        <v>|Mulla Husayn|</v>
      </c>
      <c r="K2768" s="3" t="str">
        <f t="shared" si="304"/>
        <v>Mulla Husayn</v>
      </c>
      <c r="N2768" s="39" t="str">
        <f t="shared" si="305"/>
        <v/>
      </c>
      <c r="P2768" s="39" t="str">
        <f t="shared" si="306"/>
        <v/>
      </c>
      <c r="R2768" s="39" t="str">
        <f t="shared" si="307"/>
        <v/>
      </c>
      <c r="S2768" s="29">
        <v>41760</v>
      </c>
      <c r="T2768" s="29">
        <v>41799</v>
      </c>
      <c r="U2768" s="28" t="s">
        <v>9461</v>
      </c>
    </row>
    <row r="2769" spans="1:21" s="5" customFormat="1">
      <c r="A2769" s="181"/>
      <c r="B2769" s="185" t="s">
        <v>8758</v>
      </c>
      <c r="C2769" s="35" t="str">
        <f t="shared" si="301"/>
        <v>MullaHusayniBushrui</v>
      </c>
      <c r="D2769" s="1"/>
      <c r="E2769" s="40"/>
      <c r="F2769" s="12"/>
      <c r="G2769" s="9"/>
      <c r="H2769" s="12" t="s">
        <v>8622</v>
      </c>
      <c r="I2769" s="4" t="str">
        <f t="shared" si="302"/>
        <v>|Mullá Ḥusayn-i-Burú’í|</v>
      </c>
      <c r="J2769" s="3" t="str">
        <f t="shared" si="303"/>
        <v>|Mulla Husayn-i-Bushru'i|</v>
      </c>
      <c r="K2769" s="3" t="str">
        <f t="shared" si="304"/>
        <v>Mulla Husayn-i-Bushrui</v>
      </c>
      <c r="N2769" s="39" t="str">
        <f t="shared" si="305"/>
        <v/>
      </c>
      <c r="P2769" s="39" t="str">
        <f t="shared" si="306"/>
        <v/>
      </c>
      <c r="R2769" s="39" t="str">
        <f t="shared" si="307"/>
        <v/>
      </c>
      <c r="S2769" s="29">
        <v>41760</v>
      </c>
      <c r="T2769" s="28"/>
      <c r="U2769" s="28"/>
    </row>
    <row r="2770" spans="1:21" s="5" customFormat="1">
      <c r="A2770" s="179"/>
      <c r="B2770" s="185" t="s">
        <v>9107</v>
      </c>
      <c r="C2770" s="35" t="str">
        <f t="shared" si="301"/>
        <v>MullaHusayns</v>
      </c>
      <c r="D2770" s="5" t="s">
        <v>59</v>
      </c>
      <c r="E2770" s="40"/>
      <c r="F2770" s="15"/>
      <c r="G2770" s="17"/>
      <c r="H2770" s="10"/>
      <c r="I2770" s="4" t="str">
        <f t="shared" si="302"/>
        <v>|Mullá Ḥusayns|</v>
      </c>
      <c r="J2770" s="3" t="str">
        <f t="shared" si="303"/>
        <v>|Mulla Husayns|</v>
      </c>
      <c r="K2770" s="3" t="str">
        <f t="shared" si="304"/>
        <v>Mulla Husayns</v>
      </c>
      <c r="L2770" s="1"/>
      <c r="N2770" s="39" t="str">
        <f t="shared" si="305"/>
        <v/>
      </c>
      <c r="P2770" s="39" t="str">
        <f t="shared" si="306"/>
        <v/>
      </c>
      <c r="R2770" s="39" t="str">
        <f t="shared" si="307"/>
        <v/>
      </c>
      <c r="S2770" s="29">
        <v>41781</v>
      </c>
      <c r="T2770" s="29">
        <v>41781</v>
      </c>
      <c r="U2770" s="28" t="s">
        <v>9446</v>
      </c>
    </row>
    <row r="2771" spans="1:21" s="5" customFormat="1">
      <c r="A2771" s="181"/>
      <c r="B2771" s="185" t="s">
        <v>8632</v>
      </c>
      <c r="C2771" s="35" t="str">
        <f t="shared" si="301"/>
        <v>MullaKhudaBakhshiQuchani</v>
      </c>
      <c r="D2771" s="1"/>
      <c r="E2771" s="40"/>
      <c r="F2771" s="12"/>
      <c r="G2771" s="9"/>
      <c r="H2771" s="12" t="s">
        <v>8622</v>
      </c>
      <c r="I2771" s="4" t="str">
        <f t="shared" si="302"/>
        <v>|Mullá udá-Ba-i-Qúání|</v>
      </c>
      <c r="J2771" s="3" t="str">
        <f t="shared" si="303"/>
        <v>|Mulla Khuda-Bakhsh-i-Quchani|</v>
      </c>
      <c r="K2771" s="3" t="str">
        <f t="shared" si="304"/>
        <v>Mulla Khuda-Bakhsh-i-Quchani</v>
      </c>
      <c r="N2771" s="39" t="str">
        <f t="shared" si="305"/>
        <v/>
      </c>
      <c r="P2771" s="39" t="str">
        <f t="shared" si="306"/>
        <v/>
      </c>
      <c r="R2771" s="39" t="str">
        <f t="shared" si="307"/>
        <v/>
      </c>
      <c r="S2771" s="29">
        <v>41760</v>
      </c>
      <c r="T2771" s="28"/>
      <c r="U2771" s="28"/>
    </row>
    <row r="2772" spans="1:21" s="5" customFormat="1">
      <c r="A2772" s="181"/>
      <c r="B2772" s="185" t="s">
        <v>8809</v>
      </c>
      <c r="C2772" s="35" t="str">
        <f t="shared" si="301"/>
        <v>MullaMahmudiKhuyi</v>
      </c>
      <c r="D2772" s="1"/>
      <c r="E2772" s="40"/>
      <c r="F2772" s="12"/>
      <c r="G2772" s="9"/>
      <c r="H2772" s="12" t="s">
        <v>8622</v>
      </c>
      <c r="I2772" s="4" t="str">
        <f t="shared" si="302"/>
        <v>|Mullá Maḥmúd-i-uy’í|</v>
      </c>
      <c r="J2772" s="3" t="str">
        <f t="shared" si="303"/>
        <v>|Mulla Mahmud-i-Khuy'i|</v>
      </c>
      <c r="K2772" s="3" t="str">
        <f t="shared" si="304"/>
        <v>Mulla Mahmud-i-Khuyi</v>
      </c>
      <c r="N2772" s="39" t="str">
        <f t="shared" si="305"/>
        <v/>
      </c>
      <c r="P2772" s="39" t="str">
        <f t="shared" si="306"/>
        <v/>
      </c>
      <c r="R2772" s="39" t="str">
        <f t="shared" si="307"/>
        <v/>
      </c>
      <c r="S2772" s="29">
        <v>41760</v>
      </c>
      <c r="T2772" s="28"/>
      <c r="U2772" s="28"/>
    </row>
    <row r="2773" spans="1:21" s="5" customFormat="1">
      <c r="A2773" s="181"/>
      <c r="B2773" s="185" t="s">
        <v>8760</v>
      </c>
      <c r="C2773" s="35" t="str">
        <f t="shared" si="301"/>
        <v>MullaMuhammad</v>
      </c>
      <c r="D2773" s="1"/>
      <c r="E2773" s="40"/>
      <c r="F2773" s="12"/>
      <c r="G2773" s="9"/>
      <c r="H2773" s="12" t="s">
        <v>8622</v>
      </c>
      <c r="I2773" s="4" t="str">
        <f t="shared" si="302"/>
        <v>|Mullá Muḥammad|</v>
      </c>
      <c r="J2773" s="3" t="str">
        <f t="shared" si="303"/>
        <v>|Mulla Muhammad|</v>
      </c>
      <c r="K2773" s="3" t="str">
        <f t="shared" si="304"/>
        <v>Mulla Muhammad</v>
      </c>
      <c r="N2773" s="39" t="str">
        <f t="shared" si="305"/>
        <v/>
      </c>
      <c r="P2773" s="39" t="str">
        <f t="shared" si="306"/>
        <v/>
      </c>
      <c r="R2773" s="39" t="str">
        <f t="shared" si="307"/>
        <v/>
      </c>
      <c r="S2773" s="29">
        <v>41760</v>
      </c>
      <c r="T2773" s="28"/>
      <c r="U2773" s="28"/>
    </row>
    <row r="2774" spans="1:21" s="5" customFormat="1">
      <c r="A2774" s="181"/>
      <c r="B2774" s="185" t="s">
        <v>8759</v>
      </c>
      <c r="C2774" s="35" t="str">
        <f t="shared" si="301"/>
        <v>MullaMuhammadAli</v>
      </c>
      <c r="D2774" s="1"/>
      <c r="E2774" s="40"/>
      <c r="F2774" s="12"/>
      <c r="G2774" s="9"/>
      <c r="H2774" s="12" t="s">
        <v>8622</v>
      </c>
      <c r="I2774" s="4" t="str">
        <f t="shared" si="302"/>
        <v>|Mullá Muḥammad ʿAlí|</v>
      </c>
      <c r="J2774" s="3" t="str">
        <f t="shared" si="303"/>
        <v>|Mulla Muhammad 'Ali|</v>
      </c>
      <c r="K2774" s="3" t="str">
        <f t="shared" si="304"/>
        <v>Mulla Muhammad Ali</v>
      </c>
      <c r="N2774" s="39" t="str">
        <f t="shared" si="305"/>
        <v/>
      </c>
      <c r="P2774" s="39" t="str">
        <f t="shared" si="306"/>
        <v/>
      </c>
      <c r="R2774" s="39" t="str">
        <f t="shared" si="307"/>
        <v/>
      </c>
      <c r="S2774" s="29">
        <v>41760</v>
      </c>
      <c r="T2774" s="28"/>
      <c r="U2774" s="28"/>
    </row>
    <row r="2775" spans="1:21" s="5" customFormat="1">
      <c r="A2775" s="181"/>
      <c r="B2775" s="185" t="s">
        <v>30</v>
      </c>
      <c r="C2775" s="35" t="str">
        <f t="shared" si="301"/>
        <v>MullaMuhammadiMamaqani</v>
      </c>
      <c r="D2775" s="1"/>
      <c r="E2775" s="40"/>
      <c r="F2775" s="12"/>
      <c r="G2775" s="9"/>
      <c r="H2775" s="12"/>
      <c r="I2775" s="4" t="str">
        <f t="shared" si="302"/>
        <v>|Mullá Muḥammad-i-Mamaqaní|</v>
      </c>
      <c r="J2775" s="3" t="str">
        <f t="shared" si="303"/>
        <v>|Mulla Muhammad-i-Mamaqani|</v>
      </c>
      <c r="K2775" s="3" t="str">
        <f t="shared" si="304"/>
        <v>Mulla Muhammad-i-Mamaqani</v>
      </c>
      <c r="M2775" s="1"/>
      <c r="N2775" s="39" t="str">
        <f t="shared" si="305"/>
        <v/>
      </c>
      <c r="O2775" s="1"/>
      <c r="P2775" s="39" t="str">
        <f t="shared" si="306"/>
        <v/>
      </c>
      <c r="Q2775" s="1"/>
      <c r="R2775" s="39" t="str">
        <f t="shared" si="307"/>
        <v/>
      </c>
      <c r="S2775" s="28"/>
      <c r="T2775" s="29">
        <v>41781</v>
      </c>
      <c r="U2775" s="28" t="s">
        <v>9446</v>
      </c>
    </row>
    <row r="2776" spans="1:21" s="5" customFormat="1">
      <c r="A2776" s="181"/>
      <c r="B2776" s="185" t="s">
        <v>8761</v>
      </c>
      <c r="C2776" s="35" t="str">
        <f t="shared" si="301"/>
        <v>MullaMuhammadiMuallim</v>
      </c>
      <c r="D2776" s="1"/>
      <c r="E2776" s="40"/>
      <c r="F2776" s="12"/>
      <c r="G2776" s="9"/>
      <c r="H2776" s="12" t="s">
        <v>8622</v>
      </c>
      <c r="I2776" s="4" t="str">
        <f t="shared" si="302"/>
        <v>|Mullá Muḥammad-i-Muʿallim|</v>
      </c>
      <c r="J2776" s="3" t="str">
        <f t="shared" si="303"/>
        <v>|Mulla Muhammad-i-Mu'allim|</v>
      </c>
      <c r="K2776" s="3" t="str">
        <f t="shared" si="304"/>
        <v>Mulla Muhammad-i-Muallim</v>
      </c>
      <c r="N2776" s="39" t="str">
        <f t="shared" si="305"/>
        <v/>
      </c>
      <c r="P2776" s="39" t="str">
        <f t="shared" si="306"/>
        <v/>
      </c>
      <c r="R2776" s="39" t="str">
        <f t="shared" si="307"/>
        <v/>
      </c>
      <c r="S2776" s="29">
        <v>41760</v>
      </c>
      <c r="T2776" s="28"/>
      <c r="U2776" s="28"/>
    </row>
    <row r="2777" spans="1:21" s="5" customFormat="1">
      <c r="A2777" s="181"/>
      <c r="B2777" s="185" t="s">
        <v>8762</v>
      </c>
      <c r="C2777" s="35" t="str">
        <f t="shared" si="301"/>
        <v>MullaMuhammadiNuri</v>
      </c>
      <c r="D2777" s="1"/>
      <c r="E2777" s="40"/>
      <c r="F2777" s="12"/>
      <c r="G2777" s="9"/>
      <c r="H2777" s="12" t="s">
        <v>8622</v>
      </c>
      <c r="I2777" s="4" t="str">
        <f t="shared" si="302"/>
        <v>|Mullá Muḥammad-i-Núrí|</v>
      </c>
      <c r="J2777" s="3" t="str">
        <f t="shared" si="303"/>
        <v>|Mulla Muhammad-i-Nuri|</v>
      </c>
      <c r="K2777" s="3" t="str">
        <f t="shared" si="304"/>
        <v>Mulla Muhammad-i-Nuri</v>
      </c>
      <c r="N2777" s="39" t="str">
        <f t="shared" si="305"/>
        <v/>
      </c>
      <c r="P2777" s="39" t="str">
        <f t="shared" si="306"/>
        <v/>
      </c>
      <c r="R2777" s="39" t="str">
        <f t="shared" si="307"/>
        <v/>
      </c>
      <c r="S2777" s="29">
        <v>41760</v>
      </c>
      <c r="T2777" s="28"/>
      <c r="U2777" s="28"/>
    </row>
    <row r="2778" spans="1:21" s="5" customFormat="1">
      <c r="A2778" s="181"/>
      <c r="B2778" s="185" t="s">
        <v>8630</v>
      </c>
      <c r="C2778" s="35" t="str">
        <f t="shared" si="301"/>
        <v>MullaMuhammadTaqiyiBaraqani</v>
      </c>
      <c r="D2778" s="1"/>
      <c r="E2778" s="40"/>
      <c r="F2778" s="12"/>
      <c r="G2778" s="9"/>
      <c r="H2778" s="12" t="s">
        <v>8622</v>
      </c>
      <c r="I2778" s="4" t="str">
        <f t="shared" si="302"/>
        <v>|Mullá Muḥammad-Taqíy-i-Baraqání|</v>
      </c>
      <c r="J2778" s="3" t="str">
        <f t="shared" si="303"/>
        <v>|Mulla Muhammad-Taqiy-i-Baraqani|</v>
      </c>
      <c r="K2778" s="3" t="str">
        <f t="shared" si="304"/>
        <v>Mulla Muhammad-Taqiy-i-Baraqani</v>
      </c>
      <c r="N2778" s="39" t="str">
        <f t="shared" si="305"/>
        <v/>
      </c>
      <c r="P2778" s="39" t="str">
        <f t="shared" si="306"/>
        <v/>
      </c>
      <c r="R2778" s="39" t="str">
        <f t="shared" si="307"/>
        <v/>
      </c>
      <c r="S2778" s="29">
        <v>41760</v>
      </c>
      <c r="T2778" s="28"/>
      <c r="U2778" s="28"/>
    </row>
    <row r="2779" spans="1:21" s="5" customFormat="1">
      <c r="A2779" s="181"/>
      <c r="B2779" s="185" t="s">
        <v>8631</v>
      </c>
      <c r="C2779" s="35" t="str">
        <f t="shared" si="301"/>
        <v>MullaMuhammadTaqiyiHarati</v>
      </c>
      <c r="D2779" s="1"/>
      <c r="E2779" s="40"/>
      <c r="F2779" s="12"/>
      <c r="G2779" s="9"/>
      <c r="H2779" s="12" t="s">
        <v>8622</v>
      </c>
      <c r="I2779" s="4" t="str">
        <f t="shared" si="302"/>
        <v>|Mullá Muḥammad-Taqíy-i-Harátí|</v>
      </c>
      <c r="J2779" s="3" t="str">
        <f t="shared" si="303"/>
        <v>|Mulla Muhammad-Taqiy-i-Harati|</v>
      </c>
      <c r="K2779" s="3" t="str">
        <f t="shared" si="304"/>
        <v>Mulla Muhammad-Taqiy-i-Harati</v>
      </c>
      <c r="N2779" s="39" t="str">
        <f t="shared" si="305"/>
        <v/>
      </c>
      <c r="P2779" s="39" t="str">
        <f t="shared" si="306"/>
        <v/>
      </c>
      <c r="R2779" s="39" t="str">
        <f t="shared" si="307"/>
        <v/>
      </c>
      <c r="S2779" s="29">
        <v>41760</v>
      </c>
      <c r="T2779" s="28"/>
      <c r="U2779" s="28"/>
    </row>
    <row r="2780" spans="1:21" s="5" customFormat="1">
      <c r="A2780" s="181"/>
      <c r="B2780" s="185" t="s">
        <v>8763</v>
      </c>
      <c r="C2780" s="35" t="str">
        <f t="shared" si="301"/>
        <v>MullaSadiq</v>
      </c>
      <c r="D2780" s="1"/>
      <c r="E2780" s="40"/>
      <c r="F2780" s="12"/>
      <c r="G2780" s="9"/>
      <c r="H2780" s="12" t="s">
        <v>8622</v>
      </c>
      <c r="I2780" s="4" t="str">
        <f t="shared" si="302"/>
        <v>|Mullá Ṣádiq|</v>
      </c>
      <c r="J2780" s="3" t="str">
        <f t="shared" si="303"/>
        <v>|Mulla Sadiq|</v>
      </c>
      <c r="K2780" s="3" t="str">
        <f t="shared" si="304"/>
        <v>Mulla Sadiq</v>
      </c>
      <c r="N2780" s="39" t="str">
        <f t="shared" si="305"/>
        <v/>
      </c>
      <c r="P2780" s="39" t="str">
        <f t="shared" si="306"/>
        <v/>
      </c>
      <c r="R2780" s="39" t="str">
        <f t="shared" si="307"/>
        <v/>
      </c>
      <c r="S2780" s="29">
        <v>41760</v>
      </c>
      <c r="T2780" s="28"/>
      <c r="U2780" s="28"/>
    </row>
    <row r="2781" spans="1:21" s="5" customFormat="1">
      <c r="A2781" s="181"/>
      <c r="B2781" s="185" t="s">
        <v>8764</v>
      </c>
      <c r="C2781" s="35" t="str">
        <f t="shared" si="301"/>
        <v>MullaSadra</v>
      </c>
      <c r="D2781" s="1"/>
      <c r="E2781" s="40"/>
      <c r="F2781" s="12"/>
      <c r="G2781" s="9"/>
      <c r="H2781" s="12" t="s">
        <v>8622</v>
      </c>
      <c r="I2781" s="4" t="str">
        <f t="shared" si="302"/>
        <v>|Mullá Ṣadrá|</v>
      </c>
      <c r="J2781" s="3" t="str">
        <f t="shared" si="303"/>
        <v>|Mulla Sadra|</v>
      </c>
      <c r="K2781" s="3" t="str">
        <f t="shared" si="304"/>
        <v>Mulla Sadra</v>
      </c>
      <c r="N2781" s="39" t="str">
        <f t="shared" si="305"/>
        <v/>
      </c>
      <c r="P2781" s="39" t="str">
        <f t="shared" si="306"/>
        <v/>
      </c>
      <c r="R2781" s="39" t="str">
        <f t="shared" si="307"/>
        <v/>
      </c>
      <c r="S2781" s="29">
        <v>41760</v>
      </c>
      <c r="T2781" s="28"/>
      <c r="U2781" s="28"/>
    </row>
    <row r="2782" spans="1:21" s="5" customFormat="1">
      <c r="A2782" s="181"/>
      <c r="B2782" s="185" t="s">
        <v>8633</v>
      </c>
      <c r="C2782" s="35" t="str">
        <f t="shared" si="301"/>
        <v>MullaShaykhAli</v>
      </c>
      <c r="D2782" s="1"/>
      <c r="E2782" s="40"/>
      <c r="F2782" s="12"/>
      <c r="G2782" s="9"/>
      <c r="H2782" s="12" t="s">
        <v>8622</v>
      </c>
      <c r="I2782" s="4" t="str">
        <f t="shared" si="302"/>
        <v>|Mullá ay ʿAlí|</v>
      </c>
      <c r="J2782" s="3" t="str">
        <f t="shared" si="303"/>
        <v>|Mulla Shaykh 'Ali|</v>
      </c>
      <c r="K2782" s="3" t="str">
        <f t="shared" si="304"/>
        <v>Mulla Shaykh Ali</v>
      </c>
      <c r="N2782" s="39" t="str">
        <f t="shared" si="305"/>
        <v/>
      </c>
      <c r="P2782" s="39" t="str">
        <f t="shared" si="306"/>
        <v/>
      </c>
      <c r="R2782" s="39" t="str">
        <f t="shared" si="307"/>
        <v/>
      </c>
      <c r="S2782" s="29">
        <v>41760</v>
      </c>
      <c r="T2782" s="28"/>
      <c r="U2782" s="28"/>
    </row>
    <row r="2783" spans="1:21" s="5" customFormat="1">
      <c r="A2783" s="181"/>
      <c r="B2783" s="185" t="s">
        <v>8810</v>
      </c>
      <c r="C2783" s="35" t="str">
        <f t="shared" si="301"/>
        <v>MullaYusifiArdibili</v>
      </c>
      <c r="D2783" s="1"/>
      <c r="E2783" s="40"/>
      <c r="F2783" s="12"/>
      <c r="G2783" s="9"/>
      <c r="H2783" s="12" t="s">
        <v>8622</v>
      </c>
      <c r="I2783" s="4" t="str">
        <f t="shared" si="302"/>
        <v>|Mullá Yúsif-i-Ardibílí|</v>
      </c>
      <c r="J2783" s="3" t="str">
        <f t="shared" si="303"/>
        <v>|Mulla Yusif-i-Ardibili|</v>
      </c>
      <c r="K2783" s="3" t="str">
        <f t="shared" si="304"/>
        <v>Mulla Yusif-i-Ardibili</v>
      </c>
      <c r="N2783" s="39" t="str">
        <f t="shared" si="305"/>
        <v/>
      </c>
      <c r="P2783" s="39" t="str">
        <f t="shared" si="306"/>
        <v/>
      </c>
      <c r="R2783" s="39" t="str">
        <f t="shared" si="307"/>
        <v/>
      </c>
      <c r="S2783" s="29">
        <v>41760</v>
      </c>
      <c r="T2783" s="28"/>
      <c r="U2783" s="28"/>
    </row>
    <row r="2784" spans="1:21" s="5" customFormat="1">
      <c r="A2784" s="181"/>
      <c r="B2784" s="185" t="s">
        <v>8634</v>
      </c>
      <c r="C2784" s="35" t="str">
        <f t="shared" si="301"/>
        <v>MullaAliyiBastami</v>
      </c>
      <c r="D2784" s="1"/>
      <c r="E2784" s="40" t="s">
        <v>9115</v>
      </c>
      <c r="F2784" s="12"/>
      <c r="G2784" s="9"/>
      <c r="H2784" s="12" t="s">
        <v>8622</v>
      </c>
      <c r="I2784" s="4" t="str">
        <f t="shared" si="302"/>
        <v>|Mullá-ʿAlíy-i-Basṭámí|</v>
      </c>
      <c r="J2784" s="3" t="str">
        <f t="shared" si="303"/>
        <v>|Mulla-'Aliy-i-Bastami|</v>
      </c>
      <c r="K2784" s="3" t="str">
        <f t="shared" si="304"/>
        <v>Mulla-Aliy-i-Bastami</v>
      </c>
      <c r="N2784" s="39" t="str">
        <f t="shared" si="305"/>
        <v/>
      </c>
      <c r="P2784" s="39" t="str">
        <f t="shared" si="306"/>
        <v/>
      </c>
      <c r="R2784" s="39" t="str">
        <f t="shared" si="307"/>
        <v/>
      </c>
      <c r="S2784" s="29">
        <v>41760</v>
      </c>
      <c r="T2784" s="28"/>
      <c r="U2784" s="28"/>
    </row>
    <row r="2785" spans="1:21" s="5" customFormat="1">
      <c r="A2785" s="179" t="s">
        <v>3255</v>
      </c>
      <c r="B2785" s="185" t="s">
        <v>7265</v>
      </c>
      <c r="C2785" s="35" t="str">
        <f t="shared" si="301"/>
        <v>MullaBaqir</v>
      </c>
      <c r="E2785" s="40"/>
      <c r="F2785" s="14"/>
      <c r="G2785" s="17"/>
      <c r="H2785" s="10" t="s">
        <v>8563</v>
      </c>
      <c r="I2785" s="4" t="str">
        <f t="shared" si="302"/>
        <v>|Mullá-Báqir|</v>
      </c>
      <c r="J2785" s="3" t="str">
        <f t="shared" si="303"/>
        <v>|Mulla-Baqir|</v>
      </c>
      <c r="K2785" s="3" t="str">
        <f t="shared" si="304"/>
        <v>Mulla-Baqir</v>
      </c>
      <c r="N2785" s="39" t="str">
        <f t="shared" si="305"/>
        <v/>
      </c>
      <c r="P2785" s="39" t="str">
        <f t="shared" si="306"/>
        <v/>
      </c>
      <c r="R2785" s="39" t="str">
        <f t="shared" si="307"/>
        <v/>
      </c>
      <c r="S2785" s="28"/>
      <c r="T2785" s="28"/>
      <c r="U2785" s="28"/>
    </row>
    <row r="2786" spans="1:21" s="5" customFormat="1">
      <c r="A2786" s="179" t="s">
        <v>3256</v>
      </c>
      <c r="B2786" s="185" t="s">
        <v>7266</v>
      </c>
      <c r="C2786" s="35" t="str">
        <f t="shared" si="301"/>
        <v>MullaBashi</v>
      </c>
      <c r="E2786" s="40"/>
      <c r="F2786" s="14"/>
      <c r="G2786" s="17"/>
      <c r="H2786" s="10" t="s">
        <v>8563</v>
      </c>
      <c r="I2786" s="4" t="str">
        <f t="shared" si="302"/>
        <v>|Mullá-Báí|</v>
      </c>
      <c r="J2786" s="3" t="str">
        <f t="shared" si="303"/>
        <v>|Mulla-Bashi|</v>
      </c>
      <c r="K2786" s="3" t="str">
        <f t="shared" si="304"/>
        <v>Mulla-Bashi</v>
      </c>
      <c r="N2786" s="39" t="str">
        <f t="shared" si="305"/>
        <v/>
      </c>
      <c r="P2786" s="39" t="str">
        <f t="shared" si="306"/>
        <v/>
      </c>
      <c r="R2786" s="39" t="str">
        <f t="shared" si="307"/>
        <v/>
      </c>
      <c r="S2786" s="28"/>
      <c r="T2786" s="28"/>
      <c r="U2786" s="28"/>
    </row>
    <row r="2787" spans="1:21" s="5" customFormat="1">
      <c r="A2787" s="179" t="s">
        <v>3257</v>
      </c>
      <c r="B2787" s="185" t="s">
        <v>7267</v>
      </c>
      <c r="C2787" s="35" t="str">
        <f t="shared" si="301"/>
        <v>Mumtazi</v>
      </c>
      <c r="E2787" s="40"/>
      <c r="F2787" s="15"/>
      <c r="G2787" s="17"/>
      <c r="H2787" s="10" t="s">
        <v>8563</v>
      </c>
      <c r="I2787" s="4" t="str">
        <f t="shared" si="302"/>
        <v>|Mumtází|</v>
      </c>
      <c r="J2787" s="3" t="str">
        <f t="shared" si="303"/>
        <v>|Mumtazi|</v>
      </c>
      <c r="K2787" s="3" t="str">
        <f t="shared" si="304"/>
        <v>Mumtazi</v>
      </c>
      <c r="N2787" s="39" t="str">
        <f t="shared" si="305"/>
        <v/>
      </c>
      <c r="P2787" s="39" t="str">
        <f t="shared" si="306"/>
        <v/>
      </c>
      <c r="R2787" s="39" t="str">
        <f t="shared" si="307"/>
        <v/>
      </c>
      <c r="S2787" s="28"/>
      <c r="T2787" s="28"/>
      <c r="U2787" s="28"/>
    </row>
    <row r="2788" spans="1:21" s="5" customFormat="1">
      <c r="A2788" s="179" t="s">
        <v>3258</v>
      </c>
      <c r="B2788" s="185" t="s">
        <v>7268</v>
      </c>
      <c r="C2788" s="35" t="str">
        <f t="shared" si="301"/>
        <v>Muna</v>
      </c>
      <c r="E2788" s="40"/>
      <c r="F2788" s="14"/>
      <c r="G2788" s="17"/>
      <c r="H2788" s="10" t="s">
        <v>8563</v>
      </c>
      <c r="I2788" s="4" t="str">
        <f t="shared" si="302"/>
        <v>|Muná|</v>
      </c>
      <c r="J2788" s="3" t="str">
        <f t="shared" si="303"/>
        <v>|Muna|</v>
      </c>
      <c r="K2788" s="3" t="str">
        <f t="shared" si="304"/>
        <v>Muna</v>
      </c>
      <c r="N2788" s="39" t="str">
        <f t="shared" si="305"/>
        <v/>
      </c>
      <c r="P2788" s="39" t="str">
        <f t="shared" si="306"/>
        <v/>
      </c>
      <c r="R2788" s="39" t="str">
        <f t="shared" si="307"/>
        <v/>
      </c>
      <c r="S2788" s="28"/>
      <c r="T2788" s="28"/>
      <c r="U2788" s="28"/>
    </row>
    <row r="2789" spans="1:21" s="5" customFormat="1">
      <c r="A2789" s="179" t="s">
        <v>3259</v>
      </c>
      <c r="B2789" s="185" t="s">
        <v>7269</v>
      </c>
      <c r="C2789" s="35" t="str">
        <f t="shared" si="301"/>
        <v>Munad</v>
      </c>
      <c r="E2789" s="40"/>
      <c r="F2789" s="15"/>
      <c r="G2789" s="17"/>
      <c r="H2789" s="10" t="s">
        <v>8563</v>
      </c>
      <c r="I2789" s="4" t="str">
        <f t="shared" si="302"/>
        <v>|Munád|</v>
      </c>
      <c r="J2789" s="3" t="str">
        <f t="shared" si="303"/>
        <v>|Munad|</v>
      </c>
      <c r="K2789" s="3" t="str">
        <f t="shared" si="304"/>
        <v>Munad</v>
      </c>
      <c r="N2789" s="39" t="str">
        <f t="shared" si="305"/>
        <v/>
      </c>
      <c r="P2789" s="39" t="str">
        <f t="shared" si="306"/>
        <v/>
      </c>
      <c r="R2789" s="39" t="str">
        <f t="shared" si="307"/>
        <v/>
      </c>
      <c r="S2789" s="28"/>
      <c r="T2789" s="28"/>
      <c r="U2789" s="28"/>
    </row>
    <row r="2790" spans="1:21" s="5" customFormat="1">
      <c r="A2790" s="179" t="s">
        <v>3260</v>
      </c>
      <c r="B2790" s="185" t="s">
        <v>7270</v>
      </c>
      <c r="C2790" s="35" t="str">
        <f t="shared" si="301"/>
        <v>Munadi</v>
      </c>
      <c r="E2790" s="40"/>
      <c r="F2790" s="15"/>
      <c r="G2790" s="17"/>
      <c r="H2790" s="10" t="s">
        <v>8563</v>
      </c>
      <c r="I2790" s="4" t="str">
        <f t="shared" si="302"/>
        <v>|Munádí|</v>
      </c>
      <c r="J2790" s="3" t="str">
        <f t="shared" si="303"/>
        <v>|Munadi|</v>
      </c>
      <c r="K2790" s="3" t="str">
        <f t="shared" si="304"/>
        <v>Munadi</v>
      </c>
      <c r="N2790" s="39" t="str">
        <f t="shared" si="305"/>
        <v/>
      </c>
      <c r="P2790" s="39" t="str">
        <f t="shared" si="306"/>
        <v/>
      </c>
      <c r="R2790" s="39" t="str">
        <f t="shared" si="307"/>
        <v/>
      </c>
      <c r="S2790" s="28"/>
      <c r="T2790" s="28"/>
      <c r="U2790" s="28"/>
    </row>
    <row r="2791" spans="1:21" s="5" customFormat="1">
      <c r="A2791" s="179" t="s">
        <v>3261</v>
      </c>
      <c r="B2791" s="185" t="s">
        <v>7271</v>
      </c>
      <c r="C2791" s="35" t="str">
        <f t="shared" si="301"/>
        <v>MunadiyiAhd</v>
      </c>
      <c r="E2791" s="40"/>
      <c r="F2791" s="15" t="s">
        <v>3262</v>
      </c>
      <c r="G2791" s="17"/>
      <c r="H2791" s="10" t="s">
        <v>8563</v>
      </c>
      <c r="I2791" s="4" t="str">
        <f t="shared" si="302"/>
        <v>|Munádíy-i-ʿAhd|</v>
      </c>
      <c r="J2791" s="3" t="str">
        <f t="shared" si="303"/>
        <v>|Munadiy-i-'Ahd|</v>
      </c>
      <c r="K2791" s="3" t="str">
        <f t="shared" si="304"/>
        <v>Munadiy-i-Ahd</v>
      </c>
      <c r="N2791" s="39" t="str">
        <f t="shared" si="305"/>
        <v/>
      </c>
      <c r="P2791" s="39" t="str">
        <f t="shared" si="306"/>
        <v/>
      </c>
      <c r="R2791" s="39" t="str">
        <f t="shared" si="307"/>
        <v/>
      </c>
      <c r="S2791" s="28"/>
      <c r="T2791" s="28"/>
      <c r="U2791" s="28"/>
    </row>
    <row r="2792" spans="1:21" s="5" customFormat="1">
      <c r="A2792" s="179" t="s">
        <v>3263</v>
      </c>
      <c r="B2792" s="185" t="s">
        <v>7272</v>
      </c>
      <c r="C2792" s="35" t="str">
        <f t="shared" si="301"/>
        <v>Munafiqun</v>
      </c>
      <c r="E2792" s="40"/>
      <c r="F2792" s="15" t="s">
        <v>3264</v>
      </c>
      <c r="G2792" s="17"/>
      <c r="H2792" s="10" t="s">
        <v>8563</v>
      </c>
      <c r="I2792" s="4" t="str">
        <f t="shared" si="302"/>
        <v>|Munáfiqún|</v>
      </c>
      <c r="J2792" s="3" t="str">
        <f t="shared" si="303"/>
        <v>|Munafiqun|</v>
      </c>
      <c r="K2792" s="3" t="str">
        <f t="shared" si="304"/>
        <v>Munafiqun</v>
      </c>
      <c r="N2792" s="39" t="str">
        <f t="shared" si="305"/>
        <v/>
      </c>
      <c r="P2792" s="39" t="str">
        <f t="shared" si="306"/>
        <v/>
      </c>
      <c r="R2792" s="39" t="str">
        <f t="shared" si="307"/>
        <v/>
      </c>
      <c r="S2792" s="28"/>
      <c r="T2792" s="28"/>
      <c r="U2792" s="28"/>
    </row>
    <row r="2793" spans="1:21" s="5" customFormat="1">
      <c r="A2793" s="179" t="s">
        <v>3265</v>
      </c>
      <c r="B2793" s="185" t="s">
        <v>7273</v>
      </c>
      <c r="C2793" s="35" t="str">
        <f t="shared" si="301"/>
        <v>Munajat</v>
      </c>
      <c r="E2793" s="40"/>
      <c r="F2793" s="14"/>
      <c r="G2793" s="17"/>
      <c r="H2793" s="10" t="s">
        <v>8563</v>
      </c>
      <c r="I2793" s="4" t="str">
        <f t="shared" si="302"/>
        <v>|Munáját|</v>
      </c>
      <c r="J2793" s="3" t="str">
        <f t="shared" si="303"/>
        <v>|Munajat|</v>
      </c>
      <c r="K2793" s="3" t="str">
        <f t="shared" si="304"/>
        <v>Munajat</v>
      </c>
      <c r="N2793" s="39" t="str">
        <f t="shared" si="305"/>
        <v/>
      </c>
      <c r="P2793" s="39" t="str">
        <f t="shared" si="306"/>
        <v/>
      </c>
      <c r="R2793" s="39" t="str">
        <f t="shared" si="307"/>
        <v/>
      </c>
      <c r="S2793" s="28"/>
      <c r="T2793" s="28"/>
      <c r="U2793" s="28"/>
    </row>
    <row r="2794" spans="1:21" s="5" customFormat="1">
      <c r="A2794" s="179" t="s">
        <v>3266</v>
      </c>
      <c r="B2794" s="185" t="s">
        <v>7274</v>
      </c>
      <c r="C2794" s="35" t="str">
        <f t="shared" si="301"/>
        <v>MunajathayiSiyam</v>
      </c>
      <c r="E2794" s="40"/>
      <c r="F2794" s="15" t="s">
        <v>3267</v>
      </c>
      <c r="G2794" s="17"/>
      <c r="H2794" s="10" t="s">
        <v>8563</v>
      </c>
      <c r="I2794" s="4" t="str">
        <f t="shared" si="302"/>
        <v>|Munájátháy-i-Ṣíyám|</v>
      </c>
      <c r="J2794" s="3" t="str">
        <f t="shared" si="303"/>
        <v>|Munajathay-i-Siyam|</v>
      </c>
      <c r="K2794" s="3" t="str">
        <f t="shared" si="304"/>
        <v>Munajathay-i-Siyam</v>
      </c>
      <c r="N2794" s="39" t="str">
        <f t="shared" si="305"/>
        <v/>
      </c>
      <c r="P2794" s="39" t="str">
        <f t="shared" si="306"/>
        <v/>
      </c>
      <c r="R2794" s="39" t="str">
        <f t="shared" si="307"/>
        <v/>
      </c>
      <c r="S2794" s="28"/>
      <c r="T2794" s="28"/>
      <c r="U2794" s="28"/>
    </row>
    <row r="2795" spans="1:21" s="5" customFormat="1">
      <c r="A2795" s="179" t="s">
        <v>3268</v>
      </c>
      <c r="B2795" s="185" t="s">
        <v>7275</v>
      </c>
      <c r="C2795" s="35" t="str">
        <f t="shared" si="301"/>
        <v>MunaziratiDiniyyih</v>
      </c>
      <c r="E2795" s="40"/>
      <c r="F2795" s="15"/>
      <c r="G2795" s="17"/>
      <c r="H2795" s="10" t="s">
        <v>8563</v>
      </c>
      <c r="I2795" s="4" t="str">
        <f t="shared" si="302"/>
        <v>|Munáẓirát-i-Díniyyih|</v>
      </c>
      <c r="J2795" s="3" t="str">
        <f t="shared" si="303"/>
        <v>|Munazirat-i-Diniyyih|</v>
      </c>
      <c r="K2795" s="3" t="str">
        <f t="shared" si="304"/>
        <v>Munazirat-i-Diniyyih</v>
      </c>
      <c r="N2795" s="39" t="str">
        <f t="shared" si="305"/>
        <v/>
      </c>
      <c r="P2795" s="39" t="str">
        <f t="shared" si="306"/>
        <v/>
      </c>
      <c r="R2795" s="39" t="str">
        <f t="shared" si="307"/>
        <v/>
      </c>
      <c r="S2795" s="28"/>
      <c r="T2795" s="28"/>
      <c r="U2795" s="28"/>
    </row>
    <row r="2796" spans="1:21" s="5" customFormat="1">
      <c r="A2796" s="179" t="s">
        <v>3269</v>
      </c>
      <c r="B2796" s="185" t="s">
        <v>193</v>
      </c>
      <c r="C2796" s="35" t="str">
        <f t="shared" si="301"/>
        <v>Mundhir</v>
      </c>
      <c r="E2796" s="40"/>
      <c r="F2796" s="15"/>
      <c r="G2796" s="17"/>
      <c r="H2796" s="10" t="s">
        <v>8563</v>
      </c>
      <c r="I2796" s="4" t="str">
        <f t="shared" si="302"/>
        <v>|Munir|</v>
      </c>
      <c r="J2796" s="3" t="str">
        <f t="shared" si="303"/>
        <v>|Mundhir|</v>
      </c>
      <c r="K2796" s="3" t="str">
        <f t="shared" si="304"/>
        <v>Mundhir</v>
      </c>
      <c r="N2796" s="39" t="str">
        <f t="shared" si="305"/>
        <v/>
      </c>
      <c r="P2796" s="39" t="str">
        <f t="shared" si="306"/>
        <v/>
      </c>
      <c r="R2796" s="39" t="str">
        <f t="shared" si="307"/>
        <v/>
      </c>
      <c r="S2796" s="28"/>
      <c r="T2796" s="28"/>
      <c r="U2796" s="28"/>
    </row>
    <row r="2797" spans="1:21" s="5" customFormat="1">
      <c r="A2797" s="179" t="s">
        <v>3270</v>
      </c>
      <c r="B2797" s="185" t="s">
        <v>7276</v>
      </c>
      <c r="C2797" s="35" t="str">
        <f t="shared" si="301"/>
        <v>Munib</v>
      </c>
      <c r="E2797" s="40"/>
      <c r="F2797" s="15"/>
      <c r="G2797" s="17"/>
      <c r="H2797" s="10" t="s">
        <v>8563</v>
      </c>
      <c r="I2797" s="4" t="str">
        <f t="shared" si="302"/>
        <v>|Muníb|</v>
      </c>
      <c r="J2797" s="3" t="str">
        <f t="shared" si="303"/>
        <v>|Munib|</v>
      </c>
      <c r="K2797" s="3" t="str">
        <f t="shared" si="304"/>
        <v>Munib</v>
      </c>
      <c r="N2797" s="39" t="str">
        <f t="shared" si="305"/>
        <v/>
      </c>
      <c r="P2797" s="39" t="str">
        <f t="shared" si="306"/>
        <v/>
      </c>
      <c r="R2797" s="39" t="str">
        <f t="shared" si="307"/>
        <v/>
      </c>
      <c r="S2797" s="28"/>
      <c r="T2797" s="28"/>
      <c r="U2797" s="28"/>
    </row>
    <row r="2798" spans="1:21" s="5" customFormat="1">
      <c r="A2798" s="179" t="s">
        <v>3271</v>
      </c>
      <c r="B2798" s="185" t="s">
        <v>105</v>
      </c>
      <c r="C2798" s="35" t="str">
        <f t="shared" si="301"/>
        <v>Munir</v>
      </c>
      <c r="E2798" s="40"/>
      <c r="F2798" s="15"/>
      <c r="G2798" s="17"/>
      <c r="H2798" s="10" t="s">
        <v>8563</v>
      </c>
      <c r="I2798" s="4" t="str">
        <f t="shared" si="302"/>
        <v>|Munír|</v>
      </c>
      <c r="J2798" s="3" t="str">
        <f t="shared" si="303"/>
        <v>|Munir|</v>
      </c>
      <c r="K2798" s="3" t="str">
        <f t="shared" si="304"/>
        <v>Munir</v>
      </c>
      <c r="N2798" s="39" t="str">
        <f t="shared" si="305"/>
        <v/>
      </c>
      <c r="P2798" s="39" t="str">
        <f t="shared" si="306"/>
        <v/>
      </c>
      <c r="R2798" s="39" t="str">
        <f t="shared" si="307"/>
        <v/>
      </c>
      <c r="S2798" s="28"/>
      <c r="T2798" s="28"/>
      <c r="U2798" s="28"/>
    </row>
    <row r="2799" spans="1:21" s="5" customFormat="1">
      <c r="A2799" s="179" t="s">
        <v>3272</v>
      </c>
      <c r="B2799" s="185" t="s">
        <v>106</v>
      </c>
      <c r="C2799" s="35" t="str">
        <f t="shared" si="301"/>
        <v>Munirih</v>
      </c>
      <c r="E2799" s="40"/>
      <c r="F2799" s="14"/>
      <c r="G2799" s="17"/>
      <c r="H2799" s="10" t="s">
        <v>8563</v>
      </c>
      <c r="I2799" s="4" t="str">
        <f t="shared" si="302"/>
        <v>|Munírih|</v>
      </c>
      <c r="J2799" s="3" t="str">
        <f t="shared" si="303"/>
        <v>|Munirih|</v>
      </c>
      <c r="K2799" s="3" t="str">
        <f t="shared" si="304"/>
        <v>Munirih</v>
      </c>
      <c r="N2799" s="39" t="str">
        <f t="shared" si="305"/>
        <v/>
      </c>
      <c r="P2799" s="39" t="str">
        <f t="shared" si="306"/>
        <v/>
      </c>
      <c r="R2799" s="39" t="str">
        <f t="shared" si="307"/>
        <v/>
      </c>
      <c r="S2799" s="28"/>
      <c r="T2799" s="28"/>
      <c r="U2799" s="28"/>
    </row>
    <row r="2800" spans="1:21" s="5" customFormat="1">
      <c r="A2800" s="181"/>
      <c r="B2800" s="185" t="s">
        <v>8765</v>
      </c>
      <c r="C2800" s="35" t="str">
        <f t="shared" si="301"/>
        <v>MunirihKhanum</v>
      </c>
      <c r="D2800" s="1"/>
      <c r="E2800" s="40"/>
      <c r="F2800" s="12"/>
      <c r="G2800" s="9"/>
      <c r="H2800" s="12" t="s">
        <v>8622</v>
      </c>
      <c r="I2800" s="4" t="str">
        <f t="shared" si="302"/>
        <v>|Munírih ánum|</v>
      </c>
      <c r="J2800" s="3" t="str">
        <f t="shared" si="303"/>
        <v>|Munirih Khanum|</v>
      </c>
      <c r="K2800" s="3" t="str">
        <f t="shared" si="304"/>
        <v>Munirih Khanum</v>
      </c>
      <c r="N2800" s="39" t="str">
        <f t="shared" si="305"/>
        <v/>
      </c>
      <c r="P2800" s="39" t="str">
        <f t="shared" si="306"/>
        <v/>
      </c>
      <c r="R2800" s="39" t="str">
        <f t="shared" si="307"/>
        <v/>
      </c>
      <c r="S2800" s="29">
        <v>41760</v>
      </c>
      <c r="T2800" s="28"/>
      <c r="U2800" s="28"/>
    </row>
    <row r="2801" spans="1:21" s="5" customFormat="1">
      <c r="A2801" s="179" t="s">
        <v>3273</v>
      </c>
      <c r="B2801" s="185" t="s">
        <v>7277</v>
      </c>
      <c r="C2801" s="35" t="str">
        <f t="shared" si="301"/>
        <v>Muntazir</v>
      </c>
      <c r="E2801" s="40"/>
      <c r="F2801" s="15"/>
      <c r="G2801" s="17"/>
      <c r="H2801" s="10" t="s">
        <v>8563</v>
      </c>
      <c r="I2801" s="4" t="str">
        <f t="shared" si="302"/>
        <v>|Muntaẓir|</v>
      </c>
      <c r="J2801" s="3" t="str">
        <f t="shared" si="303"/>
        <v>|Muntazir|</v>
      </c>
      <c r="K2801" s="3" t="str">
        <f t="shared" si="304"/>
        <v>Muntazir</v>
      </c>
      <c r="N2801" s="39" t="str">
        <f t="shared" si="305"/>
        <v/>
      </c>
      <c r="P2801" s="39" t="str">
        <f t="shared" si="306"/>
        <v/>
      </c>
      <c r="R2801" s="39" t="str">
        <f t="shared" si="307"/>
        <v/>
      </c>
      <c r="S2801" s="28"/>
      <c r="T2801" s="28"/>
      <c r="U2801" s="28"/>
    </row>
    <row r="2802" spans="1:21" s="5" customFormat="1">
      <c r="A2802" s="179" t="s">
        <v>3274</v>
      </c>
      <c r="B2802" s="185" t="s">
        <v>7278</v>
      </c>
      <c r="C2802" s="35" t="str">
        <f t="shared" si="301"/>
        <v>Muntaziri</v>
      </c>
      <c r="E2802" s="40"/>
      <c r="F2802" s="15"/>
      <c r="G2802" s="17"/>
      <c r="H2802" s="10" t="s">
        <v>8563</v>
      </c>
      <c r="I2802" s="4" t="str">
        <f t="shared" si="302"/>
        <v>|Munṭaẓirí|</v>
      </c>
      <c r="J2802" s="3" t="str">
        <f t="shared" si="303"/>
        <v>|Muntaziri|</v>
      </c>
      <c r="K2802" s="3" t="str">
        <f t="shared" si="304"/>
        <v>Muntaziri</v>
      </c>
      <c r="N2802" s="39" t="str">
        <f t="shared" si="305"/>
        <v/>
      </c>
      <c r="P2802" s="39" t="str">
        <f t="shared" si="306"/>
        <v/>
      </c>
      <c r="R2802" s="39" t="str">
        <f t="shared" si="307"/>
        <v/>
      </c>
      <c r="S2802" s="28"/>
      <c r="T2802" s="28"/>
      <c r="U2802" s="28"/>
    </row>
    <row r="2803" spans="1:21" s="5" customFormat="1">
      <c r="A2803" s="179" t="s">
        <v>3275</v>
      </c>
      <c r="B2803" s="185" t="s">
        <v>7279</v>
      </c>
      <c r="C2803" s="35" t="str">
        <f t="shared" si="301"/>
        <v>Muqaddas</v>
      </c>
      <c r="E2803" s="40"/>
      <c r="F2803" s="14"/>
      <c r="G2803" s="17"/>
      <c r="H2803" s="10" t="s">
        <v>8563</v>
      </c>
      <c r="I2803" s="4" t="str">
        <f t="shared" si="302"/>
        <v>|Muqaddas|</v>
      </c>
      <c r="J2803" s="3" t="str">
        <f t="shared" si="303"/>
        <v>|Muqaddas|</v>
      </c>
      <c r="K2803" s="3" t="str">
        <f t="shared" si="304"/>
        <v>Muqaddas</v>
      </c>
      <c r="N2803" s="39" t="str">
        <f t="shared" si="305"/>
        <v/>
      </c>
      <c r="P2803" s="39" t="str">
        <f t="shared" si="306"/>
        <v/>
      </c>
      <c r="R2803" s="39" t="str">
        <f t="shared" si="307"/>
        <v/>
      </c>
      <c r="S2803" s="28"/>
      <c r="T2803" s="28"/>
      <c r="U2803" s="28"/>
    </row>
    <row r="2804" spans="1:21" s="5" customFormat="1">
      <c r="A2804" s="179" t="s">
        <v>3276</v>
      </c>
      <c r="B2804" s="185" t="s">
        <v>7280</v>
      </c>
      <c r="C2804" s="35" t="str">
        <f t="shared" si="301"/>
        <v>Muqarrabi</v>
      </c>
      <c r="E2804" s="40"/>
      <c r="F2804" s="15"/>
      <c r="G2804" s="17"/>
      <c r="H2804" s="10" t="s">
        <v>8563</v>
      </c>
      <c r="I2804" s="4" t="str">
        <f t="shared" si="302"/>
        <v>|Muqarrabí|</v>
      </c>
      <c r="J2804" s="3" t="str">
        <f t="shared" si="303"/>
        <v>|Muqarrabi|</v>
      </c>
      <c r="K2804" s="3" t="str">
        <f t="shared" si="304"/>
        <v>Muqarrabi</v>
      </c>
      <c r="N2804" s="39" t="str">
        <f t="shared" si="305"/>
        <v/>
      </c>
      <c r="P2804" s="39" t="str">
        <f t="shared" si="306"/>
        <v/>
      </c>
      <c r="R2804" s="39" t="str">
        <f t="shared" si="307"/>
        <v/>
      </c>
      <c r="S2804" s="28"/>
      <c r="T2804" s="28"/>
      <c r="U2804" s="28"/>
    </row>
    <row r="2805" spans="1:21" s="5" customFormat="1">
      <c r="A2805" s="179" t="s">
        <v>3277</v>
      </c>
      <c r="B2805" s="185" t="s">
        <v>7281</v>
      </c>
      <c r="C2805" s="35" t="str">
        <f t="shared" si="301"/>
        <v>Muqimi</v>
      </c>
      <c r="E2805" s="40"/>
      <c r="F2805" s="15"/>
      <c r="G2805" s="17"/>
      <c r="H2805" s="10" t="s">
        <v>8563</v>
      </c>
      <c r="I2805" s="4" t="str">
        <f t="shared" si="302"/>
        <v>|Muqímí|</v>
      </c>
      <c r="J2805" s="3" t="str">
        <f t="shared" si="303"/>
        <v>|Muqimi|</v>
      </c>
      <c r="K2805" s="3" t="str">
        <f t="shared" si="304"/>
        <v>Muqimi</v>
      </c>
      <c r="N2805" s="39" t="str">
        <f t="shared" si="305"/>
        <v/>
      </c>
      <c r="P2805" s="39" t="str">
        <f t="shared" si="306"/>
        <v/>
      </c>
      <c r="R2805" s="39" t="str">
        <f t="shared" si="307"/>
        <v/>
      </c>
      <c r="S2805" s="28"/>
      <c r="T2805" s="28"/>
      <c r="U2805" s="28"/>
    </row>
    <row r="2806" spans="1:21" s="5" customFormat="1">
      <c r="A2806" s="179" t="s">
        <v>3278</v>
      </c>
      <c r="B2806" s="185" t="s">
        <v>7282</v>
      </c>
      <c r="C2806" s="35" t="str">
        <f t="shared" si="301"/>
        <v>MuqimiAbyanih</v>
      </c>
      <c r="E2806" s="40"/>
      <c r="F2806" s="15"/>
      <c r="G2806" s="17"/>
      <c r="H2806" s="10" t="s">
        <v>8563</v>
      </c>
      <c r="I2806" s="4" t="str">
        <f t="shared" si="302"/>
        <v>|Muqímí-Ábyánih|</v>
      </c>
      <c r="J2806" s="3" t="str">
        <f t="shared" si="303"/>
        <v>|Muqimi-Abyanih|</v>
      </c>
      <c r="K2806" s="3" t="str">
        <f t="shared" si="304"/>
        <v>Muqimi-Abyanih</v>
      </c>
      <c r="N2806" s="39" t="str">
        <f t="shared" si="305"/>
        <v/>
      </c>
      <c r="P2806" s="39" t="str">
        <f t="shared" si="306"/>
        <v/>
      </c>
      <c r="R2806" s="39" t="str">
        <f t="shared" si="307"/>
        <v/>
      </c>
      <c r="S2806" s="28"/>
      <c r="T2806" s="28"/>
      <c r="U2806" s="28"/>
    </row>
    <row r="2807" spans="1:21" s="5" customFormat="1">
      <c r="A2807" s="179" t="s">
        <v>3279</v>
      </c>
      <c r="B2807" s="185" t="s">
        <v>7283</v>
      </c>
      <c r="C2807" s="35" t="str">
        <f t="shared" si="301"/>
        <v>Murad</v>
      </c>
      <c r="E2807" s="40"/>
      <c r="F2807" s="14"/>
      <c r="G2807" s="17"/>
      <c r="H2807" s="10" t="s">
        <v>8563</v>
      </c>
      <c r="I2807" s="4" t="str">
        <f t="shared" si="302"/>
        <v>|Murád|</v>
      </c>
      <c r="J2807" s="3" t="str">
        <f t="shared" si="303"/>
        <v>|Murad|</v>
      </c>
      <c r="K2807" s="3" t="str">
        <f t="shared" si="304"/>
        <v>Murad</v>
      </c>
      <c r="N2807" s="39" t="str">
        <f t="shared" si="305"/>
        <v/>
      </c>
      <c r="P2807" s="39" t="str">
        <f t="shared" si="306"/>
        <v/>
      </c>
      <c r="R2807" s="39" t="str">
        <f t="shared" si="307"/>
        <v/>
      </c>
      <c r="S2807" s="28"/>
      <c r="T2807" s="28"/>
      <c r="U2807" s="28"/>
    </row>
    <row r="2808" spans="1:21" s="5" customFormat="1">
      <c r="A2808" s="179" t="s">
        <v>3280</v>
      </c>
      <c r="B2808" s="185" t="s">
        <v>7284</v>
      </c>
      <c r="C2808" s="35" t="str">
        <f t="shared" si="301"/>
        <v>Muradiyyih</v>
      </c>
      <c r="E2808" s="40"/>
      <c r="F2808" s="14"/>
      <c r="G2808" s="17"/>
      <c r="H2808" s="10" t="s">
        <v>8563</v>
      </c>
      <c r="I2808" s="4" t="str">
        <f t="shared" si="302"/>
        <v>|Murádíyyih|</v>
      </c>
      <c r="J2808" s="3" t="str">
        <f t="shared" si="303"/>
        <v>|Muradiyyih|</v>
      </c>
      <c r="K2808" s="3" t="str">
        <f t="shared" si="304"/>
        <v>Muradiyyih</v>
      </c>
      <c r="N2808" s="39" t="str">
        <f t="shared" si="305"/>
        <v/>
      </c>
      <c r="P2808" s="39" t="str">
        <f t="shared" si="306"/>
        <v/>
      </c>
      <c r="R2808" s="39" t="str">
        <f t="shared" si="307"/>
        <v/>
      </c>
      <c r="S2808" s="28"/>
      <c r="T2808" s="28"/>
      <c r="U2808" s="28"/>
    </row>
    <row r="2809" spans="1:21" s="5" customFormat="1">
      <c r="A2809" s="179" t="s">
        <v>3281</v>
      </c>
      <c r="B2809" s="185" t="s">
        <v>7285</v>
      </c>
      <c r="C2809" s="35" t="str">
        <f t="shared" si="301"/>
        <v>Murasilat</v>
      </c>
      <c r="E2809" s="40"/>
      <c r="F2809" s="15"/>
      <c r="G2809" s="17"/>
      <c r="H2809" s="10" t="s">
        <v>8563</v>
      </c>
      <c r="I2809" s="4" t="str">
        <f t="shared" si="302"/>
        <v>|Murásilát|</v>
      </c>
      <c r="J2809" s="3" t="str">
        <f t="shared" si="303"/>
        <v>|Murasilat|</v>
      </c>
      <c r="K2809" s="3" t="str">
        <f t="shared" si="304"/>
        <v>Murasilat</v>
      </c>
      <c r="N2809" s="39" t="str">
        <f t="shared" si="305"/>
        <v/>
      </c>
      <c r="P2809" s="39" t="str">
        <f t="shared" si="306"/>
        <v/>
      </c>
      <c r="R2809" s="39" t="str">
        <f t="shared" si="307"/>
        <v/>
      </c>
      <c r="S2809" s="28"/>
      <c r="T2809" s="28"/>
      <c r="U2809" s="28"/>
    </row>
    <row r="2810" spans="1:21" s="5" customFormat="1">
      <c r="A2810" s="179" t="s">
        <v>3282</v>
      </c>
      <c r="B2810" s="185" t="s">
        <v>7286</v>
      </c>
      <c r="C2810" s="35" t="str">
        <f t="shared" si="301"/>
        <v>MuravvihusSaltanih</v>
      </c>
      <c r="E2810" s="40"/>
      <c r="F2810" s="15" t="s">
        <v>3283</v>
      </c>
      <c r="G2810" s="17"/>
      <c r="H2810" s="10" t="s">
        <v>8563</v>
      </c>
      <c r="I2810" s="4" t="str">
        <f t="shared" si="302"/>
        <v>|Muravvihu’s-Salṭanih|</v>
      </c>
      <c r="J2810" s="3" t="str">
        <f t="shared" si="303"/>
        <v>|Muravvihu's-Saltanih|</v>
      </c>
      <c r="K2810" s="3" t="str">
        <f t="shared" si="304"/>
        <v>Muravvihus-Saltanih</v>
      </c>
      <c r="N2810" s="39" t="str">
        <f t="shared" si="305"/>
        <v/>
      </c>
      <c r="P2810" s="39" t="str">
        <f t="shared" si="306"/>
        <v/>
      </c>
      <c r="R2810" s="39" t="str">
        <f t="shared" si="307"/>
        <v/>
      </c>
      <c r="S2810" s="28"/>
      <c r="T2810" s="28"/>
      <c r="U2810" s="28"/>
    </row>
    <row r="2811" spans="1:21" s="5" customFormat="1">
      <c r="A2811" s="179" t="s">
        <v>3284</v>
      </c>
      <c r="B2811" s="185" t="s">
        <v>7287</v>
      </c>
      <c r="C2811" s="35" t="str">
        <f t="shared" si="301"/>
        <v>Murchih</v>
      </c>
      <c r="E2811" s="40"/>
      <c r="F2811" s="15" t="s">
        <v>3285</v>
      </c>
      <c r="G2811" s="17"/>
      <c r="H2811" s="10" t="s">
        <v>8563</v>
      </c>
      <c r="I2811" s="4" t="str">
        <f t="shared" si="302"/>
        <v>|Múrih|</v>
      </c>
      <c r="J2811" s="3" t="str">
        <f t="shared" si="303"/>
        <v>|Murchih|</v>
      </c>
      <c r="K2811" s="3" t="str">
        <f t="shared" si="304"/>
        <v>Murchih</v>
      </c>
      <c r="N2811" s="39" t="str">
        <f t="shared" si="305"/>
        <v/>
      </c>
      <c r="P2811" s="39" t="str">
        <f t="shared" si="306"/>
        <v/>
      </c>
      <c r="R2811" s="39" t="str">
        <f t="shared" si="307"/>
        <v/>
      </c>
      <c r="S2811" s="28"/>
      <c r="T2811" s="28"/>
      <c r="U2811" s="28"/>
    </row>
    <row r="2812" spans="1:21" s="5" customFormat="1">
      <c r="A2812" s="179" t="s">
        <v>3286</v>
      </c>
      <c r="B2812" s="185" t="s">
        <v>7288</v>
      </c>
      <c r="C2812" s="35" t="str">
        <f t="shared" si="301"/>
        <v>MurchihKhar</v>
      </c>
      <c r="E2812" s="40"/>
      <c r="F2812" s="15" t="s">
        <v>3287</v>
      </c>
      <c r="G2812" s="17"/>
      <c r="H2812" s="10" t="s">
        <v>8563</v>
      </c>
      <c r="I2812" s="4" t="str">
        <f t="shared" si="302"/>
        <v>|Múrih-ár|</v>
      </c>
      <c r="J2812" s="3" t="str">
        <f t="shared" si="303"/>
        <v>|Murchih-Khar|</v>
      </c>
      <c r="K2812" s="3" t="str">
        <f t="shared" si="304"/>
        <v>Murchih-Khar</v>
      </c>
      <c r="N2812" s="39" t="str">
        <f t="shared" si="305"/>
        <v/>
      </c>
      <c r="P2812" s="39" t="str">
        <f t="shared" si="306"/>
        <v/>
      </c>
      <c r="R2812" s="39" t="str">
        <f t="shared" si="307"/>
        <v/>
      </c>
      <c r="S2812" s="28"/>
      <c r="T2812" s="28"/>
      <c r="U2812" s="28"/>
    </row>
    <row r="2813" spans="1:21" s="5" customFormat="1">
      <c r="A2813" s="179" t="s">
        <v>3288</v>
      </c>
      <c r="B2813" s="185" t="s">
        <v>7289</v>
      </c>
      <c r="C2813" s="35" t="str">
        <f t="shared" si="301"/>
        <v>MurghMahallih</v>
      </c>
      <c r="E2813" s="40"/>
      <c r="F2813" s="14"/>
      <c r="G2813" s="17"/>
      <c r="H2813" s="10" t="s">
        <v>8563</v>
      </c>
      <c r="I2813" s="4" t="str">
        <f t="shared" si="302"/>
        <v>|Mur-Maḥallih|</v>
      </c>
      <c r="J2813" s="3" t="str">
        <f t="shared" si="303"/>
        <v>|Murgh-Mahallih|</v>
      </c>
      <c r="K2813" s="3" t="str">
        <f t="shared" si="304"/>
        <v>Murgh-Mahallih</v>
      </c>
      <c r="N2813" s="39" t="str">
        <f t="shared" si="305"/>
        <v/>
      </c>
      <c r="P2813" s="39" t="str">
        <f t="shared" si="306"/>
        <v/>
      </c>
      <c r="R2813" s="39" t="str">
        <f t="shared" si="307"/>
        <v/>
      </c>
      <c r="S2813" s="28"/>
      <c r="T2813" s="28"/>
      <c r="U2813" s="28"/>
    </row>
    <row r="2814" spans="1:21" s="5" customFormat="1">
      <c r="A2814" s="181"/>
      <c r="B2814" s="185" t="s">
        <v>8635</v>
      </c>
      <c r="C2814" s="35" t="str">
        <f t="shared" si="301"/>
        <v>Murid</v>
      </c>
      <c r="D2814" s="1"/>
      <c r="E2814" s="40"/>
      <c r="F2814" s="12"/>
      <c r="G2814" s="9"/>
      <c r="H2814" s="12" t="s">
        <v>8622</v>
      </c>
      <c r="I2814" s="4" t="str">
        <f t="shared" si="302"/>
        <v>|Muríd|</v>
      </c>
      <c r="J2814" s="3" t="str">
        <f t="shared" si="303"/>
        <v>|Murid|</v>
      </c>
      <c r="K2814" s="3" t="str">
        <f t="shared" si="304"/>
        <v>Murid</v>
      </c>
      <c r="N2814" s="39" t="str">
        <f t="shared" si="305"/>
        <v/>
      </c>
      <c r="P2814" s="39" t="str">
        <f t="shared" si="306"/>
        <v/>
      </c>
      <c r="R2814" s="39" t="str">
        <f t="shared" si="307"/>
        <v/>
      </c>
      <c r="S2814" s="29">
        <v>41760</v>
      </c>
      <c r="T2814" s="28"/>
      <c r="U2814" s="28"/>
    </row>
    <row r="2815" spans="1:21" s="5" customFormat="1">
      <c r="A2815" s="179" t="s">
        <v>3289</v>
      </c>
      <c r="B2815" s="185" t="s">
        <v>7290</v>
      </c>
      <c r="C2815" s="35" t="str">
        <f t="shared" si="301"/>
        <v>Murih</v>
      </c>
      <c r="E2815" s="40"/>
      <c r="F2815" s="15"/>
      <c r="G2815" s="17"/>
      <c r="H2815" s="10" t="s">
        <v>8563</v>
      </c>
      <c r="I2815" s="4" t="str">
        <f t="shared" si="302"/>
        <v>|Múrih|</v>
      </c>
      <c r="J2815" s="3" t="str">
        <f t="shared" si="303"/>
        <v>|Murih|</v>
      </c>
      <c r="K2815" s="3" t="str">
        <f t="shared" si="304"/>
        <v>Murih</v>
      </c>
      <c r="N2815" s="39" t="str">
        <f t="shared" si="305"/>
        <v/>
      </c>
      <c r="P2815" s="39" t="str">
        <f t="shared" si="306"/>
        <v/>
      </c>
      <c r="R2815" s="39" t="str">
        <f t="shared" si="307"/>
        <v/>
      </c>
      <c r="S2815" s="28"/>
      <c r="T2815" s="28"/>
      <c r="U2815" s="28"/>
    </row>
    <row r="2816" spans="1:21" s="5" customFormat="1">
      <c r="A2816" s="179" t="s">
        <v>3290</v>
      </c>
      <c r="B2816" s="185" t="s">
        <v>7291</v>
      </c>
      <c r="C2816" s="35" t="str">
        <f t="shared" si="301"/>
        <v>Murshid</v>
      </c>
      <c r="E2816" s="40"/>
      <c r="F2816" s="15" t="s">
        <v>3291</v>
      </c>
      <c r="G2816" s="17"/>
      <c r="H2816" s="10" t="s">
        <v>8563</v>
      </c>
      <c r="I2816" s="4" t="str">
        <f t="shared" si="302"/>
        <v>|Murid|</v>
      </c>
      <c r="J2816" s="3" t="str">
        <f t="shared" si="303"/>
        <v>|Murshid|</v>
      </c>
      <c r="K2816" s="3" t="str">
        <f t="shared" si="304"/>
        <v>Murshid</v>
      </c>
      <c r="N2816" s="39" t="str">
        <f t="shared" si="305"/>
        <v/>
      </c>
      <c r="P2816" s="39" t="str">
        <f t="shared" si="306"/>
        <v/>
      </c>
      <c r="R2816" s="39" t="str">
        <f t="shared" si="307"/>
        <v/>
      </c>
      <c r="S2816" s="28"/>
      <c r="T2816" s="28"/>
      <c r="U2816" s="28"/>
    </row>
    <row r="2817" spans="1:21" s="5" customFormat="1">
      <c r="A2817" s="179" t="s">
        <v>3292</v>
      </c>
      <c r="B2817" s="185" t="s">
        <v>7292</v>
      </c>
      <c r="C2817" s="35" t="str">
        <f t="shared" si="301"/>
        <v>Murtada</v>
      </c>
      <c r="E2817" s="40"/>
      <c r="F2817" s="14"/>
      <c r="G2817" s="17"/>
      <c r="H2817" s="10" t="s">
        <v>8563</v>
      </c>
      <c r="I2817" s="4" t="str">
        <f t="shared" si="302"/>
        <v>|Murtaḍá|</v>
      </c>
      <c r="J2817" s="3" t="str">
        <f t="shared" si="303"/>
        <v>|Murtada|</v>
      </c>
      <c r="K2817" s="3" t="str">
        <f t="shared" si="304"/>
        <v>Murtada</v>
      </c>
      <c r="N2817" s="39" t="str">
        <f t="shared" si="305"/>
        <v/>
      </c>
      <c r="P2817" s="39" t="str">
        <f t="shared" si="306"/>
        <v/>
      </c>
      <c r="R2817" s="39" t="str">
        <f t="shared" si="307"/>
        <v/>
      </c>
      <c r="S2817" s="28"/>
      <c r="T2817" s="28"/>
      <c r="U2817" s="28"/>
    </row>
    <row r="2818" spans="1:21" s="5" customFormat="1">
      <c r="A2818" s="179" t="s">
        <v>3293</v>
      </c>
      <c r="B2818" s="185" t="s">
        <v>7293</v>
      </c>
      <c r="C2818" s="35" t="str">
        <f t="shared" ref="C2818:C2881" si="308">SUBSTITUTE(SUBSTITUTE(K2818,"-","")," ","")</f>
        <v>MurtadaQuli</v>
      </c>
      <c r="E2818" s="40"/>
      <c r="F2818" s="15"/>
      <c r="G2818" s="17"/>
      <c r="H2818" s="10" t="s">
        <v>8563</v>
      </c>
      <c r="I2818" s="4" t="str">
        <f t="shared" ref="I2818:I2881" si="309">CONCATENATE("|",B2818,"|")</f>
        <v>|Murtaḍá-Qulí|</v>
      </c>
      <c r="J2818" s="3" t="str">
        <f t="shared" ref="J2818:J2881" si="310">CONCATENATE("|",F_OutputASCII(B2818),"|")</f>
        <v>|Murtada-Quli|</v>
      </c>
      <c r="K2818" s="3" t="str">
        <f t="shared" ref="K2818:K2881" si="311">IF(SUBSTITUTE(MID(J2818,2,LEN(J2818)-2),"'","")&lt;&gt;"",SUBSTITUTE(MID(J2818,2,LEN(J2818)-2),"'",""),"ZZZZZ")</f>
        <v>Murtada-Quli</v>
      </c>
      <c r="N2818" s="39" t="str">
        <f t="shared" si="305"/>
        <v/>
      </c>
      <c r="P2818" s="39" t="str">
        <f t="shared" si="306"/>
        <v/>
      </c>
      <c r="R2818" s="39" t="str">
        <f t="shared" si="307"/>
        <v/>
      </c>
      <c r="S2818" s="28"/>
      <c r="T2818" s="28"/>
      <c r="U2818" s="28"/>
    </row>
    <row r="2819" spans="1:21" s="5" customFormat="1">
      <c r="A2819" s="179" t="s">
        <v>3294</v>
      </c>
      <c r="B2819" s="185" t="s">
        <v>7294</v>
      </c>
      <c r="C2819" s="35" t="str">
        <f t="shared" si="308"/>
        <v>MurtadayiAnsari</v>
      </c>
      <c r="E2819" s="40"/>
      <c r="F2819" s="15"/>
      <c r="G2819" s="17"/>
      <c r="H2819" s="10" t="s">
        <v>8563</v>
      </c>
      <c r="I2819" s="4" t="str">
        <f t="shared" si="309"/>
        <v>|Murtaḍáy-i-Anṣárí|</v>
      </c>
      <c r="J2819" s="3" t="str">
        <f t="shared" si="310"/>
        <v>|Murtaday-i-Ansari|</v>
      </c>
      <c r="K2819" s="3" t="str">
        <f t="shared" si="311"/>
        <v>Murtaday-i-Ansari</v>
      </c>
      <c r="N2819" s="39" t="str">
        <f t="shared" ref="N2819:N2882" si="312">SUBSTITUTE(SUBSTITUTE(SUBSTITUTE(F_OutputASCII(M2819),"-","")," ",""),"'","")</f>
        <v/>
      </c>
      <c r="P2819" s="39" t="str">
        <f t="shared" ref="P2819:P2882" si="313">SUBSTITUTE(SUBSTITUTE(SUBSTITUTE(F_OutputASCII(O2819),"-","")," ",""),"'","")</f>
        <v/>
      </c>
      <c r="R2819" s="39" t="str">
        <f t="shared" ref="R2819:R2882" si="314">SUBSTITUTE(SUBSTITUTE(Q2819,"-","")," ","")</f>
        <v/>
      </c>
      <c r="S2819" s="28"/>
      <c r="T2819" s="28"/>
      <c r="U2819" s="28"/>
    </row>
    <row r="2820" spans="1:21" s="5" customFormat="1">
      <c r="A2820" s="179" t="s">
        <v>3295</v>
      </c>
      <c r="B2820" s="185" t="s">
        <v>7295</v>
      </c>
      <c r="C2820" s="35" t="str">
        <f t="shared" si="308"/>
        <v>Musa</v>
      </c>
      <c r="E2820" s="40"/>
      <c r="F2820" s="14"/>
      <c r="G2820" s="17"/>
      <c r="H2820" s="10" t="s">
        <v>8563</v>
      </c>
      <c r="I2820" s="4" t="str">
        <f t="shared" si="309"/>
        <v>|Músá|</v>
      </c>
      <c r="J2820" s="3" t="str">
        <f t="shared" si="310"/>
        <v>|Musa|</v>
      </c>
      <c r="K2820" s="3" t="str">
        <f t="shared" si="311"/>
        <v>Musa</v>
      </c>
      <c r="N2820" s="39" t="str">
        <f t="shared" si="312"/>
        <v/>
      </c>
      <c r="P2820" s="39" t="str">
        <f t="shared" si="313"/>
        <v/>
      </c>
      <c r="R2820" s="39" t="str">
        <f t="shared" si="314"/>
        <v/>
      </c>
      <c r="S2820" s="28"/>
      <c r="T2820" s="28"/>
      <c r="U2820" s="28"/>
    </row>
    <row r="2821" spans="1:21" s="5" customFormat="1">
      <c r="A2821" s="181"/>
      <c r="B2821" s="185" t="s">
        <v>8766</v>
      </c>
      <c r="C2821" s="35" t="str">
        <f t="shared" si="308"/>
        <v>MusaKazim</v>
      </c>
      <c r="D2821" s="1"/>
      <c r="E2821" s="40" t="s">
        <v>9115</v>
      </c>
      <c r="F2821" s="12"/>
      <c r="G2821" s="9"/>
      <c r="H2821" s="12" t="s">
        <v>8622</v>
      </c>
      <c r="I2821" s="4" t="str">
        <f t="shared" si="309"/>
        <v>|Músá Káẓim|</v>
      </c>
      <c r="J2821" s="3" t="str">
        <f t="shared" si="310"/>
        <v>|Musa Kazim|</v>
      </c>
      <c r="K2821" s="3" t="str">
        <f t="shared" si="311"/>
        <v>Musa Kazim</v>
      </c>
      <c r="N2821" s="39" t="str">
        <f t="shared" si="312"/>
        <v/>
      </c>
      <c r="P2821" s="39" t="str">
        <f t="shared" si="313"/>
        <v/>
      </c>
      <c r="R2821" s="39" t="str">
        <f t="shared" si="314"/>
        <v/>
      </c>
      <c r="S2821" s="29">
        <v>41760</v>
      </c>
      <c r="T2821" s="28"/>
      <c r="U2821" s="28"/>
    </row>
    <row r="2822" spans="1:21" s="5" customFormat="1">
      <c r="A2822" s="179" t="s">
        <v>3296</v>
      </c>
      <c r="B2822" s="185" t="s">
        <v>7296</v>
      </c>
      <c r="C2822" s="35" t="str">
        <f t="shared" si="308"/>
        <v>Musafihih</v>
      </c>
      <c r="E2822" s="40"/>
      <c r="F2822" s="15" t="s">
        <v>3297</v>
      </c>
      <c r="G2822" s="17"/>
      <c r="H2822" s="10" t="s">
        <v>8563</v>
      </c>
      <c r="I2822" s="4" t="str">
        <f t="shared" si="309"/>
        <v>|Muṣáfiḥih|</v>
      </c>
      <c r="J2822" s="3" t="str">
        <f t="shared" si="310"/>
        <v>|Musafihih|</v>
      </c>
      <c r="K2822" s="3" t="str">
        <f t="shared" si="311"/>
        <v>Musafihih</v>
      </c>
      <c r="N2822" s="39" t="str">
        <f t="shared" si="312"/>
        <v/>
      </c>
      <c r="P2822" s="39" t="str">
        <f t="shared" si="313"/>
        <v/>
      </c>
      <c r="R2822" s="39" t="str">
        <f t="shared" si="314"/>
        <v/>
      </c>
      <c r="S2822" s="28"/>
      <c r="T2822" s="28"/>
      <c r="U2822" s="28"/>
    </row>
    <row r="2823" spans="1:21" s="5" customFormat="1">
      <c r="A2823" s="179" t="s">
        <v>3298</v>
      </c>
      <c r="B2823" s="185" t="s">
        <v>7297</v>
      </c>
      <c r="C2823" s="35" t="str">
        <f t="shared" si="308"/>
        <v>Musafir</v>
      </c>
      <c r="E2823" s="40"/>
      <c r="F2823" s="15"/>
      <c r="G2823" s="17"/>
      <c r="H2823" s="10" t="s">
        <v>8563</v>
      </c>
      <c r="I2823" s="4" t="str">
        <f t="shared" si="309"/>
        <v>|Musáfir|</v>
      </c>
      <c r="J2823" s="3" t="str">
        <f t="shared" si="310"/>
        <v>|Musafir|</v>
      </c>
      <c r="K2823" s="3" t="str">
        <f t="shared" si="311"/>
        <v>Musafir</v>
      </c>
      <c r="N2823" s="39" t="str">
        <f t="shared" si="312"/>
        <v/>
      </c>
      <c r="P2823" s="39" t="str">
        <f t="shared" si="313"/>
        <v/>
      </c>
      <c r="R2823" s="39" t="str">
        <f t="shared" si="314"/>
        <v/>
      </c>
      <c r="S2823" s="28"/>
      <c r="T2823" s="28"/>
      <c r="U2823" s="28"/>
    </row>
    <row r="2824" spans="1:21" s="5" customFormat="1">
      <c r="A2824" s="179" t="s">
        <v>3299</v>
      </c>
      <c r="B2824" s="185" t="s">
        <v>7298</v>
      </c>
      <c r="C2824" s="35" t="str">
        <f t="shared" si="308"/>
        <v>Musafirid</v>
      </c>
      <c r="E2824" s="40"/>
      <c r="F2824" s="15"/>
      <c r="G2824" s="17"/>
      <c r="H2824" s="10" t="s">
        <v>8563</v>
      </c>
      <c r="I2824" s="4" t="str">
        <f t="shared" si="309"/>
        <v>|Musáfirid|</v>
      </c>
      <c r="J2824" s="3" t="str">
        <f t="shared" si="310"/>
        <v>|Musafirid|</v>
      </c>
      <c r="K2824" s="3" t="str">
        <f t="shared" si="311"/>
        <v>Musafirid</v>
      </c>
      <c r="N2824" s="39" t="str">
        <f t="shared" si="312"/>
        <v/>
      </c>
      <c r="P2824" s="39" t="str">
        <f t="shared" si="313"/>
        <v/>
      </c>
      <c r="R2824" s="39" t="str">
        <f t="shared" si="314"/>
        <v/>
      </c>
      <c r="S2824" s="28"/>
      <c r="T2824" s="28"/>
      <c r="U2824" s="28"/>
    </row>
    <row r="2825" spans="1:21" s="5" customFormat="1">
      <c r="A2825" s="179" t="s">
        <v>3300</v>
      </c>
      <c r="B2825" s="185" t="s">
        <v>7299</v>
      </c>
      <c r="C2825" s="35" t="str">
        <f t="shared" si="308"/>
        <v>MusaKazim</v>
      </c>
      <c r="E2825" s="40" t="s">
        <v>9115</v>
      </c>
      <c r="F2825" s="15"/>
      <c r="G2825" s="17"/>
      <c r="H2825" s="10" t="s">
        <v>8563</v>
      </c>
      <c r="I2825" s="4" t="str">
        <f t="shared" si="309"/>
        <v>|Músá-Káẓim|</v>
      </c>
      <c r="J2825" s="3" t="str">
        <f t="shared" si="310"/>
        <v>|Musa-Kazim|</v>
      </c>
      <c r="K2825" s="3" t="str">
        <f t="shared" si="311"/>
        <v>Musa-Kazim</v>
      </c>
      <c r="N2825" s="39" t="str">
        <f t="shared" si="312"/>
        <v/>
      </c>
      <c r="P2825" s="39" t="str">
        <f t="shared" si="313"/>
        <v/>
      </c>
      <c r="R2825" s="39" t="str">
        <f t="shared" si="314"/>
        <v/>
      </c>
      <c r="S2825" s="28"/>
      <c r="T2825" s="28"/>
      <c r="U2825" s="28"/>
    </row>
    <row r="2826" spans="1:21" s="5" customFormat="1">
      <c r="A2826" s="179" t="s">
        <v>3301</v>
      </c>
      <c r="B2826" s="185" t="s">
        <v>7300</v>
      </c>
      <c r="C2826" s="35" t="str">
        <f t="shared" si="308"/>
        <v>Musakhkhirin</v>
      </c>
      <c r="E2826" s="40"/>
      <c r="F2826" s="15" t="s">
        <v>3302</v>
      </c>
      <c r="G2826" s="17"/>
      <c r="H2826" s="10" t="s">
        <v>8563</v>
      </c>
      <c r="I2826" s="4" t="str">
        <f t="shared" si="309"/>
        <v>|Musairín|</v>
      </c>
      <c r="J2826" s="3" t="str">
        <f t="shared" si="310"/>
        <v>|Musakhkhirin|</v>
      </c>
      <c r="K2826" s="3" t="str">
        <f t="shared" si="311"/>
        <v>Musakhkhirin</v>
      </c>
      <c r="N2826" s="39" t="str">
        <f t="shared" si="312"/>
        <v/>
      </c>
      <c r="P2826" s="39" t="str">
        <f t="shared" si="313"/>
        <v/>
      </c>
      <c r="R2826" s="39" t="str">
        <f t="shared" si="314"/>
        <v/>
      </c>
      <c r="S2826" s="28"/>
      <c r="T2826" s="28"/>
      <c r="U2826" s="28"/>
    </row>
    <row r="2827" spans="1:21" s="5" customFormat="1">
      <c r="A2827" s="179" t="s">
        <v>3303</v>
      </c>
      <c r="B2827" s="185" t="s">
        <v>7301</v>
      </c>
      <c r="C2827" s="35" t="str">
        <f t="shared" si="308"/>
        <v>Musalla</v>
      </c>
      <c r="E2827" s="40"/>
      <c r="F2827" s="15" t="s">
        <v>3304</v>
      </c>
      <c r="G2827" s="17"/>
      <c r="H2827" s="10" t="s">
        <v>8563</v>
      </c>
      <c r="I2827" s="4" t="str">
        <f t="shared" si="309"/>
        <v>|Muṣallá|</v>
      </c>
      <c r="J2827" s="3" t="str">
        <f t="shared" si="310"/>
        <v>|Musalla|</v>
      </c>
      <c r="K2827" s="3" t="str">
        <f t="shared" si="311"/>
        <v>Musalla</v>
      </c>
      <c r="N2827" s="39" t="str">
        <f t="shared" si="312"/>
        <v/>
      </c>
      <c r="P2827" s="39" t="str">
        <f t="shared" si="313"/>
        <v/>
      </c>
      <c r="R2827" s="39" t="str">
        <f t="shared" si="314"/>
        <v/>
      </c>
      <c r="S2827" s="28"/>
      <c r="T2827" s="28"/>
      <c r="U2827" s="28"/>
    </row>
    <row r="2828" spans="1:21" s="5" customFormat="1">
      <c r="A2828" s="179" t="s">
        <v>3334</v>
      </c>
      <c r="B2828" s="185" t="s">
        <v>7327</v>
      </c>
      <c r="C2828" s="35" t="str">
        <f t="shared" si="308"/>
        <v>Musalman</v>
      </c>
      <c r="E2828" s="40"/>
      <c r="F2828" s="14"/>
      <c r="G2828" s="17"/>
      <c r="H2828" s="10" t="s">
        <v>8563</v>
      </c>
      <c r="I2828" s="4" t="str">
        <f t="shared" si="309"/>
        <v>|Musalmán|</v>
      </c>
      <c r="J2828" s="3" t="str">
        <f t="shared" si="310"/>
        <v>|Musalman|</v>
      </c>
      <c r="K2828" s="3" t="str">
        <f t="shared" si="311"/>
        <v>Musalman</v>
      </c>
      <c r="N2828" s="39" t="str">
        <f t="shared" si="312"/>
        <v/>
      </c>
      <c r="P2828" s="39" t="str">
        <f t="shared" si="313"/>
        <v/>
      </c>
      <c r="R2828" s="39" t="str">
        <f t="shared" si="314"/>
        <v/>
      </c>
      <c r="S2828" s="28"/>
      <c r="T2828" s="28"/>
      <c r="U2828" s="28"/>
    </row>
    <row r="2829" spans="1:21" s="5" customFormat="1">
      <c r="A2829" s="179" t="s">
        <v>3305</v>
      </c>
      <c r="B2829" s="185" t="s">
        <v>7302</v>
      </c>
      <c r="C2829" s="35" t="str">
        <f t="shared" si="308"/>
        <v>MusarRida</v>
      </c>
      <c r="E2829" s="40"/>
      <c r="F2829" s="15"/>
      <c r="G2829" s="17"/>
      <c r="H2829" s="10" t="s">
        <v>8563</v>
      </c>
      <c r="I2829" s="4" t="str">
        <f t="shared" si="309"/>
        <v>|Músa’r-Riḍá|</v>
      </c>
      <c r="J2829" s="3" t="str">
        <f t="shared" si="310"/>
        <v>|Musa'r-Rida|</v>
      </c>
      <c r="K2829" s="3" t="str">
        <f t="shared" si="311"/>
        <v>Musar-Rida</v>
      </c>
      <c r="N2829" s="39" t="str">
        <f t="shared" si="312"/>
        <v/>
      </c>
      <c r="P2829" s="39" t="str">
        <f t="shared" si="313"/>
        <v/>
      </c>
      <c r="R2829" s="39" t="str">
        <f t="shared" si="314"/>
        <v/>
      </c>
      <c r="S2829" s="28"/>
      <c r="T2829" s="28"/>
      <c r="U2829" s="28"/>
    </row>
    <row r="2830" spans="1:21" s="5" customFormat="1">
      <c r="A2830" s="179" t="s">
        <v>3306</v>
      </c>
      <c r="B2830" s="185" t="s">
        <v>7303</v>
      </c>
      <c r="C2830" s="35" t="str">
        <f t="shared" si="308"/>
        <v>musavat</v>
      </c>
      <c r="E2830" s="40"/>
      <c r="F2830" s="15" t="s">
        <v>3307</v>
      </c>
      <c r="G2830" s="17"/>
      <c r="H2830" s="10" t="s">
        <v>8563</v>
      </c>
      <c r="I2830" s="4" t="str">
        <f t="shared" si="309"/>
        <v>|musávát|</v>
      </c>
      <c r="J2830" s="3" t="str">
        <f t="shared" si="310"/>
        <v>|musavat|</v>
      </c>
      <c r="K2830" s="3" t="str">
        <f t="shared" si="311"/>
        <v>musavat</v>
      </c>
      <c r="N2830" s="39" t="str">
        <f t="shared" si="312"/>
        <v/>
      </c>
      <c r="P2830" s="39" t="str">
        <f t="shared" si="313"/>
        <v/>
      </c>
      <c r="R2830" s="39" t="str">
        <f t="shared" si="314"/>
        <v/>
      </c>
      <c r="S2830" s="28"/>
      <c r="T2830" s="28"/>
      <c r="U2830" s="28"/>
    </row>
    <row r="2831" spans="1:21" s="5" customFormat="1">
      <c r="A2831" s="179" t="s">
        <v>3308</v>
      </c>
      <c r="B2831" s="185" t="s">
        <v>7304</v>
      </c>
      <c r="C2831" s="35" t="str">
        <f t="shared" si="308"/>
        <v>MusayiBahrayni</v>
      </c>
      <c r="E2831" s="40"/>
      <c r="F2831" s="15"/>
      <c r="G2831" s="17"/>
      <c r="H2831" s="10" t="s">
        <v>8563</v>
      </c>
      <c r="I2831" s="4" t="str">
        <f t="shared" si="309"/>
        <v>|Músáy-i-Bahrayní|</v>
      </c>
      <c r="J2831" s="3" t="str">
        <f t="shared" si="310"/>
        <v>|Musay-i-Bahrayni|</v>
      </c>
      <c r="K2831" s="3" t="str">
        <f t="shared" si="311"/>
        <v>Musay-i-Bahrayni</v>
      </c>
      <c r="N2831" s="39" t="str">
        <f t="shared" si="312"/>
        <v/>
      </c>
      <c r="P2831" s="39" t="str">
        <f t="shared" si="313"/>
        <v/>
      </c>
      <c r="R2831" s="39" t="str">
        <f t="shared" si="314"/>
        <v/>
      </c>
      <c r="S2831" s="28"/>
      <c r="T2831" s="28"/>
      <c r="U2831" s="28"/>
    </row>
    <row r="2832" spans="1:21" s="5" customFormat="1">
      <c r="A2832" s="179" t="s">
        <v>3309</v>
      </c>
      <c r="B2832" s="185" t="s">
        <v>7305</v>
      </c>
      <c r="C2832" s="35" t="str">
        <f t="shared" si="308"/>
        <v>MusayiKalim</v>
      </c>
      <c r="E2832" s="40"/>
      <c r="F2832" s="15"/>
      <c r="G2832" s="17"/>
      <c r="H2832" s="10" t="s">
        <v>8563</v>
      </c>
      <c r="I2832" s="4" t="str">
        <f t="shared" si="309"/>
        <v>|Músáy-i-Kalím|</v>
      </c>
      <c r="J2832" s="3" t="str">
        <f t="shared" si="310"/>
        <v>|Musay-i-Kalim|</v>
      </c>
      <c r="K2832" s="3" t="str">
        <f t="shared" si="311"/>
        <v>Musay-i-Kalim</v>
      </c>
      <c r="N2832" s="39" t="str">
        <f t="shared" si="312"/>
        <v/>
      </c>
      <c r="P2832" s="39" t="str">
        <f t="shared" si="313"/>
        <v/>
      </c>
      <c r="R2832" s="39" t="str">
        <f t="shared" si="314"/>
        <v/>
      </c>
      <c r="S2832" s="28"/>
      <c r="T2832" s="28"/>
      <c r="U2832" s="28"/>
    </row>
    <row r="2833" spans="1:21" s="5" customFormat="1">
      <c r="A2833" s="179" t="s">
        <v>3300</v>
      </c>
      <c r="B2833" s="185" t="s">
        <v>7306</v>
      </c>
      <c r="C2833" s="35" t="str">
        <f t="shared" si="308"/>
        <v>MusayiKazim</v>
      </c>
      <c r="E2833" s="40"/>
      <c r="F2833" s="15"/>
      <c r="G2833" s="17"/>
      <c r="H2833" s="10" t="s">
        <v>8563</v>
      </c>
      <c r="I2833" s="4" t="str">
        <f t="shared" si="309"/>
        <v>|Músáy-i-Káẓim|</v>
      </c>
      <c r="J2833" s="3" t="str">
        <f t="shared" si="310"/>
        <v>|Musay-i-Kazim|</v>
      </c>
      <c r="K2833" s="3" t="str">
        <f t="shared" si="311"/>
        <v>Musay-i-Kazim</v>
      </c>
      <c r="N2833" s="39" t="str">
        <f t="shared" si="312"/>
        <v/>
      </c>
      <c r="P2833" s="39" t="str">
        <f t="shared" si="313"/>
        <v/>
      </c>
      <c r="R2833" s="39" t="str">
        <f t="shared" si="314"/>
        <v/>
      </c>
      <c r="S2833" s="28"/>
      <c r="T2833" s="28"/>
      <c r="U2833" s="28"/>
    </row>
    <row r="2834" spans="1:21" s="5" customFormat="1">
      <c r="A2834" s="179" t="s">
        <v>3310</v>
      </c>
      <c r="B2834" s="185" t="s">
        <v>7307</v>
      </c>
      <c r="C2834" s="35" t="str">
        <f t="shared" si="308"/>
        <v>MusayiQumi</v>
      </c>
      <c r="E2834" s="40"/>
      <c r="F2834" s="14"/>
      <c r="G2834" s="17"/>
      <c r="H2834" s="10" t="s">
        <v>8563</v>
      </c>
      <c r="I2834" s="4" t="str">
        <f t="shared" si="309"/>
        <v>|Músáy-i-Qumí|</v>
      </c>
      <c r="J2834" s="3" t="str">
        <f t="shared" si="310"/>
        <v>|Musay-i-Qumi|</v>
      </c>
      <c r="K2834" s="3" t="str">
        <f t="shared" si="311"/>
        <v>Musay-i-Qumi</v>
      </c>
      <c r="N2834" s="39" t="str">
        <f t="shared" si="312"/>
        <v/>
      </c>
      <c r="P2834" s="39" t="str">
        <f t="shared" si="313"/>
        <v/>
      </c>
      <c r="R2834" s="39" t="str">
        <f t="shared" si="314"/>
        <v/>
      </c>
      <c r="S2834" s="28"/>
      <c r="T2834" s="28"/>
      <c r="U2834" s="28"/>
    </row>
    <row r="2835" spans="1:21" s="5" customFormat="1">
      <c r="A2835" s="179" t="s">
        <v>3311</v>
      </c>
      <c r="B2835" s="185" t="s">
        <v>7308</v>
      </c>
      <c r="C2835" s="35" t="str">
        <f t="shared" si="308"/>
        <v>Mushairih</v>
      </c>
      <c r="E2835" s="40"/>
      <c r="F2835" s="15" t="s">
        <v>3312</v>
      </c>
      <c r="G2835" s="17"/>
      <c r="H2835" s="10" t="s">
        <v>8563</v>
      </c>
      <c r="I2835" s="4" t="str">
        <f t="shared" si="309"/>
        <v>|Muáʿirih|</v>
      </c>
      <c r="J2835" s="3" t="str">
        <f t="shared" si="310"/>
        <v>|Musha'irih|</v>
      </c>
      <c r="K2835" s="3" t="str">
        <f t="shared" si="311"/>
        <v>Mushairih</v>
      </c>
      <c r="N2835" s="39" t="str">
        <f t="shared" si="312"/>
        <v/>
      </c>
      <c r="P2835" s="39" t="str">
        <f t="shared" si="313"/>
        <v/>
      </c>
      <c r="R2835" s="39" t="str">
        <f t="shared" si="314"/>
        <v/>
      </c>
      <c r="S2835" s="28"/>
      <c r="T2835" s="28"/>
      <c r="U2835" s="28"/>
    </row>
    <row r="2836" spans="1:21" s="5" customFormat="1">
      <c r="A2836" s="179" t="s">
        <v>3313</v>
      </c>
      <c r="B2836" s="185" t="s">
        <v>7309</v>
      </c>
      <c r="C2836" s="35" t="str">
        <f t="shared" si="308"/>
        <v>Mushasha</v>
      </c>
      <c r="E2836" s="40"/>
      <c r="F2836" s="15"/>
      <c r="G2836" s="17"/>
      <c r="H2836" s="10" t="s">
        <v>8563</v>
      </c>
      <c r="I2836" s="4" t="str">
        <f t="shared" si="309"/>
        <v>|Muaʿaʿ|</v>
      </c>
      <c r="J2836" s="3" t="str">
        <f t="shared" si="310"/>
        <v>|Musha'sha'|</v>
      </c>
      <c r="K2836" s="3" t="str">
        <f t="shared" si="311"/>
        <v>Mushasha</v>
      </c>
      <c r="N2836" s="39" t="str">
        <f t="shared" si="312"/>
        <v/>
      </c>
      <c r="P2836" s="39" t="str">
        <f t="shared" si="313"/>
        <v/>
      </c>
      <c r="R2836" s="39" t="str">
        <f t="shared" si="314"/>
        <v/>
      </c>
      <c r="S2836" s="28"/>
      <c r="T2836" s="28"/>
      <c r="U2836" s="28"/>
    </row>
    <row r="2837" spans="1:21" s="5" customFormat="1">
      <c r="A2837" s="179" t="s">
        <v>3314</v>
      </c>
      <c r="B2837" s="185" t="s">
        <v>7310</v>
      </c>
      <c r="C2837" s="35" t="str">
        <f t="shared" si="308"/>
        <v>Mushavir</v>
      </c>
      <c r="E2837" s="40"/>
      <c r="F2837" s="15"/>
      <c r="G2837" s="17"/>
      <c r="H2837" s="10" t="s">
        <v>8563</v>
      </c>
      <c r="I2837" s="4" t="str">
        <f t="shared" si="309"/>
        <v>|Muávir|</v>
      </c>
      <c r="J2837" s="3" t="str">
        <f t="shared" si="310"/>
        <v>|Mushavir|</v>
      </c>
      <c r="K2837" s="3" t="str">
        <f t="shared" si="311"/>
        <v>Mushavir</v>
      </c>
      <c r="N2837" s="39" t="str">
        <f t="shared" si="312"/>
        <v/>
      </c>
      <c r="P2837" s="39" t="str">
        <f t="shared" si="313"/>
        <v/>
      </c>
      <c r="R2837" s="39" t="str">
        <f t="shared" si="314"/>
        <v/>
      </c>
      <c r="S2837" s="28"/>
      <c r="T2837" s="28"/>
      <c r="U2837" s="28"/>
    </row>
    <row r="2838" spans="1:21" s="5" customFormat="1">
      <c r="A2838" s="179" t="s">
        <v>3315</v>
      </c>
      <c r="B2838" s="185" t="s">
        <v>7311</v>
      </c>
      <c r="C2838" s="35" t="str">
        <f t="shared" si="308"/>
        <v>MushavirulMamalik</v>
      </c>
      <c r="E2838" s="40"/>
      <c r="F2838" s="15"/>
      <c r="G2838" s="17"/>
      <c r="H2838" s="10" t="s">
        <v>8563</v>
      </c>
      <c r="I2838" s="4" t="str">
        <f t="shared" si="309"/>
        <v>|Muáviru’l-Mamálik|</v>
      </c>
      <c r="J2838" s="3" t="str">
        <f t="shared" si="310"/>
        <v>|Mushaviru'l-Mamalik|</v>
      </c>
      <c r="K2838" s="3" t="str">
        <f t="shared" si="311"/>
        <v>Mushavirul-Mamalik</v>
      </c>
      <c r="N2838" s="39" t="str">
        <f t="shared" si="312"/>
        <v/>
      </c>
      <c r="P2838" s="39" t="str">
        <f t="shared" si="313"/>
        <v/>
      </c>
      <c r="R2838" s="39" t="str">
        <f t="shared" si="314"/>
        <v/>
      </c>
      <c r="S2838" s="28"/>
      <c r="T2838" s="28"/>
      <c r="U2838" s="28"/>
    </row>
    <row r="2839" spans="1:21" s="5" customFormat="1">
      <c r="A2839" s="179" t="s">
        <v>3316</v>
      </c>
      <c r="B2839" s="185" t="s">
        <v>7312</v>
      </c>
      <c r="C2839" s="35" t="str">
        <f t="shared" si="308"/>
        <v>Mushih</v>
      </c>
      <c r="E2839" s="40"/>
      <c r="F2839" s="15"/>
      <c r="G2839" s="17"/>
      <c r="H2839" s="10" t="s">
        <v>8563</v>
      </c>
      <c r="I2839" s="4" t="str">
        <f t="shared" si="309"/>
        <v>|Múih|</v>
      </c>
      <c r="J2839" s="3" t="str">
        <f t="shared" si="310"/>
        <v>|Mushih|</v>
      </c>
      <c r="K2839" s="3" t="str">
        <f t="shared" si="311"/>
        <v>Mushih</v>
      </c>
      <c r="N2839" s="39" t="str">
        <f t="shared" si="312"/>
        <v/>
      </c>
      <c r="P2839" s="39" t="str">
        <f t="shared" si="313"/>
        <v/>
      </c>
      <c r="R2839" s="39" t="str">
        <f t="shared" si="314"/>
        <v/>
      </c>
      <c r="S2839" s="28"/>
      <c r="T2839" s="28"/>
      <c r="U2839" s="28"/>
    </row>
    <row r="2840" spans="1:21" s="5" customFormat="1">
      <c r="A2840" s="179" t="s">
        <v>3317</v>
      </c>
      <c r="B2840" s="185" t="s">
        <v>7313</v>
      </c>
      <c r="C2840" s="35" t="str">
        <f t="shared" si="308"/>
        <v>Mushir</v>
      </c>
      <c r="E2840" s="40"/>
      <c r="F2840" s="15"/>
      <c r="G2840" s="17"/>
      <c r="H2840" s="10" t="s">
        <v>8563</v>
      </c>
      <c r="I2840" s="4" t="str">
        <f t="shared" si="309"/>
        <v>|Muír|</v>
      </c>
      <c r="J2840" s="3" t="str">
        <f t="shared" si="310"/>
        <v>|Mushir|</v>
      </c>
      <c r="K2840" s="3" t="str">
        <f t="shared" si="311"/>
        <v>Mushir</v>
      </c>
      <c r="N2840" s="39" t="str">
        <f t="shared" si="312"/>
        <v/>
      </c>
      <c r="P2840" s="39" t="str">
        <f t="shared" si="313"/>
        <v/>
      </c>
      <c r="R2840" s="39" t="str">
        <f t="shared" si="314"/>
        <v/>
      </c>
      <c r="S2840" s="28"/>
      <c r="T2840" s="28"/>
      <c r="U2840" s="28"/>
    </row>
    <row r="2841" spans="1:21" s="5" customFormat="1">
      <c r="A2841" s="179" t="s">
        <v>3318</v>
      </c>
      <c r="B2841" s="185" t="s">
        <v>7314</v>
      </c>
      <c r="C2841" s="35" t="str">
        <f t="shared" si="308"/>
        <v>MushirudDawlih</v>
      </c>
      <c r="E2841" s="40"/>
      <c r="F2841" s="14"/>
      <c r="G2841" s="17"/>
      <c r="H2841" s="10" t="s">
        <v>8563</v>
      </c>
      <c r="I2841" s="4" t="str">
        <f t="shared" si="309"/>
        <v>|Muíru’d-Dawlih|</v>
      </c>
      <c r="J2841" s="3" t="str">
        <f t="shared" si="310"/>
        <v>|Mushiru'd-Dawlih|</v>
      </c>
      <c r="K2841" s="3" t="str">
        <f t="shared" si="311"/>
        <v>Mushirud-Dawlih</v>
      </c>
      <c r="N2841" s="39" t="str">
        <f t="shared" si="312"/>
        <v/>
      </c>
      <c r="P2841" s="39" t="str">
        <f t="shared" si="313"/>
        <v/>
      </c>
      <c r="R2841" s="39" t="str">
        <f t="shared" si="314"/>
        <v/>
      </c>
      <c r="S2841" s="28"/>
      <c r="T2841" s="28"/>
      <c r="U2841" s="28"/>
    </row>
    <row r="2842" spans="1:21" s="5" customFormat="1">
      <c r="A2842" s="179" t="s">
        <v>3319</v>
      </c>
      <c r="B2842" s="185" t="s">
        <v>7315</v>
      </c>
      <c r="C2842" s="35" t="str">
        <f t="shared" si="308"/>
        <v>Mushkan</v>
      </c>
      <c r="E2842" s="40"/>
      <c r="F2842" s="14"/>
      <c r="G2842" s="17"/>
      <c r="H2842" s="10" t="s">
        <v>8563</v>
      </c>
      <c r="I2842" s="4" t="str">
        <f t="shared" si="309"/>
        <v>|Mukán|</v>
      </c>
      <c r="J2842" s="3" t="str">
        <f t="shared" si="310"/>
        <v>|Mushkan|</v>
      </c>
      <c r="K2842" s="3" t="str">
        <f t="shared" si="311"/>
        <v>Mushkan</v>
      </c>
      <c r="N2842" s="39" t="str">
        <f t="shared" si="312"/>
        <v/>
      </c>
      <c r="P2842" s="39" t="str">
        <f t="shared" si="313"/>
        <v/>
      </c>
      <c r="R2842" s="39" t="str">
        <f t="shared" si="314"/>
        <v/>
      </c>
      <c r="S2842" s="28"/>
      <c r="T2842" s="28"/>
      <c r="U2842" s="28"/>
    </row>
    <row r="2843" spans="1:21" s="5" customFormat="1">
      <c r="A2843" s="179" t="s">
        <v>3320</v>
      </c>
      <c r="B2843" s="185" t="s">
        <v>7316</v>
      </c>
      <c r="C2843" s="35" t="str">
        <f t="shared" si="308"/>
        <v>Mushrikun</v>
      </c>
      <c r="E2843" s="40"/>
      <c r="F2843" s="15"/>
      <c r="G2843" s="17"/>
      <c r="H2843" s="10" t="s">
        <v>8563</v>
      </c>
      <c r="I2843" s="4" t="str">
        <f t="shared" si="309"/>
        <v>|Murikún|</v>
      </c>
      <c r="J2843" s="3" t="str">
        <f t="shared" si="310"/>
        <v>|Mushrikun|</v>
      </c>
      <c r="K2843" s="3" t="str">
        <f t="shared" si="311"/>
        <v>Mushrikun</v>
      </c>
      <c r="N2843" s="39" t="str">
        <f t="shared" si="312"/>
        <v/>
      </c>
      <c r="P2843" s="39" t="str">
        <f t="shared" si="313"/>
        <v/>
      </c>
      <c r="R2843" s="39" t="str">
        <f t="shared" si="314"/>
        <v/>
      </c>
      <c r="S2843" s="28"/>
      <c r="T2843" s="28"/>
      <c r="U2843" s="28"/>
    </row>
    <row r="2844" spans="1:21" s="5" customFormat="1">
      <c r="A2844" s="179" t="s">
        <v>3321</v>
      </c>
      <c r="B2844" s="185" t="s">
        <v>7317</v>
      </c>
      <c r="C2844" s="35" t="str">
        <f t="shared" si="308"/>
        <v>MushtailUskui</v>
      </c>
      <c r="E2844" s="40"/>
      <c r="F2844" s="15"/>
      <c r="G2844" s="17"/>
      <c r="H2844" s="10" t="s">
        <v>8563</v>
      </c>
      <c r="I2844" s="4" t="str">
        <f t="shared" si="309"/>
        <v>|Mutaʿil-Uskú’í|</v>
      </c>
      <c r="J2844" s="3" t="str">
        <f t="shared" si="310"/>
        <v>|Mushta'il-Usku'i|</v>
      </c>
      <c r="K2844" s="3" t="str">
        <f t="shared" si="311"/>
        <v>Mushtail-Uskui</v>
      </c>
      <c r="N2844" s="39" t="str">
        <f t="shared" si="312"/>
        <v/>
      </c>
      <c r="P2844" s="39" t="str">
        <f t="shared" si="313"/>
        <v/>
      </c>
      <c r="R2844" s="39" t="str">
        <f t="shared" si="314"/>
        <v/>
      </c>
      <c r="S2844" s="28"/>
      <c r="T2844" s="28"/>
      <c r="U2844" s="28"/>
    </row>
    <row r="2845" spans="1:21" s="5" customFormat="1">
      <c r="A2845" s="179" t="s">
        <v>3322</v>
      </c>
      <c r="B2845" s="185" t="s">
        <v>7318</v>
      </c>
      <c r="C2845" s="35" t="str">
        <f t="shared" si="308"/>
        <v>MusibatiHurufatiAliyat</v>
      </c>
      <c r="E2845" s="40"/>
      <c r="F2845" s="15"/>
      <c r="G2845" s="17"/>
      <c r="H2845" s="10" t="s">
        <v>8563</v>
      </c>
      <c r="I2845" s="4" t="str">
        <f t="shared" si="309"/>
        <v>|Muṣíbat-i-Ḥurúfát-i-ʿÁlíyát|</v>
      </c>
      <c r="J2845" s="3" t="str">
        <f t="shared" si="310"/>
        <v>|Musibat-i-Hurufat-i-'Aliyat|</v>
      </c>
      <c r="K2845" s="3" t="str">
        <f t="shared" si="311"/>
        <v>Musibat-i-Hurufat-i-Aliyat</v>
      </c>
      <c r="N2845" s="39" t="str">
        <f t="shared" si="312"/>
        <v/>
      </c>
      <c r="P2845" s="39" t="str">
        <f t="shared" si="313"/>
        <v/>
      </c>
      <c r="R2845" s="39" t="str">
        <f t="shared" si="314"/>
        <v/>
      </c>
      <c r="S2845" s="28"/>
      <c r="T2845" s="28"/>
      <c r="U2845" s="28"/>
    </row>
    <row r="2846" spans="1:21" s="5" customFormat="1">
      <c r="A2846" s="179" t="s">
        <v>3323</v>
      </c>
      <c r="B2846" s="185" t="s">
        <v>7319</v>
      </c>
      <c r="C2846" s="35" t="str">
        <f t="shared" si="308"/>
        <v>MuslihudDin</v>
      </c>
      <c r="E2846" s="40"/>
      <c r="F2846" s="15"/>
      <c r="G2846" s="17"/>
      <c r="H2846" s="10" t="s">
        <v>8563</v>
      </c>
      <c r="I2846" s="4" t="str">
        <f t="shared" si="309"/>
        <v>|Muṣliḥu’d-Dín|</v>
      </c>
      <c r="J2846" s="3" t="str">
        <f t="shared" si="310"/>
        <v>|Muslihu'd-Din|</v>
      </c>
      <c r="K2846" s="3" t="str">
        <f t="shared" si="311"/>
        <v>Muslihud-Din</v>
      </c>
      <c r="N2846" s="39" t="str">
        <f t="shared" si="312"/>
        <v/>
      </c>
      <c r="P2846" s="39" t="str">
        <f t="shared" si="313"/>
        <v/>
      </c>
      <c r="R2846" s="39" t="str">
        <f t="shared" si="314"/>
        <v/>
      </c>
      <c r="S2846" s="28"/>
      <c r="T2846" s="28"/>
      <c r="U2846" s="28"/>
    </row>
    <row r="2847" spans="1:21" s="5" customFormat="1">
      <c r="A2847" s="179" t="s">
        <v>3324</v>
      </c>
      <c r="B2847" s="185" t="s">
        <v>31</v>
      </c>
      <c r="C2847" s="35" t="str">
        <f t="shared" si="308"/>
        <v>Muslim</v>
      </c>
      <c r="E2847" s="40"/>
      <c r="F2847" s="14"/>
      <c r="G2847" s="17"/>
      <c r="H2847" s="10" t="s">
        <v>8563</v>
      </c>
      <c r="I2847" s="4" t="str">
        <f t="shared" si="309"/>
        <v>|Muslim|</v>
      </c>
      <c r="J2847" s="3" t="str">
        <f t="shared" si="310"/>
        <v>|Muslim|</v>
      </c>
      <c r="K2847" s="3" t="str">
        <f t="shared" si="311"/>
        <v>Muslim</v>
      </c>
      <c r="N2847" s="39" t="str">
        <f t="shared" si="312"/>
        <v/>
      </c>
      <c r="P2847" s="39" t="str">
        <f t="shared" si="313"/>
        <v/>
      </c>
      <c r="R2847" s="39" t="str">
        <f t="shared" si="314"/>
        <v/>
      </c>
      <c r="S2847" s="28"/>
      <c r="T2847" s="29">
        <v>41781</v>
      </c>
      <c r="U2847" s="28" t="s">
        <v>9446</v>
      </c>
    </row>
    <row r="2848" spans="1:21" s="5" customFormat="1">
      <c r="A2848" s="179"/>
      <c r="B2848" s="185" t="s">
        <v>9108</v>
      </c>
      <c r="C2848" s="35" t="str">
        <f t="shared" si="308"/>
        <v>Muslime</v>
      </c>
      <c r="D2848" s="5" t="s">
        <v>59</v>
      </c>
      <c r="E2848" s="40"/>
      <c r="F2848" s="15"/>
      <c r="G2848" s="17"/>
      <c r="H2848" s="10"/>
      <c r="I2848" s="4" t="str">
        <f t="shared" si="309"/>
        <v>|Muslime|</v>
      </c>
      <c r="J2848" s="3" t="str">
        <f t="shared" si="310"/>
        <v>|Muslime|</v>
      </c>
      <c r="K2848" s="3" t="str">
        <f t="shared" si="311"/>
        <v>Muslime</v>
      </c>
      <c r="L2848" s="1"/>
      <c r="N2848" s="39" t="str">
        <f t="shared" si="312"/>
        <v/>
      </c>
      <c r="P2848" s="39" t="str">
        <f t="shared" si="313"/>
        <v/>
      </c>
      <c r="R2848" s="39" t="str">
        <f t="shared" si="314"/>
        <v/>
      </c>
      <c r="S2848" s="29">
        <v>41781</v>
      </c>
      <c r="T2848" s="29">
        <v>41799</v>
      </c>
      <c r="U2848" s="28" t="s">
        <v>9462</v>
      </c>
    </row>
    <row r="2849" spans="1:21" s="5" customFormat="1">
      <c r="A2849" s="181"/>
      <c r="B2849" s="185" t="s">
        <v>32</v>
      </c>
      <c r="C2849" s="35" t="str">
        <f t="shared" si="308"/>
        <v>muslimischen</v>
      </c>
      <c r="D2849" s="1" t="s">
        <v>59</v>
      </c>
      <c r="E2849" s="40"/>
      <c r="F2849" s="12"/>
      <c r="G2849" s="9"/>
      <c r="H2849" s="12"/>
      <c r="I2849" s="4" t="str">
        <f t="shared" si="309"/>
        <v>|muslimischen|</v>
      </c>
      <c r="J2849" s="3" t="str">
        <f t="shared" si="310"/>
        <v>|muslimischen|</v>
      </c>
      <c r="K2849" s="3" t="str">
        <f t="shared" si="311"/>
        <v>muslimischen</v>
      </c>
      <c r="M2849" s="1"/>
      <c r="N2849" s="39" t="str">
        <f t="shared" si="312"/>
        <v/>
      </c>
      <c r="O2849" s="1"/>
      <c r="P2849" s="39" t="str">
        <f t="shared" si="313"/>
        <v/>
      </c>
      <c r="Q2849" s="1"/>
      <c r="R2849" s="39" t="str">
        <f t="shared" si="314"/>
        <v/>
      </c>
      <c r="S2849" s="28"/>
      <c r="T2849" s="29">
        <v>41799</v>
      </c>
      <c r="U2849" s="28" t="s">
        <v>9463</v>
      </c>
    </row>
    <row r="2850" spans="1:21" s="5" customFormat="1">
      <c r="A2850" s="181"/>
      <c r="B2850" s="185" t="s">
        <v>33</v>
      </c>
      <c r="C2850" s="35" t="str">
        <f t="shared" si="308"/>
        <v>Muslims</v>
      </c>
      <c r="D2850" s="1" t="s">
        <v>9072</v>
      </c>
      <c r="E2850" s="40"/>
      <c r="F2850" s="12"/>
      <c r="G2850" s="9"/>
      <c r="H2850" s="12"/>
      <c r="I2850" s="4" t="str">
        <f t="shared" si="309"/>
        <v>|Muslims|</v>
      </c>
      <c r="J2850" s="3" t="str">
        <f t="shared" si="310"/>
        <v>|Muslims|</v>
      </c>
      <c r="K2850" s="3" t="str">
        <f t="shared" si="311"/>
        <v>Muslims</v>
      </c>
      <c r="M2850" s="1"/>
      <c r="N2850" s="39" t="str">
        <f t="shared" si="312"/>
        <v/>
      </c>
      <c r="O2850" s="1"/>
      <c r="P2850" s="39" t="str">
        <f t="shared" si="313"/>
        <v/>
      </c>
      <c r="Q2850" s="1"/>
      <c r="R2850" s="39" t="str">
        <f t="shared" si="314"/>
        <v/>
      </c>
      <c r="S2850" s="28"/>
      <c r="T2850" s="29">
        <v>41781</v>
      </c>
      <c r="U2850" s="28" t="s">
        <v>9446</v>
      </c>
    </row>
    <row r="2851" spans="1:21" s="5" customFormat="1">
      <c r="A2851" s="179" t="s">
        <v>2801</v>
      </c>
      <c r="B2851" s="185" t="s">
        <v>6884</v>
      </c>
      <c r="C2851" s="35" t="str">
        <f t="shared" si="308"/>
        <v>Mustafa</v>
      </c>
      <c r="E2851" s="40"/>
      <c r="F2851" s="14"/>
      <c r="G2851" s="17"/>
      <c r="H2851" s="10" t="s">
        <v>8563</v>
      </c>
      <c r="I2851" s="4" t="str">
        <f t="shared" si="309"/>
        <v>|Muṣṭafá|</v>
      </c>
      <c r="J2851" s="3" t="str">
        <f t="shared" si="310"/>
        <v>|Mustafa|</v>
      </c>
      <c r="K2851" s="3" t="str">
        <f t="shared" si="311"/>
        <v>Mustafa</v>
      </c>
      <c r="N2851" s="39" t="str">
        <f t="shared" si="312"/>
        <v/>
      </c>
      <c r="P2851" s="39" t="str">
        <f t="shared" si="313"/>
        <v/>
      </c>
      <c r="R2851" s="39" t="str">
        <f t="shared" si="314"/>
        <v/>
      </c>
      <c r="S2851" s="28"/>
      <c r="T2851" s="28"/>
      <c r="U2851" s="28"/>
    </row>
    <row r="2852" spans="1:21" s="5" customFormat="1">
      <c r="A2852" s="181"/>
      <c r="B2852" s="185" t="s">
        <v>8767</v>
      </c>
      <c r="C2852" s="35" t="str">
        <f t="shared" si="308"/>
        <v>MustafaBigiSanandaji</v>
      </c>
      <c r="D2852" s="1"/>
      <c r="E2852" s="40"/>
      <c r="F2852" s="12"/>
      <c r="G2852" s="9"/>
      <c r="H2852" s="12" t="s">
        <v>8622</v>
      </c>
      <c r="I2852" s="4" t="str">
        <f t="shared" si="309"/>
        <v>|Muṣṭafá Big-i-Sanandají|</v>
      </c>
      <c r="J2852" s="3" t="str">
        <f t="shared" si="310"/>
        <v>|Mustafa Big-i-Sanandaji|</v>
      </c>
      <c r="K2852" s="3" t="str">
        <f t="shared" si="311"/>
        <v>Mustafa Big-i-Sanandaji</v>
      </c>
      <c r="N2852" s="39" t="str">
        <f t="shared" si="312"/>
        <v/>
      </c>
      <c r="P2852" s="39" t="str">
        <f t="shared" si="313"/>
        <v/>
      </c>
      <c r="R2852" s="39" t="str">
        <f t="shared" si="314"/>
        <v/>
      </c>
      <c r="S2852" s="29">
        <v>41760</v>
      </c>
      <c r="T2852" s="28"/>
      <c r="U2852" s="28"/>
    </row>
    <row r="2853" spans="1:21" s="5" customFormat="1">
      <c r="A2853" s="179" t="s">
        <v>3325</v>
      </c>
      <c r="B2853" s="185" t="s">
        <v>7320</v>
      </c>
      <c r="C2853" s="35" t="str">
        <f t="shared" si="308"/>
        <v>MustafaQuli</v>
      </c>
      <c r="E2853" s="40"/>
      <c r="F2853" s="15"/>
      <c r="G2853" s="17"/>
      <c r="H2853" s="10" t="s">
        <v>8563</v>
      </c>
      <c r="I2853" s="4" t="str">
        <f t="shared" si="309"/>
        <v>|Muṣṭafá-Qulí|</v>
      </c>
      <c r="J2853" s="3" t="str">
        <f t="shared" si="310"/>
        <v>|Mustafa-Quli|</v>
      </c>
      <c r="K2853" s="3" t="str">
        <f t="shared" si="311"/>
        <v>Mustafa-Quli</v>
      </c>
      <c r="N2853" s="39" t="str">
        <f t="shared" si="312"/>
        <v/>
      </c>
      <c r="P2853" s="39" t="str">
        <f t="shared" si="313"/>
        <v/>
      </c>
      <c r="R2853" s="39" t="str">
        <f t="shared" si="314"/>
        <v/>
      </c>
      <c r="S2853" s="28"/>
      <c r="T2853" s="28"/>
      <c r="U2853" s="28"/>
    </row>
    <row r="2854" spans="1:21" s="5" customFormat="1">
      <c r="A2854" s="179" t="s">
        <v>3326</v>
      </c>
      <c r="B2854" s="185" t="s">
        <v>7321</v>
      </c>
      <c r="C2854" s="35" t="str">
        <f t="shared" si="308"/>
        <v>Mustaghath</v>
      </c>
      <c r="E2854" s="40"/>
      <c r="F2854" s="14" t="s">
        <v>3327</v>
      </c>
      <c r="G2854" s="17"/>
      <c r="H2854" s="10" t="s">
        <v>8563</v>
      </c>
      <c r="I2854" s="4" t="str">
        <f t="shared" si="309"/>
        <v>|Mustaá|</v>
      </c>
      <c r="J2854" s="3" t="str">
        <f t="shared" si="310"/>
        <v>|Mustaghath|</v>
      </c>
      <c r="K2854" s="3" t="str">
        <f t="shared" si="311"/>
        <v>Mustaghath</v>
      </c>
      <c r="N2854" s="39" t="str">
        <f t="shared" si="312"/>
        <v/>
      </c>
      <c r="P2854" s="39" t="str">
        <f t="shared" si="313"/>
        <v/>
      </c>
      <c r="R2854" s="39" t="str">
        <f t="shared" si="314"/>
        <v/>
      </c>
      <c r="S2854" s="28"/>
      <c r="T2854" s="28"/>
      <c r="U2854" s="28"/>
    </row>
    <row r="2855" spans="1:21" s="5" customFormat="1">
      <c r="A2855" s="179" t="s">
        <v>3328</v>
      </c>
      <c r="B2855" s="185" t="s">
        <v>7322</v>
      </c>
      <c r="C2855" s="35" t="str">
        <f t="shared" si="308"/>
        <v>Mustaqim</v>
      </c>
      <c r="E2855" s="40"/>
      <c r="F2855" s="15"/>
      <c r="G2855" s="17"/>
      <c r="H2855" s="10" t="s">
        <v>8563</v>
      </c>
      <c r="I2855" s="4" t="str">
        <f t="shared" si="309"/>
        <v>|Mustaqím|</v>
      </c>
      <c r="J2855" s="3" t="str">
        <f t="shared" si="310"/>
        <v>|Mustaqim|</v>
      </c>
      <c r="K2855" s="3" t="str">
        <f t="shared" si="311"/>
        <v>Mustaqim</v>
      </c>
      <c r="N2855" s="39" t="str">
        <f t="shared" si="312"/>
        <v/>
      </c>
      <c r="P2855" s="39" t="str">
        <f t="shared" si="313"/>
        <v/>
      </c>
      <c r="R2855" s="39" t="str">
        <f t="shared" si="314"/>
        <v/>
      </c>
      <c r="S2855" s="28"/>
      <c r="T2855" s="28"/>
      <c r="U2855" s="28"/>
    </row>
    <row r="2856" spans="1:21" s="5" customFormat="1">
      <c r="A2856" s="179" t="s">
        <v>3329</v>
      </c>
      <c r="B2856" s="185" t="s">
        <v>7323</v>
      </c>
      <c r="C2856" s="35" t="str">
        <f t="shared" si="308"/>
        <v>Mustawfi</v>
      </c>
      <c r="E2856" s="40"/>
      <c r="F2856" s="14"/>
      <c r="G2856" s="17"/>
      <c r="H2856" s="10" t="s">
        <v>8563</v>
      </c>
      <c r="I2856" s="4" t="str">
        <f t="shared" si="309"/>
        <v>|Mustawfí|</v>
      </c>
      <c r="J2856" s="3" t="str">
        <f t="shared" si="310"/>
        <v>|Mustawfi|</v>
      </c>
      <c r="K2856" s="3" t="str">
        <f t="shared" si="311"/>
        <v>Mustawfi</v>
      </c>
      <c r="N2856" s="39" t="str">
        <f t="shared" si="312"/>
        <v/>
      </c>
      <c r="P2856" s="39" t="str">
        <f t="shared" si="313"/>
        <v/>
      </c>
      <c r="R2856" s="39" t="str">
        <f t="shared" si="314"/>
        <v/>
      </c>
      <c r="S2856" s="28"/>
      <c r="T2856" s="28"/>
      <c r="U2856" s="28"/>
    </row>
    <row r="2857" spans="1:21" s="5" customFormat="1">
      <c r="A2857" s="179" t="s">
        <v>3330</v>
      </c>
      <c r="B2857" s="185" t="s">
        <v>7324</v>
      </c>
      <c r="C2857" s="35" t="str">
        <f t="shared" si="308"/>
        <v>MustawfiyulMamalik</v>
      </c>
      <c r="E2857" s="40"/>
      <c r="F2857" s="15"/>
      <c r="G2857" s="17"/>
      <c r="H2857" s="10" t="s">
        <v>8563</v>
      </c>
      <c r="I2857" s="4" t="str">
        <f t="shared" si="309"/>
        <v>|Mustawfíyu’l-Mamálik|</v>
      </c>
      <c r="J2857" s="3" t="str">
        <f t="shared" si="310"/>
        <v>|Mustawfiyu'l-Mamalik|</v>
      </c>
      <c r="K2857" s="3" t="str">
        <f t="shared" si="311"/>
        <v>Mustawfiyul-Mamalik</v>
      </c>
      <c r="N2857" s="39" t="str">
        <f t="shared" si="312"/>
        <v/>
      </c>
      <c r="P2857" s="39" t="str">
        <f t="shared" si="313"/>
        <v/>
      </c>
      <c r="R2857" s="39" t="str">
        <f t="shared" si="314"/>
        <v/>
      </c>
      <c r="S2857" s="28"/>
      <c r="T2857" s="28"/>
      <c r="U2857" s="28"/>
    </row>
    <row r="2858" spans="1:21" s="5" customFormat="1">
      <c r="A2858" s="179" t="s">
        <v>3331</v>
      </c>
      <c r="B2858" s="185" t="s">
        <v>7325</v>
      </c>
      <c r="C2858" s="35" t="str">
        <f t="shared" si="308"/>
        <v>MustawfiyulMamalikiAshtiyani</v>
      </c>
      <c r="E2858" s="40"/>
      <c r="F2858" s="15"/>
      <c r="G2858" s="17"/>
      <c r="H2858" s="10" t="s">
        <v>8563</v>
      </c>
      <c r="I2858" s="4" t="str">
        <f t="shared" si="309"/>
        <v>|Mustawfíyu’l-Mamálik-i-Atiyání|</v>
      </c>
      <c r="J2858" s="3" t="str">
        <f t="shared" si="310"/>
        <v>|Mustawfiyu'l-Mamalik-i-Ashtiyani|</v>
      </c>
      <c r="K2858" s="3" t="str">
        <f t="shared" si="311"/>
        <v>Mustawfiyul-Mamalik-i-Ashtiyani</v>
      </c>
      <c r="N2858" s="39" t="str">
        <f t="shared" si="312"/>
        <v/>
      </c>
      <c r="P2858" s="39" t="str">
        <f t="shared" si="313"/>
        <v/>
      </c>
      <c r="R2858" s="39" t="str">
        <f t="shared" si="314"/>
        <v/>
      </c>
      <c r="S2858" s="28"/>
      <c r="T2858" s="28"/>
      <c r="U2858" s="28"/>
    </row>
    <row r="2859" spans="1:21" s="5" customFormat="1">
      <c r="A2859" s="179" t="s">
        <v>3332</v>
      </c>
      <c r="B2859" s="185" t="s">
        <v>7326</v>
      </c>
      <c r="C2859" s="35" t="str">
        <f t="shared" si="308"/>
        <v>Mustayqiz</v>
      </c>
      <c r="E2859" s="40"/>
      <c r="F2859" s="15" t="s">
        <v>3333</v>
      </c>
      <c r="G2859" s="17"/>
      <c r="H2859" s="10" t="s">
        <v>8563</v>
      </c>
      <c r="I2859" s="4" t="str">
        <f t="shared" si="309"/>
        <v>|Mustayqiẓ|</v>
      </c>
      <c r="J2859" s="3" t="str">
        <f t="shared" si="310"/>
        <v>|Mustayqiz|</v>
      </c>
      <c r="K2859" s="3" t="str">
        <f t="shared" si="311"/>
        <v>Mustayqiz</v>
      </c>
      <c r="N2859" s="39" t="str">
        <f t="shared" si="312"/>
        <v/>
      </c>
      <c r="P2859" s="39" t="str">
        <f t="shared" si="313"/>
        <v/>
      </c>
      <c r="R2859" s="39" t="str">
        <f t="shared" si="314"/>
        <v/>
      </c>
      <c r="S2859" s="28"/>
      <c r="T2859" s="28"/>
      <c r="U2859" s="28"/>
    </row>
    <row r="2860" spans="1:21" s="5" customFormat="1">
      <c r="A2860" s="179" t="s">
        <v>3335</v>
      </c>
      <c r="B2860" s="185" t="s">
        <v>7328</v>
      </c>
      <c r="C2860" s="35" t="str">
        <f t="shared" si="308"/>
        <v>Mutaaliyyih</v>
      </c>
      <c r="E2860" s="40"/>
      <c r="F2860" s="15"/>
      <c r="G2860" s="17"/>
      <c r="H2860" s="10" t="s">
        <v>8563</v>
      </c>
      <c r="I2860" s="4" t="str">
        <f t="shared" si="309"/>
        <v>|Mutaʿáliyyih|</v>
      </c>
      <c r="J2860" s="3" t="str">
        <f t="shared" si="310"/>
        <v>|Muta'aliyyih|</v>
      </c>
      <c r="K2860" s="3" t="str">
        <f t="shared" si="311"/>
        <v>Mutaaliyyih</v>
      </c>
      <c r="N2860" s="39" t="str">
        <f t="shared" si="312"/>
        <v/>
      </c>
      <c r="P2860" s="39" t="str">
        <f t="shared" si="313"/>
        <v/>
      </c>
      <c r="R2860" s="39" t="str">
        <f t="shared" si="314"/>
        <v/>
      </c>
      <c r="S2860" s="28"/>
      <c r="T2860" s="28"/>
      <c r="U2860" s="28"/>
    </row>
    <row r="2861" spans="1:21" s="5" customFormat="1">
      <c r="A2861" s="179" t="s">
        <v>3336</v>
      </c>
      <c r="B2861" s="185" t="s">
        <v>7329</v>
      </c>
      <c r="C2861" s="35" t="str">
        <f t="shared" si="308"/>
        <v>Mutahhar</v>
      </c>
      <c r="E2861" s="40"/>
      <c r="F2861" s="15"/>
      <c r="G2861" s="17"/>
      <c r="H2861" s="10" t="s">
        <v>8563</v>
      </c>
      <c r="I2861" s="4" t="str">
        <f t="shared" si="309"/>
        <v>|Muṭahhar|</v>
      </c>
      <c r="J2861" s="3" t="str">
        <f t="shared" si="310"/>
        <v>|Mutahhar|</v>
      </c>
      <c r="K2861" s="3" t="str">
        <f t="shared" si="311"/>
        <v>Mutahhar</v>
      </c>
      <c r="N2861" s="39" t="str">
        <f t="shared" si="312"/>
        <v/>
      </c>
      <c r="P2861" s="39" t="str">
        <f t="shared" si="313"/>
        <v/>
      </c>
      <c r="R2861" s="39" t="str">
        <f t="shared" si="314"/>
        <v/>
      </c>
      <c r="S2861" s="28"/>
      <c r="T2861" s="28"/>
      <c r="U2861" s="28"/>
    </row>
    <row r="2862" spans="1:21" s="5" customFormat="1">
      <c r="A2862" s="179" t="s">
        <v>3337</v>
      </c>
      <c r="B2862" s="185" t="s">
        <v>7330</v>
      </c>
      <c r="C2862" s="35" t="str">
        <f t="shared" si="308"/>
        <v>Mutahhari</v>
      </c>
      <c r="E2862" s="40"/>
      <c r="F2862" s="15"/>
      <c r="G2862" s="17"/>
      <c r="H2862" s="10" t="s">
        <v>8563</v>
      </c>
      <c r="I2862" s="4" t="str">
        <f t="shared" si="309"/>
        <v>|Muṭahharí|</v>
      </c>
      <c r="J2862" s="3" t="str">
        <f t="shared" si="310"/>
        <v>|Mutahhari|</v>
      </c>
      <c r="K2862" s="3" t="str">
        <f t="shared" si="311"/>
        <v>Mutahhari</v>
      </c>
      <c r="N2862" s="39" t="str">
        <f t="shared" si="312"/>
        <v/>
      </c>
      <c r="P2862" s="39" t="str">
        <f t="shared" si="313"/>
        <v/>
      </c>
      <c r="R2862" s="39" t="str">
        <f t="shared" si="314"/>
        <v/>
      </c>
      <c r="S2862" s="28"/>
      <c r="T2862" s="28"/>
      <c r="U2862" s="28"/>
    </row>
    <row r="2863" spans="1:21" s="5" customFormat="1">
      <c r="A2863" s="179" t="s">
        <v>3339</v>
      </c>
      <c r="B2863" s="185" t="s">
        <v>7332</v>
      </c>
      <c r="C2863" s="35" t="str">
        <f t="shared" si="308"/>
        <v>Mutamid</v>
      </c>
      <c r="E2863" s="40"/>
      <c r="F2863" s="15"/>
      <c r="G2863" s="17"/>
      <c r="H2863" s="10" t="s">
        <v>8563</v>
      </c>
      <c r="I2863" s="4" t="str">
        <f t="shared" si="309"/>
        <v>|Muʿtamid|</v>
      </c>
      <c r="J2863" s="3" t="str">
        <f t="shared" si="310"/>
        <v>|Mu'tamid|</v>
      </c>
      <c r="K2863" s="3" t="str">
        <f t="shared" si="311"/>
        <v>Mutamid</v>
      </c>
      <c r="N2863" s="39" t="str">
        <f t="shared" si="312"/>
        <v/>
      </c>
      <c r="P2863" s="39" t="str">
        <f t="shared" si="313"/>
        <v/>
      </c>
      <c r="R2863" s="39" t="str">
        <f t="shared" si="314"/>
        <v/>
      </c>
      <c r="S2863" s="28"/>
      <c r="T2863" s="28"/>
      <c r="U2863" s="28"/>
    </row>
    <row r="2864" spans="1:21" s="5" customFormat="1">
      <c r="A2864" s="179" t="s">
        <v>3338</v>
      </c>
      <c r="B2864" s="185" t="s">
        <v>7331</v>
      </c>
      <c r="C2864" s="35" t="str">
        <f t="shared" si="308"/>
        <v>Mutamidi</v>
      </c>
      <c r="E2864" s="40"/>
      <c r="F2864" s="15"/>
      <c r="G2864" s="17"/>
      <c r="H2864" s="10" t="s">
        <v>8563</v>
      </c>
      <c r="I2864" s="4" t="str">
        <f t="shared" si="309"/>
        <v>|Muʿtamidí|</v>
      </c>
      <c r="J2864" s="3" t="str">
        <f t="shared" si="310"/>
        <v>|Mu'tamidi|</v>
      </c>
      <c r="K2864" s="3" t="str">
        <f t="shared" si="311"/>
        <v>Mutamidi</v>
      </c>
      <c r="N2864" s="39" t="str">
        <f t="shared" si="312"/>
        <v/>
      </c>
      <c r="P2864" s="39" t="str">
        <f t="shared" si="313"/>
        <v/>
      </c>
      <c r="R2864" s="39" t="str">
        <f t="shared" si="314"/>
        <v/>
      </c>
      <c r="S2864" s="28"/>
      <c r="T2864" s="28"/>
      <c r="U2864" s="28"/>
    </row>
    <row r="2865" spans="1:21" s="5" customFormat="1">
      <c r="A2865" s="179" t="s">
        <v>3340</v>
      </c>
      <c r="B2865" s="185" t="s">
        <v>7333</v>
      </c>
      <c r="C2865" s="35" t="str">
        <f t="shared" si="308"/>
        <v>MutamidudDawlih</v>
      </c>
      <c r="E2865" s="40"/>
      <c r="F2865" s="15"/>
      <c r="G2865" s="17"/>
      <c r="H2865" s="10" t="s">
        <v>8563</v>
      </c>
      <c r="I2865" s="4" t="str">
        <f t="shared" si="309"/>
        <v>|Muʿtamidu’d-Dawlih|</v>
      </c>
      <c r="J2865" s="3" t="str">
        <f t="shared" si="310"/>
        <v>|Mu'tamidu'd-Dawlih|</v>
      </c>
      <c r="K2865" s="3" t="str">
        <f t="shared" si="311"/>
        <v>Mutamidud-Dawlih</v>
      </c>
      <c r="N2865" s="39" t="str">
        <f t="shared" si="312"/>
        <v/>
      </c>
      <c r="P2865" s="39" t="str">
        <f t="shared" si="313"/>
        <v/>
      </c>
      <c r="R2865" s="39" t="str">
        <f t="shared" si="314"/>
        <v/>
      </c>
      <c r="S2865" s="28"/>
      <c r="T2865" s="28"/>
      <c r="U2865" s="28"/>
    </row>
    <row r="2866" spans="1:21" s="5" customFormat="1">
      <c r="A2866" s="179" t="s">
        <v>3341</v>
      </c>
      <c r="B2866" s="185" t="s">
        <v>7334</v>
      </c>
      <c r="C2866" s="35" t="str">
        <f t="shared" si="308"/>
        <v>MutamidusSaltanih</v>
      </c>
      <c r="E2866" s="40"/>
      <c r="F2866" s="15"/>
      <c r="G2866" s="17"/>
      <c r="H2866" s="10" t="s">
        <v>8563</v>
      </c>
      <c r="I2866" s="4" t="str">
        <f t="shared" si="309"/>
        <v>|Muʿtamidu’s-Salṭanih|</v>
      </c>
      <c r="J2866" s="3" t="str">
        <f t="shared" si="310"/>
        <v>|Mu'tamidu's-Saltanih|</v>
      </c>
      <c r="K2866" s="3" t="str">
        <f t="shared" si="311"/>
        <v>Mutamidus-Saltanih</v>
      </c>
      <c r="N2866" s="39" t="str">
        <f t="shared" si="312"/>
        <v/>
      </c>
      <c r="P2866" s="39" t="str">
        <f t="shared" si="313"/>
        <v/>
      </c>
      <c r="R2866" s="39" t="str">
        <f t="shared" si="314"/>
        <v/>
      </c>
      <c r="S2866" s="28"/>
      <c r="T2866" s="28"/>
      <c r="U2866" s="28"/>
    </row>
    <row r="2867" spans="1:21" s="5" customFormat="1">
      <c r="A2867" s="179" t="s">
        <v>3342</v>
      </c>
      <c r="B2867" s="185" t="s">
        <v>7335</v>
      </c>
      <c r="C2867" s="35" t="str">
        <f t="shared" si="308"/>
        <v>Mutasarrif</v>
      </c>
      <c r="E2867" s="40"/>
      <c r="F2867" s="15" t="s">
        <v>3343</v>
      </c>
      <c r="G2867" s="17"/>
      <c r="H2867" s="10" t="s">
        <v>8563</v>
      </c>
      <c r="I2867" s="4" t="str">
        <f t="shared" si="309"/>
        <v>|Mutaṣarrif|</v>
      </c>
      <c r="J2867" s="3" t="str">
        <f t="shared" si="310"/>
        <v>|Mutasarrif|</v>
      </c>
      <c r="K2867" s="3" t="str">
        <f t="shared" si="311"/>
        <v>Mutasarrif</v>
      </c>
      <c r="N2867" s="39" t="str">
        <f t="shared" si="312"/>
        <v/>
      </c>
      <c r="P2867" s="39" t="str">
        <f t="shared" si="313"/>
        <v/>
      </c>
      <c r="R2867" s="39" t="str">
        <f t="shared" si="314"/>
        <v/>
      </c>
      <c r="S2867" s="28"/>
      <c r="T2867" s="28"/>
      <c r="U2867" s="28"/>
    </row>
    <row r="2868" spans="1:21" s="5" customFormat="1">
      <c r="A2868" s="179" t="s">
        <v>3344</v>
      </c>
      <c r="B2868" s="185" t="s">
        <v>7336</v>
      </c>
      <c r="C2868" s="35" t="str">
        <f t="shared" si="308"/>
        <v>Mutashabih</v>
      </c>
      <c r="E2868" s="40"/>
      <c r="F2868" s="15" t="s">
        <v>3345</v>
      </c>
      <c r="G2868" s="17"/>
      <c r="H2868" s="10" t="s">
        <v>8563</v>
      </c>
      <c r="I2868" s="4" t="str">
        <f t="shared" si="309"/>
        <v>|Mutaábih|</v>
      </c>
      <c r="J2868" s="3" t="str">
        <f t="shared" si="310"/>
        <v>|Mutashabih|</v>
      </c>
      <c r="K2868" s="3" t="str">
        <f t="shared" si="311"/>
        <v>Mutashabih</v>
      </c>
      <c r="N2868" s="39" t="str">
        <f t="shared" si="312"/>
        <v/>
      </c>
      <c r="P2868" s="39" t="str">
        <f t="shared" si="313"/>
        <v/>
      </c>
      <c r="R2868" s="39" t="str">
        <f t="shared" si="314"/>
        <v/>
      </c>
      <c r="S2868" s="28"/>
      <c r="T2868" s="28"/>
      <c r="U2868" s="28"/>
    </row>
    <row r="2869" spans="1:21" s="5" customFormat="1">
      <c r="A2869" s="179" t="s">
        <v>3346</v>
      </c>
      <c r="B2869" s="185" t="s">
        <v>7337</v>
      </c>
      <c r="C2869" s="35" t="str">
        <f t="shared" si="308"/>
        <v>Mutashabihat</v>
      </c>
      <c r="E2869" s="40"/>
      <c r="F2869" s="15" t="s">
        <v>3347</v>
      </c>
      <c r="G2869" s="17"/>
      <c r="H2869" s="10" t="s">
        <v>8563</v>
      </c>
      <c r="I2869" s="4" t="str">
        <f t="shared" si="309"/>
        <v>|Mutaábihát|</v>
      </c>
      <c r="J2869" s="3" t="str">
        <f t="shared" si="310"/>
        <v>|Mutashabihat|</v>
      </c>
      <c r="K2869" s="3" t="str">
        <f t="shared" si="311"/>
        <v>Mutashabihat</v>
      </c>
      <c r="N2869" s="39" t="str">
        <f t="shared" si="312"/>
        <v/>
      </c>
      <c r="P2869" s="39" t="str">
        <f t="shared" si="313"/>
        <v/>
      </c>
      <c r="R2869" s="39" t="str">
        <f t="shared" si="314"/>
        <v/>
      </c>
      <c r="S2869" s="28"/>
      <c r="T2869" s="28"/>
      <c r="U2869" s="28"/>
    </row>
    <row r="2870" spans="1:21" s="5" customFormat="1">
      <c r="A2870" s="179" t="s">
        <v>3348</v>
      </c>
      <c r="B2870" s="185" t="s">
        <v>7338</v>
      </c>
      <c r="C2870" s="35" t="str">
        <f t="shared" si="308"/>
        <v>Mutasharri</v>
      </c>
      <c r="E2870" s="40"/>
      <c r="F2870" s="15"/>
      <c r="G2870" s="17"/>
      <c r="H2870" s="10" t="s">
        <v>8563</v>
      </c>
      <c r="I2870" s="4" t="str">
        <f t="shared" si="309"/>
        <v>|Mutaarríʿ|</v>
      </c>
      <c r="J2870" s="3" t="str">
        <f t="shared" si="310"/>
        <v>|Mutasharri'|</v>
      </c>
      <c r="K2870" s="3" t="str">
        <f t="shared" si="311"/>
        <v>Mutasharri</v>
      </c>
      <c r="N2870" s="39" t="str">
        <f t="shared" si="312"/>
        <v/>
      </c>
      <c r="P2870" s="39" t="str">
        <f t="shared" si="313"/>
        <v/>
      </c>
      <c r="R2870" s="39" t="str">
        <f t="shared" si="314"/>
        <v/>
      </c>
      <c r="S2870" s="28"/>
      <c r="T2870" s="28"/>
      <c r="U2870" s="28"/>
    </row>
    <row r="2871" spans="1:21" s="5" customFormat="1">
      <c r="A2871" s="179" t="s">
        <v>3349</v>
      </c>
      <c r="B2871" s="185" t="s">
        <v>7339</v>
      </c>
      <c r="C2871" s="35" t="str">
        <f t="shared" si="308"/>
        <v>Mutasim</v>
      </c>
      <c r="E2871" s="40"/>
      <c r="F2871" s="15"/>
      <c r="G2871" s="17"/>
      <c r="H2871" s="10" t="s">
        <v>8563</v>
      </c>
      <c r="I2871" s="4" t="str">
        <f t="shared" si="309"/>
        <v>|Muʿtaṣim|</v>
      </c>
      <c r="J2871" s="3" t="str">
        <f t="shared" si="310"/>
        <v>|Mu'tasim|</v>
      </c>
      <c r="K2871" s="3" t="str">
        <f t="shared" si="311"/>
        <v>Mutasim</v>
      </c>
      <c r="N2871" s="39" t="str">
        <f t="shared" si="312"/>
        <v/>
      </c>
      <c r="P2871" s="39" t="str">
        <f t="shared" si="313"/>
        <v/>
      </c>
      <c r="R2871" s="39" t="str">
        <f t="shared" si="314"/>
        <v/>
      </c>
      <c r="S2871" s="28"/>
      <c r="T2871" s="28"/>
      <c r="U2871" s="28"/>
    </row>
    <row r="2872" spans="1:21" s="5" customFormat="1">
      <c r="A2872" s="179" t="s">
        <v>3350</v>
      </c>
      <c r="B2872" s="185" t="s">
        <v>7340</v>
      </c>
      <c r="C2872" s="35" t="str">
        <f t="shared" si="308"/>
        <v>MutasimBillah</v>
      </c>
      <c r="E2872" s="40"/>
      <c r="F2872" s="15"/>
      <c r="G2872" s="17"/>
      <c r="H2872" s="10" t="s">
        <v>8563</v>
      </c>
      <c r="I2872" s="4" t="str">
        <f t="shared" si="309"/>
        <v>|Muʿtaṣim-Bi’lláh|</v>
      </c>
      <c r="J2872" s="3" t="str">
        <f t="shared" si="310"/>
        <v>|Mu'tasim-Bi'llah|</v>
      </c>
      <c r="K2872" s="3" t="str">
        <f t="shared" si="311"/>
        <v>Mutasim-Billah</v>
      </c>
      <c r="N2872" s="39" t="str">
        <f t="shared" si="312"/>
        <v/>
      </c>
      <c r="P2872" s="39" t="str">
        <f t="shared" si="313"/>
        <v/>
      </c>
      <c r="R2872" s="39" t="str">
        <f t="shared" si="314"/>
        <v/>
      </c>
      <c r="S2872" s="28"/>
      <c r="T2872" s="28"/>
      <c r="U2872" s="28"/>
    </row>
    <row r="2873" spans="1:21" s="5" customFormat="1">
      <c r="A2873" s="179" t="s">
        <v>3351</v>
      </c>
      <c r="B2873" s="185" t="s">
        <v>7341</v>
      </c>
      <c r="C2873" s="35" t="str">
        <f t="shared" si="308"/>
        <v>Mutavalli</v>
      </c>
      <c r="E2873" s="40"/>
      <c r="F2873" s="15" t="s">
        <v>3352</v>
      </c>
      <c r="G2873" s="17"/>
      <c r="H2873" s="10" t="s">
        <v>8563</v>
      </c>
      <c r="I2873" s="4" t="str">
        <f t="shared" si="309"/>
        <v>|Mutavallí|</v>
      </c>
      <c r="J2873" s="3" t="str">
        <f t="shared" si="310"/>
        <v>|Mutavalli|</v>
      </c>
      <c r="K2873" s="3" t="str">
        <f t="shared" si="311"/>
        <v>Mutavalli</v>
      </c>
      <c r="N2873" s="39" t="str">
        <f t="shared" si="312"/>
        <v/>
      </c>
      <c r="P2873" s="39" t="str">
        <f t="shared" si="313"/>
        <v/>
      </c>
      <c r="R2873" s="39" t="str">
        <f t="shared" si="314"/>
        <v/>
      </c>
      <c r="S2873" s="28"/>
      <c r="T2873" s="28"/>
      <c r="U2873" s="28"/>
    </row>
    <row r="2874" spans="1:21" s="5" customFormat="1">
      <c r="A2874" s="181"/>
      <c r="B2874" s="185" t="s">
        <v>136</v>
      </c>
      <c r="C2874" s="35" t="str">
        <f t="shared" si="308"/>
        <v>Mutawakkil</v>
      </c>
      <c r="D2874" s="1"/>
      <c r="E2874" s="40"/>
      <c r="F2874" s="12"/>
      <c r="G2874" s="9"/>
      <c r="H2874" s="12"/>
      <c r="I2874" s="4" t="str">
        <f t="shared" si="309"/>
        <v>|Mutawakkil|</v>
      </c>
      <c r="J2874" s="3" t="str">
        <f t="shared" si="310"/>
        <v>|Mutawakkil|</v>
      </c>
      <c r="K2874" s="3" t="str">
        <f t="shared" si="311"/>
        <v>Mutawakkil</v>
      </c>
      <c r="M2874" s="1"/>
      <c r="N2874" s="39" t="str">
        <f t="shared" si="312"/>
        <v/>
      </c>
      <c r="O2874" s="1"/>
      <c r="P2874" s="39" t="str">
        <f t="shared" si="313"/>
        <v/>
      </c>
      <c r="Q2874" s="1"/>
      <c r="R2874" s="39" t="str">
        <f t="shared" si="314"/>
        <v/>
      </c>
      <c r="S2874" s="28"/>
      <c r="T2874" s="28"/>
      <c r="U2874" s="28"/>
    </row>
    <row r="2875" spans="1:21" s="5" customFormat="1">
      <c r="A2875" s="179" t="s">
        <v>3353</v>
      </c>
      <c r="B2875" s="185" t="s">
        <v>7342</v>
      </c>
      <c r="C2875" s="35" t="str">
        <f t="shared" si="308"/>
        <v>Mutawakkilun</v>
      </c>
      <c r="E2875" s="40"/>
      <c r="F2875" s="15"/>
      <c r="G2875" s="17"/>
      <c r="H2875" s="10" t="s">
        <v>8563</v>
      </c>
      <c r="I2875" s="4" t="str">
        <f t="shared" si="309"/>
        <v>|Mutawakkilún|</v>
      </c>
      <c r="J2875" s="3" t="str">
        <f t="shared" si="310"/>
        <v>|Mutawakkilun|</v>
      </c>
      <c r="K2875" s="3" t="str">
        <f t="shared" si="311"/>
        <v>Mutawakkilun</v>
      </c>
      <c r="N2875" s="39" t="str">
        <f t="shared" si="312"/>
        <v/>
      </c>
      <c r="P2875" s="39" t="str">
        <f t="shared" si="313"/>
        <v/>
      </c>
      <c r="R2875" s="39" t="str">
        <f t="shared" si="314"/>
        <v/>
      </c>
      <c r="S2875" s="28"/>
      <c r="T2875" s="28"/>
      <c r="U2875" s="28"/>
    </row>
    <row r="2876" spans="1:21" s="5" customFormat="1">
      <c r="A2876" s="179" t="s">
        <v>3354</v>
      </c>
      <c r="B2876" s="185" t="s">
        <v>7343</v>
      </c>
      <c r="C2876" s="35" t="str">
        <f t="shared" si="308"/>
        <v>Mutisarrif</v>
      </c>
      <c r="E2876" s="40"/>
      <c r="F2876" s="15" t="s">
        <v>3355</v>
      </c>
      <c r="G2876" s="17"/>
      <c r="H2876" s="10" t="s">
        <v>8563</v>
      </c>
      <c r="I2876" s="4" t="str">
        <f t="shared" si="309"/>
        <v>|Mutiṣarrif|</v>
      </c>
      <c r="J2876" s="3" t="str">
        <f t="shared" si="310"/>
        <v>|Mutisarrif|</v>
      </c>
      <c r="K2876" s="3" t="str">
        <f t="shared" si="311"/>
        <v>Mutisarrif</v>
      </c>
      <c r="N2876" s="39" t="str">
        <f t="shared" si="312"/>
        <v/>
      </c>
      <c r="P2876" s="39" t="str">
        <f t="shared" si="313"/>
        <v/>
      </c>
      <c r="R2876" s="39" t="str">
        <f t="shared" si="314"/>
        <v/>
      </c>
      <c r="S2876" s="28"/>
      <c r="T2876" s="28"/>
      <c r="U2876" s="28"/>
    </row>
    <row r="2877" spans="1:21" s="5" customFormat="1">
      <c r="A2877" s="179" t="s">
        <v>3356</v>
      </c>
      <c r="B2877" s="185" t="s">
        <v>7344</v>
      </c>
      <c r="C2877" s="35" t="str">
        <f t="shared" si="308"/>
        <v>Mutlaq</v>
      </c>
      <c r="E2877" s="40"/>
      <c r="F2877" s="15"/>
      <c r="G2877" s="17"/>
      <c r="H2877" s="10" t="s">
        <v>8563</v>
      </c>
      <c r="I2877" s="4" t="str">
        <f t="shared" si="309"/>
        <v>|Muṭlaq|</v>
      </c>
      <c r="J2877" s="3" t="str">
        <f t="shared" si="310"/>
        <v>|Mutlaq|</v>
      </c>
      <c r="K2877" s="3" t="str">
        <f t="shared" si="311"/>
        <v>Mutlaq</v>
      </c>
      <c r="N2877" s="39" t="str">
        <f t="shared" si="312"/>
        <v/>
      </c>
      <c r="P2877" s="39" t="str">
        <f t="shared" si="313"/>
        <v/>
      </c>
      <c r="R2877" s="39" t="str">
        <f t="shared" si="314"/>
        <v/>
      </c>
      <c r="S2877" s="28"/>
      <c r="T2877" s="28"/>
      <c r="U2877" s="28"/>
    </row>
    <row r="2878" spans="1:21" s="5" customFormat="1">
      <c r="A2878" s="179" t="s">
        <v>3357</v>
      </c>
      <c r="B2878" s="185" t="s">
        <v>7345</v>
      </c>
      <c r="C2878" s="35" t="str">
        <f t="shared" si="308"/>
        <v>Muttalib</v>
      </c>
      <c r="E2878" s="40"/>
      <c r="F2878" s="15"/>
      <c r="G2878" s="17"/>
      <c r="H2878" s="10" t="s">
        <v>8563</v>
      </c>
      <c r="I2878" s="4" t="str">
        <f t="shared" si="309"/>
        <v>|Muṭṭalib|</v>
      </c>
      <c r="J2878" s="3" t="str">
        <f t="shared" si="310"/>
        <v>|Muttalib|</v>
      </c>
      <c r="K2878" s="3" t="str">
        <f t="shared" si="311"/>
        <v>Muttalib</v>
      </c>
      <c r="N2878" s="39" t="str">
        <f t="shared" si="312"/>
        <v/>
      </c>
      <c r="P2878" s="39" t="str">
        <f t="shared" si="313"/>
        <v/>
      </c>
      <c r="R2878" s="39" t="str">
        <f t="shared" si="314"/>
        <v/>
      </c>
      <c r="S2878" s="28"/>
      <c r="T2878" s="28"/>
      <c r="U2878" s="28"/>
    </row>
    <row r="2879" spans="1:21" s="5" customFormat="1">
      <c r="A2879" s="179" t="s">
        <v>3358</v>
      </c>
      <c r="B2879" s="185" t="s">
        <v>7346</v>
      </c>
      <c r="C2879" s="35" t="str">
        <f t="shared" si="308"/>
        <v>Muvahhid</v>
      </c>
      <c r="E2879" s="40"/>
      <c r="F2879" s="15"/>
      <c r="G2879" s="17"/>
      <c r="H2879" s="10" t="s">
        <v>8563</v>
      </c>
      <c r="I2879" s="4" t="str">
        <f t="shared" si="309"/>
        <v>|Muvaḥḥid|</v>
      </c>
      <c r="J2879" s="3" t="str">
        <f t="shared" si="310"/>
        <v>|Muvahhid|</v>
      </c>
      <c r="K2879" s="3" t="str">
        <f t="shared" si="311"/>
        <v>Muvahhid</v>
      </c>
      <c r="N2879" s="39" t="str">
        <f t="shared" si="312"/>
        <v/>
      </c>
      <c r="P2879" s="39" t="str">
        <f t="shared" si="313"/>
        <v/>
      </c>
      <c r="R2879" s="39" t="str">
        <f t="shared" si="314"/>
        <v/>
      </c>
      <c r="S2879" s="28"/>
      <c r="T2879" s="28"/>
      <c r="U2879" s="28"/>
    </row>
    <row r="2880" spans="1:21" s="5" customFormat="1">
      <c r="A2880" s="179" t="s">
        <v>3359</v>
      </c>
      <c r="B2880" s="185" t="s">
        <v>7347</v>
      </c>
      <c r="C2880" s="35" t="str">
        <f t="shared" si="308"/>
        <v>Muvarrikh</v>
      </c>
      <c r="E2880" s="40"/>
      <c r="F2880" s="15"/>
      <c r="G2880" s="17"/>
      <c r="H2880" s="10" t="s">
        <v>8563</v>
      </c>
      <c r="I2880" s="4" t="str">
        <f t="shared" si="309"/>
        <v>|Muvarri|</v>
      </c>
      <c r="J2880" s="3" t="str">
        <f t="shared" si="310"/>
        <v>|Muvarrikh|</v>
      </c>
      <c r="K2880" s="3" t="str">
        <f t="shared" si="311"/>
        <v>Muvarrikh</v>
      </c>
      <c r="N2880" s="39" t="str">
        <f t="shared" si="312"/>
        <v/>
      </c>
      <c r="P2880" s="39" t="str">
        <f t="shared" si="313"/>
        <v/>
      </c>
      <c r="R2880" s="39" t="str">
        <f t="shared" si="314"/>
        <v/>
      </c>
      <c r="S2880" s="28"/>
      <c r="T2880" s="28"/>
      <c r="U2880" s="28"/>
    </row>
    <row r="2881" spans="1:21" s="5" customFormat="1">
      <c r="A2881" s="179" t="s">
        <v>3360</v>
      </c>
      <c r="B2881" s="185" t="s">
        <v>7348</v>
      </c>
      <c r="C2881" s="35" t="str">
        <f t="shared" si="308"/>
        <v>Muvasat</v>
      </c>
      <c r="E2881" s="40"/>
      <c r="F2881" s="15" t="s">
        <v>3361</v>
      </c>
      <c r="G2881" s="17"/>
      <c r="H2881" s="10" t="s">
        <v>8563</v>
      </c>
      <c r="I2881" s="4" t="str">
        <f t="shared" si="309"/>
        <v>|Muvását|</v>
      </c>
      <c r="J2881" s="3" t="str">
        <f t="shared" si="310"/>
        <v>|Muvasat|</v>
      </c>
      <c r="K2881" s="3" t="str">
        <f t="shared" si="311"/>
        <v>Muvasat</v>
      </c>
      <c r="N2881" s="39" t="str">
        <f t="shared" si="312"/>
        <v/>
      </c>
      <c r="P2881" s="39" t="str">
        <f t="shared" si="313"/>
        <v/>
      </c>
      <c r="R2881" s="39" t="str">
        <f t="shared" si="314"/>
        <v/>
      </c>
      <c r="S2881" s="28"/>
      <c r="T2881" s="28"/>
      <c r="U2881" s="28"/>
    </row>
    <row r="2882" spans="1:21" s="5" customFormat="1">
      <c r="A2882" s="181"/>
      <c r="B2882" s="185" t="s">
        <v>8811</v>
      </c>
      <c r="C2882" s="35" t="str">
        <f t="shared" ref="C2882:C2945" si="315">SUBSTITUTE(SUBSTITUTE(K2882,"-","")," ","")</f>
        <v>MuzaffaradDinShah</v>
      </c>
      <c r="D2882" s="1"/>
      <c r="E2882" s="40"/>
      <c r="F2882" s="12"/>
      <c r="G2882" s="9"/>
      <c r="H2882" s="12" t="s">
        <v>8622</v>
      </c>
      <c r="I2882" s="4" t="str">
        <f t="shared" ref="I2882:I2945" si="316">CONCATENATE("|",B2882,"|")</f>
        <v>|Muẓaffara’d-Dín áh|</v>
      </c>
      <c r="J2882" s="3" t="str">
        <f t="shared" ref="J2882:J2945" si="317">CONCATENATE("|",F_OutputASCII(B2882),"|")</f>
        <v>|Muzaffara'd-Din Shah|</v>
      </c>
      <c r="K2882" s="3" t="str">
        <f t="shared" ref="K2882:K2945" si="318">IF(SUBSTITUTE(MID(J2882,2,LEN(J2882)-2),"'","")&lt;&gt;"",SUBSTITUTE(MID(J2882,2,LEN(J2882)-2),"'",""),"ZZZZZ")</f>
        <v>Muzaffarad-Din Shah</v>
      </c>
      <c r="N2882" s="39" t="str">
        <f t="shared" si="312"/>
        <v/>
      </c>
      <c r="P2882" s="39" t="str">
        <f t="shared" si="313"/>
        <v/>
      </c>
      <c r="R2882" s="39" t="str">
        <f t="shared" si="314"/>
        <v/>
      </c>
      <c r="S2882" s="29">
        <v>41760</v>
      </c>
      <c r="T2882" s="28"/>
      <c r="U2882" s="28"/>
    </row>
    <row r="2883" spans="1:21" s="5" customFormat="1">
      <c r="A2883" s="179" t="s">
        <v>3362</v>
      </c>
      <c r="B2883" s="185" t="s">
        <v>7349</v>
      </c>
      <c r="C2883" s="35" t="str">
        <f t="shared" si="315"/>
        <v>MuzaffaridDin</v>
      </c>
      <c r="E2883" s="40"/>
      <c r="F2883" s="14"/>
      <c r="G2883" s="17"/>
      <c r="H2883" s="10" t="s">
        <v>8563</v>
      </c>
      <c r="I2883" s="4" t="str">
        <f t="shared" si="316"/>
        <v>|Muẓaffari’d-Dín|</v>
      </c>
      <c r="J2883" s="3" t="str">
        <f t="shared" si="317"/>
        <v>|Muzaffari'd-Din|</v>
      </c>
      <c r="K2883" s="3" t="str">
        <f t="shared" si="318"/>
        <v>Muzaffarid-Din</v>
      </c>
      <c r="N2883" s="39" t="str">
        <f t="shared" ref="N2883:N2946" si="319">SUBSTITUTE(SUBSTITUTE(SUBSTITUTE(F_OutputASCII(M2883),"-","")," ",""),"'","")</f>
        <v/>
      </c>
      <c r="P2883" s="39" t="str">
        <f t="shared" ref="P2883:P2946" si="320">SUBSTITUTE(SUBSTITUTE(SUBSTITUTE(F_OutputASCII(O2883),"-","")," ",""),"'","")</f>
        <v/>
      </c>
      <c r="R2883" s="39" t="str">
        <f t="shared" ref="R2883:R2946" si="321">SUBSTITUTE(SUBSTITUTE(Q2883,"-","")," ","")</f>
        <v/>
      </c>
      <c r="S2883" s="28"/>
      <c r="T2883" s="28"/>
      <c r="U2883" s="28"/>
    </row>
    <row r="2884" spans="1:21" s="5" customFormat="1">
      <c r="A2884" s="179" t="s">
        <v>3363</v>
      </c>
      <c r="B2884" s="185" t="s">
        <v>7350</v>
      </c>
      <c r="C2884" s="35" t="str">
        <f t="shared" si="315"/>
        <v>MuzaffarulMulk</v>
      </c>
      <c r="E2884" s="40"/>
      <c r="F2884" s="15"/>
      <c r="G2884" s="17"/>
      <c r="H2884" s="10" t="s">
        <v>8563</v>
      </c>
      <c r="I2884" s="4" t="str">
        <f t="shared" si="316"/>
        <v>|Muẓaffaru’l-Mulk|</v>
      </c>
      <c r="J2884" s="3" t="str">
        <f t="shared" si="317"/>
        <v>|Muzaffaru'l-Mulk|</v>
      </c>
      <c r="K2884" s="3" t="str">
        <f t="shared" si="318"/>
        <v>Muzaffarul-Mulk</v>
      </c>
      <c r="N2884" s="39" t="str">
        <f t="shared" si="319"/>
        <v/>
      </c>
      <c r="P2884" s="39" t="str">
        <f t="shared" si="320"/>
        <v/>
      </c>
      <c r="R2884" s="39" t="str">
        <f t="shared" si="321"/>
        <v/>
      </c>
      <c r="S2884" s="28"/>
      <c r="T2884" s="28"/>
      <c r="U2884" s="28"/>
    </row>
    <row r="2885" spans="1:21" s="5" customFormat="1">
      <c r="A2885" s="179" t="s">
        <v>3364</v>
      </c>
      <c r="B2885" s="185" t="s">
        <v>7351</v>
      </c>
      <c r="C2885" s="35" t="str">
        <f t="shared" si="315"/>
        <v>Nabi</v>
      </c>
      <c r="E2885" s="40"/>
      <c r="F2885" s="14"/>
      <c r="G2885" s="17"/>
      <c r="H2885" s="10" t="s">
        <v>8563</v>
      </c>
      <c r="I2885" s="4" t="str">
        <f t="shared" si="316"/>
        <v>|Nabí|</v>
      </c>
      <c r="J2885" s="3" t="str">
        <f t="shared" si="317"/>
        <v>|Nabi|</v>
      </c>
      <c r="K2885" s="3" t="str">
        <f t="shared" si="318"/>
        <v>Nabi</v>
      </c>
      <c r="N2885" s="39" t="str">
        <f t="shared" si="319"/>
        <v/>
      </c>
      <c r="P2885" s="39" t="str">
        <f t="shared" si="320"/>
        <v/>
      </c>
      <c r="R2885" s="39" t="str">
        <f t="shared" si="321"/>
        <v/>
      </c>
      <c r="S2885" s="28"/>
      <c r="T2885" s="28"/>
      <c r="U2885" s="28"/>
    </row>
    <row r="2886" spans="1:21" s="5" customFormat="1">
      <c r="A2886" s="179" t="s">
        <v>3365</v>
      </c>
      <c r="B2886" s="185" t="s">
        <v>7352</v>
      </c>
      <c r="C2886" s="35" t="str">
        <f t="shared" si="315"/>
        <v>Nabil</v>
      </c>
      <c r="E2886" s="40"/>
      <c r="F2886" s="14" t="s">
        <v>3366</v>
      </c>
      <c r="G2886" s="17"/>
      <c r="H2886" s="10" t="s">
        <v>8563</v>
      </c>
      <c r="I2886" s="4" t="str">
        <f t="shared" si="316"/>
        <v>|Nabíl|</v>
      </c>
      <c r="J2886" s="3" t="str">
        <f t="shared" si="317"/>
        <v>|Nabil|</v>
      </c>
      <c r="K2886" s="3" t="str">
        <f t="shared" si="318"/>
        <v>Nabil</v>
      </c>
      <c r="N2886" s="39" t="str">
        <f t="shared" si="319"/>
        <v/>
      </c>
      <c r="P2886" s="39" t="str">
        <f t="shared" si="320"/>
        <v/>
      </c>
      <c r="R2886" s="39" t="str">
        <f t="shared" si="321"/>
        <v/>
      </c>
      <c r="S2886" s="28"/>
      <c r="T2886" s="29">
        <v>41801</v>
      </c>
      <c r="U2886" s="28" t="s">
        <v>9416</v>
      </c>
    </row>
    <row r="2887" spans="1:21" s="5" customFormat="1">
      <c r="A2887" s="179" t="s">
        <v>3367</v>
      </c>
      <c r="B2887" s="185" t="s">
        <v>7353</v>
      </c>
      <c r="C2887" s="35" t="str">
        <f t="shared" si="315"/>
        <v>NabiliAkbar</v>
      </c>
      <c r="E2887" s="40"/>
      <c r="F2887" s="14"/>
      <c r="G2887" s="17"/>
      <c r="H2887" s="10" t="s">
        <v>8563</v>
      </c>
      <c r="I2887" s="4" t="str">
        <f t="shared" si="316"/>
        <v>|Nabíl-i-Akbar|</v>
      </c>
      <c r="J2887" s="3" t="str">
        <f t="shared" si="317"/>
        <v>|Nabil-i-Akbar|</v>
      </c>
      <c r="K2887" s="3" t="str">
        <f t="shared" si="318"/>
        <v>Nabil-i-Akbar</v>
      </c>
      <c r="N2887" s="39" t="str">
        <f t="shared" si="319"/>
        <v/>
      </c>
      <c r="P2887" s="39" t="str">
        <f t="shared" si="320"/>
        <v/>
      </c>
      <c r="R2887" s="39" t="str">
        <f t="shared" si="321"/>
        <v/>
      </c>
      <c r="S2887" s="28"/>
      <c r="T2887" s="28"/>
      <c r="U2887" s="28"/>
    </row>
    <row r="2888" spans="1:21" s="5" customFormat="1">
      <c r="A2888" s="179" t="s">
        <v>3368</v>
      </c>
      <c r="B2888" s="185" t="s">
        <v>34</v>
      </c>
      <c r="C2888" s="35" t="str">
        <f t="shared" si="315"/>
        <v>NabiliAzam</v>
      </c>
      <c r="E2888" s="40"/>
      <c r="F2888" s="14"/>
      <c r="G2888" s="17"/>
      <c r="H2888" s="10" t="s">
        <v>8563</v>
      </c>
      <c r="I2888" s="4" t="str">
        <f t="shared" si="316"/>
        <v>|Nabíl-i-Aʿẓam|</v>
      </c>
      <c r="J2888" s="3" t="str">
        <f t="shared" si="317"/>
        <v>|Nabil-i-A'zam|</v>
      </c>
      <c r="K2888" s="3" t="str">
        <f t="shared" si="318"/>
        <v>Nabil-i-Azam</v>
      </c>
      <c r="N2888" s="39" t="str">
        <f t="shared" si="319"/>
        <v/>
      </c>
      <c r="P2888" s="39" t="str">
        <f t="shared" si="320"/>
        <v/>
      </c>
      <c r="R2888" s="39" t="str">
        <f t="shared" si="321"/>
        <v/>
      </c>
      <c r="S2888" s="28"/>
      <c r="T2888" s="29">
        <v>41801</v>
      </c>
      <c r="U2888" s="28" t="s">
        <v>9464</v>
      </c>
    </row>
    <row r="2889" spans="1:21" s="5" customFormat="1">
      <c r="A2889" s="179" t="s">
        <v>3369</v>
      </c>
      <c r="B2889" s="185" t="s">
        <v>7354</v>
      </c>
      <c r="C2889" s="35" t="str">
        <f t="shared" si="315"/>
        <v>NabiliQaini</v>
      </c>
      <c r="E2889" s="40"/>
      <c r="F2889" s="14"/>
      <c r="G2889" s="17"/>
      <c r="H2889" s="10" t="s">
        <v>8563</v>
      </c>
      <c r="I2889" s="4" t="str">
        <f t="shared" si="316"/>
        <v>|Nabíl-i-Qá’iní|</v>
      </c>
      <c r="J2889" s="3" t="str">
        <f t="shared" si="317"/>
        <v>|Nabil-i-Qa'ini|</v>
      </c>
      <c r="K2889" s="3" t="str">
        <f t="shared" si="318"/>
        <v>Nabil-i-Qaini</v>
      </c>
      <c r="N2889" s="39" t="str">
        <f t="shared" si="319"/>
        <v/>
      </c>
      <c r="P2889" s="39" t="str">
        <f t="shared" si="320"/>
        <v/>
      </c>
      <c r="R2889" s="39" t="str">
        <f t="shared" si="321"/>
        <v/>
      </c>
      <c r="S2889" s="28"/>
      <c r="T2889" s="28"/>
      <c r="U2889" s="28"/>
    </row>
    <row r="2890" spans="1:21" s="5" customFormat="1">
      <c r="A2890" s="179" t="s">
        <v>3370</v>
      </c>
      <c r="B2890" s="185" t="s">
        <v>7355</v>
      </c>
      <c r="C2890" s="35" t="str">
        <f t="shared" si="315"/>
        <v>NabiliZarandi</v>
      </c>
      <c r="E2890" s="40"/>
      <c r="F2890" s="14"/>
      <c r="G2890" s="17"/>
      <c r="H2890" s="10" t="s">
        <v>8563</v>
      </c>
      <c r="I2890" s="4" t="str">
        <f t="shared" si="316"/>
        <v>|Nabíl-i-Zarandí|</v>
      </c>
      <c r="J2890" s="3" t="str">
        <f t="shared" si="317"/>
        <v>|Nabil-i-Zarandi|</v>
      </c>
      <c r="K2890" s="3" t="str">
        <f t="shared" si="318"/>
        <v>Nabil-i-Zarandi</v>
      </c>
      <c r="N2890" s="39" t="str">
        <f t="shared" si="319"/>
        <v/>
      </c>
      <c r="P2890" s="39" t="str">
        <f t="shared" si="320"/>
        <v/>
      </c>
      <c r="R2890" s="39" t="str">
        <f t="shared" si="321"/>
        <v/>
      </c>
      <c r="S2890" s="28"/>
      <c r="T2890" s="28"/>
      <c r="U2890" s="28"/>
    </row>
    <row r="2891" spans="1:21" s="5" customFormat="1">
      <c r="A2891" s="179"/>
      <c r="B2891" s="185" t="s">
        <v>9109</v>
      </c>
      <c r="C2891" s="35" t="str">
        <f t="shared" si="315"/>
        <v>Nabils</v>
      </c>
      <c r="D2891" s="5" t="s">
        <v>59</v>
      </c>
      <c r="E2891" s="40"/>
      <c r="F2891" s="15"/>
      <c r="G2891" s="17"/>
      <c r="H2891" s="10"/>
      <c r="I2891" s="4" t="str">
        <f t="shared" si="316"/>
        <v>|Nabíls|</v>
      </c>
      <c r="J2891" s="3" t="str">
        <f t="shared" si="317"/>
        <v>|Nabils|</v>
      </c>
      <c r="K2891" s="3" t="str">
        <f t="shared" si="318"/>
        <v>Nabils</v>
      </c>
      <c r="L2891" s="1"/>
      <c r="N2891" s="39" t="str">
        <f t="shared" si="319"/>
        <v/>
      </c>
      <c r="P2891" s="39" t="str">
        <f t="shared" si="320"/>
        <v/>
      </c>
      <c r="R2891" s="39" t="str">
        <f t="shared" si="321"/>
        <v/>
      </c>
      <c r="S2891" s="29">
        <v>41781</v>
      </c>
      <c r="T2891" s="29">
        <v>41799</v>
      </c>
      <c r="U2891" s="28" t="s">
        <v>9465</v>
      </c>
    </row>
    <row r="2892" spans="1:21" s="5" customFormat="1">
      <c r="A2892" s="179" t="s">
        <v>3371</v>
      </c>
      <c r="B2892" s="185" t="s">
        <v>7356</v>
      </c>
      <c r="C2892" s="35" t="str">
        <f t="shared" si="315"/>
        <v>NabiludDawlih</v>
      </c>
      <c r="E2892" s="40"/>
      <c r="F2892" s="15"/>
      <c r="G2892" s="17"/>
      <c r="H2892" s="10" t="s">
        <v>8563</v>
      </c>
      <c r="I2892" s="4" t="str">
        <f t="shared" si="316"/>
        <v>|Nabílu’d-Dawlih|</v>
      </c>
      <c r="J2892" s="3" t="str">
        <f t="shared" si="317"/>
        <v>|Nabilu'd-Dawlih|</v>
      </c>
      <c r="K2892" s="3" t="str">
        <f t="shared" si="318"/>
        <v>Nabilud-Dawlih</v>
      </c>
      <c r="N2892" s="39" t="str">
        <f t="shared" si="319"/>
        <v/>
      </c>
      <c r="P2892" s="39" t="str">
        <f t="shared" si="320"/>
        <v/>
      </c>
      <c r="R2892" s="39" t="str">
        <f t="shared" si="321"/>
        <v/>
      </c>
      <c r="S2892" s="28"/>
      <c r="T2892" s="28"/>
      <c r="U2892" s="28"/>
    </row>
    <row r="2893" spans="1:21" s="5" customFormat="1">
      <c r="A2893" s="179" t="s">
        <v>3372</v>
      </c>
      <c r="B2893" s="185" t="s">
        <v>7357</v>
      </c>
      <c r="C2893" s="35" t="str">
        <f t="shared" si="315"/>
        <v>Nabilzadih</v>
      </c>
      <c r="E2893" s="40"/>
      <c r="F2893" s="14"/>
      <c r="G2893" s="17"/>
      <c r="H2893" s="10" t="s">
        <v>8563</v>
      </c>
      <c r="I2893" s="4" t="str">
        <f t="shared" si="316"/>
        <v>|Nabílzádih|</v>
      </c>
      <c r="J2893" s="3" t="str">
        <f t="shared" si="317"/>
        <v>|Nabilzadih|</v>
      </c>
      <c r="K2893" s="3" t="str">
        <f t="shared" si="318"/>
        <v>Nabilzadih</v>
      </c>
      <c r="N2893" s="39" t="str">
        <f t="shared" si="319"/>
        <v/>
      </c>
      <c r="P2893" s="39" t="str">
        <f t="shared" si="320"/>
        <v/>
      </c>
      <c r="R2893" s="39" t="str">
        <f t="shared" si="321"/>
        <v/>
      </c>
      <c r="S2893" s="28"/>
      <c r="T2893" s="28"/>
      <c r="U2893" s="28"/>
    </row>
    <row r="2894" spans="1:21" s="5" customFormat="1">
      <c r="A2894" s="179" t="s">
        <v>3373</v>
      </c>
      <c r="B2894" s="185" t="s">
        <v>7358</v>
      </c>
      <c r="C2894" s="35" t="str">
        <f t="shared" si="315"/>
        <v>Nabiullah</v>
      </c>
      <c r="E2894" s="40"/>
      <c r="F2894" s="14"/>
      <c r="G2894" s="17"/>
      <c r="H2894" s="10" t="s">
        <v>8563</v>
      </c>
      <c r="I2894" s="4" t="str">
        <f t="shared" si="316"/>
        <v>|Nabíu’lláh|</v>
      </c>
      <c r="J2894" s="3" t="str">
        <f t="shared" si="317"/>
        <v>|Nabiu'llah|</v>
      </c>
      <c r="K2894" s="3" t="str">
        <f t="shared" si="318"/>
        <v>Nabiullah</v>
      </c>
      <c r="N2894" s="39" t="str">
        <f t="shared" si="319"/>
        <v/>
      </c>
      <c r="P2894" s="39" t="str">
        <f t="shared" si="320"/>
        <v/>
      </c>
      <c r="R2894" s="39" t="str">
        <f t="shared" si="321"/>
        <v/>
      </c>
      <c r="S2894" s="28"/>
      <c r="T2894" s="28"/>
      <c r="U2894" s="28"/>
    </row>
    <row r="2895" spans="1:21" s="5" customFormat="1">
      <c r="A2895" s="179" t="s">
        <v>3374</v>
      </c>
      <c r="B2895" s="185" t="s">
        <v>7359</v>
      </c>
      <c r="C2895" s="35" t="str">
        <f t="shared" si="315"/>
        <v>NadAli</v>
      </c>
      <c r="E2895" s="40"/>
      <c r="F2895" s="14"/>
      <c r="G2895" s="17"/>
      <c r="H2895" s="10" t="s">
        <v>8563</v>
      </c>
      <c r="I2895" s="4" t="str">
        <f t="shared" si="316"/>
        <v>|Nád-ʿAlí|</v>
      </c>
      <c r="J2895" s="3" t="str">
        <f t="shared" si="317"/>
        <v>|Nad-'Ali|</v>
      </c>
      <c r="K2895" s="3" t="str">
        <f t="shared" si="318"/>
        <v>Nad-Ali</v>
      </c>
      <c r="N2895" s="39" t="str">
        <f t="shared" si="319"/>
        <v/>
      </c>
      <c r="P2895" s="39" t="str">
        <f t="shared" si="320"/>
        <v/>
      </c>
      <c r="R2895" s="39" t="str">
        <f t="shared" si="321"/>
        <v/>
      </c>
      <c r="S2895" s="28"/>
      <c r="T2895" s="28"/>
      <c r="U2895" s="28"/>
    </row>
    <row r="2896" spans="1:21" s="5" customFormat="1">
      <c r="A2896" s="179" t="s">
        <v>3375</v>
      </c>
      <c r="B2896" s="185" t="s">
        <v>7360</v>
      </c>
      <c r="C2896" s="35" t="str">
        <f t="shared" si="315"/>
        <v>NadAliyiMutavalli</v>
      </c>
      <c r="E2896" s="40"/>
      <c r="F2896" s="14"/>
      <c r="G2896" s="17"/>
      <c r="H2896" s="10" t="s">
        <v>8563</v>
      </c>
      <c r="I2896" s="4" t="str">
        <f t="shared" si="316"/>
        <v>|Nád-ʿAlíy-i-Mutavallí|</v>
      </c>
      <c r="J2896" s="3" t="str">
        <f t="shared" si="317"/>
        <v>|Nad-'Aliy-i-Mutavalli|</v>
      </c>
      <c r="K2896" s="3" t="str">
        <f t="shared" si="318"/>
        <v>Nad-Aliy-i-Mutavalli</v>
      </c>
      <c r="N2896" s="39" t="str">
        <f t="shared" si="319"/>
        <v/>
      </c>
      <c r="P2896" s="39" t="str">
        <f t="shared" si="320"/>
        <v/>
      </c>
      <c r="R2896" s="39" t="str">
        <f t="shared" si="321"/>
        <v/>
      </c>
      <c r="S2896" s="28"/>
      <c r="T2896" s="28"/>
      <c r="U2896" s="28"/>
    </row>
    <row r="2897" spans="1:21" s="5" customFormat="1">
      <c r="A2897" s="179" t="s">
        <v>3376</v>
      </c>
      <c r="B2897" s="185" t="s">
        <v>7361</v>
      </c>
      <c r="C2897" s="35" t="str">
        <f t="shared" si="315"/>
        <v>Nadir</v>
      </c>
      <c r="E2897" s="40"/>
      <c r="F2897" s="15"/>
      <c r="G2897" s="17"/>
      <c r="H2897" s="10" t="s">
        <v>8563</v>
      </c>
      <c r="I2897" s="4" t="str">
        <f t="shared" si="316"/>
        <v>|Nádir|</v>
      </c>
      <c r="J2897" s="3" t="str">
        <f t="shared" si="317"/>
        <v>|Nadir|</v>
      </c>
      <c r="K2897" s="3" t="str">
        <f t="shared" si="318"/>
        <v>Nadir</v>
      </c>
      <c r="N2897" s="39" t="str">
        <f t="shared" si="319"/>
        <v/>
      </c>
      <c r="P2897" s="39" t="str">
        <f t="shared" si="320"/>
        <v/>
      </c>
      <c r="R2897" s="39" t="str">
        <f t="shared" si="321"/>
        <v/>
      </c>
      <c r="S2897" s="28"/>
      <c r="T2897" s="28"/>
      <c r="U2897" s="28"/>
    </row>
    <row r="2898" spans="1:21" s="5" customFormat="1">
      <c r="A2898" s="181"/>
      <c r="B2898" s="185" t="s">
        <v>8769</v>
      </c>
      <c r="C2898" s="35" t="str">
        <f t="shared" si="315"/>
        <v>NadirShah</v>
      </c>
      <c r="D2898" s="1"/>
      <c r="E2898" s="40"/>
      <c r="F2898" s="12"/>
      <c r="G2898" s="9"/>
      <c r="H2898" s="12" t="s">
        <v>8622</v>
      </c>
      <c r="I2898" s="4" t="str">
        <f t="shared" si="316"/>
        <v>|Nádir áh|</v>
      </c>
      <c r="J2898" s="3" t="str">
        <f t="shared" si="317"/>
        <v>|Nadir Shah|</v>
      </c>
      <c r="K2898" s="3" t="str">
        <f t="shared" si="318"/>
        <v>Nadir Shah</v>
      </c>
      <c r="N2898" s="39" t="str">
        <f t="shared" si="319"/>
        <v/>
      </c>
      <c r="P2898" s="39" t="str">
        <f t="shared" si="320"/>
        <v/>
      </c>
      <c r="R2898" s="39" t="str">
        <f t="shared" si="321"/>
        <v/>
      </c>
      <c r="S2898" s="29">
        <v>41760</v>
      </c>
      <c r="T2898" s="28"/>
      <c r="U2898" s="28"/>
    </row>
    <row r="2899" spans="1:21" s="5" customFormat="1">
      <c r="A2899" s="179" t="s">
        <v>3377</v>
      </c>
      <c r="B2899" s="185" t="s">
        <v>7362</v>
      </c>
      <c r="C2899" s="35" t="str">
        <f t="shared" si="315"/>
        <v>Nadiri</v>
      </c>
      <c r="E2899" s="40"/>
      <c r="F2899" s="15"/>
      <c r="G2899" s="17"/>
      <c r="H2899" s="10" t="s">
        <v>8563</v>
      </c>
      <c r="I2899" s="4" t="str">
        <f t="shared" si="316"/>
        <v>|Nádirí|</v>
      </c>
      <c r="J2899" s="3" t="str">
        <f t="shared" si="317"/>
        <v>|Nadiri|</v>
      </c>
      <c r="K2899" s="3" t="str">
        <f t="shared" si="318"/>
        <v>Nadiri</v>
      </c>
      <c r="N2899" s="39" t="str">
        <f t="shared" si="319"/>
        <v/>
      </c>
      <c r="P2899" s="39" t="str">
        <f t="shared" si="320"/>
        <v/>
      </c>
      <c r="R2899" s="39" t="str">
        <f t="shared" si="321"/>
        <v/>
      </c>
      <c r="S2899" s="28"/>
      <c r="T2899" s="28"/>
      <c r="U2899" s="28"/>
    </row>
    <row r="2900" spans="1:21" s="5" customFormat="1">
      <c r="A2900" s="179" t="s">
        <v>3378</v>
      </c>
      <c r="B2900" s="185" t="s">
        <v>7363</v>
      </c>
      <c r="C2900" s="35" t="str">
        <f t="shared" si="315"/>
        <v>NadrIbniHarith</v>
      </c>
      <c r="E2900" s="40"/>
      <c r="F2900" s="14"/>
      <c r="G2900" s="17"/>
      <c r="H2900" s="10" t="s">
        <v>8563</v>
      </c>
      <c r="I2900" s="4" t="str">
        <f t="shared" si="316"/>
        <v>|Naḍr-Ibn-i-Ḥári|</v>
      </c>
      <c r="J2900" s="3" t="str">
        <f t="shared" si="317"/>
        <v>|Nadr-Ibn-i-Harith|</v>
      </c>
      <c r="K2900" s="3" t="str">
        <f t="shared" si="318"/>
        <v>Nadr-Ibn-i-Harith</v>
      </c>
      <c r="N2900" s="39" t="str">
        <f t="shared" si="319"/>
        <v/>
      </c>
      <c r="P2900" s="39" t="str">
        <f t="shared" si="320"/>
        <v/>
      </c>
      <c r="R2900" s="39" t="str">
        <f t="shared" si="321"/>
        <v/>
      </c>
      <c r="S2900" s="28"/>
      <c r="T2900" s="28"/>
      <c r="U2900" s="28"/>
    </row>
    <row r="2901" spans="1:21" s="5" customFormat="1">
      <c r="A2901" s="179" t="s">
        <v>3379</v>
      </c>
      <c r="B2901" s="185" t="s">
        <v>7364</v>
      </c>
      <c r="C2901" s="35" t="str">
        <f t="shared" si="315"/>
        <v>Nafs</v>
      </c>
      <c r="E2901" s="40"/>
      <c r="F2901" s="15"/>
      <c r="G2901" s="17"/>
      <c r="H2901" s="10" t="s">
        <v>8563</v>
      </c>
      <c r="I2901" s="4" t="str">
        <f t="shared" si="316"/>
        <v>|Nafs|</v>
      </c>
      <c r="J2901" s="3" t="str">
        <f t="shared" si="317"/>
        <v>|Nafs|</v>
      </c>
      <c r="K2901" s="3" t="str">
        <f t="shared" si="318"/>
        <v>Nafs</v>
      </c>
      <c r="N2901" s="39" t="str">
        <f t="shared" si="319"/>
        <v/>
      </c>
      <c r="P2901" s="39" t="str">
        <f t="shared" si="320"/>
        <v/>
      </c>
      <c r="R2901" s="39" t="str">
        <f t="shared" si="321"/>
        <v/>
      </c>
      <c r="S2901" s="28"/>
      <c r="T2901" s="28"/>
      <c r="U2901" s="28"/>
    </row>
    <row r="2902" spans="1:21" s="5" customFormat="1">
      <c r="A2902" s="179" t="s">
        <v>3380</v>
      </c>
      <c r="B2902" s="185" t="s">
        <v>7365</v>
      </c>
      <c r="C2902" s="35" t="str">
        <f t="shared" si="315"/>
        <v>Nahavandi</v>
      </c>
      <c r="E2902" s="40"/>
      <c r="F2902" s="15"/>
      <c r="G2902" s="17"/>
      <c r="H2902" s="10" t="s">
        <v>8563</v>
      </c>
      <c r="I2902" s="4" t="str">
        <f t="shared" si="316"/>
        <v>|Nahávandí|</v>
      </c>
      <c r="J2902" s="3" t="str">
        <f t="shared" si="317"/>
        <v>|Nahavandi|</v>
      </c>
      <c r="K2902" s="3" t="str">
        <f t="shared" si="318"/>
        <v>Nahavandi</v>
      </c>
      <c r="N2902" s="39" t="str">
        <f t="shared" si="319"/>
        <v/>
      </c>
      <c r="P2902" s="39" t="str">
        <f t="shared" si="320"/>
        <v/>
      </c>
      <c r="R2902" s="39" t="str">
        <f t="shared" si="321"/>
        <v/>
      </c>
      <c r="S2902" s="28"/>
      <c r="T2902" s="28"/>
      <c r="U2902" s="28"/>
    </row>
    <row r="2903" spans="1:21" s="5" customFormat="1">
      <c r="A2903" s="179" t="s">
        <v>3381</v>
      </c>
      <c r="B2903" s="185" t="s">
        <v>7366</v>
      </c>
      <c r="C2903" s="35" t="str">
        <f t="shared" si="315"/>
        <v>Nahid</v>
      </c>
      <c r="E2903" s="40"/>
      <c r="F2903" s="15"/>
      <c r="G2903" s="17"/>
      <c r="H2903" s="10" t="s">
        <v>8563</v>
      </c>
      <c r="I2903" s="4" t="str">
        <f t="shared" si="316"/>
        <v>|Náhíd|</v>
      </c>
      <c r="J2903" s="3" t="str">
        <f t="shared" si="317"/>
        <v>|Nahid|</v>
      </c>
      <c r="K2903" s="3" t="str">
        <f t="shared" si="318"/>
        <v>Nahid</v>
      </c>
      <c r="N2903" s="39" t="str">
        <f t="shared" si="319"/>
        <v/>
      </c>
      <c r="P2903" s="39" t="str">
        <f t="shared" si="320"/>
        <v/>
      </c>
      <c r="R2903" s="39" t="str">
        <f t="shared" si="321"/>
        <v/>
      </c>
      <c r="S2903" s="28"/>
      <c r="T2903" s="28"/>
      <c r="U2903" s="28"/>
    </row>
    <row r="2904" spans="1:21" s="5" customFormat="1">
      <c r="A2904" s="179" t="s">
        <v>3382</v>
      </c>
      <c r="B2904" s="185" t="s">
        <v>7367</v>
      </c>
      <c r="C2904" s="35" t="str">
        <f t="shared" si="315"/>
        <v>Nahri</v>
      </c>
      <c r="E2904" s="40"/>
      <c r="F2904" s="15"/>
      <c r="G2904" s="17"/>
      <c r="H2904" s="10" t="s">
        <v>8563</v>
      </c>
      <c r="I2904" s="4" t="str">
        <f t="shared" si="316"/>
        <v>|Nahrí|</v>
      </c>
      <c r="J2904" s="3" t="str">
        <f t="shared" si="317"/>
        <v>|Nahri|</v>
      </c>
      <c r="K2904" s="3" t="str">
        <f t="shared" si="318"/>
        <v>Nahri</v>
      </c>
      <c r="N2904" s="39" t="str">
        <f t="shared" si="319"/>
        <v/>
      </c>
      <c r="P2904" s="39" t="str">
        <f t="shared" si="320"/>
        <v/>
      </c>
      <c r="R2904" s="39" t="str">
        <f t="shared" si="321"/>
        <v/>
      </c>
      <c r="S2904" s="28"/>
      <c r="T2904" s="28"/>
      <c r="U2904" s="28"/>
    </row>
    <row r="2905" spans="1:21" s="5" customFormat="1">
      <c r="A2905" s="179" t="s">
        <v>3383</v>
      </c>
      <c r="B2905" s="185" t="s">
        <v>7368</v>
      </c>
      <c r="C2905" s="35" t="str">
        <f t="shared" si="315"/>
        <v>Nahvi</v>
      </c>
      <c r="E2905" s="40"/>
      <c r="F2905" s="14"/>
      <c r="G2905" s="17"/>
      <c r="H2905" s="10" t="s">
        <v>8563</v>
      </c>
      <c r="I2905" s="4" t="str">
        <f t="shared" si="316"/>
        <v>|Naḥví|</v>
      </c>
      <c r="J2905" s="3" t="str">
        <f t="shared" si="317"/>
        <v>|Nahvi|</v>
      </c>
      <c r="K2905" s="3" t="str">
        <f t="shared" si="318"/>
        <v>Nahvi</v>
      </c>
      <c r="N2905" s="39" t="str">
        <f t="shared" si="319"/>
        <v/>
      </c>
      <c r="P2905" s="39" t="str">
        <f t="shared" si="320"/>
        <v/>
      </c>
      <c r="R2905" s="39" t="str">
        <f t="shared" si="321"/>
        <v/>
      </c>
      <c r="S2905" s="28"/>
      <c r="T2905" s="28"/>
      <c r="U2905" s="28"/>
    </row>
    <row r="2906" spans="1:21" s="5" customFormat="1">
      <c r="A2906" s="179" t="s">
        <v>3384</v>
      </c>
      <c r="B2906" s="185" t="s">
        <v>7369</v>
      </c>
      <c r="C2906" s="35" t="str">
        <f t="shared" si="315"/>
        <v>Naib</v>
      </c>
      <c r="E2906" s="40"/>
      <c r="F2906" s="15" t="s">
        <v>3385</v>
      </c>
      <c r="G2906" s="17"/>
      <c r="H2906" s="10" t="s">
        <v>8563</v>
      </c>
      <c r="I2906" s="4" t="str">
        <f t="shared" si="316"/>
        <v>|Ná’ib|</v>
      </c>
      <c r="J2906" s="3" t="str">
        <f t="shared" si="317"/>
        <v>|Na'ib|</v>
      </c>
      <c r="K2906" s="3" t="str">
        <f t="shared" si="318"/>
        <v>Naib</v>
      </c>
      <c r="N2906" s="39" t="str">
        <f t="shared" si="319"/>
        <v/>
      </c>
      <c r="P2906" s="39" t="str">
        <f t="shared" si="320"/>
        <v/>
      </c>
      <c r="R2906" s="39" t="str">
        <f t="shared" si="321"/>
        <v/>
      </c>
      <c r="S2906" s="28"/>
      <c r="T2906" s="28"/>
      <c r="U2906" s="28"/>
    </row>
    <row r="2907" spans="1:21" s="5" customFormat="1">
      <c r="A2907" s="179" t="s">
        <v>3386</v>
      </c>
      <c r="B2907" s="185" t="s">
        <v>7370</v>
      </c>
      <c r="C2907" s="35" t="str">
        <f t="shared" si="315"/>
        <v>NaibiKhass</v>
      </c>
      <c r="E2907" s="40"/>
      <c r="F2907" s="15"/>
      <c r="G2907" s="17"/>
      <c r="H2907" s="10" t="s">
        <v>8563</v>
      </c>
      <c r="I2907" s="4" t="str">
        <f t="shared" si="316"/>
        <v>|Ná’ib-i-áṣṣ|</v>
      </c>
      <c r="J2907" s="3" t="str">
        <f t="shared" si="317"/>
        <v>|Na'ib-i-Khass|</v>
      </c>
      <c r="K2907" s="3" t="str">
        <f t="shared" si="318"/>
        <v>Naib-i-Khass</v>
      </c>
      <c r="N2907" s="39" t="str">
        <f t="shared" si="319"/>
        <v/>
      </c>
      <c r="P2907" s="39" t="str">
        <f t="shared" si="320"/>
        <v/>
      </c>
      <c r="R2907" s="39" t="str">
        <f t="shared" si="321"/>
        <v/>
      </c>
      <c r="S2907" s="28"/>
      <c r="T2907" s="28"/>
      <c r="U2907" s="28"/>
    </row>
    <row r="2908" spans="1:21" s="5" customFormat="1">
      <c r="A2908" s="179" t="s">
        <v>3387</v>
      </c>
      <c r="B2908" s="185" t="s">
        <v>7371</v>
      </c>
      <c r="C2908" s="35" t="str">
        <f t="shared" si="315"/>
        <v>NaibulIyalih</v>
      </c>
      <c r="E2908" s="40"/>
      <c r="F2908" s="14"/>
      <c r="G2908" s="17"/>
      <c r="H2908" s="10" t="s">
        <v>8563</v>
      </c>
      <c r="I2908" s="4" t="str">
        <f t="shared" si="316"/>
        <v>|Ná’ibu’l-Iyálih|</v>
      </c>
      <c r="J2908" s="3" t="str">
        <f t="shared" si="317"/>
        <v>|Na'ibu'l-Iyalih|</v>
      </c>
      <c r="K2908" s="3" t="str">
        <f t="shared" si="318"/>
        <v>Naibul-Iyalih</v>
      </c>
      <c r="N2908" s="39" t="str">
        <f t="shared" si="319"/>
        <v/>
      </c>
      <c r="P2908" s="39" t="str">
        <f t="shared" si="320"/>
        <v/>
      </c>
      <c r="R2908" s="39" t="str">
        <f t="shared" si="321"/>
        <v/>
      </c>
      <c r="S2908" s="28"/>
      <c r="T2908" s="28"/>
      <c r="U2908" s="28"/>
    </row>
    <row r="2909" spans="1:21" s="5" customFormat="1">
      <c r="A2909" s="179" t="s">
        <v>3388</v>
      </c>
      <c r="B2909" s="185" t="s">
        <v>7372</v>
      </c>
      <c r="C2909" s="35" t="str">
        <f t="shared" si="315"/>
        <v>NaibusSaltanih</v>
      </c>
      <c r="E2909" s="40"/>
      <c r="F2909" s="14"/>
      <c r="G2909" s="17"/>
      <c r="H2909" s="10" t="s">
        <v>8563</v>
      </c>
      <c r="I2909" s="4" t="str">
        <f t="shared" si="316"/>
        <v>|Ná’ibu’s-Salṭanih|</v>
      </c>
      <c r="J2909" s="3" t="str">
        <f t="shared" si="317"/>
        <v>|Na'ibu's-Saltanih|</v>
      </c>
      <c r="K2909" s="3" t="str">
        <f t="shared" si="318"/>
        <v>Naibus-Saltanih</v>
      </c>
      <c r="N2909" s="39" t="str">
        <f t="shared" si="319"/>
        <v/>
      </c>
      <c r="P2909" s="39" t="str">
        <f t="shared" si="320"/>
        <v/>
      </c>
      <c r="R2909" s="39" t="str">
        <f t="shared" si="321"/>
        <v/>
      </c>
      <c r="S2909" s="28"/>
      <c r="T2909" s="28"/>
      <c r="U2909" s="28"/>
    </row>
    <row r="2910" spans="1:21" s="5" customFormat="1">
      <c r="A2910" s="179" t="s">
        <v>3389</v>
      </c>
      <c r="B2910" s="185" t="s">
        <v>7373</v>
      </c>
      <c r="C2910" s="35" t="str">
        <f t="shared" si="315"/>
        <v>Naim</v>
      </c>
      <c r="E2910" s="40"/>
      <c r="F2910" s="15" t="s">
        <v>3390</v>
      </c>
      <c r="G2910" s="17"/>
      <c r="H2910" s="10" t="s">
        <v>8563</v>
      </c>
      <c r="I2910" s="4" t="str">
        <f t="shared" si="316"/>
        <v>|Naʿím|</v>
      </c>
      <c r="J2910" s="3" t="str">
        <f t="shared" si="317"/>
        <v>|Na'im|</v>
      </c>
      <c r="K2910" s="3" t="str">
        <f t="shared" si="318"/>
        <v>Naim</v>
      </c>
      <c r="N2910" s="39" t="str">
        <f t="shared" si="319"/>
        <v/>
      </c>
      <c r="P2910" s="39" t="str">
        <f t="shared" si="320"/>
        <v/>
      </c>
      <c r="R2910" s="39" t="str">
        <f t="shared" si="321"/>
        <v/>
      </c>
      <c r="S2910" s="28"/>
      <c r="T2910" s="28"/>
      <c r="U2910" s="28"/>
    </row>
    <row r="2911" spans="1:21" s="5" customFormat="1">
      <c r="A2911" s="179" t="s">
        <v>3391</v>
      </c>
      <c r="B2911" s="185" t="s">
        <v>7374</v>
      </c>
      <c r="C2911" s="35" t="str">
        <f t="shared" si="315"/>
        <v>Naimi</v>
      </c>
      <c r="E2911" s="40"/>
      <c r="F2911" s="15"/>
      <c r="G2911" s="17"/>
      <c r="H2911" s="10" t="s">
        <v>8563</v>
      </c>
      <c r="I2911" s="4" t="str">
        <f t="shared" si="316"/>
        <v>|Naʿímí|</v>
      </c>
      <c r="J2911" s="3" t="str">
        <f t="shared" si="317"/>
        <v>|Na'imi|</v>
      </c>
      <c r="K2911" s="3" t="str">
        <f t="shared" si="318"/>
        <v>Naimi</v>
      </c>
      <c r="N2911" s="39" t="str">
        <f t="shared" si="319"/>
        <v/>
      </c>
      <c r="P2911" s="39" t="str">
        <f t="shared" si="320"/>
        <v/>
      </c>
      <c r="R2911" s="39" t="str">
        <f t="shared" si="321"/>
        <v/>
      </c>
      <c r="S2911" s="28"/>
      <c r="T2911" s="28"/>
      <c r="U2911" s="28"/>
    </row>
    <row r="2912" spans="1:21" s="5" customFormat="1">
      <c r="A2912" s="179" t="s">
        <v>3392</v>
      </c>
      <c r="B2912" s="185" t="s">
        <v>7375</v>
      </c>
      <c r="C2912" s="35" t="str">
        <f t="shared" si="315"/>
        <v>Naimiyan</v>
      </c>
      <c r="E2912" s="40"/>
      <c r="F2912" s="15"/>
      <c r="G2912" s="17"/>
      <c r="H2912" s="10" t="s">
        <v>8563</v>
      </c>
      <c r="I2912" s="4" t="str">
        <f t="shared" si="316"/>
        <v>|Naʿímíyán|</v>
      </c>
      <c r="J2912" s="3" t="str">
        <f t="shared" si="317"/>
        <v>|Na'imiyan|</v>
      </c>
      <c r="K2912" s="3" t="str">
        <f t="shared" si="318"/>
        <v>Naimiyan</v>
      </c>
      <c r="N2912" s="39" t="str">
        <f t="shared" si="319"/>
        <v/>
      </c>
      <c r="P2912" s="39" t="str">
        <f t="shared" si="320"/>
        <v/>
      </c>
      <c r="R2912" s="39" t="str">
        <f t="shared" si="321"/>
        <v/>
      </c>
      <c r="S2912" s="28"/>
      <c r="T2912" s="28"/>
      <c r="U2912" s="28"/>
    </row>
    <row r="2913" spans="1:21" s="5" customFormat="1">
      <c r="A2913" s="179" t="s">
        <v>3393</v>
      </c>
      <c r="B2913" s="185" t="s">
        <v>8610</v>
      </c>
      <c r="C2913" s="35" t="str">
        <f t="shared" si="315"/>
        <v>Nain</v>
      </c>
      <c r="E2913" s="40"/>
      <c r="F2913" s="14"/>
      <c r="G2913" s="17"/>
      <c r="H2913" s="10" t="s">
        <v>8563</v>
      </c>
      <c r="I2913" s="4" t="str">
        <f t="shared" si="316"/>
        <v>|Ná’ín|</v>
      </c>
      <c r="J2913" s="3" t="str">
        <f t="shared" si="317"/>
        <v>|Na'in|</v>
      </c>
      <c r="K2913" s="3" t="str">
        <f t="shared" si="318"/>
        <v>Nain</v>
      </c>
      <c r="N2913" s="39" t="str">
        <f t="shared" si="319"/>
        <v/>
      </c>
      <c r="P2913" s="39" t="str">
        <f t="shared" si="320"/>
        <v/>
      </c>
      <c r="R2913" s="39" t="str">
        <f t="shared" si="321"/>
        <v/>
      </c>
      <c r="S2913" s="28"/>
      <c r="T2913" s="28"/>
      <c r="U2913" s="28"/>
    </row>
    <row r="2914" spans="1:21" s="5" customFormat="1">
      <c r="A2914" s="179" t="s">
        <v>3394</v>
      </c>
      <c r="B2914" s="185" t="s">
        <v>107</v>
      </c>
      <c r="C2914" s="35" t="str">
        <f t="shared" si="315"/>
        <v>Najaf</v>
      </c>
      <c r="E2914" s="40"/>
      <c r="F2914" s="14"/>
      <c r="G2914" s="17"/>
      <c r="H2914" s="10" t="s">
        <v>8563</v>
      </c>
      <c r="I2914" s="4" t="str">
        <f t="shared" si="316"/>
        <v>|Najaf|</v>
      </c>
      <c r="J2914" s="3" t="str">
        <f t="shared" si="317"/>
        <v>|Najaf|</v>
      </c>
      <c r="K2914" s="3" t="str">
        <f t="shared" si="318"/>
        <v>Najaf</v>
      </c>
      <c r="N2914" s="39" t="str">
        <f t="shared" si="319"/>
        <v/>
      </c>
      <c r="P2914" s="39" t="str">
        <f t="shared" si="320"/>
        <v/>
      </c>
      <c r="R2914" s="39" t="str">
        <f t="shared" si="321"/>
        <v/>
      </c>
      <c r="S2914" s="28"/>
      <c r="T2914" s="28"/>
      <c r="U2914" s="28"/>
    </row>
    <row r="2915" spans="1:21" s="5" customFormat="1">
      <c r="A2915" s="179" t="s">
        <v>3395</v>
      </c>
      <c r="B2915" s="185" t="s">
        <v>7376</v>
      </c>
      <c r="C2915" s="35" t="str">
        <f t="shared" si="315"/>
        <v>NajafAbad</v>
      </c>
      <c r="E2915" s="40"/>
      <c r="F2915" s="14"/>
      <c r="G2915" s="17"/>
      <c r="H2915" s="10" t="s">
        <v>8563</v>
      </c>
      <c r="I2915" s="4" t="str">
        <f t="shared" si="316"/>
        <v>|Najaf-Ábád|</v>
      </c>
      <c r="J2915" s="3" t="str">
        <f t="shared" si="317"/>
        <v>|Najaf-Abad|</v>
      </c>
      <c r="K2915" s="3" t="str">
        <f t="shared" si="318"/>
        <v>Najaf-Abad</v>
      </c>
      <c r="N2915" s="39" t="str">
        <f t="shared" si="319"/>
        <v/>
      </c>
      <c r="P2915" s="39" t="str">
        <f t="shared" si="320"/>
        <v/>
      </c>
      <c r="R2915" s="39" t="str">
        <f t="shared" si="321"/>
        <v/>
      </c>
      <c r="S2915" s="28"/>
      <c r="T2915" s="28"/>
      <c r="U2915" s="28"/>
    </row>
    <row r="2916" spans="1:21" s="5" customFormat="1">
      <c r="A2916" s="179" t="s">
        <v>3396</v>
      </c>
      <c r="B2916" s="185" t="s">
        <v>7377</v>
      </c>
      <c r="C2916" s="35" t="str">
        <f t="shared" si="315"/>
        <v>NajafAbadi</v>
      </c>
      <c r="E2916" s="40"/>
      <c r="F2916" s="14"/>
      <c r="G2916" s="17"/>
      <c r="H2916" s="10" t="s">
        <v>8563</v>
      </c>
      <c r="I2916" s="4" t="str">
        <f t="shared" si="316"/>
        <v>|Najaf-Ábádí|</v>
      </c>
      <c r="J2916" s="3" t="str">
        <f t="shared" si="317"/>
        <v>|Najaf-Abadi|</v>
      </c>
      <c r="K2916" s="3" t="str">
        <f t="shared" si="318"/>
        <v>Najaf-Abadi</v>
      </c>
      <c r="N2916" s="39" t="str">
        <f t="shared" si="319"/>
        <v/>
      </c>
      <c r="P2916" s="39" t="str">
        <f t="shared" si="320"/>
        <v/>
      </c>
      <c r="R2916" s="39" t="str">
        <f t="shared" si="321"/>
        <v/>
      </c>
      <c r="S2916" s="28"/>
      <c r="T2916" s="28"/>
      <c r="U2916" s="28"/>
    </row>
    <row r="2917" spans="1:21" s="5" customFormat="1">
      <c r="A2917" s="179" t="s">
        <v>3397</v>
      </c>
      <c r="B2917" s="185" t="s">
        <v>7378</v>
      </c>
      <c r="C2917" s="35" t="str">
        <f t="shared" si="315"/>
        <v>NajafAli</v>
      </c>
      <c r="E2917" s="40"/>
      <c r="F2917" s="14"/>
      <c r="G2917" s="17"/>
      <c r="H2917" s="10" t="s">
        <v>8563</v>
      </c>
      <c r="I2917" s="4" t="str">
        <f t="shared" si="316"/>
        <v>|Najaf-ʿAlí|</v>
      </c>
      <c r="J2917" s="3" t="str">
        <f t="shared" si="317"/>
        <v>|Najaf-'Ali|</v>
      </c>
      <c r="K2917" s="3" t="str">
        <f t="shared" si="318"/>
        <v>Najaf-Ali</v>
      </c>
      <c r="N2917" s="39" t="str">
        <f t="shared" si="319"/>
        <v/>
      </c>
      <c r="P2917" s="39" t="str">
        <f t="shared" si="320"/>
        <v/>
      </c>
      <c r="R2917" s="39" t="str">
        <f t="shared" si="321"/>
        <v/>
      </c>
      <c r="S2917" s="28"/>
      <c r="T2917" s="28"/>
      <c r="U2917" s="28"/>
    </row>
    <row r="2918" spans="1:21" s="5" customFormat="1">
      <c r="A2918" s="179" t="s">
        <v>3398</v>
      </c>
      <c r="B2918" s="185" t="s">
        <v>7379</v>
      </c>
      <c r="C2918" s="35" t="str">
        <f t="shared" si="315"/>
        <v>NajafAliyiZanjani</v>
      </c>
      <c r="E2918" s="40"/>
      <c r="F2918" s="14"/>
      <c r="G2918" s="17"/>
      <c r="H2918" s="10" t="s">
        <v>8563</v>
      </c>
      <c r="I2918" s="4" t="str">
        <f t="shared" si="316"/>
        <v>|Najaf-ʿAlíy-i-Zanjání|</v>
      </c>
      <c r="J2918" s="3" t="str">
        <f t="shared" si="317"/>
        <v>|Najaf-'Aliy-i-Zanjani|</v>
      </c>
      <c r="K2918" s="3" t="str">
        <f t="shared" si="318"/>
        <v>Najaf-Aliy-i-Zanjani</v>
      </c>
      <c r="N2918" s="39" t="str">
        <f t="shared" si="319"/>
        <v/>
      </c>
      <c r="P2918" s="39" t="str">
        <f t="shared" si="320"/>
        <v/>
      </c>
      <c r="R2918" s="39" t="str">
        <f t="shared" si="321"/>
        <v/>
      </c>
      <c r="S2918" s="28"/>
      <c r="T2918" s="28"/>
      <c r="U2918" s="28"/>
    </row>
    <row r="2919" spans="1:21" s="5" customFormat="1">
      <c r="A2919" s="179" t="s">
        <v>3399</v>
      </c>
      <c r="B2919" s="185" t="s">
        <v>7380</v>
      </c>
      <c r="C2919" s="35" t="str">
        <f t="shared" si="315"/>
        <v>Najafi</v>
      </c>
      <c r="E2919" s="40"/>
      <c r="F2919" s="15"/>
      <c r="G2919" s="17"/>
      <c r="H2919" s="10" t="s">
        <v>8563</v>
      </c>
      <c r="I2919" s="4" t="str">
        <f t="shared" si="316"/>
        <v>|Najafí|</v>
      </c>
      <c r="J2919" s="3" t="str">
        <f t="shared" si="317"/>
        <v>|Najafi|</v>
      </c>
      <c r="K2919" s="3" t="str">
        <f t="shared" si="318"/>
        <v>Najafi</v>
      </c>
      <c r="N2919" s="39" t="str">
        <f t="shared" si="319"/>
        <v/>
      </c>
      <c r="P2919" s="39" t="str">
        <f t="shared" si="320"/>
        <v/>
      </c>
      <c r="R2919" s="39" t="str">
        <f t="shared" si="321"/>
        <v/>
      </c>
      <c r="S2919" s="28"/>
      <c r="T2919" s="28"/>
      <c r="U2919" s="28"/>
    </row>
    <row r="2920" spans="1:21" s="5" customFormat="1">
      <c r="A2920" s="179" t="s">
        <v>3400</v>
      </c>
      <c r="B2920" s="185" t="s">
        <v>7381</v>
      </c>
      <c r="C2920" s="35" t="str">
        <f t="shared" si="315"/>
        <v>Najah</v>
      </c>
      <c r="E2920" s="40"/>
      <c r="F2920" s="15"/>
      <c r="G2920" s="17"/>
      <c r="H2920" s="10" t="s">
        <v>8563</v>
      </c>
      <c r="I2920" s="4" t="str">
        <f t="shared" si="316"/>
        <v>|Najáḥ|</v>
      </c>
      <c r="J2920" s="3" t="str">
        <f t="shared" si="317"/>
        <v>|Najah|</v>
      </c>
      <c r="K2920" s="3" t="str">
        <f t="shared" si="318"/>
        <v>Najah</v>
      </c>
      <c r="N2920" s="39" t="str">
        <f t="shared" si="319"/>
        <v/>
      </c>
      <c r="P2920" s="39" t="str">
        <f t="shared" si="320"/>
        <v/>
      </c>
      <c r="R2920" s="39" t="str">
        <f t="shared" si="321"/>
        <v/>
      </c>
      <c r="S2920" s="28"/>
      <c r="T2920" s="28"/>
      <c r="U2920" s="28"/>
    </row>
    <row r="2921" spans="1:21" s="5" customFormat="1">
      <c r="A2921" s="179" t="s">
        <v>3401</v>
      </c>
      <c r="B2921" s="185" t="s">
        <v>7382</v>
      </c>
      <c r="C2921" s="35" t="str">
        <f t="shared" si="315"/>
        <v>najasat</v>
      </c>
      <c r="E2921" s="40"/>
      <c r="F2921" s="15"/>
      <c r="G2921" s="17"/>
      <c r="H2921" s="10" t="s">
        <v>8563</v>
      </c>
      <c r="I2921" s="4" t="str">
        <f t="shared" si="316"/>
        <v>|najását|</v>
      </c>
      <c r="J2921" s="3" t="str">
        <f t="shared" si="317"/>
        <v>|najasat|</v>
      </c>
      <c r="K2921" s="3" t="str">
        <f t="shared" si="318"/>
        <v>najasat</v>
      </c>
      <c r="N2921" s="39" t="str">
        <f t="shared" si="319"/>
        <v/>
      </c>
      <c r="P2921" s="39" t="str">
        <f t="shared" si="320"/>
        <v/>
      </c>
      <c r="R2921" s="39" t="str">
        <f t="shared" si="321"/>
        <v/>
      </c>
      <c r="S2921" s="28"/>
      <c r="T2921" s="28"/>
      <c r="U2921" s="28"/>
    </row>
    <row r="2922" spans="1:21" s="5" customFormat="1">
      <c r="A2922" s="179" t="s">
        <v>3402</v>
      </c>
      <c r="B2922" s="185" t="s">
        <v>7383</v>
      </c>
      <c r="C2922" s="35" t="str">
        <f t="shared" si="315"/>
        <v>Naji</v>
      </c>
      <c r="E2922" s="40"/>
      <c r="F2922" s="15"/>
      <c r="G2922" s="17"/>
      <c r="H2922" s="10" t="s">
        <v>8563</v>
      </c>
      <c r="I2922" s="4" t="str">
        <f t="shared" si="316"/>
        <v>|Nají|</v>
      </c>
      <c r="J2922" s="3" t="str">
        <f t="shared" si="317"/>
        <v>|Naji|</v>
      </c>
      <c r="K2922" s="3" t="str">
        <f t="shared" si="318"/>
        <v>Naji</v>
      </c>
      <c r="N2922" s="39" t="str">
        <f t="shared" si="319"/>
        <v/>
      </c>
      <c r="P2922" s="39" t="str">
        <f t="shared" si="320"/>
        <v/>
      </c>
      <c r="R2922" s="39" t="str">
        <f t="shared" si="321"/>
        <v/>
      </c>
      <c r="S2922" s="28"/>
      <c r="T2922" s="28"/>
      <c r="U2922" s="28"/>
    </row>
    <row r="2923" spans="1:21" s="5" customFormat="1">
      <c r="A2923" s="179" t="s">
        <v>3403</v>
      </c>
      <c r="B2923" s="185" t="s">
        <v>7384</v>
      </c>
      <c r="C2923" s="35" t="str">
        <f t="shared" si="315"/>
        <v>Najib</v>
      </c>
      <c r="E2923" s="40"/>
      <c r="F2923" s="14"/>
      <c r="G2923" s="17"/>
      <c r="H2923" s="10" t="s">
        <v>8563</v>
      </c>
      <c r="I2923" s="4" t="str">
        <f t="shared" si="316"/>
        <v>|Najíb|</v>
      </c>
      <c r="J2923" s="3" t="str">
        <f t="shared" si="317"/>
        <v>|Najib|</v>
      </c>
      <c r="K2923" s="3" t="str">
        <f t="shared" si="318"/>
        <v>Najib</v>
      </c>
      <c r="N2923" s="39" t="str">
        <f t="shared" si="319"/>
        <v/>
      </c>
      <c r="P2923" s="39" t="str">
        <f t="shared" si="320"/>
        <v/>
      </c>
      <c r="R2923" s="39" t="str">
        <f t="shared" si="321"/>
        <v/>
      </c>
      <c r="S2923" s="28"/>
      <c r="T2923" s="28"/>
      <c r="U2923" s="28"/>
    </row>
    <row r="2924" spans="1:21" s="5" customFormat="1">
      <c r="A2924" s="181"/>
      <c r="B2924" s="185" t="s">
        <v>8770</v>
      </c>
      <c r="C2924" s="35" t="str">
        <f t="shared" si="315"/>
        <v>NajibPasha</v>
      </c>
      <c r="D2924" s="1"/>
      <c r="E2924" s="40"/>
      <c r="F2924" s="12"/>
      <c r="G2924" s="9"/>
      <c r="H2924" s="12" t="s">
        <v>8622</v>
      </c>
      <c r="I2924" s="4" t="str">
        <f t="shared" si="316"/>
        <v>|Najíb Páá|</v>
      </c>
      <c r="J2924" s="3" t="str">
        <f t="shared" si="317"/>
        <v>|Najib Pasha|</v>
      </c>
      <c r="K2924" s="3" t="str">
        <f t="shared" si="318"/>
        <v>Najib Pasha</v>
      </c>
      <c r="N2924" s="39" t="str">
        <f t="shared" si="319"/>
        <v/>
      </c>
      <c r="P2924" s="39" t="str">
        <f t="shared" si="320"/>
        <v/>
      </c>
      <c r="R2924" s="39" t="str">
        <f t="shared" si="321"/>
        <v/>
      </c>
      <c r="S2924" s="29">
        <v>41760</v>
      </c>
      <c r="T2924" s="28"/>
      <c r="U2924" s="28"/>
    </row>
    <row r="2925" spans="1:21" s="5" customFormat="1">
      <c r="A2925" s="179" t="s">
        <v>3404</v>
      </c>
      <c r="B2925" s="185" t="s">
        <v>7385</v>
      </c>
      <c r="C2925" s="35" t="str">
        <f t="shared" si="315"/>
        <v>Najibiyyih</v>
      </c>
      <c r="E2925" s="40"/>
      <c r="F2925" s="14"/>
      <c r="G2925" s="17"/>
      <c r="H2925" s="10" t="s">
        <v>8563</v>
      </c>
      <c r="I2925" s="4" t="str">
        <f t="shared" si="316"/>
        <v>|Najíbíyyih|</v>
      </c>
      <c r="J2925" s="3" t="str">
        <f t="shared" si="317"/>
        <v>|Najibiyyih|</v>
      </c>
      <c r="K2925" s="3" t="str">
        <f t="shared" si="318"/>
        <v>Najibiyyih</v>
      </c>
      <c r="N2925" s="39" t="str">
        <f t="shared" si="319"/>
        <v/>
      </c>
      <c r="P2925" s="39" t="str">
        <f t="shared" si="320"/>
        <v/>
      </c>
      <c r="R2925" s="39" t="str">
        <f t="shared" si="321"/>
        <v/>
      </c>
      <c r="S2925" s="28"/>
      <c r="T2925" s="28"/>
      <c r="U2925" s="28"/>
    </row>
    <row r="2926" spans="1:21" s="5" customFormat="1">
      <c r="A2926" s="179" t="s">
        <v>3405</v>
      </c>
      <c r="B2926" s="185" t="s">
        <v>7386</v>
      </c>
      <c r="C2926" s="35" t="str">
        <f t="shared" si="315"/>
        <v>Najmabadi</v>
      </c>
      <c r="E2926" s="40"/>
      <c r="F2926" s="15"/>
      <c r="G2926" s="17"/>
      <c r="H2926" s="10" t="s">
        <v>8563</v>
      </c>
      <c r="I2926" s="4" t="str">
        <f t="shared" si="316"/>
        <v>|Najmábádí|</v>
      </c>
      <c r="J2926" s="3" t="str">
        <f t="shared" si="317"/>
        <v>|Najmabadi|</v>
      </c>
      <c r="K2926" s="3" t="str">
        <f t="shared" si="318"/>
        <v>Najmabadi</v>
      </c>
      <c r="N2926" s="39" t="str">
        <f t="shared" si="319"/>
        <v/>
      </c>
      <c r="P2926" s="39" t="str">
        <f t="shared" si="320"/>
        <v/>
      </c>
      <c r="R2926" s="39" t="str">
        <f t="shared" si="321"/>
        <v/>
      </c>
      <c r="S2926" s="28"/>
      <c r="T2926" s="28"/>
      <c r="U2926" s="28"/>
    </row>
    <row r="2927" spans="1:21" s="5" customFormat="1">
      <c r="A2927" s="179" t="s">
        <v>3406</v>
      </c>
      <c r="B2927" s="185" t="s">
        <v>108</v>
      </c>
      <c r="C2927" s="35" t="str">
        <f t="shared" si="315"/>
        <v>Najran</v>
      </c>
      <c r="E2927" s="40"/>
      <c r="F2927" s="14"/>
      <c r="G2927" s="17"/>
      <c r="H2927" s="10" t="s">
        <v>8563</v>
      </c>
      <c r="I2927" s="4" t="str">
        <f t="shared" si="316"/>
        <v>|Najrán|</v>
      </c>
      <c r="J2927" s="3" t="str">
        <f t="shared" si="317"/>
        <v>|Najran|</v>
      </c>
      <c r="K2927" s="3" t="str">
        <f t="shared" si="318"/>
        <v>Najran</v>
      </c>
      <c r="N2927" s="39" t="str">
        <f t="shared" si="319"/>
        <v/>
      </c>
      <c r="P2927" s="39" t="str">
        <f t="shared" si="320"/>
        <v/>
      </c>
      <c r="R2927" s="39" t="str">
        <f t="shared" si="321"/>
        <v/>
      </c>
      <c r="S2927" s="28"/>
      <c r="T2927" s="28"/>
      <c r="U2927" s="28"/>
    </row>
    <row r="2928" spans="1:21" s="5" customFormat="1">
      <c r="A2928" s="179" t="s">
        <v>3407</v>
      </c>
      <c r="B2928" s="185" t="s">
        <v>7387</v>
      </c>
      <c r="C2928" s="35" t="str">
        <f t="shared" si="315"/>
        <v>Nakhjavani</v>
      </c>
      <c r="E2928" s="40"/>
      <c r="F2928" s="14"/>
      <c r="G2928" s="17"/>
      <c r="H2928" s="10" t="s">
        <v>8563</v>
      </c>
      <c r="I2928" s="4" t="str">
        <f t="shared" si="316"/>
        <v>|Najavání|</v>
      </c>
      <c r="J2928" s="3" t="str">
        <f t="shared" si="317"/>
        <v>|Nakhjavani|</v>
      </c>
      <c r="K2928" s="3" t="str">
        <f t="shared" si="318"/>
        <v>Nakhjavani</v>
      </c>
      <c r="N2928" s="39" t="str">
        <f t="shared" si="319"/>
        <v/>
      </c>
      <c r="P2928" s="39" t="str">
        <f t="shared" si="320"/>
        <v/>
      </c>
      <c r="R2928" s="39" t="str">
        <f t="shared" si="321"/>
        <v/>
      </c>
      <c r="S2928" s="28"/>
      <c r="T2928" s="28"/>
      <c r="U2928" s="28"/>
    </row>
    <row r="2929" spans="1:21" s="5" customFormat="1">
      <c r="A2929" s="179" t="s">
        <v>3408</v>
      </c>
      <c r="B2929" s="185" t="s">
        <v>7388</v>
      </c>
      <c r="C2929" s="35" t="str">
        <f t="shared" si="315"/>
        <v>Nakhud</v>
      </c>
      <c r="E2929" s="40"/>
      <c r="F2929" s="14"/>
      <c r="G2929" s="17"/>
      <c r="H2929" s="10" t="s">
        <v>8563</v>
      </c>
      <c r="I2929" s="4" t="str">
        <f t="shared" si="316"/>
        <v>|Náud|</v>
      </c>
      <c r="J2929" s="3" t="str">
        <f t="shared" si="317"/>
        <v>|Nakhud|</v>
      </c>
      <c r="K2929" s="3" t="str">
        <f t="shared" si="318"/>
        <v>Nakhud</v>
      </c>
      <c r="N2929" s="39" t="str">
        <f t="shared" si="319"/>
        <v/>
      </c>
      <c r="P2929" s="39" t="str">
        <f t="shared" si="320"/>
        <v/>
      </c>
      <c r="R2929" s="39" t="str">
        <f t="shared" si="321"/>
        <v/>
      </c>
      <c r="S2929" s="28"/>
      <c r="T2929" s="28"/>
      <c r="U2929" s="28"/>
    </row>
    <row r="2930" spans="1:21" s="5" customFormat="1">
      <c r="A2930" s="179" t="s">
        <v>3410</v>
      </c>
      <c r="B2930" s="185" t="s">
        <v>7390</v>
      </c>
      <c r="C2930" s="35" t="str">
        <f t="shared" si="315"/>
        <v>Nam</v>
      </c>
      <c r="E2930" s="40"/>
      <c r="F2930" s="15"/>
      <c r="G2930" s="17"/>
      <c r="H2930" s="10" t="s">
        <v>8563</v>
      </c>
      <c r="I2930" s="4" t="str">
        <f t="shared" si="316"/>
        <v>|Nám|</v>
      </c>
      <c r="J2930" s="3" t="str">
        <f t="shared" si="317"/>
        <v>|Nam|</v>
      </c>
      <c r="K2930" s="3" t="str">
        <f t="shared" si="318"/>
        <v>Nam</v>
      </c>
      <c r="N2930" s="39" t="str">
        <f t="shared" si="319"/>
        <v/>
      </c>
      <c r="P2930" s="39" t="str">
        <f t="shared" si="320"/>
        <v/>
      </c>
      <c r="R2930" s="39" t="str">
        <f t="shared" si="321"/>
        <v/>
      </c>
      <c r="S2930" s="28"/>
      <c r="T2930" s="28"/>
      <c r="U2930" s="28"/>
    </row>
    <row r="2931" spans="1:21" s="5" customFormat="1">
      <c r="A2931" s="179" t="s">
        <v>3411</v>
      </c>
      <c r="B2931" s="185" t="s">
        <v>7391</v>
      </c>
      <c r="C2931" s="35" t="str">
        <f t="shared" si="315"/>
        <v>namayand</v>
      </c>
      <c r="E2931" s="40"/>
      <c r="F2931" s="15"/>
      <c r="G2931" s="17"/>
      <c r="H2931" s="10" t="s">
        <v>8563</v>
      </c>
      <c r="I2931" s="4" t="str">
        <f t="shared" si="316"/>
        <v>|namáyand|</v>
      </c>
      <c r="J2931" s="3" t="str">
        <f t="shared" si="317"/>
        <v>|namayand|</v>
      </c>
      <c r="K2931" s="3" t="str">
        <f t="shared" si="318"/>
        <v>namayand</v>
      </c>
      <c r="N2931" s="39" t="str">
        <f t="shared" si="319"/>
        <v/>
      </c>
      <c r="P2931" s="39" t="str">
        <f t="shared" si="320"/>
        <v/>
      </c>
      <c r="R2931" s="39" t="str">
        <f t="shared" si="321"/>
        <v/>
      </c>
      <c r="S2931" s="28"/>
      <c r="T2931" s="28"/>
      <c r="U2931" s="28"/>
    </row>
    <row r="2932" spans="1:21" s="5" customFormat="1">
      <c r="A2932" s="179" t="s">
        <v>3412</v>
      </c>
      <c r="B2932" s="185" t="s">
        <v>7392</v>
      </c>
      <c r="C2932" s="35" t="str">
        <f t="shared" si="315"/>
        <v>Namayn</v>
      </c>
      <c r="E2932" s="40"/>
      <c r="F2932" s="15"/>
      <c r="G2932" s="17"/>
      <c r="H2932" s="10" t="s">
        <v>8563</v>
      </c>
      <c r="I2932" s="4" t="str">
        <f t="shared" si="316"/>
        <v>|Naʿmayn|</v>
      </c>
      <c r="J2932" s="3" t="str">
        <f t="shared" si="317"/>
        <v>|Na'mayn|</v>
      </c>
      <c r="K2932" s="3" t="str">
        <f t="shared" si="318"/>
        <v>Namayn</v>
      </c>
      <c r="N2932" s="39" t="str">
        <f t="shared" si="319"/>
        <v/>
      </c>
      <c r="P2932" s="39" t="str">
        <f t="shared" si="320"/>
        <v/>
      </c>
      <c r="R2932" s="39" t="str">
        <f t="shared" si="321"/>
        <v/>
      </c>
      <c r="S2932" s="28"/>
      <c r="T2932" s="28"/>
      <c r="U2932" s="28"/>
    </row>
    <row r="2933" spans="1:21" s="5" customFormat="1">
      <c r="A2933" s="179" t="s">
        <v>3413</v>
      </c>
      <c r="B2933" s="185" t="s">
        <v>7393</v>
      </c>
      <c r="C2933" s="35" t="str">
        <f t="shared" si="315"/>
        <v>NamazKhanih</v>
      </c>
      <c r="E2933" s="40"/>
      <c r="F2933" s="14"/>
      <c r="G2933" s="17"/>
      <c r="H2933" s="10" t="s">
        <v>8563</v>
      </c>
      <c r="I2933" s="4" t="str">
        <f t="shared" si="316"/>
        <v>|Namáz-ánih|</v>
      </c>
      <c r="J2933" s="3" t="str">
        <f t="shared" si="317"/>
        <v>|Namaz-Khanih|</v>
      </c>
      <c r="K2933" s="3" t="str">
        <f t="shared" si="318"/>
        <v>Namaz-Khanih</v>
      </c>
      <c r="N2933" s="39" t="str">
        <f t="shared" si="319"/>
        <v/>
      </c>
      <c r="P2933" s="39" t="str">
        <f t="shared" si="320"/>
        <v/>
      </c>
      <c r="R2933" s="39" t="str">
        <f t="shared" si="321"/>
        <v/>
      </c>
      <c r="S2933" s="28"/>
      <c r="T2933" s="28"/>
      <c r="U2933" s="28"/>
    </row>
    <row r="2934" spans="1:21" s="5" customFormat="1">
      <c r="A2934" s="179" t="s">
        <v>3414</v>
      </c>
      <c r="B2934" s="185" t="s">
        <v>7394</v>
      </c>
      <c r="C2934" s="35" t="str">
        <f t="shared" si="315"/>
        <v>Namih</v>
      </c>
      <c r="E2934" s="40"/>
      <c r="F2934" s="15"/>
      <c r="G2934" s="17"/>
      <c r="H2934" s="10" t="s">
        <v>8563</v>
      </c>
      <c r="I2934" s="4" t="str">
        <f t="shared" si="316"/>
        <v>|Námih|</v>
      </c>
      <c r="J2934" s="3" t="str">
        <f t="shared" si="317"/>
        <v>|Namih|</v>
      </c>
      <c r="K2934" s="3" t="str">
        <f t="shared" si="318"/>
        <v>Namih</v>
      </c>
      <c r="N2934" s="39" t="str">
        <f t="shared" si="319"/>
        <v/>
      </c>
      <c r="P2934" s="39" t="str">
        <f t="shared" si="320"/>
        <v/>
      </c>
      <c r="R2934" s="39" t="str">
        <f t="shared" si="321"/>
        <v/>
      </c>
      <c r="S2934" s="28"/>
      <c r="T2934" s="28"/>
      <c r="U2934" s="28"/>
    </row>
    <row r="2935" spans="1:21" s="5" customFormat="1">
      <c r="A2935" s="179" t="s">
        <v>3415</v>
      </c>
      <c r="B2935" s="185" t="s">
        <v>7395</v>
      </c>
      <c r="C2935" s="35" t="str">
        <f t="shared" si="315"/>
        <v>Namiq</v>
      </c>
      <c r="E2935" s="40"/>
      <c r="F2935" s="14"/>
      <c r="G2935" s="17"/>
      <c r="H2935" s="10" t="s">
        <v>8563</v>
      </c>
      <c r="I2935" s="4" t="str">
        <f t="shared" si="316"/>
        <v>|Námiq|</v>
      </c>
      <c r="J2935" s="3" t="str">
        <f t="shared" si="317"/>
        <v>|Namiq|</v>
      </c>
      <c r="K2935" s="3" t="str">
        <f t="shared" si="318"/>
        <v>Namiq</v>
      </c>
      <c r="N2935" s="39" t="str">
        <f t="shared" si="319"/>
        <v/>
      </c>
      <c r="P2935" s="39" t="str">
        <f t="shared" si="320"/>
        <v/>
      </c>
      <c r="R2935" s="39" t="str">
        <f t="shared" si="321"/>
        <v/>
      </c>
      <c r="S2935" s="28"/>
      <c r="T2935" s="28"/>
      <c r="U2935" s="28"/>
    </row>
    <row r="2936" spans="1:21" s="5" customFormat="1">
      <c r="A2936" s="179" t="s">
        <v>3416</v>
      </c>
      <c r="B2936" s="185" t="s">
        <v>7396</v>
      </c>
      <c r="C2936" s="35" t="str">
        <f t="shared" si="315"/>
        <v>NamiqPasha</v>
      </c>
      <c r="E2936" s="40"/>
      <c r="F2936" s="14"/>
      <c r="G2936" s="17"/>
      <c r="H2936" s="10" t="s">
        <v>8563</v>
      </c>
      <c r="I2936" s="4" t="str">
        <f t="shared" si="316"/>
        <v>|Námiq-Páá|</v>
      </c>
      <c r="J2936" s="3" t="str">
        <f t="shared" si="317"/>
        <v>|Namiq-Pasha|</v>
      </c>
      <c r="K2936" s="3" t="str">
        <f t="shared" si="318"/>
        <v>Namiq-Pasha</v>
      </c>
      <c r="N2936" s="39" t="str">
        <f t="shared" si="319"/>
        <v/>
      </c>
      <c r="P2936" s="39" t="str">
        <f t="shared" si="320"/>
        <v/>
      </c>
      <c r="R2936" s="39" t="str">
        <f t="shared" si="321"/>
        <v/>
      </c>
      <c r="S2936" s="28"/>
      <c r="T2936" s="28"/>
      <c r="U2936" s="28"/>
    </row>
    <row r="2937" spans="1:21" s="5" customFormat="1">
      <c r="A2937" s="179" t="s">
        <v>3417</v>
      </c>
      <c r="B2937" s="185" t="s">
        <v>7397</v>
      </c>
      <c r="C2937" s="35" t="str">
        <f t="shared" si="315"/>
        <v>NamiyiDanishvaran</v>
      </c>
      <c r="E2937" s="40"/>
      <c r="F2937" s="15"/>
      <c r="G2937" s="17"/>
      <c r="H2937" s="10" t="s">
        <v>8563</v>
      </c>
      <c r="I2937" s="4" t="str">
        <f t="shared" si="316"/>
        <v>|Námiy-i-Dánivarán|</v>
      </c>
      <c r="J2937" s="3" t="str">
        <f t="shared" si="317"/>
        <v>|Namiy-i-Danishvaran|</v>
      </c>
      <c r="K2937" s="3" t="str">
        <f t="shared" si="318"/>
        <v>Namiy-i-Danishvaran</v>
      </c>
      <c r="N2937" s="39" t="str">
        <f t="shared" si="319"/>
        <v/>
      </c>
      <c r="P2937" s="39" t="str">
        <f t="shared" si="320"/>
        <v/>
      </c>
      <c r="R2937" s="39" t="str">
        <f t="shared" si="321"/>
        <v/>
      </c>
      <c r="S2937" s="28"/>
      <c r="T2937" s="28"/>
      <c r="U2937" s="28"/>
    </row>
    <row r="2938" spans="1:21" s="5" customFormat="1">
      <c r="A2938" s="179" t="s">
        <v>3418</v>
      </c>
      <c r="B2938" s="185" t="s">
        <v>7398</v>
      </c>
      <c r="C2938" s="35" t="str">
        <f t="shared" si="315"/>
        <v>Nan</v>
      </c>
      <c r="E2938" s="40"/>
      <c r="F2938" s="15" t="s">
        <v>3419</v>
      </c>
      <c r="G2938" s="17"/>
      <c r="H2938" s="10" t="s">
        <v>8563</v>
      </c>
      <c r="I2938" s="4" t="str">
        <f t="shared" si="316"/>
        <v>|Nán|</v>
      </c>
      <c r="J2938" s="3" t="str">
        <f t="shared" si="317"/>
        <v>|Nan|</v>
      </c>
      <c r="K2938" s="3" t="str">
        <f t="shared" si="318"/>
        <v>Nan</v>
      </c>
      <c r="N2938" s="39" t="str">
        <f t="shared" si="319"/>
        <v/>
      </c>
      <c r="P2938" s="39" t="str">
        <f t="shared" si="320"/>
        <v/>
      </c>
      <c r="R2938" s="39" t="str">
        <f t="shared" si="321"/>
        <v/>
      </c>
      <c r="S2938" s="28"/>
      <c r="T2938" s="28"/>
      <c r="U2938" s="28"/>
    </row>
    <row r="2939" spans="1:21" s="5" customFormat="1">
      <c r="A2939" s="179" t="s">
        <v>3420</v>
      </c>
      <c r="B2939" s="185" t="s">
        <v>7399</v>
      </c>
      <c r="C2939" s="35" t="str">
        <f t="shared" si="315"/>
        <v>Naqd</v>
      </c>
      <c r="E2939" s="40"/>
      <c r="F2939" s="15"/>
      <c r="G2939" s="17"/>
      <c r="H2939" s="10" t="s">
        <v>8563</v>
      </c>
      <c r="I2939" s="4" t="str">
        <f t="shared" si="316"/>
        <v>|Naqḍ|</v>
      </c>
      <c r="J2939" s="3" t="str">
        <f t="shared" si="317"/>
        <v>|Naqd|</v>
      </c>
      <c r="K2939" s="3" t="str">
        <f t="shared" si="318"/>
        <v>Naqd</v>
      </c>
      <c r="N2939" s="39" t="str">
        <f t="shared" si="319"/>
        <v/>
      </c>
      <c r="P2939" s="39" t="str">
        <f t="shared" si="320"/>
        <v/>
      </c>
      <c r="R2939" s="39" t="str">
        <f t="shared" si="321"/>
        <v/>
      </c>
      <c r="S2939" s="28"/>
      <c r="T2939" s="28"/>
      <c r="U2939" s="28"/>
    </row>
    <row r="2940" spans="1:21" s="5" customFormat="1">
      <c r="A2940" s="179" t="s">
        <v>3421</v>
      </c>
      <c r="B2940" s="185" t="s">
        <v>7400</v>
      </c>
      <c r="C2940" s="35" t="str">
        <f t="shared" si="315"/>
        <v>Naqi</v>
      </c>
      <c r="E2940" s="40"/>
      <c r="F2940" s="14"/>
      <c r="G2940" s="17"/>
      <c r="H2940" s="10" t="s">
        <v>8563</v>
      </c>
      <c r="I2940" s="4" t="str">
        <f t="shared" si="316"/>
        <v>|Naqí|</v>
      </c>
      <c r="J2940" s="3" t="str">
        <f t="shared" si="317"/>
        <v>|Naqi|</v>
      </c>
      <c r="K2940" s="3" t="str">
        <f t="shared" si="318"/>
        <v>Naqi</v>
      </c>
      <c r="N2940" s="39" t="str">
        <f t="shared" si="319"/>
        <v/>
      </c>
      <c r="P2940" s="39" t="str">
        <f t="shared" si="320"/>
        <v/>
      </c>
      <c r="R2940" s="39" t="str">
        <f t="shared" si="321"/>
        <v/>
      </c>
      <c r="S2940" s="28"/>
      <c r="T2940" s="28"/>
      <c r="U2940" s="28"/>
    </row>
    <row r="2941" spans="1:21" s="5" customFormat="1">
      <c r="A2941" s="179" t="s">
        <v>3422</v>
      </c>
      <c r="B2941" s="185" t="s">
        <v>7401</v>
      </c>
      <c r="C2941" s="35" t="str">
        <f t="shared" si="315"/>
        <v>Naqib</v>
      </c>
      <c r="E2941" s="40"/>
      <c r="F2941" s="14"/>
      <c r="G2941" s="17"/>
      <c r="H2941" s="10" t="s">
        <v>8563</v>
      </c>
      <c r="I2941" s="4" t="str">
        <f t="shared" si="316"/>
        <v>|Naqíb|</v>
      </c>
      <c r="J2941" s="3" t="str">
        <f t="shared" si="317"/>
        <v>|Naqib|</v>
      </c>
      <c r="K2941" s="3" t="str">
        <f t="shared" si="318"/>
        <v>Naqib</v>
      </c>
      <c r="N2941" s="39" t="str">
        <f t="shared" si="319"/>
        <v/>
      </c>
      <c r="P2941" s="39" t="str">
        <f t="shared" si="320"/>
        <v/>
      </c>
      <c r="R2941" s="39" t="str">
        <f t="shared" si="321"/>
        <v/>
      </c>
      <c r="S2941" s="28"/>
      <c r="T2941" s="28"/>
      <c r="U2941" s="28"/>
    </row>
    <row r="2942" spans="1:21" s="5" customFormat="1">
      <c r="A2942" s="179" t="s">
        <v>3423</v>
      </c>
      <c r="B2942" s="185" t="s">
        <v>7402</v>
      </c>
      <c r="C2942" s="35" t="str">
        <f t="shared" si="315"/>
        <v>Naqid</v>
      </c>
      <c r="E2942" s="40"/>
      <c r="F2942" s="15"/>
      <c r="G2942" s="17"/>
      <c r="H2942" s="10" t="s">
        <v>8563</v>
      </c>
      <c r="I2942" s="4" t="str">
        <f t="shared" si="316"/>
        <v>|Náqiḍ|</v>
      </c>
      <c r="J2942" s="3" t="str">
        <f t="shared" si="317"/>
        <v>|Naqid|</v>
      </c>
      <c r="K2942" s="3" t="str">
        <f t="shared" si="318"/>
        <v>Naqid</v>
      </c>
      <c r="N2942" s="39" t="str">
        <f t="shared" si="319"/>
        <v/>
      </c>
      <c r="P2942" s="39" t="str">
        <f t="shared" si="320"/>
        <v/>
      </c>
      <c r="R2942" s="39" t="str">
        <f t="shared" si="321"/>
        <v/>
      </c>
      <c r="S2942" s="28"/>
      <c r="T2942" s="28"/>
      <c r="U2942" s="28"/>
    </row>
    <row r="2943" spans="1:21" s="5" customFormat="1">
      <c r="A2943" s="179" t="s">
        <v>3424</v>
      </c>
      <c r="B2943" s="185" t="s">
        <v>7403</v>
      </c>
      <c r="C2943" s="35" t="str">
        <f t="shared" si="315"/>
        <v>Naqidin</v>
      </c>
      <c r="E2943" s="40"/>
      <c r="F2943" s="14"/>
      <c r="G2943" s="17"/>
      <c r="H2943" s="10" t="s">
        <v>8563</v>
      </c>
      <c r="I2943" s="4" t="str">
        <f t="shared" si="316"/>
        <v>|Náqiḍín|</v>
      </c>
      <c r="J2943" s="3" t="str">
        <f t="shared" si="317"/>
        <v>|Naqidin|</v>
      </c>
      <c r="K2943" s="3" t="str">
        <f t="shared" si="318"/>
        <v>Naqidin</v>
      </c>
      <c r="N2943" s="39" t="str">
        <f t="shared" si="319"/>
        <v/>
      </c>
      <c r="P2943" s="39" t="str">
        <f t="shared" si="320"/>
        <v/>
      </c>
      <c r="R2943" s="39" t="str">
        <f t="shared" si="321"/>
        <v/>
      </c>
      <c r="S2943" s="28"/>
      <c r="T2943" s="28"/>
      <c r="U2943" s="28"/>
    </row>
    <row r="2944" spans="1:21" s="5" customFormat="1">
      <c r="A2944" s="179" t="s">
        <v>3425</v>
      </c>
      <c r="B2944" s="185" t="s">
        <v>7404</v>
      </c>
      <c r="C2944" s="35" t="str">
        <f t="shared" si="315"/>
        <v>NaqidulMithaq</v>
      </c>
      <c r="E2944" s="40"/>
      <c r="F2944" s="15" t="s">
        <v>3426</v>
      </c>
      <c r="G2944" s="17"/>
      <c r="H2944" s="10" t="s">
        <v>8563</v>
      </c>
      <c r="I2944" s="4" t="str">
        <f t="shared" si="316"/>
        <v>|Náqiḍu’l-Míáq|</v>
      </c>
      <c r="J2944" s="3" t="str">
        <f t="shared" si="317"/>
        <v>|Naqidu'l-Mithaq|</v>
      </c>
      <c r="K2944" s="3" t="str">
        <f t="shared" si="318"/>
        <v>Naqidul-Mithaq</v>
      </c>
      <c r="N2944" s="39" t="str">
        <f t="shared" si="319"/>
        <v/>
      </c>
      <c r="P2944" s="39" t="str">
        <f t="shared" si="320"/>
        <v/>
      </c>
      <c r="R2944" s="39" t="str">
        <f t="shared" si="321"/>
        <v/>
      </c>
      <c r="S2944" s="28"/>
      <c r="T2944" s="28"/>
      <c r="U2944" s="28"/>
    </row>
    <row r="2945" spans="1:21" s="5" customFormat="1">
      <c r="A2945" s="179" t="s">
        <v>3427</v>
      </c>
      <c r="B2945" s="185" t="s">
        <v>7405</v>
      </c>
      <c r="C2945" s="35" t="str">
        <f t="shared" si="315"/>
        <v>NaqqashBashi</v>
      </c>
      <c r="E2945" s="40"/>
      <c r="F2945" s="15"/>
      <c r="G2945" s="17"/>
      <c r="H2945" s="10" t="s">
        <v>8563</v>
      </c>
      <c r="I2945" s="4" t="str">
        <f t="shared" si="316"/>
        <v>|Naqqá-Báí|</v>
      </c>
      <c r="J2945" s="3" t="str">
        <f t="shared" si="317"/>
        <v>|Naqqash-Bashi|</v>
      </c>
      <c r="K2945" s="3" t="str">
        <f t="shared" si="318"/>
        <v>Naqqash-Bashi</v>
      </c>
      <c r="N2945" s="39" t="str">
        <f t="shared" si="319"/>
        <v/>
      </c>
      <c r="P2945" s="39" t="str">
        <f t="shared" si="320"/>
        <v/>
      </c>
      <c r="R2945" s="39" t="str">
        <f t="shared" si="321"/>
        <v/>
      </c>
      <c r="S2945" s="28"/>
      <c r="T2945" s="28"/>
      <c r="U2945" s="28"/>
    </row>
    <row r="2946" spans="1:21" s="5" customFormat="1">
      <c r="A2946" s="179" t="s">
        <v>3428</v>
      </c>
      <c r="B2946" s="185" t="s">
        <v>7406</v>
      </c>
      <c r="C2946" s="35" t="str">
        <f t="shared" ref="C2946:C3009" si="322">SUBSTITUTE(SUBSTITUTE(K2946,"-","")," ","")</f>
        <v>Naqshbandi</v>
      </c>
      <c r="E2946" s="40"/>
      <c r="F2946" s="15"/>
      <c r="G2946" s="17"/>
      <c r="H2946" s="10" t="s">
        <v>8563</v>
      </c>
      <c r="I2946" s="4" t="str">
        <f t="shared" ref="I2946:I3009" si="323">CONCATENATE("|",B2946,"|")</f>
        <v>|Naqbandí|</v>
      </c>
      <c r="J2946" s="3" t="str">
        <f t="shared" ref="J2946:J3009" si="324">CONCATENATE("|",F_OutputASCII(B2946),"|")</f>
        <v>|Naqshbandi|</v>
      </c>
      <c r="K2946" s="3" t="str">
        <f t="shared" ref="K2946:K3009" si="325">IF(SUBSTITUTE(MID(J2946,2,LEN(J2946)-2),"'","")&lt;&gt;"",SUBSTITUTE(MID(J2946,2,LEN(J2946)-2),"'",""),"ZZZZZ")</f>
        <v>Naqshbandi</v>
      </c>
      <c r="N2946" s="39" t="str">
        <f t="shared" si="319"/>
        <v/>
      </c>
      <c r="P2946" s="39" t="str">
        <f t="shared" si="320"/>
        <v/>
      </c>
      <c r="R2946" s="39" t="str">
        <f t="shared" si="321"/>
        <v/>
      </c>
      <c r="S2946" s="28"/>
      <c r="T2946" s="28"/>
      <c r="U2946" s="28"/>
    </row>
    <row r="2947" spans="1:21" s="5" customFormat="1">
      <c r="A2947" s="179" t="s">
        <v>3429</v>
      </c>
      <c r="B2947" s="185" t="s">
        <v>7407</v>
      </c>
      <c r="C2947" s="35" t="str">
        <f t="shared" si="322"/>
        <v>Naqshbandiyyih</v>
      </c>
      <c r="E2947" s="40"/>
      <c r="F2947" s="14"/>
      <c r="G2947" s="17"/>
      <c r="H2947" s="10" t="s">
        <v>8563</v>
      </c>
      <c r="I2947" s="4" t="str">
        <f t="shared" si="323"/>
        <v>|Naqbandíyyih|</v>
      </c>
      <c r="J2947" s="3" t="str">
        <f t="shared" si="324"/>
        <v>|Naqshbandiyyih|</v>
      </c>
      <c r="K2947" s="3" t="str">
        <f t="shared" si="325"/>
        <v>Naqshbandiyyih</v>
      </c>
      <c r="N2947" s="39" t="str">
        <f t="shared" ref="N2947:N3010" si="326">SUBSTITUTE(SUBSTITUTE(SUBSTITUTE(F_OutputASCII(M2947),"-","")," ",""),"'","")</f>
        <v/>
      </c>
      <c r="P2947" s="39" t="str">
        <f t="shared" ref="P2947:P3010" si="327">SUBSTITUTE(SUBSTITUTE(SUBSTITUTE(F_OutputASCII(O2947),"-","")," ",""),"'","")</f>
        <v/>
      </c>
      <c r="R2947" s="39" t="str">
        <f t="shared" ref="R2947:R3010" si="328">SUBSTITUTE(SUBSTITUTE(Q2947,"-","")," ","")</f>
        <v/>
      </c>
      <c r="S2947" s="28"/>
      <c r="T2947" s="28"/>
      <c r="U2947" s="28"/>
    </row>
    <row r="2948" spans="1:21" s="5" customFormat="1">
      <c r="A2948" s="179" t="s">
        <v>3430</v>
      </c>
      <c r="B2948" s="185" t="s">
        <v>7408</v>
      </c>
      <c r="C2948" s="35" t="str">
        <f t="shared" si="322"/>
        <v>NaqshiFil</v>
      </c>
      <c r="E2948" s="40"/>
      <c r="F2948" s="15" t="s">
        <v>3431</v>
      </c>
      <c r="G2948" s="17"/>
      <c r="H2948" s="10" t="s">
        <v>8563</v>
      </c>
      <c r="I2948" s="4" t="str">
        <f t="shared" si="323"/>
        <v>|Naq-i-Fíl|</v>
      </c>
      <c r="J2948" s="3" t="str">
        <f t="shared" si="324"/>
        <v>|Naqsh-i-Fil|</v>
      </c>
      <c r="K2948" s="3" t="str">
        <f t="shared" si="325"/>
        <v>Naqsh-i-Fil</v>
      </c>
      <c r="N2948" s="39" t="str">
        <f t="shared" si="326"/>
        <v/>
      </c>
      <c r="P2948" s="39" t="str">
        <f t="shared" si="327"/>
        <v/>
      </c>
      <c r="R2948" s="39" t="str">
        <f t="shared" si="328"/>
        <v/>
      </c>
      <c r="S2948" s="28"/>
      <c r="T2948" s="28"/>
      <c r="U2948" s="28"/>
    </row>
    <row r="2949" spans="1:21" s="5" customFormat="1">
      <c r="A2949" s="179" t="s">
        <v>3432</v>
      </c>
      <c r="B2949" s="185" t="s">
        <v>7409</v>
      </c>
      <c r="C2949" s="35" t="str">
        <f t="shared" si="322"/>
        <v>Nar</v>
      </c>
      <c r="E2949" s="40"/>
      <c r="F2949" s="15"/>
      <c r="G2949" s="17"/>
      <c r="H2949" s="10" t="s">
        <v>8563</v>
      </c>
      <c r="I2949" s="4" t="str">
        <f t="shared" si="323"/>
        <v>|Nár|</v>
      </c>
      <c r="J2949" s="3" t="str">
        <f t="shared" si="324"/>
        <v>|Nar|</v>
      </c>
      <c r="K2949" s="3" t="str">
        <f t="shared" si="325"/>
        <v>Nar</v>
      </c>
      <c r="N2949" s="39" t="str">
        <f t="shared" si="326"/>
        <v/>
      </c>
      <c r="P2949" s="39" t="str">
        <f t="shared" si="327"/>
        <v/>
      </c>
      <c r="R2949" s="39" t="str">
        <f t="shared" si="328"/>
        <v/>
      </c>
      <c r="S2949" s="28"/>
      <c r="T2949" s="28"/>
      <c r="U2949" s="28"/>
    </row>
    <row r="2950" spans="1:21" s="5" customFormat="1">
      <c r="A2950" s="179" t="s">
        <v>3433</v>
      </c>
      <c r="B2950" s="185" t="s">
        <v>7410</v>
      </c>
      <c r="C2950" s="35" t="str">
        <f t="shared" si="322"/>
        <v>Naraq</v>
      </c>
      <c r="E2950" s="40"/>
      <c r="F2950" s="14"/>
      <c r="G2950" s="17"/>
      <c r="H2950" s="10" t="s">
        <v>8563</v>
      </c>
      <c r="I2950" s="4" t="str">
        <f t="shared" si="323"/>
        <v>|Naráq|</v>
      </c>
      <c r="J2950" s="3" t="str">
        <f t="shared" si="324"/>
        <v>|Naraq|</v>
      </c>
      <c r="K2950" s="3" t="str">
        <f t="shared" si="325"/>
        <v>Naraq</v>
      </c>
      <c r="N2950" s="39" t="str">
        <f t="shared" si="326"/>
        <v/>
      </c>
      <c r="P2950" s="39" t="str">
        <f t="shared" si="327"/>
        <v/>
      </c>
      <c r="R2950" s="39" t="str">
        <f t="shared" si="328"/>
        <v/>
      </c>
      <c r="S2950" s="28"/>
      <c r="T2950" s="28"/>
      <c r="U2950" s="28"/>
    </row>
    <row r="2951" spans="1:21" s="5" customFormat="1">
      <c r="A2951" s="179" t="s">
        <v>3434</v>
      </c>
      <c r="B2951" s="185" t="s">
        <v>7411</v>
      </c>
      <c r="C2951" s="35" t="str">
        <f t="shared" si="322"/>
        <v>Naraqi</v>
      </c>
      <c r="E2951" s="40"/>
      <c r="F2951" s="14"/>
      <c r="G2951" s="17"/>
      <c r="H2951" s="10" t="s">
        <v>8563</v>
      </c>
      <c r="I2951" s="4" t="str">
        <f t="shared" si="323"/>
        <v>|Naráqí|</v>
      </c>
      <c r="J2951" s="3" t="str">
        <f t="shared" si="324"/>
        <v>|Naraqi|</v>
      </c>
      <c r="K2951" s="3" t="str">
        <f t="shared" si="325"/>
        <v>Naraqi</v>
      </c>
      <c r="N2951" s="39" t="str">
        <f t="shared" si="326"/>
        <v/>
      </c>
      <c r="P2951" s="39" t="str">
        <f t="shared" si="327"/>
        <v/>
      </c>
      <c r="R2951" s="39" t="str">
        <f t="shared" si="328"/>
        <v/>
      </c>
      <c r="S2951" s="28"/>
      <c r="T2951" s="28"/>
      <c r="U2951" s="28"/>
    </row>
    <row r="2952" spans="1:21" s="5" customFormat="1">
      <c r="A2952" s="179" t="s">
        <v>3435</v>
      </c>
      <c r="B2952" s="185" t="s">
        <v>7412</v>
      </c>
      <c r="C2952" s="35" t="str">
        <f t="shared" si="322"/>
        <v>NargisKhatun</v>
      </c>
      <c r="E2952" s="40"/>
      <c r="F2952" s="14"/>
      <c r="G2952" s="17"/>
      <c r="H2952" s="10" t="s">
        <v>8563</v>
      </c>
      <c r="I2952" s="4" t="str">
        <f t="shared" si="323"/>
        <v>|Nargis-átún|</v>
      </c>
      <c r="J2952" s="3" t="str">
        <f t="shared" si="324"/>
        <v>|Nargis-Khatun|</v>
      </c>
      <c r="K2952" s="3" t="str">
        <f t="shared" si="325"/>
        <v>Nargis-Khatun</v>
      </c>
      <c r="N2952" s="39" t="str">
        <f t="shared" si="326"/>
        <v/>
      </c>
      <c r="P2952" s="39" t="str">
        <f t="shared" si="327"/>
        <v/>
      </c>
      <c r="R2952" s="39" t="str">
        <f t="shared" si="328"/>
        <v/>
      </c>
      <c r="S2952" s="28"/>
      <c r="T2952" s="28"/>
      <c r="U2952" s="28"/>
    </row>
    <row r="2953" spans="1:21" s="5" customFormat="1">
      <c r="A2953" s="179" t="s">
        <v>3436</v>
      </c>
      <c r="B2953" s="185" t="s">
        <v>7413</v>
      </c>
      <c r="C2953" s="35" t="str">
        <f t="shared" si="322"/>
        <v>Nariman</v>
      </c>
      <c r="E2953" s="40"/>
      <c r="F2953" s="14"/>
      <c r="G2953" s="17"/>
      <c r="H2953" s="10" t="s">
        <v>8563</v>
      </c>
      <c r="I2953" s="4" t="str">
        <f t="shared" si="323"/>
        <v>|Narímán|</v>
      </c>
      <c r="J2953" s="3" t="str">
        <f t="shared" si="324"/>
        <v>|Nariman|</v>
      </c>
      <c r="K2953" s="3" t="str">
        <f t="shared" si="325"/>
        <v>Nariman</v>
      </c>
      <c r="N2953" s="39" t="str">
        <f t="shared" si="326"/>
        <v/>
      </c>
      <c r="P2953" s="39" t="str">
        <f t="shared" si="327"/>
        <v/>
      </c>
      <c r="R2953" s="39" t="str">
        <f t="shared" si="328"/>
        <v/>
      </c>
      <c r="S2953" s="28"/>
      <c r="T2953" s="28"/>
      <c r="U2953" s="28"/>
    </row>
    <row r="2954" spans="1:21" s="5" customFormat="1">
      <c r="A2954" s="179" t="s">
        <v>3437</v>
      </c>
      <c r="B2954" s="185" t="s">
        <v>7414</v>
      </c>
      <c r="C2954" s="35" t="str">
        <f t="shared" si="322"/>
        <v>Narin</v>
      </c>
      <c r="E2954" s="40"/>
      <c r="F2954" s="14"/>
      <c r="G2954" s="17"/>
      <c r="H2954" s="10" t="s">
        <v>8563</v>
      </c>
      <c r="I2954" s="4" t="str">
        <f t="shared" si="323"/>
        <v>|Narín|</v>
      </c>
      <c r="J2954" s="3" t="str">
        <f t="shared" si="324"/>
        <v>|Narin|</v>
      </c>
      <c r="K2954" s="3" t="str">
        <f t="shared" si="325"/>
        <v>Narin</v>
      </c>
      <c r="N2954" s="39" t="str">
        <f t="shared" si="326"/>
        <v/>
      </c>
      <c r="P2954" s="39" t="str">
        <f t="shared" si="327"/>
        <v/>
      </c>
      <c r="R2954" s="39" t="str">
        <f t="shared" si="328"/>
        <v/>
      </c>
      <c r="S2954" s="28"/>
      <c r="T2954" s="28"/>
      <c r="U2954" s="28"/>
    </row>
    <row r="2955" spans="1:21" s="5" customFormat="1">
      <c r="A2955" s="179" t="s">
        <v>3438</v>
      </c>
      <c r="B2955" s="185" t="s">
        <v>7415</v>
      </c>
      <c r="C2955" s="35" t="str">
        <f t="shared" si="322"/>
        <v>Nariz</v>
      </c>
      <c r="E2955" s="40"/>
      <c r="F2955" s="14"/>
      <c r="G2955" s="17"/>
      <c r="H2955" s="10" t="s">
        <v>8563</v>
      </c>
      <c r="I2955" s="4" t="str">
        <f t="shared" si="323"/>
        <v>|Náriz|</v>
      </c>
      <c r="J2955" s="3" t="str">
        <f t="shared" si="324"/>
        <v>|Nariz|</v>
      </c>
      <c r="K2955" s="3" t="str">
        <f t="shared" si="325"/>
        <v>Nariz</v>
      </c>
      <c r="N2955" s="39" t="str">
        <f t="shared" si="326"/>
        <v/>
      </c>
      <c r="P2955" s="39" t="str">
        <f t="shared" si="327"/>
        <v/>
      </c>
      <c r="R2955" s="39" t="str">
        <f t="shared" si="328"/>
        <v/>
      </c>
      <c r="S2955" s="28"/>
      <c r="T2955" s="28"/>
      <c r="U2955" s="28"/>
    </row>
    <row r="2956" spans="1:21" s="5" customFormat="1">
      <c r="A2956" s="181"/>
      <c r="B2956" s="185" t="s">
        <v>8636</v>
      </c>
      <c r="C2956" s="35" t="str">
        <f t="shared" si="322"/>
        <v>Nasara</v>
      </c>
      <c r="D2956" s="1"/>
      <c r="E2956" s="40"/>
      <c r="F2956" s="12"/>
      <c r="G2956" s="9"/>
      <c r="H2956" s="12" t="s">
        <v>8622</v>
      </c>
      <c r="I2956" s="4" t="str">
        <f t="shared" si="323"/>
        <v>|Naṣárá|</v>
      </c>
      <c r="J2956" s="3" t="str">
        <f t="shared" si="324"/>
        <v>|Nasara|</v>
      </c>
      <c r="K2956" s="3" t="str">
        <f t="shared" si="325"/>
        <v>Nasara</v>
      </c>
      <c r="N2956" s="39" t="str">
        <f t="shared" si="326"/>
        <v/>
      </c>
      <c r="P2956" s="39" t="str">
        <f t="shared" si="327"/>
        <v/>
      </c>
      <c r="R2956" s="39" t="str">
        <f t="shared" si="328"/>
        <v/>
      </c>
      <c r="S2956" s="29">
        <v>41760</v>
      </c>
      <c r="T2956" s="28"/>
      <c r="U2956" s="28"/>
    </row>
    <row r="2957" spans="1:21" s="5" customFormat="1">
      <c r="A2957" s="179" t="s">
        <v>3439</v>
      </c>
      <c r="B2957" s="185" t="s">
        <v>7416</v>
      </c>
      <c r="C2957" s="35" t="str">
        <f t="shared" si="322"/>
        <v>Nasi</v>
      </c>
      <c r="E2957" s="40"/>
      <c r="F2957" s="15" t="s">
        <v>3440</v>
      </c>
      <c r="G2957" s="17"/>
      <c r="H2957" s="10" t="s">
        <v>8563</v>
      </c>
      <c r="I2957" s="4" t="str">
        <f t="shared" si="323"/>
        <v>|Náṣi|</v>
      </c>
      <c r="J2957" s="3" t="str">
        <f t="shared" si="324"/>
        <v>|Nasi|</v>
      </c>
      <c r="K2957" s="3" t="str">
        <f t="shared" si="325"/>
        <v>Nasi</v>
      </c>
      <c r="N2957" s="39" t="str">
        <f t="shared" si="326"/>
        <v/>
      </c>
      <c r="P2957" s="39" t="str">
        <f t="shared" si="327"/>
        <v/>
      </c>
      <c r="R2957" s="39" t="str">
        <f t="shared" si="328"/>
        <v/>
      </c>
      <c r="S2957" s="28"/>
      <c r="T2957" s="28"/>
      <c r="U2957" s="28"/>
    </row>
    <row r="2958" spans="1:21" s="5" customFormat="1">
      <c r="A2958" s="179" t="s">
        <v>3441</v>
      </c>
      <c r="B2958" s="185" t="s">
        <v>7417</v>
      </c>
      <c r="C2958" s="35" t="str">
        <f t="shared" si="322"/>
        <v>Nasihat</v>
      </c>
      <c r="E2958" s="40"/>
      <c r="F2958" s="15"/>
      <c r="G2958" s="17"/>
      <c r="H2958" s="10" t="s">
        <v>8563</v>
      </c>
      <c r="I2958" s="4" t="str">
        <f t="shared" si="323"/>
        <v>|Naṣíḥat|</v>
      </c>
      <c r="J2958" s="3" t="str">
        <f t="shared" si="324"/>
        <v>|Nasihat|</v>
      </c>
      <c r="K2958" s="3" t="str">
        <f t="shared" si="325"/>
        <v>Nasihat</v>
      </c>
      <c r="N2958" s="39" t="str">
        <f t="shared" si="326"/>
        <v/>
      </c>
      <c r="P2958" s="39" t="str">
        <f t="shared" si="327"/>
        <v/>
      </c>
      <c r="R2958" s="39" t="str">
        <f t="shared" si="328"/>
        <v/>
      </c>
      <c r="S2958" s="28"/>
      <c r="T2958" s="28"/>
      <c r="U2958" s="28"/>
    </row>
    <row r="2959" spans="1:21" s="5" customFormat="1">
      <c r="A2959" s="179" t="s">
        <v>3442</v>
      </c>
      <c r="B2959" s="185" t="s">
        <v>7418</v>
      </c>
      <c r="C2959" s="35" t="str">
        <f t="shared" si="322"/>
        <v>Nasikh</v>
      </c>
      <c r="E2959" s="40"/>
      <c r="F2959" s="15"/>
      <c r="G2959" s="17"/>
      <c r="H2959" s="10" t="s">
        <v>8563</v>
      </c>
      <c r="I2959" s="4" t="str">
        <f t="shared" si="323"/>
        <v>|Nási|</v>
      </c>
      <c r="J2959" s="3" t="str">
        <f t="shared" si="324"/>
        <v>|Nasikh|</v>
      </c>
      <c r="K2959" s="3" t="str">
        <f t="shared" si="325"/>
        <v>Nasikh</v>
      </c>
      <c r="N2959" s="39" t="str">
        <f t="shared" si="326"/>
        <v/>
      </c>
      <c r="P2959" s="39" t="str">
        <f t="shared" si="327"/>
        <v/>
      </c>
      <c r="R2959" s="39" t="str">
        <f t="shared" si="328"/>
        <v/>
      </c>
      <c r="S2959" s="28"/>
      <c r="T2959" s="28"/>
      <c r="U2959" s="28"/>
    </row>
    <row r="2960" spans="1:21" s="5" customFormat="1">
      <c r="A2960" s="179" t="s">
        <v>3443</v>
      </c>
      <c r="B2960" s="185" t="s">
        <v>8615</v>
      </c>
      <c r="C2960" s="35" t="str">
        <f t="shared" si="322"/>
        <v>NasikhutTavarikh</v>
      </c>
      <c r="E2960" s="40"/>
      <c r="F2960" s="15"/>
      <c r="G2960" s="17"/>
      <c r="H2960" s="10" t="s">
        <v>8563</v>
      </c>
      <c r="I2960" s="4" t="str">
        <f t="shared" si="323"/>
        <v>|Násiu’t-Tavári|</v>
      </c>
      <c r="J2960" s="3" t="str">
        <f t="shared" si="324"/>
        <v>|Nasikhu't-Tavarikh|</v>
      </c>
      <c r="K2960" s="3" t="str">
        <f t="shared" si="325"/>
        <v>Nasikhut-Tavarikh</v>
      </c>
      <c r="N2960" s="39" t="str">
        <f t="shared" si="326"/>
        <v/>
      </c>
      <c r="P2960" s="39" t="str">
        <f t="shared" si="327"/>
        <v/>
      </c>
      <c r="R2960" s="39" t="str">
        <f t="shared" si="328"/>
        <v/>
      </c>
      <c r="S2960" s="28"/>
      <c r="T2960" s="28"/>
      <c r="U2960" s="28"/>
    </row>
    <row r="2961" spans="1:21" s="5" customFormat="1">
      <c r="A2961" s="179" t="s">
        <v>3444</v>
      </c>
      <c r="B2961" s="185" t="s">
        <v>7419</v>
      </c>
      <c r="C2961" s="35" t="str">
        <f t="shared" si="322"/>
        <v>Nasir</v>
      </c>
      <c r="E2961" s="40" t="s">
        <v>9115</v>
      </c>
      <c r="F2961" s="14"/>
      <c r="G2961" s="17"/>
      <c r="H2961" s="10" t="s">
        <v>8563</v>
      </c>
      <c r="I2961" s="4" t="str">
        <f t="shared" si="323"/>
        <v>|Naṣír|</v>
      </c>
      <c r="J2961" s="3" t="str">
        <f t="shared" si="324"/>
        <v>|Nasir|</v>
      </c>
      <c r="K2961" s="3" t="str">
        <f t="shared" si="325"/>
        <v>Nasir</v>
      </c>
      <c r="N2961" s="39" t="str">
        <f t="shared" si="326"/>
        <v/>
      </c>
      <c r="P2961" s="39" t="str">
        <f t="shared" si="327"/>
        <v/>
      </c>
      <c r="R2961" s="39" t="str">
        <f t="shared" si="328"/>
        <v/>
      </c>
      <c r="S2961" s="28"/>
      <c r="T2961" s="28"/>
      <c r="U2961" s="28"/>
    </row>
    <row r="2962" spans="1:21" s="5" customFormat="1">
      <c r="A2962" s="179" t="s">
        <v>3445</v>
      </c>
      <c r="B2962" s="185" t="s">
        <v>7420</v>
      </c>
      <c r="C2962" s="35" t="str">
        <f t="shared" si="322"/>
        <v>Nasir</v>
      </c>
      <c r="E2962" s="40" t="s">
        <v>9115</v>
      </c>
      <c r="F2962" s="14"/>
      <c r="G2962" s="17"/>
      <c r="H2962" s="10" t="s">
        <v>8563</v>
      </c>
      <c r="I2962" s="4" t="str">
        <f t="shared" si="323"/>
        <v>|Náṣir|</v>
      </c>
      <c r="J2962" s="3" t="str">
        <f t="shared" si="324"/>
        <v>|Nasir|</v>
      </c>
      <c r="K2962" s="3" t="str">
        <f t="shared" si="325"/>
        <v>Nasir</v>
      </c>
      <c r="N2962" s="39" t="str">
        <f t="shared" si="326"/>
        <v/>
      </c>
      <c r="P2962" s="39" t="str">
        <f t="shared" si="327"/>
        <v/>
      </c>
      <c r="R2962" s="39" t="str">
        <f t="shared" si="328"/>
        <v/>
      </c>
      <c r="S2962" s="28"/>
      <c r="T2962" s="28"/>
      <c r="U2962" s="28"/>
    </row>
    <row r="2963" spans="1:21" s="5" customFormat="1">
      <c r="A2963" s="179" t="s">
        <v>3446</v>
      </c>
      <c r="B2963" s="185" t="s">
        <v>7421</v>
      </c>
      <c r="C2963" s="35" t="str">
        <f t="shared" si="322"/>
        <v>Nasirabadi</v>
      </c>
      <c r="E2963" s="40"/>
      <c r="F2963" s="15"/>
      <c r="G2963" s="17"/>
      <c r="H2963" s="10" t="s">
        <v>8563</v>
      </c>
      <c r="I2963" s="4" t="str">
        <f t="shared" si="323"/>
        <v>|Naṣírábádí|</v>
      </c>
      <c r="J2963" s="3" t="str">
        <f t="shared" si="324"/>
        <v>|Nasirabadi|</v>
      </c>
      <c r="K2963" s="3" t="str">
        <f t="shared" si="325"/>
        <v>Nasirabadi</v>
      </c>
      <c r="N2963" s="39" t="str">
        <f t="shared" si="326"/>
        <v/>
      </c>
      <c r="P2963" s="39" t="str">
        <f t="shared" si="327"/>
        <v/>
      </c>
      <c r="R2963" s="39" t="str">
        <f t="shared" si="328"/>
        <v/>
      </c>
      <c r="S2963" s="28"/>
      <c r="T2963" s="28"/>
      <c r="U2963" s="28"/>
    </row>
    <row r="2964" spans="1:21" s="5" customFormat="1">
      <c r="A2964" s="179" t="s">
        <v>3447</v>
      </c>
      <c r="B2964" s="185" t="s">
        <v>7422</v>
      </c>
      <c r="C2964" s="35" t="str">
        <f t="shared" si="322"/>
        <v>Nasiri</v>
      </c>
      <c r="E2964" s="40"/>
      <c r="F2964" s="14"/>
      <c r="G2964" s="17"/>
      <c r="H2964" s="10" t="s">
        <v>8563</v>
      </c>
      <c r="I2964" s="4" t="str">
        <f t="shared" si="323"/>
        <v>|Náṣirí|</v>
      </c>
      <c r="J2964" s="3" t="str">
        <f t="shared" si="324"/>
        <v>|Nasiri|</v>
      </c>
      <c r="K2964" s="3" t="str">
        <f t="shared" si="325"/>
        <v>Nasiri</v>
      </c>
      <c r="N2964" s="39" t="str">
        <f t="shared" si="326"/>
        <v/>
      </c>
      <c r="P2964" s="39" t="str">
        <f t="shared" si="327"/>
        <v/>
      </c>
      <c r="R2964" s="39" t="str">
        <f t="shared" si="328"/>
        <v/>
      </c>
      <c r="S2964" s="28"/>
      <c r="T2964" s="28"/>
      <c r="U2964" s="28"/>
    </row>
    <row r="2965" spans="1:21" s="5" customFormat="1">
      <c r="A2965" s="179" t="s">
        <v>3448</v>
      </c>
      <c r="B2965" s="185" t="s">
        <v>7423</v>
      </c>
      <c r="C2965" s="35" t="str">
        <f t="shared" si="322"/>
        <v>NasiridDin</v>
      </c>
      <c r="E2965" s="40"/>
      <c r="F2965" s="14"/>
      <c r="G2965" s="17"/>
      <c r="H2965" s="10" t="s">
        <v>8563</v>
      </c>
      <c r="I2965" s="4" t="str">
        <f t="shared" si="323"/>
        <v>|Náṣiri’d-Dín|</v>
      </c>
      <c r="J2965" s="3" t="str">
        <f t="shared" si="324"/>
        <v>|Nasiri'd-Din|</v>
      </c>
      <c r="K2965" s="3" t="str">
        <f t="shared" si="325"/>
        <v>Nasirid-Din</v>
      </c>
      <c r="N2965" s="39" t="str">
        <f t="shared" si="326"/>
        <v/>
      </c>
      <c r="P2965" s="39" t="str">
        <f t="shared" si="327"/>
        <v/>
      </c>
      <c r="R2965" s="39" t="str">
        <f t="shared" si="328"/>
        <v/>
      </c>
      <c r="S2965" s="28"/>
      <c r="T2965" s="28"/>
      <c r="U2965" s="28"/>
    </row>
    <row r="2966" spans="1:21" s="5" customFormat="1">
      <c r="A2966" s="181"/>
      <c r="B2966" s="185" t="s">
        <v>35</v>
      </c>
      <c r="C2966" s="35" t="str">
        <f t="shared" si="322"/>
        <v>NasiridDinShah</v>
      </c>
      <c r="D2966" s="1"/>
      <c r="E2966" s="40"/>
      <c r="F2966" s="12"/>
      <c r="G2966" s="9"/>
      <c r="H2966" s="12"/>
      <c r="I2966" s="4" t="str">
        <f t="shared" si="323"/>
        <v>|Náṣiri’d-Dín áh|</v>
      </c>
      <c r="J2966" s="3" t="str">
        <f t="shared" si="324"/>
        <v>|Nasiri'd-Din Shah|</v>
      </c>
      <c r="K2966" s="3" t="str">
        <f t="shared" si="325"/>
        <v>Nasirid-Din Shah</v>
      </c>
      <c r="M2966" s="1"/>
      <c r="N2966" s="39" t="str">
        <f t="shared" si="326"/>
        <v/>
      </c>
      <c r="O2966" s="1"/>
      <c r="P2966" s="39" t="str">
        <f t="shared" si="327"/>
        <v/>
      </c>
      <c r="Q2966" s="1"/>
      <c r="R2966" s="39" t="str">
        <f t="shared" si="328"/>
        <v/>
      </c>
      <c r="S2966" s="28"/>
      <c r="T2966" s="29">
        <v>41781</v>
      </c>
      <c r="U2966" s="28" t="s">
        <v>9446</v>
      </c>
    </row>
    <row r="2967" spans="1:21" s="5" customFormat="1">
      <c r="A2967" s="179" t="s">
        <v>3449</v>
      </c>
      <c r="B2967" s="185" t="s">
        <v>7424</v>
      </c>
      <c r="C2967" s="35" t="str">
        <f t="shared" si="322"/>
        <v>NasiridDiniTusi</v>
      </c>
      <c r="E2967" s="40"/>
      <c r="F2967" s="15"/>
      <c r="G2967" s="17"/>
      <c r="H2967" s="10" t="s">
        <v>8563</v>
      </c>
      <c r="I2967" s="4" t="str">
        <f t="shared" si="323"/>
        <v>|Náṣiri’d-Dín-i-Ṭúsí|</v>
      </c>
      <c r="J2967" s="3" t="str">
        <f t="shared" si="324"/>
        <v>|Nasiri'd-Din-i-Tusi|</v>
      </c>
      <c r="K2967" s="3" t="str">
        <f t="shared" si="325"/>
        <v>Nasirid-Din-i-Tusi</v>
      </c>
      <c r="N2967" s="39" t="str">
        <f t="shared" si="326"/>
        <v/>
      </c>
      <c r="P2967" s="39" t="str">
        <f t="shared" si="327"/>
        <v/>
      </c>
      <c r="R2967" s="39" t="str">
        <f t="shared" si="328"/>
        <v/>
      </c>
      <c r="S2967" s="28"/>
      <c r="T2967" s="28"/>
      <c r="U2967" s="28"/>
    </row>
    <row r="2968" spans="1:21" s="5" customFormat="1">
      <c r="A2968" s="179" t="s">
        <v>3450</v>
      </c>
      <c r="B2968" s="185" t="s">
        <v>7425</v>
      </c>
      <c r="C2968" s="35" t="str">
        <f t="shared" si="322"/>
        <v>NasiridQazvini</v>
      </c>
      <c r="E2968" s="40"/>
      <c r="F2968" s="14"/>
      <c r="G2968" s="17"/>
      <c r="H2968" s="10" t="s">
        <v>8563</v>
      </c>
      <c r="I2968" s="4" t="str">
        <f t="shared" si="323"/>
        <v>|Náṣiri’d-Qazvíní|</v>
      </c>
      <c r="J2968" s="3" t="str">
        <f t="shared" si="324"/>
        <v>|Nasiri'd-Qazvini|</v>
      </c>
      <c r="K2968" s="3" t="str">
        <f t="shared" si="325"/>
        <v>Nasirid-Qazvini</v>
      </c>
      <c r="N2968" s="39" t="str">
        <f t="shared" si="326"/>
        <v/>
      </c>
      <c r="P2968" s="39" t="str">
        <f t="shared" si="327"/>
        <v/>
      </c>
      <c r="R2968" s="39" t="str">
        <f t="shared" si="328"/>
        <v/>
      </c>
      <c r="S2968" s="28"/>
      <c r="T2968" s="28"/>
      <c r="U2968" s="28"/>
    </row>
    <row r="2969" spans="1:21" s="5" customFormat="1">
      <c r="A2969" s="179" t="s">
        <v>3451</v>
      </c>
      <c r="B2969" s="185" t="s">
        <v>7426</v>
      </c>
      <c r="C2969" s="35" t="str">
        <f t="shared" si="322"/>
        <v>NasiriKabir</v>
      </c>
      <c r="E2969" s="40"/>
      <c r="F2969" s="15"/>
      <c r="G2969" s="17"/>
      <c r="H2969" s="10" t="s">
        <v>8563</v>
      </c>
      <c r="I2969" s="4" t="str">
        <f t="shared" si="323"/>
        <v>|Náṣir-i-Kabír|</v>
      </c>
      <c r="J2969" s="3" t="str">
        <f t="shared" si="324"/>
        <v>|Nasir-i-Kabir|</v>
      </c>
      <c r="K2969" s="3" t="str">
        <f t="shared" si="325"/>
        <v>Nasir-i-Kabir</v>
      </c>
      <c r="N2969" s="39" t="str">
        <f t="shared" si="326"/>
        <v/>
      </c>
      <c r="P2969" s="39" t="str">
        <f t="shared" si="327"/>
        <v/>
      </c>
      <c r="R2969" s="39" t="str">
        <f t="shared" si="328"/>
        <v/>
      </c>
      <c r="S2969" s="28"/>
      <c r="T2969" s="28"/>
      <c r="U2969" s="28"/>
    </row>
    <row r="2970" spans="1:21" s="5" customFormat="1">
      <c r="A2970" s="179" t="s">
        <v>3452</v>
      </c>
      <c r="B2970" s="185" t="s">
        <v>7427</v>
      </c>
      <c r="C2970" s="35" t="str">
        <f t="shared" si="322"/>
        <v>NasiriQazvini</v>
      </c>
      <c r="E2970" s="40"/>
      <c r="F2970" s="15"/>
      <c r="G2970" s="17"/>
      <c r="H2970" s="10" t="s">
        <v>8563</v>
      </c>
      <c r="I2970" s="4" t="str">
        <f t="shared" si="323"/>
        <v>|Náṣir-i-Qazvíní|</v>
      </c>
      <c r="J2970" s="3" t="str">
        <f t="shared" si="324"/>
        <v>|Nasir-i-Qazvini|</v>
      </c>
      <c r="K2970" s="3" t="str">
        <f t="shared" si="325"/>
        <v>Nasir-i-Qazvini</v>
      </c>
      <c r="N2970" s="39" t="str">
        <f t="shared" si="326"/>
        <v/>
      </c>
      <c r="P2970" s="39" t="str">
        <f t="shared" si="327"/>
        <v/>
      </c>
      <c r="R2970" s="39" t="str">
        <f t="shared" si="328"/>
        <v/>
      </c>
      <c r="S2970" s="28"/>
      <c r="T2970" s="28"/>
      <c r="U2970" s="28"/>
    </row>
    <row r="2971" spans="1:21" s="5" customFormat="1">
      <c r="A2971" s="179" t="s">
        <v>3453</v>
      </c>
      <c r="B2971" s="185" t="s">
        <v>7428</v>
      </c>
      <c r="C2971" s="35" t="str">
        <f t="shared" si="322"/>
        <v>NasirQuli</v>
      </c>
      <c r="E2971" s="40"/>
      <c r="F2971" s="15"/>
      <c r="G2971" s="17"/>
      <c r="H2971" s="10" t="s">
        <v>8563</v>
      </c>
      <c r="I2971" s="4" t="str">
        <f t="shared" si="323"/>
        <v>|Náṣir-Qulí|</v>
      </c>
      <c r="J2971" s="3" t="str">
        <f t="shared" si="324"/>
        <v>|Nasir-Quli|</v>
      </c>
      <c r="K2971" s="3" t="str">
        <f t="shared" si="325"/>
        <v>Nasir-Quli</v>
      </c>
      <c r="N2971" s="39" t="str">
        <f t="shared" si="326"/>
        <v/>
      </c>
      <c r="P2971" s="39" t="str">
        <f t="shared" si="327"/>
        <v/>
      </c>
      <c r="R2971" s="39" t="str">
        <f t="shared" si="328"/>
        <v/>
      </c>
      <c r="S2971" s="28"/>
      <c r="T2971" s="28"/>
      <c r="U2971" s="28"/>
    </row>
    <row r="2972" spans="1:21" s="5" customFormat="1">
      <c r="A2972" s="179" t="s">
        <v>3454</v>
      </c>
      <c r="B2972" s="185" t="s">
        <v>7429</v>
      </c>
      <c r="C2972" s="35" t="str">
        <f t="shared" si="322"/>
        <v>Nasr</v>
      </c>
      <c r="E2972" s="40"/>
      <c r="F2972" s="15"/>
      <c r="G2972" s="17"/>
      <c r="H2972" s="10" t="s">
        <v>8563</v>
      </c>
      <c r="I2972" s="4" t="str">
        <f t="shared" si="323"/>
        <v>|Naṣr|</v>
      </c>
      <c r="J2972" s="3" t="str">
        <f t="shared" si="324"/>
        <v>|Nasr|</v>
      </c>
      <c r="K2972" s="3" t="str">
        <f t="shared" si="325"/>
        <v>Nasr</v>
      </c>
      <c r="N2972" s="39" t="str">
        <f t="shared" si="326"/>
        <v/>
      </c>
      <c r="P2972" s="39" t="str">
        <f t="shared" si="327"/>
        <v/>
      </c>
      <c r="R2972" s="39" t="str">
        <f t="shared" si="328"/>
        <v/>
      </c>
      <c r="S2972" s="28"/>
      <c r="T2972" s="28"/>
      <c r="U2972" s="28"/>
    </row>
    <row r="2973" spans="1:21" s="5" customFormat="1">
      <c r="A2973" s="179" t="s">
        <v>3455</v>
      </c>
      <c r="B2973" s="185" t="s">
        <v>7430</v>
      </c>
      <c r="C2973" s="35" t="str">
        <f t="shared" si="322"/>
        <v>Nasrullah</v>
      </c>
      <c r="E2973" s="40"/>
      <c r="F2973" s="15" t="s">
        <v>1557</v>
      </c>
      <c r="G2973" s="17"/>
      <c r="H2973" s="10" t="s">
        <v>8563</v>
      </c>
      <c r="I2973" s="4" t="str">
        <f t="shared" si="323"/>
        <v>|Naṣru’lláh|</v>
      </c>
      <c r="J2973" s="3" t="str">
        <f t="shared" si="324"/>
        <v>|Nasru'llah|</v>
      </c>
      <c r="K2973" s="3" t="str">
        <f t="shared" si="325"/>
        <v>Nasrullah</v>
      </c>
      <c r="N2973" s="39" t="str">
        <f t="shared" si="326"/>
        <v/>
      </c>
      <c r="P2973" s="39" t="str">
        <f t="shared" si="327"/>
        <v/>
      </c>
      <c r="R2973" s="39" t="str">
        <f t="shared" si="328"/>
        <v/>
      </c>
      <c r="S2973" s="28"/>
      <c r="T2973" s="28"/>
      <c r="U2973" s="28"/>
    </row>
    <row r="2974" spans="1:21" s="5" customFormat="1">
      <c r="A2974" s="179" t="s">
        <v>3456</v>
      </c>
      <c r="B2974" s="185" t="s">
        <v>7431</v>
      </c>
      <c r="C2974" s="35" t="str">
        <f t="shared" si="322"/>
        <v>NasrulMulk</v>
      </c>
      <c r="E2974" s="40"/>
      <c r="F2974" s="15" t="s">
        <v>8595</v>
      </c>
      <c r="G2974" s="17"/>
      <c r="H2974" s="10" t="s">
        <v>8563</v>
      </c>
      <c r="I2974" s="4" t="str">
        <f t="shared" si="323"/>
        <v>|Naṣru’l-Mulk|</v>
      </c>
      <c r="J2974" s="3" t="str">
        <f t="shared" si="324"/>
        <v>|Nasru'l-Mulk|</v>
      </c>
      <c r="K2974" s="3" t="str">
        <f t="shared" si="325"/>
        <v>Nasrul-Mulk</v>
      </c>
      <c r="N2974" s="39" t="str">
        <f t="shared" si="326"/>
        <v/>
      </c>
      <c r="P2974" s="39" t="str">
        <f t="shared" si="327"/>
        <v/>
      </c>
      <c r="R2974" s="39" t="str">
        <f t="shared" si="328"/>
        <v/>
      </c>
      <c r="S2974" s="28"/>
      <c r="T2974" s="28"/>
      <c r="U2974" s="28"/>
    </row>
    <row r="2975" spans="1:21" s="5" customFormat="1">
      <c r="A2975" s="179" t="s">
        <v>3457</v>
      </c>
      <c r="B2975" s="185" t="s">
        <v>7432</v>
      </c>
      <c r="C2975" s="35" t="str">
        <f t="shared" si="322"/>
        <v>Nass</v>
      </c>
      <c r="E2975" s="40"/>
      <c r="F2975" s="15"/>
      <c r="G2975" s="17"/>
      <c r="H2975" s="10" t="s">
        <v>8563</v>
      </c>
      <c r="I2975" s="4" t="str">
        <f t="shared" si="323"/>
        <v>|Naṣṣ|</v>
      </c>
      <c r="J2975" s="3" t="str">
        <f t="shared" si="324"/>
        <v>|Nass|</v>
      </c>
      <c r="K2975" s="3" t="str">
        <f t="shared" si="325"/>
        <v>Nass</v>
      </c>
      <c r="N2975" s="39" t="str">
        <f t="shared" si="326"/>
        <v/>
      </c>
      <c r="P2975" s="39" t="str">
        <f t="shared" si="327"/>
        <v/>
      </c>
      <c r="R2975" s="39" t="str">
        <f t="shared" si="328"/>
        <v/>
      </c>
      <c r="S2975" s="28"/>
      <c r="T2975" s="28"/>
      <c r="U2975" s="28"/>
    </row>
    <row r="2976" spans="1:21" s="5" customFormat="1">
      <c r="A2976" s="179" t="s">
        <v>3458</v>
      </c>
      <c r="B2976" s="185" t="s">
        <v>7433</v>
      </c>
      <c r="C2976" s="35" t="str">
        <f t="shared" si="322"/>
        <v>Nastaliq</v>
      </c>
      <c r="E2976" s="40"/>
      <c r="F2976" s="15" t="s">
        <v>3459</v>
      </c>
      <c r="G2976" s="17"/>
      <c r="H2976" s="10" t="s">
        <v>8563</v>
      </c>
      <c r="I2976" s="4" t="str">
        <f t="shared" si="323"/>
        <v>|Nastaʿlíq|</v>
      </c>
      <c r="J2976" s="3" t="str">
        <f t="shared" si="324"/>
        <v>|Nasta'liq|</v>
      </c>
      <c r="K2976" s="3" t="str">
        <f t="shared" si="325"/>
        <v>Nastaliq</v>
      </c>
      <c r="N2976" s="39" t="str">
        <f t="shared" si="326"/>
        <v/>
      </c>
      <c r="P2976" s="39" t="str">
        <f t="shared" si="327"/>
        <v/>
      </c>
      <c r="R2976" s="39" t="str">
        <f t="shared" si="328"/>
        <v/>
      </c>
      <c r="S2976" s="28"/>
      <c r="T2976" s="28"/>
      <c r="U2976" s="28"/>
    </row>
    <row r="2977" spans="1:21" s="5" customFormat="1">
      <c r="A2977" s="179" t="s">
        <v>3460</v>
      </c>
      <c r="B2977" s="185" t="s">
        <v>7434</v>
      </c>
      <c r="C2977" s="35" t="str">
        <f t="shared" si="322"/>
        <v>Nasut</v>
      </c>
      <c r="E2977" s="40"/>
      <c r="F2977" s="14"/>
      <c r="G2977" s="17"/>
      <c r="H2977" s="10" t="s">
        <v>8563</v>
      </c>
      <c r="I2977" s="4" t="str">
        <f t="shared" si="323"/>
        <v>|Násút|</v>
      </c>
      <c r="J2977" s="3" t="str">
        <f t="shared" si="324"/>
        <v>|Nasut|</v>
      </c>
      <c r="K2977" s="3" t="str">
        <f t="shared" si="325"/>
        <v>Nasut</v>
      </c>
      <c r="N2977" s="39" t="str">
        <f t="shared" si="326"/>
        <v/>
      </c>
      <c r="P2977" s="39" t="str">
        <f t="shared" si="327"/>
        <v/>
      </c>
      <c r="R2977" s="39" t="str">
        <f t="shared" si="328"/>
        <v/>
      </c>
      <c r="S2977" s="28"/>
      <c r="T2977" s="28"/>
      <c r="U2977" s="28"/>
    </row>
    <row r="2978" spans="1:21" s="5" customFormat="1">
      <c r="A2978" s="179" t="s">
        <v>3461</v>
      </c>
      <c r="B2978" s="185" t="s">
        <v>7435</v>
      </c>
      <c r="C2978" s="35" t="str">
        <f t="shared" si="322"/>
        <v>Natiqih</v>
      </c>
      <c r="E2978" s="40"/>
      <c r="F2978" s="15" t="s">
        <v>3462</v>
      </c>
      <c r="G2978" s="17"/>
      <c r="H2978" s="10" t="s">
        <v>8563</v>
      </c>
      <c r="I2978" s="4" t="str">
        <f t="shared" si="323"/>
        <v>|Náṭiqih|</v>
      </c>
      <c r="J2978" s="3" t="str">
        <f t="shared" si="324"/>
        <v>|Natiqih|</v>
      </c>
      <c r="K2978" s="3" t="str">
        <f t="shared" si="325"/>
        <v>Natiqih</v>
      </c>
      <c r="N2978" s="39" t="str">
        <f t="shared" si="326"/>
        <v/>
      </c>
      <c r="P2978" s="39" t="str">
        <f t="shared" si="327"/>
        <v/>
      </c>
      <c r="R2978" s="39" t="str">
        <f t="shared" si="328"/>
        <v/>
      </c>
      <c r="S2978" s="28"/>
      <c r="T2978" s="28"/>
      <c r="U2978" s="28"/>
    </row>
    <row r="2979" spans="1:21" s="5" customFormat="1">
      <c r="A2979" s="179" t="s">
        <v>3463</v>
      </c>
      <c r="B2979" s="185" t="s">
        <v>7436</v>
      </c>
      <c r="C2979" s="35" t="str">
        <f t="shared" si="322"/>
        <v>Navid</v>
      </c>
      <c r="E2979" s="40"/>
      <c r="F2979" s="14"/>
      <c r="G2979" s="17"/>
      <c r="H2979" s="10" t="s">
        <v>8563</v>
      </c>
      <c r="I2979" s="4" t="str">
        <f t="shared" si="323"/>
        <v>|Navíd|</v>
      </c>
      <c r="J2979" s="3" t="str">
        <f t="shared" si="324"/>
        <v>|Navid|</v>
      </c>
      <c r="K2979" s="3" t="str">
        <f t="shared" si="325"/>
        <v>Navid</v>
      </c>
      <c r="N2979" s="39" t="str">
        <f t="shared" si="326"/>
        <v/>
      </c>
      <c r="P2979" s="39" t="str">
        <f t="shared" si="327"/>
        <v/>
      </c>
      <c r="R2979" s="39" t="str">
        <f t="shared" si="328"/>
        <v/>
      </c>
      <c r="S2979" s="28"/>
      <c r="T2979" s="28"/>
      <c r="U2979" s="28"/>
    </row>
    <row r="2980" spans="1:21" s="5" customFormat="1">
      <c r="A2980" s="179" t="s">
        <v>3464</v>
      </c>
      <c r="B2980" s="185" t="s">
        <v>7437</v>
      </c>
      <c r="C2980" s="35" t="str">
        <f t="shared" si="322"/>
        <v>Navvab</v>
      </c>
      <c r="E2980" s="40"/>
      <c r="F2980" s="14"/>
      <c r="G2980" s="17"/>
      <c r="H2980" s="10" t="s">
        <v>8563</v>
      </c>
      <c r="I2980" s="4" t="str">
        <f t="shared" si="323"/>
        <v>|Navváb|</v>
      </c>
      <c r="J2980" s="3" t="str">
        <f t="shared" si="324"/>
        <v>|Navvab|</v>
      </c>
      <c r="K2980" s="3" t="str">
        <f t="shared" si="325"/>
        <v>Navvab</v>
      </c>
      <c r="N2980" s="39" t="str">
        <f t="shared" si="326"/>
        <v/>
      </c>
      <c r="P2980" s="39" t="str">
        <f t="shared" si="327"/>
        <v/>
      </c>
      <c r="R2980" s="39" t="str">
        <f t="shared" si="328"/>
        <v/>
      </c>
      <c r="S2980" s="28"/>
      <c r="T2980" s="28"/>
      <c r="U2980" s="28"/>
    </row>
    <row r="2981" spans="1:21" s="5" customFormat="1">
      <c r="A2981" s="179" t="s">
        <v>3465</v>
      </c>
      <c r="B2981" s="185" t="s">
        <v>7438</v>
      </c>
      <c r="C2981" s="35" t="str">
        <f t="shared" si="322"/>
        <v>NavvabiRadavi</v>
      </c>
      <c r="E2981" s="40"/>
      <c r="F2981" s="14"/>
      <c r="G2981" s="17"/>
      <c r="H2981" s="10" t="s">
        <v>8563</v>
      </c>
      <c r="I2981" s="4" t="str">
        <f t="shared" si="323"/>
        <v>|Navváb-i-Raḍaví|</v>
      </c>
      <c r="J2981" s="3" t="str">
        <f t="shared" si="324"/>
        <v>|Navvab-i-Radavi|</v>
      </c>
      <c r="K2981" s="3" t="str">
        <f t="shared" si="325"/>
        <v>Navvab-i-Radavi</v>
      </c>
      <c r="N2981" s="39" t="str">
        <f t="shared" si="326"/>
        <v/>
      </c>
      <c r="P2981" s="39" t="str">
        <f t="shared" si="327"/>
        <v/>
      </c>
      <c r="R2981" s="39" t="str">
        <f t="shared" si="328"/>
        <v/>
      </c>
      <c r="S2981" s="28"/>
      <c r="T2981" s="28"/>
      <c r="U2981" s="28"/>
    </row>
    <row r="2982" spans="1:21" s="5" customFormat="1">
      <c r="A2982" s="179" t="s">
        <v>3466</v>
      </c>
      <c r="B2982" s="185" t="s">
        <v>7439</v>
      </c>
      <c r="C2982" s="35" t="str">
        <f t="shared" si="322"/>
        <v>Naw</v>
      </c>
      <c r="E2982" s="40"/>
      <c r="F2982" s="14"/>
      <c r="G2982" s="17"/>
      <c r="H2982" s="10" t="s">
        <v>8563</v>
      </c>
      <c r="I2982" s="4" t="str">
        <f t="shared" si="323"/>
        <v>|Naw|</v>
      </c>
      <c r="J2982" s="3" t="str">
        <f t="shared" si="324"/>
        <v>|Naw|</v>
      </c>
      <c r="K2982" s="3" t="str">
        <f t="shared" si="325"/>
        <v>Naw</v>
      </c>
      <c r="N2982" s="39" t="str">
        <f t="shared" si="326"/>
        <v/>
      </c>
      <c r="P2982" s="39" t="str">
        <f t="shared" si="327"/>
        <v/>
      </c>
      <c r="R2982" s="39" t="str">
        <f t="shared" si="328"/>
        <v/>
      </c>
      <c r="S2982" s="28"/>
      <c r="T2982" s="28"/>
      <c r="U2982" s="28"/>
    </row>
    <row r="2983" spans="1:21" s="5" customFormat="1">
      <c r="A2983" s="179" t="s">
        <v>3467</v>
      </c>
      <c r="B2983" s="185" t="s">
        <v>7440</v>
      </c>
      <c r="C2983" s="35" t="str">
        <f t="shared" si="322"/>
        <v>NawBakhti</v>
      </c>
      <c r="E2983" s="40"/>
      <c r="F2983" s="14"/>
      <c r="G2983" s="17"/>
      <c r="H2983" s="10" t="s">
        <v>8563</v>
      </c>
      <c r="I2983" s="4" t="str">
        <f t="shared" si="323"/>
        <v>|Naw-Batí|</v>
      </c>
      <c r="J2983" s="3" t="str">
        <f t="shared" si="324"/>
        <v>|Naw-Bakhti|</v>
      </c>
      <c r="K2983" s="3" t="str">
        <f t="shared" si="325"/>
        <v>Naw-Bakhti</v>
      </c>
      <c r="N2983" s="39" t="str">
        <f t="shared" si="326"/>
        <v/>
      </c>
      <c r="P2983" s="39" t="str">
        <f t="shared" si="327"/>
        <v/>
      </c>
      <c r="R2983" s="39" t="str">
        <f t="shared" si="328"/>
        <v/>
      </c>
      <c r="S2983" s="28"/>
      <c r="T2983" s="28"/>
      <c r="U2983" s="28"/>
    </row>
    <row r="2984" spans="1:21" s="5" customFormat="1">
      <c r="A2984" s="179" t="s">
        <v>3469</v>
      </c>
      <c r="B2984" s="185" t="s">
        <v>7442</v>
      </c>
      <c r="C2984" s="35" t="str">
        <f t="shared" si="322"/>
        <v>NawRuz</v>
      </c>
      <c r="E2984" s="40"/>
      <c r="F2984" s="14" t="s">
        <v>3470</v>
      </c>
      <c r="G2984" s="17"/>
      <c r="H2984" s="10" t="s">
        <v>8563</v>
      </c>
      <c r="I2984" s="4" t="str">
        <f t="shared" si="323"/>
        <v>|Naw-Rúz|</v>
      </c>
      <c r="J2984" s="3" t="str">
        <f t="shared" si="324"/>
        <v>|Naw-Ruz|</v>
      </c>
      <c r="K2984" s="3" t="str">
        <f t="shared" si="325"/>
        <v>Naw-Ruz</v>
      </c>
      <c r="N2984" s="39" t="str">
        <f t="shared" si="326"/>
        <v/>
      </c>
      <c r="P2984" s="39" t="str">
        <f t="shared" si="327"/>
        <v/>
      </c>
      <c r="R2984" s="39" t="str">
        <f t="shared" si="328"/>
        <v/>
      </c>
      <c r="S2984" s="28"/>
      <c r="T2984" s="29">
        <v>41801</v>
      </c>
      <c r="U2984" s="28" t="s">
        <v>9442</v>
      </c>
    </row>
    <row r="2985" spans="1:21" s="5" customFormat="1">
      <c r="A2985" s="179" t="s">
        <v>3471</v>
      </c>
      <c r="B2985" s="185" t="s">
        <v>7443</v>
      </c>
      <c r="C2985" s="35" t="str">
        <f t="shared" si="322"/>
        <v>NawRuzAli</v>
      </c>
      <c r="E2985" s="40"/>
      <c r="F2985" s="14"/>
      <c r="G2985" s="17"/>
      <c r="H2985" s="10" t="s">
        <v>8563</v>
      </c>
      <c r="I2985" s="4" t="str">
        <f t="shared" si="323"/>
        <v>|Naw-Rúz-ʿAlí|</v>
      </c>
      <c r="J2985" s="3" t="str">
        <f t="shared" si="324"/>
        <v>|Naw-Ruz-'Ali|</v>
      </c>
      <c r="K2985" s="3" t="str">
        <f t="shared" si="325"/>
        <v>Naw-Ruz-Ali</v>
      </c>
      <c r="N2985" s="39" t="str">
        <f t="shared" si="326"/>
        <v/>
      </c>
      <c r="P2985" s="39" t="str">
        <f t="shared" si="327"/>
        <v/>
      </c>
      <c r="R2985" s="39" t="str">
        <f t="shared" si="328"/>
        <v/>
      </c>
      <c r="S2985" s="28"/>
      <c r="T2985" s="28"/>
      <c r="U2985" s="28"/>
    </row>
    <row r="2986" spans="1:21" s="5" customFormat="1">
      <c r="A2986" s="179" t="s">
        <v>3472</v>
      </c>
      <c r="B2986" s="185" t="s">
        <v>7444</v>
      </c>
      <c r="C2986" s="35" t="str">
        <f t="shared" si="322"/>
        <v>NawruziIranzad</v>
      </c>
      <c r="E2986" s="40"/>
      <c r="F2986" s="15"/>
      <c r="G2986" s="17"/>
      <c r="H2986" s="10" t="s">
        <v>8563</v>
      </c>
      <c r="I2986" s="4" t="str">
        <f t="shared" si="323"/>
        <v>|Nawrúzí-Íránzád|</v>
      </c>
      <c r="J2986" s="3" t="str">
        <f t="shared" si="324"/>
        <v>|Nawruzi-Iranzad|</v>
      </c>
      <c r="K2986" s="3" t="str">
        <f t="shared" si="325"/>
        <v>Nawruzi-Iranzad</v>
      </c>
      <c r="N2986" s="39" t="str">
        <f t="shared" si="326"/>
        <v/>
      </c>
      <c r="P2986" s="39" t="str">
        <f t="shared" si="327"/>
        <v/>
      </c>
      <c r="R2986" s="39" t="str">
        <f t="shared" si="328"/>
        <v/>
      </c>
      <c r="S2986" s="28"/>
      <c r="T2986" s="28"/>
      <c r="U2986" s="28"/>
    </row>
    <row r="2987" spans="1:21" s="5" customFormat="1">
      <c r="A2987" s="179" t="s">
        <v>3473</v>
      </c>
      <c r="B2987" s="185" t="s">
        <v>7445</v>
      </c>
      <c r="C2987" s="35" t="str">
        <f t="shared" si="322"/>
        <v>NayibusSaltanih</v>
      </c>
      <c r="E2987" s="40"/>
      <c r="F2987" s="15"/>
      <c r="G2987" s="17"/>
      <c r="H2987" s="10" t="s">
        <v>8563</v>
      </c>
      <c r="I2987" s="4" t="str">
        <f t="shared" si="323"/>
        <v>|Náyibu’s-Salṭanih|</v>
      </c>
      <c r="J2987" s="3" t="str">
        <f t="shared" si="324"/>
        <v>|Nayibu's-Saltanih|</v>
      </c>
      <c r="K2987" s="3" t="str">
        <f t="shared" si="325"/>
        <v>Nayibus-Saltanih</v>
      </c>
      <c r="N2987" s="39" t="str">
        <f t="shared" si="326"/>
        <v/>
      </c>
      <c r="P2987" s="39" t="str">
        <f t="shared" si="327"/>
        <v/>
      </c>
      <c r="R2987" s="39" t="str">
        <f t="shared" si="328"/>
        <v/>
      </c>
      <c r="S2987" s="28"/>
      <c r="T2987" s="28"/>
      <c r="U2987" s="28"/>
    </row>
    <row r="2988" spans="1:21" s="5" customFormat="1">
      <c r="A2988" s="179" t="s">
        <v>3393</v>
      </c>
      <c r="B2988" s="185" t="s">
        <v>7446</v>
      </c>
      <c r="C2988" s="35" t="str">
        <f t="shared" si="322"/>
        <v>Nayin</v>
      </c>
      <c r="E2988" s="40"/>
      <c r="F2988" s="15"/>
      <c r="G2988" s="17"/>
      <c r="H2988" s="10" t="s">
        <v>8563</v>
      </c>
      <c r="I2988" s="4" t="str">
        <f t="shared" si="323"/>
        <v>|Náyin|</v>
      </c>
      <c r="J2988" s="3" t="str">
        <f t="shared" si="324"/>
        <v>|Nayin|</v>
      </c>
      <c r="K2988" s="3" t="str">
        <f t="shared" si="325"/>
        <v>Nayin</v>
      </c>
      <c r="N2988" s="39" t="str">
        <f t="shared" si="326"/>
        <v/>
      </c>
      <c r="P2988" s="39" t="str">
        <f t="shared" si="327"/>
        <v/>
      </c>
      <c r="R2988" s="39" t="str">
        <f t="shared" si="328"/>
        <v/>
      </c>
      <c r="S2988" s="28"/>
      <c r="T2988" s="28"/>
      <c r="U2988" s="28"/>
    </row>
    <row r="2989" spans="1:21" s="5" customFormat="1">
      <c r="A2989" s="179" t="s">
        <v>3474</v>
      </c>
      <c r="B2989" s="185" t="s">
        <v>36</v>
      </c>
      <c r="C2989" s="35" t="str">
        <f t="shared" si="322"/>
        <v>Nayriz</v>
      </c>
      <c r="E2989" s="40"/>
      <c r="F2989" s="14"/>
      <c r="G2989" s="17"/>
      <c r="H2989" s="10" t="s">
        <v>8563</v>
      </c>
      <c r="I2989" s="4" t="str">
        <f t="shared" si="323"/>
        <v>|Nayríz|</v>
      </c>
      <c r="J2989" s="3" t="str">
        <f t="shared" si="324"/>
        <v>|Nayriz|</v>
      </c>
      <c r="K2989" s="3" t="str">
        <f t="shared" si="325"/>
        <v>Nayriz</v>
      </c>
      <c r="N2989" s="39" t="str">
        <f t="shared" si="326"/>
        <v/>
      </c>
      <c r="P2989" s="39" t="str">
        <f t="shared" si="327"/>
        <v/>
      </c>
      <c r="R2989" s="39" t="str">
        <f t="shared" si="328"/>
        <v/>
      </c>
      <c r="S2989" s="28"/>
      <c r="T2989" s="29">
        <v>41781</v>
      </c>
      <c r="U2989" s="28" t="s">
        <v>9446</v>
      </c>
    </row>
    <row r="2990" spans="1:21" s="5" customFormat="1">
      <c r="A2990" s="179" t="s">
        <v>3475</v>
      </c>
      <c r="B2990" s="185" t="s">
        <v>7447</v>
      </c>
      <c r="C2990" s="35" t="str">
        <f t="shared" si="322"/>
        <v>Nayrizi</v>
      </c>
      <c r="E2990" s="40"/>
      <c r="F2990" s="14"/>
      <c r="G2990" s="17"/>
      <c r="H2990" s="10" t="s">
        <v>8563</v>
      </c>
      <c r="I2990" s="4" t="str">
        <f t="shared" si="323"/>
        <v>|Nayrízí|</v>
      </c>
      <c r="J2990" s="3" t="str">
        <f t="shared" si="324"/>
        <v>|Nayrizi|</v>
      </c>
      <c r="K2990" s="3" t="str">
        <f t="shared" si="325"/>
        <v>Nayrizi</v>
      </c>
      <c r="N2990" s="39" t="str">
        <f t="shared" si="326"/>
        <v/>
      </c>
      <c r="P2990" s="39" t="str">
        <f t="shared" si="327"/>
        <v/>
      </c>
      <c r="R2990" s="39" t="str">
        <f t="shared" si="328"/>
        <v/>
      </c>
      <c r="S2990" s="28"/>
      <c r="T2990" s="28"/>
      <c r="U2990" s="28"/>
    </row>
    <row r="2991" spans="1:21" s="5" customFormat="1">
      <c r="A2991" s="179" t="s">
        <v>3476</v>
      </c>
      <c r="B2991" s="185" t="s">
        <v>7448</v>
      </c>
      <c r="C2991" s="35" t="str">
        <f t="shared" si="322"/>
        <v>NayyiriIsfahani</v>
      </c>
      <c r="E2991" s="40"/>
      <c r="F2991" s="15"/>
      <c r="G2991" s="17"/>
      <c r="H2991" s="10" t="s">
        <v>8563</v>
      </c>
      <c r="I2991" s="4" t="str">
        <f t="shared" si="323"/>
        <v>|Nayyirí-Iṣfahání|</v>
      </c>
      <c r="J2991" s="3" t="str">
        <f t="shared" si="324"/>
        <v>|Nayyiri-Isfahani|</v>
      </c>
      <c r="K2991" s="3" t="str">
        <f t="shared" si="325"/>
        <v>Nayyiri-Isfahani</v>
      </c>
      <c r="N2991" s="39" t="str">
        <f t="shared" si="326"/>
        <v/>
      </c>
      <c r="P2991" s="39" t="str">
        <f t="shared" si="327"/>
        <v/>
      </c>
      <c r="R2991" s="39" t="str">
        <f t="shared" si="328"/>
        <v/>
      </c>
      <c r="S2991" s="28"/>
      <c r="T2991" s="28"/>
      <c r="U2991" s="28"/>
    </row>
    <row r="2992" spans="1:21" s="5" customFormat="1">
      <c r="A2992" s="179" t="s">
        <v>3477</v>
      </c>
      <c r="B2992" s="185" t="s">
        <v>7449</v>
      </c>
      <c r="C2992" s="35" t="str">
        <f t="shared" si="322"/>
        <v>Nazar</v>
      </c>
      <c r="E2992" s="40"/>
      <c r="F2992" s="15" t="s">
        <v>3478</v>
      </c>
      <c r="G2992" s="17"/>
      <c r="H2992" s="10" t="s">
        <v>8563</v>
      </c>
      <c r="I2992" s="4" t="str">
        <f t="shared" si="323"/>
        <v>|Naẓar|</v>
      </c>
      <c r="J2992" s="3" t="str">
        <f t="shared" si="324"/>
        <v>|Nazar|</v>
      </c>
      <c r="K2992" s="3" t="str">
        <f t="shared" si="325"/>
        <v>Nazar</v>
      </c>
      <c r="N2992" s="39" t="str">
        <f t="shared" si="326"/>
        <v/>
      </c>
      <c r="P2992" s="39" t="str">
        <f t="shared" si="327"/>
        <v/>
      </c>
      <c r="R2992" s="39" t="str">
        <f t="shared" si="328"/>
        <v/>
      </c>
      <c r="S2992" s="28"/>
      <c r="T2992" s="28"/>
      <c r="U2992" s="28"/>
    </row>
    <row r="2993" spans="1:21" s="5" customFormat="1">
      <c r="A2993" s="179" t="s">
        <v>3479</v>
      </c>
      <c r="B2993" s="185" t="s">
        <v>7450</v>
      </c>
      <c r="C2993" s="35" t="str">
        <f t="shared" si="322"/>
        <v>NazarAli</v>
      </c>
      <c r="E2993" s="40"/>
      <c r="F2993" s="15"/>
      <c r="G2993" s="17"/>
      <c r="H2993" s="10" t="s">
        <v>8563</v>
      </c>
      <c r="I2993" s="4" t="str">
        <f t="shared" si="323"/>
        <v>|Naẓar-ʿAlí|</v>
      </c>
      <c r="J2993" s="3" t="str">
        <f t="shared" si="324"/>
        <v>|Nazar-'Ali|</v>
      </c>
      <c r="K2993" s="3" t="str">
        <f t="shared" si="325"/>
        <v>Nazar-Ali</v>
      </c>
      <c r="N2993" s="39" t="str">
        <f t="shared" si="326"/>
        <v/>
      </c>
      <c r="P2993" s="39" t="str">
        <f t="shared" si="327"/>
        <v/>
      </c>
      <c r="R2993" s="39" t="str">
        <f t="shared" si="328"/>
        <v/>
      </c>
      <c r="S2993" s="28"/>
      <c r="T2993" s="28"/>
      <c r="U2993" s="28"/>
    </row>
    <row r="2994" spans="1:21" s="5" customFormat="1">
      <c r="A2994" s="179" t="s">
        <v>3480</v>
      </c>
      <c r="B2994" s="185" t="s">
        <v>7451</v>
      </c>
      <c r="C2994" s="35" t="str">
        <f t="shared" si="322"/>
        <v>Nazim</v>
      </c>
      <c r="E2994" s="40"/>
      <c r="F2994" s="15"/>
      <c r="G2994" s="17"/>
      <c r="H2994" s="10" t="s">
        <v>8563</v>
      </c>
      <c r="I2994" s="4" t="str">
        <f t="shared" si="323"/>
        <v>|Náẓim|</v>
      </c>
      <c r="J2994" s="3" t="str">
        <f t="shared" si="324"/>
        <v>|Nazim|</v>
      </c>
      <c r="K2994" s="3" t="str">
        <f t="shared" si="325"/>
        <v>Nazim</v>
      </c>
      <c r="N2994" s="39" t="str">
        <f t="shared" si="326"/>
        <v/>
      </c>
      <c r="P2994" s="39" t="str">
        <f t="shared" si="327"/>
        <v/>
      </c>
      <c r="R2994" s="39" t="str">
        <f t="shared" si="328"/>
        <v/>
      </c>
      <c r="S2994" s="28"/>
      <c r="T2994" s="28"/>
      <c r="U2994" s="28"/>
    </row>
    <row r="2995" spans="1:21" s="5" customFormat="1">
      <c r="A2995" s="179" t="s">
        <v>3481</v>
      </c>
      <c r="B2995" s="185" t="s">
        <v>7452</v>
      </c>
      <c r="C2995" s="35" t="str">
        <f t="shared" si="322"/>
        <v>Nazir</v>
      </c>
      <c r="E2995" s="40"/>
      <c r="F2995" s="15"/>
      <c r="G2995" s="17"/>
      <c r="H2995" s="10" t="s">
        <v>8563</v>
      </c>
      <c r="I2995" s="4" t="str">
        <f t="shared" si="323"/>
        <v>|Naẓír|</v>
      </c>
      <c r="J2995" s="3" t="str">
        <f t="shared" si="324"/>
        <v>|Nazir|</v>
      </c>
      <c r="K2995" s="3" t="str">
        <f t="shared" si="325"/>
        <v>Nazir</v>
      </c>
      <c r="N2995" s="39" t="str">
        <f t="shared" si="326"/>
        <v/>
      </c>
      <c r="P2995" s="39" t="str">
        <f t="shared" si="327"/>
        <v/>
      </c>
      <c r="R2995" s="39" t="str">
        <f t="shared" si="328"/>
        <v/>
      </c>
      <c r="S2995" s="28"/>
      <c r="T2995" s="28"/>
      <c r="U2995" s="28"/>
    </row>
    <row r="2996" spans="1:21" s="5" customFormat="1">
      <c r="A2996" s="179" t="s">
        <v>3482</v>
      </c>
      <c r="B2996" s="185" t="s">
        <v>7453</v>
      </c>
      <c r="C2996" s="35" t="str">
        <f t="shared" si="322"/>
        <v>Nik</v>
      </c>
      <c r="E2996" s="40"/>
      <c r="F2996" s="15"/>
      <c r="G2996" s="17"/>
      <c r="H2996" s="10" t="s">
        <v>8563</v>
      </c>
      <c r="I2996" s="4" t="str">
        <f t="shared" si="323"/>
        <v>|Ník|</v>
      </c>
      <c r="J2996" s="3" t="str">
        <f t="shared" si="324"/>
        <v>|Nik|</v>
      </c>
      <c r="K2996" s="3" t="str">
        <f t="shared" si="325"/>
        <v>Nik</v>
      </c>
      <c r="N2996" s="39" t="str">
        <f t="shared" si="326"/>
        <v/>
      </c>
      <c r="P2996" s="39" t="str">
        <f t="shared" si="327"/>
        <v/>
      </c>
      <c r="R2996" s="39" t="str">
        <f t="shared" si="328"/>
        <v/>
      </c>
      <c r="S2996" s="28"/>
      <c r="T2996" s="28"/>
      <c r="U2996" s="28"/>
    </row>
    <row r="2997" spans="1:21" s="5" customFormat="1">
      <c r="A2997" s="179" t="s">
        <v>3483</v>
      </c>
      <c r="B2997" s="185" t="s">
        <v>7454</v>
      </c>
      <c r="C2997" s="35" t="str">
        <f t="shared" si="322"/>
        <v>Nimatullah</v>
      </c>
      <c r="E2997" s="40"/>
      <c r="F2997" s="15"/>
      <c r="G2997" s="17"/>
      <c r="H2997" s="10" t="s">
        <v>8563</v>
      </c>
      <c r="I2997" s="4" t="str">
        <f t="shared" si="323"/>
        <v>|Niʿmatu’lláh|</v>
      </c>
      <c r="J2997" s="3" t="str">
        <f t="shared" si="324"/>
        <v>|Ni'matu'llah|</v>
      </c>
      <c r="K2997" s="3" t="str">
        <f t="shared" si="325"/>
        <v>Nimatullah</v>
      </c>
      <c r="N2997" s="39" t="str">
        <f t="shared" si="326"/>
        <v/>
      </c>
      <c r="P2997" s="39" t="str">
        <f t="shared" si="327"/>
        <v/>
      </c>
      <c r="R2997" s="39" t="str">
        <f t="shared" si="328"/>
        <v/>
      </c>
      <c r="S2997" s="28"/>
      <c r="T2997" s="28"/>
      <c r="U2997" s="28"/>
    </row>
    <row r="2998" spans="1:21" s="5" customFormat="1">
      <c r="A2998" s="179" t="s">
        <v>3484</v>
      </c>
      <c r="B2998" s="185" t="s">
        <v>7455</v>
      </c>
      <c r="C2998" s="35" t="str">
        <f t="shared" si="322"/>
        <v>Nimatullahi</v>
      </c>
      <c r="E2998" s="40"/>
      <c r="F2998" s="15"/>
      <c r="G2998" s="17"/>
      <c r="H2998" s="10" t="s">
        <v>8563</v>
      </c>
      <c r="I2998" s="4" t="str">
        <f t="shared" si="323"/>
        <v>|Niʿmatu’lláhí|</v>
      </c>
      <c r="J2998" s="3" t="str">
        <f t="shared" si="324"/>
        <v>|Ni'matu'llahi|</v>
      </c>
      <c r="K2998" s="3" t="str">
        <f t="shared" si="325"/>
        <v>Nimatullahi</v>
      </c>
      <c r="N2998" s="39" t="str">
        <f t="shared" si="326"/>
        <v/>
      </c>
      <c r="P2998" s="39" t="str">
        <f t="shared" si="327"/>
        <v/>
      </c>
      <c r="R2998" s="39" t="str">
        <f t="shared" si="328"/>
        <v/>
      </c>
      <c r="S2998" s="28"/>
      <c r="T2998" s="28"/>
      <c r="U2998" s="28"/>
    </row>
    <row r="2999" spans="1:21" s="5" customFormat="1">
      <c r="A2999" s="179" t="s">
        <v>3485</v>
      </c>
      <c r="B2999" s="185" t="s">
        <v>7456</v>
      </c>
      <c r="C2999" s="35" t="str">
        <f t="shared" si="322"/>
        <v>NimatullahiAmuli</v>
      </c>
      <c r="E2999" s="40"/>
      <c r="F2999" s="15"/>
      <c r="G2999" s="17"/>
      <c r="H2999" s="10" t="s">
        <v>8563</v>
      </c>
      <c r="I2999" s="4" t="str">
        <f t="shared" si="323"/>
        <v>|Niʿmatu’lláh-i-Amulí|</v>
      </c>
      <c r="J2999" s="3" t="str">
        <f t="shared" si="324"/>
        <v>|Ni'matu'llah-i-Amuli|</v>
      </c>
      <c r="K2999" s="3" t="str">
        <f t="shared" si="325"/>
        <v>Nimatullah-i-Amuli</v>
      </c>
      <c r="N2999" s="39" t="str">
        <f t="shared" si="326"/>
        <v/>
      </c>
      <c r="P2999" s="39" t="str">
        <f t="shared" si="327"/>
        <v/>
      </c>
      <c r="R2999" s="39" t="str">
        <f t="shared" si="328"/>
        <v/>
      </c>
      <c r="S2999" s="28"/>
      <c r="T2999" s="28"/>
      <c r="U2999" s="28"/>
    </row>
    <row r="3000" spans="1:21" s="5" customFormat="1">
      <c r="A3000" s="179" t="s">
        <v>3486</v>
      </c>
      <c r="B3000" s="185" t="s">
        <v>7457</v>
      </c>
      <c r="C3000" s="35" t="str">
        <f t="shared" si="322"/>
        <v>NimatullahiBarfurushi</v>
      </c>
      <c r="E3000" s="40"/>
      <c r="F3000" s="15"/>
      <c r="G3000" s="17"/>
      <c r="H3000" s="10" t="s">
        <v>8563</v>
      </c>
      <c r="I3000" s="4" t="str">
        <f t="shared" si="323"/>
        <v>|Niʿmatu’lláh-i-Bárfurúí|</v>
      </c>
      <c r="J3000" s="3" t="str">
        <f t="shared" si="324"/>
        <v>|Ni'matu'llah-i-Barfurushi|</v>
      </c>
      <c r="K3000" s="3" t="str">
        <f t="shared" si="325"/>
        <v>Nimatullah-i-Barfurushi</v>
      </c>
      <c r="N3000" s="39" t="str">
        <f t="shared" si="326"/>
        <v/>
      </c>
      <c r="P3000" s="39" t="str">
        <f t="shared" si="327"/>
        <v/>
      </c>
      <c r="R3000" s="39" t="str">
        <f t="shared" si="328"/>
        <v/>
      </c>
      <c r="S3000" s="28"/>
      <c r="T3000" s="28"/>
      <c r="U3000" s="28"/>
    </row>
    <row r="3001" spans="1:21" s="5" customFormat="1">
      <c r="A3001" s="179" t="s">
        <v>3487</v>
      </c>
      <c r="B3001" s="185" t="s">
        <v>7458</v>
      </c>
      <c r="C3001" s="35" t="str">
        <f t="shared" si="322"/>
        <v>NimatullahiMazindarani</v>
      </c>
      <c r="E3001" s="40"/>
      <c r="F3001" s="15"/>
      <c r="G3001" s="17"/>
      <c r="H3001" s="10" t="s">
        <v>8563</v>
      </c>
      <c r="I3001" s="4" t="str">
        <f t="shared" si="323"/>
        <v>|Niʿmatu’lláh-i-Mázindarání|</v>
      </c>
      <c r="J3001" s="3" t="str">
        <f t="shared" si="324"/>
        <v>|Ni'matu'llah-i-Mazindarani|</v>
      </c>
      <c r="K3001" s="3" t="str">
        <f t="shared" si="325"/>
        <v>Nimatullah-i-Mazindarani</v>
      </c>
      <c r="N3001" s="39" t="str">
        <f t="shared" si="326"/>
        <v/>
      </c>
      <c r="P3001" s="39" t="str">
        <f t="shared" si="327"/>
        <v/>
      </c>
      <c r="R3001" s="39" t="str">
        <f t="shared" si="328"/>
        <v/>
      </c>
      <c r="S3001" s="28"/>
      <c r="T3001" s="28"/>
      <c r="U3001" s="28"/>
    </row>
    <row r="3002" spans="1:21" s="5" customFormat="1">
      <c r="A3002" s="179" t="s">
        <v>3488</v>
      </c>
      <c r="B3002" s="185" t="s">
        <v>7459</v>
      </c>
      <c r="C3002" s="35" t="str">
        <f t="shared" si="322"/>
        <v>NimAvard</v>
      </c>
      <c r="E3002" s="40"/>
      <c r="F3002" s="14"/>
      <c r="G3002" s="17"/>
      <c r="H3002" s="10" t="s">
        <v>8563</v>
      </c>
      <c r="I3002" s="4" t="str">
        <f t="shared" si="323"/>
        <v>|Ním-Ávard|</v>
      </c>
      <c r="J3002" s="3" t="str">
        <f t="shared" si="324"/>
        <v>|Nim-Avard|</v>
      </c>
      <c r="K3002" s="3" t="str">
        <f t="shared" si="325"/>
        <v>Nim-Avard</v>
      </c>
      <c r="N3002" s="39" t="str">
        <f t="shared" si="326"/>
        <v/>
      </c>
      <c r="P3002" s="39" t="str">
        <f t="shared" si="327"/>
        <v/>
      </c>
      <c r="R3002" s="39" t="str">
        <f t="shared" si="328"/>
        <v/>
      </c>
      <c r="S3002" s="28"/>
      <c r="T3002" s="28"/>
      <c r="U3002" s="28"/>
    </row>
    <row r="3003" spans="1:21" s="5" customFormat="1">
      <c r="A3003" s="181"/>
      <c r="B3003" s="185" t="s">
        <v>79</v>
      </c>
      <c r="C3003" s="35" t="str">
        <f t="shared" si="322"/>
        <v>Nimrod</v>
      </c>
      <c r="D3003" s="1"/>
      <c r="E3003" s="40" t="s">
        <v>9115</v>
      </c>
      <c r="F3003" s="12"/>
      <c r="G3003" s="9" t="s">
        <v>9370</v>
      </c>
      <c r="H3003" s="12"/>
      <c r="I3003" s="4" t="str">
        <f t="shared" si="323"/>
        <v>|Nimrod|</v>
      </c>
      <c r="J3003" s="3" t="str">
        <f t="shared" si="324"/>
        <v>|Nimrod|</v>
      </c>
      <c r="K3003" s="3" t="str">
        <f t="shared" si="325"/>
        <v>Nimrod</v>
      </c>
      <c r="M3003" s="1"/>
      <c r="N3003" s="39" t="str">
        <f t="shared" si="326"/>
        <v/>
      </c>
      <c r="O3003" s="1"/>
      <c r="P3003" s="39" t="str">
        <f t="shared" si="327"/>
        <v/>
      </c>
      <c r="Q3003" s="1"/>
      <c r="R3003" s="39" t="str">
        <f t="shared" si="328"/>
        <v/>
      </c>
      <c r="S3003" s="28"/>
      <c r="T3003" s="29"/>
      <c r="U3003" s="28"/>
    </row>
    <row r="3004" spans="1:21" s="5" customFormat="1">
      <c r="A3004" s="179" t="s">
        <v>3489</v>
      </c>
      <c r="B3004" s="185" t="s">
        <v>7460</v>
      </c>
      <c r="C3004" s="35" t="str">
        <f t="shared" si="322"/>
        <v>Nirumand</v>
      </c>
      <c r="E3004" s="40"/>
      <c r="F3004" s="15"/>
      <c r="G3004" s="17"/>
      <c r="H3004" s="10" t="s">
        <v>8563</v>
      </c>
      <c r="I3004" s="4" t="str">
        <f t="shared" si="323"/>
        <v>|Nírúmand|</v>
      </c>
      <c r="J3004" s="3" t="str">
        <f t="shared" si="324"/>
        <v>|Nirumand|</v>
      </c>
      <c r="K3004" s="3" t="str">
        <f t="shared" si="325"/>
        <v>Nirumand</v>
      </c>
      <c r="N3004" s="39" t="str">
        <f t="shared" si="326"/>
        <v/>
      </c>
      <c r="P3004" s="39" t="str">
        <f t="shared" si="327"/>
        <v/>
      </c>
      <c r="R3004" s="39" t="str">
        <f t="shared" si="328"/>
        <v/>
      </c>
      <c r="S3004" s="28"/>
      <c r="T3004" s="28"/>
      <c r="U3004" s="28"/>
    </row>
    <row r="3005" spans="1:21" s="5" customFormat="1">
      <c r="A3005" s="179" t="s">
        <v>3490</v>
      </c>
      <c r="B3005" s="185" t="s">
        <v>7461</v>
      </c>
      <c r="C3005" s="35" t="str">
        <f t="shared" si="322"/>
        <v>Nisaʼ</v>
      </c>
      <c r="E3005" s="40"/>
      <c r="F3005" s="15" t="s">
        <v>3491</v>
      </c>
      <c r="G3005" s="17"/>
      <c r="H3005" s="10" t="s">
        <v>8563</v>
      </c>
      <c r="I3005" s="4" t="str">
        <f t="shared" si="323"/>
        <v>|Nisáʼ|</v>
      </c>
      <c r="J3005" s="3" t="str">
        <f t="shared" si="324"/>
        <v>|Nisaʼ|</v>
      </c>
      <c r="K3005" s="3" t="str">
        <f t="shared" si="325"/>
        <v>Nisaʼ</v>
      </c>
      <c r="N3005" s="39" t="str">
        <f t="shared" si="326"/>
        <v/>
      </c>
      <c r="P3005" s="39" t="str">
        <f t="shared" si="327"/>
        <v/>
      </c>
      <c r="R3005" s="39" t="str">
        <f t="shared" si="328"/>
        <v/>
      </c>
      <c r="S3005" s="28"/>
      <c r="T3005" s="28"/>
      <c r="U3005" s="28"/>
    </row>
    <row r="3006" spans="1:21" s="5" customFormat="1">
      <c r="A3006" s="179" t="s">
        <v>3492</v>
      </c>
      <c r="B3006" s="185" t="s">
        <v>7462</v>
      </c>
      <c r="C3006" s="35" t="str">
        <f t="shared" si="322"/>
        <v>Nisab</v>
      </c>
      <c r="E3006" s="40"/>
      <c r="F3006" s="15"/>
      <c r="G3006" s="17"/>
      <c r="H3006" s="10" t="s">
        <v>8563</v>
      </c>
      <c r="I3006" s="4" t="str">
        <f t="shared" si="323"/>
        <v>|Niṣáb|</v>
      </c>
      <c r="J3006" s="3" t="str">
        <f t="shared" si="324"/>
        <v>|Nisab|</v>
      </c>
      <c r="K3006" s="3" t="str">
        <f t="shared" si="325"/>
        <v>Nisab</v>
      </c>
      <c r="N3006" s="39" t="str">
        <f t="shared" si="326"/>
        <v/>
      </c>
      <c r="P3006" s="39" t="str">
        <f t="shared" si="327"/>
        <v/>
      </c>
      <c r="R3006" s="39" t="str">
        <f t="shared" si="328"/>
        <v/>
      </c>
      <c r="S3006" s="28"/>
      <c r="T3006" s="28"/>
      <c r="U3006" s="28"/>
    </row>
    <row r="3007" spans="1:21" s="5" customFormat="1">
      <c r="A3007" s="179" t="s">
        <v>3493</v>
      </c>
      <c r="B3007" s="185" t="s">
        <v>7463</v>
      </c>
      <c r="C3007" s="35" t="str">
        <f t="shared" si="322"/>
        <v>Nisan</v>
      </c>
      <c r="E3007" s="40"/>
      <c r="F3007" s="15"/>
      <c r="G3007" s="17"/>
      <c r="H3007" s="10" t="s">
        <v>8563</v>
      </c>
      <c r="I3007" s="4" t="str">
        <f t="shared" si="323"/>
        <v>|Nísán|</v>
      </c>
      <c r="J3007" s="3" t="str">
        <f t="shared" si="324"/>
        <v>|Nisan|</v>
      </c>
      <c r="K3007" s="3" t="str">
        <f t="shared" si="325"/>
        <v>Nisan</v>
      </c>
      <c r="N3007" s="39" t="str">
        <f t="shared" si="326"/>
        <v/>
      </c>
      <c r="P3007" s="39" t="str">
        <f t="shared" si="327"/>
        <v/>
      </c>
      <c r="R3007" s="39" t="str">
        <f t="shared" si="328"/>
        <v/>
      </c>
      <c r="S3007" s="28"/>
      <c r="T3007" s="28"/>
      <c r="U3007" s="28"/>
    </row>
    <row r="3008" spans="1:21" s="5" customFormat="1">
      <c r="A3008" s="179" t="s">
        <v>3494</v>
      </c>
      <c r="B3008" s="185" t="s">
        <v>7464</v>
      </c>
      <c r="C3008" s="35" t="str">
        <f t="shared" si="322"/>
        <v>NisfiJahan</v>
      </c>
      <c r="E3008" s="40"/>
      <c r="F3008" s="15"/>
      <c r="G3008" s="17"/>
      <c r="H3008" s="10" t="s">
        <v>8563</v>
      </c>
      <c r="I3008" s="4" t="str">
        <f t="shared" si="323"/>
        <v>|Niṣf-i-Jahán|</v>
      </c>
      <c r="J3008" s="3" t="str">
        <f t="shared" si="324"/>
        <v>|Nisf-i-Jahan|</v>
      </c>
      <c r="K3008" s="3" t="str">
        <f t="shared" si="325"/>
        <v>Nisf-i-Jahan</v>
      </c>
      <c r="N3008" s="39" t="str">
        <f t="shared" si="326"/>
        <v/>
      </c>
      <c r="P3008" s="39" t="str">
        <f t="shared" si="327"/>
        <v/>
      </c>
      <c r="R3008" s="39" t="str">
        <f t="shared" si="328"/>
        <v/>
      </c>
      <c r="S3008" s="28"/>
      <c r="T3008" s="28"/>
      <c r="U3008" s="28"/>
    </row>
    <row r="3009" spans="1:21" s="5" customFormat="1">
      <c r="A3009" s="179" t="s">
        <v>3495</v>
      </c>
      <c r="B3009" s="185" t="s">
        <v>7465</v>
      </c>
      <c r="C3009" s="35" t="str">
        <f t="shared" si="322"/>
        <v>Nishapur</v>
      </c>
      <c r="E3009" s="40"/>
      <c r="F3009" s="14"/>
      <c r="G3009" s="17"/>
      <c r="H3009" s="10" t="s">
        <v>8563</v>
      </c>
      <c r="I3009" s="4" t="str">
        <f t="shared" si="323"/>
        <v>|Níápúr|</v>
      </c>
      <c r="J3009" s="3" t="str">
        <f t="shared" si="324"/>
        <v>|Nishapur|</v>
      </c>
      <c r="K3009" s="3" t="str">
        <f t="shared" si="325"/>
        <v>Nishapur</v>
      </c>
      <c r="N3009" s="39" t="str">
        <f t="shared" si="326"/>
        <v/>
      </c>
      <c r="P3009" s="39" t="str">
        <f t="shared" si="327"/>
        <v/>
      </c>
      <c r="R3009" s="39" t="str">
        <f t="shared" si="328"/>
        <v/>
      </c>
      <c r="S3009" s="28"/>
      <c r="T3009" s="28"/>
      <c r="U3009" s="28"/>
    </row>
    <row r="3010" spans="1:21" s="5" customFormat="1">
      <c r="A3010" s="179" t="s">
        <v>3496</v>
      </c>
      <c r="B3010" s="185" t="s">
        <v>7466</v>
      </c>
      <c r="C3010" s="35" t="str">
        <f t="shared" ref="C3010:C3073" si="329">SUBSTITUTE(SUBSTITUTE(K3010,"-","")," ","")</f>
        <v>Nishapuri</v>
      </c>
      <c r="E3010" s="40"/>
      <c r="F3010" s="15"/>
      <c r="G3010" s="17"/>
      <c r="H3010" s="10" t="s">
        <v>8563</v>
      </c>
      <c r="I3010" s="4" t="str">
        <f t="shared" ref="I3010:I3073" si="330">CONCATENATE("|",B3010,"|")</f>
        <v>|Níápúrí|</v>
      </c>
      <c r="J3010" s="3" t="str">
        <f t="shared" ref="J3010:J3073" si="331">CONCATENATE("|",F_OutputASCII(B3010),"|")</f>
        <v>|Nishapuri|</v>
      </c>
      <c r="K3010" s="3" t="str">
        <f t="shared" ref="K3010:K3073" si="332">IF(SUBSTITUTE(MID(J3010,2,LEN(J3010)-2),"'","")&lt;&gt;"",SUBSTITUTE(MID(J3010,2,LEN(J3010)-2),"'",""),"ZZZZZ")</f>
        <v>Nishapuri</v>
      </c>
      <c r="N3010" s="39" t="str">
        <f t="shared" si="326"/>
        <v/>
      </c>
      <c r="P3010" s="39" t="str">
        <f t="shared" si="327"/>
        <v/>
      </c>
      <c r="R3010" s="39" t="str">
        <f t="shared" si="328"/>
        <v/>
      </c>
      <c r="S3010" s="28"/>
      <c r="T3010" s="28"/>
      <c r="U3010" s="28"/>
    </row>
    <row r="3011" spans="1:21" s="5" customFormat="1">
      <c r="A3011" s="179" t="s">
        <v>3497</v>
      </c>
      <c r="B3011" s="185" t="s">
        <v>7467</v>
      </c>
      <c r="C3011" s="35" t="str">
        <f t="shared" si="329"/>
        <v>Nisibin</v>
      </c>
      <c r="E3011" s="40"/>
      <c r="F3011" s="15" t="s">
        <v>1312</v>
      </c>
      <c r="G3011" s="17"/>
      <c r="H3011" s="10" t="s">
        <v>8563</v>
      </c>
      <c r="I3011" s="4" t="str">
        <f t="shared" si="330"/>
        <v>|Niṣíbín|</v>
      </c>
      <c r="J3011" s="3" t="str">
        <f t="shared" si="331"/>
        <v>|Nisibin|</v>
      </c>
      <c r="K3011" s="3" t="str">
        <f t="shared" si="332"/>
        <v>Nisibin</v>
      </c>
      <c r="N3011" s="39" t="str">
        <f t="shared" ref="N3011:N3074" si="333">SUBSTITUTE(SUBSTITUTE(SUBSTITUTE(F_OutputASCII(M3011),"-","")," ",""),"'","")</f>
        <v/>
      </c>
      <c r="P3011" s="39" t="str">
        <f t="shared" ref="P3011:P3074" si="334">SUBSTITUTE(SUBSTITUTE(SUBSTITUTE(F_OutputASCII(O3011),"-","")," ",""),"'","")</f>
        <v/>
      </c>
      <c r="R3011" s="39" t="str">
        <f t="shared" ref="R3011:R3074" si="335">SUBSTITUTE(SUBSTITUTE(Q3011,"-","")," ","")</f>
        <v/>
      </c>
      <c r="S3011" s="28"/>
      <c r="T3011" s="28"/>
      <c r="U3011" s="28"/>
    </row>
    <row r="3012" spans="1:21" s="5" customFormat="1">
      <c r="A3012" s="179" t="s">
        <v>3498</v>
      </c>
      <c r="B3012" s="185" t="s">
        <v>7468</v>
      </c>
      <c r="C3012" s="35" t="str">
        <f t="shared" si="329"/>
        <v>Nissa</v>
      </c>
      <c r="E3012" s="40"/>
      <c r="F3012" s="14"/>
      <c r="G3012" s="17"/>
      <c r="H3012" s="10" t="s">
        <v>8563</v>
      </c>
      <c r="I3012" s="4" t="str">
        <f t="shared" si="330"/>
        <v>|Nissá|</v>
      </c>
      <c r="J3012" s="3" t="str">
        <f t="shared" si="331"/>
        <v>|Nissa|</v>
      </c>
      <c r="K3012" s="3" t="str">
        <f t="shared" si="332"/>
        <v>Nissa</v>
      </c>
      <c r="N3012" s="39" t="str">
        <f t="shared" si="333"/>
        <v/>
      </c>
      <c r="P3012" s="39" t="str">
        <f t="shared" si="334"/>
        <v/>
      </c>
      <c r="R3012" s="39" t="str">
        <f t="shared" si="335"/>
        <v/>
      </c>
      <c r="S3012" s="28"/>
      <c r="T3012" s="28"/>
      <c r="U3012" s="28"/>
    </row>
    <row r="3013" spans="1:21" s="5" customFormat="1">
      <c r="A3013" s="179" t="s">
        <v>3499</v>
      </c>
      <c r="B3013" s="185" t="s">
        <v>7469</v>
      </c>
      <c r="C3013" s="35" t="str">
        <f t="shared" si="329"/>
        <v>nist</v>
      </c>
      <c r="E3013" s="40"/>
      <c r="F3013" s="15"/>
      <c r="G3013" s="17"/>
      <c r="H3013" s="10" t="s">
        <v>8563</v>
      </c>
      <c r="I3013" s="4" t="str">
        <f t="shared" si="330"/>
        <v>|níst|</v>
      </c>
      <c r="J3013" s="3" t="str">
        <f t="shared" si="331"/>
        <v>|nist|</v>
      </c>
      <c r="K3013" s="3" t="str">
        <f t="shared" si="332"/>
        <v>nist</v>
      </c>
      <c r="N3013" s="39" t="str">
        <f t="shared" si="333"/>
        <v/>
      </c>
      <c r="P3013" s="39" t="str">
        <f t="shared" si="334"/>
        <v/>
      </c>
      <c r="R3013" s="39" t="str">
        <f t="shared" si="335"/>
        <v/>
      </c>
      <c r="S3013" s="28"/>
      <c r="T3013" s="28"/>
      <c r="U3013" s="28"/>
    </row>
    <row r="3014" spans="1:21" s="5" customFormat="1">
      <c r="A3014" s="179" t="s">
        <v>3500</v>
      </c>
      <c r="B3014" s="185" t="s">
        <v>7470</v>
      </c>
      <c r="C3014" s="35" t="str">
        <f t="shared" si="329"/>
        <v>NistPul</v>
      </c>
      <c r="E3014" s="40"/>
      <c r="F3014" s="15"/>
      <c r="G3014" s="17"/>
      <c r="H3014" s="10" t="s">
        <v>8563</v>
      </c>
      <c r="I3014" s="4" t="str">
        <f t="shared" si="330"/>
        <v>|Níst Púl|</v>
      </c>
      <c r="J3014" s="3" t="str">
        <f t="shared" si="331"/>
        <v>|Nist Pul|</v>
      </c>
      <c r="K3014" s="3" t="str">
        <f t="shared" si="332"/>
        <v>Nist Pul</v>
      </c>
      <c r="N3014" s="39" t="str">
        <f t="shared" si="333"/>
        <v/>
      </c>
      <c r="P3014" s="39" t="str">
        <f t="shared" si="334"/>
        <v/>
      </c>
      <c r="R3014" s="39" t="str">
        <f t="shared" si="335"/>
        <v/>
      </c>
      <c r="S3014" s="28"/>
      <c r="T3014" s="28"/>
      <c r="U3014" s="28"/>
    </row>
    <row r="3015" spans="1:21" s="5" customFormat="1">
      <c r="A3015" s="179" t="s">
        <v>3501</v>
      </c>
      <c r="B3015" s="185" t="s">
        <v>7471</v>
      </c>
      <c r="C3015" s="35" t="str">
        <f t="shared" si="329"/>
        <v>Nivishtih</v>
      </c>
      <c r="E3015" s="40"/>
      <c r="F3015" s="15"/>
      <c r="G3015" s="17"/>
      <c r="H3015" s="10" t="s">
        <v>8563</v>
      </c>
      <c r="I3015" s="4" t="str">
        <f t="shared" si="330"/>
        <v>|Nivitih|</v>
      </c>
      <c r="J3015" s="3" t="str">
        <f t="shared" si="331"/>
        <v>|Nivishtih|</v>
      </c>
      <c r="K3015" s="3" t="str">
        <f t="shared" si="332"/>
        <v>Nivishtih</v>
      </c>
      <c r="N3015" s="39" t="str">
        <f t="shared" si="333"/>
        <v/>
      </c>
      <c r="P3015" s="39" t="str">
        <f t="shared" si="334"/>
        <v/>
      </c>
      <c r="R3015" s="39" t="str">
        <f t="shared" si="335"/>
        <v/>
      </c>
      <c r="S3015" s="28"/>
      <c r="T3015" s="28"/>
      <c r="U3015" s="28"/>
    </row>
    <row r="3016" spans="1:21" s="5" customFormat="1">
      <c r="A3016" s="179" t="s">
        <v>3502</v>
      </c>
      <c r="B3016" s="185" t="s">
        <v>7472</v>
      </c>
      <c r="C3016" s="35" t="str">
        <f t="shared" si="329"/>
        <v>Niyabi</v>
      </c>
      <c r="E3016" s="40"/>
      <c r="F3016" s="15" t="s">
        <v>3503</v>
      </c>
      <c r="G3016" s="17"/>
      <c r="H3016" s="10" t="s">
        <v>8563</v>
      </c>
      <c r="I3016" s="4" t="str">
        <f t="shared" si="330"/>
        <v>|Niyábí|</v>
      </c>
      <c r="J3016" s="3" t="str">
        <f t="shared" si="331"/>
        <v>|Niyabi|</v>
      </c>
      <c r="K3016" s="3" t="str">
        <f t="shared" si="332"/>
        <v>Niyabi</v>
      </c>
      <c r="N3016" s="39" t="str">
        <f t="shared" si="333"/>
        <v/>
      </c>
      <c r="P3016" s="39" t="str">
        <f t="shared" si="334"/>
        <v/>
      </c>
      <c r="R3016" s="39" t="str">
        <f t="shared" si="335"/>
        <v/>
      </c>
      <c r="S3016" s="28"/>
      <c r="T3016" s="28"/>
      <c r="U3016" s="28"/>
    </row>
    <row r="3017" spans="1:21" s="5" customFormat="1">
      <c r="A3017" s="179" t="s">
        <v>3504</v>
      </c>
      <c r="B3017" s="185" t="s">
        <v>7473</v>
      </c>
      <c r="C3017" s="35" t="str">
        <f t="shared" si="329"/>
        <v>Niyakan</v>
      </c>
      <c r="E3017" s="40"/>
      <c r="F3017" s="15"/>
      <c r="G3017" s="17"/>
      <c r="H3017" s="10" t="s">
        <v>8563</v>
      </c>
      <c r="I3017" s="4" t="str">
        <f t="shared" si="330"/>
        <v>|Níyákán|</v>
      </c>
      <c r="J3017" s="3" t="str">
        <f t="shared" si="331"/>
        <v>|Niyakan|</v>
      </c>
      <c r="K3017" s="3" t="str">
        <f t="shared" si="332"/>
        <v>Niyakan</v>
      </c>
      <c r="N3017" s="39" t="str">
        <f t="shared" si="333"/>
        <v/>
      </c>
      <c r="P3017" s="39" t="str">
        <f t="shared" si="334"/>
        <v/>
      </c>
      <c r="R3017" s="39" t="str">
        <f t="shared" si="335"/>
        <v/>
      </c>
      <c r="S3017" s="28"/>
      <c r="T3017" s="28"/>
      <c r="U3017" s="28"/>
    </row>
    <row r="3018" spans="1:21" s="5" customFormat="1">
      <c r="A3018" s="179" t="s">
        <v>3505</v>
      </c>
      <c r="B3018" s="185" t="s">
        <v>7474</v>
      </c>
      <c r="C3018" s="35" t="str">
        <f t="shared" si="329"/>
        <v>Niyala</v>
      </c>
      <c r="E3018" s="40"/>
      <c r="F3018" s="14"/>
      <c r="G3018" s="17"/>
      <c r="H3018" s="10" t="s">
        <v>8563</v>
      </c>
      <c r="I3018" s="4" t="str">
        <f t="shared" si="330"/>
        <v>|Níyálá|</v>
      </c>
      <c r="J3018" s="3" t="str">
        <f t="shared" si="331"/>
        <v>|Niyala|</v>
      </c>
      <c r="K3018" s="3" t="str">
        <f t="shared" si="332"/>
        <v>Niyala</v>
      </c>
      <c r="N3018" s="39" t="str">
        <f t="shared" si="333"/>
        <v/>
      </c>
      <c r="P3018" s="39" t="str">
        <f t="shared" si="334"/>
        <v/>
      </c>
      <c r="R3018" s="39" t="str">
        <f t="shared" si="335"/>
        <v/>
      </c>
      <c r="S3018" s="28"/>
      <c r="T3018" s="28"/>
      <c r="U3018" s="28"/>
    </row>
    <row r="3019" spans="1:21" s="5" customFormat="1">
      <c r="A3019" s="179" t="s">
        <v>3506</v>
      </c>
      <c r="B3019" s="185" t="s">
        <v>7475</v>
      </c>
      <c r="C3019" s="35" t="str">
        <f t="shared" si="329"/>
        <v>Niyavaran</v>
      </c>
      <c r="E3019" s="40"/>
      <c r="F3019" s="14"/>
      <c r="G3019" s="17"/>
      <c r="H3019" s="10" t="s">
        <v>8563</v>
      </c>
      <c r="I3019" s="4" t="str">
        <f t="shared" si="330"/>
        <v>|Níyávarán|</v>
      </c>
      <c r="J3019" s="3" t="str">
        <f t="shared" si="331"/>
        <v>|Niyavaran|</v>
      </c>
      <c r="K3019" s="3" t="str">
        <f t="shared" si="332"/>
        <v>Niyavaran</v>
      </c>
      <c r="N3019" s="39" t="str">
        <f t="shared" si="333"/>
        <v/>
      </c>
      <c r="P3019" s="39" t="str">
        <f t="shared" si="334"/>
        <v/>
      </c>
      <c r="R3019" s="39" t="str">
        <f t="shared" si="335"/>
        <v/>
      </c>
      <c r="S3019" s="28"/>
      <c r="T3019" s="28"/>
      <c r="U3019" s="28"/>
    </row>
    <row r="3020" spans="1:21" s="5" customFormat="1">
      <c r="A3020" s="179" t="s">
        <v>3507</v>
      </c>
      <c r="B3020" s="185" t="s">
        <v>7476</v>
      </c>
      <c r="C3020" s="35" t="str">
        <f t="shared" si="329"/>
        <v>NiyaziBaghdadi</v>
      </c>
      <c r="E3020" s="40"/>
      <c r="F3020" s="14"/>
      <c r="G3020" s="17"/>
      <c r="H3020" s="10" t="s">
        <v>8563</v>
      </c>
      <c r="I3020" s="4" t="str">
        <f t="shared" si="330"/>
        <v>|Níyáz-i-Badádí|</v>
      </c>
      <c r="J3020" s="3" t="str">
        <f t="shared" si="331"/>
        <v>|Niyaz-i-Baghdadi|</v>
      </c>
      <c r="K3020" s="3" t="str">
        <f t="shared" si="332"/>
        <v>Niyaz-i-Baghdadi</v>
      </c>
      <c r="N3020" s="39" t="str">
        <f t="shared" si="333"/>
        <v/>
      </c>
      <c r="P3020" s="39" t="str">
        <f t="shared" si="334"/>
        <v/>
      </c>
      <c r="R3020" s="39" t="str">
        <f t="shared" si="335"/>
        <v/>
      </c>
      <c r="S3020" s="28"/>
      <c r="T3020" s="28"/>
      <c r="U3020" s="28"/>
    </row>
    <row r="3021" spans="1:21" s="5" customFormat="1">
      <c r="A3021" s="179" t="s">
        <v>3508</v>
      </c>
      <c r="B3021" s="185" t="s">
        <v>7477</v>
      </c>
      <c r="C3021" s="35" t="str">
        <f t="shared" si="329"/>
        <v>Nizam</v>
      </c>
      <c r="E3021" s="40"/>
      <c r="F3021" s="15" t="s">
        <v>3509</v>
      </c>
      <c r="G3021" s="17"/>
      <c r="H3021" s="10" t="s">
        <v>8563</v>
      </c>
      <c r="I3021" s="4" t="str">
        <f t="shared" si="330"/>
        <v>|Niẓám|</v>
      </c>
      <c r="J3021" s="3" t="str">
        <f t="shared" si="331"/>
        <v>|Nizam|</v>
      </c>
      <c r="K3021" s="3" t="str">
        <f t="shared" si="332"/>
        <v>Nizam</v>
      </c>
      <c r="N3021" s="39" t="str">
        <f t="shared" si="333"/>
        <v/>
      </c>
      <c r="P3021" s="39" t="str">
        <f t="shared" si="334"/>
        <v/>
      </c>
      <c r="R3021" s="39" t="str">
        <f t="shared" si="335"/>
        <v/>
      </c>
      <c r="S3021" s="28"/>
      <c r="T3021" s="28"/>
      <c r="U3021" s="28"/>
    </row>
    <row r="3022" spans="1:21" s="5" customFormat="1">
      <c r="A3022" s="179" t="s">
        <v>3510</v>
      </c>
      <c r="B3022" s="185" t="s">
        <v>7478</v>
      </c>
      <c r="C3022" s="35" t="str">
        <f t="shared" si="329"/>
        <v>Nizami</v>
      </c>
      <c r="E3022" s="40"/>
      <c r="F3022" s="15"/>
      <c r="G3022" s="17"/>
      <c r="H3022" s="10" t="s">
        <v>8563</v>
      </c>
      <c r="I3022" s="4" t="str">
        <f t="shared" si="330"/>
        <v>|Niẓámí|</v>
      </c>
      <c r="J3022" s="3" t="str">
        <f t="shared" si="331"/>
        <v>|Nizami|</v>
      </c>
      <c r="K3022" s="3" t="str">
        <f t="shared" si="332"/>
        <v>Nizami</v>
      </c>
      <c r="N3022" s="39" t="str">
        <f t="shared" si="333"/>
        <v/>
      </c>
      <c r="P3022" s="39" t="str">
        <f t="shared" si="334"/>
        <v/>
      </c>
      <c r="R3022" s="39" t="str">
        <f t="shared" si="335"/>
        <v/>
      </c>
      <c r="S3022" s="28"/>
      <c r="T3022" s="28"/>
      <c r="U3022" s="28"/>
    </row>
    <row r="3023" spans="1:21" s="5" customFormat="1">
      <c r="A3023" s="179" t="s">
        <v>3511</v>
      </c>
      <c r="B3023" s="185" t="s">
        <v>7479</v>
      </c>
      <c r="C3023" s="35" t="str">
        <f t="shared" si="329"/>
        <v>NizamidDin</v>
      </c>
      <c r="E3023" s="40"/>
      <c r="F3023" s="15"/>
      <c r="G3023" s="17"/>
      <c r="H3023" s="10" t="s">
        <v>8563</v>
      </c>
      <c r="I3023" s="4" t="str">
        <f t="shared" si="330"/>
        <v>|Niẓámi’d-Dín|</v>
      </c>
      <c r="J3023" s="3" t="str">
        <f t="shared" si="331"/>
        <v>|Nizami'd-Din|</v>
      </c>
      <c r="K3023" s="3" t="str">
        <f t="shared" si="332"/>
        <v>Nizamid-Din</v>
      </c>
      <c r="N3023" s="39" t="str">
        <f t="shared" si="333"/>
        <v/>
      </c>
      <c r="P3023" s="39" t="str">
        <f t="shared" si="334"/>
        <v/>
      </c>
      <c r="R3023" s="39" t="str">
        <f t="shared" si="335"/>
        <v/>
      </c>
      <c r="S3023" s="28"/>
      <c r="T3023" s="28"/>
      <c r="U3023" s="28"/>
    </row>
    <row r="3024" spans="1:21" s="5" customFormat="1">
      <c r="A3024" s="179" t="s">
        <v>3512</v>
      </c>
      <c r="B3024" s="185" t="s">
        <v>7480</v>
      </c>
      <c r="C3024" s="35" t="str">
        <f t="shared" si="329"/>
        <v>NizamiDin</v>
      </c>
      <c r="E3024" s="40"/>
      <c r="F3024" s="15"/>
      <c r="G3024" s="17"/>
      <c r="H3024" s="10" t="s">
        <v>8563</v>
      </c>
      <c r="I3024" s="4" t="str">
        <f t="shared" si="330"/>
        <v>|Niẓám-i-Dín|</v>
      </c>
      <c r="J3024" s="3" t="str">
        <f t="shared" si="331"/>
        <v>|Nizam-i-Din|</v>
      </c>
      <c r="K3024" s="3" t="str">
        <f t="shared" si="332"/>
        <v>Nizam-i-Din</v>
      </c>
      <c r="N3024" s="39" t="str">
        <f t="shared" si="333"/>
        <v/>
      </c>
      <c r="P3024" s="39" t="str">
        <f t="shared" si="334"/>
        <v/>
      </c>
      <c r="R3024" s="39" t="str">
        <f t="shared" si="335"/>
        <v/>
      </c>
      <c r="S3024" s="28"/>
      <c r="T3024" s="28"/>
      <c r="U3024" s="28"/>
    </row>
    <row r="3025" spans="1:21" s="5" customFormat="1">
      <c r="A3025" s="179" t="s">
        <v>3513</v>
      </c>
      <c r="B3025" s="185" t="s">
        <v>7481</v>
      </c>
      <c r="C3025" s="35" t="str">
        <f t="shared" si="329"/>
        <v>NizamiyiGanjavi</v>
      </c>
      <c r="E3025" s="40"/>
      <c r="F3025" s="15" t="s">
        <v>3514</v>
      </c>
      <c r="G3025" s="17"/>
      <c r="H3025" s="10" t="s">
        <v>8563</v>
      </c>
      <c r="I3025" s="4" t="str">
        <f t="shared" si="330"/>
        <v>|Niẓámiy-i-Ganjaví|</v>
      </c>
      <c r="J3025" s="3" t="str">
        <f t="shared" si="331"/>
        <v>|Nizamiy-i-Ganjavi|</v>
      </c>
      <c r="K3025" s="3" t="str">
        <f t="shared" si="332"/>
        <v>Nizamiy-i-Ganjavi</v>
      </c>
      <c r="N3025" s="39" t="str">
        <f t="shared" si="333"/>
        <v/>
      </c>
      <c r="P3025" s="39" t="str">
        <f t="shared" si="334"/>
        <v/>
      </c>
      <c r="R3025" s="39" t="str">
        <f t="shared" si="335"/>
        <v/>
      </c>
      <c r="S3025" s="28"/>
      <c r="T3025" s="28"/>
      <c r="U3025" s="28"/>
    </row>
    <row r="3026" spans="1:21" s="5" customFormat="1">
      <c r="A3026" s="179" t="s">
        <v>3515</v>
      </c>
      <c r="B3026" s="185" t="s">
        <v>7482</v>
      </c>
      <c r="C3026" s="35" t="str">
        <f t="shared" si="329"/>
        <v>NizamudDawlih</v>
      </c>
      <c r="E3026" s="40"/>
      <c r="F3026" s="15"/>
      <c r="G3026" s="17"/>
      <c r="H3026" s="10" t="s">
        <v>8563</v>
      </c>
      <c r="I3026" s="4" t="str">
        <f t="shared" si="330"/>
        <v>|Niẓámu’d-Dawlih|</v>
      </c>
      <c r="J3026" s="3" t="str">
        <f t="shared" si="331"/>
        <v>|Nizamu'd-Dawlih|</v>
      </c>
      <c r="K3026" s="3" t="str">
        <f t="shared" si="332"/>
        <v>Nizamud-Dawlih</v>
      </c>
      <c r="N3026" s="39" t="str">
        <f t="shared" si="333"/>
        <v/>
      </c>
      <c r="P3026" s="39" t="str">
        <f t="shared" si="334"/>
        <v/>
      </c>
      <c r="R3026" s="39" t="str">
        <f t="shared" si="335"/>
        <v/>
      </c>
      <c r="S3026" s="28"/>
      <c r="T3026" s="28"/>
      <c r="U3026" s="28"/>
    </row>
    <row r="3027" spans="1:21" s="5" customFormat="1">
      <c r="A3027" s="181"/>
      <c r="B3027" s="185" t="s">
        <v>8771</v>
      </c>
      <c r="C3027" s="35" t="str">
        <f t="shared" si="329"/>
        <v>NizamudDawlihHusaynKhan</v>
      </c>
      <c r="D3027" s="1"/>
      <c r="E3027" s="40"/>
      <c r="F3027" s="12"/>
      <c r="G3027" s="9"/>
      <c r="H3027" s="12" t="s">
        <v>8622</v>
      </c>
      <c r="I3027" s="4" t="str">
        <f t="shared" si="330"/>
        <v>|Niẓámu’d-Dawlih Ḥusayn án|</v>
      </c>
      <c r="J3027" s="3" t="str">
        <f t="shared" si="331"/>
        <v>|Nizamu'd-Dawlih Husayn Khan|</v>
      </c>
      <c r="K3027" s="3" t="str">
        <f t="shared" si="332"/>
        <v>Nizamud-Dawlih Husayn Khan</v>
      </c>
      <c r="N3027" s="39" t="str">
        <f t="shared" si="333"/>
        <v/>
      </c>
      <c r="P3027" s="39" t="str">
        <f t="shared" si="334"/>
        <v/>
      </c>
      <c r="R3027" s="39" t="str">
        <f t="shared" si="335"/>
        <v/>
      </c>
      <c r="S3027" s="29">
        <v>41760</v>
      </c>
      <c r="T3027" s="28"/>
      <c r="U3027" s="28"/>
    </row>
    <row r="3028" spans="1:21" s="5" customFormat="1">
      <c r="A3028" s="179" t="s">
        <v>3516</v>
      </c>
      <c r="B3028" s="185" t="s">
        <v>7483</v>
      </c>
      <c r="C3028" s="35" t="str">
        <f t="shared" si="329"/>
        <v>NizamulMulk</v>
      </c>
      <c r="E3028" s="40"/>
      <c r="F3028" s="15"/>
      <c r="G3028" s="17"/>
      <c r="H3028" s="10" t="s">
        <v>8563</v>
      </c>
      <c r="I3028" s="4" t="str">
        <f t="shared" si="330"/>
        <v>|Niẓámu’l-Mulk|</v>
      </c>
      <c r="J3028" s="3" t="str">
        <f t="shared" si="331"/>
        <v>|Nizamu'l-Mulk|</v>
      </c>
      <c r="K3028" s="3" t="str">
        <f t="shared" si="332"/>
        <v>Nizamul-Mulk</v>
      </c>
      <c r="N3028" s="39" t="str">
        <f t="shared" si="333"/>
        <v/>
      </c>
      <c r="P3028" s="39" t="str">
        <f t="shared" si="334"/>
        <v/>
      </c>
      <c r="R3028" s="39" t="str">
        <f t="shared" si="335"/>
        <v/>
      </c>
      <c r="S3028" s="28"/>
      <c r="T3028" s="28"/>
      <c r="U3028" s="28"/>
    </row>
    <row r="3029" spans="1:21" s="5" customFormat="1">
      <c r="A3029" s="179" t="s">
        <v>3517</v>
      </c>
      <c r="B3029" s="185" t="s">
        <v>7484</v>
      </c>
      <c r="C3029" s="35" t="str">
        <f t="shared" si="329"/>
        <v>NizamulUlama</v>
      </c>
      <c r="E3029" s="40"/>
      <c r="F3029" s="15"/>
      <c r="G3029" s="17"/>
      <c r="H3029" s="10" t="s">
        <v>8563</v>
      </c>
      <c r="I3029" s="4" t="str">
        <f t="shared" si="330"/>
        <v>|Niẓámu’l-ʿUlamá|</v>
      </c>
      <c r="J3029" s="3" t="str">
        <f t="shared" si="331"/>
        <v>|Nizamu'l-'Ulama|</v>
      </c>
      <c r="K3029" s="3" t="str">
        <f t="shared" si="332"/>
        <v>Nizamul-Ulama</v>
      </c>
      <c r="N3029" s="39" t="str">
        <f t="shared" si="333"/>
        <v/>
      </c>
      <c r="P3029" s="39" t="str">
        <f t="shared" si="334"/>
        <v/>
      </c>
      <c r="R3029" s="39" t="str">
        <f t="shared" si="335"/>
        <v/>
      </c>
      <c r="S3029" s="28"/>
      <c r="T3029" s="28"/>
      <c r="U3029" s="28"/>
    </row>
    <row r="3030" spans="1:21" s="5" customFormat="1">
      <c r="A3030" s="179" t="s">
        <v>3519</v>
      </c>
      <c r="B3030" s="185" t="s">
        <v>7486</v>
      </c>
      <c r="C3030" s="35" t="str">
        <f t="shared" si="329"/>
        <v>NubuvvatiKhassih</v>
      </c>
      <c r="E3030" s="40"/>
      <c r="F3030" s="14"/>
      <c r="G3030" s="17"/>
      <c r="H3030" s="10" t="s">
        <v>8563</v>
      </c>
      <c r="I3030" s="4" t="str">
        <f t="shared" si="330"/>
        <v>|Nubuvvat-i-assih|</v>
      </c>
      <c r="J3030" s="3" t="str">
        <f t="shared" si="331"/>
        <v>|Nubuvvat-i-Khassih|</v>
      </c>
      <c r="K3030" s="3" t="str">
        <f t="shared" si="332"/>
        <v>Nubuvvat-i-Khassih</v>
      </c>
      <c r="N3030" s="39" t="str">
        <f t="shared" si="333"/>
        <v/>
      </c>
      <c r="P3030" s="39" t="str">
        <f t="shared" si="334"/>
        <v/>
      </c>
      <c r="R3030" s="39" t="str">
        <f t="shared" si="335"/>
        <v/>
      </c>
      <c r="S3030" s="28"/>
      <c r="T3030" s="28"/>
      <c r="U3030" s="28"/>
    </row>
    <row r="3031" spans="1:21" s="5" customFormat="1">
      <c r="A3031" s="179" t="s">
        <v>3520</v>
      </c>
      <c r="B3031" s="185" t="s">
        <v>7487</v>
      </c>
      <c r="C3031" s="35" t="str">
        <f t="shared" si="329"/>
        <v>Nudbih</v>
      </c>
      <c r="E3031" s="40"/>
      <c r="F3031" s="14"/>
      <c r="G3031" s="17"/>
      <c r="H3031" s="10" t="s">
        <v>8563</v>
      </c>
      <c r="I3031" s="4" t="str">
        <f t="shared" si="330"/>
        <v>|Nudbih|</v>
      </c>
      <c r="J3031" s="3" t="str">
        <f t="shared" si="331"/>
        <v>|Nudbih|</v>
      </c>
      <c r="K3031" s="3" t="str">
        <f t="shared" si="332"/>
        <v>Nudbih</v>
      </c>
      <c r="N3031" s="39" t="str">
        <f t="shared" si="333"/>
        <v/>
      </c>
      <c r="P3031" s="39" t="str">
        <f t="shared" si="334"/>
        <v/>
      </c>
      <c r="R3031" s="39" t="str">
        <f t="shared" si="335"/>
        <v/>
      </c>
      <c r="S3031" s="28"/>
      <c r="T3031" s="28"/>
      <c r="U3031" s="28"/>
    </row>
    <row r="3032" spans="1:21" s="5" customFormat="1">
      <c r="A3032" s="179" t="s">
        <v>3521</v>
      </c>
      <c r="B3032" s="185" t="s">
        <v>7488</v>
      </c>
      <c r="C3032" s="35" t="str">
        <f t="shared" si="329"/>
        <v>Nujaba</v>
      </c>
      <c r="E3032" s="40"/>
      <c r="F3032" s="15"/>
      <c r="G3032" s="17"/>
      <c r="H3032" s="10" t="s">
        <v>8563</v>
      </c>
      <c r="I3032" s="4" t="str">
        <f t="shared" si="330"/>
        <v>|Nujabá|</v>
      </c>
      <c r="J3032" s="3" t="str">
        <f t="shared" si="331"/>
        <v>|Nujaba|</v>
      </c>
      <c r="K3032" s="3" t="str">
        <f t="shared" si="332"/>
        <v>Nujaba</v>
      </c>
      <c r="N3032" s="39" t="str">
        <f t="shared" si="333"/>
        <v/>
      </c>
      <c r="P3032" s="39" t="str">
        <f t="shared" si="334"/>
        <v/>
      </c>
      <c r="R3032" s="39" t="str">
        <f t="shared" si="335"/>
        <v/>
      </c>
      <c r="S3032" s="28"/>
      <c r="T3032" s="28"/>
      <c r="U3032" s="28"/>
    </row>
    <row r="3033" spans="1:21" s="5" customFormat="1">
      <c r="A3033" s="179" t="s">
        <v>3522</v>
      </c>
      <c r="B3033" s="185" t="s">
        <v>7489</v>
      </c>
      <c r="C3033" s="35" t="str">
        <f t="shared" si="329"/>
        <v>Nuk</v>
      </c>
      <c r="E3033" s="40"/>
      <c r="F3033" s="15" t="s">
        <v>2407</v>
      </c>
      <c r="G3033" s="17"/>
      <c r="H3033" s="10" t="s">
        <v>8563</v>
      </c>
      <c r="I3033" s="4" t="str">
        <f t="shared" si="330"/>
        <v>|Núk|</v>
      </c>
      <c r="J3033" s="3" t="str">
        <f t="shared" si="331"/>
        <v>|Nuk|</v>
      </c>
      <c r="K3033" s="3" t="str">
        <f t="shared" si="332"/>
        <v>Nuk</v>
      </c>
      <c r="N3033" s="39" t="str">
        <f t="shared" si="333"/>
        <v/>
      </c>
      <c r="P3033" s="39" t="str">
        <f t="shared" si="334"/>
        <v/>
      </c>
      <c r="R3033" s="39" t="str">
        <f t="shared" si="335"/>
        <v/>
      </c>
      <c r="S3033" s="28"/>
      <c r="T3033" s="28"/>
      <c r="U3033" s="28"/>
    </row>
    <row r="3034" spans="1:21" s="5" customFormat="1">
      <c r="A3034" s="179" t="s">
        <v>3409</v>
      </c>
      <c r="B3034" s="185" t="s">
        <v>7389</v>
      </c>
      <c r="C3034" s="35" t="str">
        <f t="shared" si="329"/>
        <v>Nukhud</v>
      </c>
      <c r="E3034" s="40"/>
      <c r="F3034" s="15"/>
      <c r="G3034" s="17"/>
      <c r="H3034" s="10" t="s">
        <v>8563</v>
      </c>
      <c r="I3034" s="4" t="str">
        <f t="shared" si="330"/>
        <v>|Nuud|</v>
      </c>
      <c r="J3034" s="3" t="str">
        <f t="shared" si="331"/>
        <v>|Nukhud|</v>
      </c>
      <c r="K3034" s="3" t="str">
        <f t="shared" si="332"/>
        <v>Nukhud</v>
      </c>
      <c r="N3034" s="39" t="str">
        <f t="shared" si="333"/>
        <v/>
      </c>
      <c r="P3034" s="39" t="str">
        <f t="shared" si="334"/>
        <v/>
      </c>
      <c r="R3034" s="39" t="str">
        <f t="shared" si="335"/>
        <v/>
      </c>
      <c r="S3034" s="28"/>
      <c r="T3034" s="28"/>
      <c r="U3034" s="28"/>
    </row>
    <row r="3035" spans="1:21" s="5" customFormat="1">
      <c r="A3035" s="179" t="s">
        <v>3523</v>
      </c>
      <c r="B3035" s="185" t="s">
        <v>194</v>
      </c>
      <c r="C3035" s="35" t="str">
        <f t="shared" si="329"/>
        <v>Numan</v>
      </c>
      <c r="E3035" s="40"/>
      <c r="F3035" s="15"/>
      <c r="G3035" s="17"/>
      <c r="H3035" s="10" t="s">
        <v>8563</v>
      </c>
      <c r="I3035" s="4" t="str">
        <f t="shared" si="330"/>
        <v>|Nuʿmán|</v>
      </c>
      <c r="J3035" s="3" t="str">
        <f t="shared" si="331"/>
        <v>|Nu'man|</v>
      </c>
      <c r="K3035" s="3" t="str">
        <f t="shared" si="332"/>
        <v>Numan</v>
      </c>
      <c r="N3035" s="39" t="str">
        <f t="shared" si="333"/>
        <v/>
      </c>
      <c r="P3035" s="39" t="str">
        <f t="shared" si="334"/>
        <v/>
      </c>
      <c r="R3035" s="39" t="str">
        <f t="shared" si="335"/>
        <v/>
      </c>
      <c r="S3035" s="28"/>
      <c r="T3035" s="28"/>
      <c r="U3035" s="28"/>
    </row>
    <row r="3036" spans="1:21" s="5" customFormat="1">
      <c r="A3036" s="179" t="s">
        <v>3524</v>
      </c>
      <c r="B3036" s="185" t="s">
        <v>7490</v>
      </c>
      <c r="C3036" s="35" t="str">
        <f t="shared" si="329"/>
        <v>Nun</v>
      </c>
      <c r="E3036" s="40"/>
      <c r="F3036" s="14"/>
      <c r="G3036" s="17"/>
      <c r="H3036" s="10" t="s">
        <v>8563</v>
      </c>
      <c r="I3036" s="4" t="str">
        <f t="shared" si="330"/>
        <v>|Nún|</v>
      </c>
      <c r="J3036" s="3" t="str">
        <f t="shared" si="331"/>
        <v>|Nun|</v>
      </c>
      <c r="K3036" s="3" t="str">
        <f t="shared" si="332"/>
        <v>Nun</v>
      </c>
      <c r="L3036" s="5" t="s">
        <v>9069</v>
      </c>
      <c r="N3036" s="39" t="str">
        <f t="shared" si="333"/>
        <v/>
      </c>
      <c r="P3036" s="39" t="str">
        <f t="shared" si="334"/>
        <v/>
      </c>
      <c r="R3036" s="39" t="str">
        <f t="shared" si="335"/>
        <v/>
      </c>
      <c r="S3036" s="28"/>
      <c r="T3036" s="28"/>
      <c r="U3036" s="28"/>
    </row>
    <row r="3037" spans="1:21" s="5" customFormat="1">
      <c r="A3037" s="179" t="s">
        <v>3525</v>
      </c>
      <c r="B3037" s="185" t="s">
        <v>7491</v>
      </c>
      <c r="C3037" s="35" t="str">
        <f t="shared" si="329"/>
        <v>Nuqaba</v>
      </c>
      <c r="E3037" s="40"/>
      <c r="F3037" s="15"/>
      <c r="G3037" s="17"/>
      <c r="H3037" s="10" t="s">
        <v>8563</v>
      </c>
      <c r="I3037" s="4" t="str">
        <f t="shared" si="330"/>
        <v>|Nuqabá|</v>
      </c>
      <c r="J3037" s="3" t="str">
        <f t="shared" si="331"/>
        <v>|Nuqaba|</v>
      </c>
      <c r="K3037" s="3" t="str">
        <f t="shared" si="332"/>
        <v>Nuqaba</v>
      </c>
      <c r="N3037" s="39" t="str">
        <f t="shared" si="333"/>
        <v/>
      </c>
      <c r="P3037" s="39" t="str">
        <f t="shared" si="334"/>
        <v/>
      </c>
      <c r="R3037" s="39" t="str">
        <f t="shared" si="335"/>
        <v/>
      </c>
      <c r="S3037" s="28"/>
      <c r="T3037" s="28"/>
      <c r="U3037" s="28"/>
    </row>
    <row r="3038" spans="1:21" s="5" customFormat="1">
      <c r="A3038" s="179" t="s">
        <v>3527</v>
      </c>
      <c r="B3038" s="185" t="s">
        <v>7493</v>
      </c>
      <c r="C3038" s="35" t="str">
        <f t="shared" si="329"/>
        <v>NuqtatuʼlAvvaliyyih</v>
      </c>
      <c r="E3038" s="40"/>
      <c r="F3038" s="15"/>
      <c r="G3038" s="17"/>
      <c r="H3038" s="10" t="s">
        <v>8563</v>
      </c>
      <c r="I3038" s="4" t="str">
        <f t="shared" si="330"/>
        <v>|Nuqṭatuʼl-Avvaliyyih|</v>
      </c>
      <c r="J3038" s="3" t="str">
        <f t="shared" si="331"/>
        <v>|Nuqtatuʼl-Avvaliyyih|</v>
      </c>
      <c r="K3038" s="3" t="str">
        <f t="shared" si="332"/>
        <v>Nuqtatuʼl-Avvaliyyih</v>
      </c>
      <c r="N3038" s="39" t="str">
        <f t="shared" si="333"/>
        <v/>
      </c>
      <c r="P3038" s="39" t="str">
        <f t="shared" si="334"/>
        <v/>
      </c>
      <c r="R3038" s="39" t="str">
        <f t="shared" si="335"/>
        <v/>
      </c>
      <c r="S3038" s="28"/>
      <c r="T3038" s="28"/>
      <c r="U3038" s="28"/>
    </row>
    <row r="3039" spans="1:21" s="5" customFormat="1">
      <c r="A3039" s="179" t="s">
        <v>3528</v>
      </c>
      <c r="B3039" s="185" t="s">
        <v>7494</v>
      </c>
      <c r="C3039" s="35" t="str">
        <f t="shared" si="329"/>
        <v>NuqtatulKaf</v>
      </c>
      <c r="E3039" s="40"/>
      <c r="F3039" s="15" t="s">
        <v>3529</v>
      </c>
      <c r="G3039" s="17"/>
      <c r="H3039" s="10" t="s">
        <v>8563</v>
      </c>
      <c r="I3039" s="4" t="str">
        <f t="shared" si="330"/>
        <v>|Nuqṭatu’l-Káf|</v>
      </c>
      <c r="J3039" s="3" t="str">
        <f t="shared" si="331"/>
        <v>|Nuqtatu'l-Kaf|</v>
      </c>
      <c r="K3039" s="3" t="str">
        <f t="shared" si="332"/>
        <v>Nuqtatul-Kaf</v>
      </c>
      <c r="N3039" s="39" t="str">
        <f t="shared" si="333"/>
        <v/>
      </c>
      <c r="P3039" s="39" t="str">
        <f t="shared" si="334"/>
        <v/>
      </c>
      <c r="R3039" s="39" t="str">
        <f t="shared" si="335"/>
        <v/>
      </c>
      <c r="S3039" s="28"/>
      <c r="T3039" s="28"/>
      <c r="U3039" s="28"/>
    </row>
    <row r="3040" spans="1:21" s="5" customFormat="1">
      <c r="A3040" s="179" t="s">
        <v>3526</v>
      </c>
      <c r="B3040" s="185" t="s">
        <v>7492</v>
      </c>
      <c r="C3040" s="35" t="str">
        <f t="shared" si="329"/>
        <v>Nuqtih</v>
      </c>
      <c r="E3040" s="40"/>
      <c r="F3040" s="15"/>
      <c r="G3040" s="17"/>
      <c r="H3040" s="10" t="s">
        <v>8563</v>
      </c>
      <c r="I3040" s="4" t="str">
        <f t="shared" si="330"/>
        <v>|Nuqṭih|</v>
      </c>
      <c r="J3040" s="3" t="str">
        <f t="shared" si="331"/>
        <v>|Nuqtih|</v>
      </c>
      <c r="K3040" s="3" t="str">
        <f t="shared" si="332"/>
        <v>Nuqtih</v>
      </c>
      <c r="N3040" s="39" t="str">
        <f t="shared" si="333"/>
        <v/>
      </c>
      <c r="P3040" s="39" t="str">
        <f t="shared" si="334"/>
        <v/>
      </c>
      <c r="R3040" s="39" t="str">
        <f t="shared" si="335"/>
        <v/>
      </c>
      <c r="S3040" s="28"/>
      <c r="T3040" s="28"/>
      <c r="U3040" s="28"/>
    </row>
    <row r="3041" spans="1:21" s="5" customFormat="1">
      <c r="A3041" s="179" t="s">
        <v>3530</v>
      </c>
      <c r="B3041" s="185" t="s">
        <v>7495</v>
      </c>
      <c r="C3041" s="35" t="str">
        <f t="shared" si="329"/>
        <v>NuqtiyiBayan</v>
      </c>
      <c r="E3041" s="40"/>
      <c r="F3041" s="14"/>
      <c r="G3041" s="17"/>
      <c r="H3041" s="10" t="s">
        <v>8563</v>
      </c>
      <c r="I3041" s="4" t="str">
        <f t="shared" si="330"/>
        <v>|Nuqṭiy-i-Bayán|</v>
      </c>
      <c r="J3041" s="3" t="str">
        <f t="shared" si="331"/>
        <v>|Nuqtiy-i-Bayan|</v>
      </c>
      <c r="K3041" s="3" t="str">
        <f t="shared" si="332"/>
        <v>Nuqtiy-i-Bayan</v>
      </c>
      <c r="N3041" s="39" t="str">
        <f t="shared" si="333"/>
        <v/>
      </c>
      <c r="P3041" s="39" t="str">
        <f t="shared" si="334"/>
        <v/>
      </c>
      <c r="R3041" s="39" t="str">
        <f t="shared" si="335"/>
        <v/>
      </c>
      <c r="S3041" s="28"/>
      <c r="T3041" s="28"/>
      <c r="U3041" s="28"/>
    </row>
    <row r="3042" spans="1:21" s="5" customFormat="1">
      <c r="A3042" s="179" t="s">
        <v>3531</v>
      </c>
      <c r="B3042" s="185" t="s">
        <v>7496</v>
      </c>
      <c r="C3042" s="35" t="str">
        <f t="shared" si="329"/>
        <v>NuqtiyiUkhra</v>
      </c>
      <c r="E3042" s="40"/>
      <c r="F3042" s="14"/>
      <c r="G3042" s="17"/>
      <c r="H3042" s="10" t="s">
        <v>8563</v>
      </c>
      <c r="I3042" s="4" t="str">
        <f t="shared" si="330"/>
        <v>|Nuqṭiy-i-Urá|</v>
      </c>
      <c r="J3042" s="3" t="str">
        <f t="shared" si="331"/>
        <v>|Nuqtiy-i-Ukhra|</v>
      </c>
      <c r="K3042" s="3" t="str">
        <f t="shared" si="332"/>
        <v>Nuqtiy-i-Ukhra</v>
      </c>
      <c r="N3042" s="39" t="str">
        <f t="shared" si="333"/>
        <v/>
      </c>
      <c r="P3042" s="39" t="str">
        <f t="shared" si="334"/>
        <v/>
      </c>
      <c r="R3042" s="39" t="str">
        <f t="shared" si="335"/>
        <v/>
      </c>
      <c r="S3042" s="28"/>
      <c r="T3042" s="28"/>
      <c r="U3042" s="28"/>
    </row>
    <row r="3043" spans="1:21" s="5" customFormat="1">
      <c r="A3043" s="179" t="s">
        <v>3532</v>
      </c>
      <c r="B3043" s="185" t="s">
        <v>7497</v>
      </c>
      <c r="C3043" s="35" t="str">
        <f t="shared" si="329"/>
        <v>NuqtiyiUla</v>
      </c>
      <c r="E3043" s="40"/>
      <c r="F3043" s="14"/>
      <c r="G3043" s="17"/>
      <c r="H3043" s="10" t="s">
        <v>8563</v>
      </c>
      <c r="I3043" s="4" t="str">
        <f t="shared" si="330"/>
        <v>|Nuqṭiy-i-Úlá|</v>
      </c>
      <c r="J3043" s="3" t="str">
        <f t="shared" si="331"/>
        <v>|Nuqtiy-i-Ula|</v>
      </c>
      <c r="K3043" s="3" t="str">
        <f t="shared" si="332"/>
        <v>Nuqtiy-i-Ula</v>
      </c>
      <c r="N3043" s="39" t="str">
        <f t="shared" si="333"/>
        <v/>
      </c>
      <c r="P3043" s="39" t="str">
        <f t="shared" si="334"/>
        <v/>
      </c>
      <c r="R3043" s="39" t="str">
        <f t="shared" si="335"/>
        <v/>
      </c>
      <c r="S3043" s="28"/>
      <c r="T3043" s="28"/>
      <c r="U3043" s="28"/>
    </row>
    <row r="3044" spans="1:21" s="5" customFormat="1">
      <c r="A3044" s="179" t="s">
        <v>3533</v>
      </c>
      <c r="B3044" s="185" t="s">
        <v>37</v>
      </c>
      <c r="C3044" s="35" t="str">
        <f t="shared" si="329"/>
        <v>Nur</v>
      </c>
      <c r="E3044" s="40"/>
      <c r="F3044" s="14" t="s">
        <v>3534</v>
      </c>
      <c r="G3044" s="17"/>
      <c r="H3044" s="10" t="s">
        <v>8563</v>
      </c>
      <c r="I3044" s="4" t="str">
        <f t="shared" si="330"/>
        <v>|Núr|</v>
      </c>
      <c r="J3044" s="3" t="str">
        <f t="shared" si="331"/>
        <v>|Nur|</v>
      </c>
      <c r="K3044" s="3" t="str">
        <f t="shared" si="332"/>
        <v>Nur</v>
      </c>
      <c r="L3044" s="5" t="s">
        <v>9069</v>
      </c>
      <c r="N3044" s="39" t="str">
        <f t="shared" si="333"/>
        <v/>
      </c>
      <c r="P3044" s="39" t="str">
        <f t="shared" si="334"/>
        <v/>
      </c>
      <c r="R3044" s="39" t="str">
        <f t="shared" si="335"/>
        <v/>
      </c>
      <c r="S3044" s="28"/>
      <c r="T3044" s="29">
        <v>41781</v>
      </c>
      <c r="U3044" s="28" t="s">
        <v>9446</v>
      </c>
    </row>
    <row r="3045" spans="1:21" s="5" customFormat="1">
      <c r="A3045" s="179" t="s">
        <v>3468</v>
      </c>
      <c r="B3045" s="185" t="s">
        <v>7441</v>
      </c>
      <c r="C3045" s="35" t="str">
        <f t="shared" si="329"/>
        <v>Nura</v>
      </c>
      <c r="E3045" s="40"/>
      <c r="F3045" s="14"/>
      <c r="G3045" s="17"/>
      <c r="H3045" s="10" t="s">
        <v>8563</v>
      </c>
      <c r="I3045" s="4" t="str">
        <f t="shared" si="330"/>
        <v>|Núrá|</v>
      </c>
      <c r="J3045" s="3" t="str">
        <f t="shared" si="331"/>
        <v>|Nura|</v>
      </c>
      <c r="K3045" s="3" t="str">
        <f t="shared" si="332"/>
        <v>Nura</v>
      </c>
      <c r="N3045" s="39" t="str">
        <f t="shared" si="333"/>
        <v/>
      </c>
      <c r="P3045" s="39" t="str">
        <f t="shared" si="334"/>
        <v/>
      </c>
      <c r="R3045" s="39" t="str">
        <f t="shared" si="335"/>
        <v/>
      </c>
      <c r="S3045" s="28"/>
      <c r="T3045" s="28"/>
      <c r="U3045" s="28"/>
    </row>
    <row r="3046" spans="1:21" s="5" customFormat="1">
      <c r="A3046" s="179" t="s">
        <v>3535</v>
      </c>
      <c r="B3046" s="185" t="s">
        <v>7498</v>
      </c>
      <c r="C3046" s="35" t="str">
        <f t="shared" si="329"/>
        <v>NurAli</v>
      </c>
      <c r="E3046" s="40"/>
      <c r="F3046" s="14"/>
      <c r="G3046" s="17"/>
      <c r="H3046" s="10" t="s">
        <v>8563</v>
      </c>
      <c r="I3046" s="4" t="str">
        <f t="shared" si="330"/>
        <v>|Núr-ʿAlí|</v>
      </c>
      <c r="J3046" s="3" t="str">
        <f t="shared" si="331"/>
        <v>|Nur-'Ali|</v>
      </c>
      <c r="K3046" s="3" t="str">
        <f t="shared" si="332"/>
        <v>Nur-Ali</v>
      </c>
      <c r="N3046" s="39" t="str">
        <f t="shared" si="333"/>
        <v/>
      </c>
      <c r="P3046" s="39" t="str">
        <f t="shared" si="334"/>
        <v/>
      </c>
      <c r="R3046" s="39" t="str">
        <f t="shared" si="335"/>
        <v/>
      </c>
      <c r="S3046" s="28"/>
      <c r="T3046" s="28"/>
      <c r="U3046" s="28"/>
    </row>
    <row r="3047" spans="1:21" s="5" customFormat="1">
      <c r="A3047" s="179" t="s">
        <v>3536</v>
      </c>
      <c r="B3047" s="185" t="s">
        <v>7499</v>
      </c>
      <c r="C3047" s="35" t="str">
        <f t="shared" si="329"/>
        <v>Nurani</v>
      </c>
      <c r="E3047" s="40"/>
      <c r="F3047" s="15"/>
      <c r="G3047" s="17"/>
      <c r="H3047" s="10" t="s">
        <v>8563</v>
      </c>
      <c r="I3047" s="4" t="str">
        <f t="shared" si="330"/>
        <v>|Núrání|</v>
      </c>
      <c r="J3047" s="3" t="str">
        <f t="shared" si="331"/>
        <v>|Nurani|</v>
      </c>
      <c r="K3047" s="3" t="str">
        <f t="shared" si="332"/>
        <v>Nurani</v>
      </c>
      <c r="N3047" s="39" t="str">
        <f t="shared" si="333"/>
        <v/>
      </c>
      <c r="P3047" s="39" t="str">
        <f t="shared" si="334"/>
        <v/>
      </c>
      <c r="R3047" s="39" t="str">
        <f t="shared" si="335"/>
        <v/>
      </c>
      <c r="S3047" s="28"/>
      <c r="T3047" s="28"/>
      <c r="U3047" s="28"/>
    </row>
    <row r="3048" spans="1:21" s="5" customFormat="1">
      <c r="A3048" s="179" t="s">
        <v>3518</v>
      </c>
      <c r="B3048" s="185" t="s">
        <v>7485</v>
      </c>
      <c r="C3048" s="35" t="str">
        <f t="shared" si="329"/>
        <v>NurayniNayyirayn</v>
      </c>
      <c r="E3048" s="40"/>
      <c r="F3048" s="15"/>
      <c r="G3048" s="17"/>
      <c r="H3048" s="10" t="s">
        <v>8563</v>
      </c>
      <c r="I3048" s="4" t="str">
        <f t="shared" si="330"/>
        <v>|Núrayn-i-Nayyirayn|</v>
      </c>
      <c r="J3048" s="3" t="str">
        <f t="shared" si="331"/>
        <v>|Nurayn-i-Nayyirayn|</v>
      </c>
      <c r="K3048" s="3" t="str">
        <f t="shared" si="332"/>
        <v>Nurayn-i-Nayyirayn</v>
      </c>
      <c r="N3048" s="39" t="str">
        <f t="shared" si="333"/>
        <v/>
      </c>
      <c r="P3048" s="39" t="str">
        <f t="shared" si="334"/>
        <v/>
      </c>
      <c r="R3048" s="39" t="str">
        <f t="shared" si="335"/>
        <v/>
      </c>
      <c r="S3048" s="28"/>
      <c r="T3048" s="28"/>
      <c r="U3048" s="28"/>
    </row>
    <row r="3049" spans="1:21" s="5" customFormat="1">
      <c r="A3049" s="179" t="s">
        <v>3537</v>
      </c>
      <c r="B3049" s="185" t="s">
        <v>7500</v>
      </c>
      <c r="C3049" s="35" t="str">
        <f t="shared" si="329"/>
        <v>Nuri</v>
      </c>
      <c r="E3049" s="40"/>
      <c r="F3049" s="14"/>
      <c r="G3049" s="17"/>
      <c r="H3049" s="10" t="s">
        <v>8563</v>
      </c>
      <c r="I3049" s="4" t="str">
        <f t="shared" si="330"/>
        <v>|Núrí|</v>
      </c>
      <c r="J3049" s="3" t="str">
        <f t="shared" si="331"/>
        <v>|Nuri|</v>
      </c>
      <c r="K3049" s="3" t="str">
        <f t="shared" si="332"/>
        <v>Nuri</v>
      </c>
      <c r="N3049" s="39" t="str">
        <f t="shared" si="333"/>
        <v/>
      </c>
      <c r="P3049" s="39" t="str">
        <f t="shared" si="334"/>
        <v/>
      </c>
      <c r="R3049" s="39" t="str">
        <f t="shared" si="335"/>
        <v/>
      </c>
      <c r="S3049" s="28"/>
      <c r="T3049" s="28"/>
      <c r="U3049" s="28"/>
    </row>
    <row r="3050" spans="1:21" s="5" customFormat="1">
      <c r="A3050" s="179" t="s">
        <v>3538</v>
      </c>
      <c r="B3050" s="185" t="s">
        <v>109</v>
      </c>
      <c r="C3050" s="35" t="str">
        <f t="shared" si="329"/>
        <v>NuridDin</v>
      </c>
      <c r="E3050" s="40"/>
      <c r="F3050" s="15" t="s">
        <v>3539</v>
      </c>
      <c r="G3050" s="17"/>
      <c r="H3050" s="10" t="s">
        <v>8563</v>
      </c>
      <c r="I3050" s="4" t="str">
        <f t="shared" si="330"/>
        <v>|Núri’d-Dín|</v>
      </c>
      <c r="J3050" s="3" t="str">
        <f t="shared" si="331"/>
        <v>|Nuri'd-Din|</v>
      </c>
      <c r="K3050" s="3" t="str">
        <f t="shared" si="332"/>
        <v>Nurid-Din</v>
      </c>
      <c r="N3050" s="39" t="str">
        <f t="shared" si="333"/>
        <v/>
      </c>
      <c r="P3050" s="39" t="str">
        <f t="shared" si="334"/>
        <v/>
      </c>
      <c r="R3050" s="39" t="str">
        <f t="shared" si="335"/>
        <v/>
      </c>
      <c r="S3050" s="28"/>
      <c r="T3050" s="28"/>
      <c r="U3050" s="28"/>
    </row>
    <row r="3051" spans="1:21" s="5" customFormat="1">
      <c r="A3051" s="179" t="s">
        <v>3540</v>
      </c>
      <c r="B3051" s="185" t="s">
        <v>7501</v>
      </c>
      <c r="C3051" s="35" t="str">
        <f t="shared" si="329"/>
        <v>NuridDiniZayn</v>
      </c>
      <c r="E3051" s="40"/>
      <c r="F3051" s="15"/>
      <c r="G3051" s="17"/>
      <c r="H3051" s="10" t="s">
        <v>8563</v>
      </c>
      <c r="I3051" s="4" t="str">
        <f t="shared" si="330"/>
        <v>|Núri’d-Dín-i-Zayn|</v>
      </c>
      <c r="J3051" s="3" t="str">
        <f t="shared" si="331"/>
        <v>|Nuri'd-Din-i-Zayn|</v>
      </c>
      <c r="K3051" s="3" t="str">
        <f t="shared" si="332"/>
        <v>Nurid-Din-i-Zayn</v>
      </c>
      <c r="N3051" s="39" t="str">
        <f t="shared" si="333"/>
        <v/>
      </c>
      <c r="P3051" s="39" t="str">
        <f t="shared" si="334"/>
        <v/>
      </c>
      <c r="R3051" s="39" t="str">
        <f t="shared" si="335"/>
        <v/>
      </c>
      <c r="S3051" s="28"/>
      <c r="T3051" s="28"/>
      <c r="U3051" s="28"/>
    </row>
    <row r="3052" spans="1:21" s="5" customFormat="1">
      <c r="A3052" s="179" t="s">
        <v>3541</v>
      </c>
      <c r="B3052" s="185" t="s">
        <v>7502</v>
      </c>
      <c r="C3052" s="35" t="str">
        <f t="shared" si="329"/>
        <v>NurMuhammad</v>
      </c>
      <c r="E3052" s="40"/>
      <c r="F3052" s="14"/>
      <c r="G3052" s="17"/>
      <c r="H3052" s="10" t="s">
        <v>8563</v>
      </c>
      <c r="I3052" s="4" t="str">
        <f t="shared" si="330"/>
        <v>|Núr-Muḥammad|</v>
      </c>
      <c r="J3052" s="3" t="str">
        <f t="shared" si="331"/>
        <v>|Nur-Muhammad|</v>
      </c>
      <c r="K3052" s="3" t="str">
        <f t="shared" si="332"/>
        <v>Nur-Muhammad</v>
      </c>
      <c r="N3052" s="39" t="str">
        <f t="shared" si="333"/>
        <v/>
      </c>
      <c r="P3052" s="39" t="str">
        <f t="shared" si="334"/>
        <v/>
      </c>
      <c r="R3052" s="39" t="str">
        <f t="shared" si="335"/>
        <v/>
      </c>
      <c r="S3052" s="28"/>
      <c r="T3052" s="28"/>
      <c r="U3052" s="28"/>
    </row>
    <row r="3053" spans="1:21" s="5" customFormat="1">
      <c r="A3053" s="179" t="s">
        <v>3542</v>
      </c>
      <c r="B3053" s="185" t="s">
        <v>7503</v>
      </c>
      <c r="C3053" s="35" t="str">
        <f t="shared" si="329"/>
        <v>Nurullah</v>
      </c>
      <c r="E3053" s="40"/>
      <c r="F3053" s="14"/>
      <c r="G3053" s="17"/>
      <c r="H3053" s="10" t="s">
        <v>8563</v>
      </c>
      <c r="I3053" s="4" t="str">
        <f t="shared" si="330"/>
        <v>|Núru’lláh|</v>
      </c>
      <c r="J3053" s="3" t="str">
        <f t="shared" si="331"/>
        <v>|Nuru'llah|</v>
      </c>
      <c r="K3053" s="3" t="str">
        <f t="shared" si="332"/>
        <v>Nurullah</v>
      </c>
      <c r="N3053" s="39" t="str">
        <f t="shared" si="333"/>
        <v/>
      </c>
      <c r="P3053" s="39" t="str">
        <f t="shared" si="334"/>
        <v/>
      </c>
      <c r="R3053" s="39" t="str">
        <f t="shared" si="335"/>
        <v/>
      </c>
      <c r="S3053" s="28"/>
      <c r="T3053" s="28"/>
      <c r="U3053" s="28"/>
    </row>
    <row r="3054" spans="1:21" s="5" customFormat="1">
      <c r="A3054" s="179" t="s">
        <v>3543</v>
      </c>
      <c r="B3054" s="185" t="s">
        <v>7504</v>
      </c>
      <c r="C3054" s="35" t="str">
        <f t="shared" si="329"/>
        <v>Nusayr</v>
      </c>
      <c r="E3054" s="40"/>
      <c r="F3054" s="15" t="s">
        <v>3544</v>
      </c>
      <c r="G3054" s="17"/>
      <c r="H3054" s="10" t="s">
        <v>8563</v>
      </c>
      <c r="I3054" s="4" t="str">
        <f t="shared" si="330"/>
        <v>|Nuṣayr|</v>
      </c>
      <c r="J3054" s="3" t="str">
        <f t="shared" si="331"/>
        <v>|Nusayr|</v>
      </c>
      <c r="K3054" s="3" t="str">
        <f t="shared" si="332"/>
        <v>Nusayr</v>
      </c>
      <c r="N3054" s="39" t="str">
        <f t="shared" si="333"/>
        <v/>
      </c>
      <c r="P3054" s="39" t="str">
        <f t="shared" si="334"/>
        <v/>
      </c>
      <c r="R3054" s="39" t="str">
        <f t="shared" si="335"/>
        <v/>
      </c>
      <c r="S3054" s="28"/>
      <c r="T3054" s="28"/>
      <c r="U3054" s="28"/>
    </row>
    <row r="3055" spans="1:21" s="5" customFormat="1">
      <c r="A3055" s="179" t="s">
        <v>3545</v>
      </c>
      <c r="B3055" s="185" t="s">
        <v>7505</v>
      </c>
      <c r="C3055" s="35" t="str">
        <f t="shared" si="329"/>
        <v>Nusayri</v>
      </c>
      <c r="E3055" s="40"/>
      <c r="F3055" s="15"/>
      <c r="G3055" s="17"/>
      <c r="H3055" s="10" t="s">
        <v>8563</v>
      </c>
      <c r="I3055" s="4" t="str">
        <f t="shared" si="330"/>
        <v>|Nuṣayrí|</v>
      </c>
      <c r="J3055" s="3" t="str">
        <f t="shared" si="331"/>
        <v>|Nusayri|</v>
      </c>
      <c r="K3055" s="3" t="str">
        <f t="shared" si="332"/>
        <v>Nusayri</v>
      </c>
      <c r="N3055" s="39" t="str">
        <f t="shared" si="333"/>
        <v/>
      </c>
      <c r="P3055" s="39" t="str">
        <f t="shared" si="334"/>
        <v/>
      </c>
      <c r="R3055" s="39" t="str">
        <f t="shared" si="335"/>
        <v/>
      </c>
      <c r="S3055" s="28"/>
      <c r="T3055" s="28"/>
      <c r="U3055" s="28"/>
    </row>
    <row r="3056" spans="1:21" s="5" customFormat="1">
      <c r="A3056" s="179" t="s">
        <v>3546</v>
      </c>
      <c r="B3056" s="185" t="s">
        <v>7506</v>
      </c>
      <c r="C3056" s="35" t="str">
        <f t="shared" si="329"/>
        <v>Nusayriyyih</v>
      </c>
      <c r="E3056" s="40"/>
      <c r="F3056" s="15"/>
      <c r="G3056" s="17"/>
      <c r="H3056" s="10" t="s">
        <v>8563</v>
      </c>
      <c r="I3056" s="4" t="str">
        <f t="shared" si="330"/>
        <v>|Nuṣayríyyih|</v>
      </c>
      <c r="J3056" s="3" t="str">
        <f t="shared" si="331"/>
        <v>|Nusayriyyih|</v>
      </c>
      <c r="K3056" s="3" t="str">
        <f t="shared" si="332"/>
        <v>Nusayriyyih</v>
      </c>
      <c r="N3056" s="39" t="str">
        <f t="shared" si="333"/>
        <v/>
      </c>
      <c r="P3056" s="39" t="str">
        <f t="shared" si="334"/>
        <v/>
      </c>
      <c r="R3056" s="39" t="str">
        <f t="shared" si="335"/>
        <v/>
      </c>
      <c r="S3056" s="28"/>
      <c r="T3056" s="28"/>
      <c r="U3056" s="28"/>
    </row>
    <row r="3057" spans="1:21" s="5" customFormat="1">
      <c r="A3057" s="179" t="s">
        <v>3547</v>
      </c>
      <c r="B3057" s="185" t="s">
        <v>7507</v>
      </c>
      <c r="C3057" s="35" t="str">
        <f t="shared" si="329"/>
        <v>Nushijan</v>
      </c>
      <c r="E3057" s="40"/>
      <c r="F3057" s="15" t="s">
        <v>3548</v>
      </c>
      <c r="G3057" s="17"/>
      <c r="H3057" s="10" t="s">
        <v>8563</v>
      </c>
      <c r="I3057" s="4" t="str">
        <f t="shared" si="330"/>
        <v>|Nú-i-ján|</v>
      </c>
      <c r="J3057" s="3" t="str">
        <f t="shared" si="331"/>
        <v>|Nush-i-jan|</v>
      </c>
      <c r="K3057" s="3" t="str">
        <f t="shared" si="332"/>
        <v>Nush-i-jan</v>
      </c>
      <c r="N3057" s="39" t="str">
        <f t="shared" si="333"/>
        <v/>
      </c>
      <c r="P3057" s="39" t="str">
        <f t="shared" si="334"/>
        <v/>
      </c>
      <c r="R3057" s="39" t="str">
        <f t="shared" si="335"/>
        <v/>
      </c>
      <c r="S3057" s="28"/>
      <c r="T3057" s="28"/>
      <c r="U3057" s="28"/>
    </row>
    <row r="3058" spans="1:21" s="5" customFormat="1">
      <c r="A3058" s="179" t="s">
        <v>3550</v>
      </c>
      <c r="B3058" s="185" t="s">
        <v>7508</v>
      </c>
      <c r="C3058" s="35" t="str">
        <f t="shared" si="329"/>
        <v>Nusrat</v>
      </c>
      <c r="E3058" s="40"/>
      <c r="F3058" s="15" t="s">
        <v>3551</v>
      </c>
      <c r="G3058" s="17"/>
      <c r="H3058" s="10" t="s">
        <v>8563</v>
      </c>
      <c r="I3058" s="4" t="str">
        <f t="shared" si="330"/>
        <v>|Nuṣrat|</v>
      </c>
      <c r="J3058" s="3" t="str">
        <f t="shared" si="331"/>
        <v>|Nusrat|</v>
      </c>
      <c r="K3058" s="3" t="str">
        <f t="shared" si="332"/>
        <v>Nusrat</v>
      </c>
      <c r="N3058" s="39" t="str">
        <f t="shared" si="333"/>
        <v/>
      </c>
      <c r="P3058" s="39" t="str">
        <f t="shared" si="334"/>
        <v/>
      </c>
      <c r="R3058" s="39" t="str">
        <f t="shared" si="335"/>
        <v/>
      </c>
      <c r="S3058" s="28"/>
      <c r="T3058" s="28"/>
      <c r="U3058" s="28"/>
    </row>
    <row r="3059" spans="1:21" s="5" customFormat="1">
      <c r="A3059" s="179" t="s">
        <v>3552</v>
      </c>
      <c r="B3059" s="185" t="s">
        <v>7509</v>
      </c>
      <c r="C3059" s="35" t="str">
        <f t="shared" si="329"/>
        <v>NusratudDawlih</v>
      </c>
      <c r="E3059" s="40"/>
      <c r="F3059" s="14"/>
      <c r="G3059" s="17"/>
      <c r="H3059" s="10" t="s">
        <v>8563</v>
      </c>
      <c r="I3059" s="4" t="str">
        <f t="shared" si="330"/>
        <v>|Nuṣratu’d-Dawlih|</v>
      </c>
      <c r="J3059" s="3" t="str">
        <f t="shared" si="331"/>
        <v>|Nusratu'd-Dawlih|</v>
      </c>
      <c r="K3059" s="3" t="str">
        <f t="shared" si="332"/>
        <v>Nusratud-Dawlih</v>
      </c>
      <c r="N3059" s="39" t="str">
        <f t="shared" si="333"/>
        <v/>
      </c>
      <c r="P3059" s="39" t="str">
        <f t="shared" si="334"/>
        <v/>
      </c>
      <c r="R3059" s="39" t="str">
        <f t="shared" si="335"/>
        <v/>
      </c>
      <c r="S3059" s="28"/>
      <c r="T3059" s="28"/>
      <c r="U3059" s="28"/>
    </row>
    <row r="3060" spans="1:21" s="5" customFormat="1">
      <c r="A3060" s="179" t="s">
        <v>3553</v>
      </c>
      <c r="B3060" s="185" t="s">
        <v>7510</v>
      </c>
      <c r="C3060" s="35" t="str">
        <f t="shared" si="329"/>
        <v>NusratudDin</v>
      </c>
      <c r="E3060" s="40"/>
      <c r="F3060" s="15"/>
      <c r="G3060" s="17"/>
      <c r="H3060" s="10" t="s">
        <v>8563</v>
      </c>
      <c r="I3060" s="4" t="str">
        <f t="shared" si="330"/>
        <v>|Nuṣratu’d-Dín|</v>
      </c>
      <c r="J3060" s="3" t="str">
        <f t="shared" si="331"/>
        <v>|Nusratu'd-Din|</v>
      </c>
      <c r="K3060" s="3" t="str">
        <f t="shared" si="332"/>
        <v>Nusratud-Din</v>
      </c>
      <c r="N3060" s="39" t="str">
        <f t="shared" si="333"/>
        <v/>
      </c>
      <c r="P3060" s="39" t="str">
        <f t="shared" si="334"/>
        <v/>
      </c>
      <c r="R3060" s="39" t="str">
        <f t="shared" si="335"/>
        <v/>
      </c>
      <c r="S3060" s="28"/>
      <c r="T3060" s="28"/>
      <c r="U3060" s="28"/>
    </row>
    <row r="3061" spans="1:21" s="5" customFormat="1">
      <c r="A3061" s="179" t="s">
        <v>3554</v>
      </c>
      <c r="B3061" s="185" t="s">
        <v>7511</v>
      </c>
      <c r="C3061" s="35" t="str">
        <f t="shared" si="329"/>
        <v>Padishah</v>
      </c>
      <c r="E3061" s="40"/>
      <c r="F3061" s="14"/>
      <c r="G3061" s="17"/>
      <c r="H3061" s="10" t="s">
        <v>8563</v>
      </c>
      <c r="I3061" s="4" t="str">
        <f t="shared" si="330"/>
        <v>|Pádiáh|</v>
      </c>
      <c r="J3061" s="3" t="str">
        <f t="shared" si="331"/>
        <v>|Padishah|</v>
      </c>
      <c r="K3061" s="3" t="str">
        <f t="shared" si="332"/>
        <v>Padishah</v>
      </c>
      <c r="N3061" s="39" t="str">
        <f t="shared" si="333"/>
        <v/>
      </c>
      <c r="P3061" s="39" t="str">
        <f t="shared" si="334"/>
        <v/>
      </c>
      <c r="R3061" s="39" t="str">
        <f t="shared" si="335"/>
        <v/>
      </c>
      <c r="S3061" s="28"/>
      <c r="T3061" s="28"/>
      <c r="U3061" s="28"/>
    </row>
    <row r="3062" spans="1:21" s="5" customFormat="1">
      <c r="A3062" s="179" t="s">
        <v>3555</v>
      </c>
      <c r="B3062" s="185" t="s">
        <v>7512</v>
      </c>
      <c r="C3062" s="35" t="str">
        <f t="shared" si="329"/>
        <v>Pahlavan</v>
      </c>
      <c r="E3062" s="40"/>
      <c r="F3062" s="14" t="s">
        <v>3556</v>
      </c>
      <c r="G3062" s="17"/>
      <c r="H3062" s="10" t="s">
        <v>8563</v>
      </c>
      <c r="I3062" s="4" t="str">
        <f t="shared" si="330"/>
        <v>|Pahlaván|</v>
      </c>
      <c r="J3062" s="3" t="str">
        <f t="shared" si="331"/>
        <v>|Pahlavan|</v>
      </c>
      <c r="K3062" s="3" t="str">
        <f t="shared" si="332"/>
        <v>Pahlavan</v>
      </c>
      <c r="N3062" s="39" t="str">
        <f t="shared" si="333"/>
        <v/>
      </c>
      <c r="P3062" s="39" t="str">
        <f t="shared" si="334"/>
        <v/>
      </c>
      <c r="R3062" s="39" t="str">
        <f t="shared" si="335"/>
        <v/>
      </c>
      <c r="S3062" s="28"/>
      <c r="T3062" s="28"/>
      <c r="U3062" s="28"/>
    </row>
    <row r="3063" spans="1:21" s="5" customFormat="1">
      <c r="A3063" s="179" t="s">
        <v>3557</v>
      </c>
      <c r="B3063" s="185" t="s">
        <v>7513</v>
      </c>
      <c r="C3063" s="35" t="str">
        <f t="shared" si="329"/>
        <v>Pahlavi</v>
      </c>
      <c r="E3063" s="40"/>
      <c r="F3063" s="14"/>
      <c r="G3063" s="17"/>
      <c r="H3063" s="10" t="s">
        <v>8563</v>
      </c>
      <c r="I3063" s="4" t="str">
        <f t="shared" si="330"/>
        <v>|Pahlaví|</v>
      </c>
      <c r="J3063" s="3" t="str">
        <f t="shared" si="331"/>
        <v>|Pahlavi|</v>
      </c>
      <c r="K3063" s="3" t="str">
        <f t="shared" si="332"/>
        <v>Pahlavi</v>
      </c>
      <c r="N3063" s="39" t="str">
        <f t="shared" si="333"/>
        <v/>
      </c>
      <c r="P3063" s="39" t="str">
        <f t="shared" si="334"/>
        <v/>
      </c>
      <c r="R3063" s="39" t="str">
        <f t="shared" si="335"/>
        <v/>
      </c>
      <c r="S3063" s="28"/>
      <c r="T3063" s="28"/>
      <c r="U3063" s="28"/>
    </row>
    <row r="3064" spans="1:21" s="5" customFormat="1">
      <c r="A3064" s="179" t="s">
        <v>3558</v>
      </c>
      <c r="B3064" s="185" t="s">
        <v>7514</v>
      </c>
      <c r="C3064" s="35" t="str">
        <f t="shared" si="329"/>
        <v>Pakistan</v>
      </c>
      <c r="E3064" s="40"/>
      <c r="F3064" s="14"/>
      <c r="G3064" s="17"/>
      <c r="H3064" s="10" t="s">
        <v>8563</v>
      </c>
      <c r="I3064" s="4" t="str">
        <f t="shared" si="330"/>
        <v>|Pákistán|</v>
      </c>
      <c r="J3064" s="3" t="str">
        <f t="shared" si="331"/>
        <v>|Pakistan|</v>
      </c>
      <c r="K3064" s="3" t="str">
        <f t="shared" si="332"/>
        <v>Pakistan</v>
      </c>
      <c r="N3064" s="39" t="str">
        <f t="shared" si="333"/>
        <v/>
      </c>
      <c r="P3064" s="39" t="str">
        <f t="shared" si="334"/>
        <v/>
      </c>
      <c r="R3064" s="39" t="str">
        <f t="shared" si="335"/>
        <v/>
      </c>
      <c r="S3064" s="28"/>
      <c r="T3064" s="28"/>
      <c r="U3064" s="28"/>
    </row>
    <row r="3065" spans="1:21" s="5" customFormat="1">
      <c r="A3065" s="179" t="s">
        <v>3559</v>
      </c>
      <c r="B3065" s="185" t="s">
        <v>7515</v>
      </c>
      <c r="C3065" s="35" t="str">
        <f t="shared" si="329"/>
        <v>Pakistani</v>
      </c>
      <c r="E3065" s="40"/>
      <c r="F3065" s="14"/>
      <c r="G3065" s="17"/>
      <c r="H3065" s="10" t="s">
        <v>8563</v>
      </c>
      <c r="I3065" s="4" t="str">
        <f t="shared" si="330"/>
        <v>|Pákistání|</v>
      </c>
      <c r="J3065" s="3" t="str">
        <f t="shared" si="331"/>
        <v>|Pakistani|</v>
      </c>
      <c r="K3065" s="3" t="str">
        <f t="shared" si="332"/>
        <v>Pakistani</v>
      </c>
      <c r="N3065" s="39" t="str">
        <f t="shared" si="333"/>
        <v/>
      </c>
      <c r="P3065" s="39" t="str">
        <f t="shared" si="334"/>
        <v/>
      </c>
      <c r="R3065" s="39" t="str">
        <f t="shared" si="335"/>
        <v/>
      </c>
      <c r="S3065" s="28"/>
      <c r="T3065" s="28"/>
      <c r="U3065" s="28"/>
    </row>
    <row r="3066" spans="1:21" s="5" customFormat="1">
      <c r="A3066" s="179" t="s">
        <v>3560</v>
      </c>
      <c r="B3066" s="185" t="s">
        <v>7516</v>
      </c>
      <c r="C3066" s="35" t="str">
        <f t="shared" si="329"/>
        <v>PanjihSiyah</v>
      </c>
      <c r="E3066" s="40"/>
      <c r="F3066" s="15"/>
      <c r="G3066" s="17"/>
      <c r="H3066" s="10" t="s">
        <v>8563</v>
      </c>
      <c r="I3066" s="4" t="str">
        <f t="shared" si="330"/>
        <v>|Panjih-Síyáh|</v>
      </c>
      <c r="J3066" s="3" t="str">
        <f t="shared" si="331"/>
        <v>|Panjih-Siyah|</v>
      </c>
      <c r="K3066" s="3" t="str">
        <f t="shared" si="332"/>
        <v>Panjih-Siyah</v>
      </c>
      <c r="N3066" s="39" t="str">
        <f t="shared" si="333"/>
        <v/>
      </c>
      <c r="P3066" s="39" t="str">
        <f t="shared" si="334"/>
        <v/>
      </c>
      <c r="R3066" s="39" t="str">
        <f t="shared" si="335"/>
        <v/>
      </c>
      <c r="S3066" s="28"/>
      <c r="T3066" s="28"/>
      <c r="U3066" s="28"/>
    </row>
    <row r="3067" spans="1:21" s="5" customFormat="1">
      <c r="A3067" s="179" t="s">
        <v>3561</v>
      </c>
      <c r="B3067" s="185" t="s">
        <v>7517</v>
      </c>
      <c r="C3067" s="35" t="str">
        <f t="shared" si="329"/>
        <v>PanjMaadin</v>
      </c>
      <c r="E3067" s="40"/>
      <c r="F3067" s="15"/>
      <c r="G3067" s="17"/>
      <c r="H3067" s="10" t="s">
        <v>8563</v>
      </c>
      <c r="I3067" s="4" t="str">
        <f t="shared" si="330"/>
        <v>|Panj-Maʿádin|</v>
      </c>
      <c r="J3067" s="3" t="str">
        <f t="shared" si="331"/>
        <v>|Panj-Ma'adin|</v>
      </c>
      <c r="K3067" s="3" t="str">
        <f t="shared" si="332"/>
        <v>Panj-Maadin</v>
      </c>
      <c r="N3067" s="39" t="str">
        <f t="shared" si="333"/>
        <v/>
      </c>
      <c r="P3067" s="39" t="str">
        <f t="shared" si="334"/>
        <v/>
      </c>
      <c r="R3067" s="39" t="str">
        <f t="shared" si="335"/>
        <v/>
      </c>
      <c r="S3067" s="28"/>
      <c r="T3067" s="28"/>
      <c r="U3067" s="28"/>
    </row>
    <row r="3068" spans="1:21" s="5" customFormat="1">
      <c r="A3068" s="179" t="s">
        <v>3562</v>
      </c>
      <c r="B3068" s="185" t="s">
        <v>7518</v>
      </c>
      <c r="C3068" s="35" t="str">
        <f t="shared" si="329"/>
        <v>PanjShanbihBazar</v>
      </c>
      <c r="E3068" s="40"/>
      <c r="F3068" s="15"/>
      <c r="G3068" s="17"/>
      <c r="H3068" s="10" t="s">
        <v>8563</v>
      </c>
      <c r="I3068" s="4" t="str">
        <f t="shared" si="330"/>
        <v>|Panj-anbih-Bázár|</v>
      </c>
      <c r="J3068" s="3" t="str">
        <f t="shared" si="331"/>
        <v>|Panj-Shanbih-Bazar|</v>
      </c>
      <c r="K3068" s="3" t="str">
        <f t="shared" si="332"/>
        <v>Panj-Shanbih-Bazar</v>
      </c>
      <c r="N3068" s="39" t="str">
        <f t="shared" si="333"/>
        <v/>
      </c>
      <c r="P3068" s="39" t="str">
        <f t="shared" si="334"/>
        <v/>
      </c>
      <c r="R3068" s="39" t="str">
        <f t="shared" si="335"/>
        <v/>
      </c>
      <c r="S3068" s="28"/>
      <c r="T3068" s="28"/>
      <c r="U3068" s="28"/>
    </row>
    <row r="3069" spans="1:21" s="5" customFormat="1">
      <c r="A3069" s="179" t="s">
        <v>3563</v>
      </c>
      <c r="B3069" s="185" t="s">
        <v>7519</v>
      </c>
      <c r="C3069" s="35" t="str">
        <f t="shared" si="329"/>
        <v>Par</v>
      </c>
      <c r="E3069" s="40"/>
      <c r="F3069" s="14"/>
      <c r="G3069" s="17"/>
      <c r="H3069" s="10" t="s">
        <v>8563</v>
      </c>
      <c r="I3069" s="4" t="str">
        <f t="shared" si="330"/>
        <v>|Par|</v>
      </c>
      <c r="J3069" s="3" t="str">
        <f t="shared" si="331"/>
        <v>|Par|</v>
      </c>
      <c r="K3069" s="3" t="str">
        <f t="shared" si="332"/>
        <v>Par</v>
      </c>
      <c r="N3069" s="39" t="str">
        <f t="shared" si="333"/>
        <v/>
      </c>
      <c r="P3069" s="39" t="str">
        <f t="shared" si="334"/>
        <v/>
      </c>
      <c r="R3069" s="39" t="str">
        <f t="shared" si="335"/>
        <v/>
      </c>
      <c r="S3069" s="28"/>
      <c r="T3069" s="28"/>
      <c r="U3069" s="28"/>
    </row>
    <row r="3070" spans="1:21" s="5" customFormat="1">
      <c r="A3070" s="179" t="s">
        <v>3564</v>
      </c>
      <c r="B3070" s="185" t="s">
        <v>7520</v>
      </c>
      <c r="C3070" s="35" t="str">
        <f t="shared" si="329"/>
        <v>Paran</v>
      </c>
      <c r="E3070" s="40"/>
      <c r="F3070" s="14"/>
      <c r="G3070" s="17"/>
      <c r="H3070" s="10" t="s">
        <v>8563</v>
      </c>
      <c r="I3070" s="4" t="str">
        <f t="shared" si="330"/>
        <v>|Párán|</v>
      </c>
      <c r="J3070" s="3" t="str">
        <f t="shared" si="331"/>
        <v>|Paran|</v>
      </c>
      <c r="K3070" s="3" t="str">
        <f t="shared" si="332"/>
        <v>Paran</v>
      </c>
      <c r="N3070" s="39" t="str">
        <f t="shared" si="333"/>
        <v/>
      </c>
      <c r="P3070" s="39" t="str">
        <f t="shared" si="334"/>
        <v/>
      </c>
      <c r="R3070" s="39" t="str">
        <f t="shared" si="335"/>
        <v/>
      </c>
      <c r="S3070" s="28"/>
      <c r="T3070" s="28"/>
      <c r="U3070" s="28"/>
    </row>
    <row r="3071" spans="1:21" s="5" customFormat="1">
      <c r="A3071" s="179" t="s">
        <v>3565</v>
      </c>
      <c r="B3071" s="185" t="s">
        <v>7521</v>
      </c>
      <c r="C3071" s="35" t="str">
        <f t="shared" si="329"/>
        <v>Parish</v>
      </c>
      <c r="E3071" s="40"/>
      <c r="F3071" s="14"/>
      <c r="G3071" s="17"/>
      <c r="H3071" s="10" t="s">
        <v>8563</v>
      </c>
      <c r="I3071" s="4" t="str">
        <f t="shared" si="330"/>
        <v>|Pari|</v>
      </c>
      <c r="J3071" s="3" t="str">
        <f t="shared" si="331"/>
        <v>|Parish|</v>
      </c>
      <c r="K3071" s="3" t="str">
        <f t="shared" si="332"/>
        <v>Parish</v>
      </c>
      <c r="N3071" s="39" t="str">
        <f t="shared" si="333"/>
        <v/>
      </c>
      <c r="P3071" s="39" t="str">
        <f t="shared" si="334"/>
        <v/>
      </c>
      <c r="R3071" s="39" t="str">
        <f t="shared" si="335"/>
        <v/>
      </c>
      <c r="S3071" s="28"/>
      <c r="T3071" s="28"/>
      <c r="U3071" s="28"/>
    </row>
    <row r="3072" spans="1:21" s="5" customFormat="1">
      <c r="A3072" s="179" t="s">
        <v>3566</v>
      </c>
      <c r="B3072" s="185" t="s">
        <v>7522</v>
      </c>
      <c r="C3072" s="35" t="str">
        <f t="shared" si="329"/>
        <v>Parishan</v>
      </c>
      <c r="E3072" s="40"/>
      <c r="F3072" s="15" t="s">
        <v>3567</v>
      </c>
      <c r="G3072" s="17"/>
      <c r="H3072" s="10" t="s">
        <v>8563</v>
      </c>
      <c r="I3072" s="4" t="str">
        <f t="shared" si="330"/>
        <v>|Paríán|</v>
      </c>
      <c r="J3072" s="3" t="str">
        <f t="shared" si="331"/>
        <v>|Parishan|</v>
      </c>
      <c r="K3072" s="3" t="str">
        <f t="shared" si="332"/>
        <v>Parishan</v>
      </c>
      <c r="N3072" s="39" t="str">
        <f t="shared" si="333"/>
        <v/>
      </c>
      <c r="P3072" s="39" t="str">
        <f t="shared" si="334"/>
        <v/>
      </c>
      <c r="R3072" s="39" t="str">
        <f t="shared" si="335"/>
        <v/>
      </c>
      <c r="S3072" s="28"/>
      <c r="T3072" s="28"/>
      <c r="U3072" s="28"/>
    </row>
    <row r="3073" spans="1:21" s="5" customFormat="1">
      <c r="A3073" s="179" t="s">
        <v>3568</v>
      </c>
      <c r="B3073" s="185" t="s">
        <v>7523</v>
      </c>
      <c r="C3073" s="35" t="str">
        <f t="shared" si="329"/>
        <v>Parizi</v>
      </c>
      <c r="E3073" s="40"/>
      <c r="F3073" s="15"/>
      <c r="G3073" s="17"/>
      <c r="H3073" s="10" t="s">
        <v>8563</v>
      </c>
      <c r="I3073" s="4" t="str">
        <f t="shared" si="330"/>
        <v>|Párízí|</v>
      </c>
      <c r="J3073" s="3" t="str">
        <f t="shared" si="331"/>
        <v>|Parizi|</v>
      </c>
      <c r="K3073" s="3" t="str">
        <f t="shared" si="332"/>
        <v>Parizi</v>
      </c>
      <c r="N3073" s="39" t="str">
        <f t="shared" si="333"/>
        <v/>
      </c>
      <c r="P3073" s="39" t="str">
        <f t="shared" si="334"/>
        <v/>
      </c>
      <c r="R3073" s="39" t="str">
        <f t="shared" si="335"/>
        <v/>
      </c>
      <c r="S3073" s="28"/>
      <c r="T3073" s="28"/>
      <c r="U3073" s="28"/>
    </row>
    <row r="3074" spans="1:21" s="5" customFormat="1">
      <c r="A3074" s="179" t="s">
        <v>3569</v>
      </c>
      <c r="B3074" s="185" t="s">
        <v>7524</v>
      </c>
      <c r="C3074" s="35" t="str">
        <f t="shared" ref="C3074:C3137" si="336">SUBSTITUTE(SUBSTITUTE(K3074,"-","")," ","")</f>
        <v>Parpa</v>
      </c>
      <c r="E3074" s="40"/>
      <c r="F3074" s="14"/>
      <c r="G3074" s="17" t="s">
        <v>9125</v>
      </c>
      <c r="H3074" s="10" t="s">
        <v>8563</v>
      </c>
      <c r="I3074" s="4" t="str">
        <f t="shared" ref="I3074:I3137" si="337">CONCATENATE("|",B3074,"|")</f>
        <v>|Parpá|</v>
      </c>
      <c r="J3074" s="3" t="str">
        <f t="shared" ref="J3074:J3137" si="338">CONCATENATE("|",F_OutputASCII(B3074),"|")</f>
        <v>|Parpa|</v>
      </c>
      <c r="K3074" s="3" t="str">
        <f t="shared" ref="K3074:K3137" si="339">IF(SUBSTITUTE(MID(J3074,2,LEN(J3074)-2),"'","")&lt;&gt;"",SUBSTITUTE(MID(J3074,2,LEN(J3074)-2),"'",""),"ZZZZZ")</f>
        <v>Parpa</v>
      </c>
      <c r="N3074" s="39" t="str">
        <f t="shared" si="333"/>
        <v/>
      </c>
      <c r="P3074" s="39" t="str">
        <f t="shared" si="334"/>
        <v/>
      </c>
      <c r="R3074" s="39" t="str">
        <f t="shared" si="335"/>
        <v/>
      </c>
      <c r="S3074" s="28"/>
      <c r="T3074" s="28"/>
      <c r="U3074" s="28"/>
    </row>
    <row r="3075" spans="1:21" s="5" customFormat="1">
      <c r="A3075" s="181"/>
      <c r="B3075" s="185" t="s">
        <v>8654</v>
      </c>
      <c r="C3075" s="35" t="str">
        <f t="shared" si="336"/>
        <v>ParPa</v>
      </c>
      <c r="D3075" s="1"/>
      <c r="E3075" s="40"/>
      <c r="F3075" s="12"/>
      <c r="G3075" s="17" t="s">
        <v>9125</v>
      </c>
      <c r="H3075" s="12" t="s">
        <v>8622</v>
      </c>
      <c r="I3075" s="4" t="str">
        <f t="shared" si="337"/>
        <v>|Par-Pá|</v>
      </c>
      <c r="J3075" s="3" t="str">
        <f t="shared" si="338"/>
        <v>|Par-Pa|</v>
      </c>
      <c r="K3075" s="3" t="str">
        <f t="shared" si="339"/>
        <v>Par-Pa</v>
      </c>
      <c r="N3075" s="39" t="str">
        <f t="shared" ref="N3075:N3138" si="340">SUBSTITUTE(SUBSTITUTE(SUBSTITUTE(F_OutputASCII(M3075),"-","")," ",""),"'","")</f>
        <v/>
      </c>
      <c r="P3075" s="39" t="str">
        <f t="shared" ref="P3075:P3138" si="341">SUBSTITUTE(SUBSTITUTE(SUBSTITUTE(F_OutputASCII(O3075),"-","")," ",""),"'","")</f>
        <v/>
      </c>
      <c r="R3075" s="39" t="str">
        <f t="shared" ref="R3075:R3138" si="342">SUBSTITUTE(SUBSTITUTE(Q3075,"-","")," ","")</f>
        <v/>
      </c>
      <c r="S3075" s="29">
        <v>41760</v>
      </c>
      <c r="T3075" s="28"/>
      <c r="U3075" s="28"/>
    </row>
    <row r="3076" spans="1:21" s="5" customFormat="1">
      <c r="A3076" s="179" t="s">
        <v>3570</v>
      </c>
      <c r="B3076" s="185" t="s">
        <v>7525</v>
      </c>
      <c r="C3076" s="35" t="str">
        <f t="shared" si="336"/>
        <v>Parsi</v>
      </c>
      <c r="E3076" s="40"/>
      <c r="F3076" s="14"/>
      <c r="G3076" s="17"/>
      <c r="H3076" s="10" t="s">
        <v>8563</v>
      </c>
      <c r="I3076" s="4" t="str">
        <f t="shared" si="337"/>
        <v>|Pársí|</v>
      </c>
      <c r="J3076" s="3" t="str">
        <f t="shared" si="338"/>
        <v>|Parsi|</v>
      </c>
      <c r="K3076" s="3" t="str">
        <f t="shared" si="339"/>
        <v>Parsi</v>
      </c>
      <c r="N3076" s="39" t="str">
        <f t="shared" si="340"/>
        <v/>
      </c>
      <c r="P3076" s="39" t="str">
        <f t="shared" si="341"/>
        <v/>
      </c>
      <c r="R3076" s="39" t="str">
        <f t="shared" si="342"/>
        <v/>
      </c>
      <c r="S3076" s="28"/>
      <c r="T3076" s="28"/>
      <c r="U3076" s="28"/>
    </row>
    <row r="3077" spans="1:21" s="5" customFormat="1">
      <c r="A3077" s="179" t="s">
        <v>3571</v>
      </c>
      <c r="B3077" s="185" t="s">
        <v>7526</v>
      </c>
      <c r="C3077" s="35" t="str">
        <f t="shared" si="336"/>
        <v>Parvin</v>
      </c>
      <c r="E3077" s="40"/>
      <c r="F3077" s="14"/>
      <c r="G3077" s="17"/>
      <c r="H3077" s="10" t="s">
        <v>8563</v>
      </c>
      <c r="I3077" s="4" t="str">
        <f t="shared" si="337"/>
        <v>|Parvín|</v>
      </c>
      <c r="J3077" s="3" t="str">
        <f t="shared" si="338"/>
        <v>|Parvin|</v>
      </c>
      <c r="K3077" s="3" t="str">
        <f t="shared" si="339"/>
        <v>Parvin</v>
      </c>
      <c r="N3077" s="39" t="str">
        <f t="shared" si="340"/>
        <v/>
      </c>
      <c r="P3077" s="39" t="str">
        <f t="shared" si="341"/>
        <v/>
      </c>
      <c r="R3077" s="39" t="str">
        <f t="shared" si="342"/>
        <v/>
      </c>
      <c r="S3077" s="28"/>
      <c r="T3077" s="28"/>
      <c r="U3077" s="28"/>
    </row>
    <row r="3078" spans="1:21" s="5" customFormat="1">
      <c r="A3078" s="179" t="s">
        <v>3572</v>
      </c>
      <c r="B3078" s="185" t="s">
        <v>7527</v>
      </c>
      <c r="C3078" s="35" t="str">
        <f t="shared" si="336"/>
        <v>Parviz</v>
      </c>
      <c r="E3078" s="40"/>
      <c r="F3078" s="15"/>
      <c r="G3078" s="17"/>
      <c r="H3078" s="10" t="s">
        <v>8563</v>
      </c>
      <c r="I3078" s="4" t="str">
        <f t="shared" si="337"/>
        <v>|Parvíz|</v>
      </c>
      <c r="J3078" s="3" t="str">
        <f t="shared" si="338"/>
        <v>|Parviz|</v>
      </c>
      <c r="K3078" s="3" t="str">
        <f t="shared" si="339"/>
        <v>Parviz</v>
      </c>
      <c r="N3078" s="39" t="str">
        <f t="shared" si="340"/>
        <v/>
      </c>
      <c r="P3078" s="39" t="str">
        <f t="shared" si="341"/>
        <v/>
      </c>
      <c r="R3078" s="39" t="str">
        <f t="shared" si="342"/>
        <v/>
      </c>
      <c r="S3078" s="28"/>
      <c r="T3078" s="28"/>
      <c r="U3078" s="28"/>
    </row>
    <row r="3079" spans="1:21" s="5" customFormat="1">
      <c r="A3079" s="179" t="s">
        <v>3573</v>
      </c>
      <c r="B3079" s="185" t="s">
        <v>7528</v>
      </c>
      <c r="C3079" s="35" t="str">
        <f t="shared" si="336"/>
        <v>Pasha</v>
      </c>
      <c r="E3079" s="40"/>
      <c r="F3079" s="14" t="s">
        <v>3574</v>
      </c>
      <c r="G3079" s="17"/>
      <c r="H3079" s="10" t="s">
        <v>8563</v>
      </c>
      <c r="I3079" s="4" t="str">
        <f t="shared" si="337"/>
        <v>|Páá|</v>
      </c>
      <c r="J3079" s="3" t="str">
        <f t="shared" si="338"/>
        <v>|Pasha|</v>
      </c>
      <c r="K3079" s="3" t="str">
        <f t="shared" si="339"/>
        <v>Pasha</v>
      </c>
      <c r="N3079" s="39" t="str">
        <f t="shared" si="340"/>
        <v/>
      </c>
      <c r="P3079" s="39" t="str">
        <f t="shared" si="341"/>
        <v/>
      </c>
      <c r="R3079" s="39" t="str">
        <f t="shared" si="342"/>
        <v/>
      </c>
      <c r="S3079" s="28"/>
      <c r="T3079" s="28"/>
      <c r="U3079" s="28"/>
    </row>
    <row r="3080" spans="1:21" s="5" customFormat="1">
      <c r="A3080" s="179" t="s">
        <v>3575</v>
      </c>
      <c r="B3080" s="185" t="s">
        <v>7529</v>
      </c>
      <c r="C3080" s="35" t="str">
        <f t="shared" si="336"/>
        <v>PashayiQibrisi</v>
      </c>
      <c r="E3080" s="40"/>
      <c r="F3080" s="14"/>
      <c r="G3080" s="17"/>
      <c r="H3080" s="10" t="s">
        <v>8563</v>
      </c>
      <c r="I3080" s="4" t="str">
        <f t="shared" si="337"/>
        <v>|Pááy-i-Qibrisí|</v>
      </c>
      <c r="J3080" s="3" t="str">
        <f t="shared" si="338"/>
        <v>|Pashay-i-Qibrisi|</v>
      </c>
      <c r="K3080" s="3" t="str">
        <f t="shared" si="339"/>
        <v>Pashay-i-Qibrisi</v>
      </c>
      <c r="N3080" s="39" t="str">
        <f t="shared" si="340"/>
        <v/>
      </c>
      <c r="P3080" s="39" t="str">
        <f t="shared" si="341"/>
        <v/>
      </c>
      <c r="R3080" s="39" t="str">
        <f t="shared" si="342"/>
        <v/>
      </c>
      <c r="S3080" s="28"/>
      <c r="T3080" s="28"/>
      <c r="U3080" s="28"/>
    </row>
    <row r="3081" spans="1:21" s="5" customFormat="1">
      <c r="A3081" s="179" t="s">
        <v>3576</v>
      </c>
      <c r="B3081" s="185" t="s">
        <v>7530</v>
      </c>
      <c r="C3081" s="35" t="str">
        <f t="shared" si="336"/>
        <v>Payambar</v>
      </c>
      <c r="E3081" s="40"/>
      <c r="F3081" s="15"/>
      <c r="G3081" s="17"/>
      <c r="H3081" s="10" t="s">
        <v>8563</v>
      </c>
      <c r="I3081" s="4" t="str">
        <f t="shared" si="337"/>
        <v>|Payámbar|</v>
      </c>
      <c r="J3081" s="3" t="str">
        <f t="shared" si="338"/>
        <v>|Payambar|</v>
      </c>
      <c r="K3081" s="3" t="str">
        <f t="shared" si="339"/>
        <v>Payambar</v>
      </c>
      <c r="N3081" s="39" t="str">
        <f t="shared" si="340"/>
        <v/>
      </c>
      <c r="P3081" s="39" t="str">
        <f t="shared" si="341"/>
        <v/>
      </c>
      <c r="R3081" s="39" t="str">
        <f t="shared" si="342"/>
        <v/>
      </c>
      <c r="S3081" s="28"/>
      <c r="T3081" s="28"/>
      <c r="U3081" s="28"/>
    </row>
    <row r="3082" spans="1:21" s="5" customFormat="1">
      <c r="A3082" s="179" t="s">
        <v>3577</v>
      </c>
      <c r="B3082" s="185" t="s">
        <v>8616</v>
      </c>
      <c r="C3082" s="35" t="str">
        <f t="shared" si="336"/>
        <v>PayiMinar</v>
      </c>
      <c r="E3082" s="40"/>
      <c r="F3082" s="14"/>
      <c r="G3082" s="17"/>
      <c r="H3082" s="10" t="s">
        <v>8563</v>
      </c>
      <c r="I3082" s="4" t="str">
        <f t="shared" si="337"/>
        <v>|Páy-i-Minár|</v>
      </c>
      <c r="J3082" s="3" t="str">
        <f t="shared" si="338"/>
        <v>|Pay-i-Minar|</v>
      </c>
      <c r="K3082" s="3" t="str">
        <f t="shared" si="339"/>
        <v>Pay-i-Minar</v>
      </c>
      <c r="N3082" s="39" t="str">
        <f t="shared" si="340"/>
        <v/>
      </c>
      <c r="P3082" s="39" t="str">
        <f t="shared" si="341"/>
        <v/>
      </c>
      <c r="R3082" s="39" t="str">
        <f t="shared" si="342"/>
        <v/>
      </c>
      <c r="S3082" s="28"/>
      <c r="T3082" s="28"/>
      <c r="U3082" s="28"/>
    </row>
    <row r="3083" spans="1:21" s="5" customFormat="1">
      <c r="A3083" s="179" t="s">
        <v>3578</v>
      </c>
      <c r="B3083" s="185" t="s">
        <v>7531</v>
      </c>
      <c r="C3083" s="35" t="str">
        <f t="shared" si="336"/>
        <v>Payman</v>
      </c>
      <c r="E3083" s="40"/>
      <c r="F3083" s="15"/>
      <c r="G3083" s="17"/>
      <c r="H3083" s="10" t="s">
        <v>8563</v>
      </c>
      <c r="I3083" s="4" t="str">
        <f t="shared" si="337"/>
        <v>|Paymán|</v>
      </c>
      <c r="J3083" s="3" t="str">
        <f t="shared" si="338"/>
        <v>|Payman|</v>
      </c>
      <c r="K3083" s="3" t="str">
        <f t="shared" si="339"/>
        <v>Payman</v>
      </c>
      <c r="N3083" s="39" t="str">
        <f t="shared" si="340"/>
        <v/>
      </c>
      <c r="P3083" s="39" t="str">
        <f t="shared" si="341"/>
        <v/>
      </c>
      <c r="R3083" s="39" t="str">
        <f t="shared" si="342"/>
        <v/>
      </c>
      <c r="S3083" s="28"/>
      <c r="T3083" s="28"/>
      <c r="U3083" s="28"/>
    </row>
    <row r="3084" spans="1:21" s="5" customFormat="1">
      <c r="A3084" s="179" t="s">
        <v>3579</v>
      </c>
      <c r="B3084" s="185" t="s">
        <v>7532</v>
      </c>
      <c r="C3084" s="35" t="str">
        <f t="shared" si="336"/>
        <v>Payravi</v>
      </c>
      <c r="E3084" s="40"/>
      <c r="F3084" s="15"/>
      <c r="G3084" s="17"/>
      <c r="H3084" s="10" t="s">
        <v>8563</v>
      </c>
      <c r="I3084" s="4" t="str">
        <f t="shared" si="337"/>
        <v>|Payraví|</v>
      </c>
      <c r="J3084" s="3" t="str">
        <f t="shared" si="338"/>
        <v>|Payravi|</v>
      </c>
      <c r="K3084" s="3" t="str">
        <f t="shared" si="339"/>
        <v>Payravi</v>
      </c>
      <c r="N3084" s="39" t="str">
        <f t="shared" si="340"/>
        <v/>
      </c>
      <c r="P3084" s="39" t="str">
        <f t="shared" si="341"/>
        <v/>
      </c>
      <c r="R3084" s="39" t="str">
        <f t="shared" si="342"/>
        <v/>
      </c>
      <c r="S3084" s="28"/>
      <c r="T3084" s="28"/>
      <c r="U3084" s="28"/>
    </row>
    <row r="3085" spans="1:21" s="5" customFormat="1">
      <c r="A3085" s="179" t="s">
        <v>3580</v>
      </c>
      <c r="B3085" s="185" t="s">
        <v>7533</v>
      </c>
      <c r="C3085" s="35" t="str">
        <f t="shared" si="336"/>
        <v>Pichan</v>
      </c>
      <c r="E3085" s="40"/>
      <c r="F3085" s="15" t="s">
        <v>3581</v>
      </c>
      <c r="G3085" s="17"/>
      <c r="H3085" s="10" t="s">
        <v>8563</v>
      </c>
      <c r="I3085" s="4" t="str">
        <f t="shared" si="337"/>
        <v>|Píán|</v>
      </c>
      <c r="J3085" s="3" t="str">
        <f t="shared" si="338"/>
        <v>|Pichan|</v>
      </c>
      <c r="K3085" s="3" t="str">
        <f t="shared" si="339"/>
        <v>Pichan</v>
      </c>
      <c r="N3085" s="39" t="str">
        <f t="shared" si="340"/>
        <v/>
      </c>
      <c r="P3085" s="39" t="str">
        <f t="shared" si="341"/>
        <v/>
      </c>
      <c r="R3085" s="39" t="str">
        <f t="shared" si="342"/>
        <v/>
      </c>
      <c r="S3085" s="28"/>
      <c r="T3085" s="28"/>
      <c r="U3085" s="28"/>
    </row>
    <row r="3086" spans="1:21" s="5" customFormat="1">
      <c r="A3086" s="179" t="s">
        <v>3582</v>
      </c>
      <c r="B3086" s="185" t="s">
        <v>7534</v>
      </c>
      <c r="C3086" s="35" t="str">
        <f t="shared" si="336"/>
        <v>Pichih</v>
      </c>
      <c r="E3086" s="40"/>
      <c r="F3086" s="15" t="s">
        <v>3583</v>
      </c>
      <c r="G3086" s="17"/>
      <c r="H3086" s="10" t="s">
        <v>8563</v>
      </c>
      <c r="I3086" s="4" t="str">
        <f t="shared" si="337"/>
        <v>|Píih|</v>
      </c>
      <c r="J3086" s="3" t="str">
        <f t="shared" si="338"/>
        <v>|Pichih|</v>
      </c>
      <c r="K3086" s="3" t="str">
        <f t="shared" si="339"/>
        <v>Pichih</v>
      </c>
      <c r="N3086" s="39" t="str">
        <f t="shared" si="340"/>
        <v/>
      </c>
      <c r="P3086" s="39" t="str">
        <f t="shared" si="341"/>
        <v/>
      </c>
      <c r="R3086" s="39" t="str">
        <f t="shared" si="342"/>
        <v/>
      </c>
      <c r="S3086" s="28"/>
      <c r="T3086" s="28"/>
      <c r="U3086" s="28"/>
    </row>
    <row r="3087" spans="1:21" s="5" customFormat="1">
      <c r="A3087" s="179" t="s">
        <v>3584</v>
      </c>
      <c r="B3087" s="185" t="s">
        <v>7535</v>
      </c>
      <c r="C3087" s="35" t="str">
        <f t="shared" si="336"/>
        <v>PidarJan</v>
      </c>
      <c r="E3087" s="40"/>
      <c r="F3087" s="14"/>
      <c r="G3087" s="17"/>
      <c r="H3087" s="10" t="s">
        <v>8563</v>
      </c>
      <c r="I3087" s="4" t="str">
        <f t="shared" si="337"/>
        <v>|Pidar-Ján|</v>
      </c>
      <c r="J3087" s="3" t="str">
        <f t="shared" si="338"/>
        <v>|Pidar-Jan|</v>
      </c>
      <c r="K3087" s="3" t="str">
        <f t="shared" si="339"/>
        <v>Pidar-Jan</v>
      </c>
      <c r="N3087" s="39" t="str">
        <f t="shared" si="340"/>
        <v/>
      </c>
      <c r="P3087" s="39" t="str">
        <f t="shared" si="341"/>
        <v/>
      </c>
      <c r="R3087" s="39" t="str">
        <f t="shared" si="342"/>
        <v/>
      </c>
      <c r="S3087" s="28"/>
      <c r="T3087" s="28"/>
      <c r="U3087" s="28"/>
    </row>
    <row r="3088" spans="1:21" s="5" customFormat="1">
      <c r="A3088" s="179" t="s">
        <v>3585</v>
      </c>
      <c r="B3088" s="185" t="s">
        <v>7536</v>
      </c>
      <c r="C3088" s="35" t="str">
        <f t="shared" si="336"/>
        <v>Pir</v>
      </c>
      <c r="E3088" s="40"/>
      <c r="F3088" s="15" t="s">
        <v>3586</v>
      </c>
      <c r="G3088" s="17"/>
      <c r="H3088" s="10" t="s">
        <v>8563</v>
      </c>
      <c r="I3088" s="4" t="str">
        <f t="shared" si="337"/>
        <v>|Pír|</v>
      </c>
      <c r="J3088" s="3" t="str">
        <f t="shared" si="338"/>
        <v>|Pir|</v>
      </c>
      <c r="K3088" s="3" t="str">
        <f t="shared" si="339"/>
        <v>Pir</v>
      </c>
      <c r="N3088" s="39" t="str">
        <f t="shared" si="340"/>
        <v/>
      </c>
      <c r="P3088" s="39" t="str">
        <f t="shared" si="341"/>
        <v/>
      </c>
      <c r="R3088" s="39" t="str">
        <f t="shared" si="342"/>
        <v/>
      </c>
      <c r="S3088" s="28"/>
      <c r="T3088" s="28"/>
      <c r="U3088" s="28"/>
    </row>
    <row r="3089" spans="1:21" s="5" customFormat="1">
      <c r="A3089" s="179" t="s">
        <v>3587</v>
      </c>
      <c r="B3089" s="185" t="s">
        <v>7537</v>
      </c>
      <c r="C3089" s="35" t="str">
        <f t="shared" si="336"/>
        <v>PirMurad</v>
      </c>
      <c r="E3089" s="40"/>
      <c r="F3089" s="14"/>
      <c r="G3089" s="17"/>
      <c r="H3089" s="10" t="s">
        <v>8563</v>
      </c>
      <c r="I3089" s="4" t="str">
        <f t="shared" si="337"/>
        <v>|Pír-Murád|</v>
      </c>
      <c r="J3089" s="3" t="str">
        <f t="shared" si="338"/>
        <v>|Pir-Murad|</v>
      </c>
      <c r="K3089" s="3" t="str">
        <f t="shared" si="339"/>
        <v>Pir-Murad</v>
      </c>
      <c r="N3089" s="39" t="str">
        <f t="shared" si="340"/>
        <v/>
      </c>
      <c r="P3089" s="39" t="str">
        <f t="shared" si="341"/>
        <v/>
      </c>
      <c r="R3089" s="39" t="str">
        <f t="shared" si="342"/>
        <v/>
      </c>
      <c r="S3089" s="28"/>
      <c r="T3089" s="28"/>
      <c r="U3089" s="28"/>
    </row>
    <row r="3090" spans="1:21" s="5" customFormat="1">
      <c r="A3090" s="179" t="s">
        <v>3592</v>
      </c>
      <c r="B3090" s="185" t="s">
        <v>7541</v>
      </c>
      <c r="C3090" s="35" t="str">
        <f t="shared" si="336"/>
        <v>pishpish</v>
      </c>
      <c r="E3090" s="40"/>
      <c r="F3090" s="15" t="s">
        <v>3593</v>
      </c>
      <c r="G3090" s="17"/>
      <c r="H3090" s="10" t="s">
        <v>8563</v>
      </c>
      <c r="I3090" s="4" t="str">
        <f t="shared" si="337"/>
        <v>|pí pí|</v>
      </c>
      <c r="J3090" s="3" t="str">
        <f t="shared" si="338"/>
        <v>|pish pish|</v>
      </c>
      <c r="K3090" s="3" t="str">
        <f t="shared" si="339"/>
        <v>pish pish</v>
      </c>
      <c r="N3090" s="39" t="str">
        <f t="shared" si="340"/>
        <v/>
      </c>
      <c r="P3090" s="39" t="str">
        <f t="shared" si="341"/>
        <v/>
      </c>
      <c r="R3090" s="39" t="str">
        <f t="shared" si="342"/>
        <v/>
      </c>
      <c r="S3090" s="28"/>
      <c r="T3090" s="28"/>
      <c r="U3090" s="28"/>
    </row>
    <row r="3091" spans="1:21" s="5" customFormat="1">
      <c r="A3091" s="179" t="s">
        <v>3588</v>
      </c>
      <c r="B3091" s="185" t="s">
        <v>7538</v>
      </c>
      <c r="C3091" s="35" t="str">
        <f t="shared" si="336"/>
        <v>Pishdadiyan</v>
      </c>
      <c r="E3091" s="40"/>
      <c r="F3091" s="14"/>
      <c r="G3091" s="17"/>
      <c r="H3091" s="10" t="s">
        <v>8563</v>
      </c>
      <c r="I3091" s="4" t="str">
        <f t="shared" si="337"/>
        <v>|Pídádíyán|</v>
      </c>
      <c r="J3091" s="3" t="str">
        <f t="shared" si="338"/>
        <v>|Pishdadiyan|</v>
      </c>
      <c r="K3091" s="3" t="str">
        <f t="shared" si="339"/>
        <v>Pishdadiyan</v>
      </c>
      <c r="N3091" s="39" t="str">
        <f t="shared" si="340"/>
        <v/>
      </c>
      <c r="P3091" s="39" t="str">
        <f t="shared" si="341"/>
        <v/>
      </c>
      <c r="R3091" s="39" t="str">
        <f t="shared" si="342"/>
        <v/>
      </c>
      <c r="S3091" s="28"/>
      <c r="T3091" s="28"/>
      <c r="U3091" s="28"/>
    </row>
    <row r="3092" spans="1:21" s="5" customFormat="1">
      <c r="A3092" s="179" t="s">
        <v>3589</v>
      </c>
      <c r="B3092" s="185" t="s">
        <v>7539</v>
      </c>
      <c r="C3092" s="35" t="str">
        <f t="shared" si="336"/>
        <v>Pishkish</v>
      </c>
      <c r="E3092" s="40"/>
      <c r="F3092" s="14" t="s">
        <v>3590</v>
      </c>
      <c r="G3092" s="17"/>
      <c r="H3092" s="10" t="s">
        <v>8563</v>
      </c>
      <c r="I3092" s="4" t="str">
        <f t="shared" si="337"/>
        <v>|Píki|</v>
      </c>
      <c r="J3092" s="3" t="str">
        <f t="shared" si="338"/>
        <v>|Pishkish|</v>
      </c>
      <c r="K3092" s="3" t="str">
        <f t="shared" si="339"/>
        <v>Pishkish</v>
      </c>
      <c r="N3092" s="39" t="str">
        <f t="shared" si="340"/>
        <v/>
      </c>
      <c r="P3092" s="39" t="str">
        <f t="shared" si="341"/>
        <v/>
      </c>
      <c r="R3092" s="39" t="str">
        <f t="shared" si="342"/>
        <v/>
      </c>
      <c r="S3092" s="28"/>
      <c r="T3092" s="28"/>
      <c r="U3092" s="28"/>
    </row>
    <row r="3093" spans="1:21" s="5" customFormat="1">
      <c r="A3093" s="179" t="s">
        <v>3591</v>
      </c>
      <c r="B3093" s="185" t="s">
        <v>7540</v>
      </c>
      <c r="C3093" s="35" t="str">
        <f t="shared" si="336"/>
        <v>PishNamaz</v>
      </c>
      <c r="E3093" s="40"/>
      <c r="F3093" s="14"/>
      <c r="G3093" s="17"/>
      <c r="H3093" s="10" t="s">
        <v>8563</v>
      </c>
      <c r="I3093" s="4" t="str">
        <f t="shared" si="337"/>
        <v>|Pí-Namáz|</v>
      </c>
      <c r="J3093" s="3" t="str">
        <f t="shared" si="338"/>
        <v>|Pish-Namaz|</v>
      </c>
      <c r="K3093" s="3" t="str">
        <f t="shared" si="339"/>
        <v>Pish-Namaz</v>
      </c>
      <c r="N3093" s="39" t="str">
        <f t="shared" si="340"/>
        <v/>
      </c>
      <c r="P3093" s="39" t="str">
        <f t="shared" si="341"/>
        <v/>
      </c>
      <c r="R3093" s="39" t="str">
        <f t="shared" si="342"/>
        <v/>
      </c>
      <c r="S3093" s="28"/>
      <c r="T3093" s="28"/>
      <c r="U3093" s="28"/>
    </row>
    <row r="3094" spans="1:21" s="5" customFormat="1">
      <c r="A3094" s="179" t="s">
        <v>3594</v>
      </c>
      <c r="B3094" s="185" t="s">
        <v>7542</v>
      </c>
      <c r="C3094" s="35" t="str">
        <f t="shared" si="336"/>
        <v>Pul</v>
      </c>
      <c r="E3094" s="40"/>
      <c r="F3094" s="15"/>
      <c r="G3094" s="17"/>
      <c r="H3094" s="10" t="s">
        <v>8563</v>
      </c>
      <c r="I3094" s="4" t="str">
        <f t="shared" si="337"/>
        <v>|Púl|</v>
      </c>
      <c r="J3094" s="3" t="str">
        <f t="shared" si="338"/>
        <v>|Pul|</v>
      </c>
      <c r="K3094" s="3" t="str">
        <f t="shared" si="339"/>
        <v>Pul</v>
      </c>
      <c r="N3094" s="39" t="str">
        <f t="shared" si="340"/>
        <v/>
      </c>
      <c r="P3094" s="39" t="str">
        <f t="shared" si="341"/>
        <v/>
      </c>
      <c r="R3094" s="39" t="str">
        <f t="shared" si="342"/>
        <v/>
      </c>
      <c r="S3094" s="28"/>
      <c r="T3094" s="28"/>
      <c r="U3094" s="28"/>
    </row>
    <row r="3095" spans="1:21" s="5" customFormat="1">
      <c r="A3095" s="179" t="s">
        <v>3595</v>
      </c>
      <c r="B3095" s="185" t="s">
        <v>7543</v>
      </c>
      <c r="C3095" s="35" t="str">
        <f t="shared" si="336"/>
        <v>Pursish</v>
      </c>
      <c r="E3095" s="40"/>
      <c r="F3095" s="14"/>
      <c r="G3095" s="17"/>
      <c r="H3095" s="10" t="s">
        <v>8563</v>
      </c>
      <c r="I3095" s="4" t="str">
        <f t="shared" si="337"/>
        <v>|Pursi|</v>
      </c>
      <c r="J3095" s="3" t="str">
        <f t="shared" si="338"/>
        <v>|Pursish|</v>
      </c>
      <c r="K3095" s="3" t="str">
        <f t="shared" si="339"/>
        <v>Pursish</v>
      </c>
      <c r="N3095" s="39" t="str">
        <f t="shared" si="340"/>
        <v/>
      </c>
      <c r="P3095" s="39" t="str">
        <f t="shared" si="341"/>
        <v/>
      </c>
      <c r="R3095" s="39" t="str">
        <f t="shared" si="342"/>
        <v/>
      </c>
      <c r="S3095" s="28"/>
      <c r="T3095" s="28"/>
      <c r="U3095" s="28"/>
    </row>
    <row r="3096" spans="1:21" s="5" customFormat="1">
      <c r="A3096" s="179" t="s">
        <v>3596</v>
      </c>
      <c r="B3096" s="185" t="s">
        <v>7544</v>
      </c>
      <c r="C3096" s="35" t="str">
        <f t="shared" si="336"/>
        <v>PurUstadkar</v>
      </c>
      <c r="E3096" s="40"/>
      <c r="F3096" s="15"/>
      <c r="G3096" s="17"/>
      <c r="H3096" s="10" t="s">
        <v>8563</v>
      </c>
      <c r="I3096" s="4" t="str">
        <f t="shared" si="337"/>
        <v>|Púr-Ustádkár|</v>
      </c>
      <c r="J3096" s="3" t="str">
        <f t="shared" si="338"/>
        <v>|Pur-Ustadkar|</v>
      </c>
      <c r="K3096" s="3" t="str">
        <f t="shared" si="339"/>
        <v>Pur-Ustadkar</v>
      </c>
      <c r="N3096" s="39" t="str">
        <f t="shared" si="340"/>
        <v/>
      </c>
      <c r="P3096" s="39" t="str">
        <f t="shared" si="341"/>
        <v/>
      </c>
      <c r="R3096" s="39" t="str">
        <f t="shared" si="342"/>
        <v/>
      </c>
      <c r="S3096" s="28"/>
      <c r="T3096" s="28"/>
      <c r="U3096" s="28"/>
    </row>
    <row r="3097" spans="1:21" s="5" customFormat="1">
      <c r="A3097" s="179" t="s">
        <v>3597</v>
      </c>
      <c r="B3097" s="185" t="s">
        <v>7545</v>
      </c>
      <c r="C3097" s="35" t="str">
        <f t="shared" si="336"/>
        <v>Pustchi</v>
      </c>
      <c r="E3097" s="40"/>
      <c r="F3097" s="15"/>
      <c r="G3097" s="17"/>
      <c r="H3097" s="10" t="s">
        <v>8563</v>
      </c>
      <c r="I3097" s="4" t="str">
        <f t="shared" si="337"/>
        <v>|Pústí|</v>
      </c>
      <c r="J3097" s="3" t="str">
        <f t="shared" si="338"/>
        <v>|Pustchi|</v>
      </c>
      <c r="K3097" s="3" t="str">
        <f t="shared" si="339"/>
        <v>Pustchi</v>
      </c>
      <c r="N3097" s="39" t="str">
        <f t="shared" si="340"/>
        <v/>
      </c>
      <c r="P3097" s="39" t="str">
        <f t="shared" si="341"/>
        <v/>
      </c>
      <c r="R3097" s="39" t="str">
        <f t="shared" si="342"/>
        <v/>
      </c>
      <c r="S3097" s="28"/>
      <c r="T3097" s="28"/>
      <c r="U3097" s="28"/>
    </row>
    <row r="3098" spans="1:21" s="5" customFormat="1">
      <c r="A3098" s="179" t="s">
        <v>3598</v>
      </c>
      <c r="B3098" s="185" t="s">
        <v>7546</v>
      </c>
      <c r="C3098" s="35" t="str">
        <f t="shared" si="336"/>
        <v>Qaba</v>
      </c>
      <c r="E3098" s="40"/>
      <c r="F3098" s="15"/>
      <c r="G3098" s="17"/>
      <c r="H3098" s="10" t="s">
        <v>8563</v>
      </c>
      <c r="I3098" s="4" t="str">
        <f t="shared" si="337"/>
        <v>|Qabá|</v>
      </c>
      <c r="J3098" s="3" t="str">
        <f t="shared" si="338"/>
        <v>|Qaba|</v>
      </c>
      <c r="K3098" s="3" t="str">
        <f t="shared" si="339"/>
        <v>Qaba</v>
      </c>
      <c r="N3098" s="39" t="str">
        <f t="shared" si="340"/>
        <v/>
      </c>
      <c r="P3098" s="39" t="str">
        <f t="shared" si="341"/>
        <v/>
      </c>
      <c r="R3098" s="39" t="str">
        <f t="shared" si="342"/>
        <v/>
      </c>
      <c r="S3098" s="28"/>
      <c r="T3098" s="28"/>
      <c r="U3098" s="28"/>
    </row>
    <row r="3099" spans="1:21" s="5" customFormat="1">
      <c r="A3099" s="179" t="s">
        <v>3599</v>
      </c>
      <c r="B3099" s="185" t="s">
        <v>7547</v>
      </c>
      <c r="C3099" s="35" t="str">
        <f t="shared" si="336"/>
        <v>QabliAkbar</v>
      </c>
      <c r="E3099" s="40"/>
      <c r="F3099" s="14"/>
      <c r="G3099" s="17"/>
      <c r="H3099" s="10" t="s">
        <v>8563</v>
      </c>
      <c r="I3099" s="4" t="str">
        <f t="shared" si="337"/>
        <v>|Qabl-i-Akbar|</v>
      </c>
      <c r="J3099" s="3" t="str">
        <f t="shared" si="338"/>
        <v>|Qabl-i-Akbar|</v>
      </c>
      <c r="K3099" s="3" t="str">
        <f t="shared" si="339"/>
        <v>Qabl-i-Akbar</v>
      </c>
      <c r="N3099" s="39" t="str">
        <f t="shared" si="340"/>
        <v/>
      </c>
      <c r="P3099" s="39" t="str">
        <f t="shared" si="341"/>
        <v/>
      </c>
      <c r="R3099" s="39" t="str">
        <f t="shared" si="342"/>
        <v/>
      </c>
      <c r="S3099" s="28"/>
      <c r="T3099" s="28"/>
      <c r="U3099" s="28"/>
    </row>
    <row r="3100" spans="1:21" s="5" customFormat="1">
      <c r="A3100" s="179" t="s">
        <v>3600</v>
      </c>
      <c r="B3100" s="185" t="s">
        <v>179</v>
      </c>
      <c r="C3100" s="35" t="str">
        <f t="shared" si="336"/>
        <v>Qabus</v>
      </c>
      <c r="E3100" s="40"/>
      <c r="F3100" s="14"/>
      <c r="G3100" s="17"/>
      <c r="H3100" s="10" t="s">
        <v>8563</v>
      </c>
      <c r="I3100" s="4" t="str">
        <f t="shared" si="337"/>
        <v>|Qábús|</v>
      </c>
      <c r="J3100" s="3" t="str">
        <f t="shared" si="338"/>
        <v>|Qabus|</v>
      </c>
      <c r="K3100" s="3" t="str">
        <f t="shared" si="339"/>
        <v>Qabus</v>
      </c>
      <c r="N3100" s="39" t="str">
        <f t="shared" si="340"/>
        <v/>
      </c>
      <c r="P3100" s="39" t="str">
        <f t="shared" si="341"/>
        <v/>
      </c>
      <c r="R3100" s="39" t="str">
        <f t="shared" si="342"/>
        <v/>
      </c>
      <c r="S3100" s="28"/>
      <c r="T3100" s="28"/>
      <c r="U3100" s="28"/>
    </row>
    <row r="3101" spans="1:21" s="5" customFormat="1">
      <c r="A3101" s="179" t="s">
        <v>3601</v>
      </c>
      <c r="B3101" s="185" t="s">
        <v>7548</v>
      </c>
      <c r="C3101" s="35" t="str">
        <f t="shared" si="336"/>
        <v>QabusNamih</v>
      </c>
      <c r="E3101" s="40"/>
      <c r="F3101" s="15"/>
      <c r="G3101" s="17"/>
      <c r="H3101" s="10" t="s">
        <v>8563</v>
      </c>
      <c r="I3101" s="4" t="str">
        <f t="shared" si="337"/>
        <v>|Qábús-Námih|</v>
      </c>
      <c r="J3101" s="3" t="str">
        <f t="shared" si="338"/>
        <v>|Qabus-Namih|</v>
      </c>
      <c r="K3101" s="3" t="str">
        <f t="shared" si="339"/>
        <v>Qabus-Namih</v>
      </c>
      <c r="N3101" s="39" t="str">
        <f t="shared" si="340"/>
        <v/>
      </c>
      <c r="P3101" s="39" t="str">
        <f t="shared" si="341"/>
        <v/>
      </c>
      <c r="R3101" s="39" t="str">
        <f t="shared" si="342"/>
        <v/>
      </c>
      <c r="S3101" s="28"/>
      <c r="T3101" s="28"/>
      <c r="U3101" s="28"/>
    </row>
    <row r="3102" spans="1:21" s="5" customFormat="1">
      <c r="A3102" s="179" t="s">
        <v>3602</v>
      </c>
      <c r="B3102" s="185" t="s">
        <v>7549</v>
      </c>
      <c r="C3102" s="35" t="str">
        <f t="shared" si="336"/>
        <v>Qada</v>
      </c>
      <c r="E3102" s="40"/>
      <c r="F3102" s="15" t="s">
        <v>3603</v>
      </c>
      <c r="G3102" s="17"/>
      <c r="H3102" s="10" t="s">
        <v>8563</v>
      </c>
      <c r="I3102" s="4" t="str">
        <f t="shared" si="337"/>
        <v>|Qaḍá|</v>
      </c>
      <c r="J3102" s="3" t="str">
        <f t="shared" si="338"/>
        <v>|Qada|</v>
      </c>
      <c r="K3102" s="3" t="str">
        <f t="shared" si="339"/>
        <v>Qada</v>
      </c>
      <c r="N3102" s="39" t="str">
        <f t="shared" si="340"/>
        <v/>
      </c>
      <c r="P3102" s="39" t="str">
        <f t="shared" si="341"/>
        <v/>
      </c>
      <c r="R3102" s="39" t="str">
        <f t="shared" si="342"/>
        <v/>
      </c>
      <c r="S3102" s="28"/>
      <c r="T3102" s="28"/>
      <c r="U3102" s="28"/>
    </row>
    <row r="3103" spans="1:21" s="5" customFormat="1">
      <c r="A3103" s="179" t="s">
        <v>1620</v>
      </c>
      <c r="B3103" s="185" t="s">
        <v>5963</v>
      </c>
      <c r="C3103" s="35" t="str">
        <f t="shared" si="336"/>
        <v>Qadam</v>
      </c>
      <c r="E3103" s="40"/>
      <c r="F3103" s="15" t="s">
        <v>1621</v>
      </c>
      <c r="G3103" s="17"/>
      <c r="H3103" s="10" t="s">
        <v>8563</v>
      </c>
      <c r="I3103" s="4" t="str">
        <f t="shared" si="337"/>
        <v>|Qadam|</v>
      </c>
      <c r="J3103" s="3" t="str">
        <f t="shared" si="338"/>
        <v>|Qadam|</v>
      </c>
      <c r="K3103" s="3" t="str">
        <f t="shared" si="339"/>
        <v>Qadam</v>
      </c>
      <c r="N3103" s="39" t="str">
        <f t="shared" si="340"/>
        <v/>
      </c>
      <c r="P3103" s="39" t="str">
        <f t="shared" si="341"/>
        <v/>
      </c>
      <c r="R3103" s="39" t="str">
        <f t="shared" si="342"/>
        <v/>
      </c>
      <c r="S3103" s="28"/>
      <c r="T3103" s="28"/>
      <c r="U3103" s="28"/>
    </row>
    <row r="3104" spans="1:21" s="5" customFormat="1">
      <c r="A3104" s="179" t="s">
        <v>3604</v>
      </c>
      <c r="B3104" s="185" t="s">
        <v>7550</v>
      </c>
      <c r="C3104" s="35" t="str">
        <f t="shared" si="336"/>
        <v>Qadi</v>
      </c>
      <c r="E3104" s="40"/>
      <c r="F3104" s="14" t="s">
        <v>3605</v>
      </c>
      <c r="G3104" s="17"/>
      <c r="H3104" s="10" t="s">
        <v>8563</v>
      </c>
      <c r="I3104" s="4" t="str">
        <f t="shared" si="337"/>
        <v>|Qáḍí|</v>
      </c>
      <c r="J3104" s="3" t="str">
        <f t="shared" si="338"/>
        <v>|Qadi|</v>
      </c>
      <c r="K3104" s="3" t="str">
        <f t="shared" si="339"/>
        <v>Qadi</v>
      </c>
      <c r="N3104" s="39" t="str">
        <f t="shared" si="340"/>
        <v/>
      </c>
      <c r="P3104" s="39" t="str">
        <f t="shared" si="341"/>
        <v/>
      </c>
      <c r="R3104" s="39" t="str">
        <f t="shared" si="342"/>
        <v/>
      </c>
      <c r="S3104" s="28"/>
      <c r="T3104" s="28"/>
      <c r="U3104" s="28"/>
    </row>
    <row r="3105" spans="1:21" s="5" customFormat="1">
      <c r="A3105" s="179" t="s">
        <v>3606</v>
      </c>
      <c r="B3105" s="185" t="s">
        <v>7551</v>
      </c>
      <c r="C3105" s="35" t="str">
        <f t="shared" si="336"/>
        <v>QadIhtaraqalMukhlisun</v>
      </c>
      <c r="E3105" s="40"/>
      <c r="F3105" s="15" t="s">
        <v>775</v>
      </c>
      <c r="G3105" s="17"/>
      <c r="H3105" s="10" t="s">
        <v>8563</v>
      </c>
      <c r="I3105" s="4" t="str">
        <f t="shared" si="337"/>
        <v>|Qad-Iḥtaraqa’l-Muliṣún|</v>
      </c>
      <c r="J3105" s="3" t="str">
        <f t="shared" si="338"/>
        <v>|Qad-Ihtaraqa'l-Mukhlisun|</v>
      </c>
      <c r="K3105" s="3" t="str">
        <f t="shared" si="339"/>
        <v>Qad-Ihtaraqal-Mukhlisun</v>
      </c>
      <c r="N3105" s="39" t="str">
        <f t="shared" si="340"/>
        <v/>
      </c>
      <c r="P3105" s="39" t="str">
        <f t="shared" si="341"/>
        <v/>
      </c>
      <c r="R3105" s="39" t="str">
        <f t="shared" si="342"/>
        <v/>
      </c>
      <c r="S3105" s="28"/>
      <c r="T3105" s="28"/>
      <c r="U3105" s="28"/>
    </row>
    <row r="3106" spans="1:21" s="5" customFormat="1">
      <c r="A3106" s="179" t="s">
        <v>3607</v>
      </c>
      <c r="B3106" s="185" t="s">
        <v>7552</v>
      </c>
      <c r="C3106" s="35" t="str">
        <f t="shared" si="336"/>
        <v>QadiKala</v>
      </c>
      <c r="E3106" s="40"/>
      <c r="F3106" s="15"/>
      <c r="G3106" s="17"/>
      <c r="H3106" s="10" t="s">
        <v>8563</v>
      </c>
      <c r="I3106" s="4" t="str">
        <f t="shared" si="337"/>
        <v>|Qáḍí-Kalá|</v>
      </c>
      <c r="J3106" s="3" t="str">
        <f t="shared" si="338"/>
        <v>|Qadi-Kala|</v>
      </c>
      <c r="K3106" s="3" t="str">
        <f t="shared" si="339"/>
        <v>Qadi-Kala</v>
      </c>
      <c r="N3106" s="39" t="str">
        <f t="shared" si="340"/>
        <v/>
      </c>
      <c r="P3106" s="39" t="str">
        <f t="shared" si="341"/>
        <v/>
      </c>
      <c r="R3106" s="39" t="str">
        <f t="shared" si="342"/>
        <v/>
      </c>
      <c r="S3106" s="28"/>
      <c r="T3106" s="28"/>
      <c r="U3106" s="28"/>
    </row>
    <row r="3107" spans="1:21" s="5" customFormat="1">
      <c r="A3107" s="179" t="s">
        <v>3608</v>
      </c>
      <c r="B3107" s="185" t="s">
        <v>7553</v>
      </c>
      <c r="C3107" s="35" t="str">
        <f t="shared" si="336"/>
        <v>Qadim</v>
      </c>
      <c r="E3107" s="40"/>
      <c r="F3107" s="15"/>
      <c r="G3107" s="17"/>
      <c r="H3107" s="10" t="s">
        <v>8563</v>
      </c>
      <c r="I3107" s="4" t="str">
        <f t="shared" si="337"/>
        <v>|Qadím|</v>
      </c>
      <c r="J3107" s="3" t="str">
        <f t="shared" si="338"/>
        <v>|Qadim|</v>
      </c>
      <c r="K3107" s="3" t="str">
        <f t="shared" si="339"/>
        <v>Qadim</v>
      </c>
      <c r="N3107" s="39" t="str">
        <f t="shared" si="340"/>
        <v/>
      </c>
      <c r="P3107" s="39" t="str">
        <f t="shared" si="341"/>
        <v/>
      </c>
      <c r="R3107" s="39" t="str">
        <f t="shared" si="342"/>
        <v/>
      </c>
      <c r="S3107" s="28"/>
      <c r="T3107" s="28"/>
      <c r="U3107" s="28"/>
    </row>
    <row r="3108" spans="1:21" s="5" customFormat="1">
      <c r="A3108" s="179" t="s">
        <v>3609</v>
      </c>
      <c r="B3108" s="185" t="s">
        <v>7554</v>
      </c>
      <c r="C3108" s="35" t="str">
        <f t="shared" si="336"/>
        <v>Qadimi</v>
      </c>
      <c r="E3108" s="40"/>
      <c r="F3108" s="15"/>
      <c r="G3108" s="17"/>
      <c r="H3108" s="10" t="s">
        <v>8563</v>
      </c>
      <c r="I3108" s="4" t="str">
        <f t="shared" si="337"/>
        <v>|Qadímí|</v>
      </c>
      <c r="J3108" s="3" t="str">
        <f t="shared" si="338"/>
        <v>|Qadimi|</v>
      </c>
      <c r="K3108" s="3" t="str">
        <f t="shared" si="339"/>
        <v>Qadimi</v>
      </c>
      <c r="N3108" s="39" t="str">
        <f t="shared" si="340"/>
        <v/>
      </c>
      <c r="P3108" s="39" t="str">
        <f t="shared" si="341"/>
        <v/>
      </c>
      <c r="R3108" s="39" t="str">
        <f t="shared" si="342"/>
        <v/>
      </c>
      <c r="S3108" s="28"/>
      <c r="T3108" s="28"/>
      <c r="U3108" s="28"/>
    </row>
    <row r="3109" spans="1:21" s="5" customFormat="1">
      <c r="A3109" s="179" t="s">
        <v>3610</v>
      </c>
      <c r="B3109" s="185" t="s">
        <v>7555</v>
      </c>
      <c r="C3109" s="35" t="str">
        <f t="shared" si="336"/>
        <v>Qadir</v>
      </c>
      <c r="E3109" s="40"/>
      <c r="F3109" s="15" t="s">
        <v>3611</v>
      </c>
      <c r="G3109" s="17" t="s">
        <v>9132</v>
      </c>
      <c r="H3109" s="10" t="s">
        <v>8563</v>
      </c>
      <c r="I3109" s="4" t="str">
        <f t="shared" si="337"/>
        <v>|Qadír|</v>
      </c>
      <c r="J3109" s="3" t="str">
        <f t="shared" si="338"/>
        <v>|Qadir|</v>
      </c>
      <c r="K3109" s="3" t="str">
        <f t="shared" si="339"/>
        <v>Qadir</v>
      </c>
      <c r="N3109" s="39" t="str">
        <f t="shared" si="340"/>
        <v/>
      </c>
      <c r="P3109" s="39" t="str">
        <f t="shared" si="341"/>
        <v/>
      </c>
      <c r="R3109" s="39" t="str">
        <f t="shared" si="342"/>
        <v/>
      </c>
      <c r="S3109" s="28"/>
      <c r="T3109" s="28"/>
      <c r="U3109" s="28"/>
    </row>
    <row r="3110" spans="1:21" s="5" customFormat="1">
      <c r="A3110" s="179" t="s">
        <v>3612</v>
      </c>
      <c r="B3110" s="185" t="s">
        <v>7556</v>
      </c>
      <c r="C3110" s="35" t="str">
        <f t="shared" si="336"/>
        <v>Qadir</v>
      </c>
      <c r="E3110" s="40"/>
      <c r="F3110" s="15" t="s">
        <v>3613</v>
      </c>
      <c r="G3110" s="17" t="s">
        <v>9132</v>
      </c>
      <c r="H3110" s="10" t="s">
        <v>8563</v>
      </c>
      <c r="I3110" s="4" t="str">
        <f t="shared" si="337"/>
        <v>|Qádir|</v>
      </c>
      <c r="J3110" s="3" t="str">
        <f t="shared" si="338"/>
        <v>|Qadir|</v>
      </c>
      <c r="K3110" s="3" t="str">
        <f t="shared" si="339"/>
        <v>Qadir</v>
      </c>
      <c r="N3110" s="39" t="str">
        <f t="shared" si="340"/>
        <v/>
      </c>
      <c r="P3110" s="39" t="str">
        <f t="shared" si="341"/>
        <v/>
      </c>
      <c r="R3110" s="39" t="str">
        <f t="shared" si="342"/>
        <v/>
      </c>
      <c r="S3110" s="28"/>
      <c r="T3110" s="28"/>
      <c r="U3110" s="28"/>
    </row>
    <row r="3111" spans="1:21" s="5" customFormat="1">
      <c r="A3111" s="179" t="s">
        <v>3614</v>
      </c>
      <c r="B3111" s="185" t="s">
        <v>7557</v>
      </c>
      <c r="C3111" s="35" t="str">
        <f t="shared" si="336"/>
        <v>Qadiri</v>
      </c>
      <c r="E3111" s="40"/>
      <c r="F3111" s="15"/>
      <c r="G3111" s="17"/>
      <c r="H3111" s="10" t="s">
        <v>8563</v>
      </c>
      <c r="I3111" s="4" t="str">
        <f t="shared" si="337"/>
        <v>|Qádirí|</v>
      </c>
      <c r="J3111" s="3" t="str">
        <f t="shared" si="338"/>
        <v>|Qadiri|</v>
      </c>
      <c r="K3111" s="3" t="str">
        <f t="shared" si="339"/>
        <v>Qadiri</v>
      </c>
      <c r="N3111" s="39" t="str">
        <f t="shared" si="340"/>
        <v/>
      </c>
      <c r="P3111" s="39" t="str">
        <f t="shared" si="341"/>
        <v/>
      </c>
      <c r="R3111" s="39" t="str">
        <f t="shared" si="342"/>
        <v/>
      </c>
      <c r="S3111" s="28"/>
      <c r="T3111" s="28"/>
      <c r="U3111" s="28"/>
    </row>
    <row r="3112" spans="1:21" s="5" customFormat="1">
      <c r="A3112" s="179" t="s">
        <v>3615</v>
      </c>
      <c r="B3112" s="185" t="s">
        <v>7558</v>
      </c>
      <c r="C3112" s="35" t="str">
        <f t="shared" si="336"/>
        <v>Qadiriyyih</v>
      </c>
      <c r="E3112" s="40"/>
      <c r="F3112" s="14"/>
      <c r="G3112" s="17"/>
      <c r="H3112" s="10" t="s">
        <v>8563</v>
      </c>
      <c r="I3112" s="4" t="str">
        <f t="shared" si="337"/>
        <v>|Qádiríyyih|</v>
      </c>
      <c r="J3112" s="3" t="str">
        <f t="shared" si="338"/>
        <v>|Qadiriyyih|</v>
      </c>
      <c r="K3112" s="3" t="str">
        <f t="shared" si="339"/>
        <v>Qadiriyyih</v>
      </c>
      <c r="N3112" s="39" t="str">
        <f t="shared" si="340"/>
        <v/>
      </c>
      <c r="P3112" s="39" t="str">
        <f t="shared" si="341"/>
        <v/>
      </c>
      <c r="R3112" s="39" t="str">
        <f t="shared" si="342"/>
        <v/>
      </c>
      <c r="S3112" s="28"/>
      <c r="T3112" s="28"/>
      <c r="U3112" s="28"/>
    </row>
    <row r="3113" spans="1:21" s="5" customFormat="1">
      <c r="A3113" s="179" t="s">
        <v>3616</v>
      </c>
      <c r="B3113" s="185" t="s">
        <v>7559</v>
      </c>
      <c r="C3113" s="35" t="str">
        <f t="shared" si="336"/>
        <v>Qadiyan</v>
      </c>
      <c r="E3113" s="40"/>
      <c r="F3113" s="14"/>
      <c r="G3113" s="17"/>
      <c r="H3113" s="10" t="s">
        <v>8563</v>
      </c>
      <c r="I3113" s="4" t="str">
        <f t="shared" si="337"/>
        <v>|Qádíyán|</v>
      </c>
      <c r="J3113" s="3" t="str">
        <f t="shared" si="338"/>
        <v>|Qadiyan|</v>
      </c>
      <c r="K3113" s="3" t="str">
        <f t="shared" si="339"/>
        <v>Qadiyan</v>
      </c>
      <c r="N3113" s="39" t="str">
        <f t="shared" si="340"/>
        <v/>
      </c>
      <c r="P3113" s="39" t="str">
        <f t="shared" si="341"/>
        <v/>
      </c>
      <c r="R3113" s="39" t="str">
        <f t="shared" si="342"/>
        <v/>
      </c>
      <c r="S3113" s="28"/>
      <c r="T3113" s="28"/>
      <c r="U3113" s="28"/>
    </row>
    <row r="3114" spans="1:21" s="5" customFormat="1">
      <c r="A3114" s="179" t="s">
        <v>3617</v>
      </c>
      <c r="B3114" s="185" t="s">
        <v>7560</v>
      </c>
      <c r="C3114" s="35" t="str">
        <f t="shared" si="336"/>
        <v>Qadiyani</v>
      </c>
      <c r="E3114" s="40"/>
      <c r="F3114" s="15"/>
      <c r="G3114" s="17"/>
      <c r="H3114" s="10" t="s">
        <v>8563</v>
      </c>
      <c r="I3114" s="4" t="str">
        <f t="shared" si="337"/>
        <v>|Qádíyání|</v>
      </c>
      <c r="J3114" s="3" t="str">
        <f t="shared" si="338"/>
        <v>|Qadiyani|</v>
      </c>
      <c r="K3114" s="3" t="str">
        <f t="shared" si="339"/>
        <v>Qadiyani</v>
      </c>
      <c r="N3114" s="39" t="str">
        <f t="shared" si="340"/>
        <v/>
      </c>
      <c r="P3114" s="39" t="str">
        <f t="shared" si="341"/>
        <v/>
      </c>
      <c r="R3114" s="39" t="str">
        <f t="shared" si="342"/>
        <v/>
      </c>
      <c r="S3114" s="28"/>
      <c r="T3114" s="28"/>
      <c r="U3114" s="28"/>
    </row>
    <row r="3115" spans="1:21" s="5" customFormat="1">
      <c r="A3115" s="179" t="s">
        <v>3618</v>
      </c>
      <c r="B3115" s="185" t="s">
        <v>7561</v>
      </c>
      <c r="C3115" s="35" t="str">
        <f t="shared" si="336"/>
        <v>Qaf</v>
      </c>
      <c r="E3115" s="40"/>
      <c r="F3115" s="15"/>
      <c r="G3115" s="17"/>
      <c r="H3115" s="10" t="s">
        <v>8563</v>
      </c>
      <c r="I3115" s="4" t="str">
        <f t="shared" si="337"/>
        <v>|Qáf|</v>
      </c>
      <c r="J3115" s="3" t="str">
        <f t="shared" si="338"/>
        <v>|Qaf|</v>
      </c>
      <c r="K3115" s="3" t="str">
        <f t="shared" si="339"/>
        <v>Qaf</v>
      </c>
      <c r="N3115" s="39" t="str">
        <f t="shared" si="340"/>
        <v/>
      </c>
      <c r="P3115" s="39" t="str">
        <f t="shared" si="341"/>
        <v/>
      </c>
      <c r="R3115" s="39" t="str">
        <f t="shared" si="342"/>
        <v/>
      </c>
      <c r="S3115" s="28"/>
      <c r="T3115" s="28"/>
      <c r="U3115" s="28"/>
    </row>
    <row r="3116" spans="1:21" s="5" customFormat="1">
      <c r="A3116" s="179" t="s">
        <v>3619</v>
      </c>
      <c r="B3116" s="185" t="s">
        <v>7562</v>
      </c>
      <c r="C3116" s="35" t="str">
        <f t="shared" si="336"/>
        <v>Qahirih</v>
      </c>
      <c r="E3116" s="40"/>
      <c r="F3116" s="15" t="s">
        <v>3620</v>
      </c>
      <c r="G3116" s="17"/>
      <c r="H3116" s="10" t="s">
        <v>8563</v>
      </c>
      <c r="I3116" s="4" t="str">
        <f t="shared" si="337"/>
        <v>|Qáhirih|</v>
      </c>
      <c r="J3116" s="3" t="str">
        <f t="shared" si="338"/>
        <v>|Qahirih|</v>
      </c>
      <c r="K3116" s="3" t="str">
        <f t="shared" si="339"/>
        <v>Qahirih</v>
      </c>
      <c r="N3116" s="39" t="str">
        <f t="shared" si="340"/>
        <v/>
      </c>
      <c r="P3116" s="39" t="str">
        <f t="shared" si="341"/>
        <v/>
      </c>
      <c r="R3116" s="39" t="str">
        <f t="shared" si="342"/>
        <v/>
      </c>
      <c r="S3116" s="28"/>
      <c r="T3116" s="28"/>
      <c r="U3116" s="28"/>
    </row>
    <row r="3117" spans="1:21" s="5" customFormat="1">
      <c r="A3117" s="179" t="s">
        <v>3621</v>
      </c>
      <c r="B3117" s="185" t="s">
        <v>7563</v>
      </c>
      <c r="C3117" s="35" t="str">
        <f t="shared" si="336"/>
        <v>Qahrullah</v>
      </c>
      <c r="E3117" s="40"/>
      <c r="F3117" s="15" t="s">
        <v>3622</v>
      </c>
      <c r="G3117" s="17"/>
      <c r="H3117" s="10" t="s">
        <v>8563</v>
      </c>
      <c r="I3117" s="4" t="str">
        <f t="shared" si="337"/>
        <v>|Qahru’lláh|</v>
      </c>
      <c r="J3117" s="3" t="str">
        <f t="shared" si="338"/>
        <v>|Qahru'llah|</v>
      </c>
      <c r="K3117" s="3" t="str">
        <f t="shared" si="339"/>
        <v>Qahrullah</v>
      </c>
      <c r="N3117" s="39" t="str">
        <f t="shared" si="340"/>
        <v/>
      </c>
      <c r="P3117" s="39" t="str">
        <f t="shared" si="341"/>
        <v/>
      </c>
      <c r="R3117" s="39" t="str">
        <f t="shared" si="342"/>
        <v/>
      </c>
      <c r="S3117" s="28"/>
      <c r="T3117" s="28"/>
      <c r="U3117" s="28"/>
    </row>
    <row r="3118" spans="1:21" s="5" customFormat="1">
      <c r="A3118" s="179" t="s">
        <v>3623</v>
      </c>
      <c r="B3118" s="185" t="s">
        <v>7564</v>
      </c>
      <c r="C3118" s="35" t="str">
        <f t="shared" si="336"/>
        <v>Qahtan</v>
      </c>
      <c r="E3118" s="40"/>
      <c r="F3118" s="14"/>
      <c r="G3118" s="17"/>
      <c r="H3118" s="10" t="s">
        <v>8563</v>
      </c>
      <c r="I3118" s="4" t="str">
        <f t="shared" si="337"/>
        <v>|Qahtán|</v>
      </c>
      <c r="J3118" s="3" t="str">
        <f t="shared" si="338"/>
        <v>|Qahtan|</v>
      </c>
      <c r="K3118" s="3" t="str">
        <f t="shared" si="339"/>
        <v>Qahtan</v>
      </c>
      <c r="N3118" s="39" t="str">
        <f t="shared" si="340"/>
        <v/>
      </c>
      <c r="P3118" s="39" t="str">
        <f t="shared" si="341"/>
        <v/>
      </c>
      <c r="R3118" s="39" t="str">
        <f t="shared" si="342"/>
        <v/>
      </c>
      <c r="S3118" s="28"/>
      <c r="T3118" s="28"/>
      <c r="U3118" s="28"/>
    </row>
    <row r="3119" spans="1:21" s="5" customFormat="1">
      <c r="A3119" s="179" t="s">
        <v>3624</v>
      </c>
      <c r="B3119" s="185" t="s">
        <v>7565</v>
      </c>
      <c r="C3119" s="35" t="str">
        <f t="shared" si="336"/>
        <v>Qahvihchi</v>
      </c>
      <c r="E3119" s="40"/>
      <c r="F3119" s="14"/>
      <c r="G3119" s="17"/>
      <c r="H3119" s="10" t="s">
        <v>8563</v>
      </c>
      <c r="I3119" s="4" t="str">
        <f t="shared" si="337"/>
        <v>|Qahvih-í|</v>
      </c>
      <c r="J3119" s="3" t="str">
        <f t="shared" si="338"/>
        <v>|Qahvih-chi|</v>
      </c>
      <c r="K3119" s="3" t="str">
        <f t="shared" si="339"/>
        <v>Qahvih-chi</v>
      </c>
      <c r="N3119" s="39" t="str">
        <f t="shared" si="340"/>
        <v/>
      </c>
      <c r="P3119" s="39" t="str">
        <f t="shared" si="341"/>
        <v/>
      </c>
      <c r="R3119" s="39" t="str">
        <f t="shared" si="342"/>
        <v/>
      </c>
      <c r="S3119" s="28"/>
      <c r="T3119" s="28"/>
      <c r="U3119" s="28"/>
    </row>
    <row r="3120" spans="1:21" s="5" customFormat="1">
      <c r="A3120" s="179" t="s">
        <v>3625</v>
      </c>
      <c r="B3120" s="185" t="s">
        <v>7566</v>
      </c>
      <c r="C3120" s="35" t="str">
        <f t="shared" si="336"/>
        <v>QahviyihiAwliya</v>
      </c>
      <c r="E3120" s="40"/>
      <c r="F3120" s="15"/>
      <c r="G3120" s="17"/>
      <c r="H3120" s="10" t="s">
        <v>8563</v>
      </c>
      <c r="I3120" s="4" t="str">
        <f t="shared" si="337"/>
        <v>|Qahviyih-i-Awlíyá|</v>
      </c>
      <c r="J3120" s="3" t="str">
        <f t="shared" si="338"/>
        <v>|Qahviyih-i-Awliya|</v>
      </c>
      <c r="K3120" s="3" t="str">
        <f t="shared" si="339"/>
        <v>Qahviyih-i-Awliya</v>
      </c>
      <c r="N3120" s="39" t="str">
        <f t="shared" si="340"/>
        <v/>
      </c>
      <c r="P3120" s="39" t="str">
        <f t="shared" si="341"/>
        <v/>
      </c>
      <c r="R3120" s="39" t="str">
        <f t="shared" si="342"/>
        <v/>
      </c>
      <c r="S3120" s="28"/>
      <c r="T3120" s="28"/>
      <c r="U3120" s="28"/>
    </row>
    <row r="3121" spans="1:21" s="5" customFormat="1">
      <c r="A3121" s="179" t="s">
        <v>3626</v>
      </c>
      <c r="B3121" s="185" t="s">
        <v>7567</v>
      </c>
      <c r="C3121" s="35" t="str">
        <f t="shared" si="336"/>
        <v>QahviyiKhanigi</v>
      </c>
      <c r="E3121" s="40"/>
      <c r="F3121" s="15" t="s">
        <v>3627</v>
      </c>
      <c r="G3121" s="17"/>
      <c r="H3121" s="10" t="s">
        <v>8563</v>
      </c>
      <c r="I3121" s="4" t="str">
        <f t="shared" si="337"/>
        <v>|Qahviyi-ánigí|</v>
      </c>
      <c r="J3121" s="3" t="str">
        <f t="shared" si="338"/>
        <v>|Qahviyi-Khanigi|</v>
      </c>
      <c r="K3121" s="3" t="str">
        <f t="shared" si="339"/>
        <v>Qahviyi-Khanigi</v>
      </c>
      <c r="N3121" s="39" t="str">
        <f t="shared" si="340"/>
        <v/>
      </c>
      <c r="P3121" s="39" t="str">
        <f t="shared" si="341"/>
        <v/>
      </c>
      <c r="R3121" s="39" t="str">
        <f t="shared" si="342"/>
        <v/>
      </c>
      <c r="S3121" s="28"/>
      <c r="T3121" s="28"/>
      <c r="U3121" s="28"/>
    </row>
    <row r="3122" spans="1:21" s="5" customFormat="1">
      <c r="A3122" s="179" t="s">
        <v>3628</v>
      </c>
      <c r="B3122" s="185" t="s">
        <v>70</v>
      </c>
      <c r="C3122" s="35" t="str">
        <f t="shared" si="336"/>
        <v>Qaim</v>
      </c>
      <c r="E3122" s="40"/>
      <c r="F3122" s="14" t="s">
        <v>3629</v>
      </c>
      <c r="G3122" s="17"/>
      <c r="H3122" s="10" t="s">
        <v>8563</v>
      </c>
      <c r="I3122" s="4" t="str">
        <f t="shared" si="337"/>
        <v>|Qá’im|</v>
      </c>
      <c r="J3122" s="3" t="str">
        <f t="shared" si="338"/>
        <v>|Qa'im|</v>
      </c>
      <c r="K3122" s="3" t="str">
        <f t="shared" si="339"/>
        <v>Qaim</v>
      </c>
      <c r="N3122" s="39" t="str">
        <f t="shared" si="340"/>
        <v/>
      </c>
      <c r="P3122" s="39" t="str">
        <f t="shared" si="341"/>
        <v/>
      </c>
      <c r="R3122" s="39" t="str">
        <f t="shared" si="342"/>
        <v/>
      </c>
      <c r="S3122" s="28"/>
      <c r="T3122" s="29">
        <v>41799</v>
      </c>
      <c r="U3122" s="28" t="s">
        <v>9408</v>
      </c>
    </row>
    <row r="3123" spans="1:21" s="5" customFormat="1">
      <c r="A3123" s="179" t="s">
        <v>3630</v>
      </c>
      <c r="B3123" s="185" t="s">
        <v>7568</v>
      </c>
      <c r="C3123" s="35" t="str">
        <f t="shared" si="336"/>
        <v>QaimiAliMuhammad</v>
      </c>
      <c r="E3123" s="40" t="s">
        <v>9115</v>
      </c>
      <c r="F3123" s="14"/>
      <c r="G3123" s="17"/>
      <c r="H3123" s="10" t="s">
        <v>8563</v>
      </c>
      <c r="I3123" s="4" t="str">
        <f t="shared" si="337"/>
        <v>|Qá’im-i-ʿAlí-Muḥammad|</v>
      </c>
      <c r="J3123" s="3" t="str">
        <f t="shared" si="338"/>
        <v>|Qa'im-i-'Ali-Muhammad|</v>
      </c>
      <c r="K3123" s="3" t="str">
        <f t="shared" si="339"/>
        <v>Qaim-i-Ali-Muhammad</v>
      </c>
      <c r="N3123" s="39" t="str">
        <f t="shared" si="340"/>
        <v/>
      </c>
      <c r="P3123" s="39" t="str">
        <f t="shared" si="341"/>
        <v/>
      </c>
      <c r="R3123" s="39" t="str">
        <f t="shared" si="342"/>
        <v/>
      </c>
      <c r="S3123" s="28"/>
      <c r="T3123" s="28"/>
      <c r="U3123" s="28"/>
    </row>
    <row r="3124" spans="1:21" s="5" customFormat="1">
      <c r="A3124" s="181"/>
      <c r="B3124" s="185" t="s">
        <v>8637</v>
      </c>
      <c r="C3124" s="35" t="str">
        <f t="shared" si="336"/>
        <v>QaimiAliMuhammad</v>
      </c>
      <c r="D3124" s="1"/>
      <c r="E3124" s="40" t="s">
        <v>9115</v>
      </c>
      <c r="F3124" s="12"/>
      <c r="G3124" s="9"/>
      <c r="H3124" s="12" t="s">
        <v>8622</v>
      </c>
      <c r="I3124" s="4" t="str">
        <f t="shared" si="337"/>
        <v>|Qá’im-i-Ál-i-Muḥammad|</v>
      </c>
      <c r="J3124" s="3" t="str">
        <f t="shared" si="338"/>
        <v>|Qa'im-i-Al-i-Muhammad|</v>
      </c>
      <c r="K3124" s="3" t="str">
        <f t="shared" si="339"/>
        <v>Qaim-i-Al-i-Muhammad</v>
      </c>
      <c r="N3124" s="39" t="str">
        <f t="shared" si="340"/>
        <v/>
      </c>
      <c r="P3124" s="39" t="str">
        <f t="shared" si="341"/>
        <v/>
      </c>
      <c r="R3124" s="39" t="str">
        <f t="shared" si="342"/>
        <v/>
      </c>
      <c r="S3124" s="29">
        <v>41760</v>
      </c>
      <c r="T3124" s="28"/>
      <c r="U3124" s="28"/>
    </row>
    <row r="3125" spans="1:21" s="5" customFormat="1">
      <c r="A3125" s="179" t="s">
        <v>3631</v>
      </c>
      <c r="B3125" s="185" t="s">
        <v>7569</v>
      </c>
      <c r="C3125" s="35" t="str">
        <f t="shared" si="336"/>
        <v>Qaimiyyat</v>
      </c>
      <c r="E3125" s="40"/>
      <c r="F3125" s="15"/>
      <c r="G3125" s="17"/>
      <c r="H3125" s="10" t="s">
        <v>8563</v>
      </c>
      <c r="I3125" s="4" t="str">
        <f t="shared" si="337"/>
        <v>|Qá’imíyyat|</v>
      </c>
      <c r="J3125" s="3" t="str">
        <f t="shared" si="338"/>
        <v>|Qa'imiyyat|</v>
      </c>
      <c r="K3125" s="3" t="str">
        <f t="shared" si="339"/>
        <v>Qaimiyyat</v>
      </c>
      <c r="N3125" s="39" t="str">
        <f t="shared" si="340"/>
        <v/>
      </c>
      <c r="P3125" s="39" t="str">
        <f t="shared" si="341"/>
        <v/>
      </c>
      <c r="R3125" s="39" t="str">
        <f t="shared" si="342"/>
        <v/>
      </c>
      <c r="S3125" s="28"/>
      <c r="T3125" s="28"/>
      <c r="U3125" s="28"/>
    </row>
    <row r="3126" spans="1:21" s="5" customFormat="1">
      <c r="A3126" s="179" t="s">
        <v>3632</v>
      </c>
      <c r="B3126" s="185" t="s">
        <v>7570</v>
      </c>
      <c r="C3126" s="35" t="str">
        <f t="shared" si="336"/>
        <v>QaimMaqam</v>
      </c>
      <c r="E3126" s="40"/>
      <c r="F3126" s="14"/>
      <c r="G3126" s="17"/>
      <c r="H3126" s="10" t="s">
        <v>8563</v>
      </c>
      <c r="I3126" s="4" t="str">
        <f t="shared" si="337"/>
        <v>|Qá’im-Maqám|</v>
      </c>
      <c r="J3126" s="3" t="str">
        <f t="shared" si="338"/>
        <v>|Qa'im-Maqam|</v>
      </c>
      <c r="K3126" s="3" t="str">
        <f t="shared" si="339"/>
        <v>Qaim-Maqam</v>
      </c>
      <c r="N3126" s="39" t="str">
        <f t="shared" si="340"/>
        <v/>
      </c>
      <c r="P3126" s="39" t="str">
        <f t="shared" si="341"/>
        <v/>
      </c>
      <c r="R3126" s="39" t="str">
        <f t="shared" si="342"/>
        <v/>
      </c>
      <c r="S3126" s="28"/>
      <c r="T3126" s="28"/>
      <c r="U3126" s="28"/>
    </row>
    <row r="3127" spans="1:21" s="5" customFormat="1">
      <c r="A3127" s="179" t="s">
        <v>3633</v>
      </c>
      <c r="B3127" s="185" t="s">
        <v>7571</v>
      </c>
      <c r="C3127" s="35" t="str">
        <f t="shared" si="336"/>
        <v>Qain</v>
      </c>
      <c r="E3127" s="40"/>
      <c r="F3127" s="14"/>
      <c r="G3127" s="17"/>
      <c r="H3127" s="10" t="s">
        <v>8563</v>
      </c>
      <c r="I3127" s="4" t="str">
        <f t="shared" si="337"/>
        <v>|Qá’in|</v>
      </c>
      <c r="J3127" s="3" t="str">
        <f t="shared" si="338"/>
        <v>|Qa'in|</v>
      </c>
      <c r="K3127" s="3" t="str">
        <f t="shared" si="339"/>
        <v>Qain</v>
      </c>
      <c r="N3127" s="39" t="str">
        <f t="shared" si="340"/>
        <v/>
      </c>
      <c r="P3127" s="39" t="str">
        <f t="shared" si="341"/>
        <v/>
      </c>
      <c r="R3127" s="39" t="str">
        <f t="shared" si="342"/>
        <v/>
      </c>
      <c r="S3127" s="28"/>
      <c r="T3127" s="28"/>
      <c r="U3127" s="28"/>
    </row>
    <row r="3128" spans="1:21" s="5" customFormat="1">
      <c r="A3128" s="179" t="s">
        <v>3634</v>
      </c>
      <c r="B3128" s="185" t="s">
        <v>7572</v>
      </c>
      <c r="C3128" s="35" t="str">
        <f t="shared" si="336"/>
        <v>Qaini</v>
      </c>
      <c r="E3128" s="40"/>
      <c r="F3128" s="14"/>
      <c r="G3128" s="17"/>
      <c r="H3128" s="10" t="s">
        <v>8563</v>
      </c>
      <c r="I3128" s="4" t="str">
        <f t="shared" si="337"/>
        <v>|Qá’iní|</v>
      </c>
      <c r="J3128" s="3" t="str">
        <f t="shared" si="338"/>
        <v>|Qa'ini|</v>
      </c>
      <c r="K3128" s="3" t="str">
        <f t="shared" si="339"/>
        <v>Qaini</v>
      </c>
      <c r="N3128" s="39" t="str">
        <f t="shared" si="340"/>
        <v/>
      </c>
      <c r="P3128" s="39" t="str">
        <f t="shared" si="341"/>
        <v/>
      </c>
      <c r="R3128" s="39" t="str">
        <f t="shared" si="342"/>
        <v/>
      </c>
      <c r="S3128" s="28"/>
      <c r="T3128" s="28"/>
      <c r="U3128" s="28"/>
    </row>
    <row r="3129" spans="1:21" s="5" customFormat="1">
      <c r="A3129" s="179" t="s">
        <v>3635</v>
      </c>
      <c r="B3129" s="185" t="s">
        <v>7573</v>
      </c>
      <c r="C3129" s="35" t="str">
        <f t="shared" si="336"/>
        <v>Qajar</v>
      </c>
      <c r="E3129" s="40"/>
      <c r="F3129" s="14"/>
      <c r="G3129" s="17"/>
      <c r="H3129" s="10" t="s">
        <v>8563</v>
      </c>
      <c r="I3129" s="4" t="str">
        <f t="shared" si="337"/>
        <v>|Qájár|</v>
      </c>
      <c r="J3129" s="3" t="str">
        <f t="shared" si="338"/>
        <v>|Qajar|</v>
      </c>
      <c r="K3129" s="3" t="str">
        <f t="shared" si="339"/>
        <v>Qajar</v>
      </c>
      <c r="N3129" s="39" t="str">
        <f t="shared" si="340"/>
        <v/>
      </c>
      <c r="P3129" s="39" t="str">
        <f t="shared" si="341"/>
        <v/>
      </c>
      <c r="R3129" s="39" t="str">
        <f t="shared" si="342"/>
        <v/>
      </c>
      <c r="S3129" s="28"/>
      <c r="T3129" s="28"/>
      <c r="U3129" s="28"/>
    </row>
    <row r="3130" spans="1:21" s="5" customFormat="1">
      <c r="A3130" s="179" t="s">
        <v>3636</v>
      </c>
      <c r="B3130" s="185" t="s">
        <v>7574</v>
      </c>
      <c r="C3130" s="35" t="str">
        <f t="shared" si="336"/>
        <v>Qajariyyih</v>
      </c>
      <c r="E3130" s="40"/>
      <c r="F3130" s="15"/>
      <c r="G3130" s="17"/>
      <c r="H3130" s="10" t="s">
        <v>8563</v>
      </c>
      <c r="I3130" s="4" t="str">
        <f t="shared" si="337"/>
        <v>|Qájáriyyih|</v>
      </c>
      <c r="J3130" s="3" t="str">
        <f t="shared" si="338"/>
        <v>|Qajariyyih|</v>
      </c>
      <c r="K3130" s="3" t="str">
        <f t="shared" si="339"/>
        <v>Qajariyyih</v>
      </c>
      <c r="N3130" s="39" t="str">
        <f t="shared" si="340"/>
        <v/>
      </c>
      <c r="P3130" s="39" t="str">
        <f t="shared" si="341"/>
        <v/>
      </c>
      <c r="R3130" s="39" t="str">
        <f t="shared" si="342"/>
        <v/>
      </c>
      <c r="S3130" s="28"/>
      <c r="T3130" s="28"/>
      <c r="U3130" s="28"/>
    </row>
    <row r="3131" spans="1:21" s="5" customFormat="1">
      <c r="A3131" s="179" t="s">
        <v>3637</v>
      </c>
      <c r="B3131" s="185" t="s">
        <v>7575</v>
      </c>
      <c r="C3131" s="35" t="str">
        <f t="shared" si="336"/>
        <v>QalamDan</v>
      </c>
      <c r="E3131" s="40"/>
      <c r="F3131" s="15" t="s">
        <v>3638</v>
      </c>
      <c r="G3131" s="17"/>
      <c r="H3131" s="10" t="s">
        <v>8563</v>
      </c>
      <c r="I3131" s="4" t="str">
        <f t="shared" si="337"/>
        <v>|Qalam-Dán|</v>
      </c>
      <c r="J3131" s="3" t="str">
        <f t="shared" si="338"/>
        <v>|Qalam-Dan|</v>
      </c>
      <c r="K3131" s="3" t="str">
        <f t="shared" si="339"/>
        <v>Qalam-Dan</v>
      </c>
      <c r="N3131" s="39" t="str">
        <f t="shared" si="340"/>
        <v/>
      </c>
      <c r="P3131" s="39" t="str">
        <f t="shared" si="341"/>
        <v/>
      </c>
      <c r="R3131" s="39" t="str">
        <f t="shared" si="342"/>
        <v/>
      </c>
      <c r="S3131" s="28"/>
      <c r="T3131" s="28"/>
      <c r="U3131" s="28"/>
    </row>
    <row r="3132" spans="1:21" s="5" customFormat="1">
      <c r="A3132" s="179" t="s">
        <v>3639</v>
      </c>
      <c r="B3132" s="185" t="s">
        <v>7576</v>
      </c>
      <c r="C3132" s="35" t="str">
        <f t="shared" si="336"/>
        <v>Qalandar</v>
      </c>
      <c r="E3132" s="40"/>
      <c r="F3132" s="14"/>
      <c r="G3132" s="17"/>
      <c r="H3132" s="10" t="s">
        <v>8563</v>
      </c>
      <c r="I3132" s="4" t="str">
        <f t="shared" si="337"/>
        <v>|Qalandar|</v>
      </c>
      <c r="J3132" s="3" t="str">
        <f t="shared" si="338"/>
        <v>|Qalandar|</v>
      </c>
      <c r="K3132" s="3" t="str">
        <f t="shared" si="339"/>
        <v>Qalandar</v>
      </c>
      <c r="N3132" s="39" t="str">
        <f t="shared" si="340"/>
        <v/>
      </c>
      <c r="P3132" s="39" t="str">
        <f t="shared" si="341"/>
        <v/>
      </c>
      <c r="R3132" s="39" t="str">
        <f t="shared" si="342"/>
        <v/>
      </c>
      <c r="S3132" s="28"/>
      <c r="T3132" s="28"/>
      <c r="U3132" s="28"/>
    </row>
    <row r="3133" spans="1:21" s="5" customFormat="1">
      <c r="A3133" s="179" t="s">
        <v>3640</v>
      </c>
      <c r="B3133" s="185" t="s">
        <v>7577</v>
      </c>
      <c r="C3133" s="35" t="str">
        <f t="shared" si="336"/>
        <v>Qalih</v>
      </c>
      <c r="E3133" s="40"/>
      <c r="F3133" s="15"/>
      <c r="G3133" s="17"/>
      <c r="H3133" s="10" t="s">
        <v>8563</v>
      </c>
      <c r="I3133" s="4" t="str">
        <f t="shared" si="337"/>
        <v>|Qalʿih|</v>
      </c>
      <c r="J3133" s="3" t="str">
        <f t="shared" si="338"/>
        <v>|Qal'ih|</v>
      </c>
      <c r="K3133" s="3" t="str">
        <f t="shared" si="339"/>
        <v>Qalih</v>
      </c>
      <c r="N3133" s="39" t="str">
        <f t="shared" si="340"/>
        <v/>
      </c>
      <c r="P3133" s="39" t="str">
        <f t="shared" si="341"/>
        <v/>
      </c>
      <c r="R3133" s="39" t="str">
        <f t="shared" si="342"/>
        <v/>
      </c>
      <c r="S3133" s="28"/>
      <c r="T3133" s="28"/>
      <c r="U3133" s="28"/>
    </row>
    <row r="3134" spans="1:21" s="5" customFormat="1">
      <c r="A3134" s="179" t="s">
        <v>3641</v>
      </c>
      <c r="B3134" s="185" t="s">
        <v>7578</v>
      </c>
      <c r="C3134" s="35" t="str">
        <f t="shared" si="336"/>
        <v>QaliyiAtishparastan</v>
      </c>
      <c r="E3134" s="40"/>
      <c r="F3134" s="15"/>
      <c r="G3134" s="17"/>
      <c r="H3134" s="10" t="s">
        <v>8563</v>
      </c>
      <c r="I3134" s="4" t="str">
        <f t="shared" si="337"/>
        <v>|Qalʿiy-i-ʿAtiparastán|</v>
      </c>
      <c r="J3134" s="3" t="str">
        <f t="shared" si="338"/>
        <v>|Qal'iy-i-'Atishparastan|</v>
      </c>
      <c r="K3134" s="3" t="str">
        <f t="shared" si="339"/>
        <v>Qaliy-i-Atishparastan</v>
      </c>
      <c r="N3134" s="39" t="str">
        <f t="shared" si="340"/>
        <v/>
      </c>
      <c r="P3134" s="39" t="str">
        <f t="shared" si="341"/>
        <v/>
      </c>
      <c r="R3134" s="39" t="str">
        <f t="shared" si="342"/>
        <v/>
      </c>
      <c r="S3134" s="28"/>
      <c r="T3134" s="28"/>
      <c r="U3134" s="28"/>
    </row>
    <row r="3135" spans="1:21" s="5" customFormat="1">
      <c r="A3135" s="179" t="s">
        <v>3642</v>
      </c>
      <c r="B3135" s="185" t="s">
        <v>7579</v>
      </c>
      <c r="C3135" s="35" t="str">
        <f t="shared" si="336"/>
        <v>Qalyan</v>
      </c>
      <c r="E3135" s="40"/>
      <c r="F3135" s="14" t="s">
        <v>3643</v>
      </c>
      <c r="G3135" s="17"/>
      <c r="H3135" s="10" t="s">
        <v>8563</v>
      </c>
      <c r="I3135" s="4" t="str">
        <f t="shared" si="337"/>
        <v>|Qalyán|</v>
      </c>
      <c r="J3135" s="3" t="str">
        <f t="shared" si="338"/>
        <v>|Qalyan|</v>
      </c>
      <c r="K3135" s="3" t="str">
        <f t="shared" si="339"/>
        <v>Qalyan</v>
      </c>
      <c r="N3135" s="39" t="str">
        <f t="shared" si="340"/>
        <v/>
      </c>
      <c r="P3135" s="39" t="str">
        <f t="shared" si="341"/>
        <v/>
      </c>
      <c r="R3135" s="39" t="str">
        <f t="shared" si="342"/>
        <v/>
      </c>
      <c r="S3135" s="28"/>
      <c r="T3135" s="28"/>
      <c r="U3135" s="28"/>
    </row>
    <row r="3136" spans="1:21" s="5" customFormat="1">
      <c r="A3136" s="179" t="s">
        <v>3644</v>
      </c>
      <c r="B3136" s="185" t="s">
        <v>7580</v>
      </c>
      <c r="C3136" s="35" t="str">
        <f t="shared" si="336"/>
        <v>QambarAli</v>
      </c>
      <c r="E3136" s="40"/>
      <c r="F3136" s="14"/>
      <c r="G3136" s="17"/>
      <c r="H3136" s="10" t="s">
        <v>8563</v>
      </c>
      <c r="I3136" s="4" t="str">
        <f t="shared" si="337"/>
        <v>|Qambar-ʿAlí|</v>
      </c>
      <c r="J3136" s="3" t="str">
        <f t="shared" si="338"/>
        <v>|Qambar-'Ali|</v>
      </c>
      <c r="K3136" s="3" t="str">
        <f t="shared" si="339"/>
        <v>Qambar-Ali</v>
      </c>
      <c r="N3136" s="39" t="str">
        <f t="shared" si="340"/>
        <v/>
      </c>
      <c r="P3136" s="39" t="str">
        <f t="shared" si="341"/>
        <v/>
      </c>
      <c r="R3136" s="39" t="str">
        <f t="shared" si="342"/>
        <v/>
      </c>
      <c r="S3136" s="28"/>
      <c r="T3136" s="28"/>
      <c r="U3136" s="28"/>
    </row>
    <row r="3137" spans="1:21" s="5" customFormat="1">
      <c r="A3137" s="179" t="s">
        <v>3645</v>
      </c>
      <c r="B3137" s="185" t="s">
        <v>7581</v>
      </c>
      <c r="C3137" s="35" t="str">
        <f t="shared" si="336"/>
        <v>QambarKalish</v>
      </c>
      <c r="E3137" s="40"/>
      <c r="F3137" s="14"/>
      <c r="G3137" s="17"/>
      <c r="H3137" s="10" t="s">
        <v>8563</v>
      </c>
      <c r="I3137" s="4" t="str">
        <f t="shared" si="337"/>
        <v>|Qambar-Kali|</v>
      </c>
      <c r="J3137" s="3" t="str">
        <f t="shared" si="338"/>
        <v>|Qambar-Kalish|</v>
      </c>
      <c r="K3137" s="3" t="str">
        <f t="shared" si="339"/>
        <v>Qambar-Kalish</v>
      </c>
      <c r="N3137" s="39" t="str">
        <f t="shared" si="340"/>
        <v/>
      </c>
      <c r="P3137" s="39" t="str">
        <f t="shared" si="341"/>
        <v/>
      </c>
      <c r="R3137" s="39" t="str">
        <f t="shared" si="342"/>
        <v/>
      </c>
      <c r="S3137" s="28"/>
      <c r="T3137" s="28"/>
      <c r="U3137" s="28"/>
    </row>
    <row r="3138" spans="1:21" s="5" customFormat="1">
      <c r="A3138" s="179" t="s">
        <v>3646</v>
      </c>
      <c r="B3138" s="185" t="s">
        <v>7582</v>
      </c>
      <c r="C3138" s="35" t="str">
        <f t="shared" ref="C3138:C3201" si="343">SUBSTITUTE(SUBSTITUTE(K3138,"-","")," ","")</f>
        <v>Qamsar</v>
      </c>
      <c r="E3138" s="40"/>
      <c r="F3138" s="14"/>
      <c r="G3138" s="17"/>
      <c r="H3138" s="10" t="s">
        <v>8563</v>
      </c>
      <c r="I3138" s="4" t="str">
        <f t="shared" ref="I3138:I3201" si="344">CONCATENATE("|",B3138,"|")</f>
        <v>|Qamṣar|</v>
      </c>
      <c r="J3138" s="3" t="str">
        <f t="shared" ref="J3138:J3201" si="345">CONCATENATE("|",F_OutputASCII(B3138),"|")</f>
        <v>|Qamsar|</v>
      </c>
      <c r="K3138" s="3" t="str">
        <f t="shared" ref="K3138:K3201" si="346">IF(SUBSTITUTE(MID(J3138,2,LEN(J3138)-2),"'","")&lt;&gt;"",SUBSTITUTE(MID(J3138,2,LEN(J3138)-2),"'",""),"ZZZZZ")</f>
        <v>Qamsar</v>
      </c>
      <c r="N3138" s="39" t="str">
        <f t="shared" si="340"/>
        <v/>
      </c>
      <c r="P3138" s="39" t="str">
        <f t="shared" si="341"/>
        <v/>
      </c>
      <c r="R3138" s="39" t="str">
        <f t="shared" si="342"/>
        <v/>
      </c>
      <c r="S3138" s="28"/>
      <c r="T3138" s="28"/>
      <c r="U3138" s="28"/>
    </row>
    <row r="3139" spans="1:21" s="5" customFormat="1">
      <c r="A3139" s="179" t="s">
        <v>3647</v>
      </c>
      <c r="B3139" s="185" t="s">
        <v>7583</v>
      </c>
      <c r="C3139" s="35" t="str">
        <f t="shared" si="343"/>
        <v>Qanat</v>
      </c>
      <c r="E3139" s="40"/>
      <c r="F3139" s="15" t="s">
        <v>3648</v>
      </c>
      <c r="G3139" s="17"/>
      <c r="H3139" s="10" t="s">
        <v>8563</v>
      </c>
      <c r="I3139" s="4" t="str">
        <f t="shared" si="344"/>
        <v>|Qanát|</v>
      </c>
      <c r="J3139" s="3" t="str">
        <f t="shared" si="345"/>
        <v>|Qanat|</v>
      </c>
      <c r="K3139" s="3" t="str">
        <f t="shared" si="346"/>
        <v>Qanat</v>
      </c>
      <c r="N3139" s="39" t="str">
        <f t="shared" ref="N3139:N3202" si="347">SUBSTITUTE(SUBSTITUTE(SUBSTITUTE(F_OutputASCII(M3139),"-","")," ",""),"'","")</f>
        <v/>
      </c>
      <c r="P3139" s="39" t="str">
        <f t="shared" ref="P3139:P3202" si="348">SUBSTITUTE(SUBSTITUTE(SUBSTITUTE(F_OutputASCII(O3139),"-","")," ",""),"'","")</f>
        <v/>
      </c>
      <c r="R3139" s="39" t="str">
        <f t="shared" ref="R3139:R3202" si="349">SUBSTITUTE(SUBSTITUTE(Q3139,"-","")," ","")</f>
        <v/>
      </c>
      <c r="S3139" s="28"/>
      <c r="T3139" s="28"/>
      <c r="U3139" s="28"/>
    </row>
    <row r="3140" spans="1:21" s="5" customFormat="1">
      <c r="A3140" s="179" t="s">
        <v>3649</v>
      </c>
      <c r="B3140" s="185" t="s">
        <v>7584</v>
      </c>
      <c r="C3140" s="35" t="str">
        <f t="shared" si="343"/>
        <v>Qannad</v>
      </c>
      <c r="E3140" s="40"/>
      <c r="F3140" s="15"/>
      <c r="G3140" s="17"/>
      <c r="H3140" s="10" t="s">
        <v>8563</v>
      </c>
      <c r="I3140" s="4" t="str">
        <f t="shared" si="344"/>
        <v>|Qannád|</v>
      </c>
      <c r="J3140" s="3" t="str">
        <f t="shared" si="345"/>
        <v>|Qannad|</v>
      </c>
      <c r="K3140" s="3" t="str">
        <f t="shared" si="346"/>
        <v>Qannad</v>
      </c>
      <c r="N3140" s="39" t="str">
        <f t="shared" si="347"/>
        <v/>
      </c>
      <c r="P3140" s="39" t="str">
        <f t="shared" si="348"/>
        <v/>
      </c>
      <c r="R3140" s="39" t="str">
        <f t="shared" si="349"/>
        <v/>
      </c>
      <c r="S3140" s="28"/>
      <c r="T3140" s="28"/>
      <c r="U3140" s="28"/>
    </row>
    <row r="3141" spans="1:21" s="5" customFormat="1">
      <c r="A3141" s="179" t="s">
        <v>3650</v>
      </c>
      <c r="B3141" s="185" t="s">
        <v>7585</v>
      </c>
      <c r="C3141" s="35" t="str">
        <f t="shared" si="343"/>
        <v>qanunian</v>
      </c>
      <c r="E3141" s="40"/>
      <c r="F3141" s="15"/>
      <c r="G3141" s="17"/>
      <c r="H3141" s="10" t="s">
        <v>8563</v>
      </c>
      <c r="I3141" s="4" t="str">
        <f t="shared" si="344"/>
        <v>|qánún-i-án|</v>
      </c>
      <c r="J3141" s="3" t="str">
        <f t="shared" si="345"/>
        <v>|qanun-i-an|</v>
      </c>
      <c r="K3141" s="3" t="str">
        <f t="shared" si="346"/>
        <v>qanun-i-an</v>
      </c>
      <c r="N3141" s="39" t="str">
        <f t="shared" si="347"/>
        <v/>
      </c>
      <c r="P3141" s="39" t="str">
        <f t="shared" si="348"/>
        <v/>
      </c>
      <c r="R3141" s="39" t="str">
        <f t="shared" si="349"/>
        <v/>
      </c>
      <c r="S3141" s="28"/>
      <c r="T3141" s="28"/>
      <c r="U3141" s="28"/>
    </row>
    <row r="3142" spans="1:21" s="5" customFormat="1">
      <c r="A3142" s="179" t="s">
        <v>3651</v>
      </c>
      <c r="B3142" s="185" t="s">
        <v>7586</v>
      </c>
      <c r="C3142" s="35" t="str">
        <f t="shared" si="343"/>
        <v>Qarabat</v>
      </c>
      <c r="E3142" s="40"/>
      <c r="F3142" s="15" t="s">
        <v>3652</v>
      </c>
      <c r="G3142" s="17"/>
      <c r="H3142" s="10" t="s">
        <v>8563</v>
      </c>
      <c r="I3142" s="4" t="str">
        <f t="shared" si="344"/>
        <v>|Qarábat|</v>
      </c>
      <c r="J3142" s="3" t="str">
        <f t="shared" si="345"/>
        <v>|Qarabat|</v>
      </c>
      <c r="K3142" s="3" t="str">
        <f t="shared" si="346"/>
        <v>Qarabat</v>
      </c>
      <c r="N3142" s="39" t="str">
        <f t="shared" si="347"/>
        <v/>
      </c>
      <c r="P3142" s="39" t="str">
        <f t="shared" si="348"/>
        <v/>
      </c>
      <c r="R3142" s="39" t="str">
        <f t="shared" si="349"/>
        <v/>
      </c>
      <c r="S3142" s="28"/>
      <c r="T3142" s="28"/>
      <c r="U3142" s="28"/>
    </row>
    <row r="3143" spans="1:21" s="5" customFormat="1">
      <c r="A3143" s="179" t="s">
        <v>3653</v>
      </c>
      <c r="B3143" s="185" t="s">
        <v>180</v>
      </c>
      <c r="C3143" s="35" t="str">
        <f t="shared" si="343"/>
        <v>Qarad</v>
      </c>
      <c r="E3143" s="40"/>
      <c r="F3143" s="14"/>
      <c r="G3143" s="17"/>
      <c r="H3143" s="10" t="s">
        <v>8563</v>
      </c>
      <c r="I3143" s="4" t="str">
        <f t="shared" si="344"/>
        <v>|Qarád|</v>
      </c>
      <c r="J3143" s="3" t="str">
        <f t="shared" si="345"/>
        <v>|Qarad|</v>
      </c>
      <c r="K3143" s="3" t="str">
        <f t="shared" si="346"/>
        <v>Qarad</v>
      </c>
      <c r="N3143" s="39" t="str">
        <f t="shared" si="347"/>
        <v/>
      </c>
      <c r="P3143" s="39" t="str">
        <f t="shared" si="348"/>
        <v/>
      </c>
      <c r="R3143" s="39" t="str">
        <f t="shared" si="349"/>
        <v/>
      </c>
      <c r="S3143" s="28"/>
      <c r="T3143" s="28"/>
      <c r="U3143" s="28"/>
    </row>
    <row r="3144" spans="1:21" s="5" customFormat="1">
      <c r="A3144" s="179" t="s">
        <v>3656</v>
      </c>
      <c r="B3144" s="185" t="s">
        <v>7588</v>
      </c>
      <c r="C3144" s="35" t="str">
        <f t="shared" si="343"/>
        <v>QaraGawhar</v>
      </c>
      <c r="E3144" s="40"/>
      <c r="F3144" s="14"/>
      <c r="G3144" s="17"/>
      <c r="H3144" s="10" t="s">
        <v>8563</v>
      </c>
      <c r="I3144" s="4" t="str">
        <f t="shared" si="344"/>
        <v>|Qara-Gawhar|</v>
      </c>
      <c r="J3144" s="3" t="str">
        <f t="shared" si="345"/>
        <v>|Qara-Gawhar|</v>
      </c>
      <c r="K3144" s="3" t="str">
        <f t="shared" si="346"/>
        <v>Qara-Gawhar</v>
      </c>
      <c r="N3144" s="39" t="str">
        <f t="shared" si="347"/>
        <v/>
      </c>
      <c r="P3144" s="39" t="str">
        <f t="shared" si="348"/>
        <v/>
      </c>
      <c r="R3144" s="39" t="str">
        <f t="shared" si="349"/>
        <v/>
      </c>
      <c r="S3144" s="28"/>
      <c r="T3144" s="28"/>
      <c r="U3144" s="28"/>
    </row>
    <row r="3145" spans="1:21" s="5" customFormat="1">
      <c r="A3145" s="179" t="s">
        <v>3654</v>
      </c>
      <c r="B3145" s="185" t="s">
        <v>7587</v>
      </c>
      <c r="C3145" s="35" t="str">
        <f t="shared" si="343"/>
        <v>Qaraghuzlu</v>
      </c>
      <c r="E3145" s="40"/>
      <c r="F3145" s="15" t="s">
        <v>3655</v>
      </c>
      <c r="G3145" s="17"/>
      <c r="H3145" s="10" t="s">
        <v>8563</v>
      </c>
      <c r="I3145" s="4" t="str">
        <f t="shared" si="344"/>
        <v>|Qarauzlú|</v>
      </c>
      <c r="J3145" s="3" t="str">
        <f t="shared" si="345"/>
        <v>|Qaraghuzlu|</v>
      </c>
      <c r="K3145" s="3" t="str">
        <f t="shared" si="346"/>
        <v>Qaraghuzlu</v>
      </c>
      <c r="N3145" s="39" t="str">
        <f t="shared" si="347"/>
        <v/>
      </c>
      <c r="P3145" s="39" t="str">
        <f t="shared" si="348"/>
        <v/>
      </c>
      <c r="R3145" s="39" t="str">
        <f t="shared" si="349"/>
        <v/>
      </c>
      <c r="S3145" s="28"/>
      <c r="T3145" s="28"/>
      <c r="U3145" s="28"/>
    </row>
    <row r="3146" spans="1:21" s="5" customFormat="1">
      <c r="A3146" s="179" t="s">
        <v>3657</v>
      </c>
      <c r="B3146" s="185" t="s">
        <v>7589</v>
      </c>
      <c r="C3146" s="35" t="str">
        <f t="shared" si="343"/>
        <v>Qaran</v>
      </c>
      <c r="E3146" s="40"/>
      <c r="F3146" s="15"/>
      <c r="G3146" s="17"/>
      <c r="H3146" s="10" t="s">
        <v>8563</v>
      </c>
      <c r="I3146" s="4" t="str">
        <f t="shared" si="344"/>
        <v>|Qáran|</v>
      </c>
      <c r="J3146" s="3" t="str">
        <f t="shared" si="345"/>
        <v>|Qaran|</v>
      </c>
      <c r="K3146" s="3" t="str">
        <f t="shared" si="346"/>
        <v>Qaran</v>
      </c>
      <c r="N3146" s="39" t="str">
        <f t="shared" si="347"/>
        <v/>
      </c>
      <c r="P3146" s="39" t="str">
        <f t="shared" si="348"/>
        <v/>
      </c>
      <c r="R3146" s="39" t="str">
        <f t="shared" si="349"/>
        <v/>
      </c>
      <c r="S3146" s="28"/>
      <c r="T3146" s="28"/>
      <c r="U3146" s="28"/>
    </row>
    <row r="3147" spans="1:21" s="5" customFormat="1">
      <c r="A3147" s="179" t="s">
        <v>3658</v>
      </c>
      <c r="B3147" s="185" t="s">
        <v>7590</v>
      </c>
      <c r="C3147" s="35" t="str">
        <f t="shared" si="343"/>
        <v>QaraSu</v>
      </c>
      <c r="E3147" s="40"/>
      <c r="F3147" s="15" t="s">
        <v>3659</v>
      </c>
      <c r="G3147" s="17"/>
      <c r="H3147" s="10" t="s">
        <v>8563</v>
      </c>
      <c r="I3147" s="4" t="str">
        <f t="shared" si="344"/>
        <v>|Qara-Sú|</v>
      </c>
      <c r="J3147" s="3" t="str">
        <f t="shared" si="345"/>
        <v>|Qara-Su|</v>
      </c>
      <c r="K3147" s="3" t="str">
        <f t="shared" si="346"/>
        <v>Qara-Su</v>
      </c>
      <c r="N3147" s="39" t="str">
        <f t="shared" si="347"/>
        <v/>
      </c>
      <c r="P3147" s="39" t="str">
        <f t="shared" si="348"/>
        <v/>
      </c>
      <c r="R3147" s="39" t="str">
        <f t="shared" si="349"/>
        <v/>
      </c>
      <c r="S3147" s="28"/>
      <c r="T3147" s="28"/>
      <c r="U3147" s="28"/>
    </row>
    <row r="3148" spans="1:21" s="5" customFormat="1">
      <c r="A3148" s="179" t="s">
        <v>3660</v>
      </c>
      <c r="B3148" s="185" t="s">
        <v>7591</v>
      </c>
      <c r="C3148" s="35" t="str">
        <f t="shared" si="343"/>
        <v>Qarch</v>
      </c>
      <c r="E3148" s="40"/>
      <c r="F3148" s="15"/>
      <c r="G3148" s="17"/>
      <c r="H3148" s="10" t="s">
        <v>8563</v>
      </c>
      <c r="I3148" s="4" t="str">
        <f t="shared" si="344"/>
        <v>|Qár|</v>
      </c>
      <c r="J3148" s="3" t="str">
        <f t="shared" si="345"/>
        <v>|Qarch|</v>
      </c>
      <c r="K3148" s="3" t="str">
        <f t="shared" si="346"/>
        <v>Qarch</v>
      </c>
      <c r="N3148" s="39" t="str">
        <f t="shared" si="347"/>
        <v/>
      </c>
      <c r="P3148" s="39" t="str">
        <f t="shared" si="348"/>
        <v/>
      </c>
      <c r="R3148" s="39" t="str">
        <f t="shared" si="349"/>
        <v/>
      </c>
      <c r="S3148" s="28"/>
      <c r="T3148" s="28"/>
      <c r="U3148" s="28"/>
    </row>
    <row r="3149" spans="1:21" s="5" customFormat="1">
      <c r="A3149" s="179" t="s">
        <v>3661</v>
      </c>
      <c r="B3149" s="185" t="s">
        <v>7592</v>
      </c>
      <c r="C3149" s="35" t="str">
        <f t="shared" si="343"/>
        <v>Qarun</v>
      </c>
      <c r="E3149" s="40"/>
      <c r="F3149" s="15" t="s">
        <v>3662</v>
      </c>
      <c r="G3149" s="17"/>
      <c r="H3149" s="10" t="s">
        <v>8563</v>
      </c>
      <c r="I3149" s="4" t="str">
        <f t="shared" si="344"/>
        <v>|Qárún|</v>
      </c>
      <c r="J3149" s="3" t="str">
        <f t="shared" si="345"/>
        <v>|Qarun|</v>
      </c>
      <c r="K3149" s="3" t="str">
        <f t="shared" si="346"/>
        <v>Qarun</v>
      </c>
      <c r="N3149" s="39" t="str">
        <f t="shared" si="347"/>
        <v/>
      </c>
      <c r="P3149" s="39" t="str">
        <f t="shared" si="348"/>
        <v/>
      </c>
      <c r="R3149" s="39" t="str">
        <f t="shared" si="349"/>
        <v/>
      </c>
      <c r="S3149" s="28"/>
      <c r="T3149" s="28"/>
      <c r="U3149" s="28"/>
    </row>
    <row r="3150" spans="1:21" s="5" customFormat="1">
      <c r="A3150" s="179" t="s">
        <v>3663</v>
      </c>
      <c r="B3150" s="185" t="s">
        <v>7593</v>
      </c>
      <c r="C3150" s="35" t="str">
        <f t="shared" si="343"/>
        <v>Qashan</v>
      </c>
      <c r="E3150" s="40"/>
      <c r="F3150" s="15"/>
      <c r="G3150" s="17"/>
      <c r="H3150" s="10" t="s">
        <v>8563</v>
      </c>
      <c r="I3150" s="4" t="str">
        <f t="shared" si="344"/>
        <v>|Qáan|</v>
      </c>
      <c r="J3150" s="3" t="str">
        <f t="shared" si="345"/>
        <v>|Qashan|</v>
      </c>
      <c r="K3150" s="3" t="str">
        <f t="shared" si="346"/>
        <v>Qashan</v>
      </c>
      <c r="N3150" s="39" t="str">
        <f t="shared" si="347"/>
        <v/>
      </c>
      <c r="P3150" s="39" t="str">
        <f t="shared" si="348"/>
        <v/>
      </c>
      <c r="R3150" s="39" t="str">
        <f t="shared" si="349"/>
        <v/>
      </c>
      <c r="S3150" s="28"/>
      <c r="T3150" s="28"/>
      <c r="U3150" s="28"/>
    </row>
    <row r="3151" spans="1:21" s="5" customFormat="1">
      <c r="A3151" s="179" t="s">
        <v>3664</v>
      </c>
      <c r="B3151" s="185" t="s">
        <v>7594</v>
      </c>
      <c r="C3151" s="35" t="str">
        <f t="shared" si="343"/>
        <v>Qasidih</v>
      </c>
      <c r="E3151" s="40"/>
      <c r="F3151" s="15"/>
      <c r="G3151" s="17"/>
      <c r="H3151" s="10" t="s">
        <v>8563</v>
      </c>
      <c r="I3151" s="4" t="str">
        <f t="shared" si="344"/>
        <v>|Qaṣídih|</v>
      </c>
      <c r="J3151" s="3" t="str">
        <f t="shared" si="345"/>
        <v>|Qasidih|</v>
      </c>
      <c r="K3151" s="3" t="str">
        <f t="shared" si="346"/>
        <v>Qasidih</v>
      </c>
      <c r="N3151" s="39" t="str">
        <f t="shared" si="347"/>
        <v/>
      </c>
      <c r="P3151" s="39" t="str">
        <f t="shared" si="348"/>
        <v/>
      </c>
      <c r="R3151" s="39" t="str">
        <f t="shared" si="349"/>
        <v/>
      </c>
      <c r="S3151" s="28"/>
      <c r="T3151" s="28"/>
      <c r="U3151" s="28"/>
    </row>
    <row r="3152" spans="1:21" s="5" customFormat="1">
      <c r="A3152" s="179" t="s">
        <v>3665</v>
      </c>
      <c r="B3152" s="185" t="s">
        <v>7595</v>
      </c>
      <c r="C3152" s="35" t="str">
        <f t="shared" si="343"/>
        <v>QasidiyiTaiyyih</v>
      </c>
      <c r="E3152" s="40"/>
      <c r="F3152" s="14"/>
      <c r="G3152" s="17"/>
      <c r="H3152" s="10" t="s">
        <v>8563</v>
      </c>
      <c r="I3152" s="4" t="str">
        <f t="shared" si="344"/>
        <v>|Qasídiy-i-Tá’íyyih|</v>
      </c>
      <c r="J3152" s="3" t="str">
        <f t="shared" si="345"/>
        <v>|Qasidiy-i-Ta'iyyih|</v>
      </c>
      <c r="K3152" s="3" t="str">
        <f t="shared" si="346"/>
        <v>Qasidiy-i-Taiyyih</v>
      </c>
      <c r="N3152" s="39" t="str">
        <f t="shared" si="347"/>
        <v/>
      </c>
      <c r="P3152" s="39" t="str">
        <f t="shared" si="348"/>
        <v/>
      </c>
      <c r="R3152" s="39" t="str">
        <f t="shared" si="349"/>
        <v/>
      </c>
      <c r="S3152" s="28"/>
      <c r="T3152" s="28"/>
      <c r="U3152" s="28"/>
    </row>
    <row r="3153" spans="1:21" s="5" customFormat="1">
      <c r="A3153" s="179" t="s">
        <v>3666</v>
      </c>
      <c r="B3153" s="185" t="s">
        <v>8617</v>
      </c>
      <c r="C3153" s="35" t="str">
        <f t="shared" si="343"/>
        <v>QasidiyiVarqaiyyih</v>
      </c>
      <c r="E3153" s="40"/>
      <c r="F3153" s="14"/>
      <c r="G3153" s="17"/>
      <c r="H3153" s="10" t="s">
        <v>8563</v>
      </c>
      <c r="I3153" s="4" t="str">
        <f t="shared" si="344"/>
        <v>|Qaṣídiy-i-Varqá’íyyih|</v>
      </c>
      <c r="J3153" s="3" t="str">
        <f t="shared" si="345"/>
        <v>|Qasidiy-i-Varqa'iyyih|</v>
      </c>
      <c r="K3153" s="3" t="str">
        <f t="shared" si="346"/>
        <v>Qasidiy-i-Varqaiyyih</v>
      </c>
      <c r="N3153" s="39" t="str">
        <f t="shared" si="347"/>
        <v/>
      </c>
      <c r="P3153" s="39" t="str">
        <f t="shared" si="348"/>
        <v/>
      </c>
      <c r="R3153" s="39" t="str">
        <f t="shared" si="349"/>
        <v/>
      </c>
      <c r="S3153" s="28"/>
      <c r="T3153" s="28"/>
      <c r="U3153" s="28"/>
    </row>
    <row r="3154" spans="1:21" s="5" customFormat="1">
      <c r="A3154" s="179" t="s">
        <v>3667</v>
      </c>
      <c r="B3154" s="185" t="s">
        <v>7596</v>
      </c>
      <c r="C3154" s="35" t="str">
        <f t="shared" si="343"/>
        <v>Qasim</v>
      </c>
      <c r="E3154" s="40"/>
      <c r="F3154" s="14"/>
      <c r="G3154" s="17"/>
      <c r="H3154" s="10" t="s">
        <v>8563</v>
      </c>
      <c r="I3154" s="4" t="str">
        <f t="shared" si="344"/>
        <v>|Qásim|</v>
      </c>
      <c r="J3154" s="3" t="str">
        <f t="shared" si="345"/>
        <v>|Qasim|</v>
      </c>
      <c r="K3154" s="3" t="str">
        <f t="shared" si="346"/>
        <v>Qasim</v>
      </c>
      <c r="N3154" s="39" t="str">
        <f t="shared" si="347"/>
        <v/>
      </c>
      <c r="P3154" s="39" t="str">
        <f t="shared" si="348"/>
        <v/>
      </c>
      <c r="R3154" s="39" t="str">
        <f t="shared" si="349"/>
        <v/>
      </c>
      <c r="S3154" s="28"/>
      <c r="T3154" s="28"/>
      <c r="U3154" s="28"/>
    </row>
    <row r="3155" spans="1:21" s="5" customFormat="1">
      <c r="A3155" s="179" t="s">
        <v>3668</v>
      </c>
      <c r="B3155" s="185" t="s">
        <v>7597</v>
      </c>
      <c r="C3155" s="35" t="str">
        <f t="shared" si="343"/>
        <v>QasimiNayrizi</v>
      </c>
      <c r="E3155" s="40"/>
      <c r="F3155" s="14"/>
      <c r="G3155" s="17"/>
      <c r="H3155" s="10" t="s">
        <v>8563</v>
      </c>
      <c r="I3155" s="4" t="str">
        <f t="shared" si="344"/>
        <v>|Qásim-i-Nayrízí|</v>
      </c>
      <c r="J3155" s="3" t="str">
        <f t="shared" si="345"/>
        <v>|Qasim-i-Nayrizi|</v>
      </c>
      <c r="K3155" s="3" t="str">
        <f t="shared" si="346"/>
        <v>Qasim-i-Nayrizi</v>
      </c>
      <c r="N3155" s="39" t="str">
        <f t="shared" si="347"/>
        <v/>
      </c>
      <c r="P3155" s="39" t="str">
        <f t="shared" si="348"/>
        <v/>
      </c>
      <c r="R3155" s="39" t="str">
        <f t="shared" si="349"/>
        <v/>
      </c>
      <c r="S3155" s="28"/>
      <c r="T3155" s="28"/>
      <c r="U3155" s="28"/>
    </row>
    <row r="3156" spans="1:21" s="5" customFormat="1">
      <c r="A3156" s="179" t="s">
        <v>3669</v>
      </c>
      <c r="B3156" s="185" t="s">
        <v>7598</v>
      </c>
      <c r="C3156" s="35" t="str">
        <f t="shared" si="343"/>
        <v>Qasr</v>
      </c>
      <c r="E3156" s="40"/>
      <c r="F3156" s="15" t="s">
        <v>3670</v>
      </c>
      <c r="G3156" s="17"/>
      <c r="H3156" s="10" t="s">
        <v>8563</v>
      </c>
      <c r="I3156" s="4" t="str">
        <f t="shared" si="344"/>
        <v>|Qaṣr|</v>
      </c>
      <c r="J3156" s="3" t="str">
        <f t="shared" si="345"/>
        <v>|Qasr|</v>
      </c>
      <c r="K3156" s="3" t="str">
        <f t="shared" si="346"/>
        <v>Qasr</v>
      </c>
      <c r="N3156" s="39" t="str">
        <f t="shared" si="347"/>
        <v/>
      </c>
      <c r="P3156" s="39" t="str">
        <f t="shared" si="348"/>
        <v/>
      </c>
      <c r="R3156" s="39" t="str">
        <f t="shared" si="349"/>
        <v/>
      </c>
      <c r="S3156" s="28"/>
      <c r="T3156" s="28"/>
      <c r="U3156" s="28"/>
    </row>
    <row r="3157" spans="1:21" s="5" customFormat="1">
      <c r="A3157" s="179" t="s">
        <v>3671</v>
      </c>
      <c r="B3157" s="185" t="s">
        <v>7599</v>
      </c>
      <c r="C3157" s="35" t="str">
        <f t="shared" si="343"/>
        <v>QasriShirin</v>
      </c>
      <c r="E3157" s="40"/>
      <c r="F3157" s="14"/>
      <c r="G3157" s="17"/>
      <c r="H3157" s="10" t="s">
        <v>8563</v>
      </c>
      <c r="I3157" s="4" t="str">
        <f t="shared" si="344"/>
        <v>|Qaṣr-i-írín|</v>
      </c>
      <c r="J3157" s="3" t="str">
        <f t="shared" si="345"/>
        <v>|Qasr-i-Shirin|</v>
      </c>
      <c r="K3157" s="3" t="str">
        <f t="shared" si="346"/>
        <v>Qasr-i-Shirin</v>
      </c>
      <c r="N3157" s="39" t="str">
        <f t="shared" si="347"/>
        <v/>
      </c>
      <c r="P3157" s="39" t="str">
        <f t="shared" si="348"/>
        <v/>
      </c>
      <c r="R3157" s="39" t="str">
        <f t="shared" si="349"/>
        <v/>
      </c>
      <c r="S3157" s="28"/>
      <c r="T3157" s="28"/>
      <c r="U3157" s="28"/>
    </row>
    <row r="3158" spans="1:21" s="5" customFormat="1">
      <c r="A3158" s="179" t="s">
        <v>3672</v>
      </c>
      <c r="B3158" s="185" t="s">
        <v>7600</v>
      </c>
      <c r="C3158" s="35" t="str">
        <f t="shared" si="343"/>
        <v>Qassabchi</v>
      </c>
      <c r="E3158" s="40"/>
      <c r="F3158" s="15"/>
      <c r="G3158" s="17"/>
      <c r="H3158" s="10" t="s">
        <v>8563</v>
      </c>
      <c r="I3158" s="4" t="str">
        <f t="shared" si="344"/>
        <v>|Qaṣṣábí|</v>
      </c>
      <c r="J3158" s="3" t="str">
        <f t="shared" si="345"/>
        <v>|Qassabchi|</v>
      </c>
      <c r="K3158" s="3" t="str">
        <f t="shared" si="346"/>
        <v>Qassabchi</v>
      </c>
      <c r="N3158" s="39" t="str">
        <f t="shared" si="347"/>
        <v/>
      </c>
      <c r="P3158" s="39" t="str">
        <f t="shared" si="348"/>
        <v/>
      </c>
      <c r="R3158" s="39" t="str">
        <f t="shared" si="349"/>
        <v/>
      </c>
      <c r="S3158" s="28"/>
      <c r="T3158" s="28"/>
      <c r="U3158" s="28"/>
    </row>
    <row r="3159" spans="1:21" s="5" customFormat="1">
      <c r="A3159" s="179" t="s">
        <v>3674</v>
      </c>
      <c r="B3159" s="185" t="s">
        <v>7602</v>
      </c>
      <c r="C3159" s="35" t="str">
        <f t="shared" si="343"/>
        <v>Qatiyyih</v>
      </c>
      <c r="E3159" s="40"/>
      <c r="F3159" s="15"/>
      <c r="G3159" s="17"/>
      <c r="H3159" s="10" t="s">
        <v>8563</v>
      </c>
      <c r="I3159" s="4" t="str">
        <f t="shared" si="344"/>
        <v>|Qaṭʿiyyih|</v>
      </c>
      <c r="J3159" s="3" t="str">
        <f t="shared" si="345"/>
        <v>|Qat'iyyih|</v>
      </c>
      <c r="K3159" s="3" t="str">
        <f t="shared" si="346"/>
        <v>Qatiyyih</v>
      </c>
      <c r="N3159" s="39" t="str">
        <f t="shared" si="347"/>
        <v/>
      </c>
      <c r="P3159" s="39" t="str">
        <f t="shared" si="348"/>
        <v/>
      </c>
      <c r="R3159" s="39" t="str">
        <f t="shared" si="349"/>
        <v/>
      </c>
      <c r="S3159" s="28"/>
      <c r="T3159" s="28"/>
      <c r="U3159" s="28"/>
    </row>
    <row r="3160" spans="1:21" s="5" customFormat="1">
      <c r="A3160" s="179" t="s">
        <v>3675</v>
      </c>
      <c r="B3160" s="185" t="s">
        <v>7603</v>
      </c>
      <c r="C3160" s="35" t="str">
        <f t="shared" si="343"/>
        <v>QavamulMulk</v>
      </c>
      <c r="E3160" s="40"/>
      <c r="F3160" s="15"/>
      <c r="G3160" s="17"/>
      <c r="H3160" s="10" t="s">
        <v>8563</v>
      </c>
      <c r="I3160" s="4" t="str">
        <f t="shared" si="344"/>
        <v>|Qavámu’l-Mulk|</v>
      </c>
      <c r="J3160" s="3" t="str">
        <f t="shared" si="345"/>
        <v>|Qavamu'l-Mulk|</v>
      </c>
      <c r="K3160" s="3" t="str">
        <f t="shared" si="346"/>
        <v>Qavamul-Mulk</v>
      </c>
      <c r="N3160" s="39" t="str">
        <f t="shared" si="347"/>
        <v/>
      </c>
      <c r="P3160" s="39" t="str">
        <f t="shared" si="348"/>
        <v/>
      </c>
      <c r="R3160" s="39" t="str">
        <f t="shared" si="349"/>
        <v/>
      </c>
      <c r="S3160" s="28"/>
      <c r="T3160" s="28"/>
      <c r="U3160" s="28"/>
    </row>
    <row r="3161" spans="1:21" s="5" customFormat="1">
      <c r="A3161" s="179" t="s">
        <v>3676</v>
      </c>
      <c r="B3161" s="185" t="s">
        <v>7604</v>
      </c>
      <c r="C3161" s="35" t="str">
        <f t="shared" si="343"/>
        <v>Qawl</v>
      </c>
      <c r="E3161" s="40"/>
      <c r="F3161" s="14" t="s">
        <v>3677</v>
      </c>
      <c r="G3161" s="17"/>
      <c r="H3161" s="10" t="s">
        <v>8563</v>
      </c>
      <c r="I3161" s="4" t="str">
        <f t="shared" si="344"/>
        <v>|Qawl|</v>
      </c>
      <c r="J3161" s="3" t="str">
        <f t="shared" si="345"/>
        <v>|Qawl|</v>
      </c>
      <c r="K3161" s="3" t="str">
        <f t="shared" si="346"/>
        <v>Qawl</v>
      </c>
      <c r="N3161" s="39" t="str">
        <f t="shared" si="347"/>
        <v/>
      </c>
      <c r="P3161" s="39" t="str">
        <f t="shared" si="348"/>
        <v/>
      </c>
      <c r="R3161" s="39" t="str">
        <f t="shared" si="349"/>
        <v/>
      </c>
      <c r="S3161" s="28"/>
      <c r="T3161" s="28"/>
      <c r="U3161" s="28"/>
    </row>
    <row r="3162" spans="1:21" s="5" customFormat="1">
      <c r="A3162" s="179" t="s">
        <v>3678</v>
      </c>
      <c r="B3162" s="185" t="s">
        <v>7605</v>
      </c>
      <c r="C3162" s="35" t="str">
        <f t="shared" si="343"/>
        <v>Qaysar</v>
      </c>
      <c r="E3162" s="40"/>
      <c r="F3162" s="15"/>
      <c r="G3162" s="17"/>
      <c r="H3162" s="10" t="s">
        <v>8563</v>
      </c>
      <c r="I3162" s="4" t="str">
        <f t="shared" si="344"/>
        <v>|Qayṣar|</v>
      </c>
      <c r="J3162" s="3" t="str">
        <f t="shared" si="345"/>
        <v>|Qaysar|</v>
      </c>
      <c r="K3162" s="3" t="str">
        <f t="shared" si="346"/>
        <v>Qaysar</v>
      </c>
      <c r="N3162" s="39" t="str">
        <f t="shared" si="347"/>
        <v/>
      </c>
      <c r="P3162" s="39" t="str">
        <f t="shared" si="348"/>
        <v/>
      </c>
      <c r="R3162" s="39" t="str">
        <f t="shared" si="349"/>
        <v/>
      </c>
      <c r="S3162" s="28"/>
      <c r="T3162" s="28"/>
      <c r="U3162" s="28"/>
    </row>
    <row r="3163" spans="1:21" s="5" customFormat="1">
      <c r="A3163" s="179" t="s">
        <v>3679</v>
      </c>
      <c r="B3163" s="185" t="s">
        <v>7606</v>
      </c>
      <c r="C3163" s="35" t="str">
        <f t="shared" si="343"/>
        <v>Qayyum</v>
      </c>
      <c r="E3163" s="40"/>
      <c r="F3163" s="14"/>
      <c r="G3163" s="17"/>
      <c r="H3163" s="10" t="s">
        <v>8563</v>
      </c>
      <c r="I3163" s="4" t="str">
        <f t="shared" si="344"/>
        <v>|Qayyúm|</v>
      </c>
      <c r="J3163" s="3" t="str">
        <f t="shared" si="345"/>
        <v>|Qayyum|</v>
      </c>
      <c r="K3163" s="3" t="str">
        <f t="shared" si="346"/>
        <v>Qayyum</v>
      </c>
      <c r="N3163" s="39" t="str">
        <f t="shared" si="347"/>
        <v/>
      </c>
      <c r="P3163" s="39" t="str">
        <f t="shared" si="348"/>
        <v/>
      </c>
      <c r="R3163" s="39" t="str">
        <f t="shared" si="349"/>
        <v/>
      </c>
      <c r="S3163" s="28"/>
      <c r="T3163" s="28"/>
      <c r="U3163" s="28"/>
    </row>
    <row r="3164" spans="1:21" s="5" customFormat="1">
      <c r="A3164" s="179" t="s">
        <v>3680</v>
      </c>
      <c r="B3164" s="185" t="s">
        <v>7607</v>
      </c>
      <c r="C3164" s="35" t="str">
        <f t="shared" si="343"/>
        <v>QayyumulAsma</v>
      </c>
      <c r="E3164" s="40"/>
      <c r="F3164" s="14"/>
      <c r="G3164" s="17"/>
      <c r="H3164" s="10" t="s">
        <v>8563</v>
      </c>
      <c r="I3164" s="4" t="str">
        <f t="shared" si="344"/>
        <v>|Qayyúmu’l-Asmá’|</v>
      </c>
      <c r="J3164" s="3" t="str">
        <f t="shared" si="345"/>
        <v>|Qayyumu'l-Asma'|</v>
      </c>
      <c r="K3164" s="3" t="str">
        <f t="shared" si="346"/>
        <v>Qayyumul-Asma</v>
      </c>
      <c r="N3164" s="39" t="str">
        <f t="shared" si="347"/>
        <v/>
      </c>
      <c r="P3164" s="39" t="str">
        <f t="shared" si="348"/>
        <v/>
      </c>
      <c r="R3164" s="39" t="str">
        <f t="shared" si="349"/>
        <v/>
      </c>
      <c r="S3164" s="28"/>
      <c r="T3164" s="28"/>
      <c r="U3164" s="28"/>
    </row>
    <row r="3165" spans="1:21" s="5" customFormat="1">
      <c r="A3165" s="179" t="s">
        <v>3681</v>
      </c>
      <c r="B3165" s="185" t="s">
        <v>7608</v>
      </c>
      <c r="C3165" s="35" t="str">
        <f t="shared" si="343"/>
        <v>Qazvin</v>
      </c>
      <c r="E3165" s="40"/>
      <c r="F3165" s="14"/>
      <c r="G3165" s="17"/>
      <c r="H3165" s="10" t="s">
        <v>8563</v>
      </c>
      <c r="I3165" s="4" t="str">
        <f t="shared" si="344"/>
        <v>|Qazvín|</v>
      </c>
      <c r="J3165" s="3" t="str">
        <f t="shared" si="345"/>
        <v>|Qazvin|</v>
      </c>
      <c r="K3165" s="3" t="str">
        <f t="shared" si="346"/>
        <v>Qazvin</v>
      </c>
      <c r="N3165" s="39" t="str">
        <f t="shared" si="347"/>
        <v/>
      </c>
      <c r="P3165" s="39" t="str">
        <f t="shared" si="348"/>
        <v/>
      </c>
      <c r="R3165" s="39" t="str">
        <f t="shared" si="349"/>
        <v/>
      </c>
      <c r="S3165" s="28"/>
      <c r="T3165" s="28"/>
      <c r="U3165" s="28"/>
    </row>
    <row r="3166" spans="1:21" s="5" customFormat="1">
      <c r="A3166" s="179" t="s">
        <v>3682</v>
      </c>
      <c r="B3166" s="185" t="s">
        <v>7609</v>
      </c>
      <c r="C3166" s="35" t="str">
        <f t="shared" si="343"/>
        <v>Qazvini</v>
      </c>
      <c r="E3166" s="40"/>
      <c r="F3166" s="15"/>
      <c r="G3166" s="17"/>
      <c r="H3166" s="10" t="s">
        <v>8563</v>
      </c>
      <c r="I3166" s="4" t="str">
        <f t="shared" si="344"/>
        <v>|Qazvíní|</v>
      </c>
      <c r="J3166" s="3" t="str">
        <f t="shared" si="345"/>
        <v>|Qazvini|</v>
      </c>
      <c r="K3166" s="3" t="str">
        <f t="shared" si="346"/>
        <v>Qazvini</v>
      </c>
      <c r="N3166" s="39" t="str">
        <f t="shared" si="347"/>
        <v/>
      </c>
      <c r="P3166" s="39" t="str">
        <f t="shared" si="348"/>
        <v/>
      </c>
      <c r="R3166" s="39" t="str">
        <f t="shared" si="349"/>
        <v/>
      </c>
      <c r="S3166" s="28"/>
      <c r="T3166" s="28"/>
      <c r="U3166" s="28"/>
    </row>
    <row r="3167" spans="1:21" s="5" customFormat="1">
      <c r="A3167" s="179" t="s">
        <v>3683</v>
      </c>
      <c r="B3167" s="185" t="s">
        <v>7610</v>
      </c>
      <c r="C3167" s="35" t="str">
        <f t="shared" si="343"/>
        <v>Qiblih</v>
      </c>
      <c r="E3167" s="40"/>
      <c r="F3167" s="14" t="s">
        <v>3684</v>
      </c>
      <c r="G3167" s="17"/>
      <c r="H3167" s="10" t="s">
        <v>8563</v>
      </c>
      <c r="I3167" s="4" t="str">
        <f t="shared" si="344"/>
        <v>|Qiblih|</v>
      </c>
      <c r="J3167" s="3" t="str">
        <f t="shared" si="345"/>
        <v>|Qiblih|</v>
      </c>
      <c r="K3167" s="3" t="str">
        <f t="shared" si="346"/>
        <v>Qiblih</v>
      </c>
      <c r="N3167" s="39" t="str">
        <f t="shared" si="347"/>
        <v/>
      </c>
      <c r="P3167" s="39" t="str">
        <f t="shared" si="348"/>
        <v/>
      </c>
      <c r="R3167" s="39" t="str">
        <f t="shared" si="349"/>
        <v/>
      </c>
      <c r="S3167" s="28"/>
      <c r="T3167" s="29">
        <v>41796</v>
      </c>
      <c r="U3167" s="28" t="s">
        <v>9382</v>
      </c>
    </row>
    <row r="3168" spans="1:21" s="5" customFormat="1">
      <c r="A3168" s="179" t="s">
        <v>3685</v>
      </c>
      <c r="B3168" s="185" t="s">
        <v>7611</v>
      </c>
      <c r="C3168" s="35" t="str">
        <f t="shared" si="343"/>
        <v>QibliyiAlam</v>
      </c>
      <c r="E3168" s="40"/>
      <c r="F3168" s="15" t="s">
        <v>3686</v>
      </c>
      <c r="G3168" s="17"/>
      <c r="H3168" s="10" t="s">
        <v>8563</v>
      </c>
      <c r="I3168" s="4" t="str">
        <f t="shared" si="344"/>
        <v>|Qibliy-i-ʿÁlam|</v>
      </c>
      <c r="J3168" s="3" t="str">
        <f t="shared" si="345"/>
        <v>|Qibliy-i-'Alam|</v>
      </c>
      <c r="K3168" s="3" t="str">
        <f t="shared" si="346"/>
        <v>Qibliy-i-Alam</v>
      </c>
      <c r="N3168" s="39" t="str">
        <f t="shared" si="347"/>
        <v/>
      </c>
      <c r="P3168" s="39" t="str">
        <f t="shared" si="348"/>
        <v/>
      </c>
      <c r="R3168" s="39" t="str">
        <f t="shared" si="349"/>
        <v/>
      </c>
      <c r="S3168" s="28"/>
      <c r="T3168" s="28"/>
      <c r="U3168" s="28"/>
    </row>
    <row r="3169" spans="1:21" s="5" customFormat="1">
      <c r="A3169" s="179" t="s">
        <v>3687</v>
      </c>
      <c r="B3169" s="185" t="s">
        <v>7612</v>
      </c>
      <c r="C3169" s="35" t="str">
        <f t="shared" si="343"/>
        <v>qiran</v>
      </c>
      <c r="E3169" s="40"/>
      <c r="F3169" s="15"/>
      <c r="G3169" s="17"/>
      <c r="H3169" s="10" t="s">
        <v>8563</v>
      </c>
      <c r="I3169" s="4" t="str">
        <f t="shared" si="344"/>
        <v>|qirán|</v>
      </c>
      <c r="J3169" s="3" t="str">
        <f t="shared" si="345"/>
        <v>|qiran|</v>
      </c>
      <c r="K3169" s="3" t="str">
        <f t="shared" si="346"/>
        <v>qiran</v>
      </c>
      <c r="N3169" s="39" t="str">
        <f t="shared" si="347"/>
        <v/>
      </c>
      <c r="P3169" s="39" t="str">
        <f t="shared" si="348"/>
        <v/>
      </c>
      <c r="R3169" s="39" t="str">
        <f t="shared" si="349"/>
        <v/>
      </c>
      <c r="S3169" s="28"/>
      <c r="T3169" s="28"/>
      <c r="U3169" s="28"/>
    </row>
    <row r="3170" spans="1:21" s="5" customFormat="1">
      <c r="A3170" s="179" t="s">
        <v>3688</v>
      </c>
      <c r="B3170" s="185" t="s">
        <v>7613</v>
      </c>
      <c r="C3170" s="35" t="str">
        <f t="shared" si="343"/>
        <v>Qisas</v>
      </c>
      <c r="E3170" s="40"/>
      <c r="F3170" s="15"/>
      <c r="G3170" s="17"/>
      <c r="H3170" s="10" t="s">
        <v>8563</v>
      </c>
      <c r="I3170" s="4" t="str">
        <f t="shared" si="344"/>
        <v>|Qiṣáṣ|</v>
      </c>
      <c r="J3170" s="3" t="str">
        <f t="shared" si="345"/>
        <v>|Qisas|</v>
      </c>
      <c r="K3170" s="3" t="str">
        <f t="shared" si="346"/>
        <v>Qisas</v>
      </c>
      <c r="N3170" s="39" t="str">
        <f t="shared" si="347"/>
        <v/>
      </c>
      <c r="P3170" s="39" t="str">
        <f t="shared" si="348"/>
        <v/>
      </c>
      <c r="R3170" s="39" t="str">
        <f t="shared" si="349"/>
        <v/>
      </c>
      <c r="S3170" s="28"/>
      <c r="T3170" s="28"/>
      <c r="U3170" s="28"/>
    </row>
    <row r="3171" spans="1:21" s="5" customFormat="1">
      <c r="A3171" s="179" t="s">
        <v>3689</v>
      </c>
      <c r="B3171" s="185" t="s">
        <v>7614</v>
      </c>
      <c r="C3171" s="35" t="str">
        <f t="shared" si="343"/>
        <v>QisasulUlama</v>
      </c>
      <c r="E3171" s="40"/>
      <c r="F3171" s="15"/>
      <c r="G3171" s="17"/>
      <c r="H3171" s="10" t="s">
        <v>8563</v>
      </c>
      <c r="I3171" s="4" t="str">
        <f t="shared" si="344"/>
        <v>|Qiṣaṣu’l-ʿUlamá|</v>
      </c>
      <c r="J3171" s="3" t="str">
        <f t="shared" si="345"/>
        <v>|Qisasu'l-'Ulama|</v>
      </c>
      <c r="K3171" s="3" t="str">
        <f t="shared" si="346"/>
        <v>Qisasul-Ulama</v>
      </c>
      <c r="N3171" s="39" t="str">
        <f t="shared" si="347"/>
        <v/>
      </c>
      <c r="P3171" s="39" t="str">
        <f t="shared" si="348"/>
        <v/>
      </c>
      <c r="R3171" s="39" t="str">
        <f t="shared" si="349"/>
        <v/>
      </c>
      <c r="S3171" s="28"/>
      <c r="T3171" s="28"/>
      <c r="U3171" s="28"/>
    </row>
    <row r="3172" spans="1:21" s="5" customFormat="1">
      <c r="A3172" s="179" t="s">
        <v>3690</v>
      </c>
      <c r="B3172" s="185" t="s">
        <v>7615</v>
      </c>
      <c r="C3172" s="35" t="str">
        <f t="shared" si="343"/>
        <v>Qishlaq</v>
      </c>
      <c r="E3172" s="40"/>
      <c r="F3172" s="15" t="s">
        <v>3691</v>
      </c>
      <c r="G3172" s="17"/>
      <c r="H3172" s="10" t="s">
        <v>8563</v>
      </c>
      <c r="I3172" s="4" t="str">
        <f t="shared" si="344"/>
        <v>|Qiláq|</v>
      </c>
      <c r="J3172" s="3" t="str">
        <f t="shared" si="345"/>
        <v>|Qishlaq|</v>
      </c>
      <c r="K3172" s="3" t="str">
        <f t="shared" si="346"/>
        <v>Qishlaq</v>
      </c>
      <c r="N3172" s="39" t="str">
        <f t="shared" si="347"/>
        <v/>
      </c>
      <c r="P3172" s="39" t="str">
        <f t="shared" si="348"/>
        <v/>
      </c>
      <c r="R3172" s="39" t="str">
        <f t="shared" si="349"/>
        <v/>
      </c>
      <c r="S3172" s="28"/>
      <c r="T3172" s="28"/>
      <c r="U3172" s="28"/>
    </row>
    <row r="3173" spans="1:21" s="5" customFormat="1">
      <c r="A3173" s="179" t="s">
        <v>3692</v>
      </c>
      <c r="B3173" s="185" t="s">
        <v>7616</v>
      </c>
      <c r="C3173" s="35" t="str">
        <f t="shared" si="343"/>
        <v>Qiyamat</v>
      </c>
      <c r="E3173" s="40"/>
      <c r="F3173" s="15"/>
      <c r="G3173" s="17"/>
      <c r="H3173" s="10" t="s">
        <v>8563</v>
      </c>
      <c r="I3173" s="4" t="str">
        <f t="shared" si="344"/>
        <v>|Qiyámat|</v>
      </c>
      <c r="J3173" s="3" t="str">
        <f t="shared" si="345"/>
        <v>|Qiyamat|</v>
      </c>
      <c r="K3173" s="3" t="str">
        <f t="shared" si="346"/>
        <v>Qiyamat</v>
      </c>
      <c r="N3173" s="39" t="str">
        <f t="shared" si="347"/>
        <v/>
      </c>
      <c r="P3173" s="39" t="str">
        <f t="shared" si="348"/>
        <v/>
      </c>
      <c r="R3173" s="39" t="str">
        <f t="shared" si="349"/>
        <v/>
      </c>
      <c r="S3173" s="28"/>
      <c r="T3173" s="28"/>
      <c r="U3173" s="28"/>
    </row>
    <row r="3174" spans="1:21" s="5" customFormat="1">
      <c r="A3174" s="179" t="s">
        <v>3693</v>
      </c>
      <c r="B3174" s="185" t="s">
        <v>7617</v>
      </c>
      <c r="C3174" s="35" t="str">
        <f t="shared" si="343"/>
        <v>Qiyas</v>
      </c>
      <c r="E3174" s="40"/>
      <c r="F3174" s="15"/>
      <c r="G3174" s="17"/>
      <c r="H3174" s="10" t="s">
        <v>8563</v>
      </c>
      <c r="I3174" s="4" t="str">
        <f t="shared" si="344"/>
        <v>|Qiyás|</v>
      </c>
      <c r="J3174" s="3" t="str">
        <f t="shared" si="345"/>
        <v>|Qiyas|</v>
      </c>
      <c r="K3174" s="3" t="str">
        <f t="shared" si="346"/>
        <v>Qiyas</v>
      </c>
      <c r="N3174" s="39" t="str">
        <f t="shared" si="347"/>
        <v/>
      </c>
      <c r="P3174" s="39" t="str">
        <f t="shared" si="348"/>
        <v/>
      </c>
      <c r="R3174" s="39" t="str">
        <f t="shared" si="349"/>
        <v/>
      </c>
      <c r="S3174" s="28"/>
      <c r="T3174" s="28"/>
      <c r="U3174" s="28"/>
    </row>
    <row r="3175" spans="1:21" s="5" customFormat="1">
      <c r="A3175" s="179" t="s">
        <v>3695</v>
      </c>
      <c r="B3175" s="185" t="s">
        <v>7619</v>
      </c>
      <c r="C3175" s="35" t="str">
        <f t="shared" si="343"/>
        <v>QubbatasSakhrih</v>
      </c>
      <c r="E3175" s="40"/>
      <c r="F3175" s="15" t="s">
        <v>3696</v>
      </c>
      <c r="G3175" s="17"/>
      <c r="H3175" s="10" t="s">
        <v>8563</v>
      </c>
      <c r="I3175" s="4" t="str">
        <f t="shared" si="344"/>
        <v>|Qubbata’ṣ-Ṣarih|</v>
      </c>
      <c r="J3175" s="3" t="str">
        <f t="shared" si="345"/>
        <v>|Qubbata's-Sakhrih|</v>
      </c>
      <c r="K3175" s="3" t="str">
        <f t="shared" si="346"/>
        <v>Qubbatas-Sakhrih</v>
      </c>
      <c r="N3175" s="39" t="str">
        <f t="shared" si="347"/>
        <v/>
      </c>
      <c r="P3175" s="39" t="str">
        <f t="shared" si="348"/>
        <v/>
      </c>
      <c r="R3175" s="39" t="str">
        <f t="shared" si="349"/>
        <v/>
      </c>
      <c r="S3175" s="28"/>
      <c r="T3175" s="28"/>
      <c r="U3175" s="28"/>
    </row>
    <row r="3176" spans="1:21" s="5" customFormat="1">
      <c r="A3176" s="179" t="s">
        <v>3697</v>
      </c>
      <c r="B3176" s="185" t="s">
        <v>7620</v>
      </c>
      <c r="C3176" s="35" t="str">
        <f t="shared" si="343"/>
        <v>Quchan</v>
      </c>
      <c r="E3176" s="40"/>
      <c r="F3176" s="14"/>
      <c r="G3176" s="17"/>
      <c r="H3176" s="10" t="s">
        <v>8563</v>
      </c>
      <c r="I3176" s="4" t="str">
        <f t="shared" si="344"/>
        <v>|Qúán|</v>
      </c>
      <c r="J3176" s="3" t="str">
        <f t="shared" si="345"/>
        <v>|Quchan|</v>
      </c>
      <c r="K3176" s="3" t="str">
        <f t="shared" si="346"/>
        <v>Quchan</v>
      </c>
      <c r="N3176" s="39" t="str">
        <f t="shared" si="347"/>
        <v/>
      </c>
      <c r="P3176" s="39" t="str">
        <f t="shared" si="348"/>
        <v/>
      </c>
      <c r="R3176" s="39" t="str">
        <f t="shared" si="349"/>
        <v/>
      </c>
      <c r="S3176" s="28"/>
      <c r="T3176" s="28"/>
      <c r="U3176" s="28"/>
    </row>
    <row r="3177" spans="1:21" s="5" customFormat="1">
      <c r="A3177" s="179" t="s">
        <v>3698</v>
      </c>
      <c r="B3177" s="185" t="s">
        <v>7621</v>
      </c>
      <c r="C3177" s="35" t="str">
        <f t="shared" si="343"/>
        <v>QuchHisar</v>
      </c>
      <c r="E3177" s="40"/>
      <c r="F3177" s="15" t="s">
        <v>3699</v>
      </c>
      <c r="G3177" s="17"/>
      <c r="H3177" s="10" t="s">
        <v>8563</v>
      </c>
      <c r="I3177" s="4" t="str">
        <f t="shared" si="344"/>
        <v>|Qú-Ḥiṣár|</v>
      </c>
      <c r="J3177" s="3" t="str">
        <f t="shared" si="345"/>
        <v>|Quch-Hisar|</v>
      </c>
      <c r="K3177" s="3" t="str">
        <f t="shared" si="346"/>
        <v>Quch-Hisar</v>
      </c>
      <c r="N3177" s="39" t="str">
        <f t="shared" si="347"/>
        <v/>
      </c>
      <c r="P3177" s="39" t="str">
        <f t="shared" si="348"/>
        <v/>
      </c>
      <c r="R3177" s="39" t="str">
        <f t="shared" si="349"/>
        <v/>
      </c>
      <c r="S3177" s="28"/>
      <c r="T3177" s="28"/>
      <c r="U3177" s="28"/>
    </row>
    <row r="3178" spans="1:21" s="5" customFormat="1">
      <c r="A3178" s="179" t="s">
        <v>3700</v>
      </c>
      <c r="B3178" s="185" t="s">
        <v>1</v>
      </c>
      <c r="C3178" s="35" t="str">
        <f t="shared" si="343"/>
        <v>Quddus</v>
      </c>
      <c r="E3178" s="40"/>
      <c r="F3178" s="14"/>
      <c r="G3178" s="17"/>
      <c r="H3178" s="10" t="s">
        <v>8563</v>
      </c>
      <c r="I3178" s="4" t="str">
        <f t="shared" si="344"/>
        <v>|Quddús|</v>
      </c>
      <c r="J3178" s="3" t="str">
        <f t="shared" si="345"/>
        <v>|Quddus|</v>
      </c>
      <c r="K3178" s="3" t="str">
        <f t="shared" si="346"/>
        <v>Quddus</v>
      </c>
      <c r="N3178" s="39" t="str">
        <f t="shared" si="347"/>
        <v/>
      </c>
      <c r="P3178" s="39" t="str">
        <f t="shared" si="348"/>
        <v/>
      </c>
      <c r="R3178" s="39" t="str">
        <f t="shared" si="349"/>
        <v/>
      </c>
      <c r="S3178" s="28"/>
      <c r="T3178" s="29">
        <v>41796</v>
      </c>
      <c r="U3178" s="28" t="s">
        <v>9466</v>
      </c>
    </row>
    <row r="3179" spans="1:21" s="5" customFormat="1">
      <c r="A3179" s="179" t="s">
        <v>3701</v>
      </c>
      <c r="B3179" s="185" t="s">
        <v>7622</v>
      </c>
      <c r="C3179" s="35" t="str">
        <f t="shared" si="343"/>
        <v>Qudrat</v>
      </c>
      <c r="E3179" s="40"/>
      <c r="F3179" s="14" t="s">
        <v>3702</v>
      </c>
      <c r="G3179" s="17"/>
      <c r="H3179" s="10" t="s">
        <v>8563</v>
      </c>
      <c r="I3179" s="4" t="str">
        <f t="shared" si="344"/>
        <v>|Qudrat|</v>
      </c>
      <c r="J3179" s="3" t="str">
        <f t="shared" si="345"/>
        <v>|Qudrat|</v>
      </c>
      <c r="K3179" s="3" t="str">
        <f t="shared" si="346"/>
        <v>Qudrat</v>
      </c>
      <c r="N3179" s="39" t="str">
        <f t="shared" si="347"/>
        <v/>
      </c>
      <c r="P3179" s="39" t="str">
        <f t="shared" si="348"/>
        <v/>
      </c>
      <c r="R3179" s="39" t="str">
        <f t="shared" si="349"/>
        <v/>
      </c>
      <c r="S3179" s="28"/>
      <c r="T3179" s="28"/>
      <c r="U3179" s="28"/>
    </row>
    <row r="3180" spans="1:21" s="5" customFormat="1">
      <c r="A3180" s="179" t="s">
        <v>3703</v>
      </c>
      <c r="B3180" s="185" t="s">
        <v>7623</v>
      </c>
      <c r="C3180" s="35" t="str">
        <f t="shared" si="343"/>
        <v>Qudratullah</v>
      </c>
      <c r="E3180" s="40"/>
      <c r="F3180" s="15"/>
      <c r="G3180" s="17"/>
      <c r="H3180" s="10" t="s">
        <v>8563</v>
      </c>
      <c r="I3180" s="4" t="str">
        <f t="shared" si="344"/>
        <v>|Qudratu’lláh|</v>
      </c>
      <c r="J3180" s="3" t="str">
        <f t="shared" si="345"/>
        <v>|Qudratu'llah|</v>
      </c>
      <c r="K3180" s="3" t="str">
        <f t="shared" si="346"/>
        <v>Qudratullah</v>
      </c>
      <c r="N3180" s="39" t="str">
        <f t="shared" si="347"/>
        <v/>
      </c>
      <c r="P3180" s="39" t="str">
        <f t="shared" si="348"/>
        <v/>
      </c>
      <c r="R3180" s="39" t="str">
        <f t="shared" si="349"/>
        <v/>
      </c>
      <c r="S3180" s="28"/>
      <c r="T3180" s="28"/>
      <c r="U3180" s="28"/>
    </row>
    <row r="3181" spans="1:21" s="5" customFormat="1">
      <c r="A3181" s="179" t="s">
        <v>3704</v>
      </c>
      <c r="B3181" s="185" t="s">
        <v>7624</v>
      </c>
      <c r="C3181" s="35" t="str">
        <f t="shared" si="343"/>
        <v>Qudsi</v>
      </c>
      <c r="E3181" s="40"/>
      <c r="F3181" s="15"/>
      <c r="G3181" s="17"/>
      <c r="H3181" s="10" t="s">
        <v>8563</v>
      </c>
      <c r="I3181" s="4" t="str">
        <f t="shared" si="344"/>
        <v>|Qudsí|</v>
      </c>
      <c r="J3181" s="3" t="str">
        <f t="shared" si="345"/>
        <v>|Qudsi|</v>
      </c>
      <c r="K3181" s="3" t="str">
        <f t="shared" si="346"/>
        <v>Qudsi</v>
      </c>
      <c r="N3181" s="39" t="str">
        <f t="shared" si="347"/>
        <v/>
      </c>
      <c r="P3181" s="39" t="str">
        <f t="shared" si="348"/>
        <v/>
      </c>
      <c r="R3181" s="39" t="str">
        <f t="shared" si="349"/>
        <v/>
      </c>
      <c r="S3181" s="28"/>
      <c r="T3181" s="28"/>
      <c r="U3181" s="28"/>
    </row>
    <row r="3182" spans="1:21" s="5" customFormat="1">
      <c r="A3182" s="179" t="s">
        <v>3705</v>
      </c>
      <c r="B3182" s="185" t="s">
        <v>7625</v>
      </c>
      <c r="C3182" s="35" t="str">
        <f t="shared" si="343"/>
        <v>Qudsiyyih</v>
      </c>
      <c r="E3182" s="40"/>
      <c r="F3182" s="15"/>
      <c r="G3182" s="17"/>
      <c r="H3182" s="10" t="s">
        <v>8563</v>
      </c>
      <c r="I3182" s="4" t="str">
        <f t="shared" si="344"/>
        <v>|Qudsíyyih|</v>
      </c>
      <c r="J3182" s="3" t="str">
        <f t="shared" si="345"/>
        <v>|Qudsiyyih|</v>
      </c>
      <c r="K3182" s="3" t="str">
        <f t="shared" si="346"/>
        <v>Qudsiyyih</v>
      </c>
      <c r="N3182" s="39" t="str">
        <f t="shared" si="347"/>
        <v/>
      </c>
      <c r="P3182" s="39" t="str">
        <f t="shared" si="348"/>
        <v/>
      </c>
      <c r="R3182" s="39" t="str">
        <f t="shared" si="349"/>
        <v/>
      </c>
      <c r="S3182" s="28"/>
      <c r="T3182" s="28"/>
      <c r="U3182" s="28"/>
    </row>
    <row r="3183" spans="1:21" s="5" customFormat="1">
      <c r="A3183" s="181"/>
      <c r="B3183" s="185" t="s">
        <v>8812</v>
      </c>
      <c r="C3183" s="35" t="str">
        <f t="shared" si="343"/>
        <v>QulHuvallahuAhad</v>
      </c>
      <c r="D3183" s="1"/>
      <c r="E3183" s="40"/>
      <c r="F3183" s="12"/>
      <c r="G3183" s="9"/>
      <c r="H3183" s="12" t="s">
        <v>8622</v>
      </c>
      <c r="I3183" s="4" t="str">
        <f t="shared" si="344"/>
        <v>|Qu’l Huvalláh-u-Aḥad|</v>
      </c>
      <c r="J3183" s="3" t="str">
        <f t="shared" si="345"/>
        <v>|Qu'l Huvallah-u-Ahad|</v>
      </c>
      <c r="K3183" s="3" t="str">
        <f t="shared" si="346"/>
        <v>Qul Huvallah-u-Ahad</v>
      </c>
      <c r="N3183" s="39" t="str">
        <f t="shared" si="347"/>
        <v/>
      </c>
      <c r="P3183" s="39" t="str">
        <f t="shared" si="348"/>
        <v/>
      </c>
      <c r="R3183" s="39" t="str">
        <f t="shared" si="349"/>
        <v/>
      </c>
      <c r="S3183" s="29">
        <v>41760</v>
      </c>
      <c r="T3183" s="28"/>
      <c r="U3183" s="28"/>
    </row>
    <row r="3184" spans="1:21" s="5" customFormat="1">
      <c r="A3184" s="179" t="s">
        <v>3706</v>
      </c>
      <c r="B3184" s="185" t="s">
        <v>7626</v>
      </c>
      <c r="C3184" s="35" t="str">
        <f t="shared" si="343"/>
        <v>Quli</v>
      </c>
      <c r="E3184" s="40"/>
      <c r="F3184" s="14"/>
      <c r="G3184" s="17"/>
      <c r="H3184" s="10" t="s">
        <v>8563</v>
      </c>
      <c r="I3184" s="4" t="str">
        <f t="shared" si="344"/>
        <v>|Qulí|</v>
      </c>
      <c r="J3184" s="3" t="str">
        <f t="shared" si="345"/>
        <v>|Quli|</v>
      </c>
      <c r="K3184" s="3" t="str">
        <f t="shared" si="346"/>
        <v>Quli</v>
      </c>
      <c r="N3184" s="39" t="str">
        <f t="shared" si="347"/>
        <v/>
      </c>
      <c r="P3184" s="39" t="str">
        <f t="shared" si="348"/>
        <v/>
      </c>
      <c r="R3184" s="39" t="str">
        <f t="shared" si="349"/>
        <v/>
      </c>
      <c r="S3184" s="28"/>
      <c r="T3184" s="28"/>
      <c r="U3184" s="28"/>
    </row>
    <row r="3185" spans="1:21" s="5" customFormat="1">
      <c r="A3185" s="179" t="s">
        <v>3707</v>
      </c>
      <c r="B3185" s="185" t="s">
        <v>7627</v>
      </c>
      <c r="C3185" s="35" t="str">
        <f t="shared" si="343"/>
        <v>QuliKhan</v>
      </c>
      <c r="E3185" s="40"/>
      <c r="F3185" s="15"/>
      <c r="G3185" s="17"/>
      <c r="H3185" s="10" t="s">
        <v>8563</v>
      </c>
      <c r="I3185" s="4" t="str">
        <f t="shared" si="344"/>
        <v>|Qulí-án|</v>
      </c>
      <c r="J3185" s="3" t="str">
        <f t="shared" si="345"/>
        <v>|Quli-Khan|</v>
      </c>
      <c r="K3185" s="3" t="str">
        <f t="shared" si="346"/>
        <v>Quli-Khan</v>
      </c>
      <c r="N3185" s="39" t="str">
        <f t="shared" si="347"/>
        <v/>
      </c>
      <c r="P3185" s="39" t="str">
        <f t="shared" si="348"/>
        <v/>
      </c>
      <c r="R3185" s="39" t="str">
        <f t="shared" si="349"/>
        <v/>
      </c>
      <c r="S3185" s="28"/>
      <c r="T3185" s="28"/>
      <c r="U3185" s="28"/>
    </row>
    <row r="3186" spans="1:21" s="5" customFormat="1">
      <c r="A3186" s="179" t="s">
        <v>3708</v>
      </c>
      <c r="B3186" s="185" t="s">
        <v>7628</v>
      </c>
      <c r="C3186" s="35" t="str">
        <f t="shared" si="343"/>
        <v>QuliyiSabzivari</v>
      </c>
      <c r="E3186" s="40"/>
      <c r="F3186" s="15"/>
      <c r="G3186" s="17"/>
      <c r="H3186" s="10" t="s">
        <v>8563</v>
      </c>
      <c r="I3186" s="4" t="str">
        <f t="shared" si="344"/>
        <v>|Qulíy-i-Sabzivárí|</v>
      </c>
      <c r="J3186" s="3" t="str">
        <f t="shared" si="345"/>
        <v>|Quliy-i-Sabzivari|</v>
      </c>
      <c r="K3186" s="3" t="str">
        <f t="shared" si="346"/>
        <v>Quliy-i-Sabzivari</v>
      </c>
      <c r="N3186" s="39" t="str">
        <f t="shared" si="347"/>
        <v/>
      </c>
      <c r="P3186" s="39" t="str">
        <f t="shared" si="348"/>
        <v/>
      </c>
      <c r="R3186" s="39" t="str">
        <f t="shared" si="349"/>
        <v/>
      </c>
      <c r="S3186" s="28"/>
      <c r="T3186" s="28"/>
      <c r="U3186" s="28"/>
    </row>
    <row r="3187" spans="1:21" s="5" customFormat="1">
      <c r="A3187" s="179" t="s">
        <v>3709</v>
      </c>
      <c r="B3187" s="185" t="s">
        <v>7629</v>
      </c>
      <c r="C3187" s="35" t="str">
        <f t="shared" si="343"/>
        <v>Qulub</v>
      </c>
      <c r="E3187" s="40"/>
      <c r="F3187" s="15"/>
      <c r="G3187" s="17"/>
      <c r="H3187" s="10" t="s">
        <v>8563</v>
      </c>
      <c r="I3187" s="4" t="str">
        <f t="shared" si="344"/>
        <v>|Qulúb|</v>
      </c>
      <c r="J3187" s="3" t="str">
        <f t="shared" si="345"/>
        <v>|Qulub|</v>
      </c>
      <c r="K3187" s="3" t="str">
        <f t="shared" si="346"/>
        <v>Qulub</v>
      </c>
      <c r="N3187" s="39" t="str">
        <f t="shared" si="347"/>
        <v/>
      </c>
      <c r="P3187" s="39" t="str">
        <f t="shared" si="348"/>
        <v/>
      </c>
      <c r="R3187" s="39" t="str">
        <f t="shared" si="349"/>
        <v/>
      </c>
      <c r="S3187" s="28"/>
      <c r="T3187" s="28"/>
      <c r="U3187" s="28"/>
    </row>
    <row r="3188" spans="1:21" s="5" customFormat="1">
      <c r="A3188" s="179" t="s">
        <v>3710</v>
      </c>
      <c r="B3188" s="185" t="s">
        <v>7630</v>
      </c>
      <c r="C3188" s="35" t="str">
        <f t="shared" si="343"/>
        <v>Qum</v>
      </c>
      <c r="E3188" s="40"/>
      <c r="F3188" s="14"/>
      <c r="G3188" s="17"/>
      <c r="H3188" s="10" t="s">
        <v>8563</v>
      </c>
      <c r="I3188" s="4" t="str">
        <f t="shared" si="344"/>
        <v>|Qum|</v>
      </c>
      <c r="J3188" s="3" t="str">
        <f t="shared" si="345"/>
        <v>|Qum|</v>
      </c>
      <c r="K3188" s="3" t="str">
        <f t="shared" si="346"/>
        <v>Qum</v>
      </c>
      <c r="N3188" s="39" t="str">
        <f t="shared" si="347"/>
        <v/>
      </c>
      <c r="P3188" s="39" t="str">
        <f t="shared" si="348"/>
        <v/>
      </c>
      <c r="R3188" s="39" t="str">
        <f t="shared" si="349"/>
        <v/>
      </c>
      <c r="S3188" s="28"/>
      <c r="T3188" s="28"/>
      <c r="U3188" s="28"/>
    </row>
    <row r="3189" spans="1:21" s="5" customFormat="1">
      <c r="A3189" s="179" t="s">
        <v>3711</v>
      </c>
      <c r="B3189" s="185" t="s">
        <v>7631</v>
      </c>
      <c r="C3189" s="35" t="str">
        <f t="shared" si="343"/>
        <v>Qumi</v>
      </c>
      <c r="E3189" s="40"/>
      <c r="F3189" s="15"/>
      <c r="G3189" s="17"/>
      <c r="H3189" s="10" t="s">
        <v>8563</v>
      </c>
      <c r="I3189" s="4" t="str">
        <f t="shared" si="344"/>
        <v>|Qumí|</v>
      </c>
      <c r="J3189" s="3" t="str">
        <f t="shared" si="345"/>
        <v>|Qumi|</v>
      </c>
      <c r="K3189" s="3" t="str">
        <f t="shared" si="346"/>
        <v>Qumi</v>
      </c>
      <c r="N3189" s="39" t="str">
        <f t="shared" si="347"/>
        <v/>
      </c>
      <c r="P3189" s="39" t="str">
        <f t="shared" si="348"/>
        <v/>
      </c>
      <c r="R3189" s="39" t="str">
        <f t="shared" si="349"/>
        <v/>
      </c>
      <c r="S3189" s="28"/>
      <c r="T3189" s="28"/>
      <c r="U3189" s="28"/>
    </row>
    <row r="3190" spans="1:21" s="5" customFormat="1">
      <c r="A3190" s="179" t="s">
        <v>3712</v>
      </c>
      <c r="B3190" s="185" t="s">
        <v>7632</v>
      </c>
      <c r="C3190" s="35" t="str">
        <f t="shared" si="343"/>
        <v>Qumrud</v>
      </c>
      <c r="E3190" s="40"/>
      <c r="F3190" s="14"/>
      <c r="G3190" s="17"/>
      <c r="H3190" s="10" t="s">
        <v>8563</v>
      </c>
      <c r="I3190" s="4" t="str">
        <f t="shared" si="344"/>
        <v>|Qumrúd|</v>
      </c>
      <c r="J3190" s="3" t="str">
        <f t="shared" si="345"/>
        <v>|Qumrud|</v>
      </c>
      <c r="K3190" s="3" t="str">
        <f t="shared" si="346"/>
        <v>Qumrud</v>
      </c>
      <c r="N3190" s="39" t="str">
        <f t="shared" si="347"/>
        <v/>
      </c>
      <c r="P3190" s="39" t="str">
        <f t="shared" si="348"/>
        <v/>
      </c>
      <c r="R3190" s="39" t="str">
        <f t="shared" si="349"/>
        <v/>
      </c>
      <c r="S3190" s="28"/>
      <c r="T3190" s="28"/>
      <c r="U3190" s="28"/>
    </row>
    <row r="3191" spans="1:21" s="5" customFormat="1">
      <c r="A3191" s="179" t="s">
        <v>3687</v>
      </c>
      <c r="B3191" s="185" t="s">
        <v>38</v>
      </c>
      <c r="C3191" s="35" t="str">
        <f t="shared" si="343"/>
        <v>Quran</v>
      </c>
      <c r="E3191" s="40"/>
      <c r="F3191" s="14" t="s">
        <v>3713</v>
      </c>
      <c r="G3191" s="17"/>
      <c r="H3191" s="10" t="s">
        <v>8563</v>
      </c>
      <c r="I3191" s="4" t="str">
        <f t="shared" si="344"/>
        <v>|Qur’án|</v>
      </c>
      <c r="J3191" s="3" t="str">
        <f t="shared" si="345"/>
        <v>|Qur'an|</v>
      </c>
      <c r="K3191" s="3" t="str">
        <f t="shared" si="346"/>
        <v>Quran</v>
      </c>
      <c r="N3191" s="39" t="str">
        <f t="shared" si="347"/>
        <v/>
      </c>
      <c r="P3191" s="39" t="str">
        <f t="shared" si="348"/>
        <v/>
      </c>
      <c r="R3191" s="39" t="str">
        <f t="shared" si="349"/>
        <v/>
      </c>
      <c r="S3191" s="28"/>
      <c r="T3191" s="29">
        <v>41801</v>
      </c>
      <c r="U3191" s="28" t="s">
        <v>9467</v>
      </c>
    </row>
    <row r="3192" spans="1:21" s="5" customFormat="1">
      <c r="A3192" s="179" t="s">
        <v>3714</v>
      </c>
      <c r="B3192" s="185" t="s">
        <v>182</v>
      </c>
      <c r="C3192" s="35" t="str">
        <f t="shared" si="343"/>
        <v>Quraysh</v>
      </c>
      <c r="E3192" s="40"/>
      <c r="F3192" s="14"/>
      <c r="G3192" s="17"/>
      <c r="H3192" s="10" t="s">
        <v>8563</v>
      </c>
      <c r="I3192" s="4" t="str">
        <f t="shared" si="344"/>
        <v>|Quray|</v>
      </c>
      <c r="J3192" s="3" t="str">
        <f t="shared" si="345"/>
        <v>|Quraysh|</v>
      </c>
      <c r="K3192" s="3" t="str">
        <f t="shared" si="346"/>
        <v>Quraysh</v>
      </c>
      <c r="N3192" s="39" t="str">
        <f t="shared" si="347"/>
        <v/>
      </c>
      <c r="P3192" s="39" t="str">
        <f t="shared" si="348"/>
        <v/>
      </c>
      <c r="R3192" s="39" t="str">
        <f t="shared" si="349"/>
        <v/>
      </c>
      <c r="S3192" s="28"/>
      <c r="T3192" s="28"/>
      <c r="U3192" s="28"/>
    </row>
    <row r="3193" spans="1:21" s="5" customFormat="1">
      <c r="A3193" s="181"/>
      <c r="B3193" s="185" t="s">
        <v>181</v>
      </c>
      <c r="C3193" s="35" t="str">
        <f t="shared" si="343"/>
        <v>Qurayshiten</v>
      </c>
      <c r="D3193" s="1" t="s">
        <v>59</v>
      </c>
      <c r="E3193" s="40"/>
      <c r="F3193" s="12"/>
      <c r="G3193" s="17" t="s">
        <v>9134</v>
      </c>
      <c r="H3193" s="11" t="s">
        <v>77</v>
      </c>
      <c r="I3193" s="4" t="str">
        <f t="shared" si="344"/>
        <v>|Qurayíten|</v>
      </c>
      <c r="J3193" s="3" t="str">
        <f t="shared" si="345"/>
        <v>|Qurayshiten|</v>
      </c>
      <c r="K3193" s="3" t="str">
        <f t="shared" si="346"/>
        <v>Qurayshiten</v>
      </c>
      <c r="M3193" s="1"/>
      <c r="N3193" s="39" t="str">
        <f t="shared" si="347"/>
        <v/>
      </c>
      <c r="O3193" s="1"/>
      <c r="P3193" s="39" t="str">
        <f t="shared" si="348"/>
        <v/>
      </c>
      <c r="Q3193" s="1"/>
      <c r="R3193" s="39" t="str">
        <f t="shared" si="349"/>
        <v/>
      </c>
      <c r="S3193" s="28"/>
      <c r="T3193" s="28"/>
      <c r="U3193" s="28"/>
    </row>
    <row r="3194" spans="1:21" s="5" customFormat="1">
      <c r="A3194" s="179" t="s">
        <v>3715</v>
      </c>
      <c r="B3194" s="185" t="s">
        <v>7633</v>
      </c>
      <c r="C3194" s="35" t="str">
        <f t="shared" si="343"/>
        <v>Qurban</v>
      </c>
      <c r="E3194" s="40"/>
      <c r="F3194" s="14" t="s">
        <v>3716</v>
      </c>
      <c r="G3194" s="17"/>
      <c r="H3194" s="10" t="s">
        <v>8563</v>
      </c>
      <c r="I3194" s="4" t="str">
        <f t="shared" si="344"/>
        <v>|Qurbán|</v>
      </c>
      <c r="J3194" s="3" t="str">
        <f t="shared" si="345"/>
        <v>|Qurban|</v>
      </c>
      <c r="K3194" s="3" t="str">
        <f t="shared" si="346"/>
        <v>Qurban</v>
      </c>
      <c r="N3194" s="39" t="str">
        <f t="shared" si="347"/>
        <v/>
      </c>
      <c r="P3194" s="39" t="str">
        <f t="shared" si="348"/>
        <v/>
      </c>
      <c r="R3194" s="39" t="str">
        <f t="shared" si="349"/>
        <v/>
      </c>
      <c r="S3194" s="28"/>
      <c r="T3194" s="28"/>
      <c r="U3194" s="28"/>
    </row>
    <row r="3195" spans="1:21" s="5" customFormat="1">
      <c r="A3195" s="179" t="s">
        <v>3717</v>
      </c>
      <c r="B3195" s="185" t="s">
        <v>7634</v>
      </c>
      <c r="C3195" s="35" t="str">
        <f t="shared" si="343"/>
        <v>QurbanAli</v>
      </c>
      <c r="E3195" s="40"/>
      <c r="F3195" s="14"/>
      <c r="G3195" s="17"/>
      <c r="H3195" s="10" t="s">
        <v>8563</v>
      </c>
      <c r="I3195" s="4" t="str">
        <f t="shared" si="344"/>
        <v>|Qurbán-ʿAlí|</v>
      </c>
      <c r="J3195" s="3" t="str">
        <f t="shared" si="345"/>
        <v>|Qurban-'Ali|</v>
      </c>
      <c r="K3195" s="3" t="str">
        <f t="shared" si="346"/>
        <v>Qurban-Ali</v>
      </c>
      <c r="N3195" s="39" t="str">
        <f t="shared" si="347"/>
        <v/>
      </c>
      <c r="P3195" s="39" t="str">
        <f t="shared" si="348"/>
        <v/>
      </c>
      <c r="R3195" s="39" t="str">
        <f t="shared" si="349"/>
        <v/>
      </c>
      <c r="S3195" s="28"/>
      <c r="T3195" s="28"/>
      <c r="U3195" s="28"/>
    </row>
    <row r="3196" spans="1:21" s="5" customFormat="1">
      <c r="A3196" s="179" t="s">
        <v>3718</v>
      </c>
      <c r="B3196" s="185" t="s">
        <v>7635</v>
      </c>
      <c r="C3196" s="35" t="str">
        <f t="shared" si="343"/>
        <v>QurbanAliyiBanna</v>
      </c>
      <c r="E3196" s="40"/>
      <c r="F3196" s="15"/>
      <c r="G3196" s="17"/>
      <c r="H3196" s="10" t="s">
        <v>8563</v>
      </c>
      <c r="I3196" s="4" t="str">
        <f t="shared" si="344"/>
        <v>|Qurbán-ʿAlíy-i-Banná|</v>
      </c>
      <c r="J3196" s="3" t="str">
        <f t="shared" si="345"/>
        <v>|Qurban-'Aliy-i-Banna|</v>
      </c>
      <c r="K3196" s="3" t="str">
        <f t="shared" si="346"/>
        <v>Qurban-Aliy-i-Banna</v>
      </c>
      <c r="N3196" s="39" t="str">
        <f t="shared" si="347"/>
        <v/>
      </c>
      <c r="P3196" s="39" t="str">
        <f t="shared" si="348"/>
        <v/>
      </c>
      <c r="R3196" s="39" t="str">
        <f t="shared" si="349"/>
        <v/>
      </c>
      <c r="S3196" s="28"/>
      <c r="T3196" s="28"/>
      <c r="U3196" s="28"/>
    </row>
    <row r="3197" spans="1:21" s="5" customFormat="1">
      <c r="A3197" s="179" t="s">
        <v>3719</v>
      </c>
      <c r="B3197" s="185" t="s">
        <v>7636</v>
      </c>
      <c r="C3197" s="35" t="str">
        <f t="shared" si="343"/>
        <v>Qurbanpur</v>
      </c>
      <c r="E3197" s="40"/>
      <c r="F3197" s="15"/>
      <c r="G3197" s="17"/>
      <c r="H3197" s="10" t="s">
        <v>8563</v>
      </c>
      <c r="I3197" s="4" t="str">
        <f t="shared" si="344"/>
        <v>|Qurbánpúr|</v>
      </c>
      <c r="J3197" s="3" t="str">
        <f t="shared" si="345"/>
        <v>|Qurbanpur|</v>
      </c>
      <c r="K3197" s="3" t="str">
        <f t="shared" si="346"/>
        <v>Qurbanpur</v>
      </c>
      <c r="N3197" s="39" t="str">
        <f t="shared" si="347"/>
        <v/>
      </c>
      <c r="P3197" s="39" t="str">
        <f t="shared" si="348"/>
        <v/>
      </c>
      <c r="R3197" s="39" t="str">
        <f t="shared" si="349"/>
        <v/>
      </c>
      <c r="S3197" s="28"/>
      <c r="T3197" s="28"/>
      <c r="U3197" s="28"/>
    </row>
    <row r="3198" spans="1:21" s="5" customFormat="1">
      <c r="A3198" s="179" t="s">
        <v>3720</v>
      </c>
      <c r="B3198" s="185" t="s">
        <v>7637</v>
      </c>
      <c r="C3198" s="35" t="str">
        <f t="shared" si="343"/>
        <v>QurratulAyn</v>
      </c>
      <c r="E3198" s="40"/>
      <c r="F3198" s="14"/>
      <c r="G3198" s="17"/>
      <c r="H3198" s="10" t="s">
        <v>8563</v>
      </c>
      <c r="I3198" s="4" t="str">
        <f t="shared" si="344"/>
        <v>|Qurratu’l-ʿAyn|</v>
      </c>
      <c r="J3198" s="3" t="str">
        <f t="shared" si="345"/>
        <v>|Qurratu'l-'Ayn|</v>
      </c>
      <c r="K3198" s="3" t="str">
        <f t="shared" si="346"/>
        <v>Qurratul-Ayn</v>
      </c>
      <c r="N3198" s="39" t="str">
        <f t="shared" si="347"/>
        <v/>
      </c>
      <c r="P3198" s="39" t="str">
        <f t="shared" si="348"/>
        <v/>
      </c>
      <c r="R3198" s="39" t="str">
        <f t="shared" si="349"/>
        <v/>
      </c>
      <c r="S3198" s="28"/>
      <c r="T3198" s="28"/>
      <c r="U3198" s="28"/>
    </row>
    <row r="3199" spans="1:21" s="5" customFormat="1">
      <c r="A3199" s="179" t="s">
        <v>3721</v>
      </c>
      <c r="B3199" s="185" t="s">
        <v>7638</v>
      </c>
      <c r="C3199" s="35" t="str">
        <f t="shared" si="343"/>
        <v>Qutb</v>
      </c>
      <c r="E3199" s="40"/>
      <c r="F3199" s="15"/>
      <c r="G3199" s="17"/>
      <c r="H3199" s="10" t="s">
        <v>8563</v>
      </c>
      <c r="I3199" s="4" t="str">
        <f t="shared" si="344"/>
        <v>|Quṭb|</v>
      </c>
      <c r="J3199" s="3" t="str">
        <f t="shared" si="345"/>
        <v>|Qutb|</v>
      </c>
      <c r="K3199" s="3" t="str">
        <f t="shared" si="346"/>
        <v>Qutb</v>
      </c>
      <c r="N3199" s="39" t="str">
        <f t="shared" si="347"/>
        <v/>
      </c>
      <c r="P3199" s="39" t="str">
        <f t="shared" si="348"/>
        <v/>
      </c>
      <c r="R3199" s="39" t="str">
        <f t="shared" si="349"/>
        <v/>
      </c>
      <c r="S3199" s="28"/>
      <c r="T3199" s="28"/>
      <c r="U3199" s="28"/>
    </row>
    <row r="3200" spans="1:21" s="5" customFormat="1">
      <c r="A3200" s="179" t="s">
        <v>3722</v>
      </c>
      <c r="B3200" s="185" t="s">
        <v>7639</v>
      </c>
      <c r="C3200" s="35" t="str">
        <f t="shared" si="343"/>
        <v>QutbudDin</v>
      </c>
      <c r="E3200" s="40"/>
      <c r="F3200" s="15"/>
      <c r="G3200" s="17"/>
      <c r="H3200" s="10" t="s">
        <v>8563</v>
      </c>
      <c r="I3200" s="4" t="str">
        <f t="shared" si="344"/>
        <v>|Quṭbu’d-Dín|</v>
      </c>
      <c r="J3200" s="3" t="str">
        <f t="shared" si="345"/>
        <v>|Qutbu'd-Din|</v>
      </c>
      <c r="K3200" s="3" t="str">
        <f t="shared" si="346"/>
        <v>Qutbud-Din</v>
      </c>
      <c r="N3200" s="39" t="str">
        <f t="shared" si="347"/>
        <v/>
      </c>
      <c r="P3200" s="39" t="str">
        <f t="shared" si="348"/>
        <v/>
      </c>
      <c r="R3200" s="39" t="str">
        <f t="shared" si="349"/>
        <v/>
      </c>
      <c r="S3200" s="28"/>
      <c r="T3200" s="28"/>
      <c r="U3200" s="28"/>
    </row>
    <row r="3201" spans="1:21" s="5" customFormat="1">
      <c r="A3201" s="179" t="s">
        <v>3673</v>
      </c>
      <c r="B3201" s="185" t="s">
        <v>7601</v>
      </c>
      <c r="C3201" s="35" t="str">
        <f t="shared" si="343"/>
        <v>Qutr</v>
      </c>
      <c r="E3201" s="40"/>
      <c r="F3201" s="14"/>
      <c r="G3201" s="17"/>
      <c r="H3201" s="10" t="s">
        <v>8563</v>
      </c>
      <c r="I3201" s="4" t="str">
        <f t="shared" si="344"/>
        <v>|Quṭr|</v>
      </c>
      <c r="J3201" s="3" t="str">
        <f t="shared" si="345"/>
        <v>|Qutr|</v>
      </c>
      <c r="K3201" s="3" t="str">
        <f t="shared" si="346"/>
        <v>Qutr</v>
      </c>
      <c r="N3201" s="39" t="str">
        <f t="shared" si="347"/>
        <v/>
      </c>
      <c r="P3201" s="39" t="str">
        <f t="shared" si="348"/>
        <v/>
      </c>
      <c r="R3201" s="39" t="str">
        <f t="shared" si="349"/>
        <v/>
      </c>
      <c r="S3201" s="28"/>
      <c r="T3201" s="28"/>
      <c r="U3201" s="28"/>
    </row>
    <row r="3202" spans="1:21" s="5" customFormat="1">
      <c r="A3202" s="179" t="s">
        <v>3694</v>
      </c>
      <c r="B3202" s="185" t="s">
        <v>7618</v>
      </c>
      <c r="C3202" s="35" t="str">
        <f t="shared" ref="C3202:C3265" si="350">SUBSTITUTE(SUBSTITUTE(K3202,"-","")," ","")</f>
        <v>Quvà</v>
      </c>
      <c r="E3202" s="40"/>
      <c r="F3202" s="15"/>
      <c r="G3202" s="17"/>
      <c r="H3202" s="10" t="s">
        <v>8563</v>
      </c>
      <c r="I3202" s="4" t="str">
        <f t="shared" ref="I3202:I3265" si="351">CONCATENATE("|",B3202,"|")</f>
        <v>|Quvà|</v>
      </c>
      <c r="J3202" s="3" t="str">
        <f t="shared" ref="J3202:J3265" si="352">CONCATENATE("|",F_OutputASCII(B3202),"|")</f>
        <v>|Quvà|</v>
      </c>
      <c r="K3202" s="3" t="str">
        <f t="shared" ref="K3202:K3265" si="353">IF(SUBSTITUTE(MID(J3202,2,LEN(J3202)-2),"'","")&lt;&gt;"",SUBSTITUTE(MID(J3202,2,LEN(J3202)-2),"'",""),"ZZZZZ")</f>
        <v>Quvà</v>
      </c>
      <c r="N3202" s="39" t="str">
        <f t="shared" si="347"/>
        <v/>
      </c>
      <c r="P3202" s="39" t="str">
        <f t="shared" si="348"/>
        <v/>
      </c>
      <c r="R3202" s="39" t="str">
        <f t="shared" si="349"/>
        <v/>
      </c>
      <c r="S3202" s="28"/>
      <c r="T3202" s="28"/>
      <c r="U3202" s="28"/>
    </row>
    <row r="3203" spans="1:21" s="5" customFormat="1">
      <c r="A3203" s="179" t="s">
        <v>3723</v>
      </c>
      <c r="B3203" s="185" t="s">
        <v>7640</v>
      </c>
      <c r="C3203" s="35" t="str">
        <f t="shared" si="350"/>
        <v>Ra</v>
      </c>
      <c r="E3203" s="40"/>
      <c r="F3203" s="14"/>
      <c r="G3203" s="17"/>
      <c r="H3203" s="10" t="s">
        <v>8563</v>
      </c>
      <c r="I3203" s="4" t="str">
        <f t="shared" si="351"/>
        <v>|Rá|</v>
      </c>
      <c r="J3203" s="3" t="str">
        <f t="shared" si="352"/>
        <v>|Ra|</v>
      </c>
      <c r="K3203" s="3" t="str">
        <f t="shared" si="353"/>
        <v>Ra</v>
      </c>
      <c r="N3203" s="39" t="str">
        <f t="shared" ref="N3203:N3266" si="354">SUBSTITUTE(SUBSTITUTE(SUBSTITUTE(F_OutputASCII(M3203),"-","")," ",""),"'","")</f>
        <v/>
      </c>
      <c r="P3203" s="39" t="str">
        <f t="shared" ref="P3203:P3266" si="355">SUBSTITUTE(SUBSTITUTE(SUBSTITUTE(F_OutputASCII(O3203),"-","")," ",""),"'","")</f>
        <v/>
      </c>
      <c r="R3203" s="39" t="str">
        <f t="shared" ref="R3203:R3266" si="356">SUBSTITUTE(SUBSTITUTE(Q3203,"-","")," ","")</f>
        <v/>
      </c>
      <c r="S3203" s="28"/>
      <c r="T3203" s="28"/>
      <c r="U3203" s="28"/>
    </row>
    <row r="3204" spans="1:21" s="5" customFormat="1">
      <c r="A3204" s="179" t="s">
        <v>3724</v>
      </c>
      <c r="B3204" s="185" t="s">
        <v>7641</v>
      </c>
      <c r="C3204" s="35" t="str">
        <f t="shared" si="350"/>
        <v>Rabb</v>
      </c>
      <c r="E3204" s="40"/>
      <c r="F3204" s="14"/>
      <c r="G3204" s="17"/>
      <c r="H3204" s="10" t="s">
        <v>8563</v>
      </c>
      <c r="I3204" s="4" t="str">
        <f t="shared" si="351"/>
        <v>|Rabb|</v>
      </c>
      <c r="J3204" s="3" t="str">
        <f t="shared" si="352"/>
        <v>|Rabb|</v>
      </c>
      <c r="K3204" s="3" t="str">
        <f t="shared" si="353"/>
        <v>Rabb</v>
      </c>
      <c r="N3204" s="39" t="str">
        <f t="shared" si="354"/>
        <v/>
      </c>
      <c r="P3204" s="39" t="str">
        <f t="shared" si="355"/>
        <v/>
      </c>
      <c r="R3204" s="39" t="str">
        <f t="shared" si="356"/>
        <v/>
      </c>
      <c r="S3204" s="28"/>
      <c r="T3204" s="28"/>
      <c r="U3204" s="28"/>
    </row>
    <row r="3205" spans="1:21" s="5" customFormat="1">
      <c r="A3205" s="179" t="s">
        <v>3725</v>
      </c>
      <c r="B3205" s="185" t="s">
        <v>7642</v>
      </c>
      <c r="C3205" s="35" t="str">
        <f t="shared" si="350"/>
        <v>Rabbani</v>
      </c>
      <c r="E3205" s="40"/>
      <c r="F3205" s="14"/>
      <c r="G3205" s="17"/>
      <c r="H3205" s="10" t="s">
        <v>8563</v>
      </c>
      <c r="I3205" s="4" t="str">
        <f t="shared" si="351"/>
        <v>|Rabbání|</v>
      </c>
      <c r="J3205" s="3" t="str">
        <f t="shared" si="352"/>
        <v>|Rabbani|</v>
      </c>
      <c r="K3205" s="3" t="str">
        <f t="shared" si="353"/>
        <v>Rabbani</v>
      </c>
      <c r="N3205" s="39" t="str">
        <f t="shared" si="354"/>
        <v/>
      </c>
      <c r="P3205" s="39" t="str">
        <f t="shared" si="355"/>
        <v/>
      </c>
      <c r="R3205" s="39" t="str">
        <f t="shared" si="356"/>
        <v/>
      </c>
      <c r="S3205" s="28"/>
      <c r="T3205" s="28"/>
      <c r="U3205" s="28"/>
    </row>
    <row r="3206" spans="1:21" s="5" customFormat="1">
      <c r="A3206" s="179" t="s">
        <v>3726</v>
      </c>
      <c r="B3206" s="185" t="s">
        <v>7643</v>
      </c>
      <c r="C3206" s="35" t="str">
        <f t="shared" si="350"/>
        <v>Rabbi</v>
      </c>
      <c r="E3206" s="40"/>
      <c r="F3206" s="15"/>
      <c r="G3206" s="17"/>
      <c r="H3206" s="10" t="s">
        <v>8563</v>
      </c>
      <c r="I3206" s="4" t="str">
        <f t="shared" si="351"/>
        <v>|Rabbí|</v>
      </c>
      <c r="J3206" s="3" t="str">
        <f t="shared" si="352"/>
        <v>|Rabbi|</v>
      </c>
      <c r="K3206" s="3" t="str">
        <f t="shared" si="353"/>
        <v>Rabbi</v>
      </c>
      <c r="N3206" s="39" t="str">
        <f t="shared" si="354"/>
        <v/>
      </c>
      <c r="P3206" s="39" t="str">
        <f t="shared" si="355"/>
        <v/>
      </c>
      <c r="R3206" s="39" t="str">
        <f t="shared" si="356"/>
        <v/>
      </c>
      <c r="S3206" s="28"/>
      <c r="T3206" s="28"/>
      <c r="U3206" s="28"/>
    </row>
    <row r="3207" spans="1:21" s="5" customFormat="1">
      <c r="A3207" s="179" t="s">
        <v>3727</v>
      </c>
      <c r="B3207" s="185" t="s">
        <v>7644</v>
      </c>
      <c r="C3207" s="35" t="str">
        <f t="shared" si="350"/>
        <v>RabbiAla</v>
      </c>
      <c r="E3207" s="40"/>
      <c r="F3207" s="14"/>
      <c r="G3207" s="17"/>
      <c r="H3207" s="10" t="s">
        <v>8563</v>
      </c>
      <c r="I3207" s="4" t="str">
        <f t="shared" si="351"/>
        <v>|Rabb-i-Aʿlá|</v>
      </c>
      <c r="J3207" s="3" t="str">
        <f t="shared" si="352"/>
        <v>|Rabb-i-A'la|</v>
      </c>
      <c r="K3207" s="3" t="str">
        <f t="shared" si="353"/>
        <v>Rabb-i-Ala</v>
      </c>
      <c r="N3207" s="39" t="str">
        <f t="shared" si="354"/>
        <v/>
      </c>
      <c r="P3207" s="39" t="str">
        <f t="shared" si="355"/>
        <v/>
      </c>
      <c r="R3207" s="39" t="str">
        <f t="shared" si="356"/>
        <v/>
      </c>
      <c r="S3207" s="28"/>
      <c r="T3207" s="28"/>
      <c r="U3207" s="28"/>
    </row>
    <row r="3208" spans="1:21" s="5" customFormat="1">
      <c r="A3208" s="179" t="s">
        <v>3728</v>
      </c>
      <c r="B3208" s="185" t="s">
        <v>7645</v>
      </c>
      <c r="C3208" s="35" t="str">
        <f t="shared" si="350"/>
        <v>RabbiyalAbha</v>
      </c>
      <c r="E3208" s="40"/>
      <c r="F3208" s="14"/>
      <c r="G3208" s="17"/>
      <c r="H3208" s="10" t="s">
        <v>8563</v>
      </c>
      <c r="I3208" s="4" t="str">
        <f t="shared" si="351"/>
        <v>|Rabbíya’l-Abhá|</v>
      </c>
      <c r="J3208" s="3" t="str">
        <f t="shared" si="352"/>
        <v>|Rabbiya'l-Abha|</v>
      </c>
      <c r="K3208" s="3" t="str">
        <f t="shared" si="353"/>
        <v>Rabbiyal-Abha</v>
      </c>
      <c r="N3208" s="39" t="str">
        <f t="shared" si="354"/>
        <v/>
      </c>
      <c r="P3208" s="39" t="str">
        <f t="shared" si="355"/>
        <v/>
      </c>
      <c r="R3208" s="39" t="str">
        <f t="shared" si="356"/>
        <v/>
      </c>
      <c r="S3208" s="28"/>
      <c r="T3208" s="28"/>
      <c r="U3208" s="28"/>
    </row>
    <row r="3209" spans="1:21" s="5" customFormat="1">
      <c r="A3209" s="179" t="s">
        <v>3729</v>
      </c>
      <c r="B3209" s="185" t="s">
        <v>7646</v>
      </c>
      <c r="C3209" s="35" t="str">
        <f t="shared" si="350"/>
        <v>Rabi</v>
      </c>
      <c r="E3209" s="40"/>
      <c r="F3209" s="15"/>
      <c r="G3209" s="17"/>
      <c r="H3209" s="10" t="s">
        <v>8563</v>
      </c>
      <c r="I3209" s="4" t="str">
        <f t="shared" si="351"/>
        <v>|Rabíʿ|</v>
      </c>
      <c r="J3209" s="3" t="str">
        <f t="shared" si="352"/>
        <v>|Rabi'|</v>
      </c>
      <c r="K3209" s="3" t="str">
        <f t="shared" si="353"/>
        <v>Rabi</v>
      </c>
      <c r="N3209" s="39" t="str">
        <f t="shared" si="354"/>
        <v/>
      </c>
      <c r="P3209" s="39" t="str">
        <f t="shared" si="355"/>
        <v/>
      </c>
      <c r="R3209" s="39" t="str">
        <f t="shared" si="356"/>
        <v/>
      </c>
      <c r="S3209" s="28"/>
      <c r="T3209" s="28"/>
      <c r="U3209" s="28"/>
    </row>
    <row r="3210" spans="1:21" s="5" customFormat="1">
      <c r="A3210" s="179" t="s">
        <v>3730</v>
      </c>
      <c r="B3210" s="185" t="s">
        <v>7647</v>
      </c>
      <c r="C3210" s="35" t="str">
        <f t="shared" si="350"/>
        <v>Rabiih</v>
      </c>
      <c r="E3210" s="40"/>
      <c r="F3210" s="15"/>
      <c r="G3210" s="17"/>
      <c r="H3210" s="10" t="s">
        <v>8563</v>
      </c>
      <c r="I3210" s="4" t="str">
        <f t="shared" si="351"/>
        <v>|Rábíʿih|</v>
      </c>
      <c r="J3210" s="3" t="str">
        <f t="shared" si="352"/>
        <v>|Rabi'ih|</v>
      </c>
      <c r="K3210" s="3" t="str">
        <f t="shared" si="353"/>
        <v>Rabiih</v>
      </c>
      <c r="N3210" s="39" t="str">
        <f t="shared" si="354"/>
        <v/>
      </c>
      <c r="P3210" s="39" t="str">
        <f t="shared" si="355"/>
        <v/>
      </c>
      <c r="R3210" s="39" t="str">
        <f t="shared" si="356"/>
        <v/>
      </c>
      <c r="S3210" s="28"/>
      <c r="T3210" s="28"/>
      <c r="U3210" s="28"/>
    </row>
    <row r="3211" spans="1:21" s="5" customFormat="1">
      <c r="A3211" s="179" t="s">
        <v>3731</v>
      </c>
      <c r="B3211" s="185" t="s">
        <v>7648</v>
      </c>
      <c r="C3211" s="35" t="str">
        <f t="shared" si="350"/>
        <v>RabiulAvval</v>
      </c>
      <c r="E3211" s="40"/>
      <c r="F3211" s="15" t="s">
        <v>3732</v>
      </c>
      <c r="G3211" s="17"/>
      <c r="H3211" s="10" t="s">
        <v>8563</v>
      </c>
      <c r="I3211" s="4" t="str">
        <f t="shared" si="351"/>
        <v>|Rabíʿu’l-Avval|</v>
      </c>
      <c r="J3211" s="3" t="str">
        <f t="shared" si="352"/>
        <v>|Rabi'u'l-Avval|</v>
      </c>
      <c r="K3211" s="3" t="str">
        <f t="shared" si="353"/>
        <v>Rabiul-Avval</v>
      </c>
      <c r="N3211" s="39" t="str">
        <f t="shared" si="354"/>
        <v/>
      </c>
      <c r="P3211" s="39" t="str">
        <f t="shared" si="355"/>
        <v/>
      </c>
      <c r="R3211" s="39" t="str">
        <f t="shared" si="356"/>
        <v/>
      </c>
      <c r="S3211" s="28"/>
      <c r="T3211" s="28"/>
      <c r="U3211" s="28"/>
    </row>
    <row r="3212" spans="1:21" s="5" customFormat="1">
      <c r="A3212" s="179" t="s">
        <v>3733</v>
      </c>
      <c r="B3212" s="185" t="s">
        <v>7649</v>
      </c>
      <c r="C3212" s="35" t="str">
        <f t="shared" si="350"/>
        <v>RabiuthThani</v>
      </c>
      <c r="E3212" s="40"/>
      <c r="F3212" s="15" t="s">
        <v>3734</v>
      </c>
      <c r="G3212" s="17"/>
      <c r="H3212" s="10" t="s">
        <v>8563</v>
      </c>
      <c r="I3212" s="4" t="str">
        <f t="shared" si="351"/>
        <v>|Rabíʿu’-ání|</v>
      </c>
      <c r="J3212" s="3" t="str">
        <f t="shared" si="352"/>
        <v>|Rabi'u'th-Thani|</v>
      </c>
      <c r="K3212" s="3" t="str">
        <f t="shared" si="353"/>
        <v>Rabiuth-Thani</v>
      </c>
      <c r="N3212" s="39" t="str">
        <f t="shared" si="354"/>
        <v/>
      </c>
      <c r="P3212" s="39" t="str">
        <f t="shared" si="355"/>
        <v/>
      </c>
      <c r="R3212" s="39" t="str">
        <f t="shared" si="356"/>
        <v/>
      </c>
      <c r="S3212" s="28"/>
      <c r="T3212" s="28"/>
      <c r="U3212" s="28"/>
    </row>
    <row r="3213" spans="1:21" s="5" customFormat="1">
      <c r="A3213" s="179" t="s">
        <v>3735</v>
      </c>
      <c r="B3213" s="185" t="s">
        <v>7650</v>
      </c>
      <c r="C3213" s="35" t="str">
        <f t="shared" si="350"/>
        <v>Rabqa</v>
      </c>
      <c r="E3213" s="40"/>
      <c r="F3213" s="15"/>
      <c r="G3213" s="17"/>
      <c r="H3213" s="10" t="s">
        <v>8563</v>
      </c>
      <c r="I3213" s="4" t="str">
        <f t="shared" si="351"/>
        <v>|Rabqá|</v>
      </c>
      <c r="J3213" s="3" t="str">
        <f t="shared" si="352"/>
        <v>|Rabqa|</v>
      </c>
      <c r="K3213" s="3" t="str">
        <f t="shared" si="353"/>
        <v>Rabqa</v>
      </c>
      <c r="N3213" s="39" t="str">
        <f t="shared" si="354"/>
        <v/>
      </c>
      <c r="P3213" s="39" t="str">
        <f t="shared" si="355"/>
        <v/>
      </c>
      <c r="R3213" s="39" t="str">
        <f t="shared" si="356"/>
        <v/>
      </c>
      <c r="S3213" s="28"/>
      <c r="T3213" s="28"/>
      <c r="U3213" s="28"/>
    </row>
    <row r="3214" spans="1:21" s="5" customFormat="1">
      <c r="A3214" s="179" t="s">
        <v>3738</v>
      </c>
      <c r="B3214" s="185" t="s">
        <v>7652</v>
      </c>
      <c r="C3214" s="35" t="str">
        <f t="shared" si="350"/>
        <v>Radavi</v>
      </c>
      <c r="E3214" s="40"/>
      <c r="F3214" s="15"/>
      <c r="G3214" s="17"/>
      <c r="H3214" s="10" t="s">
        <v>8563</v>
      </c>
      <c r="I3214" s="4" t="str">
        <f t="shared" si="351"/>
        <v>|Raḍaví|</v>
      </c>
      <c r="J3214" s="3" t="str">
        <f t="shared" si="352"/>
        <v>|Radavi|</v>
      </c>
      <c r="K3214" s="3" t="str">
        <f t="shared" si="353"/>
        <v>Radavi</v>
      </c>
      <c r="N3214" s="39" t="str">
        <f t="shared" si="354"/>
        <v/>
      </c>
      <c r="P3214" s="39" t="str">
        <f t="shared" si="355"/>
        <v/>
      </c>
      <c r="R3214" s="39" t="str">
        <f t="shared" si="356"/>
        <v/>
      </c>
      <c r="S3214" s="28"/>
      <c r="T3214" s="28"/>
      <c r="U3214" s="28"/>
    </row>
    <row r="3215" spans="1:21" s="5" customFormat="1">
      <c r="A3215" s="179" t="s">
        <v>3736</v>
      </c>
      <c r="B3215" s="185" t="s">
        <v>7651</v>
      </c>
      <c r="C3215" s="35" t="str">
        <f t="shared" si="350"/>
        <v>RadiyarRuh</v>
      </c>
      <c r="E3215" s="40"/>
      <c r="F3215" s="15" t="s">
        <v>3737</v>
      </c>
      <c r="G3215" s="17"/>
      <c r="H3215" s="10" t="s">
        <v>8563</v>
      </c>
      <c r="I3215" s="4" t="str">
        <f t="shared" si="351"/>
        <v>|Raḍiya’r-Rúḥ|</v>
      </c>
      <c r="J3215" s="3" t="str">
        <f t="shared" si="352"/>
        <v>|Radiya'r-Ruh|</v>
      </c>
      <c r="K3215" s="3" t="str">
        <f t="shared" si="353"/>
        <v>Radiyar-Ruh</v>
      </c>
      <c r="N3215" s="39" t="str">
        <f t="shared" si="354"/>
        <v/>
      </c>
      <c r="P3215" s="39" t="str">
        <f t="shared" si="355"/>
        <v/>
      </c>
      <c r="R3215" s="39" t="str">
        <f t="shared" si="356"/>
        <v/>
      </c>
      <c r="S3215" s="28"/>
      <c r="T3215" s="28"/>
      <c r="U3215" s="28"/>
    </row>
    <row r="3216" spans="1:21" s="5" customFormat="1">
      <c r="A3216" s="179" t="s">
        <v>3739</v>
      </c>
      <c r="B3216" s="185" t="s">
        <v>7653</v>
      </c>
      <c r="C3216" s="35" t="str">
        <f t="shared" si="350"/>
        <v>RadiyudDin</v>
      </c>
      <c r="E3216" s="40"/>
      <c r="F3216" s="15"/>
      <c r="G3216" s="17"/>
      <c r="H3216" s="10" t="s">
        <v>8563</v>
      </c>
      <c r="I3216" s="4" t="str">
        <f t="shared" si="351"/>
        <v>|Raḍiyu’d-Dín|</v>
      </c>
      <c r="J3216" s="3" t="str">
        <f t="shared" si="352"/>
        <v>|Radiyu'd-Din|</v>
      </c>
      <c r="K3216" s="3" t="str">
        <f t="shared" si="353"/>
        <v>Radiyud-Din</v>
      </c>
      <c r="N3216" s="39" t="str">
        <f t="shared" si="354"/>
        <v/>
      </c>
      <c r="P3216" s="39" t="str">
        <f t="shared" si="355"/>
        <v/>
      </c>
      <c r="R3216" s="39" t="str">
        <f t="shared" si="356"/>
        <v/>
      </c>
      <c r="S3216" s="28"/>
      <c r="T3216" s="28"/>
      <c r="U3216" s="28"/>
    </row>
    <row r="3217" spans="1:21" s="5" customFormat="1">
      <c r="A3217" s="179" t="s">
        <v>3741</v>
      </c>
      <c r="B3217" s="185" t="s">
        <v>7655</v>
      </c>
      <c r="C3217" s="35" t="str">
        <f t="shared" si="350"/>
        <v>Radiyyih</v>
      </c>
      <c r="E3217" s="40"/>
      <c r="F3217" s="15"/>
      <c r="G3217" s="17"/>
      <c r="H3217" s="10" t="s">
        <v>8563</v>
      </c>
      <c r="I3217" s="4" t="str">
        <f t="shared" si="351"/>
        <v>|Ráḍiyyih|</v>
      </c>
      <c r="J3217" s="3" t="str">
        <f t="shared" si="352"/>
        <v>|Radiyyih|</v>
      </c>
      <c r="K3217" s="3" t="str">
        <f t="shared" si="353"/>
        <v>Radiyyih</v>
      </c>
      <c r="N3217" s="39" t="str">
        <f t="shared" si="354"/>
        <v/>
      </c>
      <c r="P3217" s="39" t="str">
        <f t="shared" si="355"/>
        <v/>
      </c>
      <c r="R3217" s="39" t="str">
        <f t="shared" si="356"/>
        <v/>
      </c>
      <c r="S3217" s="28"/>
      <c r="T3217" s="28"/>
      <c r="U3217" s="28"/>
    </row>
    <row r="3218" spans="1:21" s="5" customFormat="1">
      <c r="A3218" s="179" t="s">
        <v>3740</v>
      </c>
      <c r="B3218" s="185" t="s">
        <v>7654</v>
      </c>
      <c r="C3218" s="35" t="str">
        <f t="shared" si="350"/>
        <v>Radshid</v>
      </c>
      <c r="E3218" s="40"/>
      <c r="F3218" s="15"/>
      <c r="G3218" s="17"/>
      <c r="H3218" s="10" t="s">
        <v>8563</v>
      </c>
      <c r="I3218" s="4" t="str">
        <f t="shared" si="351"/>
        <v>|Radíd|</v>
      </c>
      <c r="J3218" s="3" t="str">
        <f t="shared" si="352"/>
        <v>|Radshid|</v>
      </c>
      <c r="K3218" s="3" t="str">
        <f t="shared" si="353"/>
        <v>Radshid</v>
      </c>
      <c r="N3218" s="39" t="str">
        <f t="shared" si="354"/>
        <v/>
      </c>
      <c r="P3218" s="39" t="str">
        <f t="shared" si="355"/>
        <v/>
      </c>
      <c r="R3218" s="39" t="str">
        <f t="shared" si="356"/>
        <v/>
      </c>
      <c r="S3218" s="28"/>
      <c r="T3218" s="28"/>
      <c r="U3218" s="28"/>
    </row>
    <row r="3219" spans="1:21" s="5" customFormat="1">
      <c r="A3219" s="179" t="s">
        <v>3742</v>
      </c>
      <c r="B3219" s="185" t="s">
        <v>7656</v>
      </c>
      <c r="C3219" s="35" t="str">
        <f t="shared" si="350"/>
        <v>Rafail</v>
      </c>
      <c r="E3219" s="40"/>
      <c r="F3219" s="15"/>
      <c r="G3219" s="17"/>
      <c r="H3219" s="10" t="s">
        <v>8563</v>
      </c>
      <c r="I3219" s="4" t="str">
        <f t="shared" si="351"/>
        <v>|Rafá’íl|</v>
      </c>
      <c r="J3219" s="3" t="str">
        <f t="shared" si="352"/>
        <v>|Rafa'il|</v>
      </c>
      <c r="K3219" s="3" t="str">
        <f t="shared" si="353"/>
        <v>Rafail</v>
      </c>
      <c r="N3219" s="39" t="str">
        <f t="shared" si="354"/>
        <v/>
      </c>
      <c r="P3219" s="39" t="str">
        <f t="shared" si="355"/>
        <v/>
      </c>
      <c r="R3219" s="39" t="str">
        <f t="shared" si="356"/>
        <v/>
      </c>
      <c r="S3219" s="28"/>
      <c r="T3219" s="28"/>
      <c r="U3219" s="28"/>
    </row>
    <row r="3220" spans="1:21" s="5" customFormat="1">
      <c r="A3220" s="179" t="s">
        <v>3743</v>
      </c>
      <c r="B3220" s="185" t="s">
        <v>7657</v>
      </c>
      <c r="C3220" s="35" t="str">
        <f t="shared" si="350"/>
        <v>Rafi</v>
      </c>
      <c r="E3220" s="40" t="s">
        <v>9115</v>
      </c>
      <c r="F3220" s="15"/>
      <c r="G3220" s="17"/>
      <c r="H3220" s="10" t="s">
        <v>8563</v>
      </c>
      <c r="I3220" s="4" t="str">
        <f t="shared" si="351"/>
        <v>|Rafíʿ|</v>
      </c>
      <c r="J3220" s="3" t="str">
        <f t="shared" si="352"/>
        <v>|Rafi'|</v>
      </c>
      <c r="K3220" s="3" t="str">
        <f t="shared" si="353"/>
        <v>Rafi</v>
      </c>
      <c r="N3220" s="39" t="str">
        <f t="shared" si="354"/>
        <v/>
      </c>
      <c r="P3220" s="39" t="str">
        <f t="shared" si="355"/>
        <v/>
      </c>
      <c r="R3220" s="39" t="str">
        <f t="shared" si="356"/>
        <v/>
      </c>
      <c r="S3220" s="28"/>
      <c r="T3220" s="28"/>
      <c r="U3220" s="28"/>
    </row>
    <row r="3221" spans="1:21" s="5" customFormat="1">
      <c r="A3221" s="179" t="s">
        <v>3744</v>
      </c>
      <c r="B3221" s="185" t="s">
        <v>7658</v>
      </c>
      <c r="C3221" s="35" t="str">
        <f t="shared" si="350"/>
        <v>Rafi</v>
      </c>
      <c r="E3221" s="40" t="s">
        <v>9115</v>
      </c>
      <c r="F3221" s="15" t="s">
        <v>3745</v>
      </c>
      <c r="G3221" s="17"/>
      <c r="H3221" s="10" t="s">
        <v>8563</v>
      </c>
      <c r="I3221" s="4" t="str">
        <f t="shared" si="351"/>
        <v>|Ráfiʿ|</v>
      </c>
      <c r="J3221" s="3" t="str">
        <f t="shared" si="352"/>
        <v>|Rafi'|</v>
      </c>
      <c r="K3221" s="3" t="str">
        <f t="shared" si="353"/>
        <v>Rafi</v>
      </c>
      <c r="N3221" s="39" t="str">
        <f t="shared" si="354"/>
        <v/>
      </c>
      <c r="P3221" s="39" t="str">
        <f t="shared" si="355"/>
        <v/>
      </c>
      <c r="R3221" s="39" t="str">
        <f t="shared" si="356"/>
        <v/>
      </c>
      <c r="S3221" s="28"/>
      <c r="T3221" s="28"/>
      <c r="U3221" s="28"/>
    </row>
    <row r="3222" spans="1:21" s="5" customFormat="1">
      <c r="A3222" s="179" t="s">
        <v>3746</v>
      </c>
      <c r="B3222" s="185" t="s">
        <v>7659</v>
      </c>
      <c r="C3222" s="35" t="str">
        <f t="shared" si="350"/>
        <v>Rafidi</v>
      </c>
      <c r="E3222" s="40"/>
      <c r="F3222" s="15"/>
      <c r="G3222" s="17"/>
      <c r="H3222" s="10" t="s">
        <v>8563</v>
      </c>
      <c r="I3222" s="4" t="str">
        <f t="shared" si="351"/>
        <v>|Ráfiḍí|</v>
      </c>
      <c r="J3222" s="3" t="str">
        <f t="shared" si="352"/>
        <v>|Rafidi|</v>
      </c>
      <c r="K3222" s="3" t="str">
        <f t="shared" si="353"/>
        <v>Rafidi</v>
      </c>
      <c r="N3222" s="39" t="str">
        <f t="shared" si="354"/>
        <v/>
      </c>
      <c r="P3222" s="39" t="str">
        <f t="shared" si="355"/>
        <v/>
      </c>
      <c r="R3222" s="39" t="str">
        <f t="shared" si="356"/>
        <v/>
      </c>
      <c r="S3222" s="28"/>
      <c r="T3222" s="28"/>
      <c r="U3222" s="28"/>
    </row>
    <row r="3223" spans="1:21" s="5" customFormat="1">
      <c r="A3223" s="179" t="s">
        <v>3747</v>
      </c>
      <c r="B3223" s="185" t="s">
        <v>7660</v>
      </c>
      <c r="C3223" s="35" t="str">
        <f t="shared" si="350"/>
        <v>RafiiKhayyat</v>
      </c>
      <c r="E3223" s="40"/>
      <c r="F3223" s="15"/>
      <c r="G3223" s="17"/>
      <c r="H3223" s="10" t="s">
        <v>8563</v>
      </c>
      <c r="I3223" s="4" t="str">
        <f t="shared" si="351"/>
        <v>|Rafíʿ-i-ayyáṭ|</v>
      </c>
      <c r="J3223" s="3" t="str">
        <f t="shared" si="352"/>
        <v>|Rafi'-i-Khayyat|</v>
      </c>
      <c r="K3223" s="3" t="str">
        <f t="shared" si="353"/>
        <v>Rafi-i-Khayyat</v>
      </c>
      <c r="N3223" s="39" t="str">
        <f t="shared" si="354"/>
        <v/>
      </c>
      <c r="P3223" s="39" t="str">
        <f t="shared" si="355"/>
        <v/>
      </c>
      <c r="R3223" s="39" t="str">
        <f t="shared" si="356"/>
        <v/>
      </c>
      <c r="S3223" s="28"/>
      <c r="T3223" s="28"/>
      <c r="U3223" s="28"/>
    </row>
    <row r="3224" spans="1:21" s="5" customFormat="1">
      <c r="A3224" s="179" t="s">
        <v>3748</v>
      </c>
      <c r="B3224" s="185" t="s">
        <v>7661</v>
      </c>
      <c r="C3224" s="35" t="str">
        <f t="shared" si="350"/>
        <v>Rafsanjan</v>
      </c>
      <c r="E3224" s="40"/>
      <c r="F3224" s="14"/>
      <c r="G3224" s="17"/>
      <c r="H3224" s="10" t="s">
        <v>8563</v>
      </c>
      <c r="I3224" s="4" t="str">
        <f t="shared" si="351"/>
        <v>|Rafsanján|</v>
      </c>
      <c r="J3224" s="3" t="str">
        <f t="shared" si="352"/>
        <v>|Rafsanjan|</v>
      </c>
      <c r="K3224" s="3" t="str">
        <f t="shared" si="353"/>
        <v>Rafsanjan</v>
      </c>
      <c r="N3224" s="39" t="str">
        <f t="shared" si="354"/>
        <v/>
      </c>
      <c r="P3224" s="39" t="str">
        <f t="shared" si="355"/>
        <v/>
      </c>
      <c r="R3224" s="39" t="str">
        <f t="shared" si="356"/>
        <v/>
      </c>
      <c r="S3224" s="28"/>
      <c r="T3224" s="28"/>
      <c r="U3224" s="28"/>
    </row>
    <row r="3225" spans="1:21" s="5" customFormat="1">
      <c r="A3225" s="179" t="s">
        <v>3749</v>
      </c>
      <c r="B3225" s="185" t="s">
        <v>7662</v>
      </c>
      <c r="C3225" s="35" t="str">
        <f t="shared" si="350"/>
        <v>Rafua</v>
      </c>
      <c r="E3225" s="40"/>
      <c r="F3225" s="15"/>
      <c r="G3225" s="17"/>
      <c r="H3225" s="10" t="s">
        <v>8563</v>
      </c>
      <c r="I3225" s="4" t="str">
        <f t="shared" si="351"/>
        <v>|Rafúʿá|</v>
      </c>
      <c r="J3225" s="3" t="str">
        <f t="shared" si="352"/>
        <v>|Rafu'a|</v>
      </c>
      <c r="K3225" s="3" t="str">
        <f t="shared" si="353"/>
        <v>Rafua</v>
      </c>
      <c r="N3225" s="39" t="str">
        <f t="shared" si="354"/>
        <v/>
      </c>
      <c r="P3225" s="39" t="str">
        <f t="shared" si="355"/>
        <v/>
      </c>
      <c r="R3225" s="39" t="str">
        <f t="shared" si="356"/>
        <v/>
      </c>
      <c r="S3225" s="28"/>
      <c r="T3225" s="28"/>
      <c r="U3225" s="28"/>
    </row>
    <row r="3226" spans="1:21" s="5" customFormat="1">
      <c r="A3226" s="179" t="s">
        <v>3750</v>
      </c>
      <c r="B3226" s="185" t="s">
        <v>7663</v>
      </c>
      <c r="C3226" s="35" t="str">
        <f t="shared" si="350"/>
        <v>Rahil</v>
      </c>
      <c r="E3226" s="40"/>
      <c r="F3226" s="15"/>
      <c r="G3226" s="17"/>
      <c r="H3226" s="10" t="s">
        <v>8563</v>
      </c>
      <c r="I3226" s="4" t="str">
        <f t="shared" si="351"/>
        <v>|Ráḥil|</v>
      </c>
      <c r="J3226" s="3" t="str">
        <f t="shared" si="352"/>
        <v>|Rahil|</v>
      </c>
      <c r="K3226" s="3" t="str">
        <f t="shared" si="353"/>
        <v>Rahil</v>
      </c>
      <c r="N3226" s="39" t="str">
        <f t="shared" si="354"/>
        <v/>
      </c>
      <c r="P3226" s="39" t="str">
        <f t="shared" si="355"/>
        <v/>
      </c>
      <c r="R3226" s="39" t="str">
        <f t="shared" si="356"/>
        <v/>
      </c>
      <c r="S3226" s="28"/>
      <c r="T3226" s="28"/>
      <c r="U3226" s="28"/>
    </row>
    <row r="3227" spans="1:21" s="5" customFormat="1">
      <c r="A3227" s="179" t="s">
        <v>3751</v>
      </c>
      <c r="B3227" s="185" t="s">
        <v>7664</v>
      </c>
      <c r="C3227" s="35" t="str">
        <f t="shared" si="350"/>
        <v>Rahim</v>
      </c>
      <c r="E3227" s="40"/>
      <c r="F3227" s="14"/>
      <c r="G3227" s="17"/>
      <c r="H3227" s="10" t="s">
        <v>8563</v>
      </c>
      <c r="I3227" s="4" t="str">
        <f t="shared" si="351"/>
        <v>|Raḥím|</v>
      </c>
      <c r="J3227" s="3" t="str">
        <f t="shared" si="352"/>
        <v>|Rahim|</v>
      </c>
      <c r="K3227" s="3" t="str">
        <f t="shared" si="353"/>
        <v>Rahim</v>
      </c>
      <c r="N3227" s="39" t="str">
        <f t="shared" si="354"/>
        <v/>
      </c>
      <c r="P3227" s="39" t="str">
        <f t="shared" si="355"/>
        <v/>
      </c>
      <c r="R3227" s="39" t="str">
        <f t="shared" si="356"/>
        <v/>
      </c>
      <c r="S3227" s="28"/>
      <c r="T3227" s="28"/>
      <c r="U3227" s="28"/>
    </row>
    <row r="3228" spans="1:21" s="5" customFormat="1">
      <c r="A3228" s="179" t="s">
        <v>3752</v>
      </c>
      <c r="B3228" s="185" t="s">
        <v>8614</v>
      </c>
      <c r="C3228" s="35" t="str">
        <f t="shared" si="350"/>
        <v>RahimiKhabbaz</v>
      </c>
      <c r="E3228" s="40"/>
      <c r="F3228" s="14"/>
      <c r="G3228" s="17"/>
      <c r="H3228" s="10" t="s">
        <v>8563</v>
      </c>
      <c r="I3228" s="4" t="str">
        <f t="shared" si="351"/>
        <v>|Raḥím-i-abbáz|</v>
      </c>
      <c r="J3228" s="3" t="str">
        <f t="shared" si="352"/>
        <v>|Rahim-i-Khabbaz|</v>
      </c>
      <c r="K3228" s="3" t="str">
        <f t="shared" si="353"/>
        <v>Rahim-i-Khabbaz</v>
      </c>
      <c r="N3228" s="39" t="str">
        <f t="shared" si="354"/>
        <v/>
      </c>
      <c r="P3228" s="39" t="str">
        <f t="shared" si="355"/>
        <v/>
      </c>
      <c r="R3228" s="39" t="str">
        <f t="shared" si="356"/>
        <v/>
      </c>
      <c r="S3228" s="28"/>
      <c r="T3228" s="28"/>
      <c r="U3228" s="28"/>
    </row>
    <row r="3229" spans="1:21" s="5" customFormat="1">
      <c r="A3229" s="179" t="s">
        <v>3753</v>
      </c>
      <c r="B3229" s="185" t="s">
        <v>7665</v>
      </c>
      <c r="C3229" s="35" t="str">
        <f t="shared" si="350"/>
        <v>Rahimiyan</v>
      </c>
      <c r="E3229" s="40"/>
      <c r="F3229" s="15"/>
      <c r="G3229" s="17"/>
      <c r="H3229" s="10" t="s">
        <v>8563</v>
      </c>
      <c r="I3229" s="4" t="str">
        <f t="shared" si="351"/>
        <v>|Rahímíyán|</v>
      </c>
      <c r="J3229" s="3" t="str">
        <f t="shared" si="352"/>
        <v>|Rahimiyan|</v>
      </c>
      <c r="K3229" s="3" t="str">
        <f t="shared" si="353"/>
        <v>Rahimiyan</v>
      </c>
      <c r="N3229" s="39" t="str">
        <f t="shared" si="354"/>
        <v/>
      </c>
      <c r="P3229" s="39" t="str">
        <f t="shared" si="355"/>
        <v/>
      </c>
      <c r="R3229" s="39" t="str">
        <f t="shared" si="356"/>
        <v/>
      </c>
      <c r="S3229" s="28"/>
      <c r="T3229" s="28"/>
      <c r="U3229" s="28"/>
    </row>
    <row r="3230" spans="1:21" s="5" customFormat="1">
      <c r="A3230" s="179" t="s">
        <v>3754</v>
      </c>
      <c r="B3230" s="185" t="s">
        <v>7666</v>
      </c>
      <c r="C3230" s="35" t="str">
        <f t="shared" si="350"/>
        <v>RahimiZanjani</v>
      </c>
      <c r="E3230" s="40"/>
      <c r="F3230" s="14"/>
      <c r="G3230" s="17"/>
      <c r="H3230" s="10" t="s">
        <v>8563</v>
      </c>
      <c r="I3230" s="4" t="str">
        <f t="shared" si="351"/>
        <v>|Raḥím-i-Zanjání|</v>
      </c>
      <c r="J3230" s="3" t="str">
        <f t="shared" si="352"/>
        <v>|Rahim-i-Zanjani|</v>
      </c>
      <c r="K3230" s="3" t="str">
        <f t="shared" si="353"/>
        <v>Rahim-i-Zanjani</v>
      </c>
      <c r="N3230" s="39" t="str">
        <f t="shared" si="354"/>
        <v/>
      </c>
      <c r="P3230" s="39" t="str">
        <f t="shared" si="355"/>
        <v/>
      </c>
      <c r="R3230" s="39" t="str">
        <f t="shared" si="356"/>
        <v/>
      </c>
      <c r="S3230" s="28"/>
      <c r="T3230" s="28"/>
      <c r="U3230" s="28"/>
    </row>
    <row r="3231" spans="1:21" s="5" customFormat="1">
      <c r="A3231" s="179" t="s">
        <v>3755</v>
      </c>
      <c r="B3231" s="185" t="s">
        <v>7667</v>
      </c>
      <c r="C3231" s="35" t="str">
        <f t="shared" si="350"/>
        <v>Rahimkhan</v>
      </c>
      <c r="E3231" s="40"/>
      <c r="F3231" s="15"/>
      <c r="G3231" s="17"/>
      <c r="H3231" s="10" t="s">
        <v>8563</v>
      </c>
      <c r="I3231" s="4" t="str">
        <f t="shared" si="351"/>
        <v>|Raḥímán|</v>
      </c>
      <c r="J3231" s="3" t="str">
        <f t="shared" si="352"/>
        <v>|Rahimkhan|</v>
      </c>
      <c r="K3231" s="3" t="str">
        <f t="shared" si="353"/>
        <v>Rahimkhan</v>
      </c>
      <c r="N3231" s="39" t="str">
        <f t="shared" si="354"/>
        <v/>
      </c>
      <c r="P3231" s="39" t="str">
        <f t="shared" si="355"/>
        <v/>
      </c>
      <c r="R3231" s="39" t="str">
        <f t="shared" si="356"/>
        <v/>
      </c>
      <c r="S3231" s="28"/>
      <c r="T3231" s="28"/>
      <c r="U3231" s="28"/>
    </row>
    <row r="3232" spans="1:21" s="5" customFormat="1">
      <c r="A3232" s="179" t="s">
        <v>3756</v>
      </c>
      <c r="B3232" s="185" t="s">
        <v>7668</v>
      </c>
      <c r="C3232" s="35" t="str">
        <f t="shared" si="350"/>
        <v>Rahimpur</v>
      </c>
      <c r="E3232" s="40"/>
      <c r="F3232" s="15"/>
      <c r="G3232" s="17"/>
      <c r="H3232" s="10" t="s">
        <v>8563</v>
      </c>
      <c r="I3232" s="4" t="str">
        <f t="shared" si="351"/>
        <v>|Raḥímpúr|</v>
      </c>
      <c r="J3232" s="3" t="str">
        <f t="shared" si="352"/>
        <v>|Rahimpur|</v>
      </c>
      <c r="K3232" s="3" t="str">
        <f t="shared" si="353"/>
        <v>Rahimpur</v>
      </c>
      <c r="N3232" s="39" t="str">
        <f t="shared" si="354"/>
        <v/>
      </c>
      <c r="P3232" s="39" t="str">
        <f t="shared" si="355"/>
        <v/>
      </c>
      <c r="R3232" s="39" t="str">
        <f t="shared" si="356"/>
        <v/>
      </c>
      <c r="S3232" s="28"/>
      <c r="T3232" s="28"/>
      <c r="U3232" s="28"/>
    </row>
    <row r="3233" spans="1:21" s="5" customFormat="1">
      <c r="A3233" s="179" t="s">
        <v>3757</v>
      </c>
      <c r="B3233" s="185" t="s">
        <v>7669</v>
      </c>
      <c r="C3233" s="35" t="str">
        <f t="shared" si="350"/>
        <v>RahiqiMakhtum</v>
      </c>
      <c r="E3233" s="40"/>
      <c r="F3233" s="15"/>
      <c r="G3233" s="17"/>
      <c r="H3233" s="10" t="s">
        <v>8563</v>
      </c>
      <c r="I3233" s="4" t="str">
        <f t="shared" si="351"/>
        <v>|Raḥíq-i-Matúm|</v>
      </c>
      <c r="J3233" s="3" t="str">
        <f t="shared" si="352"/>
        <v>|Rahiq-i-Makhtum|</v>
      </c>
      <c r="K3233" s="3" t="str">
        <f t="shared" si="353"/>
        <v>Rahiq-i-Makhtum</v>
      </c>
      <c r="N3233" s="39" t="str">
        <f t="shared" si="354"/>
        <v/>
      </c>
      <c r="P3233" s="39" t="str">
        <f t="shared" si="355"/>
        <v/>
      </c>
      <c r="R3233" s="39" t="str">
        <f t="shared" si="356"/>
        <v/>
      </c>
      <c r="S3233" s="28"/>
      <c r="T3233" s="28"/>
      <c r="U3233" s="28"/>
    </row>
    <row r="3234" spans="1:21" s="5" customFormat="1">
      <c r="A3234" s="179" t="s">
        <v>3758</v>
      </c>
      <c r="B3234" s="185" t="s">
        <v>7670</v>
      </c>
      <c r="C3234" s="35" t="str">
        <f t="shared" si="350"/>
        <v>Rahman</v>
      </c>
      <c r="E3234" s="40"/>
      <c r="F3234" s="14"/>
      <c r="G3234" s="17"/>
      <c r="H3234" s="10" t="s">
        <v>8563</v>
      </c>
      <c r="I3234" s="4" t="str">
        <f t="shared" si="351"/>
        <v>|Raḥmán|</v>
      </c>
      <c r="J3234" s="3" t="str">
        <f t="shared" si="352"/>
        <v>|Rahman|</v>
      </c>
      <c r="K3234" s="3" t="str">
        <f t="shared" si="353"/>
        <v>Rahman</v>
      </c>
      <c r="N3234" s="39" t="str">
        <f t="shared" si="354"/>
        <v/>
      </c>
      <c r="P3234" s="39" t="str">
        <f t="shared" si="355"/>
        <v/>
      </c>
      <c r="R3234" s="39" t="str">
        <f t="shared" si="356"/>
        <v/>
      </c>
      <c r="S3234" s="28"/>
      <c r="T3234" s="28"/>
      <c r="U3234" s="28"/>
    </row>
    <row r="3235" spans="1:21" s="5" customFormat="1">
      <c r="A3235" s="179" t="s">
        <v>3759</v>
      </c>
      <c r="B3235" s="185" t="s">
        <v>7671</v>
      </c>
      <c r="C3235" s="35" t="str">
        <f t="shared" si="350"/>
        <v>Rahmani</v>
      </c>
      <c r="E3235" s="40"/>
      <c r="F3235" s="15"/>
      <c r="G3235" s="17"/>
      <c r="H3235" s="10" t="s">
        <v>8563</v>
      </c>
      <c r="I3235" s="4" t="str">
        <f t="shared" si="351"/>
        <v>|Raḥmání|</v>
      </c>
      <c r="J3235" s="3" t="str">
        <f t="shared" si="352"/>
        <v>|Rahmani|</v>
      </c>
      <c r="K3235" s="3" t="str">
        <f t="shared" si="353"/>
        <v>Rahmani</v>
      </c>
      <c r="N3235" s="39" t="str">
        <f t="shared" si="354"/>
        <v/>
      </c>
      <c r="P3235" s="39" t="str">
        <f t="shared" si="355"/>
        <v/>
      </c>
      <c r="R3235" s="39" t="str">
        <f t="shared" si="356"/>
        <v/>
      </c>
      <c r="S3235" s="28"/>
      <c r="T3235" s="28"/>
      <c r="U3235" s="28"/>
    </row>
    <row r="3236" spans="1:21" s="5" customFormat="1">
      <c r="A3236" s="179" t="s">
        <v>3760</v>
      </c>
      <c r="B3236" s="185" t="s">
        <v>7672</v>
      </c>
      <c r="C3236" s="35" t="str">
        <f t="shared" si="350"/>
        <v>Rahmat</v>
      </c>
      <c r="E3236" s="40"/>
      <c r="F3236" s="14" t="s">
        <v>3761</v>
      </c>
      <c r="G3236" s="17"/>
      <c r="H3236" s="10" t="s">
        <v>8563</v>
      </c>
      <c r="I3236" s="4" t="str">
        <f t="shared" si="351"/>
        <v>|Raḥmat|</v>
      </c>
      <c r="J3236" s="3" t="str">
        <f t="shared" si="352"/>
        <v>|Rahmat|</v>
      </c>
      <c r="K3236" s="3" t="str">
        <f t="shared" si="353"/>
        <v>Rahmat</v>
      </c>
      <c r="N3236" s="39" t="str">
        <f t="shared" si="354"/>
        <v/>
      </c>
      <c r="P3236" s="39" t="str">
        <f t="shared" si="355"/>
        <v/>
      </c>
      <c r="R3236" s="39" t="str">
        <f t="shared" si="356"/>
        <v/>
      </c>
      <c r="S3236" s="28"/>
      <c r="T3236" s="28"/>
      <c r="U3236" s="28"/>
    </row>
    <row r="3237" spans="1:21" s="5" customFormat="1">
      <c r="A3237" s="179" t="s">
        <v>3762</v>
      </c>
      <c r="B3237" s="185" t="s">
        <v>7673</v>
      </c>
      <c r="C3237" s="35" t="str">
        <f t="shared" si="350"/>
        <v>Rahmatullah</v>
      </c>
      <c r="E3237" s="40"/>
      <c r="F3237" s="15"/>
      <c r="G3237" s="17"/>
      <c r="H3237" s="10" t="s">
        <v>8563</v>
      </c>
      <c r="I3237" s="4" t="str">
        <f t="shared" si="351"/>
        <v>|Raḥmatu’lláh|</v>
      </c>
      <c r="J3237" s="3" t="str">
        <f t="shared" si="352"/>
        <v>|Rahmatu'llah|</v>
      </c>
      <c r="K3237" s="3" t="str">
        <f t="shared" si="353"/>
        <v>Rahmatullah</v>
      </c>
      <c r="N3237" s="39" t="str">
        <f t="shared" si="354"/>
        <v/>
      </c>
      <c r="P3237" s="39" t="str">
        <f t="shared" si="355"/>
        <v/>
      </c>
      <c r="R3237" s="39" t="str">
        <f t="shared" si="356"/>
        <v/>
      </c>
      <c r="S3237" s="28"/>
      <c r="T3237" s="28"/>
      <c r="U3237" s="28"/>
    </row>
    <row r="3238" spans="1:21" s="5" customFormat="1">
      <c r="A3238" s="179" t="s">
        <v>3763</v>
      </c>
      <c r="B3238" s="185" t="s">
        <v>7674</v>
      </c>
      <c r="C3238" s="35" t="str">
        <f t="shared" si="350"/>
        <v>Rais</v>
      </c>
      <c r="E3238" s="40"/>
      <c r="F3238" s="14" t="s">
        <v>3764</v>
      </c>
      <c r="G3238" s="17"/>
      <c r="H3238" s="10" t="s">
        <v>8563</v>
      </c>
      <c r="I3238" s="4" t="str">
        <f t="shared" si="351"/>
        <v>|Ra’ís|</v>
      </c>
      <c r="J3238" s="3" t="str">
        <f t="shared" si="352"/>
        <v>|Ra'is|</v>
      </c>
      <c r="K3238" s="3" t="str">
        <f t="shared" si="353"/>
        <v>Rais</v>
      </c>
      <c r="N3238" s="39" t="str">
        <f t="shared" si="354"/>
        <v/>
      </c>
      <c r="P3238" s="39" t="str">
        <f t="shared" si="355"/>
        <v/>
      </c>
      <c r="R3238" s="39" t="str">
        <f t="shared" si="356"/>
        <v/>
      </c>
      <c r="S3238" s="28"/>
      <c r="T3238" s="28"/>
      <c r="U3238" s="28"/>
    </row>
    <row r="3239" spans="1:21" s="5" customFormat="1">
      <c r="A3239" s="179" t="s">
        <v>3765</v>
      </c>
      <c r="B3239" s="185" t="s">
        <v>7675</v>
      </c>
      <c r="C3239" s="35" t="str">
        <f t="shared" si="350"/>
        <v>Rajab</v>
      </c>
      <c r="E3239" s="40"/>
      <c r="F3239" s="14"/>
      <c r="G3239" s="17"/>
      <c r="H3239" s="10" t="s">
        <v>8563</v>
      </c>
      <c r="I3239" s="4" t="str">
        <f t="shared" si="351"/>
        <v>|Rajab|</v>
      </c>
      <c r="J3239" s="3" t="str">
        <f t="shared" si="352"/>
        <v>|Rajab|</v>
      </c>
      <c r="K3239" s="3" t="str">
        <f t="shared" si="353"/>
        <v>Rajab</v>
      </c>
      <c r="N3239" s="39" t="str">
        <f t="shared" si="354"/>
        <v/>
      </c>
      <c r="P3239" s="39" t="str">
        <f t="shared" si="355"/>
        <v/>
      </c>
      <c r="R3239" s="39" t="str">
        <f t="shared" si="356"/>
        <v/>
      </c>
      <c r="S3239" s="28"/>
      <c r="T3239" s="28"/>
      <c r="U3239" s="28"/>
    </row>
    <row r="3240" spans="1:21" s="5" customFormat="1">
      <c r="A3240" s="179" t="s">
        <v>3766</v>
      </c>
      <c r="B3240" s="185" t="s">
        <v>7676</v>
      </c>
      <c r="C3240" s="35" t="str">
        <f t="shared" si="350"/>
        <v>RajabAli</v>
      </c>
      <c r="E3240" s="40"/>
      <c r="F3240" s="15"/>
      <c r="G3240" s="17"/>
      <c r="H3240" s="10" t="s">
        <v>8563</v>
      </c>
      <c r="I3240" s="4" t="str">
        <f t="shared" si="351"/>
        <v>|Rajab-ʿAlí|</v>
      </c>
      <c r="J3240" s="3" t="str">
        <f t="shared" si="352"/>
        <v>|Rajab-'Ali|</v>
      </c>
      <c r="K3240" s="3" t="str">
        <f t="shared" si="353"/>
        <v>Rajab-Ali</v>
      </c>
      <c r="N3240" s="39" t="str">
        <f t="shared" si="354"/>
        <v/>
      </c>
      <c r="P3240" s="39" t="str">
        <f t="shared" si="355"/>
        <v/>
      </c>
      <c r="R3240" s="39" t="str">
        <f t="shared" si="356"/>
        <v/>
      </c>
      <c r="S3240" s="28"/>
      <c r="T3240" s="28"/>
      <c r="U3240" s="28"/>
    </row>
    <row r="3241" spans="1:21" s="5" customFormat="1">
      <c r="A3241" s="179" t="s">
        <v>3767</v>
      </c>
      <c r="B3241" s="185" t="s">
        <v>7677</v>
      </c>
      <c r="C3241" s="35" t="str">
        <f t="shared" si="350"/>
        <v>RajabiHaddad</v>
      </c>
      <c r="E3241" s="40"/>
      <c r="F3241" s="15"/>
      <c r="G3241" s="17"/>
      <c r="H3241" s="10" t="s">
        <v>8563</v>
      </c>
      <c r="I3241" s="4" t="str">
        <f t="shared" si="351"/>
        <v>|Rajab-i-Ḥaddád|</v>
      </c>
      <c r="J3241" s="3" t="str">
        <f t="shared" si="352"/>
        <v>|Rajab-i-Haddad|</v>
      </c>
      <c r="K3241" s="3" t="str">
        <f t="shared" si="353"/>
        <v>Rajab-i-Haddad</v>
      </c>
      <c r="N3241" s="39" t="str">
        <f t="shared" si="354"/>
        <v/>
      </c>
      <c r="P3241" s="39" t="str">
        <f t="shared" si="355"/>
        <v/>
      </c>
      <c r="R3241" s="39" t="str">
        <f t="shared" si="356"/>
        <v/>
      </c>
      <c r="S3241" s="28"/>
      <c r="T3241" s="28"/>
      <c r="U3241" s="28"/>
    </row>
    <row r="3242" spans="1:21" s="5" customFormat="1">
      <c r="A3242" s="179" t="s">
        <v>3768</v>
      </c>
      <c r="B3242" s="185" t="s">
        <v>7678</v>
      </c>
      <c r="C3242" s="35" t="str">
        <f t="shared" si="350"/>
        <v>Rajis</v>
      </c>
      <c r="E3242" s="40"/>
      <c r="F3242" s="15" t="s">
        <v>3769</v>
      </c>
      <c r="G3242" s="17"/>
      <c r="H3242" s="10" t="s">
        <v>8563</v>
      </c>
      <c r="I3242" s="4" t="str">
        <f t="shared" si="351"/>
        <v>|Rájis|</v>
      </c>
      <c r="J3242" s="3" t="str">
        <f t="shared" si="352"/>
        <v>|Rajis|</v>
      </c>
      <c r="K3242" s="3" t="str">
        <f t="shared" si="353"/>
        <v>Rajis</v>
      </c>
      <c r="N3242" s="39" t="str">
        <f t="shared" si="354"/>
        <v/>
      </c>
      <c r="P3242" s="39" t="str">
        <f t="shared" si="355"/>
        <v/>
      </c>
      <c r="R3242" s="39" t="str">
        <f t="shared" si="356"/>
        <v/>
      </c>
      <c r="S3242" s="28"/>
      <c r="T3242" s="28"/>
      <c r="U3242" s="28"/>
    </row>
    <row r="3243" spans="1:21" s="5" customFormat="1">
      <c r="A3243" s="179" t="s">
        <v>3770</v>
      </c>
      <c r="B3243" s="185" t="s">
        <v>7679</v>
      </c>
      <c r="C3243" s="35" t="str">
        <f t="shared" si="350"/>
        <v>Rakhsh</v>
      </c>
      <c r="E3243" s="40"/>
      <c r="F3243" s="15" t="s">
        <v>3771</v>
      </c>
      <c r="G3243" s="17"/>
      <c r="H3243" s="10" t="s">
        <v>8563</v>
      </c>
      <c r="I3243" s="4" t="str">
        <f t="shared" si="351"/>
        <v>|Ra|</v>
      </c>
      <c r="J3243" s="3" t="str">
        <f t="shared" si="352"/>
        <v>|Rakhsh|</v>
      </c>
      <c r="K3243" s="3" t="str">
        <f t="shared" si="353"/>
        <v>Rakhsh</v>
      </c>
      <c r="N3243" s="39" t="str">
        <f t="shared" si="354"/>
        <v/>
      </c>
      <c r="P3243" s="39" t="str">
        <f t="shared" si="355"/>
        <v/>
      </c>
      <c r="R3243" s="39" t="str">
        <f t="shared" si="356"/>
        <v/>
      </c>
      <c r="S3243" s="28"/>
      <c r="T3243" s="28"/>
      <c r="U3243" s="28"/>
    </row>
    <row r="3244" spans="1:21" s="5" customFormat="1">
      <c r="A3244" s="179" t="s">
        <v>3772</v>
      </c>
      <c r="B3244" s="185" t="s">
        <v>7680</v>
      </c>
      <c r="C3244" s="35" t="str">
        <f t="shared" si="350"/>
        <v>Ramadan</v>
      </c>
      <c r="E3244" s="40"/>
      <c r="F3244" s="14"/>
      <c r="G3244" s="17"/>
      <c r="H3244" s="10" t="s">
        <v>8563</v>
      </c>
      <c r="I3244" s="4" t="str">
        <f t="shared" si="351"/>
        <v>|Ramaḍán|</v>
      </c>
      <c r="J3244" s="3" t="str">
        <f t="shared" si="352"/>
        <v>|Ramadan|</v>
      </c>
      <c r="K3244" s="3" t="str">
        <f t="shared" si="353"/>
        <v>Ramadan</v>
      </c>
      <c r="N3244" s="39" t="str">
        <f t="shared" si="354"/>
        <v/>
      </c>
      <c r="P3244" s="39" t="str">
        <f t="shared" si="355"/>
        <v/>
      </c>
      <c r="R3244" s="39" t="str">
        <f t="shared" si="356"/>
        <v/>
      </c>
      <c r="S3244" s="28"/>
      <c r="T3244" s="29">
        <v>41800</v>
      </c>
      <c r="U3244" s="28" t="s">
        <v>9409</v>
      </c>
    </row>
    <row r="3245" spans="1:21" s="5" customFormat="1">
      <c r="A3245" s="179" t="s">
        <v>3773</v>
      </c>
      <c r="B3245" s="185" t="s">
        <v>7681</v>
      </c>
      <c r="C3245" s="35" t="str">
        <f t="shared" si="350"/>
        <v>Ramin</v>
      </c>
      <c r="E3245" s="40"/>
      <c r="F3245" s="14"/>
      <c r="G3245" s="17"/>
      <c r="H3245" s="10" t="s">
        <v>8563</v>
      </c>
      <c r="I3245" s="4" t="str">
        <f t="shared" si="351"/>
        <v>|Rámín|</v>
      </c>
      <c r="J3245" s="3" t="str">
        <f t="shared" si="352"/>
        <v>|Ramin|</v>
      </c>
      <c r="K3245" s="3" t="str">
        <f t="shared" si="353"/>
        <v>Ramin</v>
      </c>
      <c r="N3245" s="39" t="str">
        <f t="shared" si="354"/>
        <v/>
      </c>
      <c r="P3245" s="39" t="str">
        <f t="shared" si="355"/>
        <v/>
      </c>
      <c r="R3245" s="39" t="str">
        <f t="shared" si="356"/>
        <v/>
      </c>
      <c r="S3245" s="28"/>
      <c r="T3245" s="28"/>
      <c r="U3245" s="28"/>
    </row>
    <row r="3246" spans="1:21" s="5" customFormat="1">
      <c r="A3246" s="179" t="s">
        <v>3774</v>
      </c>
      <c r="B3246" s="185" t="s">
        <v>7682</v>
      </c>
      <c r="C3246" s="35" t="str">
        <f t="shared" si="350"/>
        <v>Raqsha</v>
      </c>
      <c r="E3246" s="40" t="s">
        <v>9115</v>
      </c>
      <c r="F3246" s="14"/>
      <c r="G3246" s="17"/>
      <c r="H3246" s="10" t="s">
        <v>8563</v>
      </c>
      <c r="I3246" s="4" t="str">
        <f t="shared" si="351"/>
        <v>|Raqá|</v>
      </c>
      <c r="J3246" s="3" t="str">
        <f t="shared" si="352"/>
        <v>|Raqsha|</v>
      </c>
      <c r="K3246" s="3" t="str">
        <f t="shared" si="353"/>
        <v>Raqsha</v>
      </c>
      <c r="N3246" s="39" t="str">
        <f t="shared" si="354"/>
        <v/>
      </c>
      <c r="P3246" s="39" t="str">
        <f t="shared" si="355"/>
        <v/>
      </c>
      <c r="R3246" s="39" t="str">
        <f t="shared" si="356"/>
        <v/>
      </c>
      <c r="S3246" s="28"/>
      <c r="T3246" s="28"/>
      <c r="U3246" s="28"/>
    </row>
    <row r="3247" spans="1:21" s="5" customFormat="1">
      <c r="A3247" s="179" t="s">
        <v>3775</v>
      </c>
      <c r="B3247" s="185" t="s">
        <v>7683</v>
      </c>
      <c r="C3247" s="35" t="str">
        <f t="shared" si="350"/>
        <v>Raqsha</v>
      </c>
      <c r="E3247" s="40" t="s">
        <v>9115</v>
      </c>
      <c r="F3247" s="15" t="s">
        <v>3776</v>
      </c>
      <c r="G3247" s="17"/>
      <c r="H3247" s="10" t="s">
        <v>8563</v>
      </c>
      <c r="I3247" s="4" t="str">
        <f t="shared" si="351"/>
        <v>|Raqá’|</v>
      </c>
      <c r="J3247" s="3" t="str">
        <f t="shared" si="352"/>
        <v>|Raqsha'|</v>
      </c>
      <c r="K3247" s="3" t="str">
        <f t="shared" si="353"/>
        <v>Raqsha</v>
      </c>
      <c r="N3247" s="39" t="str">
        <f t="shared" si="354"/>
        <v/>
      </c>
      <c r="P3247" s="39" t="str">
        <f t="shared" si="355"/>
        <v/>
      </c>
      <c r="R3247" s="39" t="str">
        <f t="shared" si="356"/>
        <v/>
      </c>
      <c r="S3247" s="28"/>
      <c r="T3247" s="28"/>
      <c r="U3247" s="28"/>
    </row>
    <row r="3248" spans="1:21" s="5" customFormat="1">
      <c r="A3248" s="179" t="s">
        <v>3777</v>
      </c>
      <c r="B3248" s="185" t="s">
        <v>7684</v>
      </c>
      <c r="C3248" s="35" t="str">
        <f t="shared" si="350"/>
        <v>Rasail</v>
      </c>
      <c r="E3248" s="40"/>
      <c r="F3248" s="15"/>
      <c r="G3248" s="17"/>
      <c r="H3248" s="10" t="s">
        <v>8563</v>
      </c>
      <c r="I3248" s="4" t="str">
        <f t="shared" si="351"/>
        <v>|Rasá’il|</v>
      </c>
      <c r="J3248" s="3" t="str">
        <f t="shared" si="352"/>
        <v>|Rasa'il|</v>
      </c>
      <c r="K3248" s="3" t="str">
        <f t="shared" si="353"/>
        <v>Rasail</v>
      </c>
      <c r="N3248" s="39" t="str">
        <f t="shared" si="354"/>
        <v/>
      </c>
      <c r="P3248" s="39" t="str">
        <f t="shared" si="355"/>
        <v/>
      </c>
      <c r="R3248" s="39" t="str">
        <f t="shared" si="356"/>
        <v/>
      </c>
      <c r="S3248" s="28"/>
      <c r="T3248" s="28"/>
      <c r="U3248" s="28"/>
    </row>
    <row r="3249" spans="1:21" s="5" customFormat="1">
      <c r="A3249" s="179" t="s">
        <v>3778</v>
      </c>
      <c r="B3249" s="185" t="s">
        <v>7685</v>
      </c>
      <c r="C3249" s="35" t="str">
        <f t="shared" si="350"/>
        <v>RashhiAma</v>
      </c>
      <c r="E3249" s="40"/>
      <c r="F3249" s="15" t="s">
        <v>3779</v>
      </c>
      <c r="G3249" s="17"/>
      <c r="H3249" s="10" t="s">
        <v>8563</v>
      </c>
      <c r="I3249" s="4" t="str">
        <f t="shared" si="351"/>
        <v>|Raḥ-i-ʿAmá|</v>
      </c>
      <c r="J3249" s="3" t="str">
        <f t="shared" si="352"/>
        <v>|Rashh-i-'Ama|</v>
      </c>
      <c r="K3249" s="3" t="str">
        <f t="shared" si="353"/>
        <v>Rashh-i-Ama</v>
      </c>
      <c r="N3249" s="39" t="str">
        <f t="shared" si="354"/>
        <v/>
      </c>
      <c r="P3249" s="39" t="str">
        <f t="shared" si="355"/>
        <v/>
      </c>
      <c r="R3249" s="39" t="str">
        <f t="shared" si="356"/>
        <v/>
      </c>
      <c r="S3249" s="28"/>
      <c r="T3249" s="28"/>
      <c r="U3249" s="28"/>
    </row>
    <row r="3250" spans="1:21" s="5" customFormat="1">
      <c r="A3250" s="179" t="s">
        <v>3740</v>
      </c>
      <c r="B3250" s="185" t="s">
        <v>7686</v>
      </c>
      <c r="C3250" s="35" t="str">
        <f t="shared" si="350"/>
        <v>Rashid</v>
      </c>
      <c r="E3250" s="40"/>
      <c r="F3250" s="14"/>
      <c r="G3250" s="17"/>
      <c r="H3250" s="10" t="s">
        <v>8563</v>
      </c>
      <c r="I3250" s="4" t="str">
        <f t="shared" si="351"/>
        <v>|Raíd|</v>
      </c>
      <c r="J3250" s="3" t="str">
        <f t="shared" si="352"/>
        <v>|Rashid|</v>
      </c>
      <c r="K3250" s="3" t="str">
        <f t="shared" si="353"/>
        <v>Rashid</v>
      </c>
      <c r="N3250" s="39" t="str">
        <f t="shared" si="354"/>
        <v/>
      </c>
      <c r="P3250" s="39" t="str">
        <f t="shared" si="355"/>
        <v/>
      </c>
      <c r="R3250" s="39" t="str">
        <f t="shared" si="356"/>
        <v/>
      </c>
      <c r="S3250" s="28"/>
      <c r="T3250" s="28"/>
      <c r="U3250" s="28"/>
    </row>
    <row r="3251" spans="1:21" s="5" customFormat="1">
      <c r="A3251" s="179" t="s">
        <v>3780</v>
      </c>
      <c r="B3251" s="185" t="s">
        <v>7687</v>
      </c>
      <c r="C3251" s="35" t="str">
        <f t="shared" si="350"/>
        <v>RashidusSultan</v>
      </c>
      <c r="E3251" s="40"/>
      <c r="F3251" s="15"/>
      <c r="G3251" s="17"/>
      <c r="H3251" s="10" t="s">
        <v>8563</v>
      </c>
      <c r="I3251" s="4" t="str">
        <f t="shared" si="351"/>
        <v>|Raídu’s-Sulṭán|</v>
      </c>
      <c r="J3251" s="3" t="str">
        <f t="shared" si="352"/>
        <v>|Rashidu's-Sultan|</v>
      </c>
      <c r="K3251" s="3" t="str">
        <f t="shared" si="353"/>
        <v>Rashidus-Sultan</v>
      </c>
      <c r="N3251" s="39" t="str">
        <f t="shared" si="354"/>
        <v/>
      </c>
      <c r="P3251" s="39" t="str">
        <f t="shared" si="355"/>
        <v/>
      </c>
      <c r="R3251" s="39" t="str">
        <f t="shared" si="356"/>
        <v/>
      </c>
      <c r="S3251" s="28"/>
      <c r="T3251" s="28"/>
      <c r="U3251" s="28"/>
    </row>
    <row r="3252" spans="1:21" s="5" customFormat="1">
      <c r="A3252" s="179" t="s">
        <v>3781</v>
      </c>
      <c r="B3252" s="185" t="s">
        <v>7688</v>
      </c>
      <c r="C3252" s="35" t="str">
        <f t="shared" si="350"/>
        <v>Rasht</v>
      </c>
      <c r="E3252" s="40"/>
      <c r="F3252" s="14"/>
      <c r="G3252" s="17"/>
      <c r="H3252" s="10" t="s">
        <v>8563</v>
      </c>
      <c r="I3252" s="4" t="str">
        <f t="shared" si="351"/>
        <v>|Rat|</v>
      </c>
      <c r="J3252" s="3" t="str">
        <f t="shared" si="352"/>
        <v>|Rasht|</v>
      </c>
      <c r="K3252" s="3" t="str">
        <f t="shared" si="353"/>
        <v>Rasht</v>
      </c>
      <c r="N3252" s="39" t="str">
        <f t="shared" si="354"/>
        <v/>
      </c>
      <c r="P3252" s="39" t="str">
        <f t="shared" si="355"/>
        <v/>
      </c>
      <c r="R3252" s="39" t="str">
        <f t="shared" si="356"/>
        <v/>
      </c>
      <c r="S3252" s="28"/>
      <c r="T3252" s="28"/>
      <c r="U3252" s="28"/>
    </row>
    <row r="3253" spans="1:21" s="5" customFormat="1">
      <c r="A3253" s="179" t="s">
        <v>3782</v>
      </c>
      <c r="B3253" s="185" t="s">
        <v>7689</v>
      </c>
      <c r="C3253" s="35" t="str">
        <f t="shared" si="350"/>
        <v>Rashti</v>
      </c>
      <c r="E3253" s="40"/>
      <c r="F3253" s="15"/>
      <c r="G3253" s="17"/>
      <c r="H3253" s="10" t="s">
        <v>8563</v>
      </c>
      <c r="I3253" s="4" t="str">
        <f t="shared" si="351"/>
        <v>|Ratí|</v>
      </c>
      <c r="J3253" s="3" t="str">
        <f t="shared" si="352"/>
        <v>|Rashti|</v>
      </c>
      <c r="K3253" s="3" t="str">
        <f t="shared" si="353"/>
        <v>Rashti</v>
      </c>
      <c r="N3253" s="39" t="str">
        <f t="shared" si="354"/>
        <v/>
      </c>
      <c r="P3253" s="39" t="str">
        <f t="shared" si="355"/>
        <v/>
      </c>
      <c r="R3253" s="39" t="str">
        <f t="shared" si="356"/>
        <v/>
      </c>
      <c r="S3253" s="28"/>
      <c r="T3253" s="28"/>
      <c r="U3253" s="28"/>
    </row>
    <row r="3254" spans="1:21" s="5" customFormat="1">
      <c r="A3254" s="179" t="s">
        <v>3783</v>
      </c>
      <c r="B3254" s="185" t="s">
        <v>7690</v>
      </c>
      <c r="C3254" s="35" t="str">
        <f t="shared" si="350"/>
        <v>Rasikh</v>
      </c>
      <c r="E3254" s="40"/>
      <c r="F3254" s="15"/>
      <c r="G3254" s="17"/>
      <c r="H3254" s="10" t="s">
        <v>8563</v>
      </c>
      <c r="I3254" s="4" t="str">
        <f t="shared" si="351"/>
        <v>|Rási|</v>
      </c>
      <c r="J3254" s="3" t="str">
        <f t="shared" si="352"/>
        <v>|Rasikh|</v>
      </c>
      <c r="K3254" s="3" t="str">
        <f t="shared" si="353"/>
        <v>Rasikh</v>
      </c>
      <c r="N3254" s="39" t="str">
        <f t="shared" si="354"/>
        <v/>
      </c>
      <c r="P3254" s="39" t="str">
        <f t="shared" si="355"/>
        <v/>
      </c>
      <c r="R3254" s="39" t="str">
        <f t="shared" si="356"/>
        <v/>
      </c>
      <c r="S3254" s="28"/>
      <c r="T3254" s="28"/>
      <c r="U3254" s="28"/>
    </row>
    <row r="3255" spans="1:21" s="5" customFormat="1">
      <c r="A3255" s="179" t="s">
        <v>3784</v>
      </c>
      <c r="B3255" s="185" t="s">
        <v>7691</v>
      </c>
      <c r="C3255" s="35" t="str">
        <f t="shared" si="350"/>
        <v>Rastaq</v>
      </c>
      <c r="E3255" s="40"/>
      <c r="F3255" s="15"/>
      <c r="G3255" s="17"/>
      <c r="H3255" s="10" t="s">
        <v>8563</v>
      </c>
      <c r="I3255" s="4" t="str">
        <f t="shared" si="351"/>
        <v>|Rastáq|</v>
      </c>
      <c r="J3255" s="3" t="str">
        <f t="shared" si="352"/>
        <v>|Rastaq|</v>
      </c>
      <c r="K3255" s="3" t="str">
        <f t="shared" si="353"/>
        <v>Rastaq</v>
      </c>
      <c r="N3255" s="39" t="str">
        <f t="shared" si="354"/>
        <v/>
      </c>
      <c r="P3255" s="39" t="str">
        <f t="shared" si="355"/>
        <v/>
      </c>
      <c r="R3255" s="39" t="str">
        <f t="shared" si="356"/>
        <v/>
      </c>
      <c r="S3255" s="28"/>
      <c r="T3255" s="28"/>
      <c r="U3255" s="28"/>
    </row>
    <row r="3256" spans="1:21" s="5" customFormat="1">
      <c r="A3256" s="179" t="s">
        <v>3785</v>
      </c>
      <c r="B3256" s="185" t="s">
        <v>7692</v>
      </c>
      <c r="C3256" s="35" t="str">
        <f t="shared" si="350"/>
        <v>Rasul</v>
      </c>
      <c r="E3256" s="40"/>
      <c r="F3256" s="15" t="s">
        <v>3786</v>
      </c>
      <c r="G3256" s="17"/>
      <c r="H3256" s="10" t="s">
        <v>8563</v>
      </c>
      <c r="I3256" s="4" t="str">
        <f t="shared" si="351"/>
        <v>|Rasúl|</v>
      </c>
      <c r="J3256" s="3" t="str">
        <f t="shared" si="352"/>
        <v>|Rasul|</v>
      </c>
      <c r="K3256" s="3" t="str">
        <f t="shared" si="353"/>
        <v>Rasul</v>
      </c>
      <c r="N3256" s="39" t="str">
        <f t="shared" si="354"/>
        <v/>
      </c>
      <c r="P3256" s="39" t="str">
        <f t="shared" si="355"/>
        <v/>
      </c>
      <c r="R3256" s="39" t="str">
        <f t="shared" si="356"/>
        <v/>
      </c>
      <c r="S3256" s="28"/>
      <c r="T3256" s="28"/>
      <c r="U3256" s="28"/>
    </row>
    <row r="3257" spans="1:21" s="5" customFormat="1">
      <c r="A3257" s="179" t="s">
        <v>3787</v>
      </c>
      <c r="B3257" s="185" t="s">
        <v>7693</v>
      </c>
      <c r="C3257" s="35" t="str">
        <f t="shared" si="350"/>
        <v>RasuliBahnimiri</v>
      </c>
      <c r="E3257" s="40"/>
      <c r="F3257" s="15"/>
      <c r="G3257" s="17"/>
      <c r="H3257" s="10" t="s">
        <v>8563</v>
      </c>
      <c r="I3257" s="4" t="str">
        <f t="shared" si="351"/>
        <v>|Rasúl-i-Bahnimírí|</v>
      </c>
      <c r="J3257" s="3" t="str">
        <f t="shared" si="352"/>
        <v>|Rasul-i-Bahnimiri|</v>
      </c>
      <c r="K3257" s="3" t="str">
        <f t="shared" si="353"/>
        <v>Rasul-i-Bahnimiri</v>
      </c>
      <c r="N3257" s="39" t="str">
        <f t="shared" si="354"/>
        <v/>
      </c>
      <c r="P3257" s="39" t="str">
        <f t="shared" si="355"/>
        <v/>
      </c>
      <c r="R3257" s="39" t="str">
        <f t="shared" si="356"/>
        <v/>
      </c>
      <c r="S3257" s="28"/>
      <c r="T3257" s="28"/>
      <c r="U3257" s="28"/>
    </row>
    <row r="3258" spans="1:21" s="5" customFormat="1">
      <c r="A3258" s="179" t="s">
        <v>3788</v>
      </c>
      <c r="B3258" s="185" t="s">
        <v>7694</v>
      </c>
      <c r="C3258" s="35" t="str">
        <f t="shared" si="350"/>
        <v>Rasulullah</v>
      </c>
      <c r="E3258" s="40"/>
      <c r="F3258" s="15"/>
      <c r="G3258" s="17"/>
      <c r="H3258" s="10" t="s">
        <v>8563</v>
      </c>
      <c r="I3258" s="4" t="str">
        <f t="shared" si="351"/>
        <v>|Rasúlu’lláh|</v>
      </c>
      <c r="J3258" s="3" t="str">
        <f t="shared" si="352"/>
        <v>|Rasulu'llah|</v>
      </c>
      <c r="K3258" s="3" t="str">
        <f t="shared" si="353"/>
        <v>Rasulullah</v>
      </c>
      <c r="N3258" s="39" t="str">
        <f t="shared" si="354"/>
        <v/>
      </c>
      <c r="P3258" s="39" t="str">
        <f t="shared" si="355"/>
        <v/>
      </c>
      <c r="R3258" s="39" t="str">
        <f t="shared" si="356"/>
        <v/>
      </c>
      <c r="S3258" s="28"/>
      <c r="T3258" s="28"/>
      <c r="U3258" s="28"/>
    </row>
    <row r="3259" spans="1:21" s="5" customFormat="1">
      <c r="A3259" s="179" t="s">
        <v>3791</v>
      </c>
      <c r="B3259" s="185" t="s">
        <v>7697</v>
      </c>
      <c r="C3259" s="35" t="str">
        <f t="shared" si="350"/>
        <v>Rawdat</v>
      </c>
      <c r="E3259" s="40"/>
      <c r="F3259" s="15"/>
      <c r="G3259" s="17"/>
      <c r="H3259" s="10" t="s">
        <v>8563</v>
      </c>
      <c r="I3259" s="4" t="str">
        <f t="shared" si="351"/>
        <v>|Rawḍat|</v>
      </c>
      <c r="J3259" s="3" t="str">
        <f t="shared" si="352"/>
        <v>|Rawdat|</v>
      </c>
      <c r="K3259" s="3" t="str">
        <f t="shared" si="353"/>
        <v>Rawdat</v>
      </c>
      <c r="N3259" s="39" t="str">
        <f t="shared" si="354"/>
        <v/>
      </c>
      <c r="P3259" s="39" t="str">
        <f t="shared" si="355"/>
        <v/>
      </c>
      <c r="R3259" s="39" t="str">
        <f t="shared" si="356"/>
        <v/>
      </c>
      <c r="S3259" s="28"/>
      <c r="T3259" s="28"/>
      <c r="U3259" s="28"/>
    </row>
    <row r="3260" spans="1:21" s="5" customFormat="1">
      <c r="A3260" s="179" t="s">
        <v>3792</v>
      </c>
      <c r="B3260" s="185" t="s">
        <v>7698</v>
      </c>
      <c r="C3260" s="35" t="str">
        <f t="shared" si="350"/>
        <v>RawdatusSafa</v>
      </c>
      <c r="E3260" s="40"/>
      <c r="F3260" s="15"/>
      <c r="G3260" s="17"/>
      <c r="H3260" s="10" t="s">
        <v>8563</v>
      </c>
      <c r="I3260" s="4" t="str">
        <f t="shared" si="351"/>
        <v>|Rawḍatu’ṣ-Ṣafá|</v>
      </c>
      <c r="J3260" s="3" t="str">
        <f t="shared" si="352"/>
        <v>|Rawdatu's-Safa|</v>
      </c>
      <c r="K3260" s="3" t="str">
        <f t="shared" si="353"/>
        <v>Rawdatus-Safa</v>
      </c>
      <c r="N3260" s="39" t="str">
        <f t="shared" si="354"/>
        <v/>
      </c>
      <c r="P3260" s="39" t="str">
        <f t="shared" si="355"/>
        <v/>
      </c>
      <c r="R3260" s="39" t="str">
        <f t="shared" si="356"/>
        <v/>
      </c>
      <c r="S3260" s="28"/>
      <c r="T3260" s="28"/>
      <c r="U3260" s="28"/>
    </row>
    <row r="3261" spans="1:21" s="5" customFormat="1">
      <c r="A3261" s="179" t="s">
        <v>3789</v>
      </c>
      <c r="B3261" s="185" t="s">
        <v>7695</v>
      </c>
      <c r="C3261" s="35" t="str">
        <f t="shared" si="350"/>
        <v>Rawdih</v>
      </c>
      <c r="E3261" s="40"/>
      <c r="F3261" s="15"/>
      <c r="G3261" s="17"/>
      <c r="H3261" s="10" t="s">
        <v>8563</v>
      </c>
      <c r="I3261" s="4" t="str">
        <f t="shared" si="351"/>
        <v>|Rawḍih|</v>
      </c>
      <c r="J3261" s="3" t="str">
        <f t="shared" si="352"/>
        <v>|Rawdih|</v>
      </c>
      <c r="K3261" s="3" t="str">
        <f t="shared" si="353"/>
        <v>Rawdih</v>
      </c>
      <c r="N3261" s="39" t="str">
        <f t="shared" si="354"/>
        <v/>
      </c>
      <c r="P3261" s="39" t="str">
        <f t="shared" si="355"/>
        <v/>
      </c>
      <c r="R3261" s="39" t="str">
        <f t="shared" si="356"/>
        <v/>
      </c>
      <c r="S3261" s="28"/>
      <c r="T3261" s="28"/>
      <c r="U3261" s="28"/>
    </row>
    <row r="3262" spans="1:21" s="5" customFormat="1">
      <c r="A3262" s="179" t="s">
        <v>3790</v>
      </c>
      <c r="B3262" s="185" t="s">
        <v>7696</v>
      </c>
      <c r="C3262" s="35" t="str">
        <f t="shared" si="350"/>
        <v>RawdihKhan</v>
      </c>
      <c r="E3262" s="40"/>
      <c r="F3262" s="15"/>
      <c r="G3262" s="17"/>
      <c r="H3262" s="10" t="s">
        <v>8563</v>
      </c>
      <c r="I3262" s="4" t="str">
        <f t="shared" si="351"/>
        <v>|Rawḍih-án|</v>
      </c>
      <c r="J3262" s="3" t="str">
        <f t="shared" si="352"/>
        <v>|Rawdih-Khan|</v>
      </c>
      <c r="K3262" s="3" t="str">
        <f t="shared" si="353"/>
        <v>Rawdih-Khan</v>
      </c>
      <c r="N3262" s="39" t="str">
        <f t="shared" si="354"/>
        <v/>
      </c>
      <c r="P3262" s="39" t="str">
        <f t="shared" si="355"/>
        <v/>
      </c>
      <c r="R3262" s="39" t="str">
        <f t="shared" si="356"/>
        <v/>
      </c>
      <c r="S3262" s="28"/>
      <c r="T3262" s="28"/>
      <c r="U3262" s="28"/>
    </row>
    <row r="3263" spans="1:21" s="5" customFormat="1">
      <c r="A3263" s="179" t="s">
        <v>3793</v>
      </c>
      <c r="B3263" s="185" t="s">
        <v>7699</v>
      </c>
      <c r="C3263" s="35" t="str">
        <f t="shared" si="350"/>
        <v>RawdihKhani</v>
      </c>
      <c r="E3263" s="40"/>
      <c r="F3263" s="15"/>
      <c r="G3263" s="17"/>
      <c r="H3263" s="10" t="s">
        <v>8563</v>
      </c>
      <c r="I3263" s="4" t="str">
        <f t="shared" si="351"/>
        <v>|Rawḍih-ání|</v>
      </c>
      <c r="J3263" s="3" t="str">
        <f t="shared" si="352"/>
        <v>|Rawdih-Khani|</v>
      </c>
      <c r="K3263" s="3" t="str">
        <f t="shared" si="353"/>
        <v>Rawdih-Khani</v>
      </c>
      <c r="N3263" s="39" t="str">
        <f t="shared" si="354"/>
        <v/>
      </c>
      <c r="P3263" s="39" t="str">
        <f t="shared" si="355"/>
        <v/>
      </c>
      <c r="R3263" s="39" t="str">
        <f t="shared" si="356"/>
        <v/>
      </c>
      <c r="S3263" s="28"/>
      <c r="T3263" s="28"/>
      <c r="U3263" s="28"/>
    </row>
    <row r="3264" spans="1:21" s="5" customFormat="1">
      <c r="A3264" s="179" t="s">
        <v>3794</v>
      </c>
      <c r="B3264" s="185" t="s">
        <v>7700</v>
      </c>
      <c r="C3264" s="35" t="str">
        <f t="shared" si="350"/>
        <v>RawdihKhaniYazdi</v>
      </c>
      <c r="E3264" s="40"/>
      <c r="F3264" s="15"/>
      <c r="G3264" s="17"/>
      <c r="H3264" s="10" t="s">
        <v>8563</v>
      </c>
      <c r="I3264" s="4" t="str">
        <f t="shared" si="351"/>
        <v>|Rawḍih-án-i-Yazdí|</v>
      </c>
      <c r="J3264" s="3" t="str">
        <f t="shared" si="352"/>
        <v>|Rawdih-Khan-i-Yazdi|</v>
      </c>
      <c r="K3264" s="3" t="str">
        <f t="shared" si="353"/>
        <v>Rawdih-Khan-i-Yazdi</v>
      </c>
      <c r="N3264" s="39" t="str">
        <f t="shared" si="354"/>
        <v/>
      </c>
      <c r="P3264" s="39" t="str">
        <f t="shared" si="355"/>
        <v/>
      </c>
      <c r="R3264" s="39" t="str">
        <f t="shared" si="356"/>
        <v/>
      </c>
      <c r="S3264" s="28"/>
      <c r="T3264" s="28"/>
      <c r="U3264" s="28"/>
    </row>
    <row r="3265" spans="1:21" s="5" customFormat="1">
      <c r="A3265" s="179" t="s">
        <v>3795</v>
      </c>
      <c r="B3265" s="185" t="s">
        <v>7701</v>
      </c>
      <c r="C3265" s="35" t="str">
        <f t="shared" si="350"/>
        <v>RawdiyiKafi</v>
      </c>
      <c r="E3265" s="40"/>
      <c r="F3265" s="15"/>
      <c r="G3265" s="17"/>
      <c r="H3265" s="10" t="s">
        <v>8563</v>
      </c>
      <c r="I3265" s="4" t="str">
        <f t="shared" si="351"/>
        <v>|Rawḍíy-i-Káfí|</v>
      </c>
      <c r="J3265" s="3" t="str">
        <f t="shared" si="352"/>
        <v>|Rawdiy-i-Kafi|</v>
      </c>
      <c r="K3265" s="3" t="str">
        <f t="shared" si="353"/>
        <v>Rawdiy-i-Kafi</v>
      </c>
      <c r="N3265" s="39" t="str">
        <f t="shared" si="354"/>
        <v/>
      </c>
      <c r="P3265" s="39" t="str">
        <f t="shared" si="355"/>
        <v/>
      </c>
      <c r="R3265" s="39" t="str">
        <f t="shared" si="356"/>
        <v/>
      </c>
      <c r="S3265" s="28"/>
      <c r="T3265" s="28"/>
      <c r="U3265" s="28"/>
    </row>
    <row r="3266" spans="1:21" s="5" customFormat="1">
      <c r="A3266" s="179" t="s">
        <v>3797</v>
      </c>
      <c r="B3266" s="185" t="s">
        <v>7703</v>
      </c>
      <c r="C3266" s="35" t="str">
        <f t="shared" ref="C3266:C3329" si="357">SUBSTITUTE(SUBSTITUTE(K3266,"-","")," ","")</f>
        <v>Rawhani</v>
      </c>
      <c r="E3266" s="40"/>
      <c r="F3266" s="14"/>
      <c r="G3266" s="17"/>
      <c r="H3266" s="10" t="s">
        <v>8563</v>
      </c>
      <c r="I3266" s="4" t="str">
        <f t="shared" ref="I3266:I3329" si="358">CONCATENATE("|",B3266,"|")</f>
        <v>|Rawḥání|</v>
      </c>
      <c r="J3266" s="3" t="str">
        <f t="shared" ref="J3266:J3329" si="359">CONCATENATE("|",F_OutputASCII(B3266),"|")</f>
        <v>|Rawhani|</v>
      </c>
      <c r="K3266" s="3" t="str">
        <f t="shared" ref="K3266:K3329" si="360">IF(SUBSTITUTE(MID(J3266,2,LEN(J3266)-2),"'","")&lt;&gt;"",SUBSTITUTE(MID(J3266,2,LEN(J3266)-2),"'",""),"ZZZZZ")</f>
        <v>Rawhani</v>
      </c>
      <c r="N3266" s="39" t="str">
        <f t="shared" si="354"/>
        <v/>
      </c>
      <c r="P3266" s="39" t="str">
        <f t="shared" si="355"/>
        <v/>
      </c>
      <c r="R3266" s="39" t="str">
        <f t="shared" si="356"/>
        <v/>
      </c>
      <c r="S3266" s="28"/>
      <c r="T3266" s="28"/>
      <c r="U3266" s="28"/>
    </row>
    <row r="3267" spans="1:21" s="5" customFormat="1">
      <c r="A3267" s="179" t="s">
        <v>3798</v>
      </c>
      <c r="B3267" s="185" t="s">
        <v>7704</v>
      </c>
      <c r="C3267" s="35" t="str">
        <f t="shared" si="357"/>
        <v>Rawshani</v>
      </c>
      <c r="E3267" s="40"/>
      <c r="F3267" s="15"/>
      <c r="G3267" s="17"/>
      <c r="H3267" s="10" t="s">
        <v>8563</v>
      </c>
      <c r="I3267" s="4" t="str">
        <f t="shared" si="358"/>
        <v>|Rawaní|</v>
      </c>
      <c r="J3267" s="3" t="str">
        <f t="shared" si="359"/>
        <v>|Rawshani|</v>
      </c>
      <c r="K3267" s="3" t="str">
        <f t="shared" si="360"/>
        <v>Rawshani</v>
      </c>
      <c r="N3267" s="39" t="str">
        <f t="shared" ref="N3267:N3330" si="361">SUBSTITUTE(SUBSTITUTE(SUBSTITUTE(F_OutputASCII(M3267),"-","")," ",""),"'","")</f>
        <v/>
      </c>
      <c r="P3267" s="39" t="str">
        <f t="shared" ref="P3267:P3330" si="362">SUBSTITUTE(SUBSTITUTE(SUBSTITUTE(F_OutputASCII(O3267),"-","")," ",""),"'","")</f>
        <v/>
      </c>
      <c r="R3267" s="39" t="str">
        <f t="shared" ref="R3267:R3330" si="363">SUBSTITUTE(SUBSTITUTE(Q3267,"-","")," ","")</f>
        <v/>
      </c>
      <c r="S3267" s="28"/>
      <c r="T3267" s="28"/>
      <c r="U3267" s="28"/>
    </row>
    <row r="3268" spans="1:21" s="5" customFormat="1">
      <c r="A3268" s="179" t="s">
        <v>3799</v>
      </c>
      <c r="B3268" s="185" t="s">
        <v>7705</v>
      </c>
      <c r="C3268" s="35" t="str">
        <f t="shared" si="357"/>
        <v>Rawya</v>
      </c>
      <c r="E3268" s="40"/>
      <c r="F3268" s="15"/>
      <c r="G3268" s="17"/>
      <c r="H3268" s="10" t="s">
        <v>8563</v>
      </c>
      <c r="I3268" s="4" t="str">
        <f t="shared" si="358"/>
        <v>|Rawyá|</v>
      </c>
      <c r="J3268" s="3" t="str">
        <f t="shared" si="359"/>
        <v>|Rawya|</v>
      </c>
      <c r="K3268" s="3" t="str">
        <f t="shared" si="360"/>
        <v>Rawya</v>
      </c>
      <c r="N3268" s="39" t="str">
        <f t="shared" si="361"/>
        <v/>
      </c>
      <c r="P3268" s="39" t="str">
        <f t="shared" si="362"/>
        <v/>
      </c>
      <c r="R3268" s="39" t="str">
        <f t="shared" si="363"/>
        <v/>
      </c>
      <c r="S3268" s="28"/>
      <c r="T3268" s="28"/>
      <c r="U3268" s="28"/>
    </row>
    <row r="3269" spans="1:21" s="5" customFormat="1">
      <c r="A3269" s="179" t="s">
        <v>3800</v>
      </c>
      <c r="B3269" s="185" t="s">
        <v>7706</v>
      </c>
      <c r="C3269" s="35" t="str">
        <f t="shared" si="357"/>
        <v>Rayhan</v>
      </c>
      <c r="E3269" s="40"/>
      <c r="F3269" s="15"/>
      <c r="G3269" s="17"/>
      <c r="H3269" s="10" t="s">
        <v>8563</v>
      </c>
      <c r="I3269" s="4" t="str">
        <f t="shared" si="358"/>
        <v>|Rayḥán|</v>
      </c>
      <c r="J3269" s="3" t="str">
        <f t="shared" si="359"/>
        <v>|Rayhan|</v>
      </c>
      <c r="K3269" s="3" t="str">
        <f t="shared" si="360"/>
        <v>Rayhan</v>
      </c>
      <c r="N3269" s="39" t="str">
        <f t="shared" si="361"/>
        <v/>
      </c>
      <c r="P3269" s="39" t="str">
        <f t="shared" si="362"/>
        <v/>
      </c>
      <c r="R3269" s="39" t="str">
        <f t="shared" si="363"/>
        <v/>
      </c>
      <c r="S3269" s="28"/>
      <c r="T3269" s="28"/>
      <c r="U3269" s="28"/>
    </row>
    <row r="3270" spans="1:21" s="5" customFormat="1">
      <c r="A3270" s="179" t="s">
        <v>3801</v>
      </c>
      <c r="B3270" s="185" t="s">
        <v>7707</v>
      </c>
      <c r="C3270" s="35" t="str">
        <f t="shared" si="357"/>
        <v>Razzaq</v>
      </c>
      <c r="E3270" s="40"/>
      <c r="F3270" s="15"/>
      <c r="G3270" s="17"/>
      <c r="H3270" s="10" t="s">
        <v>8563</v>
      </c>
      <c r="I3270" s="4" t="str">
        <f t="shared" si="358"/>
        <v>|Razzáq|</v>
      </c>
      <c r="J3270" s="3" t="str">
        <f t="shared" si="359"/>
        <v>|Razzaq|</v>
      </c>
      <c r="K3270" s="3" t="str">
        <f t="shared" si="360"/>
        <v>Razzaq</v>
      </c>
      <c r="N3270" s="39" t="str">
        <f t="shared" si="361"/>
        <v/>
      </c>
      <c r="P3270" s="39" t="str">
        <f t="shared" si="362"/>
        <v/>
      </c>
      <c r="R3270" s="39" t="str">
        <f t="shared" si="363"/>
        <v/>
      </c>
      <c r="S3270" s="28"/>
      <c r="T3270" s="28"/>
      <c r="U3270" s="28"/>
    </row>
    <row r="3271" spans="1:21" s="5" customFormat="1">
      <c r="A3271" s="179" t="s">
        <v>3802</v>
      </c>
      <c r="B3271" s="185" t="s">
        <v>7708</v>
      </c>
      <c r="C3271" s="35" t="str">
        <f t="shared" si="357"/>
        <v>Rida</v>
      </c>
      <c r="E3271" s="40"/>
      <c r="F3271" s="14"/>
      <c r="G3271" s="17"/>
      <c r="H3271" s="10" t="s">
        <v>8563</v>
      </c>
      <c r="I3271" s="4" t="str">
        <f t="shared" si="358"/>
        <v>|Riḍá|</v>
      </c>
      <c r="J3271" s="3" t="str">
        <f t="shared" si="359"/>
        <v>|Rida|</v>
      </c>
      <c r="K3271" s="3" t="str">
        <f t="shared" si="360"/>
        <v>Rida</v>
      </c>
      <c r="N3271" s="39" t="str">
        <f t="shared" si="361"/>
        <v/>
      </c>
      <c r="P3271" s="39" t="str">
        <f t="shared" si="362"/>
        <v/>
      </c>
      <c r="R3271" s="39" t="str">
        <f t="shared" si="363"/>
        <v/>
      </c>
      <c r="S3271" s="28"/>
      <c r="T3271" s="28"/>
      <c r="U3271" s="28"/>
    </row>
    <row r="3272" spans="1:21" s="5" customFormat="1">
      <c r="A3272" s="179" t="s">
        <v>3803</v>
      </c>
      <c r="B3272" s="185" t="s">
        <v>7709</v>
      </c>
      <c r="C3272" s="35" t="str">
        <f t="shared" si="357"/>
        <v>Ridaiyyih</v>
      </c>
      <c r="E3272" s="40"/>
      <c r="F3272" s="16"/>
      <c r="G3272" s="17"/>
      <c r="H3272" s="10" t="s">
        <v>8563</v>
      </c>
      <c r="I3272" s="4" t="str">
        <f t="shared" si="358"/>
        <v>|Riḍá’íyyih|</v>
      </c>
      <c r="J3272" s="3" t="str">
        <f t="shared" si="359"/>
        <v>|Rida'iyyih|</v>
      </c>
      <c r="K3272" s="3" t="str">
        <f t="shared" si="360"/>
        <v>Ridaiyyih</v>
      </c>
      <c r="N3272" s="39" t="str">
        <f t="shared" si="361"/>
        <v/>
      </c>
      <c r="P3272" s="39" t="str">
        <f t="shared" si="362"/>
        <v/>
      </c>
      <c r="R3272" s="39" t="str">
        <f t="shared" si="363"/>
        <v/>
      </c>
      <c r="S3272" s="28"/>
      <c r="T3272" s="28"/>
      <c r="U3272" s="28"/>
    </row>
    <row r="3273" spans="1:21" s="5" customFormat="1">
      <c r="A3273" s="179" t="s">
        <v>3804</v>
      </c>
      <c r="B3273" s="185" t="s">
        <v>7710</v>
      </c>
      <c r="C3273" s="35" t="str">
        <f t="shared" si="357"/>
        <v>RidaQuli</v>
      </c>
      <c r="E3273" s="40"/>
      <c r="F3273" s="14"/>
      <c r="G3273" s="17"/>
      <c r="H3273" s="10" t="s">
        <v>8563</v>
      </c>
      <c r="I3273" s="4" t="str">
        <f t="shared" si="358"/>
        <v>|Riḍá-Qulí|</v>
      </c>
      <c r="J3273" s="3" t="str">
        <f t="shared" si="359"/>
        <v>|Rida-Quli|</v>
      </c>
      <c r="K3273" s="3" t="str">
        <f t="shared" si="360"/>
        <v>Rida-Quli</v>
      </c>
      <c r="N3273" s="39" t="str">
        <f t="shared" si="361"/>
        <v/>
      </c>
      <c r="P3273" s="39" t="str">
        <f t="shared" si="362"/>
        <v/>
      </c>
      <c r="R3273" s="39" t="str">
        <f t="shared" si="363"/>
        <v/>
      </c>
      <c r="S3273" s="28"/>
      <c r="T3273" s="28"/>
      <c r="U3273" s="28"/>
    </row>
    <row r="3274" spans="1:21" s="5" customFormat="1">
      <c r="A3274" s="179" t="s">
        <v>3805</v>
      </c>
      <c r="B3274" s="185" t="s">
        <v>7711</v>
      </c>
      <c r="C3274" s="35" t="str">
        <f t="shared" si="357"/>
        <v>RidaQuliyiTafrishi</v>
      </c>
      <c r="E3274" s="40"/>
      <c r="F3274" s="15"/>
      <c r="G3274" s="17"/>
      <c r="H3274" s="10" t="s">
        <v>8563</v>
      </c>
      <c r="I3274" s="4" t="str">
        <f t="shared" si="358"/>
        <v>|Ridá-Qulíy-i-Tafrií|</v>
      </c>
      <c r="J3274" s="3" t="str">
        <f t="shared" si="359"/>
        <v>|Rida-Quliy-i-Tafrishi|</v>
      </c>
      <c r="K3274" s="3" t="str">
        <f t="shared" si="360"/>
        <v>Rida-Quliy-i-Tafrishi</v>
      </c>
      <c r="N3274" s="39" t="str">
        <f t="shared" si="361"/>
        <v/>
      </c>
      <c r="P3274" s="39" t="str">
        <f t="shared" si="362"/>
        <v/>
      </c>
      <c r="R3274" s="39" t="str">
        <f t="shared" si="363"/>
        <v/>
      </c>
      <c r="S3274" s="28"/>
      <c r="T3274" s="28"/>
      <c r="U3274" s="28"/>
    </row>
    <row r="3275" spans="1:21" s="5" customFormat="1">
      <c r="A3275" s="179" t="s">
        <v>3811</v>
      </c>
      <c r="B3275" s="185" t="s">
        <v>7717</v>
      </c>
      <c r="C3275" s="35" t="str">
        <f t="shared" si="357"/>
        <v>RidaShah</v>
      </c>
      <c r="E3275" s="40"/>
      <c r="F3275" s="14"/>
      <c r="G3275" s="17"/>
      <c r="H3275" s="10" t="s">
        <v>8563</v>
      </c>
      <c r="I3275" s="4" t="str">
        <f t="shared" si="358"/>
        <v>|Riḍá-áh|</v>
      </c>
      <c r="J3275" s="3" t="str">
        <f t="shared" si="359"/>
        <v>|Rida-Shah|</v>
      </c>
      <c r="K3275" s="3" t="str">
        <f t="shared" si="360"/>
        <v>Rida-Shah</v>
      </c>
      <c r="N3275" s="39" t="str">
        <f t="shared" si="361"/>
        <v/>
      </c>
      <c r="P3275" s="39" t="str">
        <f t="shared" si="362"/>
        <v/>
      </c>
      <c r="R3275" s="39" t="str">
        <f t="shared" si="363"/>
        <v/>
      </c>
      <c r="S3275" s="28"/>
      <c r="T3275" s="28"/>
      <c r="U3275" s="28"/>
    </row>
    <row r="3276" spans="1:21" s="5" customFormat="1">
      <c r="A3276" s="179" t="s">
        <v>3806</v>
      </c>
      <c r="B3276" s="185" t="s">
        <v>7712</v>
      </c>
      <c r="C3276" s="35" t="str">
        <f t="shared" si="357"/>
        <v>RidayiArab</v>
      </c>
      <c r="E3276" s="40"/>
      <c r="F3276" s="14"/>
      <c r="G3276" s="17"/>
      <c r="H3276" s="10" t="s">
        <v>8563</v>
      </c>
      <c r="I3276" s="4" t="str">
        <f t="shared" si="358"/>
        <v>|Riḍáy-i-ʿArab|</v>
      </c>
      <c r="J3276" s="3" t="str">
        <f t="shared" si="359"/>
        <v>|Riday-i-'Arab|</v>
      </c>
      <c r="K3276" s="3" t="str">
        <f t="shared" si="360"/>
        <v>Riday-i-Arab</v>
      </c>
      <c r="N3276" s="39" t="str">
        <f t="shared" si="361"/>
        <v/>
      </c>
      <c r="P3276" s="39" t="str">
        <f t="shared" si="362"/>
        <v/>
      </c>
      <c r="R3276" s="39" t="str">
        <f t="shared" si="363"/>
        <v/>
      </c>
      <c r="S3276" s="28"/>
      <c r="T3276" s="28"/>
      <c r="U3276" s="28"/>
    </row>
    <row r="3277" spans="1:21" s="5" customFormat="1">
      <c r="A3277" s="179" t="s">
        <v>3807</v>
      </c>
      <c r="B3277" s="185" t="s">
        <v>7713</v>
      </c>
      <c r="C3277" s="35" t="str">
        <f t="shared" si="357"/>
        <v>RidayiKhurasani</v>
      </c>
      <c r="E3277" s="40"/>
      <c r="F3277" s="14"/>
      <c r="G3277" s="17"/>
      <c r="H3277" s="10" t="s">
        <v>8563</v>
      </c>
      <c r="I3277" s="4" t="str">
        <f t="shared" si="358"/>
        <v>|Riḍáy-i-urásání|</v>
      </c>
      <c r="J3277" s="3" t="str">
        <f t="shared" si="359"/>
        <v>|Riday-i-Khurasani|</v>
      </c>
      <c r="K3277" s="3" t="str">
        <f t="shared" si="360"/>
        <v>Riday-i-Khurasani</v>
      </c>
      <c r="N3277" s="39" t="str">
        <f t="shared" si="361"/>
        <v/>
      </c>
      <c r="P3277" s="39" t="str">
        <f t="shared" si="362"/>
        <v/>
      </c>
      <c r="R3277" s="39" t="str">
        <f t="shared" si="363"/>
        <v/>
      </c>
      <c r="S3277" s="28"/>
      <c r="T3277" s="28"/>
      <c r="U3277" s="28"/>
    </row>
    <row r="3278" spans="1:21" s="5" customFormat="1">
      <c r="A3278" s="179" t="s">
        <v>3808</v>
      </c>
      <c r="B3278" s="185" t="s">
        <v>7714</v>
      </c>
      <c r="C3278" s="35" t="str">
        <f t="shared" si="357"/>
        <v>RidayiQannad</v>
      </c>
      <c r="E3278" s="40"/>
      <c r="F3278" s="15"/>
      <c r="G3278" s="17"/>
      <c r="H3278" s="10" t="s">
        <v>8563</v>
      </c>
      <c r="I3278" s="4" t="str">
        <f t="shared" si="358"/>
        <v>|Riḍáy-i-Qannád|</v>
      </c>
      <c r="J3278" s="3" t="str">
        <f t="shared" si="359"/>
        <v>|Riday-i-Qannad|</v>
      </c>
      <c r="K3278" s="3" t="str">
        <f t="shared" si="360"/>
        <v>Riday-i-Qannad</v>
      </c>
      <c r="N3278" s="39" t="str">
        <f t="shared" si="361"/>
        <v/>
      </c>
      <c r="P3278" s="39" t="str">
        <f t="shared" si="362"/>
        <v/>
      </c>
      <c r="R3278" s="39" t="str">
        <f t="shared" si="363"/>
        <v/>
      </c>
      <c r="S3278" s="28"/>
      <c r="T3278" s="28"/>
      <c r="U3278" s="28"/>
    </row>
    <row r="3279" spans="1:21" s="5" customFormat="1">
      <c r="A3279" s="179" t="s">
        <v>3809</v>
      </c>
      <c r="B3279" s="185" t="s">
        <v>7715</v>
      </c>
      <c r="C3279" s="35" t="str">
        <f t="shared" si="357"/>
        <v>RidayiSaffar</v>
      </c>
      <c r="E3279" s="40"/>
      <c r="F3279" s="15"/>
      <c r="G3279" s="17"/>
      <c r="H3279" s="10" t="s">
        <v>8563</v>
      </c>
      <c r="I3279" s="4" t="str">
        <f t="shared" si="358"/>
        <v>|Riḍáy-i-Ṣaffár|</v>
      </c>
      <c r="J3279" s="3" t="str">
        <f t="shared" si="359"/>
        <v>|Riday-i-Saffar|</v>
      </c>
      <c r="K3279" s="3" t="str">
        <f t="shared" si="360"/>
        <v>Riday-i-Saffar</v>
      </c>
      <c r="N3279" s="39" t="str">
        <f t="shared" si="361"/>
        <v/>
      </c>
      <c r="P3279" s="39" t="str">
        <f t="shared" si="362"/>
        <v/>
      </c>
      <c r="R3279" s="39" t="str">
        <f t="shared" si="363"/>
        <v/>
      </c>
      <c r="S3279" s="28"/>
      <c r="T3279" s="28"/>
      <c r="U3279" s="28"/>
    </row>
    <row r="3280" spans="1:21" s="5" customFormat="1">
      <c r="A3280" s="179" t="s">
        <v>3810</v>
      </c>
      <c r="B3280" s="185" t="s">
        <v>7716</v>
      </c>
      <c r="C3280" s="35" t="str">
        <f t="shared" si="357"/>
        <v>RidayiSardar</v>
      </c>
      <c r="E3280" s="40"/>
      <c r="F3280" s="14"/>
      <c r="G3280" s="17"/>
      <c r="H3280" s="10" t="s">
        <v>8563</v>
      </c>
      <c r="I3280" s="4" t="str">
        <f t="shared" si="358"/>
        <v>|Riḍáy-i-Sardár|</v>
      </c>
      <c r="J3280" s="3" t="str">
        <f t="shared" si="359"/>
        <v>|Riday-i-Sardar|</v>
      </c>
      <c r="K3280" s="3" t="str">
        <f t="shared" si="360"/>
        <v>Riday-i-Sardar</v>
      </c>
      <c r="N3280" s="39" t="str">
        <f t="shared" si="361"/>
        <v/>
      </c>
      <c r="P3280" s="39" t="str">
        <f t="shared" si="362"/>
        <v/>
      </c>
      <c r="R3280" s="39" t="str">
        <f t="shared" si="363"/>
        <v/>
      </c>
      <c r="S3280" s="28"/>
      <c r="T3280" s="28"/>
      <c r="U3280" s="28"/>
    </row>
    <row r="3281" spans="1:21" s="5" customFormat="1">
      <c r="A3281" s="179" t="s">
        <v>3812</v>
      </c>
      <c r="B3281" s="185" t="s">
        <v>110</v>
      </c>
      <c r="C3281" s="35" t="str">
        <f t="shared" si="357"/>
        <v>Ridvan</v>
      </c>
      <c r="E3281" s="40"/>
      <c r="F3281" s="14" t="s">
        <v>3813</v>
      </c>
      <c r="G3281" s="17"/>
      <c r="H3281" s="10" t="s">
        <v>8563</v>
      </c>
      <c r="I3281" s="4" t="str">
        <f t="shared" si="358"/>
        <v>|Riḍván|</v>
      </c>
      <c r="J3281" s="3" t="str">
        <f t="shared" si="359"/>
        <v>|Ridvan|</v>
      </c>
      <c r="K3281" s="3" t="str">
        <f t="shared" si="360"/>
        <v>Ridvan</v>
      </c>
      <c r="N3281" s="39" t="str">
        <f t="shared" si="361"/>
        <v/>
      </c>
      <c r="P3281" s="39" t="str">
        <f t="shared" si="362"/>
        <v/>
      </c>
      <c r="R3281" s="39" t="str">
        <f t="shared" si="363"/>
        <v/>
      </c>
      <c r="S3281" s="28"/>
      <c r="T3281" s="29">
        <v>41801</v>
      </c>
      <c r="U3281" s="28" t="s">
        <v>9437</v>
      </c>
    </row>
    <row r="3282" spans="1:21" s="5" customFormat="1">
      <c r="A3282" s="179" t="s">
        <v>3814</v>
      </c>
      <c r="B3282" s="185" t="s">
        <v>7718</v>
      </c>
      <c r="C3282" s="35" t="str">
        <f t="shared" si="357"/>
        <v>Ridvani</v>
      </c>
      <c r="E3282" s="40"/>
      <c r="F3282" s="15"/>
      <c r="G3282" s="17"/>
      <c r="H3282" s="10" t="s">
        <v>8563</v>
      </c>
      <c r="I3282" s="4" t="str">
        <f t="shared" si="358"/>
        <v>|Riḍvání|</v>
      </c>
      <c r="J3282" s="3" t="str">
        <f t="shared" si="359"/>
        <v>|Ridvani|</v>
      </c>
      <c r="K3282" s="3" t="str">
        <f t="shared" si="360"/>
        <v>Ridvani</v>
      </c>
      <c r="N3282" s="39" t="str">
        <f t="shared" si="361"/>
        <v/>
      </c>
      <c r="P3282" s="39" t="str">
        <f t="shared" si="362"/>
        <v/>
      </c>
      <c r="R3282" s="39" t="str">
        <f t="shared" si="363"/>
        <v/>
      </c>
      <c r="S3282" s="28"/>
      <c r="T3282" s="28"/>
      <c r="U3282" s="28"/>
    </row>
    <row r="3283" spans="1:21" s="5" customFormat="1">
      <c r="A3283" s="179" t="s">
        <v>3815</v>
      </c>
      <c r="B3283" s="185" t="s">
        <v>7719</v>
      </c>
      <c r="C3283" s="35" t="str">
        <f t="shared" si="357"/>
        <v>Ridvaniyyih</v>
      </c>
      <c r="E3283" s="40"/>
      <c r="F3283" s="15"/>
      <c r="G3283" s="17"/>
      <c r="H3283" s="10" t="s">
        <v>8563</v>
      </c>
      <c r="I3283" s="4" t="str">
        <f t="shared" si="358"/>
        <v>|Riḍváníyyih|</v>
      </c>
      <c r="J3283" s="3" t="str">
        <f t="shared" si="359"/>
        <v>|Ridvaniyyih|</v>
      </c>
      <c r="K3283" s="3" t="str">
        <f t="shared" si="360"/>
        <v>Ridvaniyyih</v>
      </c>
      <c r="N3283" s="39" t="str">
        <f t="shared" si="361"/>
        <v/>
      </c>
      <c r="P3283" s="39" t="str">
        <f t="shared" si="362"/>
        <v/>
      </c>
      <c r="R3283" s="39" t="str">
        <f t="shared" si="363"/>
        <v/>
      </c>
      <c r="S3283" s="28"/>
      <c r="T3283" s="28"/>
      <c r="U3283" s="28"/>
    </row>
    <row r="3284" spans="1:21" s="5" customFormat="1">
      <c r="A3284" s="179" t="s">
        <v>3816</v>
      </c>
      <c r="B3284" s="185" t="s">
        <v>7720</v>
      </c>
      <c r="C3284" s="35" t="str">
        <f t="shared" si="357"/>
        <v>RidvanulAdl</v>
      </c>
      <c r="E3284" s="40"/>
      <c r="F3284" s="15" t="s">
        <v>775</v>
      </c>
      <c r="G3284" s="17"/>
      <c r="H3284" s="10" t="s">
        <v>8563</v>
      </c>
      <c r="I3284" s="4" t="str">
        <f t="shared" si="358"/>
        <v>|Riḍvánu’l-ʿAdl|</v>
      </c>
      <c r="J3284" s="3" t="str">
        <f t="shared" si="359"/>
        <v>|Ridvanu'l-'Adl|</v>
      </c>
      <c r="K3284" s="3" t="str">
        <f t="shared" si="360"/>
        <v>Ridvanul-Adl</v>
      </c>
      <c r="N3284" s="39" t="str">
        <f t="shared" si="361"/>
        <v/>
      </c>
      <c r="P3284" s="39" t="str">
        <f t="shared" si="362"/>
        <v/>
      </c>
      <c r="R3284" s="39" t="str">
        <f t="shared" si="363"/>
        <v/>
      </c>
      <c r="S3284" s="28"/>
      <c r="T3284" s="28"/>
      <c r="U3284" s="28"/>
    </row>
    <row r="3285" spans="1:21" s="5" customFormat="1">
      <c r="A3285" s="179" t="s">
        <v>3817</v>
      </c>
      <c r="B3285" s="185" t="s">
        <v>7721</v>
      </c>
      <c r="C3285" s="35" t="str">
        <f t="shared" si="357"/>
        <v>RidvanulAdliyyih</v>
      </c>
      <c r="E3285" s="40"/>
      <c r="F3285" s="15"/>
      <c r="G3285" s="17"/>
      <c r="H3285" s="10" t="s">
        <v>8563</v>
      </c>
      <c r="I3285" s="4" t="str">
        <f t="shared" si="358"/>
        <v>|Riḍvánu’l-ʿAdlíyyih|</v>
      </c>
      <c r="J3285" s="3" t="str">
        <f t="shared" si="359"/>
        <v>|Ridvanu'l-'Adliyyih|</v>
      </c>
      <c r="K3285" s="3" t="str">
        <f t="shared" si="360"/>
        <v>Ridvanul-Adliyyih</v>
      </c>
      <c r="N3285" s="39" t="str">
        <f t="shared" si="361"/>
        <v/>
      </c>
      <c r="P3285" s="39" t="str">
        <f t="shared" si="362"/>
        <v/>
      </c>
      <c r="R3285" s="39" t="str">
        <f t="shared" si="363"/>
        <v/>
      </c>
      <c r="S3285" s="28"/>
      <c r="T3285" s="28"/>
      <c r="U3285" s="28"/>
    </row>
    <row r="3286" spans="1:21" s="5" customFormat="1">
      <c r="A3286" s="179" t="s">
        <v>3818</v>
      </c>
      <c r="B3286" s="185" t="s">
        <v>7722</v>
      </c>
      <c r="C3286" s="35" t="str">
        <f t="shared" si="357"/>
        <v>Ridvanullah</v>
      </c>
      <c r="E3286" s="40"/>
      <c r="F3286" s="15"/>
      <c r="G3286" s="17"/>
      <c r="H3286" s="10" t="s">
        <v>8563</v>
      </c>
      <c r="I3286" s="4" t="str">
        <f t="shared" si="358"/>
        <v>|Riḍvánu’lláh|</v>
      </c>
      <c r="J3286" s="3" t="str">
        <f t="shared" si="359"/>
        <v>|Ridvanu'llah|</v>
      </c>
      <c r="K3286" s="3" t="str">
        <f t="shared" si="360"/>
        <v>Ridvanullah</v>
      </c>
      <c r="N3286" s="39" t="str">
        <f t="shared" si="361"/>
        <v/>
      </c>
      <c r="P3286" s="39" t="str">
        <f t="shared" si="362"/>
        <v/>
      </c>
      <c r="R3286" s="39" t="str">
        <f t="shared" si="363"/>
        <v/>
      </c>
      <c r="S3286" s="28"/>
      <c r="T3286" s="28"/>
      <c r="U3286" s="28"/>
    </row>
    <row r="3287" spans="1:21" s="5" customFormat="1">
      <c r="A3287" s="179" t="s">
        <v>3819</v>
      </c>
      <c r="B3287" s="185" t="s">
        <v>7723</v>
      </c>
      <c r="C3287" s="35" t="str">
        <f t="shared" si="357"/>
        <v>Rijal</v>
      </c>
      <c r="E3287" s="40"/>
      <c r="F3287" s="15"/>
      <c r="G3287" s="17"/>
      <c r="H3287" s="10" t="s">
        <v>8563</v>
      </c>
      <c r="I3287" s="4" t="str">
        <f t="shared" si="358"/>
        <v>|Rijál|</v>
      </c>
      <c r="J3287" s="3" t="str">
        <f t="shared" si="359"/>
        <v>|Rijal|</v>
      </c>
      <c r="K3287" s="3" t="str">
        <f t="shared" si="360"/>
        <v>Rijal</v>
      </c>
      <c r="N3287" s="39" t="str">
        <f t="shared" si="361"/>
        <v/>
      </c>
      <c r="P3287" s="39" t="str">
        <f t="shared" si="362"/>
        <v/>
      </c>
      <c r="R3287" s="39" t="str">
        <f t="shared" si="363"/>
        <v/>
      </c>
      <c r="S3287" s="28"/>
      <c r="T3287" s="28"/>
      <c r="U3287" s="28"/>
    </row>
    <row r="3288" spans="1:21" s="5" customFormat="1">
      <c r="A3288" s="179" t="s">
        <v>3820</v>
      </c>
      <c r="B3288" s="185" t="s">
        <v>7724</v>
      </c>
      <c r="C3288" s="35" t="str">
        <f t="shared" si="357"/>
        <v>Rijat</v>
      </c>
      <c r="E3288" s="40"/>
      <c r="F3288" s="15" t="s">
        <v>3821</v>
      </c>
      <c r="G3288" s="17"/>
      <c r="H3288" s="10" t="s">
        <v>8563</v>
      </c>
      <c r="I3288" s="4" t="str">
        <f t="shared" si="358"/>
        <v>|Rijʿat|</v>
      </c>
      <c r="J3288" s="3" t="str">
        <f t="shared" si="359"/>
        <v>|Rij'at|</v>
      </c>
      <c r="K3288" s="3" t="str">
        <f t="shared" si="360"/>
        <v>Rijat</v>
      </c>
      <c r="N3288" s="39" t="str">
        <f t="shared" si="361"/>
        <v/>
      </c>
      <c r="P3288" s="39" t="str">
        <f t="shared" si="362"/>
        <v/>
      </c>
      <c r="R3288" s="39" t="str">
        <f t="shared" si="363"/>
        <v/>
      </c>
      <c r="S3288" s="28"/>
      <c r="T3288" s="28"/>
      <c r="U3288" s="28"/>
    </row>
    <row r="3289" spans="1:21" s="5" customFormat="1">
      <c r="A3289" s="179" t="s">
        <v>3822</v>
      </c>
      <c r="B3289" s="185" t="s">
        <v>7725</v>
      </c>
      <c r="C3289" s="35" t="str">
        <f t="shared" si="357"/>
        <v>RikabSaz</v>
      </c>
      <c r="E3289" s="40"/>
      <c r="F3289" s="15"/>
      <c r="G3289" s="17"/>
      <c r="H3289" s="10" t="s">
        <v>8563</v>
      </c>
      <c r="I3289" s="4" t="str">
        <f t="shared" si="358"/>
        <v>|Rikáb-Sáz|</v>
      </c>
      <c r="J3289" s="3" t="str">
        <f t="shared" si="359"/>
        <v>|Rikab-Saz|</v>
      </c>
      <c r="K3289" s="3" t="str">
        <f t="shared" si="360"/>
        <v>Rikab-Saz</v>
      </c>
      <c r="N3289" s="39" t="str">
        <f t="shared" si="361"/>
        <v/>
      </c>
      <c r="P3289" s="39" t="str">
        <f t="shared" si="362"/>
        <v/>
      </c>
      <c r="R3289" s="39" t="str">
        <f t="shared" si="363"/>
        <v/>
      </c>
      <c r="S3289" s="28"/>
      <c r="T3289" s="28"/>
      <c r="U3289" s="28"/>
    </row>
    <row r="3290" spans="1:21" s="5" customFormat="1">
      <c r="A3290" s="179" t="s">
        <v>3823</v>
      </c>
      <c r="B3290" s="185" t="s">
        <v>7726</v>
      </c>
      <c r="C3290" s="35" t="str">
        <f t="shared" si="357"/>
        <v>rikat</v>
      </c>
      <c r="E3290" s="40" t="s">
        <v>9115</v>
      </c>
      <c r="F3290" s="15"/>
      <c r="G3290" s="17"/>
      <c r="H3290" s="10" t="s">
        <v>8563</v>
      </c>
      <c r="I3290" s="4" t="str">
        <f t="shared" si="358"/>
        <v>|rikʿat|</v>
      </c>
      <c r="J3290" s="3" t="str">
        <f t="shared" si="359"/>
        <v>|rik'at|</v>
      </c>
      <c r="K3290" s="3" t="str">
        <f t="shared" si="360"/>
        <v>rikat</v>
      </c>
      <c r="N3290" s="39" t="str">
        <f t="shared" si="361"/>
        <v/>
      </c>
      <c r="P3290" s="39" t="str">
        <f t="shared" si="362"/>
        <v/>
      </c>
      <c r="R3290" s="39" t="str">
        <f t="shared" si="363"/>
        <v/>
      </c>
      <c r="S3290" s="28"/>
      <c r="T3290" s="28"/>
      <c r="U3290" s="28"/>
    </row>
    <row r="3291" spans="1:21" s="5" customFormat="1">
      <c r="A3291" s="179" t="s">
        <v>3824</v>
      </c>
      <c r="B3291" s="185" t="s">
        <v>7727</v>
      </c>
      <c r="C3291" s="35" t="str">
        <f t="shared" si="357"/>
        <v>Rikat</v>
      </c>
      <c r="E3291" s="40" t="s">
        <v>9115</v>
      </c>
      <c r="F3291" s="15" t="s">
        <v>3825</v>
      </c>
      <c r="G3291" s="17"/>
      <c r="H3291" s="10" t="s">
        <v>8563</v>
      </c>
      <c r="I3291" s="4" t="str">
        <f t="shared" si="358"/>
        <v>|Rikʿát|</v>
      </c>
      <c r="J3291" s="3" t="str">
        <f t="shared" si="359"/>
        <v>|Rik'at|</v>
      </c>
      <c r="K3291" s="3" t="str">
        <f t="shared" si="360"/>
        <v>Rikat</v>
      </c>
      <c r="N3291" s="39" t="str">
        <f t="shared" si="361"/>
        <v/>
      </c>
      <c r="P3291" s="39" t="str">
        <f t="shared" si="362"/>
        <v/>
      </c>
      <c r="R3291" s="39" t="str">
        <f t="shared" si="363"/>
        <v/>
      </c>
      <c r="S3291" s="28"/>
      <c r="T3291" s="28"/>
      <c r="U3291" s="28"/>
    </row>
    <row r="3292" spans="1:21" s="5" customFormat="1">
      <c r="A3292" s="179" t="s">
        <v>3826</v>
      </c>
      <c r="B3292" s="185" t="s">
        <v>7728</v>
      </c>
      <c r="C3292" s="35" t="str">
        <f t="shared" si="357"/>
        <v>Rinu</v>
      </c>
      <c r="E3292" s="40"/>
      <c r="F3292" s="15"/>
      <c r="G3292" s="17"/>
      <c r="H3292" s="10" t="s">
        <v>8563</v>
      </c>
      <c r="I3292" s="4" t="str">
        <f t="shared" si="358"/>
        <v>|Rínú|</v>
      </c>
      <c r="J3292" s="3" t="str">
        <f t="shared" si="359"/>
        <v>|Rinu|</v>
      </c>
      <c r="K3292" s="3" t="str">
        <f t="shared" si="360"/>
        <v>Rinu</v>
      </c>
      <c r="N3292" s="39" t="str">
        <f t="shared" si="361"/>
        <v/>
      </c>
      <c r="P3292" s="39" t="str">
        <f t="shared" si="362"/>
        <v/>
      </c>
      <c r="R3292" s="39" t="str">
        <f t="shared" si="363"/>
        <v/>
      </c>
      <c r="S3292" s="28"/>
      <c r="T3292" s="28"/>
      <c r="U3292" s="28"/>
    </row>
    <row r="3293" spans="1:21" s="5" customFormat="1">
      <c r="A3293" s="179" t="s">
        <v>3827</v>
      </c>
      <c r="B3293" s="185" t="s">
        <v>7729</v>
      </c>
      <c r="C3293" s="35" t="str">
        <f t="shared" si="357"/>
        <v>Risalat</v>
      </c>
      <c r="E3293" s="40"/>
      <c r="F3293" s="15"/>
      <c r="G3293" s="17"/>
      <c r="H3293" s="10" t="s">
        <v>8563</v>
      </c>
      <c r="I3293" s="4" t="str">
        <f t="shared" si="358"/>
        <v>|Risálat|</v>
      </c>
      <c r="J3293" s="3" t="str">
        <f t="shared" si="359"/>
        <v>|Risalat|</v>
      </c>
      <c r="K3293" s="3" t="str">
        <f t="shared" si="360"/>
        <v>Risalat</v>
      </c>
      <c r="N3293" s="39" t="str">
        <f t="shared" si="361"/>
        <v/>
      </c>
      <c r="P3293" s="39" t="str">
        <f t="shared" si="362"/>
        <v/>
      </c>
      <c r="R3293" s="39" t="str">
        <f t="shared" si="363"/>
        <v/>
      </c>
      <c r="S3293" s="28"/>
      <c r="T3293" s="28"/>
      <c r="U3293" s="28"/>
    </row>
    <row r="3294" spans="1:21" s="5" customFormat="1">
      <c r="A3294" s="179" t="s">
        <v>3828</v>
      </c>
      <c r="B3294" s="185" t="s">
        <v>7730</v>
      </c>
      <c r="C3294" s="35" t="str">
        <f t="shared" si="357"/>
        <v>RisaliyiAdliyyih</v>
      </c>
      <c r="E3294" s="40"/>
      <c r="F3294" s="15" t="s">
        <v>3829</v>
      </c>
      <c r="G3294" s="17"/>
      <c r="H3294" s="10" t="s">
        <v>8563</v>
      </c>
      <c r="I3294" s="4" t="str">
        <f t="shared" si="358"/>
        <v>|Risáliy-i-ʿAdlíyyih|</v>
      </c>
      <c r="J3294" s="3" t="str">
        <f t="shared" si="359"/>
        <v>|Risaliy-i-'Adliyyih|</v>
      </c>
      <c r="K3294" s="3" t="str">
        <f t="shared" si="360"/>
        <v>Risaliy-i-Adliyyih</v>
      </c>
      <c r="N3294" s="39" t="str">
        <f t="shared" si="361"/>
        <v/>
      </c>
      <c r="P3294" s="39" t="str">
        <f t="shared" si="362"/>
        <v/>
      </c>
      <c r="R3294" s="39" t="str">
        <f t="shared" si="363"/>
        <v/>
      </c>
      <c r="S3294" s="28"/>
      <c r="T3294" s="28"/>
      <c r="U3294" s="28"/>
    </row>
    <row r="3295" spans="1:21" s="5" customFormat="1">
      <c r="A3295" s="179" t="s">
        <v>3830</v>
      </c>
      <c r="B3295" s="185" t="s">
        <v>7731</v>
      </c>
      <c r="C3295" s="35" t="str">
        <f t="shared" si="357"/>
        <v>RisaliyiAmmih</v>
      </c>
      <c r="E3295" s="40"/>
      <c r="F3295" s="15"/>
      <c r="G3295" s="17"/>
      <c r="H3295" s="10" t="s">
        <v>8563</v>
      </c>
      <c r="I3295" s="4" t="str">
        <f t="shared" si="358"/>
        <v>|Risáliy-i-ʿAmmih|</v>
      </c>
      <c r="J3295" s="3" t="str">
        <f t="shared" si="359"/>
        <v>|Risaliy-i-'Ammih|</v>
      </c>
      <c r="K3295" s="3" t="str">
        <f t="shared" si="360"/>
        <v>Risaliy-i-Ammih</v>
      </c>
      <c r="N3295" s="39" t="str">
        <f t="shared" si="361"/>
        <v/>
      </c>
      <c r="P3295" s="39" t="str">
        <f t="shared" si="362"/>
        <v/>
      </c>
      <c r="R3295" s="39" t="str">
        <f t="shared" si="363"/>
        <v/>
      </c>
      <c r="S3295" s="28"/>
      <c r="T3295" s="28"/>
      <c r="U3295" s="28"/>
    </row>
    <row r="3296" spans="1:21" s="5" customFormat="1">
      <c r="A3296" s="179" t="s">
        <v>3831</v>
      </c>
      <c r="B3296" s="185" t="s">
        <v>7732</v>
      </c>
      <c r="C3296" s="35" t="str">
        <f t="shared" si="357"/>
        <v>RisaliyiAmriyyih</v>
      </c>
      <c r="E3296" s="40"/>
      <c r="F3296" s="15"/>
      <c r="G3296" s="17"/>
      <c r="H3296" s="10" t="s">
        <v>8563</v>
      </c>
      <c r="I3296" s="4" t="str">
        <f t="shared" si="358"/>
        <v>|Risáliy-i-Amríyyih|</v>
      </c>
      <c r="J3296" s="3" t="str">
        <f t="shared" si="359"/>
        <v>|Risaliy-i-Amriyyih|</v>
      </c>
      <c r="K3296" s="3" t="str">
        <f t="shared" si="360"/>
        <v>Risaliy-i-Amriyyih</v>
      </c>
      <c r="N3296" s="39" t="str">
        <f t="shared" si="361"/>
        <v/>
      </c>
      <c r="P3296" s="39" t="str">
        <f t="shared" si="362"/>
        <v/>
      </c>
      <c r="R3296" s="39" t="str">
        <f t="shared" si="363"/>
        <v/>
      </c>
      <c r="S3296" s="28"/>
      <c r="T3296" s="28"/>
      <c r="U3296" s="28"/>
    </row>
    <row r="3297" spans="1:21" s="5" customFormat="1">
      <c r="A3297" s="179" t="s">
        <v>3832</v>
      </c>
      <c r="B3297" s="185" t="s">
        <v>7733</v>
      </c>
      <c r="C3297" s="35" t="str">
        <f t="shared" si="357"/>
        <v>RisaliyiAyyamiTisih</v>
      </c>
      <c r="E3297" s="40"/>
      <c r="F3297" s="15"/>
      <c r="G3297" s="17"/>
      <c r="H3297" s="10" t="s">
        <v>8563</v>
      </c>
      <c r="I3297" s="4" t="str">
        <f t="shared" si="358"/>
        <v>|Risáliy-i-Ayyám-i-Tisʿih|</v>
      </c>
      <c r="J3297" s="3" t="str">
        <f t="shared" si="359"/>
        <v>|Risaliy-i-Ayyam-i-Tis'ih|</v>
      </c>
      <c r="K3297" s="3" t="str">
        <f t="shared" si="360"/>
        <v>Risaliy-i-Ayyam-i-Tisih</v>
      </c>
      <c r="N3297" s="39" t="str">
        <f t="shared" si="361"/>
        <v/>
      </c>
      <c r="P3297" s="39" t="str">
        <f t="shared" si="362"/>
        <v/>
      </c>
      <c r="R3297" s="39" t="str">
        <f t="shared" si="363"/>
        <v/>
      </c>
      <c r="S3297" s="28"/>
      <c r="T3297" s="28"/>
      <c r="U3297" s="28"/>
    </row>
    <row r="3298" spans="1:21" s="5" customFormat="1">
      <c r="A3298" s="179" t="s">
        <v>3833</v>
      </c>
      <c r="B3298" s="185" t="s">
        <v>7734</v>
      </c>
      <c r="C3298" s="35" t="str">
        <f t="shared" si="357"/>
        <v>RisaliyiDhahabiyyih</v>
      </c>
      <c r="E3298" s="40"/>
      <c r="F3298" s="15" t="s">
        <v>3834</v>
      </c>
      <c r="G3298" s="17"/>
      <c r="H3298" s="10" t="s">
        <v>8563</v>
      </c>
      <c r="I3298" s="4" t="str">
        <f t="shared" si="358"/>
        <v>|Risáliy-i-ahabíyyih|</v>
      </c>
      <c r="J3298" s="3" t="str">
        <f t="shared" si="359"/>
        <v>|Risaliy-i-Dhahabiyyih|</v>
      </c>
      <c r="K3298" s="3" t="str">
        <f t="shared" si="360"/>
        <v>Risaliy-i-Dhahabiyyih</v>
      </c>
      <c r="N3298" s="39" t="str">
        <f t="shared" si="361"/>
        <v/>
      </c>
      <c r="P3298" s="39" t="str">
        <f t="shared" si="362"/>
        <v/>
      </c>
      <c r="R3298" s="39" t="str">
        <f t="shared" si="363"/>
        <v/>
      </c>
      <c r="S3298" s="28"/>
      <c r="T3298" s="28"/>
      <c r="U3298" s="28"/>
    </row>
    <row r="3299" spans="1:21" s="5" customFormat="1">
      <c r="A3299" s="179" t="s">
        <v>3835</v>
      </c>
      <c r="B3299" s="185" t="s">
        <v>7735</v>
      </c>
      <c r="C3299" s="35" t="str">
        <f t="shared" si="357"/>
        <v>RisaliyiFiqhiyyih</v>
      </c>
      <c r="E3299" s="40"/>
      <c r="F3299" s="15" t="s">
        <v>3834</v>
      </c>
      <c r="G3299" s="17"/>
      <c r="H3299" s="10" t="s">
        <v>8563</v>
      </c>
      <c r="I3299" s="4" t="str">
        <f t="shared" si="358"/>
        <v>|Risáliy-i-Fiqhíyyih|</v>
      </c>
      <c r="J3299" s="3" t="str">
        <f t="shared" si="359"/>
        <v>|Risaliy-i-Fiqhiyyih|</v>
      </c>
      <c r="K3299" s="3" t="str">
        <f t="shared" si="360"/>
        <v>Risaliy-i-Fiqhiyyih</v>
      </c>
      <c r="N3299" s="39" t="str">
        <f t="shared" si="361"/>
        <v/>
      </c>
      <c r="P3299" s="39" t="str">
        <f t="shared" si="362"/>
        <v/>
      </c>
      <c r="R3299" s="39" t="str">
        <f t="shared" si="363"/>
        <v/>
      </c>
      <c r="S3299" s="28"/>
      <c r="T3299" s="28"/>
      <c r="U3299" s="28"/>
    </row>
    <row r="3300" spans="1:21" s="5" customFormat="1">
      <c r="A3300" s="179" t="s">
        <v>3836</v>
      </c>
      <c r="B3300" s="185" t="s">
        <v>7736</v>
      </c>
      <c r="C3300" s="35" t="str">
        <f t="shared" si="357"/>
        <v>RisaliyiFuruiAdliyyih</v>
      </c>
      <c r="E3300" s="40"/>
      <c r="F3300" s="15"/>
      <c r="G3300" s="17"/>
      <c r="H3300" s="10" t="s">
        <v>8563</v>
      </c>
      <c r="I3300" s="4" t="str">
        <f t="shared" si="358"/>
        <v>|Risáliy-i-Furúʿ-i-ʿAdlíyyih|</v>
      </c>
      <c r="J3300" s="3" t="str">
        <f t="shared" si="359"/>
        <v>|Risaliy-i-Furu'-i-'Adliyyih|</v>
      </c>
      <c r="K3300" s="3" t="str">
        <f t="shared" si="360"/>
        <v>Risaliy-i-Furu-i-Adliyyih</v>
      </c>
      <c r="N3300" s="39" t="str">
        <f t="shared" si="361"/>
        <v/>
      </c>
      <c r="P3300" s="39" t="str">
        <f t="shared" si="362"/>
        <v/>
      </c>
      <c r="R3300" s="39" t="str">
        <f t="shared" si="363"/>
        <v/>
      </c>
      <c r="S3300" s="28"/>
      <c r="T3300" s="28"/>
      <c r="U3300" s="28"/>
    </row>
    <row r="3301" spans="1:21" s="5" customFormat="1">
      <c r="A3301" s="179" t="s">
        <v>3837</v>
      </c>
      <c r="B3301" s="185" t="s">
        <v>7737</v>
      </c>
      <c r="C3301" s="35" t="str">
        <f t="shared" si="357"/>
        <v>RisaliyiIskandariyyih</v>
      </c>
      <c r="E3301" s="40"/>
      <c r="F3301" s="15"/>
      <c r="G3301" s="17"/>
      <c r="H3301" s="10" t="s">
        <v>8563</v>
      </c>
      <c r="I3301" s="4" t="str">
        <f t="shared" si="358"/>
        <v>|Risáliy-i-Iskandaríyyih|</v>
      </c>
      <c r="J3301" s="3" t="str">
        <f t="shared" si="359"/>
        <v>|Risaliy-i-Iskandariyyih|</v>
      </c>
      <c r="K3301" s="3" t="str">
        <f t="shared" si="360"/>
        <v>Risaliy-i-Iskandariyyih</v>
      </c>
      <c r="N3301" s="39" t="str">
        <f t="shared" si="361"/>
        <v/>
      </c>
      <c r="P3301" s="39" t="str">
        <f t="shared" si="362"/>
        <v/>
      </c>
      <c r="R3301" s="39" t="str">
        <f t="shared" si="363"/>
        <v/>
      </c>
      <c r="S3301" s="28"/>
      <c r="T3301" s="28"/>
      <c r="U3301" s="28"/>
    </row>
    <row r="3302" spans="1:21" s="5" customFormat="1">
      <c r="A3302" s="179" t="s">
        <v>3838</v>
      </c>
      <c r="B3302" s="185" t="s">
        <v>7738</v>
      </c>
      <c r="C3302" s="35" t="str">
        <f t="shared" si="357"/>
        <v>RisaliyiKhaqaniyyih</v>
      </c>
      <c r="E3302" s="40"/>
      <c r="F3302" s="15"/>
      <c r="G3302" s="17"/>
      <c r="H3302" s="10" t="s">
        <v>8563</v>
      </c>
      <c r="I3302" s="4" t="str">
        <f t="shared" si="358"/>
        <v>|Risáliy-i-áqáníyyih|</v>
      </c>
      <c r="J3302" s="3" t="str">
        <f t="shared" si="359"/>
        <v>|Risaliy-i-Khaqaniyyih|</v>
      </c>
      <c r="K3302" s="3" t="str">
        <f t="shared" si="360"/>
        <v>Risaliy-i-Khaqaniyyih</v>
      </c>
      <c r="N3302" s="39" t="str">
        <f t="shared" si="361"/>
        <v/>
      </c>
      <c r="P3302" s="39" t="str">
        <f t="shared" si="362"/>
        <v/>
      </c>
      <c r="R3302" s="39" t="str">
        <f t="shared" si="363"/>
        <v/>
      </c>
      <c r="S3302" s="28"/>
      <c r="T3302" s="28"/>
      <c r="U3302" s="28"/>
    </row>
    <row r="3303" spans="1:21" s="5" customFormat="1">
      <c r="A3303" s="179" t="s">
        <v>3839</v>
      </c>
      <c r="B3303" s="185" t="s">
        <v>7739</v>
      </c>
      <c r="C3303" s="35" t="str">
        <f t="shared" si="357"/>
        <v>RisaliyiMadaniyyih</v>
      </c>
      <c r="E3303" s="40"/>
      <c r="F3303" s="15"/>
      <c r="G3303" s="17"/>
      <c r="H3303" s="10" t="s">
        <v>8563</v>
      </c>
      <c r="I3303" s="4" t="str">
        <f t="shared" si="358"/>
        <v>|Risáliy-i-Madaníyyih|</v>
      </c>
      <c r="J3303" s="3" t="str">
        <f t="shared" si="359"/>
        <v>|Risaliy-i-Madaniyyih|</v>
      </c>
      <c r="K3303" s="3" t="str">
        <f t="shared" si="360"/>
        <v>Risaliy-i-Madaniyyih</v>
      </c>
      <c r="N3303" s="39" t="str">
        <f t="shared" si="361"/>
        <v/>
      </c>
      <c r="P3303" s="39" t="str">
        <f t="shared" si="362"/>
        <v/>
      </c>
      <c r="R3303" s="39" t="str">
        <f t="shared" si="363"/>
        <v/>
      </c>
      <c r="S3303" s="28"/>
      <c r="T3303" s="28"/>
      <c r="U3303" s="28"/>
    </row>
    <row r="3304" spans="1:21" s="5" customFormat="1">
      <c r="A3304" s="179" t="s">
        <v>3840</v>
      </c>
      <c r="B3304" s="185" t="s">
        <v>7740</v>
      </c>
      <c r="C3304" s="35" t="str">
        <f t="shared" si="357"/>
        <v>RisaliyiSultaniyyih</v>
      </c>
      <c r="E3304" s="40"/>
      <c r="F3304" s="15"/>
      <c r="G3304" s="17"/>
      <c r="H3304" s="10" t="s">
        <v>8563</v>
      </c>
      <c r="I3304" s="4" t="str">
        <f t="shared" si="358"/>
        <v>|Risáliy-i-Sulṭáníyyih|</v>
      </c>
      <c r="J3304" s="3" t="str">
        <f t="shared" si="359"/>
        <v>|Risaliy-i-Sultaniyyih|</v>
      </c>
      <c r="K3304" s="3" t="str">
        <f t="shared" si="360"/>
        <v>Risaliy-i-Sultaniyyih</v>
      </c>
      <c r="N3304" s="39" t="str">
        <f t="shared" si="361"/>
        <v/>
      </c>
      <c r="P3304" s="39" t="str">
        <f t="shared" si="362"/>
        <v/>
      </c>
      <c r="R3304" s="39" t="str">
        <f t="shared" si="363"/>
        <v/>
      </c>
      <c r="S3304" s="28"/>
      <c r="T3304" s="28"/>
      <c r="U3304" s="28"/>
    </row>
    <row r="3305" spans="1:21" s="5" customFormat="1">
      <c r="A3305" s="179" t="s">
        <v>3841</v>
      </c>
      <c r="B3305" s="185" t="s">
        <v>7741</v>
      </c>
      <c r="C3305" s="35" t="str">
        <f t="shared" si="357"/>
        <v>RishSifid</v>
      </c>
      <c r="E3305" s="40"/>
      <c r="F3305" s="14"/>
      <c r="G3305" s="17"/>
      <c r="H3305" s="10" t="s">
        <v>8563</v>
      </c>
      <c r="I3305" s="4" t="str">
        <f t="shared" si="358"/>
        <v>|Rí-Sifíd|</v>
      </c>
      <c r="J3305" s="3" t="str">
        <f t="shared" si="359"/>
        <v>|Rish-Sifid|</v>
      </c>
      <c r="K3305" s="3" t="str">
        <f t="shared" si="360"/>
        <v>Rish-Sifid</v>
      </c>
      <c r="N3305" s="39" t="str">
        <f t="shared" si="361"/>
        <v/>
      </c>
      <c r="P3305" s="39" t="str">
        <f t="shared" si="362"/>
        <v/>
      </c>
      <c r="R3305" s="39" t="str">
        <f t="shared" si="363"/>
        <v/>
      </c>
      <c r="S3305" s="28"/>
      <c r="T3305" s="28"/>
      <c r="U3305" s="28"/>
    </row>
    <row r="3306" spans="1:21" s="5" customFormat="1">
      <c r="A3306" s="179" t="s">
        <v>3871</v>
      </c>
      <c r="B3306" s="185" t="s">
        <v>7766</v>
      </c>
      <c r="C3306" s="35" t="str">
        <f t="shared" si="357"/>
        <v>Riyad</v>
      </c>
      <c r="E3306" s="40"/>
      <c r="F3306" s="15"/>
      <c r="G3306" s="17"/>
      <c r="H3306" s="10" t="s">
        <v>8563</v>
      </c>
      <c r="I3306" s="4" t="str">
        <f t="shared" si="358"/>
        <v>|Ríyáḍ|</v>
      </c>
      <c r="J3306" s="3" t="str">
        <f t="shared" si="359"/>
        <v>|Riyad|</v>
      </c>
      <c r="K3306" s="3" t="str">
        <f t="shared" si="360"/>
        <v>Riyad</v>
      </c>
      <c r="N3306" s="39" t="str">
        <f t="shared" si="361"/>
        <v/>
      </c>
      <c r="P3306" s="39" t="str">
        <f t="shared" si="362"/>
        <v/>
      </c>
      <c r="R3306" s="39" t="str">
        <f t="shared" si="363"/>
        <v/>
      </c>
      <c r="S3306" s="28"/>
      <c r="T3306" s="28"/>
      <c r="U3306" s="28"/>
    </row>
    <row r="3307" spans="1:21" s="5" customFormat="1">
      <c r="A3307" s="179" t="s">
        <v>3842</v>
      </c>
      <c r="B3307" s="185" t="s">
        <v>7742</v>
      </c>
      <c r="C3307" s="35" t="str">
        <f t="shared" si="357"/>
        <v>RizAb</v>
      </c>
      <c r="E3307" s="40"/>
      <c r="F3307" s="15"/>
      <c r="G3307" s="17"/>
      <c r="H3307" s="10" t="s">
        <v>8563</v>
      </c>
      <c r="I3307" s="4" t="str">
        <f t="shared" si="358"/>
        <v>|Ríz-Áb|</v>
      </c>
      <c r="J3307" s="3" t="str">
        <f t="shared" si="359"/>
        <v>|Riz-Ab|</v>
      </c>
      <c r="K3307" s="3" t="str">
        <f t="shared" si="360"/>
        <v>Riz-Ab</v>
      </c>
      <c r="N3307" s="39" t="str">
        <f t="shared" si="361"/>
        <v/>
      </c>
      <c r="P3307" s="39" t="str">
        <f t="shared" si="362"/>
        <v/>
      </c>
      <c r="R3307" s="39" t="str">
        <f t="shared" si="363"/>
        <v/>
      </c>
      <c r="S3307" s="28"/>
      <c r="T3307" s="28"/>
      <c r="U3307" s="28"/>
    </row>
    <row r="3308" spans="1:21" s="5" customFormat="1">
      <c r="A3308" s="179" t="s">
        <v>3843</v>
      </c>
      <c r="B3308" s="185" t="s">
        <v>7743</v>
      </c>
      <c r="C3308" s="35" t="str">
        <f t="shared" si="357"/>
        <v>Rubaiyyat</v>
      </c>
      <c r="E3308" s="40"/>
      <c r="F3308" s="15" t="s">
        <v>3844</v>
      </c>
      <c r="G3308" s="17"/>
      <c r="H3308" s="10" t="s">
        <v>8563</v>
      </c>
      <c r="I3308" s="4" t="str">
        <f t="shared" si="358"/>
        <v>|Rubáʿíyyát|</v>
      </c>
      <c r="J3308" s="3" t="str">
        <f t="shared" si="359"/>
        <v>|Ruba'iyyat|</v>
      </c>
      <c r="K3308" s="3" t="str">
        <f t="shared" si="360"/>
        <v>Rubaiyyat</v>
      </c>
      <c r="N3308" s="39" t="str">
        <f t="shared" si="361"/>
        <v/>
      </c>
      <c r="P3308" s="39" t="str">
        <f t="shared" si="362"/>
        <v/>
      </c>
      <c r="R3308" s="39" t="str">
        <f t="shared" si="363"/>
        <v/>
      </c>
      <c r="S3308" s="28"/>
      <c r="T3308" s="28"/>
      <c r="U3308" s="28"/>
    </row>
    <row r="3309" spans="1:21" s="5" customFormat="1">
      <c r="A3309" s="179" t="s">
        <v>3845</v>
      </c>
      <c r="B3309" s="185" t="s">
        <v>7744</v>
      </c>
      <c r="C3309" s="35" t="str">
        <f t="shared" si="357"/>
        <v>RubatKarim</v>
      </c>
      <c r="E3309" s="40"/>
      <c r="F3309" s="15"/>
      <c r="G3309" s="17"/>
      <c r="H3309" s="10" t="s">
        <v>8563</v>
      </c>
      <c r="I3309" s="4" t="str">
        <f t="shared" si="358"/>
        <v>|Rubáṭ-Karím|</v>
      </c>
      <c r="J3309" s="3" t="str">
        <f t="shared" si="359"/>
        <v>|Rubat-Karim|</v>
      </c>
      <c r="K3309" s="3" t="str">
        <f t="shared" si="360"/>
        <v>Rubat-Karim</v>
      </c>
      <c r="N3309" s="39" t="str">
        <f t="shared" si="361"/>
        <v/>
      </c>
      <c r="P3309" s="39" t="str">
        <f t="shared" si="362"/>
        <v/>
      </c>
      <c r="R3309" s="39" t="str">
        <f t="shared" si="363"/>
        <v/>
      </c>
      <c r="S3309" s="28"/>
      <c r="T3309" s="28"/>
      <c r="U3309" s="28"/>
    </row>
    <row r="3310" spans="1:21" s="5" customFormat="1">
      <c r="A3310" s="181"/>
      <c r="B3310" s="185" t="s">
        <v>195</v>
      </c>
      <c r="C3310" s="35" t="str">
        <f t="shared" si="357"/>
        <v>Rubayyat</v>
      </c>
      <c r="D3310" s="1"/>
      <c r="E3310" s="40"/>
      <c r="F3310" s="12"/>
      <c r="G3310" s="9"/>
      <c r="H3310" s="11" t="s">
        <v>77</v>
      </c>
      <c r="I3310" s="4" t="str">
        <f t="shared" si="358"/>
        <v>|Rubáʿyyát|</v>
      </c>
      <c r="J3310" s="3" t="str">
        <f t="shared" si="359"/>
        <v>|Ruba'yyat|</v>
      </c>
      <c r="K3310" s="3" t="str">
        <f t="shared" si="360"/>
        <v>Rubayyat</v>
      </c>
      <c r="M3310" s="1"/>
      <c r="N3310" s="39" t="str">
        <f t="shared" si="361"/>
        <v/>
      </c>
      <c r="O3310" s="1"/>
      <c r="P3310" s="39" t="str">
        <f t="shared" si="362"/>
        <v/>
      </c>
      <c r="Q3310" s="1"/>
      <c r="R3310" s="39" t="str">
        <f t="shared" si="363"/>
        <v/>
      </c>
      <c r="S3310" s="28"/>
      <c r="T3310" s="28"/>
      <c r="U3310" s="28"/>
    </row>
    <row r="3311" spans="1:21" s="5" customFormat="1">
      <c r="A3311" s="179" t="s">
        <v>3846</v>
      </c>
      <c r="B3311" s="185" t="s">
        <v>7745</v>
      </c>
      <c r="C3311" s="35" t="str">
        <f t="shared" si="357"/>
        <v>Rubin</v>
      </c>
      <c r="E3311" s="40" t="s">
        <v>9115</v>
      </c>
      <c r="F3311" s="15"/>
      <c r="G3311" s="17" t="s">
        <v>9366</v>
      </c>
      <c r="H3311" s="10" t="s">
        <v>8563</v>
      </c>
      <c r="I3311" s="4" t="str">
        <f t="shared" si="358"/>
        <v>|Rúbín|</v>
      </c>
      <c r="J3311" s="3" t="str">
        <f t="shared" si="359"/>
        <v>|Rubin|</v>
      </c>
      <c r="K3311" s="3" t="str">
        <f t="shared" si="360"/>
        <v>Rubin</v>
      </c>
      <c r="N3311" s="39" t="str">
        <f t="shared" si="361"/>
        <v/>
      </c>
      <c r="P3311" s="39" t="str">
        <f t="shared" si="362"/>
        <v/>
      </c>
      <c r="R3311" s="39" t="str">
        <f t="shared" si="363"/>
        <v/>
      </c>
      <c r="S3311" s="28"/>
      <c r="T3311" s="28"/>
      <c r="U3311" s="28"/>
    </row>
    <row r="3312" spans="1:21" s="5" customFormat="1">
      <c r="A3312" s="179" t="s">
        <v>3847</v>
      </c>
      <c r="B3312" s="185" t="s">
        <v>7746</v>
      </c>
      <c r="C3312" s="35" t="str">
        <f t="shared" si="357"/>
        <v>Rud</v>
      </c>
      <c r="E3312" s="40"/>
      <c r="F3312" s="15" t="s">
        <v>3848</v>
      </c>
      <c r="G3312" s="17"/>
      <c r="H3312" s="10" t="s">
        <v>8563</v>
      </c>
      <c r="I3312" s="4" t="str">
        <f t="shared" si="358"/>
        <v>|Rúd|</v>
      </c>
      <c r="J3312" s="3" t="str">
        <f t="shared" si="359"/>
        <v>|Rud|</v>
      </c>
      <c r="K3312" s="3" t="str">
        <f t="shared" si="360"/>
        <v>Rud</v>
      </c>
      <c r="N3312" s="39" t="str">
        <f t="shared" si="361"/>
        <v/>
      </c>
      <c r="P3312" s="39" t="str">
        <f t="shared" si="362"/>
        <v/>
      </c>
      <c r="R3312" s="39" t="str">
        <f t="shared" si="363"/>
        <v/>
      </c>
      <c r="S3312" s="28"/>
      <c r="T3312" s="28"/>
      <c r="U3312" s="28"/>
    </row>
    <row r="3313" spans="1:21" s="5" customFormat="1">
      <c r="A3313" s="179" t="s">
        <v>3849</v>
      </c>
      <c r="B3313" s="185" t="s">
        <v>7747</v>
      </c>
      <c r="C3313" s="35" t="str">
        <f t="shared" si="357"/>
        <v>Rudaki</v>
      </c>
      <c r="E3313" s="40"/>
      <c r="F3313" s="15"/>
      <c r="G3313" s="17"/>
      <c r="H3313" s="10" t="s">
        <v>8563</v>
      </c>
      <c r="I3313" s="4" t="str">
        <f t="shared" si="358"/>
        <v>|Rúdakí|</v>
      </c>
      <c r="J3313" s="3" t="str">
        <f t="shared" si="359"/>
        <v>|Rudaki|</v>
      </c>
      <c r="K3313" s="3" t="str">
        <f t="shared" si="360"/>
        <v>Rudaki</v>
      </c>
      <c r="N3313" s="39" t="str">
        <f t="shared" si="361"/>
        <v/>
      </c>
      <c r="P3313" s="39" t="str">
        <f t="shared" si="362"/>
        <v/>
      </c>
      <c r="R3313" s="39" t="str">
        <f t="shared" si="363"/>
        <v/>
      </c>
      <c r="S3313" s="28"/>
      <c r="T3313" s="28"/>
      <c r="U3313" s="28"/>
    </row>
    <row r="3314" spans="1:21" s="5" customFormat="1">
      <c r="A3314" s="179" t="s">
        <v>3850</v>
      </c>
      <c r="B3314" s="185" t="s">
        <v>7748</v>
      </c>
      <c r="C3314" s="35" t="str">
        <f t="shared" si="357"/>
        <v>Rudbar</v>
      </c>
      <c r="E3314" s="40"/>
      <c r="F3314" s="15"/>
      <c r="G3314" s="17"/>
      <c r="H3314" s="10" t="s">
        <v>8563</v>
      </c>
      <c r="I3314" s="4" t="str">
        <f t="shared" si="358"/>
        <v>|Rúdbár|</v>
      </c>
      <c r="J3314" s="3" t="str">
        <f t="shared" si="359"/>
        <v>|Rudbar|</v>
      </c>
      <c r="K3314" s="3" t="str">
        <f t="shared" si="360"/>
        <v>Rudbar</v>
      </c>
      <c r="N3314" s="39" t="str">
        <f t="shared" si="361"/>
        <v/>
      </c>
      <c r="P3314" s="39" t="str">
        <f t="shared" si="362"/>
        <v/>
      </c>
      <c r="R3314" s="39" t="str">
        <f t="shared" si="363"/>
        <v/>
      </c>
      <c r="S3314" s="28"/>
      <c r="T3314" s="28"/>
      <c r="U3314" s="28"/>
    </row>
    <row r="3315" spans="1:21" s="5" customFormat="1">
      <c r="A3315" s="179" t="s">
        <v>3796</v>
      </c>
      <c r="B3315" s="185" t="s">
        <v>7702</v>
      </c>
      <c r="C3315" s="35" t="str">
        <f t="shared" si="357"/>
        <v>Ruh</v>
      </c>
      <c r="E3315" s="40"/>
      <c r="F3315" s="15"/>
      <c r="G3315" s="17"/>
      <c r="H3315" s="10" t="s">
        <v>8563</v>
      </c>
      <c r="I3315" s="4" t="str">
        <f t="shared" si="358"/>
        <v>|Rúḥ|</v>
      </c>
      <c r="J3315" s="3" t="str">
        <f t="shared" si="359"/>
        <v>|Ruh|</v>
      </c>
      <c r="K3315" s="3" t="str">
        <f t="shared" si="360"/>
        <v>Ruh</v>
      </c>
      <c r="N3315" s="39" t="str">
        <f t="shared" si="361"/>
        <v/>
      </c>
      <c r="P3315" s="39" t="str">
        <f t="shared" si="362"/>
        <v/>
      </c>
      <c r="R3315" s="39" t="str">
        <f t="shared" si="363"/>
        <v/>
      </c>
      <c r="S3315" s="28"/>
      <c r="T3315" s="28"/>
      <c r="U3315" s="28"/>
    </row>
    <row r="3316" spans="1:21" s="5" customFormat="1">
      <c r="A3316" s="179" t="s">
        <v>3851</v>
      </c>
      <c r="B3316" s="185" t="s">
        <v>7749</v>
      </c>
      <c r="C3316" s="35" t="str">
        <f t="shared" si="357"/>
        <v>Ruha</v>
      </c>
      <c r="E3316" s="40"/>
      <c r="F3316" s="15"/>
      <c r="G3316" s="17"/>
      <c r="H3316" s="10" t="s">
        <v>8563</v>
      </c>
      <c r="I3316" s="4" t="str">
        <f t="shared" si="358"/>
        <v>|Rúḥá|</v>
      </c>
      <c r="J3316" s="3" t="str">
        <f t="shared" si="359"/>
        <v>|Ruha|</v>
      </c>
      <c r="K3316" s="3" t="str">
        <f t="shared" si="360"/>
        <v>Ruha</v>
      </c>
      <c r="N3316" s="39" t="str">
        <f t="shared" si="361"/>
        <v/>
      </c>
      <c r="P3316" s="39" t="str">
        <f t="shared" si="362"/>
        <v/>
      </c>
      <c r="R3316" s="39" t="str">
        <f t="shared" si="363"/>
        <v/>
      </c>
      <c r="S3316" s="28"/>
      <c r="T3316" s="28"/>
      <c r="U3316" s="28"/>
    </row>
    <row r="3317" spans="1:21" s="5" customFormat="1">
      <c r="A3317" s="179" t="s">
        <v>3852</v>
      </c>
      <c r="B3317" s="185" t="s">
        <v>7750</v>
      </c>
      <c r="C3317" s="35" t="str">
        <f t="shared" si="357"/>
        <v>Ruhangiz</v>
      </c>
      <c r="E3317" s="40"/>
      <c r="F3317" s="15"/>
      <c r="G3317" s="17"/>
      <c r="H3317" s="10" t="s">
        <v>8563</v>
      </c>
      <c r="I3317" s="4" t="str">
        <f t="shared" si="358"/>
        <v>|Rúḥangíz|</v>
      </c>
      <c r="J3317" s="3" t="str">
        <f t="shared" si="359"/>
        <v>|Ruhangiz|</v>
      </c>
      <c r="K3317" s="3" t="str">
        <f t="shared" si="360"/>
        <v>Ruhangiz</v>
      </c>
      <c r="N3317" s="39" t="str">
        <f t="shared" si="361"/>
        <v/>
      </c>
      <c r="P3317" s="39" t="str">
        <f t="shared" si="362"/>
        <v/>
      </c>
      <c r="R3317" s="39" t="str">
        <f t="shared" si="363"/>
        <v/>
      </c>
      <c r="S3317" s="28"/>
      <c r="T3317" s="28"/>
      <c r="U3317" s="28"/>
    </row>
    <row r="3318" spans="1:21" s="5" customFormat="1">
      <c r="A3318" s="179" t="s">
        <v>3797</v>
      </c>
      <c r="B3318" s="185" t="s">
        <v>7751</v>
      </c>
      <c r="C3318" s="35" t="str">
        <f t="shared" si="357"/>
        <v>Ruhani</v>
      </c>
      <c r="E3318" s="40"/>
      <c r="F3318" s="15" t="s">
        <v>3853</v>
      </c>
      <c r="G3318" s="17"/>
      <c r="H3318" s="10" t="s">
        <v>8563</v>
      </c>
      <c r="I3318" s="4" t="str">
        <f t="shared" si="358"/>
        <v>|Rúḥání|</v>
      </c>
      <c r="J3318" s="3" t="str">
        <f t="shared" si="359"/>
        <v>|Ruhani|</v>
      </c>
      <c r="K3318" s="3" t="str">
        <f t="shared" si="360"/>
        <v>Ruhani</v>
      </c>
      <c r="N3318" s="39" t="str">
        <f t="shared" si="361"/>
        <v/>
      </c>
      <c r="P3318" s="39" t="str">
        <f t="shared" si="362"/>
        <v/>
      </c>
      <c r="R3318" s="39" t="str">
        <f t="shared" si="363"/>
        <v/>
      </c>
      <c r="S3318" s="28"/>
      <c r="T3318" s="28"/>
      <c r="U3318" s="28"/>
    </row>
    <row r="3319" spans="1:21" s="5" customFormat="1">
      <c r="A3319" s="179" t="s">
        <v>3854</v>
      </c>
      <c r="B3319" s="185" t="s">
        <v>7752</v>
      </c>
      <c r="C3319" s="35" t="str">
        <f t="shared" si="357"/>
        <v>Ruhaniyyat</v>
      </c>
      <c r="E3319" s="40"/>
      <c r="F3319" s="15"/>
      <c r="G3319" s="17"/>
      <c r="H3319" s="10" t="s">
        <v>8563</v>
      </c>
      <c r="I3319" s="4" t="str">
        <f t="shared" si="358"/>
        <v>|Rúḥániyyat|</v>
      </c>
      <c r="J3319" s="3" t="str">
        <f t="shared" si="359"/>
        <v>|Ruhaniyyat|</v>
      </c>
      <c r="K3319" s="3" t="str">
        <f t="shared" si="360"/>
        <v>Ruhaniyyat</v>
      </c>
      <c r="N3319" s="39" t="str">
        <f t="shared" si="361"/>
        <v/>
      </c>
      <c r="P3319" s="39" t="str">
        <f t="shared" si="362"/>
        <v/>
      </c>
      <c r="R3319" s="39" t="str">
        <f t="shared" si="363"/>
        <v/>
      </c>
      <c r="S3319" s="28"/>
      <c r="T3319" s="28"/>
      <c r="U3319" s="28"/>
    </row>
    <row r="3320" spans="1:21" s="5" customFormat="1">
      <c r="A3320" s="179" t="s">
        <v>3855</v>
      </c>
      <c r="B3320" s="185" t="s">
        <v>7753</v>
      </c>
      <c r="C3320" s="35" t="str">
        <f t="shared" si="357"/>
        <v>Ruhaniyyih</v>
      </c>
      <c r="E3320" s="40"/>
      <c r="F3320" s="15"/>
      <c r="G3320" s="17"/>
      <c r="H3320" s="10" t="s">
        <v>8563</v>
      </c>
      <c r="I3320" s="4" t="str">
        <f t="shared" si="358"/>
        <v>|Rúḥáníyyih|</v>
      </c>
      <c r="J3320" s="3" t="str">
        <f t="shared" si="359"/>
        <v>|Ruhaniyyih|</v>
      </c>
      <c r="K3320" s="3" t="str">
        <f t="shared" si="360"/>
        <v>Ruhaniyyih</v>
      </c>
      <c r="N3320" s="39" t="str">
        <f t="shared" si="361"/>
        <v/>
      </c>
      <c r="P3320" s="39" t="str">
        <f t="shared" si="362"/>
        <v/>
      </c>
      <c r="R3320" s="39" t="str">
        <f t="shared" si="363"/>
        <v/>
      </c>
      <c r="S3320" s="28"/>
      <c r="T3320" s="28"/>
      <c r="U3320" s="28"/>
    </row>
    <row r="3321" spans="1:21" s="5" customFormat="1">
      <c r="A3321" s="179" t="s">
        <v>3856</v>
      </c>
      <c r="B3321" s="185" t="s">
        <v>7754</v>
      </c>
      <c r="C3321" s="35" t="str">
        <f t="shared" si="357"/>
        <v>Ruhi</v>
      </c>
      <c r="E3321" s="40"/>
      <c r="F3321" s="15"/>
      <c r="G3321" s="17"/>
      <c r="H3321" s="10" t="s">
        <v>8563</v>
      </c>
      <c r="I3321" s="4" t="str">
        <f t="shared" si="358"/>
        <v>|Rúḥí|</v>
      </c>
      <c r="J3321" s="3" t="str">
        <f t="shared" si="359"/>
        <v>|Ruhi|</v>
      </c>
      <c r="K3321" s="3" t="str">
        <f t="shared" si="360"/>
        <v>Ruhi</v>
      </c>
      <c r="N3321" s="39" t="str">
        <f t="shared" si="361"/>
        <v/>
      </c>
      <c r="P3321" s="39" t="str">
        <f t="shared" si="362"/>
        <v/>
      </c>
      <c r="R3321" s="39" t="str">
        <f t="shared" si="363"/>
        <v/>
      </c>
      <c r="S3321" s="28"/>
      <c r="T3321" s="28"/>
      <c r="U3321" s="28"/>
    </row>
    <row r="3322" spans="1:21" s="5" customFormat="1">
      <c r="A3322" s="179" t="s">
        <v>3857</v>
      </c>
      <c r="B3322" s="185" t="s">
        <v>7755</v>
      </c>
      <c r="C3322" s="35" t="str">
        <f t="shared" si="357"/>
        <v>Ruhiyyih</v>
      </c>
      <c r="E3322" s="40"/>
      <c r="F3322" s="15"/>
      <c r="G3322" s="17"/>
      <c r="H3322" s="10" t="s">
        <v>8563</v>
      </c>
      <c r="I3322" s="4" t="str">
        <f t="shared" si="358"/>
        <v>|Rúḥíyyih|</v>
      </c>
      <c r="J3322" s="3" t="str">
        <f t="shared" si="359"/>
        <v>|Ruhiyyih|</v>
      </c>
      <c r="K3322" s="3" t="str">
        <f t="shared" si="360"/>
        <v>Ruhiyyih</v>
      </c>
      <c r="N3322" s="39" t="str">
        <f t="shared" si="361"/>
        <v/>
      </c>
      <c r="P3322" s="39" t="str">
        <f t="shared" si="362"/>
        <v/>
      </c>
      <c r="R3322" s="39" t="str">
        <f t="shared" si="363"/>
        <v/>
      </c>
      <c r="S3322" s="28"/>
      <c r="T3322" s="28"/>
      <c r="U3322" s="28"/>
    </row>
    <row r="3323" spans="1:21" s="5" customFormat="1">
      <c r="A3323" s="181"/>
      <c r="B3323" s="185" t="s">
        <v>39</v>
      </c>
      <c r="C3323" s="35" t="str">
        <f t="shared" si="357"/>
        <v>RuhiyyihRabbani</v>
      </c>
      <c r="D3323" s="1"/>
      <c r="E3323" s="40"/>
      <c r="F3323" s="12"/>
      <c r="G3323" s="9"/>
      <c r="H3323" s="12"/>
      <c r="I3323" s="4" t="str">
        <f t="shared" si="358"/>
        <v>|Rúḥíyyih Rabbani|</v>
      </c>
      <c r="J3323" s="3" t="str">
        <f t="shared" si="359"/>
        <v>|Ruhiyyih Rabbani|</v>
      </c>
      <c r="K3323" s="3" t="str">
        <f t="shared" si="360"/>
        <v>Ruhiyyih Rabbani</v>
      </c>
      <c r="M3323" s="1"/>
      <c r="N3323" s="39" t="str">
        <f t="shared" si="361"/>
        <v/>
      </c>
      <c r="O3323" s="1"/>
      <c r="P3323" s="39" t="str">
        <f t="shared" si="362"/>
        <v/>
      </c>
      <c r="Q3323" s="1"/>
      <c r="R3323" s="39" t="str">
        <f t="shared" si="363"/>
        <v/>
      </c>
      <c r="S3323" s="28"/>
      <c r="T3323" s="29">
        <v>41781</v>
      </c>
      <c r="U3323" s="28" t="s">
        <v>9448</v>
      </c>
    </row>
    <row r="3324" spans="1:21" s="5" customFormat="1">
      <c r="A3324" s="179" t="s">
        <v>3858</v>
      </c>
      <c r="B3324" s="185" t="s">
        <v>111</v>
      </c>
      <c r="C3324" s="35" t="str">
        <f t="shared" si="357"/>
        <v>Ruhullah</v>
      </c>
      <c r="E3324" s="40"/>
      <c r="F3324" s="15"/>
      <c r="G3324" s="17"/>
      <c r="H3324" s="10" t="s">
        <v>8563</v>
      </c>
      <c r="I3324" s="4" t="str">
        <f t="shared" si="358"/>
        <v>|Rúḥu’lláh|</v>
      </c>
      <c r="J3324" s="3" t="str">
        <f t="shared" si="359"/>
        <v>|Ruhu'llah|</v>
      </c>
      <c r="K3324" s="3" t="str">
        <f t="shared" si="360"/>
        <v>Ruhullah</v>
      </c>
      <c r="N3324" s="39" t="str">
        <f t="shared" si="361"/>
        <v/>
      </c>
      <c r="P3324" s="39" t="str">
        <f t="shared" si="362"/>
        <v/>
      </c>
      <c r="R3324" s="39" t="str">
        <f t="shared" si="363"/>
        <v/>
      </c>
      <c r="S3324" s="28"/>
      <c r="T3324" s="28"/>
      <c r="U3324" s="28"/>
    </row>
    <row r="3325" spans="1:21" s="5" customFormat="1">
      <c r="A3325" s="179" t="s">
        <v>3859</v>
      </c>
      <c r="B3325" s="185" t="s">
        <v>7756</v>
      </c>
      <c r="C3325" s="35" t="str">
        <f t="shared" si="357"/>
        <v>RuhulMaani</v>
      </c>
      <c r="E3325" s="40"/>
      <c r="F3325" s="15"/>
      <c r="G3325" s="17"/>
      <c r="H3325" s="10" t="s">
        <v>8563</v>
      </c>
      <c r="I3325" s="4" t="str">
        <f t="shared" si="358"/>
        <v>|Rúḥu’l-Máʿání|</v>
      </c>
      <c r="J3325" s="3" t="str">
        <f t="shared" si="359"/>
        <v>|Ruhu'l-Ma'ani|</v>
      </c>
      <c r="K3325" s="3" t="str">
        <f t="shared" si="360"/>
        <v>Ruhul-Maani</v>
      </c>
      <c r="N3325" s="39" t="str">
        <f t="shared" si="361"/>
        <v/>
      </c>
      <c r="P3325" s="39" t="str">
        <f t="shared" si="362"/>
        <v/>
      </c>
      <c r="R3325" s="39" t="str">
        <f t="shared" si="363"/>
        <v/>
      </c>
      <c r="S3325" s="28"/>
      <c r="T3325" s="28"/>
      <c r="U3325" s="28"/>
    </row>
    <row r="3326" spans="1:21" s="5" customFormat="1">
      <c r="A3326" s="179" t="s">
        <v>3860</v>
      </c>
      <c r="B3326" s="185" t="s">
        <v>7757</v>
      </c>
      <c r="C3326" s="35" t="str">
        <f t="shared" si="357"/>
        <v>RukniRabi</v>
      </c>
      <c r="E3326" s="40"/>
      <c r="F3326" s="15" t="s">
        <v>3861</v>
      </c>
      <c r="G3326" s="17"/>
      <c r="H3326" s="10" t="s">
        <v>8563</v>
      </c>
      <c r="I3326" s="4" t="str">
        <f t="shared" si="358"/>
        <v>|Rukn-i-Rábiʿ|</v>
      </c>
      <c r="J3326" s="3" t="str">
        <f t="shared" si="359"/>
        <v>|Rukn-i-Rabi'|</v>
      </c>
      <c r="K3326" s="3" t="str">
        <f t="shared" si="360"/>
        <v>Rukn-i-Rabi</v>
      </c>
      <c r="N3326" s="39" t="str">
        <f t="shared" si="361"/>
        <v/>
      </c>
      <c r="P3326" s="39" t="str">
        <f t="shared" si="362"/>
        <v/>
      </c>
      <c r="R3326" s="39" t="str">
        <f t="shared" si="363"/>
        <v/>
      </c>
      <c r="S3326" s="28"/>
      <c r="T3326" s="28"/>
      <c r="U3326" s="28"/>
    </row>
    <row r="3327" spans="1:21" s="5" customFormat="1">
      <c r="A3327" s="179" t="s">
        <v>3862</v>
      </c>
      <c r="B3327" s="185" t="s">
        <v>7758</v>
      </c>
      <c r="C3327" s="35" t="str">
        <f t="shared" si="357"/>
        <v>RuknudDawlih</v>
      </c>
      <c r="E3327" s="40"/>
      <c r="F3327" s="14"/>
      <c r="G3327" s="17"/>
      <c r="H3327" s="10" t="s">
        <v>8563</v>
      </c>
      <c r="I3327" s="4" t="str">
        <f t="shared" si="358"/>
        <v>|Ruknu’d-Dawlih|</v>
      </c>
      <c r="J3327" s="3" t="str">
        <f t="shared" si="359"/>
        <v>|Ruknu'd-Dawlih|</v>
      </c>
      <c r="K3327" s="3" t="str">
        <f t="shared" si="360"/>
        <v>Ruknud-Dawlih</v>
      </c>
      <c r="N3327" s="39" t="str">
        <f t="shared" si="361"/>
        <v/>
      </c>
      <c r="P3327" s="39" t="str">
        <f t="shared" si="362"/>
        <v/>
      </c>
      <c r="R3327" s="39" t="str">
        <f t="shared" si="363"/>
        <v/>
      </c>
      <c r="S3327" s="28"/>
      <c r="T3327" s="28"/>
      <c r="U3327" s="28"/>
    </row>
    <row r="3328" spans="1:21" s="5" customFormat="1">
      <c r="A3328" s="179" t="s">
        <v>3863</v>
      </c>
      <c r="B3328" s="185" t="s">
        <v>7759</v>
      </c>
      <c r="C3328" s="35" t="str">
        <f t="shared" si="357"/>
        <v>Rum</v>
      </c>
      <c r="E3328" s="40"/>
      <c r="F3328" s="14"/>
      <c r="G3328" s="17"/>
      <c r="H3328" s="10" t="s">
        <v>8563</v>
      </c>
      <c r="I3328" s="4" t="str">
        <f t="shared" si="358"/>
        <v>|Rúm|</v>
      </c>
      <c r="J3328" s="3" t="str">
        <f t="shared" si="359"/>
        <v>|Rum|</v>
      </c>
      <c r="K3328" s="3" t="str">
        <f t="shared" si="360"/>
        <v>Rum</v>
      </c>
      <c r="N3328" s="39" t="str">
        <f t="shared" si="361"/>
        <v/>
      </c>
      <c r="P3328" s="39" t="str">
        <f t="shared" si="362"/>
        <v/>
      </c>
      <c r="R3328" s="39" t="str">
        <f t="shared" si="363"/>
        <v/>
      </c>
      <c r="S3328" s="28"/>
      <c r="T3328" s="28"/>
      <c r="U3328" s="28"/>
    </row>
    <row r="3329" spans="1:21" s="5" customFormat="1">
      <c r="A3329" s="179" t="s">
        <v>3864</v>
      </c>
      <c r="B3329" s="185" t="s">
        <v>40</v>
      </c>
      <c r="C3329" s="35" t="str">
        <f t="shared" si="357"/>
        <v>Rumi</v>
      </c>
      <c r="E3329" s="40"/>
      <c r="F3329" s="14"/>
      <c r="G3329" s="17"/>
      <c r="H3329" s="10" t="s">
        <v>8563</v>
      </c>
      <c r="I3329" s="4" t="str">
        <f t="shared" si="358"/>
        <v>|Rúmí|</v>
      </c>
      <c r="J3329" s="3" t="str">
        <f t="shared" si="359"/>
        <v>|Rumi|</v>
      </c>
      <c r="K3329" s="3" t="str">
        <f t="shared" si="360"/>
        <v>Rumi</v>
      </c>
      <c r="N3329" s="39" t="str">
        <f t="shared" si="361"/>
        <v/>
      </c>
      <c r="P3329" s="39" t="str">
        <f t="shared" si="362"/>
        <v/>
      </c>
      <c r="R3329" s="39" t="str">
        <f t="shared" si="363"/>
        <v/>
      </c>
      <c r="S3329" s="28"/>
      <c r="T3329" s="29">
        <v>41781</v>
      </c>
      <c r="U3329" s="28" t="s">
        <v>9446</v>
      </c>
    </row>
    <row r="3330" spans="1:21" s="5" customFormat="1">
      <c r="A3330" s="179" t="s">
        <v>3865</v>
      </c>
      <c r="B3330" s="185" t="s">
        <v>7760</v>
      </c>
      <c r="C3330" s="35" t="str">
        <f t="shared" ref="C3330:C3393" si="364">SUBSTITUTE(SUBSTITUTE(K3330,"-","")," ","")</f>
        <v>Runiz</v>
      </c>
      <c r="E3330" s="40"/>
      <c r="F3330" s="15"/>
      <c r="G3330" s="17"/>
      <c r="H3330" s="10" t="s">
        <v>8563</v>
      </c>
      <c r="I3330" s="4" t="str">
        <f t="shared" ref="I3330:I3393" si="365">CONCATENATE("|",B3330,"|")</f>
        <v>|Rúníz|</v>
      </c>
      <c r="J3330" s="3" t="str">
        <f t="shared" ref="J3330:J3393" si="366">CONCATENATE("|",F_OutputASCII(B3330),"|")</f>
        <v>|Runiz|</v>
      </c>
      <c r="K3330" s="3" t="str">
        <f t="shared" ref="K3330:K3393" si="367">IF(SUBSTITUTE(MID(J3330,2,LEN(J3330)-2),"'","")&lt;&gt;"",SUBSTITUTE(MID(J3330,2,LEN(J3330)-2),"'",""),"ZZZZZ")</f>
        <v>Runiz</v>
      </c>
      <c r="N3330" s="39" t="str">
        <f t="shared" si="361"/>
        <v/>
      </c>
      <c r="P3330" s="39" t="str">
        <f t="shared" si="362"/>
        <v/>
      </c>
      <c r="R3330" s="39" t="str">
        <f t="shared" si="363"/>
        <v/>
      </c>
      <c r="S3330" s="28"/>
      <c r="T3330" s="28"/>
      <c r="U3330" s="28"/>
    </row>
    <row r="3331" spans="1:21" s="5" customFormat="1">
      <c r="A3331" s="179" t="s">
        <v>3866</v>
      </c>
      <c r="B3331" s="185" t="s">
        <v>7761</v>
      </c>
      <c r="C3331" s="35" t="str">
        <f t="shared" si="364"/>
        <v>Rushdi</v>
      </c>
      <c r="E3331" s="40"/>
      <c r="F3331" s="14"/>
      <c r="G3331" s="17"/>
      <c r="H3331" s="10" t="s">
        <v>8563</v>
      </c>
      <c r="I3331" s="4" t="str">
        <f t="shared" si="365"/>
        <v>|Rudí|</v>
      </c>
      <c r="J3331" s="3" t="str">
        <f t="shared" si="366"/>
        <v>|Rushdi|</v>
      </c>
      <c r="K3331" s="3" t="str">
        <f t="shared" si="367"/>
        <v>Rushdi</v>
      </c>
      <c r="N3331" s="39" t="str">
        <f t="shared" ref="N3331:N3394" si="368">SUBSTITUTE(SUBSTITUTE(SUBSTITUTE(F_OutputASCII(M3331),"-","")," ",""),"'","")</f>
        <v/>
      </c>
      <c r="P3331" s="39" t="str">
        <f t="shared" ref="P3331:P3394" si="369">SUBSTITUTE(SUBSTITUTE(SUBSTITUTE(F_OutputASCII(O3331),"-","")," ",""),"'","")</f>
        <v/>
      </c>
      <c r="R3331" s="39" t="str">
        <f t="shared" ref="R3331:R3394" si="370">SUBSTITUTE(SUBSTITUTE(Q3331,"-","")," ","")</f>
        <v/>
      </c>
      <c r="S3331" s="28"/>
      <c r="T3331" s="28"/>
      <c r="U3331" s="28"/>
    </row>
    <row r="3332" spans="1:21" s="5" customFormat="1">
      <c r="A3332" s="179" t="s">
        <v>3867</v>
      </c>
      <c r="B3332" s="185" t="s">
        <v>7762</v>
      </c>
      <c r="C3332" s="35" t="str">
        <f t="shared" si="364"/>
        <v>Rustam</v>
      </c>
      <c r="E3332" s="40"/>
      <c r="F3332" s="14"/>
      <c r="G3332" s="17"/>
      <c r="H3332" s="10" t="s">
        <v>8563</v>
      </c>
      <c r="I3332" s="4" t="str">
        <f t="shared" si="365"/>
        <v>|Rustam|</v>
      </c>
      <c r="J3332" s="3" t="str">
        <f t="shared" si="366"/>
        <v>|Rustam|</v>
      </c>
      <c r="K3332" s="3" t="str">
        <f t="shared" si="367"/>
        <v>Rustam</v>
      </c>
      <c r="N3332" s="39" t="str">
        <f t="shared" si="368"/>
        <v/>
      </c>
      <c r="P3332" s="39" t="str">
        <f t="shared" si="369"/>
        <v/>
      </c>
      <c r="R3332" s="39" t="str">
        <f t="shared" si="370"/>
        <v/>
      </c>
      <c r="S3332" s="28"/>
      <c r="T3332" s="28"/>
      <c r="U3332" s="28"/>
    </row>
    <row r="3333" spans="1:21" s="5" customFormat="1">
      <c r="A3333" s="179" t="s">
        <v>3868</v>
      </c>
      <c r="B3333" s="185" t="s">
        <v>7763</v>
      </c>
      <c r="C3333" s="35" t="str">
        <f t="shared" si="364"/>
        <v>RustamAli</v>
      </c>
      <c r="E3333" s="40"/>
      <c r="F3333" s="14"/>
      <c r="G3333" s="17"/>
      <c r="H3333" s="10" t="s">
        <v>8563</v>
      </c>
      <c r="I3333" s="4" t="str">
        <f t="shared" si="365"/>
        <v>|Rustam-ʿAlí|</v>
      </c>
      <c r="J3333" s="3" t="str">
        <f t="shared" si="366"/>
        <v>|Rustam-'Ali|</v>
      </c>
      <c r="K3333" s="3" t="str">
        <f t="shared" si="367"/>
        <v>Rustam-Ali</v>
      </c>
      <c r="N3333" s="39" t="str">
        <f t="shared" si="368"/>
        <v/>
      </c>
      <c r="P3333" s="39" t="str">
        <f t="shared" si="369"/>
        <v/>
      </c>
      <c r="R3333" s="39" t="str">
        <f t="shared" si="370"/>
        <v/>
      </c>
      <c r="S3333" s="28"/>
      <c r="T3333" s="28"/>
      <c r="U3333" s="28"/>
    </row>
    <row r="3334" spans="1:21" s="5" customFormat="1">
      <c r="A3334" s="179" t="s">
        <v>3869</v>
      </c>
      <c r="B3334" s="185" t="s">
        <v>7764</v>
      </c>
      <c r="C3334" s="35" t="str">
        <f t="shared" si="364"/>
        <v>Ruz</v>
      </c>
      <c r="E3334" s="40"/>
      <c r="F3334" s="15"/>
      <c r="G3334" s="17"/>
      <c r="H3334" s="10" t="s">
        <v>8563</v>
      </c>
      <c r="I3334" s="4" t="str">
        <f t="shared" si="365"/>
        <v>|Rúz|</v>
      </c>
      <c r="J3334" s="3" t="str">
        <f t="shared" si="366"/>
        <v>|Ruz|</v>
      </c>
      <c r="K3334" s="3" t="str">
        <f t="shared" si="367"/>
        <v>Ruz</v>
      </c>
      <c r="N3334" s="39" t="str">
        <f t="shared" si="368"/>
        <v/>
      </c>
      <c r="P3334" s="39" t="str">
        <f t="shared" si="369"/>
        <v/>
      </c>
      <c r="R3334" s="39" t="str">
        <f t="shared" si="370"/>
        <v/>
      </c>
      <c r="S3334" s="28"/>
      <c r="T3334" s="28"/>
      <c r="U3334" s="28"/>
    </row>
    <row r="3335" spans="1:21" s="5" customFormat="1">
      <c r="A3335" s="179" t="s">
        <v>3870</v>
      </c>
      <c r="B3335" s="185" t="s">
        <v>7765</v>
      </c>
      <c r="C3335" s="35" t="str">
        <f t="shared" si="364"/>
        <v>Ruzbih</v>
      </c>
      <c r="E3335" s="40"/>
      <c r="F3335" s="14"/>
      <c r="G3335" s="17"/>
      <c r="H3335" s="10" t="s">
        <v>8563</v>
      </c>
      <c r="I3335" s="4" t="str">
        <f t="shared" si="365"/>
        <v>|Rúzbih|</v>
      </c>
      <c r="J3335" s="3" t="str">
        <f t="shared" si="366"/>
        <v>|Ruzbih|</v>
      </c>
      <c r="K3335" s="3" t="str">
        <f t="shared" si="367"/>
        <v>Ruzbih</v>
      </c>
      <c r="N3335" s="39" t="str">
        <f t="shared" si="368"/>
        <v/>
      </c>
      <c r="P3335" s="39" t="str">
        <f t="shared" si="369"/>
        <v/>
      </c>
      <c r="R3335" s="39" t="str">
        <f t="shared" si="370"/>
        <v/>
      </c>
      <c r="S3335" s="28"/>
      <c r="T3335" s="28"/>
      <c r="U3335" s="28"/>
    </row>
    <row r="3336" spans="1:21" s="5" customFormat="1">
      <c r="A3336" s="179" t="s">
        <v>3872</v>
      </c>
      <c r="B3336" s="185" t="s">
        <v>7767</v>
      </c>
      <c r="C3336" s="35" t="str">
        <f t="shared" si="364"/>
        <v>Saadat</v>
      </c>
      <c r="E3336" s="40"/>
      <c r="F3336" s="15" t="s">
        <v>3873</v>
      </c>
      <c r="G3336" s="17"/>
      <c r="H3336" s="10" t="s">
        <v>8563</v>
      </c>
      <c r="I3336" s="4" t="str">
        <f t="shared" si="365"/>
        <v>|Saʿádat|</v>
      </c>
      <c r="J3336" s="3" t="str">
        <f t="shared" si="366"/>
        <v>|Sa'adat|</v>
      </c>
      <c r="K3336" s="3" t="str">
        <f t="shared" si="367"/>
        <v>Saadat</v>
      </c>
      <c r="N3336" s="39" t="str">
        <f t="shared" si="368"/>
        <v/>
      </c>
      <c r="P3336" s="39" t="str">
        <f t="shared" si="369"/>
        <v/>
      </c>
      <c r="R3336" s="39" t="str">
        <f t="shared" si="370"/>
        <v/>
      </c>
      <c r="S3336" s="28"/>
      <c r="T3336" s="28"/>
      <c r="U3336" s="28"/>
    </row>
    <row r="3337" spans="1:21" s="5" customFormat="1">
      <c r="A3337" s="179" t="s">
        <v>3874</v>
      </c>
      <c r="B3337" s="185" t="s">
        <v>7768</v>
      </c>
      <c r="C3337" s="35" t="str">
        <f t="shared" si="364"/>
        <v>SaadatAbad</v>
      </c>
      <c r="E3337" s="40"/>
      <c r="F3337" s="15" t="s">
        <v>3875</v>
      </c>
      <c r="G3337" s="17"/>
      <c r="H3337" s="10" t="s">
        <v>8563</v>
      </c>
      <c r="I3337" s="4" t="str">
        <f t="shared" si="365"/>
        <v>|Saʿádat-Ábád|</v>
      </c>
      <c r="J3337" s="3" t="str">
        <f t="shared" si="366"/>
        <v>|Sa'adat-Abad|</v>
      </c>
      <c r="K3337" s="3" t="str">
        <f t="shared" si="367"/>
        <v>Saadat-Abad</v>
      </c>
      <c r="N3337" s="39" t="str">
        <f t="shared" si="368"/>
        <v/>
      </c>
      <c r="P3337" s="39" t="str">
        <f t="shared" si="369"/>
        <v/>
      </c>
      <c r="R3337" s="39" t="str">
        <f t="shared" si="370"/>
        <v/>
      </c>
      <c r="S3337" s="28"/>
      <c r="T3337" s="28"/>
      <c r="U3337" s="28"/>
    </row>
    <row r="3338" spans="1:21" s="5" customFormat="1">
      <c r="A3338" s="179" t="s">
        <v>3876</v>
      </c>
      <c r="B3338" s="185" t="s">
        <v>7769</v>
      </c>
      <c r="C3338" s="35" t="str">
        <f t="shared" si="364"/>
        <v>Sabbagh</v>
      </c>
      <c r="E3338" s="40"/>
      <c r="F3338" s="15" t="s">
        <v>3877</v>
      </c>
      <c r="G3338" s="17"/>
      <c r="H3338" s="10" t="s">
        <v>8563</v>
      </c>
      <c r="I3338" s="4" t="str">
        <f t="shared" si="365"/>
        <v>|Ṣabbá|</v>
      </c>
      <c r="J3338" s="3" t="str">
        <f t="shared" si="366"/>
        <v>|Sabbagh|</v>
      </c>
      <c r="K3338" s="3" t="str">
        <f t="shared" si="367"/>
        <v>Sabbagh</v>
      </c>
      <c r="N3338" s="39" t="str">
        <f t="shared" si="368"/>
        <v/>
      </c>
      <c r="P3338" s="39" t="str">
        <f t="shared" si="369"/>
        <v/>
      </c>
      <c r="R3338" s="39" t="str">
        <f t="shared" si="370"/>
        <v/>
      </c>
      <c r="S3338" s="28"/>
      <c r="T3338" s="28"/>
      <c r="U3338" s="28"/>
    </row>
    <row r="3339" spans="1:21" s="5" customFormat="1">
      <c r="A3339" s="179" t="s">
        <v>3878</v>
      </c>
      <c r="B3339" s="185" t="s">
        <v>7770</v>
      </c>
      <c r="C3339" s="35" t="str">
        <f t="shared" si="364"/>
        <v>Sabbah</v>
      </c>
      <c r="E3339" s="40"/>
      <c r="F3339" s="15"/>
      <c r="G3339" s="17"/>
      <c r="H3339" s="10" t="s">
        <v>8563</v>
      </c>
      <c r="I3339" s="4" t="str">
        <f t="shared" si="365"/>
        <v>|Ṣabbaḥ|</v>
      </c>
      <c r="J3339" s="3" t="str">
        <f t="shared" si="366"/>
        <v>|Sabbah|</v>
      </c>
      <c r="K3339" s="3" t="str">
        <f t="shared" si="367"/>
        <v>Sabbah</v>
      </c>
      <c r="N3339" s="39" t="str">
        <f t="shared" si="368"/>
        <v/>
      </c>
      <c r="P3339" s="39" t="str">
        <f t="shared" si="369"/>
        <v/>
      </c>
      <c r="R3339" s="39" t="str">
        <f t="shared" si="370"/>
        <v/>
      </c>
      <c r="S3339" s="28"/>
      <c r="T3339" s="28"/>
      <c r="U3339" s="28"/>
    </row>
    <row r="3340" spans="1:21" s="5" customFormat="1">
      <c r="A3340" s="179" t="s">
        <v>3879</v>
      </c>
      <c r="B3340" s="185" t="s">
        <v>7771</v>
      </c>
      <c r="C3340" s="35" t="str">
        <f t="shared" si="364"/>
        <v>Sabbaq</v>
      </c>
      <c r="E3340" s="40"/>
      <c r="F3340" s="15" t="s">
        <v>3877</v>
      </c>
      <c r="G3340" s="17"/>
      <c r="H3340" s="10" t="s">
        <v>8563</v>
      </c>
      <c r="I3340" s="4" t="str">
        <f t="shared" si="365"/>
        <v>|Ṣabbáq|</v>
      </c>
      <c r="J3340" s="3" t="str">
        <f t="shared" si="366"/>
        <v>|Sabbaq|</v>
      </c>
      <c r="K3340" s="3" t="str">
        <f t="shared" si="367"/>
        <v>Sabbaq</v>
      </c>
      <c r="N3340" s="39" t="str">
        <f t="shared" si="368"/>
        <v/>
      </c>
      <c r="P3340" s="39" t="str">
        <f t="shared" si="369"/>
        <v/>
      </c>
      <c r="R3340" s="39" t="str">
        <f t="shared" si="370"/>
        <v/>
      </c>
      <c r="S3340" s="28"/>
      <c r="T3340" s="28"/>
      <c r="U3340" s="28"/>
    </row>
    <row r="3341" spans="1:21" s="5" customFormat="1">
      <c r="A3341" s="179" t="s">
        <v>3880</v>
      </c>
      <c r="B3341" s="185" t="s">
        <v>7772</v>
      </c>
      <c r="C3341" s="35" t="str">
        <f t="shared" si="364"/>
        <v>Sabbath</v>
      </c>
      <c r="E3341" s="40"/>
      <c r="F3341" s="14"/>
      <c r="G3341" s="17"/>
      <c r="H3341" s="10" t="s">
        <v>8563</v>
      </c>
      <c r="I3341" s="4" t="str">
        <f t="shared" si="365"/>
        <v>|Sabba|</v>
      </c>
      <c r="J3341" s="3" t="str">
        <f t="shared" si="366"/>
        <v>|Sabbath|</v>
      </c>
      <c r="K3341" s="3" t="str">
        <f t="shared" si="367"/>
        <v>Sabbath</v>
      </c>
      <c r="N3341" s="39" t="str">
        <f t="shared" si="368"/>
        <v/>
      </c>
      <c r="P3341" s="39" t="str">
        <f t="shared" si="369"/>
        <v/>
      </c>
      <c r="R3341" s="39" t="str">
        <f t="shared" si="370"/>
        <v/>
      </c>
      <c r="S3341" s="28"/>
      <c r="T3341" s="28"/>
      <c r="U3341" s="28"/>
    </row>
    <row r="3342" spans="1:21" s="5" customFormat="1">
      <c r="A3342" s="179" t="s">
        <v>3881</v>
      </c>
      <c r="B3342" s="185" t="s">
        <v>7773</v>
      </c>
      <c r="C3342" s="35" t="str">
        <f t="shared" si="364"/>
        <v>Sabiqun</v>
      </c>
      <c r="E3342" s="40"/>
      <c r="F3342" s="15"/>
      <c r="G3342" s="17"/>
      <c r="H3342" s="10" t="s">
        <v>8563</v>
      </c>
      <c r="I3342" s="4" t="str">
        <f t="shared" si="365"/>
        <v>|Sábiqún|</v>
      </c>
      <c r="J3342" s="3" t="str">
        <f t="shared" si="366"/>
        <v>|Sabiqun|</v>
      </c>
      <c r="K3342" s="3" t="str">
        <f t="shared" si="367"/>
        <v>Sabiqun</v>
      </c>
      <c r="N3342" s="39" t="str">
        <f t="shared" si="368"/>
        <v/>
      </c>
      <c r="P3342" s="39" t="str">
        <f t="shared" si="369"/>
        <v/>
      </c>
      <c r="R3342" s="39" t="str">
        <f t="shared" si="370"/>
        <v/>
      </c>
      <c r="S3342" s="28"/>
      <c r="T3342" s="28"/>
      <c r="U3342" s="28"/>
    </row>
    <row r="3343" spans="1:21" s="5" customFormat="1">
      <c r="A3343" s="179" t="s">
        <v>3882</v>
      </c>
      <c r="B3343" s="185" t="s">
        <v>7774</v>
      </c>
      <c r="C3343" s="35" t="str">
        <f t="shared" si="364"/>
        <v>Sabiran</v>
      </c>
      <c r="E3343" s="40"/>
      <c r="F3343" s="15"/>
      <c r="G3343" s="17"/>
      <c r="H3343" s="10" t="s">
        <v>8563</v>
      </c>
      <c r="I3343" s="4" t="str">
        <f t="shared" si="365"/>
        <v>|Ṣábirán|</v>
      </c>
      <c r="J3343" s="3" t="str">
        <f t="shared" si="366"/>
        <v>|Sabiran|</v>
      </c>
      <c r="K3343" s="3" t="str">
        <f t="shared" si="367"/>
        <v>Sabiran</v>
      </c>
      <c r="N3343" s="39" t="str">
        <f t="shared" si="368"/>
        <v/>
      </c>
      <c r="P3343" s="39" t="str">
        <f t="shared" si="369"/>
        <v/>
      </c>
      <c r="R3343" s="39" t="str">
        <f t="shared" si="370"/>
        <v/>
      </c>
      <c r="S3343" s="28"/>
      <c r="T3343" s="28"/>
      <c r="U3343" s="28"/>
    </row>
    <row r="3344" spans="1:21" s="5" customFormat="1">
      <c r="A3344" s="179" t="s">
        <v>3883</v>
      </c>
      <c r="B3344" s="185" t="s">
        <v>7775</v>
      </c>
      <c r="C3344" s="35" t="str">
        <f t="shared" si="364"/>
        <v>Sabiri</v>
      </c>
      <c r="E3344" s="40"/>
      <c r="F3344" s="15"/>
      <c r="G3344" s="17"/>
      <c r="H3344" s="10" t="s">
        <v>8563</v>
      </c>
      <c r="I3344" s="4" t="str">
        <f t="shared" si="365"/>
        <v>|Ṣábirí|</v>
      </c>
      <c r="J3344" s="3" t="str">
        <f t="shared" si="366"/>
        <v>|Sabiri|</v>
      </c>
      <c r="K3344" s="3" t="str">
        <f t="shared" si="367"/>
        <v>Sabiri</v>
      </c>
      <c r="N3344" s="39" t="str">
        <f t="shared" si="368"/>
        <v/>
      </c>
      <c r="P3344" s="39" t="str">
        <f t="shared" si="369"/>
        <v/>
      </c>
      <c r="R3344" s="39" t="str">
        <f t="shared" si="370"/>
        <v/>
      </c>
      <c r="S3344" s="28"/>
      <c r="T3344" s="28"/>
      <c r="U3344" s="28"/>
    </row>
    <row r="3345" spans="1:21" s="5" customFormat="1">
      <c r="A3345" s="179" t="s">
        <v>3884</v>
      </c>
      <c r="B3345" s="185" t="s">
        <v>7776</v>
      </c>
      <c r="C3345" s="35" t="str">
        <f t="shared" si="364"/>
        <v>Sabiriyan</v>
      </c>
      <c r="E3345" s="40"/>
      <c r="F3345" s="15"/>
      <c r="G3345" s="17"/>
      <c r="H3345" s="10" t="s">
        <v>8563</v>
      </c>
      <c r="I3345" s="4" t="str">
        <f t="shared" si="365"/>
        <v>|Ṣábiríyán|</v>
      </c>
      <c r="J3345" s="3" t="str">
        <f t="shared" si="366"/>
        <v>|Sabiriyan|</v>
      </c>
      <c r="K3345" s="3" t="str">
        <f t="shared" si="367"/>
        <v>Sabiriyan</v>
      </c>
      <c r="N3345" s="39" t="str">
        <f t="shared" si="368"/>
        <v/>
      </c>
      <c r="P3345" s="39" t="str">
        <f t="shared" si="369"/>
        <v/>
      </c>
      <c r="R3345" s="39" t="str">
        <f t="shared" si="370"/>
        <v/>
      </c>
      <c r="S3345" s="28"/>
      <c r="T3345" s="28"/>
      <c r="U3345" s="28"/>
    </row>
    <row r="3346" spans="1:21" s="5" customFormat="1">
      <c r="A3346" s="179" t="s">
        <v>3885</v>
      </c>
      <c r="B3346" s="185" t="s">
        <v>7777</v>
      </c>
      <c r="C3346" s="35" t="str">
        <f t="shared" si="364"/>
        <v>Sabr</v>
      </c>
      <c r="E3346" s="40"/>
      <c r="F3346" s="15" t="s">
        <v>3886</v>
      </c>
      <c r="G3346" s="17"/>
      <c r="H3346" s="10" t="s">
        <v>8563</v>
      </c>
      <c r="I3346" s="4" t="str">
        <f t="shared" si="365"/>
        <v>|Ṣabr|</v>
      </c>
      <c r="J3346" s="3" t="str">
        <f t="shared" si="366"/>
        <v>|Sabr|</v>
      </c>
      <c r="K3346" s="3" t="str">
        <f t="shared" si="367"/>
        <v>Sabr</v>
      </c>
      <c r="N3346" s="39" t="str">
        <f t="shared" si="368"/>
        <v/>
      </c>
      <c r="P3346" s="39" t="str">
        <f t="shared" si="369"/>
        <v/>
      </c>
      <c r="R3346" s="39" t="str">
        <f t="shared" si="370"/>
        <v/>
      </c>
      <c r="S3346" s="28"/>
      <c r="T3346" s="28"/>
      <c r="U3346" s="28"/>
    </row>
    <row r="3347" spans="1:21" s="5" customFormat="1">
      <c r="A3347" s="179" t="s">
        <v>3887</v>
      </c>
      <c r="B3347" s="185" t="s">
        <v>7778</v>
      </c>
      <c r="C3347" s="35" t="str">
        <f t="shared" si="364"/>
        <v>Sabri</v>
      </c>
      <c r="E3347" s="40"/>
      <c r="F3347" s="15"/>
      <c r="G3347" s="17"/>
      <c r="H3347" s="10" t="s">
        <v>8563</v>
      </c>
      <c r="I3347" s="4" t="str">
        <f t="shared" si="365"/>
        <v>|Ṣabrí|</v>
      </c>
      <c r="J3347" s="3" t="str">
        <f t="shared" si="366"/>
        <v>|Sabri|</v>
      </c>
      <c r="K3347" s="3" t="str">
        <f t="shared" si="367"/>
        <v>Sabri</v>
      </c>
      <c r="N3347" s="39" t="str">
        <f t="shared" si="368"/>
        <v/>
      </c>
      <c r="P3347" s="39" t="str">
        <f t="shared" si="369"/>
        <v/>
      </c>
      <c r="R3347" s="39" t="str">
        <f t="shared" si="370"/>
        <v/>
      </c>
      <c r="S3347" s="28"/>
      <c r="T3347" s="28"/>
      <c r="U3347" s="28"/>
    </row>
    <row r="3348" spans="1:21" s="5" customFormat="1">
      <c r="A3348" s="179" t="s">
        <v>3888</v>
      </c>
      <c r="B3348" s="185" t="s">
        <v>7779</v>
      </c>
      <c r="C3348" s="35" t="str">
        <f t="shared" si="364"/>
        <v>Sabuktakin</v>
      </c>
      <c r="E3348" s="40"/>
      <c r="F3348" s="15"/>
      <c r="G3348" s="17"/>
      <c r="H3348" s="10" t="s">
        <v>8563</v>
      </c>
      <c r="I3348" s="4" t="str">
        <f t="shared" si="365"/>
        <v>|Sabuktakín|</v>
      </c>
      <c r="J3348" s="3" t="str">
        <f t="shared" si="366"/>
        <v>|Sabuktakin|</v>
      </c>
      <c r="K3348" s="3" t="str">
        <f t="shared" si="367"/>
        <v>Sabuktakin</v>
      </c>
      <c r="N3348" s="39" t="str">
        <f t="shared" si="368"/>
        <v/>
      </c>
      <c r="P3348" s="39" t="str">
        <f t="shared" si="369"/>
        <v/>
      </c>
      <c r="R3348" s="39" t="str">
        <f t="shared" si="370"/>
        <v/>
      </c>
      <c r="S3348" s="28"/>
      <c r="T3348" s="28"/>
      <c r="U3348" s="28"/>
    </row>
    <row r="3349" spans="1:21" s="5" customFormat="1">
      <c r="A3349" s="179" t="s">
        <v>3889</v>
      </c>
      <c r="B3349" s="185" t="s">
        <v>7780</v>
      </c>
      <c r="C3349" s="35" t="str">
        <f t="shared" si="364"/>
        <v>SabzihMaydan</v>
      </c>
      <c r="E3349" s="40"/>
      <c r="F3349" s="14"/>
      <c r="G3349" s="17"/>
      <c r="H3349" s="10" t="s">
        <v>8563</v>
      </c>
      <c r="I3349" s="4" t="str">
        <f t="shared" si="365"/>
        <v>|Sabzih-Maydán|</v>
      </c>
      <c r="J3349" s="3" t="str">
        <f t="shared" si="366"/>
        <v>|Sabzih-Maydan|</v>
      </c>
      <c r="K3349" s="3" t="str">
        <f t="shared" si="367"/>
        <v>Sabzih-Maydan</v>
      </c>
      <c r="N3349" s="39" t="str">
        <f t="shared" si="368"/>
        <v/>
      </c>
      <c r="P3349" s="39" t="str">
        <f t="shared" si="369"/>
        <v/>
      </c>
      <c r="R3349" s="39" t="str">
        <f t="shared" si="370"/>
        <v/>
      </c>
      <c r="S3349" s="28"/>
      <c r="T3349" s="28"/>
      <c r="U3349" s="28"/>
    </row>
    <row r="3350" spans="1:21" s="5" customFormat="1">
      <c r="A3350" s="179" t="s">
        <v>3890</v>
      </c>
      <c r="B3350" s="185" t="s">
        <v>7781</v>
      </c>
      <c r="C3350" s="35" t="str">
        <f t="shared" si="364"/>
        <v>Sabzivar</v>
      </c>
      <c r="E3350" s="40"/>
      <c r="F3350" s="14"/>
      <c r="G3350" s="17"/>
      <c r="H3350" s="10" t="s">
        <v>8563</v>
      </c>
      <c r="I3350" s="4" t="str">
        <f t="shared" si="365"/>
        <v>|Sabzivár|</v>
      </c>
      <c r="J3350" s="3" t="str">
        <f t="shared" si="366"/>
        <v>|Sabzivar|</v>
      </c>
      <c r="K3350" s="3" t="str">
        <f t="shared" si="367"/>
        <v>Sabzivar</v>
      </c>
      <c r="N3350" s="39" t="str">
        <f t="shared" si="368"/>
        <v/>
      </c>
      <c r="P3350" s="39" t="str">
        <f t="shared" si="369"/>
        <v/>
      </c>
      <c r="R3350" s="39" t="str">
        <f t="shared" si="370"/>
        <v/>
      </c>
      <c r="S3350" s="28"/>
      <c r="T3350" s="28"/>
      <c r="U3350" s="28"/>
    </row>
    <row r="3351" spans="1:21" s="5" customFormat="1">
      <c r="A3351" s="179" t="s">
        <v>3891</v>
      </c>
      <c r="B3351" s="185" t="s">
        <v>7782</v>
      </c>
      <c r="C3351" s="35" t="str">
        <f t="shared" si="364"/>
        <v>Sabzivari</v>
      </c>
      <c r="E3351" s="40"/>
      <c r="F3351" s="14"/>
      <c r="G3351" s="17"/>
      <c r="H3351" s="10" t="s">
        <v>8563</v>
      </c>
      <c r="I3351" s="4" t="str">
        <f t="shared" si="365"/>
        <v>|Sabzivarí|</v>
      </c>
      <c r="J3351" s="3" t="str">
        <f t="shared" si="366"/>
        <v>|Sabzivari|</v>
      </c>
      <c r="K3351" s="3" t="str">
        <f t="shared" si="367"/>
        <v>Sabzivari</v>
      </c>
      <c r="N3351" s="39" t="str">
        <f t="shared" si="368"/>
        <v/>
      </c>
      <c r="P3351" s="39" t="str">
        <f t="shared" si="369"/>
        <v/>
      </c>
      <c r="R3351" s="39" t="str">
        <f t="shared" si="370"/>
        <v/>
      </c>
      <c r="S3351" s="28"/>
      <c r="T3351" s="28"/>
      <c r="U3351" s="28"/>
    </row>
    <row r="3352" spans="1:21" s="5" customFormat="1">
      <c r="A3352" s="179" t="s">
        <v>3894</v>
      </c>
      <c r="B3352" s="185" t="s">
        <v>7784</v>
      </c>
      <c r="C3352" s="35" t="str">
        <f t="shared" si="364"/>
        <v>Sad</v>
      </c>
      <c r="E3352" s="40"/>
      <c r="F3352" s="15" t="s">
        <v>3895</v>
      </c>
      <c r="G3352" s="17"/>
      <c r="H3352" s="10" t="s">
        <v>8563</v>
      </c>
      <c r="I3352" s="4" t="str">
        <f t="shared" si="365"/>
        <v>|Saʿd|</v>
      </c>
      <c r="J3352" s="3" t="str">
        <f t="shared" si="366"/>
        <v>|Sa'd|</v>
      </c>
      <c r="K3352" s="3" t="str">
        <f t="shared" si="367"/>
        <v>Sad</v>
      </c>
      <c r="L3352" s="5" t="s">
        <v>9066</v>
      </c>
      <c r="N3352" s="39" t="str">
        <f t="shared" si="368"/>
        <v/>
      </c>
      <c r="P3352" s="39" t="str">
        <f t="shared" si="369"/>
        <v/>
      </c>
      <c r="R3352" s="39" t="str">
        <f t="shared" si="370"/>
        <v/>
      </c>
      <c r="S3352" s="28"/>
      <c r="T3352" s="28"/>
      <c r="U3352" s="28"/>
    </row>
    <row r="3353" spans="1:21" s="5" customFormat="1">
      <c r="A3353" s="179" t="s">
        <v>3892</v>
      </c>
      <c r="B3353" s="185" t="s">
        <v>7783</v>
      </c>
      <c r="C3353" s="35" t="str">
        <f t="shared" si="364"/>
        <v>Sad</v>
      </c>
      <c r="E3353" s="40"/>
      <c r="F3353" s="15" t="s">
        <v>3893</v>
      </c>
      <c r="G3353" s="17"/>
      <c r="H3353" s="10" t="s">
        <v>8563</v>
      </c>
      <c r="I3353" s="4" t="str">
        <f t="shared" si="365"/>
        <v>|Ṣád|</v>
      </c>
      <c r="J3353" s="3" t="str">
        <f t="shared" si="366"/>
        <v>|Sad|</v>
      </c>
      <c r="K3353" s="3" t="str">
        <f t="shared" si="367"/>
        <v>Sad</v>
      </c>
      <c r="L3353" s="5" t="s">
        <v>9066</v>
      </c>
      <c r="N3353" s="39" t="str">
        <f t="shared" si="368"/>
        <v/>
      </c>
      <c r="P3353" s="39" t="str">
        <f t="shared" si="369"/>
        <v/>
      </c>
      <c r="R3353" s="39" t="str">
        <f t="shared" si="370"/>
        <v/>
      </c>
      <c r="S3353" s="28"/>
      <c r="T3353" s="28"/>
      <c r="U3353" s="28"/>
    </row>
    <row r="3354" spans="1:21" s="5" customFormat="1">
      <c r="A3354" s="179" t="s">
        <v>3896</v>
      </c>
      <c r="B3354" s="185" t="s">
        <v>7785</v>
      </c>
      <c r="C3354" s="35" t="str">
        <f t="shared" si="364"/>
        <v>Sadat</v>
      </c>
      <c r="E3354" s="40"/>
      <c r="F3354" s="15"/>
      <c r="G3354" s="17"/>
      <c r="H3354" s="10" t="s">
        <v>8563</v>
      </c>
      <c r="I3354" s="4" t="str">
        <f t="shared" si="365"/>
        <v>|Sádát|</v>
      </c>
      <c r="J3354" s="3" t="str">
        <f t="shared" si="366"/>
        <v>|Sadat|</v>
      </c>
      <c r="K3354" s="3" t="str">
        <f t="shared" si="367"/>
        <v>Sadat</v>
      </c>
      <c r="N3354" s="39" t="str">
        <f t="shared" si="368"/>
        <v/>
      </c>
      <c r="P3354" s="39" t="str">
        <f t="shared" si="369"/>
        <v/>
      </c>
      <c r="R3354" s="39" t="str">
        <f t="shared" si="370"/>
        <v/>
      </c>
      <c r="S3354" s="28"/>
      <c r="T3354" s="28"/>
      <c r="U3354" s="28"/>
    </row>
    <row r="3355" spans="1:21" s="5" customFormat="1">
      <c r="A3355" s="179" t="s">
        <v>3897</v>
      </c>
      <c r="B3355" s="185" t="s">
        <v>7786</v>
      </c>
      <c r="C3355" s="35" t="str">
        <f t="shared" si="364"/>
        <v>SadatiKhamsi</v>
      </c>
      <c r="E3355" s="40"/>
      <c r="F3355" s="15" t="s">
        <v>3898</v>
      </c>
      <c r="G3355" s="17"/>
      <c r="H3355" s="10" t="s">
        <v>8563</v>
      </c>
      <c r="I3355" s="4" t="str">
        <f t="shared" si="365"/>
        <v>|Sádát-i-amsí|</v>
      </c>
      <c r="J3355" s="3" t="str">
        <f t="shared" si="366"/>
        <v>|Sadat-i-Khamsi|</v>
      </c>
      <c r="K3355" s="3" t="str">
        <f t="shared" si="367"/>
        <v>Sadat-i-Khamsi</v>
      </c>
      <c r="N3355" s="39" t="str">
        <f t="shared" si="368"/>
        <v/>
      </c>
      <c r="P3355" s="39" t="str">
        <f t="shared" si="369"/>
        <v/>
      </c>
      <c r="R3355" s="39" t="str">
        <f t="shared" si="370"/>
        <v/>
      </c>
      <c r="S3355" s="28"/>
      <c r="T3355" s="28"/>
      <c r="U3355" s="28"/>
    </row>
    <row r="3356" spans="1:21" s="5" customFormat="1">
      <c r="A3356" s="179" t="s">
        <v>3899</v>
      </c>
      <c r="B3356" s="185" t="s">
        <v>7787</v>
      </c>
      <c r="C3356" s="35" t="str">
        <f t="shared" si="364"/>
        <v>Saddam</v>
      </c>
      <c r="E3356" s="40"/>
      <c r="F3356" s="15"/>
      <c r="G3356" s="17"/>
      <c r="H3356" s="10" t="s">
        <v>8563</v>
      </c>
      <c r="I3356" s="4" t="str">
        <f t="shared" si="365"/>
        <v>|Ṣaddám|</v>
      </c>
      <c r="J3356" s="3" t="str">
        <f t="shared" si="366"/>
        <v>|Saddam|</v>
      </c>
      <c r="K3356" s="3" t="str">
        <f t="shared" si="367"/>
        <v>Saddam</v>
      </c>
      <c r="N3356" s="39" t="str">
        <f t="shared" si="368"/>
        <v/>
      </c>
      <c r="P3356" s="39" t="str">
        <f t="shared" si="369"/>
        <v/>
      </c>
      <c r="R3356" s="39" t="str">
        <f t="shared" si="370"/>
        <v/>
      </c>
      <c r="S3356" s="28"/>
      <c r="T3356" s="28"/>
      <c r="U3356" s="28"/>
    </row>
    <row r="3357" spans="1:21" s="5" customFormat="1">
      <c r="A3357" s="179" t="s">
        <v>3900</v>
      </c>
      <c r="B3357" s="185" t="s">
        <v>7788</v>
      </c>
      <c r="C3357" s="35" t="str">
        <f t="shared" si="364"/>
        <v>Sadi</v>
      </c>
      <c r="E3357" s="40"/>
      <c r="F3357" s="15"/>
      <c r="G3357" s="17"/>
      <c r="H3357" s="10" t="s">
        <v>8563</v>
      </c>
      <c r="I3357" s="4" t="str">
        <f t="shared" si="365"/>
        <v>|Saʿdí|</v>
      </c>
      <c r="J3357" s="3" t="str">
        <f t="shared" si="366"/>
        <v>|Sa'di|</v>
      </c>
      <c r="K3357" s="3" t="str">
        <f t="shared" si="367"/>
        <v>Sadi</v>
      </c>
      <c r="N3357" s="39" t="str">
        <f t="shared" si="368"/>
        <v/>
      </c>
      <c r="P3357" s="39" t="str">
        <f t="shared" si="369"/>
        <v/>
      </c>
      <c r="R3357" s="39" t="str">
        <f t="shared" si="370"/>
        <v/>
      </c>
      <c r="S3357" s="28"/>
      <c r="T3357" s="28"/>
      <c r="U3357" s="28"/>
    </row>
    <row r="3358" spans="1:21" s="5" customFormat="1">
      <c r="A3358" s="179" t="s">
        <v>3901</v>
      </c>
      <c r="B3358" s="185" t="s">
        <v>7789</v>
      </c>
      <c r="C3358" s="35" t="str">
        <f t="shared" si="364"/>
        <v>Sadih</v>
      </c>
      <c r="E3358" s="40"/>
      <c r="F3358" s="15"/>
      <c r="G3358" s="17"/>
      <c r="H3358" s="10" t="s">
        <v>8563</v>
      </c>
      <c r="I3358" s="4" t="str">
        <f t="shared" si="365"/>
        <v>|Sádih|</v>
      </c>
      <c r="J3358" s="3" t="str">
        <f t="shared" si="366"/>
        <v>|Sadih|</v>
      </c>
      <c r="K3358" s="3" t="str">
        <f t="shared" si="367"/>
        <v>Sadih</v>
      </c>
      <c r="N3358" s="39" t="str">
        <f t="shared" si="368"/>
        <v/>
      </c>
      <c r="P3358" s="39" t="str">
        <f t="shared" si="369"/>
        <v/>
      </c>
      <c r="R3358" s="39" t="str">
        <f t="shared" si="370"/>
        <v/>
      </c>
      <c r="S3358" s="28"/>
      <c r="T3358" s="28"/>
      <c r="U3358" s="28"/>
    </row>
    <row r="3359" spans="1:21" s="5" customFormat="1">
      <c r="A3359" s="179" t="s">
        <v>3902</v>
      </c>
      <c r="B3359" s="185" t="s">
        <v>7790</v>
      </c>
      <c r="C3359" s="35" t="str">
        <f t="shared" si="364"/>
        <v>SadiIsfahani</v>
      </c>
      <c r="E3359" s="40"/>
      <c r="F3359" s="15"/>
      <c r="G3359" s="17"/>
      <c r="H3359" s="10" t="s">
        <v>8563</v>
      </c>
      <c r="I3359" s="4" t="str">
        <f t="shared" si="365"/>
        <v>|Ṣád-i-Iṣfahání|</v>
      </c>
      <c r="J3359" s="3" t="str">
        <f t="shared" si="366"/>
        <v>|Sad-i-Isfahani|</v>
      </c>
      <c r="K3359" s="3" t="str">
        <f t="shared" si="367"/>
        <v>Sad-i-Isfahani</v>
      </c>
      <c r="N3359" s="39" t="str">
        <f t="shared" si="368"/>
        <v/>
      </c>
      <c r="P3359" s="39" t="str">
        <f t="shared" si="369"/>
        <v/>
      </c>
      <c r="R3359" s="39" t="str">
        <f t="shared" si="370"/>
        <v/>
      </c>
      <c r="S3359" s="28"/>
      <c r="T3359" s="28"/>
      <c r="U3359" s="28"/>
    </row>
    <row r="3360" spans="1:21" s="5" customFormat="1">
      <c r="A3360" s="179" t="s">
        <v>3903</v>
      </c>
      <c r="B3360" s="185" t="s">
        <v>7791</v>
      </c>
      <c r="C3360" s="35" t="str">
        <f t="shared" si="364"/>
        <v>SadiMaadh</v>
      </c>
      <c r="E3360" s="40"/>
      <c r="F3360" s="15" t="s">
        <v>3904</v>
      </c>
      <c r="G3360" s="17"/>
      <c r="H3360" s="10" t="s">
        <v>8563</v>
      </c>
      <c r="I3360" s="4" t="str">
        <f t="shared" si="365"/>
        <v>|Saʿd-i-Maʿá|</v>
      </c>
      <c r="J3360" s="3" t="str">
        <f t="shared" si="366"/>
        <v>|Sa'd-i-Ma'adh|</v>
      </c>
      <c r="K3360" s="3" t="str">
        <f t="shared" si="367"/>
        <v>Sad-i-Maadh</v>
      </c>
      <c r="N3360" s="39" t="str">
        <f t="shared" si="368"/>
        <v/>
      </c>
      <c r="P3360" s="39" t="str">
        <f t="shared" si="369"/>
        <v/>
      </c>
      <c r="R3360" s="39" t="str">
        <f t="shared" si="370"/>
        <v/>
      </c>
      <c r="S3360" s="28"/>
      <c r="T3360" s="28"/>
      <c r="U3360" s="28"/>
    </row>
    <row r="3361" spans="1:21" s="5" customFormat="1">
      <c r="A3361" s="179" t="s">
        <v>3905</v>
      </c>
      <c r="B3361" s="185" t="s">
        <v>7792</v>
      </c>
      <c r="C3361" s="35" t="str">
        <f t="shared" si="364"/>
        <v>Sadiq</v>
      </c>
      <c r="E3361" s="40"/>
      <c r="F3361" s="14"/>
      <c r="G3361" s="17"/>
      <c r="H3361" s="10" t="s">
        <v>8563</v>
      </c>
      <c r="I3361" s="4" t="str">
        <f t="shared" si="365"/>
        <v>|Ṣádiq|</v>
      </c>
      <c r="J3361" s="3" t="str">
        <f t="shared" si="366"/>
        <v>|Sadiq|</v>
      </c>
      <c r="K3361" s="3" t="str">
        <f t="shared" si="367"/>
        <v>Sadiq</v>
      </c>
      <c r="N3361" s="39" t="str">
        <f t="shared" si="368"/>
        <v/>
      </c>
      <c r="P3361" s="39" t="str">
        <f t="shared" si="369"/>
        <v/>
      </c>
      <c r="R3361" s="39" t="str">
        <f t="shared" si="370"/>
        <v/>
      </c>
      <c r="S3361" s="28"/>
      <c r="T3361" s="28"/>
      <c r="U3361" s="28"/>
    </row>
    <row r="3362" spans="1:21" s="5" customFormat="1">
      <c r="A3362" s="179" t="s">
        <v>3906</v>
      </c>
      <c r="B3362" s="185" t="s">
        <v>7793</v>
      </c>
      <c r="C3362" s="35" t="str">
        <f t="shared" si="364"/>
        <v>Sadiqi</v>
      </c>
      <c r="E3362" s="40"/>
      <c r="F3362" s="15"/>
      <c r="G3362" s="17"/>
      <c r="H3362" s="10" t="s">
        <v>8563</v>
      </c>
      <c r="I3362" s="4" t="str">
        <f t="shared" si="365"/>
        <v>|Ṣádiqí|</v>
      </c>
      <c r="J3362" s="3" t="str">
        <f t="shared" si="366"/>
        <v>|Sadiqi|</v>
      </c>
      <c r="K3362" s="3" t="str">
        <f t="shared" si="367"/>
        <v>Sadiqi</v>
      </c>
      <c r="N3362" s="39" t="str">
        <f t="shared" si="368"/>
        <v/>
      </c>
      <c r="P3362" s="39" t="str">
        <f t="shared" si="369"/>
        <v/>
      </c>
      <c r="R3362" s="39" t="str">
        <f t="shared" si="370"/>
        <v/>
      </c>
      <c r="S3362" s="28"/>
      <c r="T3362" s="28"/>
      <c r="U3362" s="28"/>
    </row>
    <row r="3363" spans="1:21" s="5" customFormat="1">
      <c r="A3363" s="179" t="s">
        <v>3907</v>
      </c>
      <c r="B3363" s="185" t="s">
        <v>7794</v>
      </c>
      <c r="C3363" s="35" t="str">
        <f t="shared" si="364"/>
        <v>SadiqiKhurasani</v>
      </c>
      <c r="E3363" s="40"/>
      <c r="F3363" s="14"/>
      <c r="G3363" s="17"/>
      <c r="H3363" s="10" t="s">
        <v>8563</v>
      </c>
      <c r="I3363" s="4" t="str">
        <f t="shared" si="365"/>
        <v>|Ṣádiq-i-urásání|</v>
      </c>
      <c r="J3363" s="3" t="str">
        <f t="shared" si="366"/>
        <v>|Sadiq-i-Khurasani|</v>
      </c>
      <c r="K3363" s="3" t="str">
        <f t="shared" si="367"/>
        <v>Sadiq-i-Khurasani</v>
      </c>
      <c r="N3363" s="39" t="str">
        <f t="shared" si="368"/>
        <v/>
      </c>
      <c r="P3363" s="39" t="str">
        <f t="shared" si="369"/>
        <v/>
      </c>
      <c r="R3363" s="39" t="str">
        <f t="shared" si="370"/>
        <v/>
      </c>
      <c r="S3363" s="28"/>
      <c r="T3363" s="28"/>
      <c r="U3363" s="28"/>
    </row>
    <row r="3364" spans="1:21" s="5" customFormat="1">
      <c r="A3364" s="179" t="s">
        <v>3908</v>
      </c>
      <c r="B3364" s="185" t="s">
        <v>7795</v>
      </c>
      <c r="C3364" s="35" t="str">
        <f t="shared" si="364"/>
        <v>SadiqiMuqaddas</v>
      </c>
      <c r="E3364" s="40"/>
      <c r="F3364" s="14"/>
      <c r="G3364" s="17"/>
      <c r="H3364" s="10" t="s">
        <v>8563</v>
      </c>
      <c r="I3364" s="4" t="str">
        <f t="shared" si="365"/>
        <v>|Ṣádiq-i-Muqaddas|</v>
      </c>
      <c r="J3364" s="3" t="str">
        <f t="shared" si="366"/>
        <v>|Sadiq-i-Muqaddas|</v>
      </c>
      <c r="K3364" s="3" t="str">
        <f t="shared" si="367"/>
        <v>Sadiq-i-Muqaddas</v>
      </c>
      <c r="N3364" s="39" t="str">
        <f t="shared" si="368"/>
        <v/>
      </c>
      <c r="P3364" s="39" t="str">
        <f t="shared" si="369"/>
        <v/>
      </c>
      <c r="R3364" s="39" t="str">
        <f t="shared" si="370"/>
        <v/>
      </c>
      <c r="S3364" s="28"/>
      <c r="T3364" s="28"/>
      <c r="U3364" s="28"/>
    </row>
    <row r="3365" spans="1:21" s="5" customFormat="1">
      <c r="A3365" s="179" t="s">
        <v>3909</v>
      </c>
      <c r="B3365" s="185" t="s">
        <v>7796</v>
      </c>
      <c r="C3365" s="35" t="str">
        <f t="shared" si="364"/>
        <v>SadiqiTabatabai</v>
      </c>
      <c r="E3365" s="40"/>
      <c r="F3365" s="15"/>
      <c r="G3365" s="17"/>
      <c r="H3365" s="10" t="s">
        <v>8563</v>
      </c>
      <c r="I3365" s="4" t="str">
        <f t="shared" si="365"/>
        <v>|Ṣádiq-i-Ṭabáṭabá’í|</v>
      </c>
      <c r="J3365" s="3" t="str">
        <f t="shared" si="366"/>
        <v>|Sadiq-i-Tabataba'i|</v>
      </c>
      <c r="K3365" s="3" t="str">
        <f t="shared" si="367"/>
        <v>Sadiq-i-Tabatabai</v>
      </c>
      <c r="N3365" s="39" t="str">
        <f t="shared" si="368"/>
        <v/>
      </c>
      <c r="P3365" s="39" t="str">
        <f t="shared" si="369"/>
        <v/>
      </c>
      <c r="R3365" s="39" t="str">
        <f t="shared" si="370"/>
        <v/>
      </c>
      <c r="S3365" s="28"/>
      <c r="T3365" s="28"/>
      <c r="U3365" s="28"/>
    </row>
    <row r="3366" spans="1:21" s="5" customFormat="1">
      <c r="A3366" s="179" t="s">
        <v>3910</v>
      </c>
      <c r="B3366" s="185" t="s">
        <v>7797</v>
      </c>
      <c r="C3366" s="35" t="str">
        <f t="shared" si="364"/>
        <v>SadiqiTabrizi</v>
      </c>
      <c r="E3366" s="40"/>
      <c r="F3366" s="14"/>
      <c r="G3366" s="17"/>
      <c r="H3366" s="10" t="s">
        <v>8563</v>
      </c>
      <c r="I3366" s="4" t="str">
        <f t="shared" si="365"/>
        <v>|Ṣádiq-i-Tabrízí|</v>
      </c>
      <c r="J3366" s="3" t="str">
        <f t="shared" si="366"/>
        <v>|Sadiq-i-Tabrizi|</v>
      </c>
      <c r="K3366" s="3" t="str">
        <f t="shared" si="367"/>
        <v>Sadiq-i-Tabrizi</v>
      </c>
      <c r="N3366" s="39" t="str">
        <f t="shared" si="368"/>
        <v/>
      </c>
      <c r="P3366" s="39" t="str">
        <f t="shared" si="369"/>
        <v/>
      </c>
      <c r="R3366" s="39" t="str">
        <f t="shared" si="370"/>
        <v/>
      </c>
      <c r="S3366" s="28"/>
      <c r="T3366" s="28"/>
      <c r="U3366" s="28"/>
    </row>
    <row r="3367" spans="1:21" s="5" customFormat="1">
      <c r="A3367" s="179" t="s">
        <v>3911</v>
      </c>
      <c r="B3367" s="185" t="s">
        <v>7798</v>
      </c>
      <c r="C3367" s="35" t="str">
        <f t="shared" si="364"/>
        <v>SadiqiYazdi</v>
      </c>
      <c r="E3367" s="40"/>
      <c r="F3367" s="14"/>
      <c r="G3367" s="17"/>
      <c r="H3367" s="10" t="s">
        <v>8563</v>
      </c>
      <c r="I3367" s="4" t="str">
        <f t="shared" si="365"/>
        <v>|Ṣádiq-i-Yazdí|</v>
      </c>
      <c r="J3367" s="3" t="str">
        <f t="shared" si="366"/>
        <v>|Sadiq-i-Yazdi|</v>
      </c>
      <c r="K3367" s="3" t="str">
        <f t="shared" si="367"/>
        <v>Sadiq-i-Yazdi</v>
      </c>
      <c r="N3367" s="39" t="str">
        <f t="shared" si="368"/>
        <v/>
      </c>
      <c r="P3367" s="39" t="str">
        <f t="shared" si="369"/>
        <v/>
      </c>
      <c r="R3367" s="39" t="str">
        <f t="shared" si="370"/>
        <v/>
      </c>
      <c r="S3367" s="28"/>
      <c r="T3367" s="28"/>
      <c r="U3367" s="28"/>
    </row>
    <row r="3368" spans="1:21" s="5" customFormat="1">
      <c r="A3368" s="179" t="s">
        <v>3912</v>
      </c>
      <c r="B3368" s="185" t="s">
        <v>7799</v>
      </c>
      <c r="C3368" s="35" t="str">
        <f t="shared" si="364"/>
        <v>Sadiqpur</v>
      </c>
      <c r="E3368" s="40"/>
      <c r="F3368" s="15"/>
      <c r="G3368" s="17"/>
      <c r="H3368" s="10" t="s">
        <v>8563</v>
      </c>
      <c r="I3368" s="4" t="str">
        <f t="shared" si="365"/>
        <v>|Ṣádiqpúr|</v>
      </c>
      <c r="J3368" s="3" t="str">
        <f t="shared" si="366"/>
        <v>|Sadiqpur|</v>
      </c>
      <c r="K3368" s="3" t="str">
        <f t="shared" si="367"/>
        <v>Sadiqpur</v>
      </c>
      <c r="N3368" s="39" t="str">
        <f t="shared" si="368"/>
        <v/>
      </c>
      <c r="P3368" s="39" t="str">
        <f t="shared" si="369"/>
        <v/>
      </c>
      <c r="R3368" s="39" t="str">
        <f t="shared" si="370"/>
        <v/>
      </c>
      <c r="S3368" s="28"/>
      <c r="T3368" s="28"/>
      <c r="U3368" s="28"/>
    </row>
    <row r="3369" spans="1:21" s="5" customFormat="1">
      <c r="A3369" s="179" t="s">
        <v>3913</v>
      </c>
      <c r="B3369" s="185" t="s">
        <v>7800</v>
      </c>
      <c r="C3369" s="35" t="str">
        <f t="shared" si="364"/>
        <v>Sadiqzadih</v>
      </c>
      <c r="E3369" s="40"/>
      <c r="F3369" s="15"/>
      <c r="G3369" s="17"/>
      <c r="H3369" s="10" t="s">
        <v>8563</v>
      </c>
      <c r="I3369" s="4" t="str">
        <f t="shared" si="365"/>
        <v>|Ṣádiqzádih|</v>
      </c>
      <c r="J3369" s="3" t="str">
        <f t="shared" si="366"/>
        <v>|Sadiqzadih|</v>
      </c>
      <c r="K3369" s="3" t="str">
        <f t="shared" si="367"/>
        <v>Sadiqzadih</v>
      </c>
      <c r="N3369" s="39" t="str">
        <f t="shared" si="368"/>
        <v/>
      </c>
      <c r="P3369" s="39" t="str">
        <f t="shared" si="369"/>
        <v/>
      </c>
      <c r="R3369" s="39" t="str">
        <f t="shared" si="370"/>
        <v/>
      </c>
      <c r="S3369" s="28"/>
      <c r="T3369" s="28"/>
      <c r="U3369" s="28"/>
    </row>
    <row r="3370" spans="1:21" s="5" customFormat="1">
      <c r="A3370" s="179" t="s">
        <v>3914</v>
      </c>
      <c r="B3370" s="185" t="s">
        <v>7801</v>
      </c>
      <c r="C3370" s="35" t="str">
        <f t="shared" si="364"/>
        <v>Sadr</v>
      </c>
      <c r="E3370" s="40"/>
      <c r="F3370" s="15"/>
      <c r="G3370" s="17"/>
      <c r="H3370" s="10" t="s">
        <v>8563</v>
      </c>
      <c r="I3370" s="4" t="str">
        <f t="shared" si="365"/>
        <v>|Ṣadr|</v>
      </c>
      <c r="J3370" s="3" t="str">
        <f t="shared" si="366"/>
        <v>|Sadr|</v>
      </c>
      <c r="K3370" s="3" t="str">
        <f t="shared" si="367"/>
        <v>Sadr</v>
      </c>
      <c r="N3370" s="39" t="str">
        <f t="shared" si="368"/>
        <v/>
      </c>
      <c r="P3370" s="39" t="str">
        <f t="shared" si="369"/>
        <v/>
      </c>
      <c r="R3370" s="39" t="str">
        <f t="shared" si="370"/>
        <v/>
      </c>
      <c r="S3370" s="28"/>
      <c r="T3370" s="28"/>
      <c r="U3370" s="28"/>
    </row>
    <row r="3371" spans="1:21" s="5" customFormat="1">
      <c r="A3371" s="179" t="s">
        <v>3915</v>
      </c>
      <c r="B3371" s="185" t="s">
        <v>7802</v>
      </c>
      <c r="C3371" s="35" t="str">
        <f t="shared" si="364"/>
        <v>Sadra</v>
      </c>
      <c r="E3371" s="40"/>
      <c r="F3371" s="15"/>
      <c r="G3371" s="17"/>
      <c r="H3371" s="10" t="s">
        <v>8563</v>
      </c>
      <c r="I3371" s="4" t="str">
        <f t="shared" si="365"/>
        <v>|Ṣadrá|</v>
      </c>
      <c r="J3371" s="3" t="str">
        <f t="shared" si="366"/>
        <v>|Sadra|</v>
      </c>
      <c r="K3371" s="3" t="str">
        <f t="shared" si="367"/>
        <v>Sadra</v>
      </c>
      <c r="N3371" s="39" t="str">
        <f t="shared" si="368"/>
        <v/>
      </c>
      <c r="P3371" s="39" t="str">
        <f t="shared" si="369"/>
        <v/>
      </c>
      <c r="R3371" s="39" t="str">
        <f t="shared" si="370"/>
        <v/>
      </c>
      <c r="S3371" s="28"/>
      <c r="T3371" s="28"/>
      <c r="U3371" s="28"/>
    </row>
    <row r="3372" spans="1:21" s="5" customFormat="1">
      <c r="A3372" s="179" t="s">
        <v>3916</v>
      </c>
      <c r="B3372" s="185" t="s">
        <v>7803</v>
      </c>
      <c r="C3372" s="35" t="str">
        <f t="shared" si="364"/>
        <v>Sadrah</v>
      </c>
      <c r="E3372" s="40"/>
      <c r="F3372" s="14"/>
      <c r="G3372" s="17"/>
      <c r="H3372" s="10" t="s">
        <v>8563</v>
      </c>
      <c r="I3372" s="4" t="str">
        <f t="shared" si="365"/>
        <v>|Ṣadráh|</v>
      </c>
      <c r="J3372" s="3" t="str">
        <f t="shared" si="366"/>
        <v>|Sadrah|</v>
      </c>
      <c r="K3372" s="3" t="str">
        <f t="shared" si="367"/>
        <v>Sadrah</v>
      </c>
      <c r="N3372" s="39" t="str">
        <f t="shared" si="368"/>
        <v/>
      </c>
      <c r="P3372" s="39" t="str">
        <f t="shared" si="369"/>
        <v/>
      </c>
      <c r="R3372" s="39" t="str">
        <f t="shared" si="370"/>
        <v/>
      </c>
      <c r="S3372" s="28"/>
      <c r="T3372" s="28"/>
      <c r="U3372" s="28"/>
    </row>
    <row r="3373" spans="1:21" s="5" customFormat="1">
      <c r="A3373" s="179" t="s">
        <v>3917</v>
      </c>
      <c r="B3373" s="185" t="s">
        <v>7804</v>
      </c>
      <c r="C3373" s="35" t="str">
        <f t="shared" si="364"/>
        <v>Sadrat</v>
      </c>
      <c r="E3373" s="40"/>
      <c r="F3373" s="14"/>
      <c r="G3373" s="17"/>
      <c r="H3373" s="10" t="s">
        <v>8563</v>
      </c>
      <c r="I3373" s="4" t="str">
        <f t="shared" si="365"/>
        <v>|Sadrat|</v>
      </c>
      <c r="J3373" s="3" t="str">
        <f t="shared" si="366"/>
        <v>|Sadrat|</v>
      </c>
      <c r="K3373" s="3" t="str">
        <f t="shared" si="367"/>
        <v>Sadrat</v>
      </c>
      <c r="N3373" s="39" t="str">
        <f t="shared" si="368"/>
        <v/>
      </c>
      <c r="P3373" s="39" t="str">
        <f t="shared" si="369"/>
        <v/>
      </c>
      <c r="R3373" s="39" t="str">
        <f t="shared" si="370"/>
        <v/>
      </c>
      <c r="S3373" s="28"/>
      <c r="T3373" s="28"/>
      <c r="U3373" s="28"/>
    </row>
    <row r="3374" spans="1:21" s="5" customFormat="1">
      <c r="A3374" s="179" t="s">
        <v>3918</v>
      </c>
      <c r="B3374" s="185" t="s">
        <v>7805</v>
      </c>
      <c r="C3374" s="35" t="str">
        <f t="shared" si="364"/>
        <v>SadratulMuntaha</v>
      </c>
      <c r="E3374" s="40"/>
      <c r="F3374" s="14" t="s">
        <v>3919</v>
      </c>
      <c r="G3374" s="17"/>
      <c r="H3374" s="10" t="s">
        <v>8563</v>
      </c>
      <c r="I3374" s="4" t="str">
        <f t="shared" si="365"/>
        <v>|Sadratu’l-Muntahá|</v>
      </c>
      <c r="J3374" s="3" t="str">
        <f t="shared" si="366"/>
        <v>|Sadratu'l-Muntaha|</v>
      </c>
      <c r="K3374" s="3" t="str">
        <f t="shared" si="367"/>
        <v>Sadratul-Muntaha</v>
      </c>
      <c r="N3374" s="39" t="str">
        <f t="shared" si="368"/>
        <v/>
      </c>
      <c r="P3374" s="39" t="str">
        <f t="shared" si="369"/>
        <v/>
      </c>
      <c r="R3374" s="39" t="str">
        <f t="shared" si="370"/>
        <v/>
      </c>
      <c r="S3374" s="28"/>
      <c r="T3374" s="28"/>
      <c r="U3374" s="28"/>
    </row>
    <row r="3375" spans="1:21" s="5" customFormat="1">
      <c r="A3375" s="179" t="s">
        <v>3920</v>
      </c>
      <c r="B3375" s="185" t="s">
        <v>7806</v>
      </c>
      <c r="C3375" s="35" t="str">
        <f t="shared" si="364"/>
        <v>Sadri</v>
      </c>
      <c r="E3375" s="40"/>
      <c r="F3375" s="14"/>
      <c r="G3375" s="17"/>
      <c r="H3375" s="10" t="s">
        <v>8563</v>
      </c>
      <c r="I3375" s="4" t="str">
        <f t="shared" si="365"/>
        <v>|Ṣadrí|</v>
      </c>
      <c r="J3375" s="3" t="str">
        <f t="shared" si="366"/>
        <v>|Sadri|</v>
      </c>
      <c r="K3375" s="3" t="str">
        <f t="shared" si="367"/>
        <v>Sadri</v>
      </c>
      <c r="N3375" s="39" t="str">
        <f t="shared" si="368"/>
        <v/>
      </c>
      <c r="P3375" s="39" t="str">
        <f t="shared" si="369"/>
        <v/>
      </c>
      <c r="R3375" s="39" t="str">
        <f t="shared" si="370"/>
        <v/>
      </c>
      <c r="S3375" s="28"/>
      <c r="T3375" s="28"/>
      <c r="U3375" s="28"/>
    </row>
    <row r="3376" spans="1:21" s="5" customFormat="1">
      <c r="A3376" s="179" t="s">
        <v>3921</v>
      </c>
      <c r="B3376" s="185" t="s">
        <v>7807</v>
      </c>
      <c r="C3376" s="35" t="str">
        <f t="shared" si="364"/>
        <v>SadriArdibili</v>
      </c>
      <c r="E3376" s="40"/>
      <c r="F3376" s="15"/>
      <c r="G3376" s="17"/>
      <c r="H3376" s="10" t="s">
        <v>8563</v>
      </c>
      <c r="I3376" s="4" t="str">
        <f t="shared" si="365"/>
        <v>|Ṣadr-i-Ardibílí|</v>
      </c>
      <c r="J3376" s="3" t="str">
        <f t="shared" si="366"/>
        <v>|Sadr-i-Ardibili|</v>
      </c>
      <c r="K3376" s="3" t="str">
        <f t="shared" si="367"/>
        <v>Sadr-i-Ardibili</v>
      </c>
      <c r="N3376" s="39" t="str">
        <f t="shared" si="368"/>
        <v/>
      </c>
      <c r="P3376" s="39" t="str">
        <f t="shared" si="369"/>
        <v/>
      </c>
      <c r="R3376" s="39" t="str">
        <f t="shared" si="370"/>
        <v/>
      </c>
      <c r="S3376" s="28"/>
      <c r="T3376" s="28"/>
      <c r="U3376" s="28"/>
    </row>
    <row r="3377" spans="1:21" s="5" customFormat="1">
      <c r="A3377" s="179" t="s">
        <v>3922</v>
      </c>
      <c r="B3377" s="185" t="s">
        <v>7808</v>
      </c>
      <c r="C3377" s="35" t="str">
        <f t="shared" si="364"/>
        <v>SadriAzam</v>
      </c>
      <c r="E3377" s="40"/>
      <c r="F3377" s="14" t="s">
        <v>3923</v>
      </c>
      <c r="G3377" s="17"/>
      <c r="H3377" s="10" t="s">
        <v>8563</v>
      </c>
      <c r="I3377" s="4" t="str">
        <f t="shared" si="365"/>
        <v>|Ṣadr-i-Aʿẓam|</v>
      </c>
      <c r="J3377" s="3" t="str">
        <f t="shared" si="366"/>
        <v>|Sadr-i-A'zam|</v>
      </c>
      <c r="K3377" s="3" t="str">
        <f t="shared" si="367"/>
        <v>Sadr-i-Azam</v>
      </c>
      <c r="N3377" s="39" t="str">
        <f t="shared" si="368"/>
        <v/>
      </c>
      <c r="P3377" s="39" t="str">
        <f t="shared" si="369"/>
        <v/>
      </c>
      <c r="R3377" s="39" t="str">
        <f t="shared" si="370"/>
        <v/>
      </c>
      <c r="S3377" s="28"/>
      <c r="T3377" s="28"/>
      <c r="U3377" s="28"/>
    </row>
    <row r="3378" spans="1:21" s="5" customFormat="1">
      <c r="A3378" s="179" t="s">
        <v>3924</v>
      </c>
      <c r="B3378" s="185" t="s">
        <v>7809</v>
      </c>
      <c r="C3378" s="35" t="str">
        <f t="shared" si="364"/>
        <v>Sadrih</v>
      </c>
      <c r="E3378" s="40"/>
      <c r="F3378" s="14"/>
      <c r="G3378" s="17"/>
      <c r="H3378" s="10" t="s">
        <v>8563</v>
      </c>
      <c r="I3378" s="4" t="str">
        <f t="shared" si="365"/>
        <v>|Sadrih|</v>
      </c>
      <c r="J3378" s="3" t="str">
        <f t="shared" si="366"/>
        <v>|Sadrih|</v>
      </c>
      <c r="K3378" s="3" t="str">
        <f t="shared" si="367"/>
        <v>Sadrih</v>
      </c>
      <c r="N3378" s="39" t="str">
        <f t="shared" si="368"/>
        <v/>
      </c>
      <c r="P3378" s="39" t="str">
        <f t="shared" si="369"/>
        <v/>
      </c>
      <c r="R3378" s="39" t="str">
        <f t="shared" si="370"/>
        <v/>
      </c>
      <c r="S3378" s="28"/>
      <c r="T3378" s="28"/>
      <c r="U3378" s="28"/>
    </row>
    <row r="3379" spans="1:21" s="5" customFormat="1">
      <c r="A3379" s="179" t="s">
        <v>3925</v>
      </c>
      <c r="B3379" s="185" t="s">
        <v>7810</v>
      </c>
      <c r="C3379" s="35" t="str">
        <f t="shared" si="364"/>
        <v>SadriUtaq</v>
      </c>
      <c r="E3379" s="40"/>
      <c r="F3379" s="15" t="s">
        <v>3926</v>
      </c>
      <c r="G3379" s="17"/>
      <c r="H3379" s="10" t="s">
        <v>8563</v>
      </c>
      <c r="I3379" s="4" t="str">
        <f t="shared" si="365"/>
        <v>|Ṣadr-i-Uṭáq|</v>
      </c>
      <c r="J3379" s="3" t="str">
        <f t="shared" si="366"/>
        <v>|Sadr-i-Utaq|</v>
      </c>
      <c r="K3379" s="3" t="str">
        <f t="shared" si="367"/>
        <v>Sadr-i-Utaq</v>
      </c>
      <c r="N3379" s="39" t="str">
        <f t="shared" si="368"/>
        <v/>
      </c>
      <c r="P3379" s="39" t="str">
        <f t="shared" si="369"/>
        <v/>
      </c>
      <c r="R3379" s="39" t="str">
        <f t="shared" si="370"/>
        <v/>
      </c>
      <c r="S3379" s="28"/>
      <c r="T3379" s="28"/>
      <c r="U3379" s="28"/>
    </row>
    <row r="3380" spans="1:21" s="5" customFormat="1">
      <c r="A3380" s="179" t="s">
        <v>3927</v>
      </c>
      <c r="B3380" s="185" t="s">
        <v>7811</v>
      </c>
      <c r="C3380" s="35" t="str">
        <f t="shared" si="364"/>
        <v>SadrudDawlih</v>
      </c>
      <c r="E3380" s="40"/>
      <c r="F3380" s="15"/>
      <c r="G3380" s="17"/>
      <c r="H3380" s="10" t="s">
        <v>8563</v>
      </c>
      <c r="I3380" s="4" t="str">
        <f t="shared" si="365"/>
        <v>|Ṣadru’d-Dawlih|</v>
      </c>
      <c r="J3380" s="3" t="str">
        <f t="shared" si="366"/>
        <v>|Sadru'd-Dawlih|</v>
      </c>
      <c r="K3380" s="3" t="str">
        <f t="shared" si="367"/>
        <v>Sadrud-Dawlih</v>
      </c>
      <c r="N3380" s="39" t="str">
        <f t="shared" si="368"/>
        <v/>
      </c>
      <c r="P3380" s="39" t="str">
        <f t="shared" si="369"/>
        <v/>
      </c>
      <c r="R3380" s="39" t="str">
        <f t="shared" si="370"/>
        <v/>
      </c>
      <c r="S3380" s="28"/>
      <c r="T3380" s="28"/>
      <c r="U3380" s="28"/>
    </row>
    <row r="3381" spans="1:21" s="5" customFormat="1">
      <c r="A3381" s="179" t="s">
        <v>3928</v>
      </c>
      <c r="B3381" s="185" t="s">
        <v>7812</v>
      </c>
      <c r="C3381" s="35" t="str">
        <f t="shared" si="364"/>
        <v>SadrulAshraf</v>
      </c>
      <c r="E3381" s="40"/>
      <c r="F3381" s="15"/>
      <c r="G3381" s="17"/>
      <c r="H3381" s="10" t="s">
        <v>8563</v>
      </c>
      <c r="I3381" s="4" t="str">
        <f t="shared" si="365"/>
        <v>|Ṣadru’l-Aráf|</v>
      </c>
      <c r="J3381" s="3" t="str">
        <f t="shared" si="366"/>
        <v>|Sadru'l-Ashraf|</v>
      </c>
      <c r="K3381" s="3" t="str">
        <f t="shared" si="367"/>
        <v>Sadrul-Ashraf</v>
      </c>
      <c r="N3381" s="39" t="str">
        <f t="shared" si="368"/>
        <v/>
      </c>
      <c r="P3381" s="39" t="str">
        <f t="shared" si="369"/>
        <v/>
      </c>
      <c r="R3381" s="39" t="str">
        <f t="shared" si="370"/>
        <v/>
      </c>
      <c r="S3381" s="28"/>
      <c r="T3381" s="28"/>
      <c r="U3381" s="28"/>
    </row>
    <row r="3382" spans="1:21" s="5" customFormat="1">
      <c r="A3382" s="179" t="s">
        <v>3929</v>
      </c>
      <c r="B3382" s="185" t="s">
        <v>7813</v>
      </c>
      <c r="C3382" s="35" t="str">
        <f t="shared" si="364"/>
        <v>SadrulUlama</v>
      </c>
      <c r="E3382" s="40"/>
      <c r="F3382" s="15"/>
      <c r="G3382" s="17"/>
      <c r="H3382" s="10" t="s">
        <v>8563</v>
      </c>
      <c r="I3382" s="4" t="str">
        <f t="shared" si="365"/>
        <v>|Ṣadru’l-ʿUlamá|</v>
      </c>
      <c r="J3382" s="3" t="str">
        <f t="shared" si="366"/>
        <v>|Sadru'l-'Ulama|</v>
      </c>
      <c r="K3382" s="3" t="str">
        <f t="shared" si="367"/>
        <v>Sadrul-Ulama</v>
      </c>
      <c r="N3382" s="39" t="str">
        <f t="shared" si="368"/>
        <v/>
      </c>
      <c r="P3382" s="39" t="str">
        <f t="shared" si="369"/>
        <v/>
      </c>
      <c r="R3382" s="39" t="str">
        <f t="shared" si="370"/>
        <v/>
      </c>
      <c r="S3382" s="28"/>
      <c r="T3382" s="28"/>
      <c r="U3382" s="28"/>
    </row>
    <row r="3383" spans="1:21" s="5" customFormat="1">
      <c r="A3383" s="179" t="s">
        <v>3930</v>
      </c>
      <c r="B3383" s="185" t="s">
        <v>7814</v>
      </c>
      <c r="C3383" s="35" t="str">
        <f t="shared" si="364"/>
        <v>SadrusSudur</v>
      </c>
      <c r="E3383" s="40"/>
      <c r="F3383" s="15"/>
      <c r="G3383" s="17"/>
      <c r="H3383" s="10" t="s">
        <v>8563</v>
      </c>
      <c r="I3383" s="4" t="str">
        <f t="shared" si="365"/>
        <v>|Ṣadru’ṣ-Ṣudúr|</v>
      </c>
      <c r="J3383" s="3" t="str">
        <f t="shared" si="366"/>
        <v>|Sadru's-Sudur|</v>
      </c>
      <c r="K3383" s="3" t="str">
        <f t="shared" si="367"/>
        <v>Sadrus-Sudur</v>
      </c>
      <c r="N3383" s="39" t="str">
        <f t="shared" si="368"/>
        <v/>
      </c>
      <c r="P3383" s="39" t="str">
        <f t="shared" si="369"/>
        <v/>
      </c>
      <c r="R3383" s="39" t="str">
        <f t="shared" si="370"/>
        <v/>
      </c>
      <c r="S3383" s="28"/>
      <c r="T3383" s="28"/>
      <c r="U3383" s="28"/>
    </row>
    <row r="3384" spans="1:21" s="5" customFormat="1">
      <c r="A3384" s="179" t="s">
        <v>3931</v>
      </c>
      <c r="B3384" s="185" t="s">
        <v>7815</v>
      </c>
      <c r="C3384" s="35" t="str">
        <f t="shared" si="364"/>
        <v>Sadullah</v>
      </c>
      <c r="E3384" s="40"/>
      <c r="F3384" s="15"/>
      <c r="G3384" s="17"/>
      <c r="H3384" s="10" t="s">
        <v>8563</v>
      </c>
      <c r="I3384" s="4" t="str">
        <f t="shared" si="365"/>
        <v>|Saʿdu’lláh|</v>
      </c>
      <c r="J3384" s="3" t="str">
        <f t="shared" si="366"/>
        <v>|Sa'du'llah|</v>
      </c>
      <c r="K3384" s="3" t="str">
        <f t="shared" si="367"/>
        <v>Sadullah</v>
      </c>
      <c r="N3384" s="39" t="str">
        <f t="shared" si="368"/>
        <v/>
      </c>
      <c r="P3384" s="39" t="str">
        <f t="shared" si="369"/>
        <v/>
      </c>
      <c r="R3384" s="39" t="str">
        <f t="shared" si="370"/>
        <v/>
      </c>
      <c r="S3384" s="28"/>
      <c r="T3384" s="28"/>
      <c r="U3384" s="28"/>
    </row>
    <row r="3385" spans="1:21" s="5" customFormat="1">
      <c r="A3385" s="179" t="s">
        <v>3932</v>
      </c>
      <c r="B3385" s="185" t="s">
        <v>7816</v>
      </c>
      <c r="C3385" s="35" t="str">
        <f t="shared" si="364"/>
        <v>Safa</v>
      </c>
      <c r="E3385" s="40"/>
      <c r="F3385" s="15"/>
      <c r="G3385" s="17"/>
      <c r="H3385" s="10" t="s">
        <v>8563</v>
      </c>
      <c r="I3385" s="4" t="str">
        <f t="shared" si="365"/>
        <v>|Ṣafá|</v>
      </c>
      <c r="J3385" s="3" t="str">
        <f t="shared" si="366"/>
        <v>|Safa|</v>
      </c>
      <c r="K3385" s="3" t="str">
        <f t="shared" si="367"/>
        <v>Safa</v>
      </c>
      <c r="N3385" s="39" t="str">
        <f t="shared" si="368"/>
        <v/>
      </c>
      <c r="P3385" s="39" t="str">
        <f t="shared" si="369"/>
        <v/>
      </c>
      <c r="R3385" s="39" t="str">
        <f t="shared" si="370"/>
        <v/>
      </c>
      <c r="S3385" s="28"/>
      <c r="T3385" s="28"/>
      <c r="U3385" s="28"/>
    </row>
    <row r="3386" spans="1:21" s="5" customFormat="1">
      <c r="A3386" s="179" t="s">
        <v>3933</v>
      </c>
      <c r="B3386" s="185" t="s">
        <v>7817</v>
      </c>
      <c r="C3386" s="35" t="str">
        <f t="shared" si="364"/>
        <v>Safad</v>
      </c>
      <c r="E3386" s="40"/>
      <c r="F3386" s="15"/>
      <c r="G3386" s="17"/>
      <c r="H3386" s="10" t="s">
        <v>8563</v>
      </c>
      <c r="I3386" s="4" t="str">
        <f t="shared" si="365"/>
        <v>|Ṣafád|</v>
      </c>
      <c r="J3386" s="3" t="str">
        <f t="shared" si="366"/>
        <v>|Safad|</v>
      </c>
      <c r="K3386" s="3" t="str">
        <f t="shared" si="367"/>
        <v>Safad</v>
      </c>
      <c r="N3386" s="39" t="str">
        <f t="shared" si="368"/>
        <v/>
      </c>
      <c r="P3386" s="39" t="str">
        <f t="shared" si="369"/>
        <v/>
      </c>
      <c r="R3386" s="39" t="str">
        <f t="shared" si="370"/>
        <v/>
      </c>
      <c r="S3386" s="28"/>
      <c r="T3386" s="28"/>
      <c r="U3386" s="28"/>
    </row>
    <row r="3387" spans="1:21" s="5" customFormat="1">
      <c r="A3387" s="179" t="s">
        <v>3934</v>
      </c>
      <c r="B3387" s="185" t="s">
        <v>7818</v>
      </c>
      <c r="C3387" s="35" t="str">
        <f t="shared" si="364"/>
        <v>Safai</v>
      </c>
      <c r="E3387" s="40"/>
      <c r="F3387" s="15"/>
      <c r="G3387" s="17"/>
      <c r="H3387" s="10" t="s">
        <v>8563</v>
      </c>
      <c r="I3387" s="4" t="str">
        <f t="shared" si="365"/>
        <v>|Ṣafá’í|</v>
      </c>
      <c r="J3387" s="3" t="str">
        <f t="shared" si="366"/>
        <v>|Safa'i|</v>
      </c>
      <c r="K3387" s="3" t="str">
        <f t="shared" si="367"/>
        <v>Safai</v>
      </c>
      <c r="N3387" s="39" t="str">
        <f t="shared" si="368"/>
        <v/>
      </c>
      <c r="P3387" s="39" t="str">
        <f t="shared" si="369"/>
        <v/>
      </c>
      <c r="R3387" s="39" t="str">
        <f t="shared" si="370"/>
        <v/>
      </c>
      <c r="S3387" s="28"/>
      <c r="T3387" s="28"/>
      <c r="U3387" s="28"/>
    </row>
    <row r="3388" spans="1:21" s="5" customFormat="1">
      <c r="A3388" s="179" t="s">
        <v>3935</v>
      </c>
      <c r="B3388" s="185" t="s">
        <v>7819</v>
      </c>
      <c r="C3388" s="35" t="str">
        <f t="shared" si="364"/>
        <v>Safar</v>
      </c>
      <c r="E3388" s="40"/>
      <c r="F3388" s="14"/>
      <c r="G3388" s="17"/>
      <c r="H3388" s="10" t="s">
        <v>8563</v>
      </c>
      <c r="I3388" s="4" t="str">
        <f t="shared" si="365"/>
        <v>|Safar|</v>
      </c>
      <c r="J3388" s="3" t="str">
        <f t="shared" si="366"/>
        <v>|Safar|</v>
      </c>
      <c r="K3388" s="3" t="str">
        <f t="shared" si="367"/>
        <v>Safar</v>
      </c>
      <c r="N3388" s="39" t="str">
        <f t="shared" si="368"/>
        <v/>
      </c>
      <c r="P3388" s="39" t="str">
        <f t="shared" si="369"/>
        <v/>
      </c>
      <c r="R3388" s="39" t="str">
        <f t="shared" si="370"/>
        <v/>
      </c>
      <c r="S3388" s="28"/>
      <c r="T3388" s="28"/>
      <c r="U3388" s="28"/>
    </row>
    <row r="3389" spans="1:21" s="5" customFormat="1">
      <c r="A3389" s="179" t="s">
        <v>3937</v>
      </c>
      <c r="B3389" s="185" t="s">
        <v>7821</v>
      </c>
      <c r="C3389" s="35" t="str">
        <f t="shared" si="364"/>
        <v>SafarAli</v>
      </c>
      <c r="E3389" s="40"/>
      <c r="F3389" s="15"/>
      <c r="G3389" s="17"/>
      <c r="H3389" s="10" t="s">
        <v>8563</v>
      </c>
      <c r="I3389" s="4" t="str">
        <f t="shared" si="365"/>
        <v>|Ṣafar-ʿAlí|</v>
      </c>
      <c r="J3389" s="3" t="str">
        <f t="shared" si="366"/>
        <v>|Safar-'Ali|</v>
      </c>
      <c r="K3389" s="3" t="str">
        <f t="shared" si="367"/>
        <v>Safar-Ali</v>
      </c>
      <c r="N3389" s="39" t="str">
        <f t="shared" si="368"/>
        <v/>
      </c>
      <c r="P3389" s="39" t="str">
        <f t="shared" si="369"/>
        <v/>
      </c>
      <c r="R3389" s="39" t="str">
        <f t="shared" si="370"/>
        <v/>
      </c>
      <c r="S3389" s="28"/>
      <c r="T3389" s="28"/>
      <c r="U3389" s="28"/>
    </row>
    <row r="3390" spans="1:21" s="5" customFormat="1">
      <c r="A3390" s="179" t="s">
        <v>3938</v>
      </c>
      <c r="B3390" s="185" t="s">
        <v>7822</v>
      </c>
      <c r="C3390" s="35" t="str">
        <f t="shared" si="364"/>
        <v>Safavi</v>
      </c>
      <c r="E3390" s="40"/>
      <c r="F3390" s="15"/>
      <c r="G3390" s="17"/>
      <c r="H3390" s="10" t="s">
        <v>8563</v>
      </c>
      <c r="I3390" s="4" t="str">
        <f t="shared" si="365"/>
        <v>|Ṣafaví|</v>
      </c>
      <c r="J3390" s="3" t="str">
        <f t="shared" si="366"/>
        <v>|Safavi|</v>
      </c>
      <c r="K3390" s="3" t="str">
        <f t="shared" si="367"/>
        <v>Safavi</v>
      </c>
      <c r="N3390" s="39" t="str">
        <f t="shared" si="368"/>
        <v/>
      </c>
      <c r="P3390" s="39" t="str">
        <f t="shared" si="369"/>
        <v/>
      </c>
      <c r="R3390" s="39" t="str">
        <f t="shared" si="370"/>
        <v/>
      </c>
      <c r="S3390" s="28"/>
      <c r="T3390" s="28"/>
      <c r="U3390" s="28"/>
    </row>
    <row r="3391" spans="1:21" s="5" customFormat="1">
      <c r="A3391" s="181"/>
      <c r="B3391" s="185" t="s">
        <v>8813</v>
      </c>
      <c r="C3391" s="35" t="str">
        <f t="shared" si="364"/>
        <v>SafavidenKönige</v>
      </c>
      <c r="D3391" s="1"/>
      <c r="E3391" s="40"/>
      <c r="F3391" s="12"/>
      <c r="G3391" s="9"/>
      <c r="H3391" s="12" t="s">
        <v>8622</v>
      </c>
      <c r="I3391" s="4" t="str">
        <f t="shared" si="365"/>
        <v>|Ṣafavíden-Könige|</v>
      </c>
      <c r="J3391" s="3" t="str">
        <f t="shared" si="366"/>
        <v>|Safaviden-Könige|</v>
      </c>
      <c r="K3391" s="3" t="str">
        <f t="shared" si="367"/>
        <v>Safaviden-Könige</v>
      </c>
      <c r="N3391" s="39" t="str">
        <f t="shared" si="368"/>
        <v/>
      </c>
      <c r="P3391" s="39" t="str">
        <f t="shared" si="369"/>
        <v/>
      </c>
      <c r="R3391" s="39" t="str">
        <f t="shared" si="370"/>
        <v/>
      </c>
      <c r="S3391" s="29">
        <v>41760</v>
      </c>
      <c r="T3391" s="28"/>
      <c r="U3391" s="28"/>
    </row>
    <row r="3392" spans="1:21" s="5" customFormat="1">
      <c r="A3392" s="179" t="s">
        <v>3939</v>
      </c>
      <c r="B3392" s="185" t="s">
        <v>7823</v>
      </c>
      <c r="C3392" s="35" t="str">
        <f t="shared" si="364"/>
        <v>Safaviyyih</v>
      </c>
      <c r="E3392" s="40"/>
      <c r="F3392" s="15"/>
      <c r="G3392" s="17"/>
      <c r="H3392" s="10" t="s">
        <v>8563</v>
      </c>
      <c r="I3392" s="4" t="str">
        <f t="shared" si="365"/>
        <v>|Ṣafavíyyih|</v>
      </c>
      <c r="J3392" s="3" t="str">
        <f t="shared" si="366"/>
        <v>|Safaviyyih|</v>
      </c>
      <c r="K3392" s="3" t="str">
        <f t="shared" si="367"/>
        <v>Safaviyyih</v>
      </c>
      <c r="N3392" s="39" t="str">
        <f t="shared" si="368"/>
        <v/>
      </c>
      <c r="P3392" s="39" t="str">
        <f t="shared" si="369"/>
        <v/>
      </c>
      <c r="R3392" s="39" t="str">
        <f t="shared" si="370"/>
        <v/>
      </c>
      <c r="S3392" s="28"/>
      <c r="T3392" s="28"/>
      <c r="U3392" s="28"/>
    </row>
    <row r="3393" spans="1:21" s="5" customFormat="1">
      <c r="A3393" s="179" t="s">
        <v>4270</v>
      </c>
      <c r="B3393" s="185" t="s">
        <v>8079</v>
      </c>
      <c r="C3393" s="35" t="str">
        <f t="shared" si="364"/>
        <v>Saffayn</v>
      </c>
      <c r="E3393" s="40"/>
      <c r="F3393" s="15"/>
      <c r="G3393" s="17"/>
      <c r="H3393" s="10" t="s">
        <v>8563</v>
      </c>
      <c r="I3393" s="4" t="str">
        <f t="shared" si="365"/>
        <v>|Ṣaffayn|</v>
      </c>
      <c r="J3393" s="3" t="str">
        <f t="shared" si="366"/>
        <v>|Saffayn|</v>
      </c>
      <c r="K3393" s="3" t="str">
        <f t="shared" si="367"/>
        <v>Saffayn</v>
      </c>
      <c r="N3393" s="39" t="str">
        <f t="shared" si="368"/>
        <v/>
      </c>
      <c r="P3393" s="39" t="str">
        <f t="shared" si="369"/>
        <v/>
      </c>
      <c r="R3393" s="39" t="str">
        <f t="shared" si="370"/>
        <v/>
      </c>
      <c r="S3393" s="28"/>
      <c r="T3393" s="28"/>
      <c r="U3393" s="28"/>
    </row>
    <row r="3394" spans="1:21" s="5" customFormat="1">
      <c r="A3394" s="179" t="s">
        <v>3940</v>
      </c>
      <c r="B3394" s="185" t="s">
        <v>7824</v>
      </c>
      <c r="C3394" s="35" t="str">
        <f t="shared" ref="C3394:C3457" si="371">SUBSTITUTE(SUBSTITUTE(K3394,"-","")," ","")</f>
        <v>Safi</v>
      </c>
      <c r="E3394" s="40"/>
      <c r="F3394" s="15"/>
      <c r="G3394" s="17"/>
      <c r="H3394" s="10" t="s">
        <v>8563</v>
      </c>
      <c r="I3394" s="4" t="str">
        <f t="shared" ref="I3394:I3457" si="372">CONCATENATE("|",B3394,"|")</f>
        <v>|Ṣafí|</v>
      </c>
      <c r="J3394" s="3" t="str">
        <f t="shared" ref="J3394:J3457" si="373">CONCATENATE("|",F_OutputASCII(B3394),"|")</f>
        <v>|Safi|</v>
      </c>
      <c r="K3394" s="3" t="str">
        <f t="shared" ref="K3394:K3457" si="374">IF(SUBSTITUTE(MID(J3394,2,LEN(J3394)-2),"'","")&lt;&gt;"",SUBSTITUTE(MID(J3394,2,LEN(J3394)-2),"'",""),"ZZZZZ")</f>
        <v>Safi</v>
      </c>
      <c r="N3394" s="39" t="str">
        <f t="shared" si="368"/>
        <v/>
      </c>
      <c r="P3394" s="39" t="str">
        <f t="shared" si="369"/>
        <v/>
      </c>
      <c r="R3394" s="39" t="str">
        <f t="shared" si="370"/>
        <v/>
      </c>
      <c r="S3394" s="28"/>
      <c r="T3394" s="28"/>
      <c r="U3394" s="28"/>
    </row>
    <row r="3395" spans="1:21" s="5" customFormat="1">
      <c r="A3395" s="179" t="s">
        <v>3941</v>
      </c>
      <c r="B3395" s="185" t="s">
        <v>7825</v>
      </c>
      <c r="C3395" s="35" t="str">
        <f t="shared" si="371"/>
        <v>SafiAli</v>
      </c>
      <c r="E3395" s="40"/>
      <c r="F3395" s="15" t="s">
        <v>8596</v>
      </c>
      <c r="G3395" s="17"/>
      <c r="H3395" s="10" t="s">
        <v>8563</v>
      </c>
      <c r="I3395" s="4" t="str">
        <f t="shared" si="372"/>
        <v>|Ṣafí-ʿAlí|</v>
      </c>
      <c r="J3395" s="3" t="str">
        <f t="shared" si="373"/>
        <v>|Safi-'Ali|</v>
      </c>
      <c r="K3395" s="3" t="str">
        <f t="shared" si="374"/>
        <v>Safi-Ali</v>
      </c>
      <c r="N3395" s="39" t="str">
        <f t="shared" ref="N3395:N3458" si="375">SUBSTITUTE(SUBSTITUTE(SUBSTITUTE(F_OutputASCII(M3395),"-","")," ",""),"'","")</f>
        <v/>
      </c>
      <c r="P3395" s="39" t="str">
        <f t="shared" ref="P3395:P3458" si="376">SUBSTITUTE(SUBSTITUTE(SUBSTITUTE(F_OutputASCII(O3395),"-","")," ",""),"'","")</f>
        <v/>
      </c>
      <c r="R3395" s="39" t="str">
        <f t="shared" ref="R3395:R3458" si="377">SUBSTITUTE(SUBSTITUTE(Q3395,"-","")," ","")</f>
        <v/>
      </c>
      <c r="S3395" s="28"/>
      <c r="T3395" s="28"/>
      <c r="U3395" s="28"/>
    </row>
    <row r="3396" spans="1:21" s="5" customFormat="1">
      <c r="A3396" s="179" t="s">
        <v>3942</v>
      </c>
      <c r="B3396" s="185" t="s">
        <v>7826</v>
      </c>
      <c r="C3396" s="35" t="str">
        <f t="shared" si="371"/>
        <v>SafihulUlama</v>
      </c>
      <c r="E3396" s="40"/>
      <c r="F3396" s="15"/>
      <c r="G3396" s="17"/>
      <c r="H3396" s="10" t="s">
        <v>8563</v>
      </c>
      <c r="I3396" s="4" t="str">
        <f t="shared" si="372"/>
        <v>|Safíhu’l-ʿUlamá|</v>
      </c>
      <c r="J3396" s="3" t="str">
        <f t="shared" si="373"/>
        <v>|Safihu'l-'Ulama|</v>
      </c>
      <c r="K3396" s="3" t="str">
        <f t="shared" si="374"/>
        <v>Safihul-Ulama</v>
      </c>
      <c r="N3396" s="39" t="str">
        <f t="shared" si="375"/>
        <v/>
      </c>
      <c r="P3396" s="39" t="str">
        <f t="shared" si="376"/>
        <v/>
      </c>
      <c r="R3396" s="39" t="str">
        <f t="shared" si="377"/>
        <v/>
      </c>
      <c r="S3396" s="28"/>
      <c r="T3396" s="28"/>
      <c r="U3396" s="28"/>
    </row>
    <row r="3397" spans="1:21" s="5" customFormat="1">
      <c r="A3397" s="179" t="s">
        <v>3943</v>
      </c>
      <c r="B3397" s="185" t="s">
        <v>7827</v>
      </c>
      <c r="C3397" s="35" t="str">
        <f t="shared" si="371"/>
        <v>SafiQuli</v>
      </c>
      <c r="E3397" s="40"/>
      <c r="F3397" s="15"/>
      <c r="G3397" s="17"/>
      <c r="H3397" s="10" t="s">
        <v>8563</v>
      </c>
      <c r="I3397" s="4" t="str">
        <f t="shared" si="372"/>
        <v>|Ṣafí-Qulí|</v>
      </c>
      <c r="J3397" s="3" t="str">
        <f t="shared" si="373"/>
        <v>|Safi-Quli|</v>
      </c>
      <c r="K3397" s="3" t="str">
        <f t="shared" si="374"/>
        <v>Safi-Quli</v>
      </c>
      <c r="N3397" s="39" t="str">
        <f t="shared" si="375"/>
        <v/>
      </c>
      <c r="P3397" s="39" t="str">
        <f t="shared" si="376"/>
        <v/>
      </c>
      <c r="R3397" s="39" t="str">
        <f t="shared" si="377"/>
        <v/>
      </c>
      <c r="S3397" s="28"/>
      <c r="T3397" s="28"/>
      <c r="U3397" s="28"/>
    </row>
    <row r="3398" spans="1:21" s="5" customFormat="1">
      <c r="A3398" s="179" t="s">
        <v>3944</v>
      </c>
      <c r="B3398" s="185" t="s">
        <v>7828</v>
      </c>
      <c r="C3398" s="35" t="str">
        <f t="shared" si="371"/>
        <v>Safir</v>
      </c>
      <c r="E3398" s="40"/>
      <c r="F3398" s="15" t="s">
        <v>3945</v>
      </c>
      <c r="G3398" s="17"/>
      <c r="H3398" s="10" t="s">
        <v>8563</v>
      </c>
      <c r="I3398" s="4" t="str">
        <f t="shared" si="372"/>
        <v>|Safír|</v>
      </c>
      <c r="J3398" s="3" t="str">
        <f t="shared" si="373"/>
        <v>|Safir|</v>
      </c>
      <c r="K3398" s="3" t="str">
        <f t="shared" si="374"/>
        <v>Safir</v>
      </c>
      <c r="N3398" s="39" t="str">
        <f t="shared" si="375"/>
        <v/>
      </c>
      <c r="P3398" s="39" t="str">
        <f t="shared" si="376"/>
        <v/>
      </c>
      <c r="R3398" s="39" t="str">
        <f t="shared" si="377"/>
        <v/>
      </c>
      <c r="S3398" s="28"/>
      <c r="T3398" s="28"/>
      <c r="U3398" s="28"/>
    </row>
    <row r="3399" spans="1:21" s="5" customFormat="1">
      <c r="A3399" s="179" t="s">
        <v>3946</v>
      </c>
      <c r="B3399" s="185" t="s">
        <v>7829</v>
      </c>
      <c r="C3399" s="35" t="str">
        <f t="shared" si="371"/>
        <v>SafiyyidDin</v>
      </c>
      <c r="E3399" s="40"/>
      <c r="F3399" s="15"/>
      <c r="G3399" s="17"/>
      <c r="H3399" s="10" t="s">
        <v>8563</v>
      </c>
      <c r="I3399" s="4" t="str">
        <f t="shared" si="372"/>
        <v>|Ṣafíyyi’d-Dín|</v>
      </c>
      <c r="J3399" s="3" t="str">
        <f t="shared" si="373"/>
        <v>|Safiyyi'd-Din|</v>
      </c>
      <c r="K3399" s="3" t="str">
        <f t="shared" si="374"/>
        <v>Safiyyid-Din</v>
      </c>
      <c r="N3399" s="39" t="str">
        <f t="shared" si="375"/>
        <v/>
      </c>
      <c r="P3399" s="39" t="str">
        <f t="shared" si="376"/>
        <v/>
      </c>
      <c r="R3399" s="39" t="str">
        <f t="shared" si="377"/>
        <v/>
      </c>
      <c r="S3399" s="28"/>
      <c r="T3399" s="28"/>
      <c r="U3399" s="28"/>
    </row>
    <row r="3400" spans="1:21" s="5" customFormat="1">
      <c r="A3400" s="179" t="s">
        <v>3947</v>
      </c>
      <c r="B3400" s="185" t="s">
        <v>7830</v>
      </c>
      <c r="C3400" s="35" t="str">
        <f t="shared" si="371"/>
        <v>SagiArmani</v>
      </c>
      <c r="E3400" s="40"/>
      <c r="F3400" s="15"/>
      <c r="G3400" s="17"/>
      <c r="H3400" s="10" t="s">
        <v>8563</v>
      </c>
      <c r="I3400" s="4" t="str">
        <f t="shared" si="372"/>
        <v>|Sag-i-Armaní|</v>
      </c>
      <c r="J3400" s="3" t="str">
        <f t="shared" si="373"/>
        <v>|Sag-i-Armani|</v>
      </c>
      <c r="K3400" s="3" t="str">
        <f t="shared" si="374"/>
        <v>Sag-i-Armani</v>
      </c>
      <c r="N3400" s="39" t="str">
        <f t="shared" si="375"/>
        <v/>
      </c>
      <c r="P3400" s="39" t="str">
        <f t="shared" si="376"/>
        <v/>
      </c>
      <c r="R3400" s="39" t="str">
        <f t="shared" si="377"/>
        <v/>
      </c>
      <c r="S3400" s="28"/>
      <c r="T3400" s="28"/>
      <c r="U3400" s="28"/>
    </row>
    <row r="3401" spans="1:21" s="5" customFormat="1">
      <c r="A3401" s="179" t="s">
        <v>3948</v>
      </c>
      <c r="B3401" s="185" t="s">
        <v>7831</v>
      </c>
      <c r="C3401" s="35" t="str">
        <f t="shared" si="371"/>
        <v>SagShimr</v>
      </c>
      <c r="E3401" s="40"/>
      <c r="F3401" s="15"/>
      <c r="G3401" s="17"/>
      <c r="H3401" s="10" t="s">
        <v>8563</v>
      </c>
      <c r="I3401" s="4" t="str">
        <f t="shared" si="372"/>
        <v>|Sag-imr|</v>
      </c>
      <c r="J3401" s="3" t="str">
        <f t="shared" si="373"/>
        <v>|Sag-Shimr|</v>
      </c>
      <c r="K3401" s="3" t="str">
        <f t="shared" si="374"/>
        <v>Sag-Shimr</v>
      </c>
      <c r="N3401" s="39" t="str">
        <f t="shared" si="375"/>
        <v/>
      </c>
      <c r="P3401" s="39" t="str">
        <f t="shared" si="376"/>
        <v/>
      </c>
      <c r="R3401" s="39" t="str">
        <f t="shared" si="377"/>
        <v/>
      </c>
      <c r="S3401" s="28"/>
      <c r="T3401" s="28"/>
      <c r="U3401" s="28"/>
    </row>
    <row r="3402" spans="1:21" s="5" customFormat="1">
      <c r="A3402" s="179" t="s">
        <v>3949</v>
      </c>
      <c r="B3402" s="185" t="s">
        <v>7832</v>
      </c>
      <c r="C3402" s="35" t="str">
        <f t="shared" si="371"/>
        <v>SagShimriAblaq</v>
      </c>
      <c r="E3402" s="40"/>
      <c r="F3402" s="15" t="s">
        <v>3950</v>
      </c>
      <c r="G3402" s="17"/>
      <c r="H3402" s="10" t="s">
        <v>8563</v>
      </c>
      <c r="I3402" s="4" t="str">
        <f t="shared" si="372"/>
        <v>|Sag-imr-i-Ablaq|</v>
      </c>
      <c r="J3402" s="3" t="str">
        <f t="shared" si="373"/>
        <v>|Sag-Shimr-i-Ablaq|</v>
      </c>
      <c r="K3402" s="3" t="str">
        <f t="shared" si="374"/>
        <v>Sag-Shimr-i-Ablaq</v>
      </c>
      <c r="N3402" s="39" t="str">
        <f t="shared" si="375"/>
        <v/>
      </c>
      <c r="P3402" s="39" t="str">
        <f t="shared" si="376"/>
        <v/>
      </c>
      <c r="R3402" s="39" t="str">
        <f t="shared" si="377"/>
        <v/>
      </c>
      <c r="S3402" s="28"/>
      <c r="T3402" s="28"/>
      <c r="U3402" s="28"/>
    </row>
    <row r="3403" spans="1:21" s="5" customFormat="1">
      <c r="A3403" s="179" t="s">
        <v>3951</v>
      </c>
      <c r="B3403" s="185" t="s">
        <v>7833</v>
      </c>
      <c r="C3403" s="35" t="str">
        <f t="shared" si="371"/>
        <v>Sahba</v>
      </c>
      <c r="E3403" s="40"/>
      <c r="F3403" s="15"/>
      <c r="G3403" s="17"/>
      <c r="H3403" s="10" t="s">
        <v>8563</v>
      </c>
      <c r="I3403" s="4" t="str">
        <f t="shared" si="372"/>
        <v>|Ṣahbá|</v>
      </c>
      <c r="J3403" s="3" t="str">
        <f t="shared" si="373"/>
        <v>|Sahba|</v>
      </c>
      <c r="K3403" s="3" t="str">
        <f t="shared" si="374"/>
        <v>Sahba</v>
      </c>
      <c r="N3403" s="39" t="str">
        <f t="shared" si="375"/>
        <v/>
      </c>
      <c r="P3403" s="39" t="str">
        <f t="shared" si="376"/>
        <v/>
      </c>
      <c r="R3403" s="39" t="str">
        <f t="shared" si="377"/>
        <v/>
      </c>
      <c r="S3403" s="28"/>
      <c r="T3403" s="28"/>
      <c r="U3403" s="28"/>
    </row>
    <row r="3404" spans="1:21" s="5" customFormat="1">
      <c r="A3404" s="179" t="s">
        <v>3952</v>
      </c>
      <c r="B3404" s="185" t="s">
        <v>7834</v>
      </c>
      <c r="C3404" s="35" t="str">
        <f t="shared" si="371"/>
        <v>Sahib</v>
      </c>
      <c r="E3404" s="40"/>
      <c r="F3404" s="14"/>
      <c r="G3404" s="17"/>
      <c r="H3404" s="10" t="s">
        <v>8563</v>
      </c>
      <c r="I3404" s="4" t="str">
        <f t="shared" si="372"/>
        <v>|Ṣáḥib|</v>
      </c>
      <c r="J3404" s="3" t="str">
        <f t="shared" si="373"/>
        <v>|Sahib|</v>
      </c>
      <c r="K3404" s="3" t="str">
        <f t="shared" si="374"/>
        <v>Sahib</v>
      </c>
      <c r="N3404" s="39" t="str">
        <f t="shared" si="375"/>
        <v/>
      </c>
      <c r="P3404" s="39" t="str">
        <f t="shared" si="376"/>
        <v/>
      </c>
      <c r="R3404" s="39" t="str">
        <f t="shared" si="377"/>
        <v/>
      </c>
      <c r="S3404" s="28"/>
      <c r="T3404" s="28"/>
      <c r="U3404" s="28"/>
    </row>
    <row r="3405" spans="1:21" s="5" customFormat="1">
      <c r="A3405" s="179" t="s">
        <v>3953</v>
      </c>
      <c r="B3405" s="185" t="s">
        <v>8618</v>
      </c>
      <c r="C3405" s="35" t="str">
        <f t="shared" si="371"/>
        <v>SahibDivan</v>
      </c>
      <c r="E3405" s="40"/>
      <c r="F3405" s="15"/>
      <c r="G3405" s="17"/>
      <c r="H3405" s="10" t="s">
        <v>8563</v>
      </c>
      <c r="I3405" s="4" t="str">
        <f t="shared" si="372"/>
        <v>|Ṣáḥib-Díván|</v>
      </c>
      <c r="J3405" s="3" t="str">
        <f t="shared" si="373"/>
        <v>|Sahib-Divan|</v>
      </c>
      <c r="K3405" s="3" t="str">
        <f t="shared" si="374"/>
        <v>Sahib-Divan</v>
      </c>
      <c r="N3405" s="39" t="str">
        <f t="shared" si="375"/>
        <v/>
      </c>
      <c r="P3405" s="39" t="str">
        <f t="shared" si="376"/>
        <v/>
      </c>
      <c r="R3405" s="39" t="str">
        <f t="shared" si="377"/>
        <v/>
      </c>
      <c r="S3405" s="28"/>
      <c r="T3405" s="28"/>
      <c r="U3405" s="28"/>
    </row>
    <row r="3406" spans="1:21" s="5" customFormat="1">
      <c r="A3406" s="179" t="s">
        <v>3954</v>
      </c>
      <c r="B3406" s="185" t="s">
        <v>8619</v>
      </c>
      <c r="C3406" s="35" t="str">
        <f t="shared" si="371"/>
        <v>SahibiDivan</v>
      </c>
      <c r="E3406" s="40"/>
      <c r="F3406" s="15"/>
      <c r="G3406" s="17"/>
      <c r="H3406" s="10" t="s">
        <v>8563</v>
      </c>
      <c r="I3406" s="4" t="str">
        <f t="shared" si="372"/>
        <v>|Ṣáḥib-i-Díván|</v>
      </c>
      <c r="J3406" s="3" t="str">
        <f t="shared" si="373"/>
        <v>|Sahib-i-Divan|</v>
      </c>
      <c r="K3406" s="3" t="str">
        <f t="shared" si="374"/>
        <v>Sahib-i-Divan</v>
      </c>
      <c r="N3406" s="39" t="str">
        <f t="shared" si="375"/>
        <v/>
      </c>
      <c r="P3406" s="39" t="str">
        <f t="shared" si="376"/>
        <v/>
      </c>
      <c r="R3406" s="39" t="str">
        <f t="shared" si="377"/>
        <v/>
      </c>
      <c r="S3406" s="28"/>
      <c r="T3406" s="28"/>
      <c r="U3406" s="28"/>
    </row>
    <row r="3407" spans="1:21" s="5" customFormat="1">
      <c r="A3407" s="179" t="s">
        <v>3955</v>
      </c>
      <c r="B3407" s="185" t="s">
        <v>7835</v>
      </c>
      <c r="C3407" s="35" t="str">
        <f t="shared" si="371"/>
        <v>SahibIkhtiyar</v>
      </c>
      <c r="E3407" s="40"/>
      <c r="F3407" s="15"/>
      <c r="G3407" s="17"/>
      <c r="H3407" s="10" t="s">
        <v>8563</v>
      </c>
      <c r="I3407" s="4" t="str">
        <f t="shared" si="372"/>
        <v>|Ṣáḥib-Itíyár|</v>
      </c>
      <c r="J3407" s="3" t="str">
        <f t="shared" si="373"/>
        <v>|Sahib-Ikhtiyar|</v>
      </c>
      <c r="K3407" s="3" t="str">
        <f t="shared" si="374"/>
        <v>Sahib-Ikhtiyar</v>
      </c>
      <c r="N3407" s="39" t="str">
        <f t="shared" si="375"/>
        <v/>
      </c>
      <c r="P3407" s="39" t="str">
        <f t="shared" si="376"/>
        <v/>
      </c>
      <c r="R3407" s="39" t="str">
        <f t="shared" si="377"/>
        <v/>
      </c>
      <c r="S3407" s="28"/>
      <c r="T3407" s="28"/>
      <c r="U3407" s="28"/>
    </row>
    <row r="3408" spans="1:21" s="5" customFormat="1">
      <c r="A3408" s="179" t="s">
        <v>3956</v>
      </c>
      <c r="B3408" s="185" t="s">
        <v>7836</v>
      </c>
      <c r="C3408" s="35" t="str">
        <f t="shared" si="371"/>
        <v>SahibQiraniyyih</v>
      </c>
      <c r="E3408" s="40"/>
      <c r="F3408" s="15"/>
      <c r="G3408" s="17"/>
      <c r="H3408" s="10" t="s">
        <v>8563</v>
      </c>
      <c r="I3408" s="4" t="str">
        <f t="shared" si="372"/>
        <v>|Ṣáḥib-Qiráníyyih|</v>
      </c>
      <c r="J3408" s="3" t="str">
        <f t="shared" si="373"/>
        <v>|Sahib-Qiraniyyih|</v>
      </c>
      <c r="K3408" s="3" t="str">
        <f t="shared" si="374"/>
        <v>Sahib-Qiraniyyih</v>
      </c>
      <c r="N3408" s="39" t="str">
        <f t="shared" si="375"/>
        <v/>
      </c>
      <c r="P3408" s="39" t="str">
        <f t="shared" si="376"/>
        <v/>
      </c>
      <c r="R3408" s="39" t="str">
        <f t="shared" si="377"/>
        <v/>
      </c>
      <c r="S3408" s="28"/>
      <c r="T3408" s="28"/>
      <c r="U3408" s="28"/>
    </row>
    <row r="3409" spans="1:21" s="5" customFormat="1">
      <c r="A3409" s="179" t="s">
        <v>3957</v>
      </c>
      <c r="B3409" s="185" t="s">
        <v>7837</v>
      </c>
      <c r="C3409" s="35" t="str">
        <f t="shared" si="371"/>
        <v>SahibuzZaman</v>
      </c>
      <c r="E3409" s="40"/>
      <c r="F3409" s="14" t="s">
        <v>3958</v>
      </c>
      <c r="G3409" s="17"/>
      <c r="H3409" s="10" t="s">
        <v>8563</v>
      </c>
      <c r="I3409" s="4" t="str">
        <f t="shared" si="372"/>
        <v>|Ṣáḥibu’z-Zamán|</v>
      </c>
      <c r="J3409" s="3" t="str">
        <f t="shared" si="373"/>
        <v>|Sahibu'z-Zaman|</v>
      </c>
      <c r="K3409" s="3" t="str">
        <f t="shared" si="374"/>
        <v>Sahibuz-Zaman</v>
      </c>
      <c r="N3409" s="39" t="str">
        <f t="shared" si="375"/>
        <v/>
      </c>
      <c r="P3409" s="39" t="str">
        <f t="shared" si="376"/>
        <v/>
      </c>
      <c r="R3409" s="39" t="str">
        <f t="shared" si="377"/>
        <v/>
      </c>
      <c r="S3409" s="28"/>
      <c r="T3409" s="28"/>
      <c r="U3409" s="28"/>
    </row>
    <row r="3410" spans="1:21" s="5" customFormat="1">
      <c r="A3410" s="179" t="s">
        <v>3960</v>
      </c>
      <c r="B3410" s="185" t="s">
        <v>7839</v>
      </c>
      <c r="C3410" s="35" t="str">
        <f t="shared" si="371"/>
        <v>SahifatulHaramayn</v>
      </c>
      <c r="E3410" s="40"/>
      <c r="F3410" s="14"/>
      <c r="G3410" s="17"/>
      <c r="H3410" s="10" t="s">
        <v>8563</v>
      </c>
      <c r="I3410" s="4" t="str">
        <f t="shared" si="372"/>
        <v>|Ṣaḥífatu’l-Ḥaramayn|</v>
      </c>
      <c r="J3410" s="3" t="str">
        <f t="shared" si="373"/>
        <v>|Sahifatu'l-Haramayn|</v>
      </c>
      <c r="K3410" s="3" t="str">
        <f t="shared" si="374"/>
        <v>Sahifatul-Haramayn</v>
      </c>
      <c r="N3410" s="39" t="str">
        <f t="shared" si="375"/>
        <v/>
      </c>
      <c r="P3410" s="39" t="str">
        <f t="shared" si="376"/>
        <v/>
      </c>
      <c r="R3410" s="39" t="str">
        <f t="shared" si="377"/>
        <v/>
      </c>
      <c r="S3410" s="28"/>
      <c r="T3410" s="28"/>
      <c r="U3410" s="28"/>
    </row>
    <row r="3411" spans="1:21" s="5" customFormat="1">
      <c r="A3411" s="179" t="s">
        <v>3959</v>
      </c>
      <c r="B3411" s="185" t="s">
        <v>7838</v>
      </c>
      <c r="C3411" s="35" t="str">
        <f t="shared" si="371"/>
        <v>Sahifih</v>
      </c>
      <c r="E3411" s="40"/>
      <c r="F3411" s="15"/>
      <c r="G3411" s="17"/>
      <c r="H3411" s="10" t="s">
        <v>8563</v>
      </c>
      <c r="I3411" s="4" t="str">
        <f t="shared" si="372"/>
        <v>|Ṣaḥífih|</v>
      </c>
      <c r="J3411" s="3" t="str">
        <f t="shared" si="373"/>
        <v>|Sahifih|</v>
      </c>
      <c r="K3411" s="3" t="str">
        <f t="shared" si="374"/>
        <v>Sahifih</v>
      </c>
      <c r="N3411" s="39" t="str">
        <f t="shared" si="375"/>
        <v/>
      </c>
      <c r="P3411" s="39" t="str">
        <f t="shared" si="376"/>
        <v/>
      </c>
      <c r="R3411" s="39" t="str">
        <f t="shared" si="377"/>
        <v/>
      </c>
      <c r="S3411" s="28"/>
      <c r="T3411" s="28"/>
      <c r="U3411" s="28"/>
    </row>
    <row r="3412" spans="1:21" s="5" customFormat="1">
      <c r="A3412" s="179" t="s">
        <v>3961</v>
      </c>
      <c r="B3412" s="185" t="s">
        <v>7840</v>
      </c>
      <c r="C3412" s="35" t="str">
        <f t="shared" si="371"/>
        <v>SahifiyiAdliyyih</v>
      </c>
      <c r="E3412" s="40"/>
      <c r="F3412" s="15" t="s">
        <v>3962</v>
      </c>
      <c r="G3412" s="17"/>
      <c r="H3412" s="10" t="s">
        <v>8563</v>
      </c>
      <c r="I3412" s="4" t="str">
        <f t="shared" si="372"/>
        <v>|Ṣaḥífiy-i-ʿAdlíyyih|</v>
      </c>
      <c r="J3412" s="3" t="str">
        <f t="shared" si="373"/>
        <v>|Sahifiy-i-'Adliyyih|</v>
      </c>
      <c r="K3412" s="3" t="str">
        <f t="shared" si="374"/>
        <v>Sahifiy-i-Adliyyih</v>
      </c>
      <c r="N3412" s="39" t="str">
        <f t="shared" si="375"/>
        <v/>
      </c>
      <c r="P3412" s="39" t="str">
        <f t="shared" si="376"/>
        <v/>
      </c>
      <c r="R3412" s="39" t="str">
        <f t="shared" si="377"/>
        <v/>
      </c>
      <c r="S3412" s="28"/>
      <c r="T3412" s="28"/>
      <c r="U3412" s="28"/>
    </row>
    <row r="3413" spans="1:21" s="5" customFormat="1">
      <c r="A3413" s="179" t="s">
        <v>3963</v>
      </c>
      <c r="B3413" s="185" t="s">
        <v>7841</v>
      </c>
      <c r="C3413" s="35" t="str">
        <f t="shared" si="371"/>
        <v>SahifiyiBaynulHaramayn</v>
      </c>
      <c r="E3413" s="40"/>
      <c r="F3413" s="15" t="s">
        <v>3964</v>
      </c>
      <c r="G3413" s="17"/>
      <c r="H3413" s="10" t="s">
        <v>8563</v>
      </c>
      <c r="I3413" s="4" t="str">
        <f t="shared" si="372"/>
        <v>|Ṣaḥífiy-i-Baynu’l-Ḥaramayn|</v>
      </c>
      <c r="J3413" s="3" t="str">
        <f t="shared" si="373"/>
        <v>|Sahifiy-i-Baynu'l-Haramayn|</v>
      </c>
      <c r="K3413" s="3" t="str">
        <f t="shared" si="374"/>
        <v>Sahifiy-i-Baynul-Haramayn</v>
      </c>
      <c r="N3413" s="39" t="str">
        <f t="shared" si="375"/>
        <v/>
      </c>
      <c r="P3413" s="39" t="str">
        <f t="shared" si="376"/>
        <v/>
      </c>
      <c r="R3413" s="39" t="str">
        <f t="shared" si="377"/>
        <v/>
      </c>
      <c r="S3413" s="28"/>
      <c r="T3413" s="28"/>
      <c r="U3413" s="28"/>
    </row>
    <row r="3414" spans="1:21" s="5" customFormat="1">
      <c r="A3414" s="179" t="s">
        <v>3965</v>
      </c>
      <c r="B3414" s="185" t="s">
        <v>7842</v>
      </c>
      <c r="C3414" s="35" t="str">
        <f t="shared" si="371"/>
        <v>SahifiyiJafariyyih</v>
      </c>
      <c r="E3414" s="40"/>
      <c r="F3414" s="15" t="s">
        <v>3966</v>
      </c>
      <c r="G3414" s="17"/>
      <c r="H3414" s="10" t="s">
        <v>8563</v>
      </c>
      <c r="I3414" s="4" t="str">
        <f t="shared" si="372"/>
        <v>|Ṣaḥífiy-i-Jaʿfaríyyih|</v>
      </c>
      <c r="J3414" s="3" t="str">
        <f t="shared" si="373"/>
        <v>|Sahifiy-i-Ja'fariyyih|</v>
      </c>
      <c r="K3414" s="3" t="str">
        <f t="shared" si="374"/>
        <v>Sahifiy-i-Jafariyyih</v>
      </c>
      <c r="N3414" s="39" t="str">
        <f t="shared" si="375"/>
        <v/>
      </c>
      <c r="P3414" s="39" t="str">
        <f t="shared" si="376"/>
        <v/>
      </c>
      <c r="R3414" s="39" t="str">
        <f t="shared" si="377"/>
        <v/>
      </c>
      <c r="S3414" s="28"/>
      <c r="T3414" s="28"/>
      <c r="U3414" s="28"/>
    </row>
    <row r="3415" spans="1:21" s="5" customFormat="1">
      <c r="A3415" s="179" t="s">
        <v>3967</v>
      </c>
      <c r="B3415" s="185" t="s">
        <v>7843</v>
      </c>
      <c r="C3415" s="35" t="str">
        <f t="shared" si="371"/>
        <v>SahifiyiRadaviyyih</v>
      </c>
      <c r="E3415" s="40"/>
      <c r="F3415" s="15" t="s">
        <v>2573</v>
      </c>
      <c r="G3415" s="17"/>
      <c r="H3415" s="10" t="s">
        <v>8563</v>
      </c>
      <c r="I3415" s="4" t="str">
        <f t="shared" si="372"/>
        <v>|Ṣaḥífiy-i-Raḍavíyyih|</v>
      </c>
      <c r="J3415" s="3" t="str">
        <f t="shared" si="373"/>
        <v>|Sahifiy-i-Radaviyyih|</v>
      </c>
      <c r="K3415" s="3" t="str">
        <f t="shared" si="374"/>
        <v>Sahifiy-i-Radaviyyih</v>
      </c>
      <c r="N3415" s="39" t="str">
        <f t="shared" si="375"/>
        <v/>
      </c>
      <c r="P3415" s="39" t="str">
        <f t="shared" si="376"/>
        <v/>
      </c>
      <c r="R3415" s="39" t="str">
        <f t="shared" si="377"/>
        <v/>
      </c>
      <c r="S3415" s="28"/>
      <c r="T3415" s="28"/>
      <c r="U3415" s="28"/>
    </row>
    <row r="3416" spans="1:21" s="5" customFormat="1">
      <c r="A3416" s="179" t="s">
        <v>3968</v>
      </c>
      <c r="B3416" s="185" t="s">
        <v>7844</v>
      </c>
      <c r="C3416" s="35" t="str">
        <f t="shared" si="371"/>
        <v>SahifiyiShattiyyih</v>
      </c>
      <c r="E3416" s="40"/>
      <c r="F3416" s="15" t="s">
        <v>3969</v>
      </c>
      <c r="G3416" s="17"/>
      <c r="H3416" s="10" t="s">
        <v>8563</v>
      </c>
      <c r="I3416" s="4" t="str">
        <f t="shared" si="372"/>
        <v>|Ṣaḥífiy-i-aṭṭíyyih|</v>
      </c>
      <c r="J3416" s="3" t="str">
        <f t="shared" si="373"/>
        <v>|Sahifiy-i-Shattiyyih|</v>
      </c>
      <c r="K3416" s="3" t="str">
        <f t="shared" si="374"/>
        <v>Sahifiy-i-Shattiyyih</v>
      </c>
      <c r="N3416" s="39" t="str">
        <f t="shared" si="375"/>
        <v/>
      </c>
      <c r="P3416" s="39" t="str">
        <f t="shared" si="376"/>
        <v/>
      </c>
      <c r="R3416" s="39" t="str">
        <f t="shared" si="377"/>
        <v/>
      </c>
      <c r="S3416" s="28"/>
      <c r="T3416" s="28"/>
      <c r="U3416" s="28"/>
    </row>
    <row r="3417" spans="1:21" s="5" customFormat="1">
      <c r="A3417" s="179" t="s">
        <v>3970</v>
      </c>
      <c r="B3417" s="185" t="s">
        <v>7845</v>
      </c>
      <c r="C3417" s="35" t="str">
        <f t="shared" si="371"/>
        <v>Sahih</v>
      </c>
      <c r="E3417" s="40"/>
      <c r="F3417" s="15" t="s">
        <v>966</v>
      </c>
      <c r="G3417" s="17"/>
      <c r="H3417" s="10" t="s">
        <v>8563</v>
      </c>
      <c r="I3417" s="4" t="str">
        <f t="shared" si="372"/>
        <v>|Ṣaḥiḥ|</v>
      </c>
      <c r="J3417" s="3" t="str">
        <f t="shared" si="373"/>
        <v>|Sahih|</v>
      </c>
      <c r="K3417" s="3" t="str">
        <f t="shared" si="374"/>
        <v>Sahih</v>
      </c>
      <c r="N3417" s="39" t="str">
        <f t="shared" si="375"/>
        <v/>
      </c>
      <c r="P3417" s="39" t="str">
        <f t="shared" si="376"/>
        <v/>
      </c>
      <c r="R3417" s="39" t="str">
        <f t="shared" si="377"/>
        <v/>
      </c>
      <c r="S3417" s="28"/>
      <c r="T3417" s="28"/>
      <c r="U3417" s="28"/>
    </row>
    <row r="3418" spans="1:21" s="5" customFormat="1">
      <c r="A3418" s="179" t="s">
        <v>3971</v>
      </c>
      <c r="B3418" s="185" t="s">
        <v>7846</v>
      </c>
      <c r="C3418" s="35" t="str">
        <f t="shared" si="371"/>
        <v>Sahnih</v>
      </c>
      <c r="E3418" s="40"/>
      <c r="F3418" s="15"/>
      <c r="G3418" s="17"/>
      <c r="H3418" s="10" t="s">
        <v>8563</v>
      </c>
      <c r="I3418" s="4" t="str">
        <f t="shared" si="372"/>
        <v>|Ṣaḥnih|</v>
      </c>
      <c r="J3418" s="3" t="str">
        <f t="shared" si="373"/>
        <v>|Sahnih|</v>
      </c>
      <c r="K3418" s="3" t="str">
        <f t="shared" si="374"/>
        <v>Sahnih</v>
      </c>
      <c r="N3418" s="39" t="str">
        <f t="shared" si="375"/>
        <v/>
      </c>
      <c r="P3418" s="39" t="str">
        <f t="shared" si="376"/>
        <v/>
      </c>
      <c r="R3418" s="39" t="str">
        <f t="shared" si="377"/>
        <v/>
      </c>
      <c r="S3418" s="28"/>
      <c r="T3418" s="28"/>
      <c r="U3418" s="28"/>
    </row>
    <row r="3419" spans="1:21" s="5" customFormat="1">
      <c r="A3419" s="179" t="s">
        <v>3972</v>
      </c>
      <c r="B3419" s="185" t="s">
        <v>7847</v>
      </c>
      <c r="C3419" s="35" t="str">
        <f t="shared" si="371"/>
        <v>Sahv</v>
      </c>
      <c r="E3419" s="40"/>
      <c r="F3419" s="15" t="s">
        <v>3973</v>
      </c>
      <c r="G3419" s="17"/>
      <c r="H3419" s="10" t="s">
        <v>8563</v>
      </c>
      <c r="I3419" s="4" t="str">
        <f t="shared" si="372"/>
        <v>|Ṣaḥv|</v>
      </c>
      <c r="J3419" s="3" t="str">
        <f t="shared" si="373"/>
        <v>|Sahv|</v>
      </c>
      <c r="K3419" s="3" t="str">
        <f t="shared" si="374"/>
        <v>Sahv</v>
      </c>
      <c r="N3419" s="39" t="str">
        <f t="shared" si="375"/>
        <v/>
      </c>
      <c r="P3419" s="39" t="str">
        <f t="shared" si="376"/>
        <v/>
      </c>
      <c r="R3419" s="39" t="str">
        <f t="shared" si="377"/>
        <v/>
      </c>
      <c r="S3419" s="28"/>
      <c r="T3419" s="28"/>
      <c r="U3419" s="28"/>
    </row>
    <row r="3420" spans="1:21" s="5" customFormat="1">
      <c r="A3420" s="179" t="s">
        <v>3974</v>
      </c>
      <c r="B3420" s="185" t="s">
        <v>7848</v>
      </c>
      <c r="C3420" s="35" t="str">
        <f t="shared" si="371"/>
        <v>Said</v>
      </c>
      <c r="E3420" s="40"/>
      <c r="F3420" s="14"/>
      <c r="G3420" s="17"/>
      <c r="H3420" s="10" t="s">
        <v>8563</v>
      </c>
      <c r="I3420" s="4" t="str">
        <f t="shared" si="372"/>
        <v>|Saʿíd|</v>
      </c>
      <c r="J3420" s="3" t="str">
        <f t="shared" si="373"/>
        <v>|Sa'id|</v>
      </c>
      <c r="K3420" s="3" t="str">
        <f t="shared" si="374"/>
        <v>Said</v>
      </c>
      <c r="L3420" s="5" t="s">
        <v>9066</v>
      </c>
      <c r="N3420" s="39" t="str">
        <f t="shared" si="375"/>
        <v/>
      </c>
      <c r="P3420" s="39" t="str">
        <f t="shared" si="376"/>
        <v/>
      </c>
      <c r="R3420" s="39" t="str">
        <f t="shared" si="377"/>
        <v/>
      </c>
      <c r="S3420" s="28"/>
      <c r="T3420" s="28"/>
      <c r="U3420" s="28"/>
    </row>
    <row r="3421" spans="1:21" s="5" customFormat="1">
      <c r="A3421" s="179" t="s">
        <v>3976</v>
      </c>
      <c r="B3421" s="185" t="s">
        <v>7850</v>
      </c>
      <c r="C3421" s="35" t="str">
        <f t="shared" si="371"/>
        <v>SaidiBarfurushi</v>
      </c>
      <c r="E3421" s="40"/>
      <c r="F3421" s="15"/>
      <c r="G3421" s="17"/>
      <c r="H3421" s="10" t="s">
        <v>8563</v>
      </c>
      <c r="I3421" s="4" t="str">
        <f t="shared" si="372"/>
        <v>|Saʿíd-i-Barfurúí|</v>
      </c>
      <c r="J3421" s="3" t="str">
        <f t="shared" si="373"/>
        <v>|Sa'id-i-Barfurushi|</v>
      </c>
      <c r="K3421" s="3" t="str">
        <f t="shared" si="374"/>
        <v>Said-i-Barfurushi</v>
      </c>
      <c r="N3421" s="39" t="str">
        <f t="shared" si="375"/>
        <v/>
      </c>
      <c r="P3421" s="39" t="str">
        <f t="shared" si="376"/>
        <v/>
      </c>
      <c r="R3421" s="39" t="str">
        <f t="shared" si="377"/>
        <v/>
      </c>
      <c r="S3421" s="28"/>
      <c r="T3421" s="28"/>
      <c r="U3421" s="28"/>
    </row>
    <row r="3422" spans="1:21" s="5" customFormat="1">
      <c r="A3422" s="179" t="s">
        <v>3975</v>
      </c>
      <c r="B3422" s="185" t="s">
        <v>7849</v>
      </c>
      <c r="C3422" s="35" t="str">
        <f t="shared" si="371"/>
        <v>Saidih</v>
      </c>
      <c r="E3422" s="40"/>
      <c r="F3422" s="15"/>
      <c r="G3422" s="17"/>
      <c r="H3422" s="10" t="s">
        <v>8563</v>
      </c>
      <c r="I3422" s="4" t="str">
        <f t="shared" si="372"/>
        <v>|Saʿídih|</v>
      </c>
      <c r="J3422" s="3" t="str">
        <f t="shared" si="373"/>
        <v>|Sa'idih|</v>
      </c>
      <c r="K3422" s="3" t="str">
        <f t="shared" si="374"/>
        <v>Saidih</v>
      </c>
      <c r="N3422" s="39" t="str">
        <f t="shared" si="375"/>
        <v/>
      </c>
      <c r="P3422" s="39" t="str">
        <f t="shared" si="376"/>
        <v/>
      </c>
      <c r="R3422" s="39" t="str">
        <f t="shared" si="377"/>
        <v/>
      </c>
      <c r="S3422" s="28"/>
      <c r="T3422" s="28"/>
      <c r="U3422" s="28"/>
    </row>
    <row r="3423" spans="1:21" s="5" customFormat="1">
      <c r="A3423" s="179" t="s">
        <v>3977</v>
      </c>
      <c r="B3423" s="185" t="s">
        <v>7851</v>
      </c>
      <c r="C3423" s="35" t="str">
        <f t="shared" si="371"/>
        <v>SaidiHindi</v>
      </c>
      <c r="E3423" s="40"/>
      <c r="F3423" s="15"/>
      <c r="G3423" s="17"/>
      <c r="H3423" s="10" t="s">
        <v>8563</v>
      </c>
      <c r="I3423" s="4" t="str">
        <f t="shared" si="372"/>
        <v>|Saʿíd-i-Hindí|</v>
      </c>
      <c r="J3423" s="3" t="str">
        <f t="shared" si="373"/>
        <v>|Sa'id-i-Hindi|</v>
      </c>
      <c r="K3423" s="3" t="str">
        <f t="shared" si="374"/>
        <v>Said-i-Hindi</v>
      </c>
      <c r="N3423" s="39" t="str">
        <f t="shared" si="375"/>
        <v/>
      </c>
      <c r="P3423" s="39" t="str">
        <f t="shared" si="376"/>
        <v/>
      </c>
      <c r="R3423" s="39" t="str">
        <f t="shared" si="377"/>
        <v/>
      </c>
      <c r="S3423" s="28"/>
      <c r="T3423" s="28"/>
      <c r="U3423" s="28"/>
    </row>
    <row r="3424" spans="1:21" s="5" customFormat="1">
      <c r="A3424" s="179" t="s">
        <v>3978</v>
      </c>
      <c r="B3424" s="185" t="s">
        <v>7852</v>
      </c>
      <c r="C3424" s="35" t="str">
        <f t="shared" si="371"/>
        <v>SaidiJabbavi</v>
      </c>
      <c r="E3424" s="40"/>
      <c r="F3424" s="15"/>
      <c r="G3424" s="17"/>
      <c r="H3424" s="10" t="s">
        <v>8563</v>
      </c>
      <c r="I3424" s="4" t="str">
        <f t="shared" si="372"/>
        <v>|Saʿíd-i-Jabbáví|</v>
      </c>
      <c r="J3424" s="3" t="str">
        <f t="shared" si="373"/>
        <v>|Sa'id-i-Jabbavi|</v>
      </c>
      <c r="K3424" s="3" t="str">
        <f t="shared" si="374"/>
        <v>Said-i-Jabbavi</v>
      </c>
      <c r="N3424" s="39" t="str">
        <f t="shared" si="375"/>
        <v/>
      </c>
      <c r="P3424" s="39" t="str">
        <f t="shared" si="376"/>
        <v/>
      </c>
      <c r="R3424" s="39" t="str">
        <f t="shared" si="377"/>
        <v/>
      </c>
      <c r="S3424" s="28"/>
      <c r="T3424" s="28"/>
      <c r="U3424" s="28"/>
    </row>
    <row r="3425" spans="1:21" s="5" customFormat="1">
      <c r="A3425" s="179" t="s">
        <v>3979</v>
      </c>
      <c r="B3425" s="185" t="s">
        <v>7853</v>
      </c>
      <c r="C3425" s="35" t="str">
        <f t="shared" si="371"/>
        <v>SaidiZirihKinari</v>
      </c>
      <c r="E3425" s="40"/>
      <c r="F3425" s="15"/>
      <c r="G3425" s="17"/>
      <c r="H3425" s="10" t="s">
        <v>8563</v>
      </c>
      <c r="I3425" s="4" t="str">
        <f t="shared" si="372"/>
        <v>|Saʿíd-i-Zirih-Kinárí|</v>
      </c>
      <c r="J3425" s="3" t="str">
        <f t="shared" si="373"/>
        <v>|Sa'id-i-Zirih-Kinari|</v>
      </c>
      <c r="K3425" s="3" t="str">
        <f t="shared" si="374"/>
        <v>Said-i-Zirih-Kinari</v>
      </c>
      <c r="N3425" s="39" t="str">
        <f t="shared" si="375"/>
        <v/>
      </c>
      <c r="P3425" s="39" t="str">
        <f t="shared" si="376"/>
        <v/>
      </c>
      <c r="R3425" s="39" t="str">
        <f t="shared" si="377"/>
        <v/>
      </c>
      <c r="S3425" s="28"/>
      <c r="T3425" s="28"/>
      <c r="U3425" s="28"/>
    </row>
    <row r="3426" spans="1:21" s="5" customFormat="1">
      <c r="A3426" s="179" t="s">
        <v>3980</v>
      </c>
      <c r="B3426" s="185" t="s">
        <v>7854</v>
      </c>
      <c r="C3426" s="35" t="str">
        <f t="shared" si="371"/>
        <v>SaidulUlama</v>
      </c>
      <c r="E3426" s="40"/>
      <c r="F3426" s="15" t="s">
        <v>3981</v>
      </c>
      <c r="G3426" s="17"/>
      <c r="H3426" s="10" t="s">
        <v>8563</v>
      </c>
      <c r="I3426" s="4" t="str">
        <f t="shared" si="372"/>
        <v>|Saʿídu’l-ʿUlamá|</v>
      </c>
      <c r="J3426" s="3" t="str">
        <f t="shared" si="373"/>
        <v>|Sa'idu'l-'Ulama|</v>
      </c>
      <c r="K3426" s="3" t="str">
        <f t="shared" si="374"/>
        <v>Saidul-Ulama</v>
      </c>
      <c r="N3426" s="39" t="str">
        <f t="shared" si="375"/>
        <v/>
      </c>
      <c r="P3426" s="39" t="str">
        <f t="shared" si="376"/>
        <v/>
      </c>
      <c r="R3426" s="39" t="str">
        <f t="shared" si="377"/>
        <v/>
      </c>
      <c r="S3426" s="28"/>
      <c r="T3426" s="28"/>
      <c r="U3426" s="28"/>
    </row>
    <row r="3427" spans="1:21" s="5" customFormat="1">
      <c r="A3427" s="179" t="s">
        <v>3982</v>
      </c>
      <c r="B3427" s="185" t="s">
        <v>7855</v>
      </c>
      <c r="C3427" s="35" t="str">
        <f t="shared" si="371"/>
        <v>Sain</v>
      </c>
      <c r="E3427" s="40"/>
      <c r="F3427" s="15" t="s">
        <v>3983</v>
      </c>
      <c r="G3427" s="17"/>
      <c r="H3427" s="10" t="s">
        <v>8563</v>
      </c>
      <c r="I3427" s="4" t="str">
        <f t="shared" si="372"/>
        <v>|Ṣá’in|</v>
      </c>
      <c r="J3427" s="3" t="str">
        <f t="shared" si="373"/>
        <v>|Sa'in|</v>
      </c>
      <c r="K3427" s="3" t="str">
        <f t="shared" si="374"/>
        <v>Sain</v>
      </c>
      <c r="N3427" s="39" t="str">
        <f t="shared" si="375"/>
        <v/>
      </c>
      <c r="P3427" s="39" t="str">
        <f t="shared" si="376"/>
        <v/>
      </c>
      <c r="R3427" s="39" t="str">
        <f t="shared" si="377"/>
        <v/>
      </c>
      <c r="S3427" s="28"/>
      <c r="T3427" s="28"/>
      <c r="U3427" s="28"/>
    </row>
    <row r="3428" spans="1:21" s="5" customFormat="1">
      <c r="A3428" s="179" t="s">
        <v>3984</v>
      </c>
      <c r="B3428" s="185" t="s">
        <v>7856</v>
      </c>
      <c r="C3428" s="35" t="str">
        <f t="shared" si="371"/>
        <v>SainudDin</v>
      </c>
      <c r="E3428" s="40"/>
      <c r="F3428" s="15" t="s">
        <v>3985</v>
      </c>
      <c r="G3428" s="17"/>
      <c r="H3428" s="10" t="s">
        <v>8563</v>
      </c>
      <c r="I3428" s="4" t="str">
        <f t="shared" si="372"/>
        <v>|Ṣá’inu’d-Dín|</v>
      </c>
      <c r="J3428" s="3" t="str">
        <f t="shared" si="373"/>
        <v>|Sa'inu'd-Din|</v>
      </c>
      <c r="K3428" s="3" t="str">
        <f t="shared" si="374"/>
        <v>Sainud-Din</v>
      </c>
      <c r="N3428" s="39" t="str">
        <f t="shared" si="375"/>
        <v/>
      </c>
      <c r="P3428" s="39" t="str">
        <f t="shared" si="376"/>
        <v/>
      </c>
      <c r="R3428" s="39" t="str">
        <f t="shared" si="377"/>
        <v/>
      </c>
      <c r="S3428" s="28"/>
      <c r="T3428" s="28"/>
      <c r="U3428" s="28"/>
    </row>
    <row r="3429" spans="1:21" s="5" customFormat="1">
      <c r="A3429" s="179" t="s">
        <v>3986</v>
      </c>
      <c r="B3429" s="185" t="s">
        <v>7857</v>
      </c>
      <c r="C3429" s="35" t="str">
        <f t="shared" si="371"/>
        <v>Sajistan</v>
      </c>
      <c r="E3429" s="40"/>
      <c r="F3429" s="15"/>
      <c r="G3429" s="17"/>
      <c r="H3429" s="10" t="s">
        <v>8563</v>
      </c>
      <c r="I3429" s="4" t="str">
        <f t="shared" si="372"/>
        <v>|Sajistán|</v>
      </c>
      <c r="J3429" s="3" t="str">
        <f t="shared" si="373"/>
        <v>|Sajistan|</v>
      </c>
      <c r="K3429" s="3" t="str">
        <f t="shared" si="374"/>
        <v>Sajistan</v>
      </c>
      <c r="N3429" s="39" t="str">
        <f t="shared" si="375"/>
        <v/>
      </c>
      <c r="P3429" s="39" t="str">
        <f t="shared" si="376"/>
        <v/>
      </c>
      <c r="R3429" s="39" t="str">
        <f t="shared" si="377"/>
        <v/>
      </c>
      <c r="S3429" s="28"/>
      <c r="T3429" s="28"/>
      <c r="U3429" s="28"/>
    </row>
    <row r="3430" spans="1:21" s="5" customFormat="1">
      <c r="A3430" s="179" t="s">
        <v>3987</v>
      </c>
      <c r="B3430" s="185" t="s">
        <v>7858</v>
      </c>
      <c r="C3430" s="35" t="str">
        <f t="shared" si="371"/>
        <v>Sajjad</v>
      </c>
      <c r="E3430" s="40"/>
      <c r="F3430" s="15"/>
      <c r="G3430" s="17"/>
      <c r="H3430" s="10" t="s">
        <v>8563</v>
      </c>
      <c r="I3430" s="4" t="str">
        <f t="shared" si="372"/>
        <v>|Sajjád|</v>
      </c>
      <c r="J3430" s="3" t="str">
        <f t="shared" si="373"/>
        <v>|Sajjad|</v>
      </c>
      <c r="K3430" s="3" t="str">
        <f t="shared" si="374"/>
        <v>Sajjad</v>
      </c>
      <c r="N3430" s="39" t="str">
        <f t="shared" si="375"/>
        <v/>
      </c>
      <c r="P3430" s="39" t="str">
        <f t="shared" si="376"/>
        <v/>
      </c>
      <c r="R3430" s="39" t="str">
        <f t="shared" si="377"/>
        <v/>
      </c>
      <c r="S3430" s="28"/>
      <c r="T3430" s="28"/>
      <c r="U3430" s="28"/>
    </row>
    <row r="3431" spans="1:21" s="5" customFormat="1">
      <c r="A3431" s="179" t="s">
        <v>3988</v>
      </c>
      <c r="B3431" s="185" t="s">
        <v>7859</v>
      </c>
      <c r="C3431" s="35" t="str">
        <f t="shared" si="371"/>
        <v>Sajjadiyyih</v>
      </c>
      <c r="E3431" s="40"/>
      <c r="F3431" s="15"/>
      <c r="G3431" s="17"/>
      <c r="H3431" s="10" t="s">
        <v>8563</v>
      </c>
      <c r="I3431" s="4" t="str">
        <f t="shared" si="372"/>
        <v>|Sajjádíyyih|</v>
      </c>
      <c r="J3431" s="3" t="str">
        <f t="shared" si="373"/>
        <v>|Sajjadiyyih|</v>
      </c>
      <c r="K3431" s="3" t="str">
        <f t="shared" si="374"/>
        <v>Sajjadiyyih</v>
      </c>
      <c r="N3431" s="39" t="str">
        <f t="shared" si="375"/>
        <v/>
      </c>
      <c r="P3431" s="39" t="str">
        <f t="shared" si="376"/>
        <v/>
      </c>
      <c r="R3431" s="39" t="str">
        <f t="shared" si="377"/>
        <v/>
      </c>
      <c r="S3431" s="28"/>
      <c r="T3431" s="28"/>
      <c r="U3431" s="28"/>
    </row>
    <row r="3432" spans="1:21" s="5" customFormat="1">
      <c r="A3432" s="179" t="s">
        <v>3989</v>
      </c>
      <c r="B3432" s="185" t="s">
        <v>7860</v>
      </c>
      <c r="C3432" s="35" t="str">
        <f t="shared" si="371"/>
        <v>SalahidDiniAyyubi</v>
      </c>
      <c r="E3432" s="40"/>
      <c r="F3432" s="15"/>
      <c r="G3432" s="17"/>
      <c r="H3432" s="10" t="s">
        <v>8563</v>
      </c>
      <c r="I3432" s="4" t="str">
        <f t="shared" si="372"/>
        <v>|Ṣaláḥi’d-Dín-i-Ayyubí|</v>
      </c>
      <c r="J3432" s="3" t="str">
        <f t="shared" si="373"/>
        <v>|Salahi'd-Din-i-Ayyubi|</v>
      </c>
      <c r="K3432" s="3" t="str">
        <f t="shared" si="374"/>
        <v>Salahid-Din-i-Ayyubi</v>
      </c>
      <c r="N3432" s="39" t="str">
        <f t="shared" si="375"/>
        <v/>
      </c>
      <c r="P3432" s="39" t="str">
        <f t="shared" si="376"/>
        <v/>
      </c>
      <c r="R3432" s="39" t="str">
        <f t="shared" si="377"/>
        <v/>
      </c>
      <c r="S3432" s="28"/>
      <c r="T3432" s="28"/>
      <c r="U3432" s="28"/>
    </row>
    <row r="3433" spans="1:21" s="5" customFormat="1">
      <c r="A3433" s="179" t="s">
        <v>3990</v>
      </c>
      <c r="B3433" s="185" t="s">
        <v>7861</v>
      </c>
      <c r="C3433" s="35" t="str">
        <f t="shared" si="371"/>
        <v>SalahudDin</v>
      </c>
      <c r="E3433" s="40"/>
      <c r="F3433" s="15"/>
      <c r="G3433" s="17"/>
      <c r="H3433" s="10" t="s">
        <v>8563</v>
      </c>
      <c r="I3433" s="4" t="str">
        <f t="shared" si="372"/>
        <v>|Ṣaláḥu’d-Dín|</v>
      </c>
      <c r="J3433" s="3" t="str">
        <f t="shared" si="373"/>
        <v>|Salahu'd-Din|</v>
      </c>
      <c r="K3433" s="3" t="str">
        <f t="shared" si="374"/>
        <v>Salahud-Din</v>
      </c>
      <c r="N3433" s="39" t="str">
        <f t="shared" si="375"/>
        <v/>
      </c>
      <c r="P3433" s="39" t="str">
        <f t="shared" si="376"/>
        <v/>
      </c>
      <c r="R3433" s="39" t="str">
        <f t="shared" si="377"/>
        <v/>
      </c>
      <c r="S3433" s="28"/>
      <c r="T3433" s="28"/>
      <c r="U3433" s="28"/>
    </row>
    <row r="3434" spans="1:21" s="5" customFormat="1">
      <c r="A3434" s="179" t="s">
        <v>3991</v>
      </c>
      <c r="B3434" s="185" t="s">
        <v>7862</v>
      </c>
      <c r="C3434" s="35" t="str">
        <f t="shared" si="371"/>
        <v>salak</v>
      </c>
      <c r="E3434" s="40"/>
      <c r="F3434" s="15" t="s">
        <v>3992</v>
      </c>
      <c r="G3434" s="17"/>
      <c r="H3434" s="10" t="s">
        <v>8563</v>
      </c>
      <c r="I3434" s="4" t="str">
        <f t="shared" si="372"/>
        <v>|sálak|</v>
      </c>
      <c r="J3434" s="3" t="str">
        <f t="shared" si="373"/>
        <v>|salak|</v>
      </c>
      <c r="K3434" s="3" t="str">
        <f t="shared" si="374"/>
        <v>salak</v>
      </c>
      <c r="N3434" s="39" t="str">
        <f t="shared" si="375"/>
        <v/>
      </c>
      <c r="P3434" s="39" t="str">
        <f t="shared" si="376"/>
        <v/>
      </c>
      <c r="R3434" s="39" t="str">
        <f t="shared" si="377"/>
        <v/>
      </c>
      <c r="S3434" s="28"/>
      <c r="T3434" s="28"/>
      <c r="U3434" s="28"/>
    </row>
    <row r="3435" spans="1:21" s="5" customFormat="1">
      <c r="A3435" s="179" t="s">
        <v>3993</v>
      </c>
      <c r="B3435" s="185" t="s">
        <v>7863</v>
      </c>
      <c r="C3435" s="35" t="str">
        <f t="shared" si="371"/>
        <v>Salam</v>
      </c>
      <c r="E3435" s="40"/>
      <c r="F3435" s="14" t="s">
        <v>3994</v>
      </c>
      <c r="G3435" s="17"/>
      <c r="H3435" s="10" t="s">
        <v>8563</v>
      </c>
      <c r="I3435" s="4" t="str">
        <f t="shared" si="372"/>
        <v>|Salám|</v>
      </c>
      <c r="J3435" s="3" t="str">
        <f t="shared" si="373"/>
        <v>|Salam|</v>
      </c>
      <c r="K3435" s="3" t="str">
        <f t="shared" si="374"/>
        <v>Salam</v>
      </c>
      <c r="N3435" s="39" t="str">
        <f t="shared" si="375"/>
        <v/>
      </c>
      <c r="P3435" s="39" t="str">
        <f t="shared" si="376"/>
        <v/>
      </c>
      <c r="R3435" s="39" t="str">
        <f t="shared" si="377"/>
        <v/>
      </c>
      <c r="S3435" s="28"/>
      <c r="T3435" s="28"/>
      <c r="U3435" s="28"/>
    </row>
    <row r="3436" spans="1:21" s="5" customFormat="1">
      <c r="A3436" s="179" t="s">
        <v>3995</v>
      </c>
      <c r="B3436" s="185" t="s">
        <v>7864</v>
      </c>
      <c r="C3436" s="35" t="str">
        <f t="shared" si="371"/>
        <v>Salar</v>
      </c>
      <c r="E3436" s="40"/>
      <c r="F3436" s="15"/>
      <c r="G3436" s="17"/>
      <c r="H3436" s="10" t="s">
        <v>8563</v>
      </c>
      <c r="I3436" s="4" t="str">
        <f t="shared" si="372"/>
        <v>|Sálár|</v>
      </c>
      <c r="J3436" s="3" t="str">
        <f t="shared" si="373"/>
        <v>|Salar|</v>
      </c>
      <c r="K3436" s="3" t="str">
        <f t="shared" si="374"/>
        <v>Salar</v>
      </c>
      <c r="N3436" s="39" t="str">
        <f t="shared" si="375"/>
        <v/>
      </c>
      <c r="P3436" s="39" t="str">
        <f t="shared" si="376"/>
        <v/>
      </c>
      <c r="R3436" s="39" t="str">
        <f t="shared" si="377"/>
        <v/>
      </c>
      <c r="S3436" s="28"/>
      <c r="T3436" s="28"/>
      <c r="U3436" s="28"/>
    </row>
    <row r="3437" spans="1:21" s="5" customFormat="1">
      <c r="A3437" s="179" t="s">
        <v>3996</v>
      </c>
      <c r="B3437" s="185" t="s">
        <v>7865</v>
      </c>
      <c r="C3437" s="35" t="str">
        <f t="shared" si="371"/>
        <v>SalaridDawlih</v>
      </c>
      <c r="E3437" s="40"/>
      <c r="F3437" s="15"/>
      <c r="G3437" s="17"/>
      <c r="H3437" s="10" t="s">
        <v>8563</v>
      </c>
      <c r="I3437" s="4" t="str">
        <f t="shared" si="372"/>
        <v>|Sálári’d-Dawlih|</v>
      </c>
      <c r="J3437" s="3" t="str">
        <f t="shared" si="373"/>
        <v>|Salari'd-Dawlih|</v>
      </c>
      <c r="K3437" s="3" t="str">
        <f t="shared" si="374"/>
        <v>Salarid-Dawlih</v>
      </c>
      <c r="N3437" s="39" t="str">
        <f t="shared" si="375"/>
        <v/>
      </c>
      <c r="P3437" s="39" t="str">
        <f t="shared" si="376"/>
        <v/>
      </c>
      <c r="R3437" s="39" t="str">
        <f t="shared" si="377"/>
        <v/>
      </c>
      <c r="S3437" s="28"/>
      <c r="T3437" s="28"/>
      <c r="U3437" s="28"/>
    </row>
    <row r="3438" spans="1:21" s="5" customFormat="1">
      <c r="A3438" s="179" t="s">
        <v>3997</v>
      </c>
      <c r="B3438" s="185" t="s">
        <v>7866</v>
      </c>
      <c r="C3438" s="35" t="str">
        <f t="shared" si="371"/>
        <v>SalarusSaltanih</v>
      </c>
      <c r="E3438" s="40"/>
      <c r="F3438" s="15"/>
      <c r="G3438" s="17"/>
      <c r="H3438" s="10" t="s">
        <v>8563</v>
      </c>
      <c r="I3438" s="4" t="str">
        <f t="shared" si="372"/>
        <v>|Sáláru’s-Salṭanih|</v>
      </c>
      <c r="J3438" s="3" t="str">
        <f t="shared" si="373"/>
        <v>|Salaru's-Saltanih|</v>
      </c>
      <c r="K3438" s="3" t="str">
        <f t="shared" si="374"/>
        <v>Salarus-Saltanih</v>
      </c>
      <c r="N3438" s="39" t="str">
        <f t="shared" si="375"/>
        <v/>
      </c>
      <c r="P3438" s="39" t="str">
        <f t="shared" si="376"/>
        <v/>
      </c>
      <c r="R3438" s="39" t="str">
        <f t="shared" si="377"/>
        <v/>
      </c>
      <c r="S3438" s="28"/>
      <c r="T3438" s="28"/>
      <c r="U3438" s="28"/>
    </row>
    <row r="3439" spans="1:21" s="5" customFormat="1">
      <c r="A3439" s="179" t="s">
        <v>3998</v>
      </c>
      <c r="B3439" s="185" t="s">
        <v>7867</v>
      </c>
      <c r="C3439" s="35" t="str">
        <f t="shared" si="371"/>
        <v>Salasil</v>
      </c>
      <c r="E3439" s="40"/>
      <c r="F3439" s="14"/>
      <c r="G3439" s="17"/>
      <c r="H3439" s="10" t="s">
        <v>8563</v>
      </c>
      <c r="I3439" s="4" t="str">
        <f t="shared" si="372"/>
        <v>|Salásil|</v>
      </c>
      <c r="J3439" s="3" t="str">
        <f t="shared" si="373"/>
        <v>|Salasil|</v>
      </c>
      <c r="K3439" s="3" t="str">
        <f t="shared" si="374"/>
        <v>Salasil</v>
      </c>
      <c r="N3439" s="39" t="str">
        <f t="shared" si="375"/>
        <v/>
      </c>
      <c r="P3439" s="39" t="str">
        <f t="shared" si="376"/>
        <v/>
      </c>
      <c r="R3439" s="39" t="str">
        <f t="shared" si="377"/>
        <v/>
      </c>
      <c r="S3439" s="28"/>
      <c r="T3439" s="28"/>
      <c r="U3439" s="28"/>
    </row>
    <row r="3440" spans="1:21" s="5" customFormat="1">
      <c r="A3440" s="179" t="s">
        <v>3999</v>
      </c>
      <c r="B3440" s="185" t="s">
        <v>7868</v>
      </c>
      <c r="C3440" s="35" t="str">
        <f t="shared" si="371"/>
        <v>Salat</v>
      </c>
      <c r="E3440" s="40"/>
      <c r="F3440" s="15" t="s">
        <v>4000</v>
      </c>
      <c r="G3440" s="17"/>
      <c r="H3440" s="10" t="s">
        <v>8563</v>
      </c>
      <c r="I3440" s="4" t="str">
        <f t="shared" si="372"/>
        <v>|Ṣalát|</v>
      </c>
      <c r="J3440" s="3" t="str">
        <f t="shared" si="373"/>
        <v>|Salat|</v>
      </c>
      <c r="K3440" s="3" t="str">
        <f t="shared" si="374"/>
        <v>Salat</v>
      </c>
      <c r="N3440" s="39" t="str">
        <f t="shared" si="375"/>
        <v/>
      </c>
      <c r="P3440" s="39" t="str">
        <f t="shared" si="376"/>
        <v/>
      </c>
      <c r="R3440" s="39" t="str">
        <f t="shared" si="377"/>
        <v/>
      </c>
      <c r="S3440" s="28"/>
      <c r="T3440" s="28"/>
      <c r="U3440" s="28"/>
    </row>
    <row r="3441" spans="1:21" s="5" customFormat="1">
      <c r="A3441" s="179" t="s">
        <v>4001</v>
      </c>
      <c r="B3441" s="185" t="s">
        <v>7869</v>
      </c>
      <c r="C3441" s="35" t="str">
        <f t="shared" si="371"/>
        <v>SalatiMayyit</v>
      </c>
      <c r="E3441" s="40"/>
      <c r="F3441" s="15" t="s">
        <v>4002</v>
      </c>
      <c r="G3441" s="17"/>
      <c r="H3441" s="10" t="s">
        <v>8563</v>
      </c>
      <c r="I3441" s="4" t="str">
        <f t="shared" si="372"/>
        <v>|Ṣalát-i-Mayyit|</v>
      </c>
      <c r="J3441" s="3" t="str">
        <f t="shared" si="373"/>
        <v>|Salat-i-Mayyit|</v>
      </c>
      <c r="K3441" s="3" t="str">
        <f t="shared" si="374"/>
        <v>Salat-i-Mayyit</v>
      </c>
      <c r="N3441" s="39" t="str">
        <f t="shared" si="375"/>
        <v/>
      </c>
      <c r="P3441" s="39" t="str">
        <f t="shared" si="376"/>
        <v/>
      </c>
      <c r="R3441" s="39" t="str">
        <f t="shared" si="377"/>
        <v/>
      </c>
      <c r="S3441" s="28"/>
      <c r="T3441" s="28"/>
      <c r="U3441" s="28"/>
    </row>
    <row r="3442" spans="1:21" s="5" customFormat="1">
      <c r="A3442" s="179" t="s">
        <v>4003</v>
      </c>
      <c r="B3442" s="185" t="s">
        <v>7870</v>
      </c>
      <c r="C3442" s="35" t="str">
        <f t="shared" si="371"/>
        <v>Salih</v>
      </c>
      <c r="E3442" s="40"/>
      <c r="F3442" s="14"/>
      <c r="G3442" s="17"/>
      <c r="H3442" s="10" t="s">
        <v>8563</v>
      </c>
      <c r="I3442" s="4" t="str">
        <f t="shared" si="372"/>
        <v>|Ṣáliḥ|</v>
      </c>
      <c r="J3442" s="3" t="str">
        <f t="shared" si="373"/>
        <v>|Salih|</v>
      </c>
      <c r="K3442" s="3" t="str">
        <f t="shared" si="374"/>
        <v>Salih</v>
      </c>
      <c r="N3442" s="39" t="str">
        <f t="shared" si="375"/>
        <v/>
      </c>
      <c r="P3442" s="39" t="str">
        <f t="shared" si="376"/>
        <v/>
      </c>
      <c r="R3442" s="39" t="str">
        <f t="shared" si="377"/>
        <v/>
      </c>
      <c r="S3442" s="28"/>
      <c r="T3442" s="28"/>
      <c r="U3442" s="28"/>
    </row>
    <row r="3443" spans="1:21" s="5" customFormat="1">
      <c r="A3443" s="179" t="s">
        <v>4004</v>
      </c>
      <c r="B3443" s="185" t="s">
        <v>7871</v>
      </c>
      <c r="C3443" s="35" t="str">
        <f t="shared" si="371"/>
        <v>SalihiBaraqani</v>
      </c>
      <c r="E3443" s="40"/>
      <c r="F3443" s="14"/>
      <c r="G3443" s="17"/>
      <c r="H3443" s="10" t="s">
        <v>8563</v>
      </c>
      <c r="I3443" s="4" t="str">
        <f t="shared" si="372"/>
        <v>|Ṣáliḥ-i-Baraqání|</v>
      </c>
      <c r="J3443" s="3" t="str">
        <f t="shared" si="373"/>
        <v>|Salih-i-Baraqani|</v>
      </c>
      <c r="K3443" s="3" t="str">
        <f t="shared" si="374"/>
        <v>Salih-i-Baraqani</v>
      </c>
      <c r="N3443" s="39" t="str">
        <f t="shared" si="375"/>
        <v/>
      </c>
      <c r="P3443" s="39" t="str">
        <f t="shared" si="376"/>
        <v/>
      </c>
      <c r="R3443" s="39" t="str">
        <f t="shared" si="377"/>
        <v/>
      </c>
      <c r="S3443" s="28"/>
      <c r="T3443" s="28"/>
      <c r="U3443" s="28"/>
    </row>
    <row r="3444" spans="1:21" s="5" customFormat="1">
      <c r="A3444" s="179" t="s">
        <v>4005</v>
      </c>
      <c r="B3444" s="185" t="s">
        <v>7872</v>
      </c>
      <c r="C3444" s="35" t="str">
        <f t="shared" si="371"/>
        <v>SalihiKarimi</v>
      </c>
      <c r="E3444" s="40"/>
      <c r="F3444" s="14"/>
      <c r="G3444" s="17"/>
      <c r="H3444" s="10" t="s">
        <v>8563</v>
      </c>
      <c r="I3444" s="4" t="str">
        <f t="shared" si="372"/>
        <v>|Ṣáliḥ-i-Karímí|</v>
      </c>
      <c r="J3444" s="3" t="str">
        <f t="shared" si="373"/>
        <v>|Salih-i-Karimi|</v>
      </c>
      <c r="K3444" s="3" t="str">
        <f t="shared" si="374"/>
        <v>Salih-i-Karimi</v>
      </c>
      <c r="N3444" s="39" t="str">
        <f t="shared" si="375"/>
        <v/>
      </c>
      <c r="P3444" s="39" t="str">
        <f t="shared" si="376"/>
        <v/>
      </c>
      <c r="R3444" s="39" t="str">
        <f t="shared" si="377"/>
        <v/>
      </c>
      <c r="S3444" s="28"/>
      <c r="T3444" s="28"/>
      <c r="U3444" s="28"/>
    </row>
    <row r="3445" spans="1:21" s="5" customFormat="1">
      <c r="A3445" s="179" t="s">
        <v>4006</v>
      </c>
      <c r="B3445" s="185" t="s">
        <v>7873</v>
      </c>
      <c r="C3445" s="35" t="str">
        <f t="shared" si="371"/>
        <v>SalihiQazvini</v>
      </c>
      <c r="E3445" s="40"/>
      <c r="F3445" s="14"/>
      <c r="G3445" s="17"/>
      <c r="H3445" s="10" t="s">
        <v>8563</v>
      </c>
      <c r="I3445" s="4" t="str">
        <f t="shared" si="372"/>
        <v>|Ṣáliḥ-i-Qazvíní|</v>
      </c>
      <c r="J3445" s="3" t="str">
        <f t="shared" si="373"/>
        <v>|Salih-i-Qazvini|</v>
      </c>
      <c r="K3445" s="3" t="str">
        <f t="shared" si="374"/>
        <v>Salih-i-Qazvini</v>
      </c>
      <c r="N3445" s="39" t="str">
        <f t="shared" si="375"/>
        <v/>
      </c>
      <c r="P3445" s="39" t="str">
        <f t="shared" si="376"/>
        <v/>
      </c>
      <c r="R3445" s="39" t="str">
        <f t="shared" si="377"/>
        <v/>
      </c>
      <c r="S3445" s="28"/>
      <c r="T3445" s="28"/>
      <c r="U3445" s="28"/>
    </row>
    <row r="3446" spans="1:21" s="5" customFormat="1">
      <c r="A3446" s="179" t="s">
        <v>4007</v>
      </c>
      <c r="B3446" s="185" t="s">
        <v>7874</v>
      </c>
      <c r="C3446" s="35" t="str">
        <f t="shared" si="371"/>
        <v>Salihiyyih</v>
      </c>
      <c r="E3446" s="40"/>
      <c r="F3446" s="15"/>
      <c r="G3446" s="17"/>
      <c r="H3446" s="10" t="s">
        <v>8563</v>
      </c>
      <c r="I3446" s="4" t="str">
        <f t="shared" si="372"/>
        <v>|Ṣáliḥíyyih|</v>
      </c>
      <c r="J3446" s="3" t="str">
        <f t="shared" si="373"/>
        <v>|Salihiyyih|</v>
      </c>
      <c r="K3446" s="3" t="str">
        <f t="shared" si="374"/>
        <v>Salihiyyih</v>
      </c>
      <c r="N3446" s="39" t="str">
        <f t="shared" si="375"/>
        <v/>
      </c>
      <c r="P3446" s="39" t="str">
        <f t="shared" si="376"/>
        <v/>
      </c>
      <c r="R3446" s="39" t="str">
        <f t="shared" si="377"/>
        <v/>
      </c>
      <c r="S3446" s="28"/>
      <c r="T3446" s="28"/>
      <c r="U3446" s="28"/>
    </row>
    <row r="3447" spans="1:21" s="5" customFormat="1">
      <c r="A3447" s="179" t="s">
        <v>4008</v>
      </c>
      <c r="B3447" s="185" t="s">
        <v>7875</v>
      </c>
      <c r="C3447" s="35" t="str">
        <f t="shared" si="371"/>
        <v>Salim</v>
      </c>
      <c r="E3447" s="40"/>
      <c r="F3447" s="14"/>
      <c r="G3447" s="17"/>
      <c r="H3447" s="10" t="s">
        <v>8563</v>
      </c>
      <c r="I3447" s="4" t="str">
        <f t="shared" si="372"/>
        <v>|Salím|</v>
      </c>
      <c r="J3447" s="3" t="str">
        <f t="shared" si="373"/>
        <v>|Salim|</v>
      </c>
      <c r="K3447" s="3" t="str">
        <f t="shared" si="374"/>
        <v>Salim</v>
      </c>
      <c r="N3447" s="39" t="str">
        <f t="shared" si="375"/>
        <v/>
      </c>
      <c r="P3447" s="39" t="str">
        <f t="shared" si="376"/>
        <v/>
      </c>
      <c r="R3447" s="39" t="str">
        <f t="shared" si="377"/>
        <v/>
      </c>
      <c r="S3447" s="28"/>
      <c r="T3447" s="28"/>
      <c r="U3447" s="28"/>
    </row>
    <row r="3448" spans="1:21" s="5" customFormat="1">
      <c r="A3448" s="179" t="s">
        <v>4009</v>
      </c>
      <c r="B3448" s="185" t="s">
        <v>7876</v>
      </c>
      <c r="C3448" s="35" t="str">
        <f t="shared" si="371"/>
        <v>Saljuq</v>
      </c>
      <c r="E3448" s="40"/>
      <c r="F3448" s="14"/>
      <c r="G3448" s="17"/>
      <c r="H3448" s="10" t="s">
        <v>8563</v>
      </c>
      <c r="I3448" s="4" t="str">
        <f t="shared" si="372"/>
        <v>|Saljúq|</v>
      </c>
      <c r="J3448" s="3" t="str">
        <f t="shared" si="373"/>
        <v>|Saljuq|</v>
      </c>
      <c r="K3448" s="3" t="str">
        <f t="shared" si="374"/>
        <v>Saljuq</v>
      </c>
      <c r="N3448" s="39" t="str">
        <f t="shared" si="375"/>
        <v/>
      </c>
      <c r="P3448" s="39" t="str">
        <f t="shared" si="376"/>
        <v/>
      </c>
      <c r="R3448" s="39" t="str">
        <f t="shared" si="377"/>
        <v/>
      </c>
      <c r="S3448" s="28"/>
      <c r="T3448" s="28"/>
      <c r="U3448" s="28"/>
    </row>
    <row r="3449" spans="1:21" s="5" customFormat="1">
      <c r="A3449" s="179" t="s">
        <v>4010</v>
      </c>
      <c r="B3449" s="185" t="s">
        <v>7877</v>
      </c>
      <c r="C3449" s="35" t="str">
        <f t="shared" si="371"/>
        <v>Salma</v>
      </c>
      <c r="E3449" s="40"/>
      <c r="F3449" s="15" t="s">
        <v>4011</v>
      </c>
      <c r="G3449" s="17"/>
      <c r="H3449" s="10" t="s">
        <v>8563</v>
      </c>
      <c r="I3449" s="4" t="str">
        <f t="shared" si="372"/>
        <v>|Salmá|</v>
      </c>
      <c r="J3449" s="3" t="str">
        <f t="shared" si="373"/>
        <v>|Salma|</v>
      </c>
      <c r="K3449" s="3" t="str">
        <f t="shared" si="374"/>
        <v>Salma</v>
      </c>
      <c r="N3449" s="39" t="str">
        <f t="shared" si="375"/>
        <v/>
      </c>
      <c r="P3449" s="39" t="str">
        <f t="shared" si="376"/>
        <v/>
      </c>
      <c r="R3449" s="39" t="str">
        <f t="shared" si="377"/>
        <v/>
      </c>
      <c r="S3449" s="28"/>
      <c r="T3449" s="28"/>
      <c r="U3449" s="28"/>
    </row>
    <row r="3450" spans="1:21" s="5" customFormat="1">
      <c r="A3450" s="179" t="s">
        <v>4012</v>
      </c>
      <c r="B3450" s="185" t="s">
        <v>183</v>
      </c>
      <c r="C3450" s="35" t="str">
        <f t="shared" si="371"/>
        <v>Salman</v>
      </c>
      <c r="E3450" s="40"/>
      <c r="F3450" s="14"/>
      <c r="G3450" s="17"/>
      <c r="H3450" s="10" t="s">
        <v>8563</v>
      </c>
      <c r="I3450" s="4" t="str">
        <f t="shared" si="372"/>
        <v>|Salmán|</v>
      </c>
      <c r="J3450" s="3" t="str">
        <f t="shared" si="373"/>
        <v>|Salman|</v>
      </c>
      <c r="K3450" s="3" t="str">
        <f t="shared" si="374"/>
        <v>Salman</v>
      </c>
      <c r="N3450" s="39" t="str">
        <f t="shared" si="375"/>
        <v/>
      </c>
      <c r="P3450" s="39" t="str">
        <f t="shared" si="376"/>
        <v/>
      </c>
      <c r="R3450" s="39" t="str">
        <f t="shared" si="377"/>
        <v/>
      </c>
      <c r="S3450" s="28"/>
      <c r="T3450" s="28"/>
      <c r="U3450" s="28"/>
    </row>
    <row r="3451" spans="1:21" s="5" customFormat="1">
      <c r="A3451" s="179" t="s">
        <v>4013</v>
      </c>
      <c r="B3451" s="185" t="s">
        <v>7878</v>
      </c>
      <c r="C3451" s="35" t="str">
        <f t="shared" si="371"/>
        <v>Salmani</v>
      </c>
      <c r="E3451" s="40"/>
      <c r="F3451" s="15"/>
      <c r="G3451" s="17"/>
      <c r="H3451" s="10" t="s">
        <v>8563</v>
      </c>
      <c r="I3451" s="4" t="str">
        <f t="shared" si="372"/>
        <v>|Salmání|</v>
      </c>
      <c r="J3451" s="3" t="str">
        <f t="shared" si="373"/>
        <v>|Salmani|</v>
      </c>
      <c r="K3451" s="3" t="str">
        <f t="shared" si="374"/>
        <v>Salmani</v>
      </c>
      <c r="N3451" s="39" t="str">
        <f t="shared" si="375"/>
        <v/>
      </c>
      <c r="P3451" s="39" t="str">
        <f t="shared" si="376"/>
        <v/>
      </c>
      <c r="R3451" s="39" t="str">
        <f t="shared" si="377"/>
        <v/>
      </c>
      <c r="S3451" s="28"/>
      <c r="T3451" s="28"/>
      <c r="U3451" s="28"/>
    </row>
    <row r="3452" spans="1:21" s="5" customFormat="1">
      <c r="A3452" s="179" t="s">
        <v>4014</v>
      </c>
      <c r="B3452" s="185" t="s">
        <v>7879</v>
      </c>
      <c r="C3452" s="35" t="str">
        <f t="shared" si="371"/>
        <v>Salmas</v>
      </c>
      <c r="E3452" s="40"/>
      <c r="F3452" s="15"/>
      <c r="G3452" s="17"/>
      <c r="H3452" s="10" t="s">
        <v>8563</v>
      </c>
      <c r="I3452" s="4" t="str">
        <f t="shared" si="372"/>
        <v>|Salmás|</v>
      </c>
      <c r="J3452" s="3" t="str">
        <f t="shared" si="373"/>
        <v>|Salmas|</v>
      </c>
      <c r="K3452" s="3" t="str">
        <f t="shared" si="374"/>
        <v>Salmas</v>
      </c>
      <c r="N3452" s="39" t="str">
        <f t="shared" si="375"/>
        <v/>
      </c>
      <c r="P3452" s="39" t="str">
        <f t="shared" si="376"/>
        <v/>
      </c>
      <c r="R3452" s="39" t="str">
        <f t="shared" si="377"/>
        <v/>
      </c>
      <c r="S3452" s="28"/>
      <c r="T3452" s="28"/>
      <c r="U3452" s="28"/>
    </row>
    <row r="3453" spans="1:21" s="5" customFormat="1">
      <c r="A3453" s="179" t="s">
        <v>4015</v>
      </c>
      <c r="B3453" s="185" t="s">
        <v>7880</v>
      </c>
      <c r="C3453" s="35" t="str">
        <f t="shared" si="371"/>
        <v>Salsabil</v>
      </c>
      <c r="E3453" s="40"/>
      <c r="F3453" s="14"/>
      <c r="G3453" s="17"/>
      <c r="H3453" s="10" t="s">
        <v>8563</v>
      </c>
      <c r="I3453" s="4" t="str">
        <f t="shared" si="372"/>
        <v>|Salsabíl|</v>
      </c>
      <c r="J3453" s="3" t="str">
        <f t="shared" si="373"/>
        <v>|Salsabil|</v>
      </c>
      <c r="K3453" s="3" t="str">
        <f t="shared" si="374"/>
        <v>Salsabil</v>
      </c>
      <c r="N3453" s="39" t="str">
        <f t="shared" si="375"/>
        <v/>
      </c>
      <c r="P3453" s="39" t="str">
        <f t="shared" si="376"/>
        <v/>
      </c>
      <c r="R3453" s="39" t="str">
        <f t="shared" si="377"/>
        <v/>
      </c>
      <c r="S3453" s="28"/>
      <c r="T3453" s="28"/>
      <c r="U3453" s="28"/>
    </row>
    <row r="3454" spans="1:21" s="5" customFormat="1">
      <c r="A3454" s="179" t="s">
        <v>4016</v>
      </c>
      <c r="B3454" s="185" t="s">
        <v>7881</v>
      </c>
      <c r="C3454" s="35" t="str">
        <f t="shared" si="371"/>
        <v>Saltanat</v>
      </c>
      <c r="E3454" s="40"/>
      <c r="F3454" s="15"/>
      <c r="G3454" s="17"/>
      <c r="H3454" s="10" t="s">
        <v>8563</v>
      </c>
      <c r="I3454" s="4" t="str">
        <f t="shared" si="372"/>
        <v>|Salṭanat|</v>
      </c>
      <c r="J3454" s="3" t="str">
        <f t="shared" si="373"/>
        <v>|Saltanat|</v>
      </c>
      <c r="K3454" s="3" t="str">
        <f t="shared" si="374"/>
        <v>Saltanat</v>
      </c>
      <c r="N3454" s="39" t="str">
        <f t="shared" si="375"/>
        <v/>
      </c>
      <c r="P3454" s="39" t="str">
        <f t="shared" si="376"/>
        <v/>
      </c>
      <c r="R3454" s="39" t="str">
        <f t="shared" si="377"/>
        <v/>
      </c>
      <c r="S3454" s="28"/>
      <c r="T3454" s="28"/>
      <c r="U3454" s="28"/>
    </row>
    <row r="3455" spans="1:21" s="5" customFormat="1">
      <c r="A3455" s="179" t="s">
        <v>4017</v>
      </c>
      <c r="B3455" s="185" t="s">
        <v>7882</v>
      </c>
      <c r="C3455" s="35" t="str">
        <f t="shared" si="371"/>
        <v>Saltanih</v>
      </c>
      <c r="E3455" s="40"/>
      <c r="F3455" s="15" t="s">
        <v>4018</v>
      </c>
      <c r="G3455" s="17"/>
      <c r="H3455" s="10" t="s">
        <v>8563</v>
      </c>
      <c r="I3455" s="4" t="str">
        <f t="shared" si="372"/>
        <v>|Salṭanih|</v>
      </c>
      <c r="J3455" s="3" t="str">
        <f t="shared" si="373"/>
        <v>|Saltanih|</v>
      </c>
      <c r="K3455" s="3" t="str">
        <f t="shared" si="374"/>
        <v>Saltanih</v>
      </c>
      <c r="N3455" s="39" t="str">
        <f t="shared" si="375"/>
        <v/>
      </c>
      <c r="P3455" s="39" t="str">
        <f t="shared" si="376"/>
        <v/>
      </c>
      <c r="R3455" s="39" t="str">
        <f t="shared" si="377"/>
        <v/>
      </c>
      <c r="S3455" s="28"/>
      <c r="T3455" s="28"/>
      <c r="U3455" s="28"/>
    </row>
    <row r="3456" spans="1:21" s="5" customFormat="1">
      <c r="A3456" s="179" t="s">
        <v>4019</v>
      </c>
      <c r="B3456" s="185" t="s">
        <v>7883</v>
      </c>
      <c r="C3456" s="35" t="str">
        <f t="shared" si="371"/>
        <v>Salvan</v>
      </c>
      <c r="E3456" s="40"/>
      <c r="F3456" s="14"/>
      <c r="G3456" s="17"/>
      <c r="H3456" s="10" t="s">
        <v>8563</v>
      </c>
      <c r="I3456" s="4" t="str">
        <f t="shared" si="372"/>
        <v>|Salván|</v>
      </c>
      <c r="J3456" s="3" t="str">
        <f t="shared" si="373"/>
        <v>|Salvan|</v>
      </c>
      <c r="K3456" s="3" t="str">
        <f t="shared" si="374"/>
        <v>Salvan</v>
      </c>
      <c r="N3456" s="39" t="str">
        <f t="shared" si="375"/>
        <v/>
      </c>
      <c r="P3456" s="39" t="str">
        <f t="shared" si="376"/>
        <v/>
      </c>
      <c r="R3456" s="39" t="str">
        <f t="shared" si="377"/>
        <v/>
      </c>
      <c r="S3456" s="28"/>
      <c r="T3456" s="28"/>
      <c r="U3456" s="28"/>
    </row>
    <row r="3457" spans="1:21" s="5" customFormat="1">
      <c r="A3457" s="179" t="s">
        <v>4020</v>
      </c>
      <c r="B3457" s="185" t="s">
        <v>7884</v>
      </c>
      <c r="C3457" s="35" t="str">
        <f t="shared" si="371"/>
        <v>Salvari</v>
      </c>
      <c r="E3457" s="40"/>
      <c r="F3457" s="14"/>
      <c r="G3457" s="17"/>
      <c r="H3457" s="10" t="s">
        <v>8563</v>
      </c>
      <c r="I3457" s="4" t="str">
        <f t="shared" si="372"/>
        <v>|Salvárí|</v>
      </c>
      <c r="J3457" s="3" t="str">
        <f t="shared" si="373"/>
        <v>|Salvari|</v>
      </c>
      <c r="K3457" s="3" t="str">
        <f t="shared" si="374"/>
        <v>Salvari</v>
      </c>
      <c r="N3457" s="39" t="str">
        <f t="shared" si="375"/>
        <v/>
      </c>
      <c r="P3457" s="39" t="str">
        <f t="shared" si="376"/>
        <v/>
      </c>
      <c r="R3457" s="39" t="str">
        <f t="shared" si="377"/>
        <v/>
      </c>
      <c r="S3457" s="28"/>
      <c r="T3457" s="28"/>
      <c r="U3457" s="28"/>
    </row>
    <row r="3458" spans="1:21" s="5" customFormat="1">
      <c r="A3458" s="179" t="s">
        <v>4021</v>
      </c>
      <c r="B3458" s="185" t="s">
        <v>7885</v>
      </c>
      <c r="C3458" s="35" t="str">
        <f t="shared" ref="C3458:C3521" si="378">SUBSTITUTE(SUBSTITUTE(K3458,"-","")," ","")</f>
        <v>Sam</v>
      </c>
      <c r="E3458" s="40"/>
      <c r="F3458" s="14"/>
      <c r="G3458" s="17"/>
      <c r="H3458" s="10" t="s">
        <v>8563</v>
      </c>
      <c r="I3458" s="4" t="str">
        <f t="shared" ref="I3458:I3521" si="379">CONCATENATE("|",B3458,"|")</f>
        <v>|Sám|</v>
      </c>
      <c r="J3458" s="3" t="str">
        <f t="shared" ref="J3458:J3521" si="380">CONCATENATE("|",F_OutputASCII(B3458),"|")</f>
        <v>|Sam|</v>
      </c>
      <c r="K3458" s="3" t="str">
        <f t="shared" ref="K3458:K3521" si="381">IF(SUBSTITUTE(MID(J3458,2,LEN(J3458)-2),"'","")&lt;&gt;"",SUBSTITUTE(MID(J3458,2,LEN(J3458)-2),"'",""),"ZZZZZ")</f>
        <v>Sam</v>
      </c>
      <c r="N3458" s="39" t="str">
        <f t="shared" si="375"/>
        <v/>
      </c>
      <c r="P3458" s="39" t="str">
        <f t="shared" si="376"/>
        <v/>
      </c>
      <c r="R3458" s="39" t="str">
        <f t="shared" si="377"/>
        <v/>
      </c>
      <c r="S3458" s="28"/>
      <c r="T3458" s="28"/>
      <c r="U3458" s="28"/>
    </row>
    <row r="3459" spans="1:21" s="5" customFormat="1">
      <c r="A3459" s="179" t="s">
        <v>4022</v>
      </c>
      <c r="B3459" s="185" t="s">
        <v>7886</v>
      </c>
      <c r="C3459" s="35" t="str">
        <f t="shared" si="378"/>
        <v>Sama</v>
      </c>
      <c r="E3459" s="40"/>
      <c r="F3459" s="14"/>
      <c r="G3459" s="17"/>
      <c r="H3459" s="10" t="s">
        <v>8563</v>
      </c>
      <c r="I3459" s="4" t="str">
        <f t="shared" si="379"/>
        <v>|Samá|</v>
      </c>
      <c r="J3459" s="3" t="str">
        <f t="shared" si="380"/>
        <v>|Sama|</v>
      </c>
      <c r="K3459" s="3" t="str">
        <f t="shared" si="381"/>
        <v>Sama</v>
      </c>
      <c r="N3459" s="39" t="str">
        <f t="shared" ref="N3459:N3522" si="382">SUBSTITUTE(SUBSTITUTE(SUBSTITUTE(F_OutputASCII(M3459),"-","")," ",""),"'","")</f>
        <v/>
      </c>
      <c r="P3459" s="39" t="str">
        <f t="shared" ref="P3459:P3522" si="383">SUBSTITUTE(SUBSTITUTE(SUBSTITUTE(F_OutputASCII(O3459),"-","")," ",""),"'","")</f>
        <v/>
      </c>
      <c r="R3459" s="39" t="str">
        <f t="shared" ref="R3459:R3522" si="384">SUBSTITUTE(SUBSTITUTE(Q3459,"-","")," ","")</f>
        <v/>
      </c>
      <c r="S3459" s="28"/>
      <c r="T3459" s="28"/>
      <c r="U3459" s="28"/>
    </row>
    <row r="3460" spans="1:21" s="5" customFormat="1">
      <c r="A3460" s="179" t="s">
        <v>4023</v>
      </c>
      <c r="B3460" s="185" t="s">
        <v>7887</v>
      </c>
      <c r="C3460" s="35" t="str">
        <f t="shared" si="378"/>
        <v>Samad</v>
      </c>
      <c r="E3460" s="40"/>
      <c r="F3460" s="15" t="s">
        <v>4024</v>
      </c>
      <c r="G3460" s="17"/>
      <c r="H3460" s="10" t="s">
        <v>8563</v>
      </c>
      <c r="I3460" s="4" t="str">
        <f t="shared" si="379"/>
        <v>|Ṣamad|</v>
      </c>
      <c r="J3460" s="3" t="str">
        <f t="shared" si="380"/>
        <v>|Samad|</v>
      </c>
      <c r="K3460" s="3" t="str">
        <f t="shared" si="381"/>
        <v>Samad</v>
      </c>
      <c r="N3460" s="39" t="str">
        <f t="shared" si="382"/>
        <v/>
      </c>
      <c r="P3460" s="39" t="str">
        <f t="shared" si="383"/>
        <v/>
      </c>
      <c r="R3460" s="39" t="str">
        <f t="shared" si="384"/>
        <v/>
      </c>
      <c r="S3460" s="28"/>
      <c r="T3460" s="28"/>
      <c r="U3460" s="28"/>
    </row>
    <row r="3461" spans="1:21" s="5" customFormat="1">
      <c r="A3461" s="179" t="s">
        <v>4025</v>
      </c>
      <c r="B3461" s="185" t="s">
        <v>7888</v>
      </c>
      <c r="C3461" s="35" t="str">
        <f t="shared" si="378"/>
        <v>Samandar</v>
      </c>
      <c r="E3461" s="40"/>
      <c r="F3461" s="14" t="s">
        <v>4026</v>
      </c>
      <c r="G3461" s="17"/>
      <c r="H3461" s="10" t="s">
        <v>8563</v>
      </c>
      <c r="I3461" s="4" t="str">
        <f t="shared" si="379"/>
        <v>|Samandar|</v>
      </c>
      <c r="J3461" s="3" t="str">
        <f t="shared" si="380"/>
        <v>|Samandar|</v>
      </c>
      <c r="K3461" s="3" t="str">
        <f t="shared" si="381"/>
        <v>Samandar</v>
      </c>
      <c r="N3461" s="39" t="str">
        <f t="shared" si="382"/>
        <v/>
      </c>
      <c r="P3461" s="39" t="str">
        <f t="shared" si="383"/>
        <v/>
      </c>
      <c r="R3461" s="39" t="str">
        <f t="shared" si="384"/>
        <v/>
      </c>
      <c r="S3461" s="28"/>
      <c r="T3461" s="28"/>
      <c r="U3461" s="28"/>
    </row>
    <row r="3462" spans="1:21" s="5" customFormat="1">
      <c r="A3462" s="179" t="s">
        <v>4027</v>
      </c>
      <c r="B3462" s="185" t="s">
        <v>7889</v>
      </c>
      <c r="C3462" s="35" t="str">
        <f t="shared" si="378"/>
        <v>Samandari</v>
      </c>
      <c r="E3462" s="40"/>
      <c r="F3462" s="14"/>
      <c r="G3462" s="17"/>
      <c r="H3462" s="10" t="s">
        <v>8563</v>
      </c>
      <c r="I3462" s="4" t="str">
        <f t="shared" si="379"/>
        <v>|Samandarí|</v>
      </c>
      <c r="J3462" s="3" t="str">
        <f t="shared" si="380"/>
        <v>|Samandari|</v>
      </c>
      <c r="K3462" s="3" t="str">
        <f t="shared" si="381"/>
        <v>Samandari</v>
      </c>
      <c r="N3462" s="39" t="str">
        <f t="shared" si="382"/>
        <v/>
      </c>
      <c r="P3462" s="39" t="str">
        <f t="shared" si="383"/>
        <v/>
      </c>
      <c r="R3462" s="39" t="str">
        <f t="shared" si="384"/>
        <v/>
      </c>
      <c r="S3462" s="28"/>
      <c r="T3462" s="28"/>
      <c r="U3462" s="28"/>
    </row>
    <row r="3463" spans="1:21" s="5" customFormat="1">
      <c r="A3463" s="179" t="s">
        <v>4028</v>
      </c>
      <c r="B3463" s="185" t="s">
        <v>7890</v>
      </c>
      <c r="C3463" s="35" t="str">
        <f t="shared" si="378"/>
        <v>Samanu</v>
      </c>
      <c r="E3463" s="40"/>
      <c r="F3463" s="15" t="s">
        <v>4029</v>
      </c>
      <c r="G3463" s="17"/>
      <c r="H3463" s="10" t="s">
        <v>8563</v>
      </c>
      <c r="I3463" s="4" t="str">
        <f t="shared" si="379"/>
        <v>|Samanú|</v>
      </c>
      <c r="J3463" s="3" t="str">
        <f t="shared" si="380"/>
        <v>|Samanu|</v>
      </c>
      <c r="K3463" s="3" t="str">
        <f t="shared" si="381"/>
        <v>Samanu</v>
      </c>
      <c r="N3463" s="39" t="str">
        <f t="shared" si="382"/>
        <v/>
      </c>
      <c r="P3463" s="39" t="str">
        <f t="shared" si="383"/>
        <v/>
      </c>
      <c r="R3463" s="39" t="str">
        <f t="shared" si="384"/>
        <v/>
      </c>
      <c r="S3463" s="28"/>
      <c r="T3463" s="28"/>
      <c r="U3463" s="28"/>
    </row>
    <row r="3464" spans="1:21" s="5" customFormat="1">
      <c r="A3464" s="179" t="s">
        <v>4030</v>
      </c>
      <c r="B3464" s="185" t="s">
        <v>7891</v>
      </c>
      <c r="C3464" s="35" t="str">
        <f t="shared" si="378"/>
        <v>Samariyyih</v>
      </c>
      <c r="E3464" s="40"/>
      <c r="F3464" s="15" t="s">
        <v>4031</v>
      </c>
      <c r="G3464" s="17"/>
      <c r="H3464" s="10" t="s">
        <v>8563</v>
      </c>
      <c r="I3464" s="4" t="str">
        <f t="shared" si="379"/>
        <v>|Samaríyyih|</v>
      </c>
      <c r="J3464" s="3" t="str">
        <f t="shared" si="380"/>
        <v>|Samariyyih|</v>
      </c>
      <c r="K3464" s="3" t="str">
        <f t="shared" si="381"/>
        <v>Samariyyih</v>
      </c>
      <c r="N3464" s="39" t="str">
        <f t="shared" si="382"/>
        <v/>
      </c>
      <c r="P3464" s="39" t="str">
        <f t="shared" si="383"/>
        <v/>
      </c>
      <c r="R3464" s="39" t="str">
        <f t="shared" si="384"/>
        <v/>
      </c>
      <c r="S3464" s="28"/>
      <c r="T3464" s="28"/>
      <c r="U3464" s="28"/>
    </row>
    <row r="3465" spans="1:21" s="5" customFormat="1">
      <c r="A3465" s="179" t="s">
        <v>4032</v>
      </c>
      <c r="B3465" s="185" t="s">
        <v>7892</v>
      </c>
      <c r="C3465" s="35" t="str">
        <f t="shared" si="378"/>
        <v>Samarqand</v>
      </c>
      <c r="E3465" s="40"/>
      <c r="F3465" s="14"/>
      <c r="G3465" s="17"/>
      <c r="H3465" s="10" t="s">
        <v>8563</v>
      </c>
      <c r="I3465" s="4" t="str">
        <f t="shared" si="379"/>
        <v>|Samarqand|</v>
      </c>
      <c r="J3465" s="3" t="str">
        <f t="shared" si="380"/>
        <v>|Samarqand|</v>
      </c>
      <c r="K3465" s="3" t="str">
        <f t="shared" si="381"/>
        <v>Samarqand</v>
      </c>
      <c r="N3465" s="39" t="str">
        <f t="shared" si="382"/>
        <v/>
      </c>
      <c r="P3465" s="39" t="str">
        <f t="shared" si="383"/>
        <v/>
      </c>
      <c r="R3465" s="39" t="str">
        <f t="shared" si="384"/>
        <v/>
      </c>
      <c r="S3465" s="28"/>
      <c r="T3465" s="28"/>
      <c r="U3465" s="28"/>
    </row>
    <row r="3466" spans="1:21" s="5" customFormat="1">
      <c r="A3466" s="179" t="s">
        <v>4033</v>
      </c>
      <c r="B3466" s="185" t="s">
        <v>7893</v>
      </c>
      <c r="C3466" s="35" t="str">
        <f t="shared" si="378"/>
        <v>Samihih</v>
      </c>
      <c r="E3466" s="40" t="s">
        <v>9115</v>
      </c>
      <c r="F3466" s="14"/>
      <c r="G3466" s="17"/>
      <c r="H3466" s="10" t="s">
        <v>8563</v>
      </c>
      <c r="I3466" s="4" t="str">
        <f t="shared" si="379"/>
        <v>|Samíhih|</v>
      </c>
      <c r="J3466" s="3" t="str">
        <f t="shared" si="380"/>
        <v>|Samihih|</v>
      </c>
      <c r="K3466" s="3" t="str">
        <f t="shared" si="381"/>
        <v>Samihih</v>
      </c>
      <c r="N3466" s="39" t="str">
        <f t="shared" si="382"/>
        <v/>
      </c>
      <c r="P3466" s="39" t="str">
        <f t="shared" si="383"/>
        <v/>
      </c>
      <c r="R3466" s="39" t="str">
        <f t="shared" si="384"/>
        <v/>
      </c>
      <c r="S3466" s="28"/>
      <c r="T3466" s="28"/>
      <c r="U3466" s="28"/>
    </row>
    <row r="3467" spans="1:21" s="5" customFormat="1">
      <c r="A3467" s="179" t="s">
        <v>4034</v>
      </c>
      <c r="B3467" s="185" t="s">
        <v>7894</v>
      </c>
      <c r="C3467" s="35" t="str">
        <f t="shared" si="378"/>
        <v>Samihih</v>
      </c>
      <c r="E3467" s="40" t="s">
        <v>9115</v>
      </c>
      <c r="F3467" s="15"/>
      <c r="G3467" s="17"/>
      <c r="H3467" s="10" t="s">
        <v>8563</v>
      </c>
      <c r="I3467" s="4" t="str">
        <f t="shared" si="379"/>
        <v>|Samíḥih|</v>
      </c>
      <c r="J3467" s="3" t="str">
        <f t="shared" si="380"/>
        <v>|Samihih|</v>
      </c>
      <c r="K3467" s="3" t="str">
        <f t="shared" si="381"/>
        <v>Samihih</v>
      </c>
      <c r="N3467" s="39" t="str">
        <f t="shared" si="382"/>
        <v/>
      </c>
      <c r="P3467" s="39" t="str">
        <f t="shared" si="383"/>
        <v/>
      </c>
      <c r="R3467" s="39" t="str">
        <f t="shared" si="384"/>
        <v/>
      </c>
      <c r="S3467" s="28"/>
      <c r="T3467" s="28"/>
      <c r="U3467" s="28"/>
    </row>
    <row r="3468" spans="1:21" s="5" customFormat="1">
      <c r="A3468" s="179" t="s">
        <v>4035</v>
      </c>
      <c r="B3468" s="185" t="s">
        <v>7895</v>
      </c>
      <c r="C3468" s="35" t="str">
        <f t="shared" si="378"/>
        <v>Samimi</v>
      </c>
      <c r="E3468" s="40"/>
      <c r="F3468" s="15"/>
      <c r="G3468" s="17"/>
      <c r="H3468" s="10" t="s">
        <v>8563</v>
      </c>
      <c r="I3468" s="4" t="str">
        <f t="shared" si="379"/>
        <v>|Ṣamímí|</v>
      </c>
      <c r="J3468" s="3" t="str">
        <f t="shared" si="380"/>
        <v>|Samimi|</v>
      </c>
      <c r="K3468" s="3" t="str">
        <f t="shared" si="381"/>
        <v>Samimi</v>
      </c>
      <c r="N3468" s="39" t="str">
        <f t="shared" si="382"/>
        <v/>
      </c>
      <c r="P3468" s="39" t="str">
        <f t="shared" si="383"/>
        <v/>
      </c>
      <c r="R3468" s="39" t="str">
        <f t="shared" si="384"/>
        <v/>
      </c>
      <c r="S3468" s="28"/>
      <c r="T3468" s="28"/>
      <c r="U3468" s="28"/>
    </row>
    <row r="3469" spans="1:21" s="5" customFormat="1">
      <c r="A3469" s="179" t="s">
        <v>4036</v>
      </c>
      <c r="B3469" s="185" t="s">
        <v>7896</v>
      </c>
      <c r="C3469" s="35" t="str">
        <f t="shared" si="378"/>
        <v>SamimiQamsari</v>
      </c>
      <c r="E3469" s="40"/>
      <c r="F3469" s="15"/>
      <c r="G3469" s="17"/>
      <c r="H3469" s="10" t="s">
        <v>8563</v>
      </c>
      <c r="I3469" s="4" t="str">
        <f t="shared" si="379"/>
        <v>|Ṣamímí-Qamsarí|</v>
      </c>
      <c r="J3469" s="3" t="str">
        <f t="shared" si="380"/>
        <v>|Samimi-Qamsari|</v>
      </c>
      <c r="K3469" s="3" t="str">
        <f t="shared" si="381"/>
        <v>Samimi-Qamsari</v>
      </c>
      <c r="N3469" s="39" t="str">
        <f t="shared" si="382"/>
        <v/>
      </c>
      <c r="P3469" s="39" t="str">
        <f t="shared" si="383"/>
        <v/>
      </c>
      <c r="R3469" s="39" t="str">
        <f t="shared" si="384"/>
        <v/>
      </c>
      <c r="S3469" s="28"/>
      <c r="T3469" s="28"/>
      <c r="U3469" s="28"/>
    </row>
    <row r="3470" spans="1:21" s="5" customFormat="1">
      <c r="A3470" s="179" t="s">
        <v>4037</v>
      </c>
      <c r="B3470" s="185" t="s">
        <v>7897</v>
      </c>
      <c r="C3470" s="35" t="str">
        <f t="shared" si="378"/>
        <v>Samiri</v>
      </c>
      <c r="E3470" s="40" t="s">
        <v>9115</v>
      </c>
      <c r="F3470" s="14"/>
      <c r="G3470" s="17"/>
      <c r="H3470" s="10" t="s">
        <v>8563</v>
      </c>
      <c r="I3470" s="4" t="str">
        <f t="shared" si="379"/>
        <v>|Samírí|</v>
      </c>
      <c r="J3470" s="3" t="str">
        <f t="shared" si="380"/>
        <v>|Samiri|</v>
      </c>
      <c r="K3470" s="3" t="str">
        <f t="shared" si="381"/>
        <v>Samiri</v>
      </c>
      <c r="N3470" s="39" t="str">
        <f t="shared" si="382"/>
        <v/>
      </c>
      <c r="P3470" s="39" t="str">
        <f t="shared" si="383"/>
        <v/>
      </c>
      <c r="R3470" s="39" t="str">
        <f t="shared" si="384"/>
        <v/>
      </c>
      <c r="S3470" s="28"/>
      <c r="T3470" s="28"/>
      <c r="U3470" s="28"/>
    </row>
    <row r="3471" spans="1:21" s="5" customFormat="1">
      <c r="A3471" s="179" t="s">
        <v>4038</v>
      </c>
      <c r="B3471" s="185" t="s">
        <v>76</v>
      </c>
      <c r="C3471" s="35" t="str">
        <f t="shared" si="378"/>
        <v>Samiri</v>
      </c>
      <c r="E3471" s="40" t="s">
        <v>9115</v>
      </c>
      <c r="F3471" s="14"/>
      <c r="G3471" s="17"/>
      <c r="H3471" s="10" t="s">
        <v>8563</v>
      </c>
      <c r="I3471" s="4" t="str">
        <f t="shared" si="379"/>
        <v>|Sámirí|</v>
      </c>
      <c r="J3471" s="3" t="str">
        <f t="shared" si="380"/>
        <v>|Samiri|</v>
      </c>
      <c r="K3471" s="3" t="str">
        <f t="shared" si="381"/>
        <v>Samiri</v>
      </c>
      <c r="N3471" s="39" t="str">
        <f t="shared" si="382"/>
        <v/>
      </c>
      <c r="P3471" s="39" t="str">
        <f t="shared" si="383"/>
        <v/>
      </c>
      <c r="R3471" s="39" t="str">
        <f t="shared" si="384"/>
        <v/>
      </c>
      <c r="S3471" s="28"/>
      <c r="T3471" s="28"/>
      <c r="U3471" s="28"/>
    </row>
    <row r="3472" spans="1:21" s="5" customFormat="1">
      <c r="A3472" s="179" t="s">
        <v>4039</v>
      </c>
      <c r="B3472" s="185" t="s">
        <v>7898</v>
      </c>
      <c r="C3472" s="35" t="str">
        <f t="shared" si="378"/>
        <v>Samit</v>
      </c>
      <c r="E3472" s="40"/>
      <c r="F3472" s="15"/>
      <c r="G3472" s="17"/>
      <c r="H3472" s="10" t="s">
        <v>8563</v>
      </c>
      <c r="I3472" s="4" t="str">
        <f t="shared" si="379"/>
        <v>|Ṣámit|</v>
      </c>
      <c r="J3472" s="3" t="str">
        <f t="shared" si="380"/>
        <v>|Samit|</v>
      </c>
      <c r="K3472" s="3" t="str">
        <f t="shared" si="381"/>
        <v>Samit</v>
      </c>
      <c r="N3472" s="39" t="str">
        <f t="shared" si="382"/>
        <v/>
      </c>
      <c r="P3472" s="39" t="str">
        <f t="shared" si="383"/>
        <v/>
      </c>
      <c r="R3472" s="39" t="str">
        <f t="shared" si="384"/>
        <v/>
      </c>
      <c r="S3472" s="28"/>
      <c r="T3472" s="28"/>
      <c r="U3472" s="28"/>
    </row>
    <row r="3473" spans="1:21" s="5" customFormat="1">
      <c r="A3473" s="179" t="s">
        <v>4040</v>
      </c>
      <c r="B3473" s="185" t="s">
        <v>7899</v>
      </c>
      <c r="C3473" s="35" t="str">
        <f t="shared" si="378"/>
        <v>Samsun</v>
      </c>
      <c r="E3473" s="40"/>
      <c r="F3473" s="15" t="s">
        <v>4041</v>
      </c>
      <c r="G3473" s="17"/>
      <c r="H3473" s="10" t="s">
        <v>8563</v>
      </c>
      <c r="I3473" s="4" t="str">
        <f t="shared" si="379"/>
        <v>|Sámsún|</v>
      </c>
      <c r="J3473" s="3" t="str">
        <f t="shared" si="380"/>
        <v>|Samsun|</v>
      </c>
      <c r="K3473" s="3" t="str">
        <f t="shared" si="381"/>
        <v>Samsun</v>
      </c>
      <c r="N3473" s="39" t="str">
        <f t="shared" si="382"/>
        <v/>
      </c>
      <c r="P3473" s="39" t="str">
        <f t="shared" si="383"/>
        <v/>
      </c>
      <c r="R3473" s="39" t="str">
        <f t="shared" si="384"/>
        <v/>
      </c>
      <c r="S3473" s="28"/>
      <c r="T3473" s="28"/>
      <c r="U3473" s="28"/>
    </row>
    <row r="3474" spans="1:21" s="5" customFormat="1">
      <c r="A3474" s="179" t="s">
        <v>4042</v>
      </c>
      <c r="B3474" s="185" t="s">
        <v>197</v>
      </c>
      <c r="C3474" s="35" t="str">
        <f t="shared" si="378"/>
        <v>Sanai</v>
      </c>
      <c r="E3474" s="40"/>
      <c r="F3474" s="14"/>
      <c r="G3474" s="17"/>
      <c r="H3474" s="10" t="s">
        <v>8563</v>
      </c>
      <c r="I3474" s="4" t="str">
        <f t="shared" si="379"/>
        <v>|Saná’í|</v>
      </c>
      <c r="J3474" s="3" t="str">
        <f t="shared" si="380"/>
        <v>|Sana'i|</v>
      </c>
      <c r="K3474" s="3" t="str">
        <f t="shared" si="381"/>
        <v>Sanai</v>
      </c>
      <c r="N3474" s="39" t="str">
        <f t="shared" si="382"/>
        <v/>
      </c>
      <c r="P3474" s="39" t="str">
        <f t="shared" si="383"/>
        <v/>
      </c>
      <c r="R3474" s="39" t="str">
        <f t="shared" si="384"/>
        <v/>
      </c>
      <c r="S3474" s="28"/>
      <c r="T3474" s="28"/>
      <c r="U3474" s="28"/>
    </row>
    <row r="3475" spans="1:21" s="5" customFormat="1">
      <c r="A3475" s="179" t="s">
        <v>4043</v>
      </c>
      <c r="B3475" s="185" t="s">
        <v>7900</v>
      </c>
      <c r="C3475" s="35" t="str">
        <f t="shared" si="378"/>
        <v>Sanandaj</v>
      </c>
      <c r="E3475" s="40"/>
      <c r="F3475" s="14"/>
      <c r="G3475" s="17"/>
      <c r="H3475" s="10" t="s">
        <v>8563</v>
      </c>
      <c r="I3475" s="4" t="str">
        <f t="shared" si="379"/>
        <v>|Sanandaj|</v>
      </c>
      <c r="J3475" s="3" t="str">
        <f t="shared" si="380"/>
        <v>|Sanandaj|</v>
      </c>
      <c r="K3475" s="3" t="str">
        <f t="shared" si="381"/>
        <v>Sanandaj</v>
      </c>
      <c r="N3475" s="39" t="str">
        <f t="shared" si="382"/>
        <v/>
      </c>
      <c r="P3475" s="39" t="str">
        <f t="shared" si="383"/>
        <v/>
      </c>
      <c r="R3475" s="39" t="str">
        <f t="shared" si="384"/>
        <v/>
      </c>
      <c r="S3475" s="28"/>
      <c r="T3475" s="28"/>
      <c r="U3475" s="28"/>
    </row>
    <row r="3476" spans="1:21" s="5" customFormat="1">
      <c r="A3476" s="179" t="s">
        <v>4044</v>
      </c>
      <c r="B3476" s="185" t="s">
        <v>7901</v>
      </c>
      <c r="C3476" s="35" t="str">
        <f t="shared" si="378"/>
        <v>Sanaullah</v>
      </c>
      <c r="E3476" s="40"/>
      <c r="F3476" s="15"/>
      <c r="G3476" s="17"/>
      <c r="H3476" s="10" t="s">
        <v>8563</v>
      </c>
      <c r="I3476" s="4" t="str">
        <f t="shared" si="379"/>
        <v>|Saná’u’lláh|</v>
      </c>
      <c r="J3476" s="3" t="str">
        <f t="shared" si="380"/>
        <v>|Sana'u'llah|</v>
      </c>
      <c r="K3476" s="3" t="str">
        <f t="shared" si="381"/>
        <v>Sanaullah</v>
      </c>
      <c r="N3476" s="39" t="str">
        <f t="shared" si="382"/>
        <v/>
      </c>
      <c r="P3476" s="39" t="str">
        <f t="shared" si="383"/>
        <v/>
      </c>
      <c r="R3476" s="39" t="str">
        <f t="shared" si="384"/>
        <v/>
      </c>
      <c r="S3476" s="28"/>
      <c r="T3476" s="28"/>
      <c r="U3476" s="28"/>
    </row>
    <row r="3477" spans="1:21" s="5" customFormat="1">
      <c r="A3477" s="179" t="s">
        <v>4045</v>
      </c>
      <c r="B3477" s="185" t="s">
        <v>7902</v>
      </c>
      <c r="C3477" s="35" t="str">
        <f t="shared" si="378"/>
        <v>Sanavi</v>
      </c>
      <c r="E3477" s="40"/>
      <c r="F3477" s="14"/>
      <c r="G3477" s="17"/>
      <c r="H3477" s="10" t="s">
        <v>8563</v>
      </c>
      <c r="I3477" s="4" t="str">
        <f t="shared" si="379"/>
        <v>|Sanaví|</v>
      </c>
      <c r="J3477" s="3" t="str">
        <f t="shared" si="380"/>
        <v>|Sanavi|</v>
      </c>
      <c r="K3477" s="3" t="str">
        <f t="shared" si="381"/>
        <v>Sanavi</v>
      </c>
      <c r="N3477" s="39" t="str">
        <f t="shared" si="382"/>
        <v/>
      </c>
      <c r="P3477" s="39" t="str">
        <f t="shared" si="383"/>
        <v/>
      </c>
      <c r="R3477" s="39" t="str">
        <f t="shared" si="384"/>
        <v/>
      </c>
      <c r="S3477" s="28"/>
      <c r="T3477" s="28"/>
      <c r="U3477" s="28"/>
    </row>
    <row r="3478" spans="1:21" s="5" customFormat="1">
      <c r="A3478" s="179" t="s">
        <v>4046</v>
      </c>
      <c r="B3478" s="185" t="s">
        <v>7903</v>
      </c>
      <c r="C3478" s="35" t="str">
        <f t="shared" si="378"/>
        <v>Sanduqdar</v>
      </c>
      <c r="E3478" s="40"/>
      <c r="F3478" s="15" t="s">
        <v>4047</v>
      </c>
      <c r="G3478" s="17"/>
      <c r="H3478" s="10" t="s">
        <v>8563</v>
      </c>
      <c r="I3478" s="4" t="str">
        <f t="shared" si="379"/>
        <v>|Sandúq-dár|</v>
      </c>
      <c r="J3478" s="3" t="str">
        <f t="shared" si="380"/>
        <v>|Sanduq-dar|</v>
      </c>
      <c r="K3478" s="3" t="str">
        <f t="shared" si="381"/>
        <v>Sanduq-dar</v>
      </c>
      <c r="N3478" s="39" t="str">
        <f t="shared" si="382"/>
        <v/>
      </c>
      <c r="P3478" s="39" t="str">
        <f t="shared" si="383"/>
        <v/>
      </c>
      <c r="R3478" s="39" t="str">
        <f t="shared" si="384"/>
        <v/>
      </c>
      <c r="S3478" s="28"/>
      <c r="T3478" s="28"/>
      <c r="U3478" s="28"/>
    </row>
    <row r="3479" spans="1:21" s="5" customFormat="1">
      <c r="A3479" s="179" t="s">
        <v>4048</v>
      </c>
      <c r="B3479" s="185" t="s">
        <v>7904</v>
      </c>
      <c r="C3479" s="35" t="str">
        <f t="shared" si="378"/>
        <v>Sangsar</v>
      </c>
      <c r="E3479" s="40"/>
      <c r="F3479" s="14"/>
      <c r="G3479" s="17"/>
      <c r="H3479" s="10" t="s">
        <v>8563</v>
      </c>
      <c r="I3479" s="4" t="str">
        <f t="shared" si="379"/>
        <v>|Sangsar|</v>
      </c>
      <c r="J3479" s="3" t="str">
        <f t="shared" si="380"/>
        <v>|Sangsar|</v>
      </c>
      <c r="K3479" s="3" t="str">
        <f t="shared" si="381"/>
        <v>Sangsar</v>
      </c>
      <c r="N3479" s="39" t="str">
        <f t="shared" si="382"/>
        <v/>
      </c>
      <c r="P3479" s="39" t="str">
        <f t="shared" si="383"/>
        <v/>
      </c>
      <c r="R3479" s="39" t="str">
        <f t="shared" si="384"/>
        <v/>
      </c>
      <c r="S3479" s="28"/>
      <c r="T3479" s="28"/>
      <c r="U3479" s="28"/>
    </row>
    <row r="3480" spans="1:21" s="5" customFormat="1">
      <c r="A3480" s="179" t="s">
        <v>4049</v>
      </c>
      <c r="B3480" s="185" t="s">
        <v>7905</v>
      </c>
      <c r="C3480" s="35" t="str">
        <f t="shared" si="378"/>
        <v>Santur</v>
      </c>
      <c r="E3480" s="40"/>
      <c r="F3480" s="15" t="s">
        <v>4050</v>
      </c>
      <c r="G3480" s="17"/>
      <c r="H3480" s="10" t="s">
        <v>8563</v>
      </c>
      <c r="I3480" s="4" t="str">
        <f t="shared" si="379"/>
        <v>|Santúr|</v>
      </c>
      <c r="J3480" s="3" t="str">
        <f t="shared" si="380"/>
        <v>|Santur|</v>
      </c>
      <c r="K3480" s="3" t="str">
        <f t="shared" si="381"/>
        <v>Santur</v>
      </c>
      <c r="N3480" s="39" t="str">
        <f t="shared" si="382"/>
        <v/>
      </c>
      <c r="P3480" s="39" t="str">
        <f t="shared" si="383"/>
        <v/>
      </c>
      <c r="R3480" s="39" t="str">
        <f t="shared" si="384"/>
        <v/>
      </c>
      <c r="S3480" s="28"/>
      <c r="T3480" s="28"/>
      <c r="U3480" s="28"/>
    </row>
    <row r="3481" spans="1:21" s="5" customFormat="1">
      <c r="A3481" s="179" t="s">
        <v>4051</v>
      </c>
      <c r="B3481" s="185" t="s">
        <v>7906</v>
      </c>
      <c r="C3481" s="35" t="str">
        <f t="shared" si="378"/>
        <v>SaqiAzGhaybiBaqa</v>
      </c>
      <c r="E3481" s="40"/>
      <c r="F3481" s="15" t="s">
        <v>775</v>
      </c>
      <c r="G3481" s="17"/>
      <c r="H3481" s="10" t="s">
        <v>8563</v>
      </c>
      <c r="I3481" s="4" t="str">
        <f t="shared" si="379"/>
        <v>|Sáqí-Az-ayb-i-Baqá|</v>
      </c>
      <c r="J3481" s="3" t="str">
        <f t="shared" si="380"/>
        <v>|Saqi-Az-Ghayb-i-Baqa|</v>
      </c>
      <c r="K3481" s="3" t="str">
        <f t="shared" si="381"/>
        <v>Saqi-Az-Ghayb-i-Baqa</v>
      </c>
      <c r="N3481" s="39" t="str">
        <f t="shared" si="382"/>
        <v/>
      </c>
      <c r="P3481" s="39" t="str">
        <f t="shared" si="383"/>
        <v/>
      </c>
      <c r="R3481" s="39" t="str">
        <f t="shared" si="384"/>
        <v/>
      </c>
      <c r="S3481" s="28"/>
      <c r="T3481" s="28"/>
      <c r="U3481" s="28"/>
    </row>
    <row r="3482" spans="1:21" s="5" customFormat="1">
      <c r="A3482" s="179" t="s">
        <v>4052</v>
      </c>
      <c r="B3482" s="185" t="s">
        <v>7907</v>
      </c>
      <c r="C3482" s="35" t="str">
        <f t="shared" si="378"/>
        <v>Saqil</v>
      </c>
      <c r="E3482" s="40"/>
      <c r="F3482" s="15"/>
      <c r="G3482" s="17"/>
      <c r="H3482" s="10" t="s">
        <v>8563</v>
      </c>
      <c r="I3482" s="4" t="str">
        <f t="shared" si="379"/>
        <v>|Ṣaqíl|</v>
      </c>
      <c r="J3482" s="3" t="str">
        <f t="shared" si="380"/>
        <v>|Saqil|</v>
      </c>
      <c r="K3482" s="3" t="str">
        <f t="shared" si="381"/>
        <v>Saqil</v>
      </c>
      <c r="N3482" s="39" t="str">
        <f t="shared" si="382"/>
        <v/>
      </c>
      <c r="P3482" s="39" t="str">
        <f t="shared" si="383"/>
        <v/>
      </c>
      <c r="R3482" s="39" t="str">
        <f t="shared" si="384"/>
        <v/>
      </c>
      <c r="S3482" s="28"/>
      <c r="T3482" s="28"/>
      <c r="U3482" s="28"/>
    </row>
    <row r="3483" spans="1:21" s="5" customFormat="1">
      <c r="A3483" s="179" t="s">
        <v>4053</v>
      </c>
      <c r="B3483" s="185" t="s">
        <v>7908</v>
      </c>
      <c r="C3483" s="35" t="str">
        <f t="shared" si="378"/>
        <v>Saqqa</v>
      </c>
      <c r="E3483" s="40"/>
      <c r="F3483" s="15"/>
      <c r="G3483" s="17"/>
      <c r="H3483" s="10" t="s">
        <v>8563</v>
      </c>
      <c r="I3483" s="4" t="str">
        <f t="shared" si="379"/>
        <v>|Saqqá|</v>
      </c>
      <c r="J3483" s="3" t="str">
        <f t="shared" si="380"/>
        <v>|Saqqa|</v>
      </c>
      <c r="K3483" s="3" t="str">
        <f t="shared" si="381"/>
        <v>Saqqa</v>
      </c>
      <c r="N3483" s="39" t="str">
        <f t="shared" si="382"/>
        <v/>
      </c>
      <c r="P3483" s="39" t="str">
        <f t="shared" si="383"/>
        <v/>
      </c>
      <c r="R3483" s="39" t="str">
        <f t="shared" si="384"/>
        <v/>
      </c>
      <c r="S3483" s="28"/>
      <c r="T3483" s="28"/>
      <c r="U3483" s="28"/>
    </row>
    <row r="3484" spans="1:21" s="5" customFormat="1">
      <c r="A3484" s="179" t="s">
        <v>4054</v>
      </c>
      <c r="B3484" s="185" t="s">
        <v>7909</v>
      </c>
      <c r="C3484" s="35" t="str">
        <f t="shared" si="378"/>
        <v>SaqqaKhanih</v>
      </c>
      <c r="E3484" s="40"/>
      <c r="F3484" s="15"/>
      <c r="G3484" s="17"/>
      <c r="H3484" s="10" t="s">
        <v>8563</v>
      </c>
      <c r="I3484" s="4" t="str">
        <f t="shared" si="379"/>
        <v>|Saqqá-ánih|</v>
      </c>
      <c r="J3484" s="3" t="str">
        <f t="shared" si="380"/>
        <v>|Saqqa-Khanih|</v>
      </c>
      <c r="K3484" s="3" t="str">
        <f t="shared" si="381"/>
        <v>Saqqa-Khanih</v>
      </c>
      <c r="N3484" s="39" t="str">
        <f t="shared" si="382"/>
        <v/>
      </c>
      <c r="P3484" s="39" t="str">
        <f t="shared" si="383"/>
        <v/>
      </c>
      <c r="R3484" s="39" t="str">
        <f t="shared" si="384"/>
        <v/>
      </c>
      <c r="S3484" s="28"/>
      <c r="T3484" s="28"/>
      <c r="U3484" s="28"/>
    </row>
    <row r="3485" spans="1:21" s="5" customFormat="1">
      <c r="A3485" s="179" t="s">
        <v>4055</v>
      </c>
      <c r="B3485" s="185" t="s">
        <v>7910</v>
      </c>
      <c r="C3485" s="35" t="str">
        <f t="shared" si="378"/>
        <v>Saqsin</v>
      </c>
      <c r="E3485" s="40"/>
      <c r="F3485" s="15"/>
      <c r="G3485" s="17"/>
      <c r="H3485" s="10" t="s">
        <v>8563</v>
      </c>
      <c r="I3485" s="4" t="str">
        <f t="shared" si="379"/>
        <v>|Saqsín|</v>
      </c>
      <c r="J3485" s="3" t="str">
        <f t="shared" si="380"/>
        <v>|Saqsin|</v>
      </c>
      <c r="K3485" s="3" t="str">
        <f t="shared" si="381"/>
        <v>Saqsin</v>
      </c>
      <c r="N3485" s="39" t="str">
        <f t="shared" si="382"/>
        <v/>
      </c>
      <c r="P3485" s="39" t="str">
        <f t="shared" si="383"/>
        <v/>
      </c>
      <c r="R3485" s="39" t="str">
        <f t="shared" si="384"/>
        <v/>
      </c>
      <c r="S3485" s="28"/>
      <c r="T3485" s="28"/>
      <c r="U3485" s="28"/>
    </row>
    <row r="3486" spans="1:21" s="5" customFormat="1">
      <c r="A3486" s="179" t="s">
        <v>4056</v>
      </c>
      <c r="B3486" s="185" t="s">
        <v>7911</v>
      </c>
      <c r="C3486" s="35" t="str">
        <f t="shared" si="378"/>
        <v>Sara</v>
      </c>
      <c r="E3486" s="40"/>
      <c r="F3486" s="14"/>
      <c r="G3486" s="17"/>
      <c r="H3486" s="10" t="s">
        <v>8563</v>
      </c>
      <c r="I3486" s="4" t="str">
        <f t="shared" si="379"/>
        <v>|Sárá|</v>
      </c>
      <c r="J3486" s="3" t="str">
        <f t="shared" si="380"/>
        <v>|Sara|</v>
      </c>
      <c r="K3486" s="3" t="str">
        <f t="shared" si="381"/>
        <v>Sara</v>
      </c>
      <c r="N3486" s="39" t="str">
        <f t="shared" si="382"/>
        <v/>
      </c>
      <c r="P3486" s="39" t="str">
        <f t="shared" si="383"/>
        <v/>
      </c>
      <c r="R3486" s="39" t="str">
        <f t="shared" si="384"/>
        <v/>
      </c>
      <c r="S3486" s="28"/>
      <c r="T3486" s="28"/>
      <c r="U3486" s="28"/>
    </row>
    <row r="3487" spans="1:21" s="5" customFormat="1">
      <c r="A3487" s="179" t="s">
        <v>4057</v>
      </c>
      <c r="B3487" s="185" t="s">
        <v>7912</v>
      </c>
      <c r="C3487" s="35" t="str">
        <f t="shared" si="378"/>
        <v>SarajulHukama</v>
      </c>
      <c r="E3487" s="40"/>
      <c r="F3487" s="15"/>
      <c r="G3487" s="17"/>
      <c r="H3487" s="10" t="s">
        <v>8563</v>
      </c>
      <c r="I3487" s="4" t="str">
        <f t="shared" si="379"/>
        <v>|Saráju’l-Ḥukamá|</v>
      </c>
      <c r="J3487" s="3" t="str">
        <f t="shared" si="380"/>
        <v>|Saraju'l-Hukama|</v>
      </c>
      <c r="K3487" s="3" t="str">
        <f t="shared" si="381"/>
        <v>Sarajul-Hukama</v>
      </c>
      <c r="N3487" s="39" t="str">
        <f t="shared" si="382"/>
        <v/>
      </c>
      <c r="P3487" s="39" t="str">
        <f t="shared" si="383"/>
        <v/>
      </c>
      <c r="R3487" s="39" t="str">
        <f t="shared" si="384"/>
        <v/>
      </c>
      <c r="S3487" s="28"/>
      <c r="T3487" s="28"/>
      <c r="U3487" s="28"/>
    </row>
    <row r="3488" spans="1:21" s="5" customFormat="1">
      <c r="A3488" s="179" t="s">
        <v>4058</v>
      </c>
      <c r="B3488" s="185" t="s">
        <v>7913</v>
      </c>
      <c r="C3488" s="35" t="str">
        <f t="shared" si="378"/>
        <v>SarChah</v>
      </c>
      <c r="E3488" s="40"/>
      <c r="F3488" s="14"/>
      <c r="G3488" s="17"/>
      <c r="H3488" s="10" t="s">
        <v>8563</v>
      </c>
      <c r="I3488" s="4" t="str">
        <f t="shared" si="379"/>
        <v>|Sar-áh|</v>
      </c>
      <c r="J3488" s="3" t="str">
        <f t="shared" si="380"/>
        <v>|Sar-Chah|</v>
      </c>
      <c r="K3488" s="3" t="str">
        <f t="shared" si="381"/>
        <v>Sar-Chah</v>
      </c>
      <c r="N3488" s="39" t="str">
        <f t="shared" si="382"/>
        <v/>
      </c>
      <c r="P3488" s="39" t="str">
        <f t="shared" si="383"/>
        <v/>
      </c>
      <c r="R3488" s="39" t="str">
        <f t="shared" si="384"/>
        <v/>
      </c>
      <c r="S3488" s="28"/>
      <c r="T3488" s="28"/>
      <c r="U3488" s="28"/>
    </row>
    <row r="3489" spans="1:21" s="5" customFormat="1">
      <c r="A3489" s="179" t="s">
        <v>4059</v>
      </c>
      <c r="B3489" s="185" t="s">
        <v>7914</v>
      </c>
      <c r="C3489" s="35" t="str">
        <f t="shared" si="378"/>
        <v>SarChishmih</v>
      </c>
      <c r="E3489" s="40"/>
      <c r="F3489" s="14"/>
      <c r="G3489" s="17"/>
      <c r="H3489" s="10" t="s">
        <v>8563</v>
      </c>
      <c r="I3489" s="4" t="str">
        <f t="shared" si="379"/>
        <v>|Sar-imih|</v>
      </c>
      <c r="J3489" s="3" t="str">
        <f t="shared" si="380"/>
        <v>|Sar-Chishmih|</v>
      </c>
      <c r="K3489" s="3" t="str">
        <f t="shared" si="381"/>
        <v>Sar-Chishmih</v>
      </c>
      <c r="N3489" s="39" t="str">
        <f t="shared" si="382"/>
        <v/>
      </c>
      <c r="P3489" s="39" t="str">
        <f t="shared" si="383"/>
        <v/>
      </c>
      <c r="R3489" s="39" t="str">
        <f t="shared" si="384"/>
        <v/>
      </c>
      <c r="S3489" s="28"/>
      <c r="T3489" s="28"/>
      <c r="U3489" s="28"/>
    </row>
    <row r="3490" spans="1:21" s="5" customFormat="1">
      <c r="A3490" s="179" t="s">
        <v>4060</v>
      </c>
      <c r="B3490" s="185" t="s">
        <v>7915</v>
      </c>
      <c r="C3490" s="35" t="str">
        <f t="shared" si="378"/>
        <v>Sardar</v>
      </c>
      <c r="E3490" s="40"/>
      <c r="F3490" s="14"/>
      <c r="G3490" s="17"/>
      <c r="H3490" s="10" t="s">
        <v>8563</v>
      </c>
      <c r="I3490" s="4" t="str">
        <f t="shared" si="379"/>
        <v>|Sardár|</v>
      </c>
      <c r="J3490" s="3" t="str">
        <f t="shared" si="380"/>
        <v>|Sardar|</v>
      </c>
      <c r="K3490" s="3" t="str">
        <f t="shared" si="381"/>
        <v>Sardar</v>
      </c>
      <c r="N3490" s="39" t="str">
        <f t="shared" si="382"/>
        <v/>
      </c>
      <c r="P3490" s="39" t="str">
        <f t="shared" si="383"/>
        <v/>
      </c>
      <c r="R3490" s="39" t="str">
        <f t="shared" si="384"/>
        <v/>
      </c>
      <c r="S3490" s="28"/>
      <c r="T3490" s="28"/>
      <c r="U3490" s="28"/>
    </row>
    <row r="3491" spans="1:21" s="5" customFormat="1">
      <c r="A3491" s="179" t="s">
        <v>4061</v>
      </c>
      <c r="B3491" s="185" t="s">
        <v>7916</v>
      </c>
      <c r="C3491" s="35" t="str">
        <f t="shared" si="378"/>
        <v>SardarGalu</v>
      </c>
      <c r="E3491" s="40"/>
      <c r="F3491" s="15" t="s">
        <v>4062</v>
      </c>
      <c r="G3491" s="17"/>
      <c r="H3491" s="10" t="s">
        <v>8563</v>
      </c>
      <c r="I3491" s="4" t="str">
        <f t="shared" si="379"/>
        <v>|Sardar-Galú|</v>
      </c>
      <c r="J3491" s="3" t="str">
        <f t="shared" si="380"/>
        <v>|Sardar-Galu|</v>
      </c>
      <c r="K3491" s="3" t="str">
        <f t="shared" si="381"/>
        <v>Sardar-Galu</v>
      </c>
      <c r="N3491" s="39" t="str">
        <f t="shared" si="382"/>
        <v/>
      </c>
      <c r="P3491" s="39" t="str">
        <f t="shared" si="383"/>
        <v/>
      </c>
      <c r="R3491" s="39" t="str">
        <f t="shared" si="384"/>
        <v/>
      </c>
      <c r="S3491" s="28"/>
      <c r="T3491" s="28"/>
      <c r="U3491" s="28"/>
    </row>
    <row r="3492" spans="1:21" s="5" customFormat="1">
      <c r="A3492" s="179" t="s">
        <v>4063</v>
      </c>
      <c r="B3492" s="185" t="s">
        <v>7917</v>
      </c>
      <c r="C3492" s="35" t="str">
        <f t="shared" si="378"/>
        <v>SardariKull</v>
      </c>
      <c r="E3492" s="40"/>
      <c r="F3492" s="14"/>
      <c r="G3492" s="17"/>
      <c r="H3492" s="10" t="s">
        <v>8563</v>
      </c>
      <c r="I3492" s="4" t="str">
        <f t="shared" si="379"/>
        <v>|Sardár-i-Kull|</v>
      </c>
      <c r="J3492" s="3" t="str">
        <f t="shared" si="380"/>
        <v>|Sardar-i-Kull|</v>
      </c>
      <c r="K3492" s="3" t="str">
        <f t="shared" si="381"/>
        <v>Sardar-i-Kull</v>
      </c>
      <c r="N3492" s="39" t="str">
        <f t="shared" si="382"/>
        <v/>
      </c>
      <c r="P3492" s="39" t="str">
        <f t="shared" si="383"/>
        <v/>
      </c>
      <c r="R3492" s="39" t="str">
        <f t="shared" si="384"/>
        <v/>
      </c>
      <c r="S3492" s="28"/>
      <c r="T3492" s="28"/>
      <c r="U3492" s="28"/>
    </row>
    <row r="3493" spans="1:21" s="5" customFormat="1">
      <c r="A3493" s="179" t="s">
        <v>4064</v>
      </c>
      <c r="B3493" s="185" t="s">
        <v>7918</v>
      </c>
      <c r="C3493" s="35" t="str">
        <f t="shared" si="378"/>
        <v>SardariLarijani</v>
      </c>
      <c r="E3493" s="40"/>
      <c r="F3493" s="15"/>
      <c r="G3493" s="17"/>
      <c r="H3493" s="10" t="s">
        <v>8563</v>
      </c>
      <c r="I3493" s="4" t="str">
        <f t="shared" si="379"/>
        <v>|Sardár-i-Láríjání|</v>
      </c>
      <c r="J3493" s="3" t="str">
        <f t="shared" si="380"/>
        <v>|Sardar-i-Larijani|</v>
      </c>
      <c r="K3493" s="3" t="str">
        <f t="shared" si="381"/>
        <v>Sardar-i-Larijani</v>
      </c>
      <c r="N3493" s="39" t="str">
        <f t="shared" si="382"/>
        <v/>
      </c>
      <c r="P3493" s="39" t="str">
        <f t="shared" si="383"/>
        <v/>
      </c>
      <c r="R3493" s="39" t="str">
        <f t="shared" si="384"/>
        <v/>
      </c>
      <c r="S3493" s="28"/>
      <c r="T3493" s="28"/>
      <c r="U3493" s="28"/>
    </row>
    <row r="3494" spans="1:21" s="5" customFormat="1">
      <c r="A3494" s="179" t="s">
        <v>4065</v>
      </c>
      <c r="B3494" s="185" t="s">
        <v>7919</v>
      </c>
      <c r="C3494" s="35" t="str">
        <f t="shared" si="378"/>
        <v>SarGalu</v>
      </c>
      <c r="E3494" s="40"/>
      <c r="F3494" s="14"/>
      <c r="G3494" s="17"/>
      <c r="H3494" s="10" t="s">
        <v>8563</v>
      </c>
      <c r="I3494" s="4" t="str">
        <f t="shared" si="379"/>
        <v>|Sar-Galú|</v>
      </c>
      <c r="J3494" s="3" t="str">
        <f t="shared" si="380"/>
        <v>|Sar-Galu|</v>
      </c>
      <c r="K3494" s="3" t="str">
        <f t="shared" si="381"/>
        <v>Sar-Galu</v>
      </c>
      <c r="N3494" s="39" t="str">
        <f t="shared" si="382"/>
        <v/>
      </c>
      <c r="P3494" s="39" t="str">
        <f t="shared" si="383"/>
        <v/>
      </c>
      <c r="R3494" s="39" t="str">
        <f t="shared" si="384"/>
        <v/>
      </c>
      <c r="S3494" s="28"/>
      <c r="T3494" s="28"/>
      <c r="U3494" s="28"/>
    </row>
    <row r="3495" spans="1:21" s="5" customFormat="1">
      <c r="A3495" s="179" t="s">
        <v>4066</v>
      </c>
      <c r="B3495" s="185" t="s">
        <v>7920</v>
      </c>
      <c r="C3495" s="35" t="str">
        <f t="shared" si="378"/>
        <v>Sari</v>
      </c>
      <c r="E3495" s="40" t="s">
        <v>9115</v>
      </c>
      <c r="F3495" s="14"/>
      <c r="G3495" s="17"/>
      <c r="H3495" s="10" t="s">
        <v>8563</v>
      </c>
      <c r="I3495" s="4" t="str">
        <f t="shared" si="379"/>
        <v>|Sarí|</v>
      </c>
      <c r="J3495" s="3" t="str">
        <f t="shared" si="380"/>
        <v>|Sari|</v>
      </c>
      <c r="K3495" s="3" t="str">
        <f t="shared" si="381"/>
        <v>Sari</v>
      </c>
      <c r="N3495" s="39" t="str">
        <f t="shared" si="382"/>
        <v/>
      </c>
      <c r="P3495" s="39" t="str">
        <f t="shared" si="383"/>
        <v/>
      </c>
      <c r="R3495" s="39" t="str">
        <f t="shared" si="384"/>
        <v/>
      </c>
      <c r="S3495" s="28"/>
      <c r="T3495" s="28"/>
      <c r="U3495" s="28"/>
    </row>
    <row r="3496" spans="1:21" s="5" customFormat="1">
      <c r="A3496" s="179" t="s">
        <v>4067</v>
      </c>
      <c r="B3496" s="185" t="s">
        <v>7921</v>
      </c>
      <c r="C3496" s="35" t="str">
        <f t="shared" si="378"/>
        <v>Sari</v>
      </c>
      <c r="E3496" s="40" t="s">
        <v>9115</v>
      </c>
      <c r="F3496" s="14"/>
      <c r="G3496" s="17"/>
      <c r="H3496" s="10" t="s">
        <v>8563</v>
      </c>
      <c r="I3496" s="4" t="str">
        <f t="shared" si="379"/>
        <v>|Sárí|</v>
      </c>
      <c r="J3496" s="3" t="str">
        <f t="shared" si="380"/>
        <v>|Sari|</v>
      </c>
      <c r="K3496" s="3" t="str">
        <f t="shared" si="381"/>
        <v>Sari</v>
      </c>
      <c r="N3496" s="39" t="str">
        <f t="shared" si="382"/>
        <v/>
      </c>
      <c r="P3496" s="39" t="str">
        <f t="shared" si="383"/>
        <v/>
      </c>
      <c r="R3496" s="39" t="str">
        <f t="shared" si="384"/>
        <v/>
      </c>
      <c r="S3496" s="28"/>
      <c r="T3496" s="28"/>
      <c r="U3496" s="28"/>
    </row>
    <row r="3497" spans="1:21" s="5" customFormat="1">
      <c r="A3497" s="179" t="s">
        <v>4068</v>
      </c>
      <c r="B3497" s="185" t="s">
        <v>7922</v>
      </c>
      <c r="C3497" s="35" t="str">
        <f t="shared" si="378"/>
        <v>Sarih</v>
      </c>
      <c r="E3497" s="40"/>
      <c r="F3497" s="15" t="s">
        <v>4069</v>
      </c>
      <c r="G3497" s="17"/>
      <c r="H3497" s="10" t="s">
        <v>8563</v>
      </c>
      <c r="I3497" s="4" t="str">
        <f t="shared" si="379"/>
        <v>|Sárih|</v>
      </c>
      <c r="J3497" s="3" t="str">
        <f t="shared" si="380"/>
        <v>|Sarih|</v>
      </c>
      <c r="K3497" s="3" t="str">
        <f t="shared" si="381"/>
        <v>Sarih</v>
      </c>
      <c r="N3497" s="39" t="str">
        <f t="shared" si="382"/>
        <v/>
      </c>
      <c r="P3497" s="39" t="str">
        <f t="shared" si="383"/>
        <v/>
      </c>
      <c r="R3497" s="39" t="str">
        <f t="shared" si="384"/>
        <v/>
      </c>
      <c r="S3497" s="28"/>
      <c r="T3497" s="28"/>
      <c r="U3497" s="28"/>
    </row>
    <row r="3498" spans="1:21" s="5" customFormat="1">
      <c r="A3498" s="179" t="s">
        <v>4070</v>
      </c>
      <c r="B3498" s="185" t="s">
        <v>7923</v>
      </c>
      <c r="C3498" s="35" t="str">
        <f t="shared" si="378"/>
        <v>SarkarAqa</v>
      </c>
      <c r="E3498" s="40"/>
      <c r="F3498" s="14" t="s">
        <v>4071</v>
      </c>
      <c r="G3498" s="17"/>
      <c r="H3498" s="10" t="s">
        <v>8563</v>
      </c>
      <c r="I3498" s="4" t="str">
        <f t="shared" si="379"/>
        <v>|Sarkár-Áqá|</v>
      </c>
      <c r="J3498" s="3" t="str">
        <f t="shared" si="380"/>
        <v>|Sarkar-Aqa|</v>
      </c>
      <c r="K3498" s="3" t="str">
        <f t="shared" si="381"/>
        <v>Sarkar-Aqa</v>
      </c>
      <c r="N3498" s="39" t="str">
        <f t="shared" si="382"/>
        <v/>
      </c>
      <c r="P3498" s="39" t="str">
        <f t="shared" si="383"/>
        <v/>
      </c>
      <c r="R3498" s="39" t="str">
        <f t="shared" si="384"/>
        <v/>
      </c>
      <c r="S3498" s="28"/>
      <c r="T3498" s="28"/>
      <c r="U3498" s="28"/>
    </row>
    <row r="3499" spans="1:21" s="5" customFormat="1">
      <c r="A3499" s="179" t="s">
        <v>4072</v>
      </c>
      <c r="B3499" s="185" t="s">
        <v>7924</v>
      </c>
      <c r="C3499" s="35" t="str">
        <f t="shared" si="378"/>
        <v>Sarmad</v>
      </c>
      <c r="E3499" s="40"/>
      <c r="F3499" s="14"/>
      <c r="G3499" s="17"/>
      <c r="H3499" s="10" t="s">
        <v>8563</v>
      </c>
      <c r="I3499" s="4" t="str">
        <f t="shared" si="379"/>
        <v>|Sarmad|</v>
      </c>
      <c r="J3499" s="3" t="str">
        <f t="shared" si="380"/>
        <v>|Sarmad|</v>
      </c>
      <c r="K3499" s="3" t="str">
        <f t="shared" si="381"/>
        <v>Sarmad</v>
      </c>
      <c r="N3499" s="39" t="str">
        <f t="shared" si="382"/>
        <v/>
      </c>
      <c r="P3499" s="39" t="str">
        <f t="shared" si="383"/>
        <v/>
      </c>
      <c r="R3499" s="39" t="str">
        <f t="shared" si="384"/>
        <v/>
      </c>
      <c r="S3499" s="28"/>
      <c r="T3499" s="28"/>
      <c r="U3499" s="28"/>
    </row>
    <row r="3500" spans="1:21" s="5" customFormat="1">
      <c r="A3500" s="179" t="s">
        <v>4073</v>
      </c>
      <c r="B3500" s="185" t="s">
        <v>7925</v>
      </c>
      <c r="C3500" s="35" t="str">
        <f t="shared" si="378"/>
        <v>Sarraf</v>
      </c>
      <c r="E3500" s="40"/>
      <c r="F3500" s="15" t="s">
        <v>4074</v>
      </c>
      <c r="G3500" s="17"/>
      <c r="H3500" s="10" t="s">
        <v>8563</v>
      </c>
      <c r="I3500" s="4" t="str">
        <f t="shared" si="379"/>
        <v>|Ṣarráf|</v>
      </c>
      <c r="J3500" s="3" t="str">
        <f t="shared" si="380"/>
        <v>|Sarraf|</v>
      </c>
      <c r="K3500" s="3" t="str">
        <f t="shared" si="381"/>
        <v>Sarraf</v>
      </c>
      <c r="N3500" s="39" t="str">
        <f t="shared" si="382"/>
        <v/>
      </c>
      <c r="P3500" s="39" t="str">
        <f t="shared" si="383"/>
        <v/>
      </c>
      <c r="R3500" s="39" t="str">
        <f t="shared" si="384"/>
        <v/>
      </c>
      <c r="S3500" s="28"/>
      <c r="T3500" s="28"/>
      <c r="U3500" s="28"/>
    </row>
    <row r="3501" spans="1:21" s="5" customFormat="1">
      <c r="A3501" s="179" t="s">
        <v>4075</v>
      </c>
      <c r="B3501" s="185" t="s">
        <v>7926</v>
      </c>
      <c r="C3501" s="35" t="str">
        <f t="shared" si="378"/>
        <v>Sartip</v>
      </c>
      <c r="E3501" s="40"/>
      <c r="F3501" s="15"/>
      <c r="G3501" s="17"/>
      <c r="H3501" s="10" t="s">
        <v>8563</v>
      </c>
      <c r="I3501" s="4" t="str">
        <f t="shared" si="379"/>
        <v>|Sartíp|</v>
      </c>
      <c r="J3501" s="3" t="str">
        <f t="shared" si="380"/>
        <v>|Sartip|</v>
      </c>
      <c r="K3501" s="3" t="str">
        <f t="shared" si="381"/>
        <v>Sartip</v>
      </c>
      <c r="N3501" s="39" t="str">
        <f t="shared" si="382"/>
        <v/>
      </c>
      <c r="P3501" s="39" t="str">
        <f t="shared" si="383"/>
        <v/>
      </c>
      <c r="R3501" s="39" t="str">
        <f t="shared" si="384"/>
        <v/>
      </c>
      <c r="S3501" s="28"/>
      <c r="T3501" s="28"/>
      <c r="U3501" s="28"/>
    </row>
    <row r="3502" spans="1:21" s="5" customFormat="1">
      <c r="A3502" s="179" t="s">
        <v>4076</v>
      </c>
      <c r="B3502" s="185" t="s">
        <v>7927</v>
      </c>
      <c r="C3502" s="35" t="str">
        <f t="shared" si="378"/>
        <v>SarvariShuhada</v>
      </c>
      <c r="E3502" s="40"/>
      <c r="F3502" s="15"/>
      <c r="G3502" s="17"/>
      <c r="H3502" s="10" t="s">
        <v>8563</v>
      </c>
      <c r="I3502" s="4" t="str">
        <f t="shared" si="379"/>
        <v>|Sarvar-i-uhadá|</v>
      </c>
      <c r="J3502" s="3" t="str">
        <f t="shared" si="380"/>
        <v>|Sarvar-i-Shuhada|</v>
      </c>
      <c r="K3502" s="3" t="str">
        <f t="shared" si="381"/>
        <v>Sarvar-i-Shuhada</v>
      </c>
      <c r="N3502" s="39" t="str">
        <f t="shared" si="382"/>
        <v/>
      </c>
      <c r="P3502" s="39" t="str">
        <f t="shared" si="383"/>
        <v/>
      </c>
      <c r="R3502" s="39" t="str">
        <f t="shared" si="384"/>
        <v/>
      </c>
      <c r="S3502" s="28"/>
      <c r="T3502" s="28"/>
      <c r="U3502" s="28"/>
    </row>
    <row r="3503" spans="1:21" s="5" customFormat="1">
      <c r="A3503" s="179" t="s">
        <v>4077</v>
      </c>
      <c r="B3503" s="185" t="s">
        <v>7928</v>
      </c>
      <c r="C3503" s="35" t="str">
        <f t="shared" si="378"/>
        <v>Sarvistan</v>
      </c>
      <c r="E3503" s="40"/>
      <c r="F3503" s="14"/>
      <c r="G3503" s="17"/>
      <c r="H3503" s="10" t="s">
        <v>8563</v>
      </c>
      <c r="I3503" s="4" t="str">
        <f t="shared" si="379"/>
        <v>|Sarvistán|</v>
      </c>
      <c r="J3503" s="3" t="str">
        <f t="shared" si="380"/>
        <v>|Sarvistan|</v>
      </c>
      <c r="K3503" s="3" t="str">
        <f t="shared" si="381"/>
        <v>Sarvistan</v>
      </c>
      <c r="N3503" s="39" t="str">
        <f t="shared" si="382"/>
        <v/>
      </c>
      <c r="P3503" s="39" t="str">
        <f t="shared" si="383"/>
        <v/>
      </c>
      <c r="R3503" s="39" t="str">
        <f t="shared" si="384"/>
        <v/>
      </c>
      <c r="S3503" s="28"/>
      <c r="T3503" s="28"/>
      <c r="U3503" s="28"/>
    </row>
    <row r="3504" spans="1:21" s="5" customFormat="1">
      <c r="A3504" s="179" t="s">
        <v>4078</v>
      </c>
      <c r="B3504" s="185" t="s">
        <v>7929</v>
      </c>
      <c r="C3504" s="35" t="str">
        <f t="shared" si="378"/>
        <v>Sasaniyan</v>
      </c>
      <c r="E3504" s="40"/>
      <c r="F3504" s="14"/>
      <c r="G3504" s="17"/>
      <c r="H3504" s="10" t="s">
        <v>8563</v>
      </c>
      <c r="I3504" s="4" t="str">
        <f t="shared" si="379"/>
        <v>|Sásáníyán|</v>
      </c>
      <c r="J3504" s="3" t="str">
        <f t="shared" si="380"/>
        <v>|Sasaniyan|</v>
      </c>
      <c r="K3504" s="3" t="str">
        <f t="shared" si="381"/>
        <v>Sasaniyan</v>
      </c>
      <c r="N3504" s="39" t="str">
        <f t="shared" si="382"/>
        <v/>
      </c>
      <c r="P3504" s="39" t="str">
        <f t="shared" si="383"/>
        <v/>
      </c>
      <c r="R3504" s="39" t="str">
        <f t="shared" si="384"/>
        <v/>
      </c>
      <c r="S3504" s="28"/>
      <c r="T3504" s="28"/>
      <c r="U3504" s="28"/>
    </row>
    <row r="3505" spans="1:21" s="5" customFormat="1">
      <c r="A3505" s="179" t="s">
        <v>4079</v>
      </c>
      <c r="B3505" s="185" t="s">
        <v>7930</v>
      </c>
      <c r="C3505" s="35" t="str">
        <f t="shared" si="378"/>
        <v>Sattar</v>
      </c>
      <c r="E3505" s="40"/>
      <c r="F3505" s="15"/>
      <c r="G3505" s="17"/>
      <c r="H3505" s="10" t="s">
        <v>8563</v>
      </c>
      <c r="I3505" s="4" t="str">
        <f t="shared" si="379"/>
        <v>|Sattár|</v>
      </c>
      <c r="J3505" s="3" t="str">
        <f t="shared" si="380"/>
        <v>|Sattar|</v>
      </c>
      <c r="K3505" s="3" t="str">
        <f t="shared" si="381"/>
        <v>Sattar</v>
      </c>
      <c r="N3505" s="39" t="str">
        <f t="shared" si="382"/>
        <v/>
      </c>
      <c r="P3505" s="39" t="str">
        <f t="shared" si="383"/>
        <v/>
      </c>
      <c r="R3505" s="39" t="str">
        <f t="shared" si="384"/>
        <v/>
      </c>
      <c r="S3505" s="28"/>
      <c r="T3505" s="28"/>
      <c r="U3505" s="28"/>
    </row>
    <row r="3506" spans="1:21" s="5" customFormat="1">
      <c r="A3506" s="179" t="s">
        <v>4080</v>
      </c>
      <c r="B3506" s="185" t="s">
        <v>7931</v>
      </c>
      <c r="C3506" s="35" t="str">
        <f t="shared" si="378"/>
        <v>Saud</v>
      </c>
      <c r="E3506" s="40"/>
      <c r="F3506" s="15"/>
      <c r="G3506" s="17"/>
      <c r="H3506" s="10" t="s">
        <v>8563</v>
      </c>
      <c r="I3506" s="4" t="str">
        <f t="shared" si="379"/>
        <v>|Saʿúd|</v>
      </c>
      <c r="J3506" s="3" t="str">
        <f t="shared" si="380"/>
        <v>|Sa'ud|</v>
      </c>
      <c r="K3506" s="3" t="str">
        <f t="shared" si="381"/>
        <v>Saud</v>
      </c>
      <c r="N3506" s="39" t="str">
        <f t="shared" si="382"/>
        <v/>
      </c>
      <c r="P3506" s="39" t="str">
        <f t="shared" si="383"/>
        <v/>
      </c>
      <c r="R3506" s="39" t="str">
        <f t="shared" si="384"/>
        <v/>
      </c>
      <c r="S3506" s="28"/>
      <c r="T3506" s="28"/>
      <c r="U3506" s="28"/>
    </row>
    <row r="3507" spans="1:21" s="5" customFormat="1">
      <c r="A3507" s="179" t="s">
        <v>4081</v>
      </c>
      <c r="B3507" s="185" t="s">
        <v>7932</v>
      </c>
      <c r="C3507" s="35" t="str">
        <f t="shared" si="378"/>
        <v>Saudi</v>
      </c>
      <c r="E3507" s="40"/>
      <c r="F3507" s="15"/>
      <c r="G3507" s="17"/>
      <c r="H3507" s="10" t="s">
        <v>8563</v>
      </c>
      <c r="I3507" s="4" t="str">
        <f t="shared" si="379"/>
        <v>|Saʿúdí|</v>
      </c>
      <c r="J3507" s="3" t="str">
        <f t="shared" si="380"/>
        <v>|Sa'udi|</v>
      </c>
      <c r="K3507" s="3" t="str">
        <f t="shared" si="381"/>
        <v>Saudi</v>
      </c>
      <c r="N3507" s="39" t="str">
        <f t="shared" si="382"/>
        <v/>
      </c>
      <c r="P3507" s="39" t="str">
        <f t="shared" si="383"/>
        <v/>
      </c>
      <c r="R3507" s="39" t="str">
        <f t="shared" si="384"/>
        <v/>
      </c>
      <c r="S3507" s="28"/>
      <c r="T3507" s="28"/>
      <c r="U3507" s="28"/>
    </row>
    <row r="3508" spans="1:21" s="5" customFormat="1">
      <c r="A3508" s="179" t="s">
        <v>4082</v>
      </c>
      <c r="B3508" s="185" t="s">
        <v>7933</v>
      </c>
      <c r="C3508" s="35" t="str">
        <f t="shared" si="378"/>
        <v>SavadKuh</v>
      </c>
      <c r="E3508" s="40"/>
      <c r="F3508" s="14"/>
      <c r="G3508" s="17"/>
      <c r="H3508" s="10" t="s">
        <v>8563</v>
      </c>
      <c r="I3508" s="4" t="str">
        <f t="shared" si="379"/>
        <v>|Savád-Kúh|</v>
      </c>
      <c r="J3508" s="3" t="str">
        <f t="shared" si="380"/>
        <v>|Savad-Kuh|</v>
      </c>
      <c r="K3508" s="3" t="str">
        <f t="shared" si="381"/>
        <v>Savad-Kuh</v>
      </c>
      <c r="N3508" s="39" t="str">
        <f t="shared" si="382"/>
        <v/>
      </c>
      <c r="P3508" s="39" t="str">
        <f t="shared" si="383"/>
        <v/>
      </c>
      <c r="R3508" s="39" t="str">
        <f t="shared" si="384"/>
        <v/>
      </c>
      <c r="S3508" s="28"/>
      <c r="T3508" s="28"/>
      <c r="U3508" s="28"/>
    </row>
    <row r="3509" spans="1:21" s="5" customFormat="1">
      <c r="A3509" s="179" t="s">
        <v>4083</v>
      </c>
      <c r="B3509" s="185" t="s">
        <v>7934</v>
      </c>
      <c r="C3509" s="35" t="str">
        <f t="shared" si="378"/>
        <v>Sawhan</v>
      </c>
      <c r="E3509" s="40"/>
      <c r="F3509" s="15" t="s">
        <v>4084</v>
      </c>
      <c r="G3509" s="17"/>
      <c r="H3509" s="10" t="s">
        <v>8563</v>
      </c>
      <c r="I3509" s="4" t="str">
        <f t="shared" si="379"/>
        <v>|Sawhán|</v>
      </c>
      <c r="J3509" s="3" t="str">
        <f t="shared" si="380"/>
        <v>|Sawhan|</v>
      </c>
      <c r="K3509" s="3" t="str">
        <f t="shared" si="381"/>
        <v>Sawhan</v>
      </c>
      <c r="N3509" s="39" t="str">
        <f t="shared" si="382"/>
        <v/>
      </c>
      <c r="P3509" s="39" t="str">
        <f t="shared" si="383"/>
        <v/>
      </c>
      <c r="R3509" s="39" t="str">
        <f t="shared" si="384"/>
        <v/>
      </c>
      <c r="S3509" s="28"/>
      <c r="T3509" s="28"/>
      <c r="U3509" s="28"/>
    </row>
    <row r="3510" spans="1:21" s="5" customFormat="1">
      <c r="A3510" s="179" t="s">
        <v>4085</v>
      </c>
      <c r="B3510" s="185" t="s">
        <v>7935</v>
      </c>
      <c r="C3510" s="35" t="str">
        <f t="shared" si="378"/>
        <v>Sawm</v>
      </c>
      <c r="E3510" s="40"/>
      <c r="F3510" s="15" t="s">
        <v>4086</v>
      </c>
      <c r="G3510" s="17"/>
      <c r="H3510" s="10" t="s">
        <v>8563</v>
      </c>
      <c r="I3510" s="4" t="str">
        <f t="shared" si="379"/>
        <v>|Ṣawm|</v>
      </c>
      <c r="J3510" s="3" t="str">
        <f t="shared" si="380"/>
        <v>|Sawm|</v>
      </c>
      <c r="K3510" s="3" t="str">
        <f t="shared" si="381"/>
        <v>Sawm</v>
      </c>
      <c r="N3510" s="39" t="str">
        <f t="shared" si="382"/>
        <v/>
      </c>
      <c r="P3510" s="39" t="str">
        <f t="shared" si="383"/>
        <v/>
      </c>
      <c r="R3510" s="39" t="str">
        <f t="shared" si="384"/>
        <v/>
      </c>
      <c r="S3510" s="28"/>
      <c r="T3510" s="28"/>
      <c r="U3510" s="28"/>
    </row>
    <row r="3511" spans="1:21" s="5" customFormat="1">
      <c r="A3511" s="179" t="s">
        <v>4087</v>
      </c>
      <c r="B3511" s="185" t="s">
        <v>7936</v>
      </c>
      <c r="C3511" s="35" t="str">
        <f t="shared" si="378"/>
        <v>Saydan</v>
      </c>
      <c r="E3511" s="40"/>
      <c r="F3511" s="15"/>
      <c r="G3511" s="17"/>
      <c r="H3511" s="10" t="s">
        <v>8563</v>
      </c>
      <c r="I3511" s="4" t="str">
        <f t="shared" si="379"/>
        <v>|Saydán|</v>
      </c>
      <c r="J3511" s="3" t="str">
        <f t="shared" si="380"/>
        <v>|Saydan|</v>
      </c>
      <c r="K3511" s="3" t="str">
        <f t="shared" si="381"/>
        <v>Saydan</v>
      </c>
      <c r="N3511" s="39" t="str">
        <f t="shared" si="382"/>
        <v/>
      </c>
      <c r="P3511" s="39" t="str">
        <f t="shared" si="383"/>
        <v/>
      </c>
      <c r="R3511" s="39" t="str">
        <f t="shared" si="384"/>
        <v/>
      </c>
      <c r="S3511" s="28"/>
      <c r="T3511" s="28"/>
      <c r="U3511" s="28"/>
    </row>
    <row r="3512" spans="1:21" s="5" customFormat="1">
      <c r="A3512" s="179" t="s">
        <v>4088</v>
      </c>
      <c r="B3512" s="185" t="s">
        <v>7937</v>
      </c>
      <c r="C3512" s="35" t="str">
        <f t="shared" si="378"/>
        <v>SayfudDawlih</v>
      </c>
      <c r="E3512" s="40"/>
      <c r="F3512" s="14"/>
      <c r="G3512" s="17"/>
      <c r="H3512" s="10" t="s">
        <v>8563</v>
      </c>
      <c r="I3512" s="4" t="str">
        <f t="shared" si="379"/>
        <v>|Sayfu’d-Dawlih|</v>
      </c>
      <c r="J3512" s="3" t="str">
        <f t="shared" si="380"/>
        <v>|Sayfu'd-Dawlih|</v>
      </c>
      <c r="K3512" s="3" t="str">
        <f t="shared" si="381"/>
        <v>Sayfud-Dawlih</v>
      </c>
      <c r="N3512" s="39" t="str">
        <f t="shared" si="382"/>
        <v/>
      </c>
      <c r="P3512" s="39" t="str">
        <f t="shared" si="383"/>
        <v/>
      </c>
      <c r="R3512" s="39" t="str">
        <f t="shared" si="384"/>
        <v/>
      </c>
      <c r="S3512" s="28"/>
      <c r="T3512" s="28"/>
      <c r="U3512" s="28"/>
    </row>
    <row r="3513" spans="1:21" s="5" customFormat="1">
      <c r="A3513" s="179" t="s">
        <v>4089</v>
      </c>
      <c r="B3513" s="185" t="s">
        <v>7938</v>
      </c>
      <c r="C3513" s="35" t="str">
        <f t="shared" si="378"/>
        <v>SayfudDin</v>
      </c>
      <c r="E3513" s="40"/>
      <c r="F3513" s="15"/>
      <c r="G3513" s="17"/>
      <c r="H3513" s="10" t="s">
        <v>8563</v>
      </c>
      <c r="I3513" s="4" t="str">
        <f t="shared" si="379"/>
        <v>|Sayfu’d-Dín|</v>
      </c>
      <c r="J3513" s="3" t="str">
        <f t="shared" si="380"/>
        <v>|Sayfu'd-Din|</v>
      </c>
      <c r="K3513" s="3" t="str">
        <f t="shared" si="381"/>
        <v>Sayfud-Din</v>
      </c>
      <c r="N3513" s="39" t="str">
        <f t="shared" si="382"/>
        <v/>
      </c>
      <c r="P3513" s="39" t="str">
        <f t="shared" si="383"/>
        <v/>
      </c>
      <c r="R3513" s="39" t="str">
        <f t="shared" si="384"/>
        <v/>
      </c>
      <c r="S3513" s="28"/>
      <c r="T3513" s="28"/>
      <c r="U3513" s="28"/>
    </row>
    <row r="3514" spans="1:21" s="5" customFormat="1">
      <c r="A3514" s="179" t="s">
        <v>4090</v>
      </c>
      <c r="B3514" s="185" t="s">
        <v>7939</v>
      </c>
      <c r="C3514" s="35" t="str">
        <f t="shared" si="378"/>
        <v>Saysan</v>
      </c>
      <c r="E3514" s="40"/>
      <c r="F3514" s="14"/>
      <c r="G3514" s="17"/>
      <c r="H3514" s="10" t="s">
        <v>8563</v>
      </c>
      <c r="I3514" s="4" t="str">
        <f t="shared" si="379"/>
        <v>|Saysán|</v>
      </c>
      <c r="J3514" s="3" t="str">
        <f t="shared" si="380"/>
        <v>|Saysan|</v>
      </c>
      <c r="K3514" s="3" t="str">
        <f t="shared" si="381"/>
        <v>Saysan</v>
      </c>
      <c r="N3514" s="39" t="str">
        <f t="shared" si="382"/>
        <v/>
      </c>
      <c r="P3514" s="39" t="str">
        <f t="shared" si="383"/>
        <v/>
      </c>
      <c r="R3514" s="39" t="str">
        <f t="shared" si="384"/>
        <v/>
      </c>
      <c r="S3514" s="28"/>
      <c r="T3514" s="28"/>
      <c r="U3514" s="28"/>
    </row>
    <row r="3515" spans="1:21" s="5" customFormat="1">
      <c r="A3515" s="179" t="s">
        <v>4091</v>
      </c>
      <c r="B3515" s="185" t="s">
        <v>7940</v>
      </c>
      <c r="C3515" s="35" t="str">
        <f t="shared" si="378"/>
        <v>Sayyah</v>
      </c>
      <c r="E3515" s="40"/>
      <c r="F3515" s="15" t="s">
        <v>4092</v>
      </c>
      <c r="G3515" s="17"/>
      <c r="H3515" s="10" t="s">
        <v>8563</v>
      </c>
      <c r="I3515" s="4" t="str">
        <f t="shared" si="379"/>
        <v>|Sayyáḥ|</v>
      </c>
      <c r="J3515" s="3" t="str">
        <f t="shared" si="380"/>
        <v>|Sayyah|</v>
      </c>
      <c r="K3515" s="3" t="str">
        <f t="shared" si="381"/>
        <v>Sayyah</v>
      </c>
      <c r="N3515" s="39" t="str">
        <f t="shared" si="382"/>
        <v/>
      </c>
      <c r="P3515" s="39" t="str">
        <f t="shared" si="383"/>
        <v/>
      </c>
      <c r="R3515" s="39" t="str">
        <f t="shared" si="384"/>
        <v/>
      </c>
      <c r="S3515" s="28"/>
      <c r="T3515" s="28"/>
      <c r="U3515" s="28"/>
    </row>
    <row r="3516" spans="1:21" s="5" customFormat="1">
      <c r="A3516" s="179" t="s">
        <v>4093</v>
      </c>
      <c r="B3516" s="185" t="s">
        <v>7941</v>
      </c>
      <c r="C3516" s="35" t="str">
        <f t="shared" si="378"/>
        <v>Sayyidi</v>
      </c>
      <c r="E3516" s="40"/>
      <c r="F3516" s="15"/>
      <c r="G3516" s="17"/>
      <c r="H3516" s="10" t="s">
        <v>8563</v>
      </c>
      <c r="I3516" s="4" t="str">
        <f t="shared" si="379"/>
        <v>|Sayyidí|</v>
      </c>
      <c r="J3516" s="3" t="str">
        <f t="shared" si="380"/>
        <v>|Sayyidi|</v>
      </c>
      <c r="K3516" s="3" t="str">
        <f t="shared" si="381"/>
        <v>Sayyidi</v>
      </c>
      <c r="N3516" s="39" t="str">
        <f t="shared" si="382"/>
        <v/>
      </c>
      <c r="P3516" s="39" t="str">
        <f t="shared" si="383"/>
        <v/>
      </c>
      <c r="R3516" s="39" t="str">
        <f t="shared" si="384"/>
        <v/>
      </c>
      <c r="S3516" s="28"/>
      <c r="T3516" s="28"/>
      <c r="U3516" s="28"/>
    </row>
    <row r="3517" spans="1:21" s="5" customFormat="1">
      <c r="A3517" s="179" t="s">
        <v>4094</v>
      </c>
      <c r="B3517" s="185" t="s">
        <v>7942</v>
      </c>
      <c r="C3517" s="35" t="str">
        <f t="shared" si="378"/>
        <v>Shaban</v>
      </c>
      <c r="E3517" s="40"/>
      <c r="F3517" s="14"/>
      <c r="G3517" s="17"/>
      <c r="H3517" s="10" t="s">
        <v>8563</v>
      </c>
      <c r="I3517" s="4" t="str">
        <f t="shared" si="379"/>
        <v>|aʿbán|</v>
      </c>
      <c r="J3517" s="3" t="str">
        <f t="shared" si="380"/>
        <v>|Sha'ban|</v>
      </c>
      <c r="K3517" s="3" t="str">
        <f t="shared" si="381"/>
        <v>Shaban</v>
      </c>
      <c r="N3517" s="39" t="str">
        <f t="shared" si="382"/>
        <v/>
      </c>
      <c r="P3517" s="39" t="str">
        <f t="shared" si="383"/>
        <v/>
      </c>
      <c r="R3517" s="39" t="str">
        <f t="shared" si="384"/>
        <v/>
      </c>
      <c r="S3517" s="28"/>
      <c r="T3517" s="28"/>
      <c r="U3517" s="28"/>
    </row>
    <row r="3518" spans="1:21" s="5" customFormat="1">
      <c r="A3518" s="179" t="s">
        <v>4095</v>
      </c>
      <c r="B3518" s="185" t="s">
        <v>7943</v>
      </c>
      <c r="C3518" s="35" t="str">
        <f t="shared" si="378"/>
        <v>Shadid</v>
      </c>
      <c r="E3518" s="40"/>
      <c r="F3518" s="15" t="s">
        <v>4096</v>
      </c>
      <c r="G3518" s="17"/>
      <c r="H3518" s="10" t="s">
        <v>8563</v>
      </c>
      <c r="I3518" s="4" t="str">
        <f t="shared" si="379"/>
        <v>|adíd|</v>
      </c>
      <c r="J3518" s="3" t="str">
        <f t="shared" si="380"/>
        <v>|Shadid|</v>
      </c>
      <c r="K3518" s="3" t="str">
        <f t="shared" si="381"/>
        <v>Shadid</v>
      </c>
      <c r="N3518" s="39" t="str">
        <f t="shared" si="382"/>
        <v/>
      </c>
      <c r="P3518" s="39" t="str">
        <f t="shared" si="383"/>
        <v/>
      </c>
      <c r="R3518" s="39" t="str">
        <f t="shared" si="384"/>
        <v/>
      </c>
      <c r="S3518" s="28"/>
      <c r="T3518" s="28"/>
      <c r="U3518" s="28"/>
    </row>
    <row r="3519" spans="1:21" s="5" customFormat="1">
      <c r="A3519" s="179" t="s">
        <v>4098</v>
      </c>
      <c r="B3519" s="185" t="s">
        <v>4099</v>
      </c>
      <c r="C3519" s="35" t="str">
        <f t="shared" si="378"/>
        <v>Shafi</v>
      </c>
      <c r="E3519" s="40" t="s">
        <v>9115</v>
      </c>
      <c r="F3519" s="15" t="s">
        <v>4100</v>
      </c>
      <c r="G3519" s="17"/>
      <c r="H3519" s="10" t="s">
        <v>8563</v>
      </c>
      <c r="I3519" s="4" t="str">
        <f t="shared" si="379"/>
        <v>|afíʿ|</v>
      </c>
      <c r="J3519" s="3" t="str">
        <f t="shared" si="380"/>
        <v>|Shafi'|</v>
      </c>
      <c r="K3519" s="3" t="str">
        <f t="shared" si="381"/>
        <v>Shafi</v>
      </c>
      <c r="N3519" s="39" t="str">
        <f t="shared" si="382"/>
        <v/>
      </c>
      <c r="P3519" s="39" t="str">
        <f t="shared" si="383"/>
        <v/>
      </c>
      <c r="R3519" s="39" t="str">
        <f t="shared" si="384"/>
        <v/>
      </c>
      <c r="S3519" s="28"/>
      <c r="T3519" s="28"/>
      <c r="U3519" s="28"/>
    </row>
    <row r="3520" spans="1:21" s="5" customFormat="1">
      <c r="A3520" s="179" t="s">
        <v>4097</v>
      </c>
      <c r="B3520" s="185" t="s">
        <v>7944</v>
      </c>
      <c r="C3520" s="35" t="str">
        <f t="shared" si="378"/>
        <v>Shafi</v>
      </c>
      <c r="E3520" s="40" t="s">
        <v>9115</v>
      </c>
      <c r="F3520" s="14"/>
      <c r="G3520" s="17" t="s">
        <v>9125</v>
      </c>
      <c r="H3520" s="10" t="s">
        <v>8563</v>
      </c>
      <c r="I3520" s="4" t="str">
        <f t="shared" si="379"/>
        <v>|áfí|</v>
      </c>
      <c r="J3520" s="3" t="str">
        <f t="shared" si="380"/>
        <v>|Shafi|</v>
      </c>
      <c r="K3520" s="3" t="str">
        <f t="shared" si="381"/>
        <v>Shafi</v>
      </c>
      <c r="N3520" s="39" t="str">
        <f t="shared" si="382"/>
        <v/>
      </c>
      <c r="P3520" s="39" t="str">
        <f t="shared" si="383"/>
        <v/>
      </c>
      <c r="R3520" s="39" t="str">
        <f t="shared" si="384"/>
        <v/>
      </c>
      <c r="S3520" s="28"/>
      <c r="T3520" s="28"/>
      <c r="U3520" s="28"/>
    </row>
    <row r="3521" spans="1:21" s="5" customFormat="1">
      <c r="A3521" s="179" t="s">
        <v>4101</v>
      </c>
      <c r="B3521" s="185" t="s">
        <v>4102</v>
      </c>
      <c r="C3521" s="35" t="str">
        <f t="shared" si="378"/>
        <v>Shafii</v>
      </c>
      <c r="E3521" s="40"/>
      <c r="F3521" s="15" t="s">
        <v>1761</v>
      </c>
      <c r="G3521" s="17"/>
      <c r="H3521" s="10" t="s">
        <v>8563</v>
      </c>
      <c r="I3521" s="4" t="str">
        <f t="shared" si="379"/>
        <v>|afíʿí|</v>
      </c>
      <c r="J3521" s="3" t="str">
        <f t="shared" si="380"/>
        <v>|Shafi'i|</v>
      </c>
      <c r="K3521" s="3" t="str">
        <f t="shared" si="381"/>
        <v>Shafii</v>
      </c>
      <c r="N3521" s="39" t="str">
        <f t="shared" si="382"/>
        <v/>
      </c>
      <c r="P3521" s="39" t="str">
        <f t="shared" si="383"/>
        <v/>
      </c>
      <c r="R3521" s="39" t="str">
        <f t="shared" si="384"/>
        <v/>
      </c>
      <c r="S3521" s="28"/>
      <c r="T3521" s="28"/>
      <c r="U3521" s="28"/>
    </row>
    <row r="3522" spans="1:21" s="5" customFormat="1">
      <c r="A3522" s="179" t="s">
        <v>4103</v>
      </c>
      <c r="B3522" s="185" t="s">
        <v>7945</v>
      </c>
      <c r="C3522" s="35" t="str">
        <f t="shared" ref="C3522:C3585" si="385">SUBSTITUTE(SUBSTITUTE(K3522,"-","")," ","")</f>
        <v>ShafiiNayrizi</v>
      </c>
      <c r="E3522" s="40"/>
      <c r="F3522" s="14"/>
      <c r="G3522" s="17"/>
      <c r="H3522" s="10" t="s">
        <v>8563</v>
      </c>
      <c r="I3522" s="4" t="str">
        <f t="shared" ref="I3522:I3585" si="386">CONCATENATE("|",B3522,"|")</f>
        <v>|afíʿ-i-Nayrízí|</v>
      </c>
      <c r="J3522" s="3" t="str">
        <f t="shared" ref="J3522:J3585" si="387">CONCATENATE("|",F_OutputASCII(B3522),"|")</f>
        <v>|Shafi'-i-Nayrizi|</v>
      </c>
      <c r="K3522" s="3" t="str">
        <f t="shared" ref="K3522:K3585" si="388">IF(SUBSTITUTE(MID(J3522,2,LEN(J3522)-2),"'","")&lt;&gt;"",SUBSTITUTE(MID(J3522,2,LEN(J3522)-2),"'",""),"ZZZZZ")</f>
        <v>Shafi-i-Nayrizi</v>
      </c>
      <c r="N3522" s="39" t="str">
        <f t="shared" si="382"/>
        <v/>
      </c>
      <c r="P3522" s="39" t="str">
        <f t="shared" si="383"/>
        <v/>
      </c>
      <c r="R3522" s="39" t="str">
        <f t="shared" si="384"/>
        <v/>
      </c>
      <c r="S3522" s="28"/>
      <c r="T3522" s="28"/>
      <c r="U3522" s="28"/>
    </row>
    <row r="3523" spans="1:21" s="5" customFormat="1">
      <c r="A3523" s="179" t="s">
        <v>4104</v>
      </c>
      <c r="B3523" s="185" t="s">
        <v>7946</v>
      </c>
      <c r="C3523" s="35" t="str">
        <f t="shared" si="385"/>
        <v>Shaghil</v>
      </c>
      <c r="E3523" s="40"/>
      <c r="F3523" s="15"/>
      <c r="G3523" s="17"/>
      <c r="H3523" s="10" t="s">
        <v>8563</v>
      </c>
      <c r="I3523" s="4" t="str">
        <f t="shared" si="386"/>
        <v>|áil|</v>
      </c>
      <c r="J3523" s="3" t="str">
        <f t="shared" si="387"/>
        <v>|Shaghil|</v>
      </c>
      <c r="K3523" s="3" t="str">
        <f t="shared" si="388"/>
        <v>Shaghil</v>
      </c>
      <c r="N3523" s="39" t="str">
        <f t="shared" ref="N3523:N3586" si="389">SUBSTITUTE(SUBSTITUTE(SUBSTITUTE(F_OutputASCII(M3523),"-","")," ",""),"'","")</f>
        <v/>
      </c>
      <c r="P3523" s="39" t="str">
        <f t="shared" ref="P3523:P3586" si="390">SUBSTITUTE(SUBSTITUTE(SUBSTITUTE(F_OutputASCII(O3523),"-","")," ",""),"'","")</f>
        <v/>
      </c>
      <c r="R3523" s="39" t="str">
        <f t="shared" ref="R3523:R3586" si="391">SUBSTITUTE(SUBSTITUTE(Q3523,"-","")," ","")</f>
        <v/>
      </c>
      <c r="S3523" s="28"/>
      <c r="T3523" s="28"/>
      <c r="U3523" s="28"/>
    </row>
    <row r="3524" spans="1:21" s="5" customFormat="1">
      <c r="A3524" s="179" t="s">
        <v>4105</v>
      </c>
      <c r="B3524" s="185" t="s">
        <v>51</v>
      </c>
      <c r="C3524" s="35" t="str">
        <f t="shared" si="385"/>
        <v>Shah</v>
      </c>
      <c r="E3524" s="40"/>
      <c r="F3524" s="14" t="s">
        <v>4106</v>
      </c>
      <c r="G3524" s="17"/>
      <c r="H3524" s="10" t="s">
        <v>8563</v>
      </c>
      <c r="I3524" s="4" t="str">
        <f t="shared" si="386"/>
        <v>|áh|</v>
      </c>
      <c r="J3524" s="3" t="str">
        <f t="shared" si="387"/>
        <v>|Shah|</v>
      </c>
      <c r="K3524" s="3" t="str">
        <f t="shared" si="388"/>
        <v>Shah</v>
      </c>
      <c r="N3524" s="39" t="str">
        <f t="shared" si="389"/>
        <v/>
      </c>
      <c r="P3524" s="39" t="str">
        <f t="shared" si="390"/>
        <v/>
      </c>
      <c r="R3524" s="39" t="str">
        <f t="shared" si="391"/>
        <v/>
      </c>
      <c r="S3524" s="28"/>
      <c r="T3524" s="29">
        <v>41781</v>
      </c>
      <c r="U3524" s="28" t="s">
        <v>9468</v>
      </c>
    </row>
    <row r="3525" spans="1:21" s="5" customFormat="1">
      <c r="A3525" s="179" t="s">
        <v>4107</v>
      </c>
      <c r="B3525" s="185" t="s">
        <v>7947</v>
      </c>
      <c r="C3525" s="35" t="str">
        <f t="shared" si="385"/>
        <v>ShahAbbas</v>
      </c>
      <c r="E3525" s="40"/>
      <c r="F3525" s="14"/>
      <c r="G3525" s="17"/>
      <c r="H3525" s="10" t="s">
        <v>8563</v>
      </c>
      <c r="I3525" s="4" t="str">
        <f t="shared" si="386"/>
        <v>|áh-ʿAbbás|</v>
      </c>
      <c r="J3525" s="3" t="str">
        <f t="shared" si="387"/>
        <v>|Shah-'Abbas|</v>
      </c>
      <c r="K3525" s="3" t="str">
        <f t="shared" si="388"/>
        <v>Shah-Abbas</v>
      </c>
      <c r="N3525" s="39" t="str">
        <f t="shared" si="389"/>
        <v/>
      </c>
      <c r="P3525" s="39" t="str">
        <f t="shared" si="390"/>
        <v/>
      </c>
      <c r="R3525" s="39" t="str">
        <f t="shared" si="391"/>
        <v/>
      </c>
      <c r="S3525" s="28"/>
      <c r="T3525" s="28"/>
      <c r="U3525" s="28"/>
    </row>
    <row r="3526" spans="1:21" s="5" customFormat="1">
      <c r="A3526" s="179" t="s">
        <v>4108</v>
      </c>
      <c r="B3526" s="185" t="s">
        <v>7948</v>
      </c>
      <c r="C3526" s="35" t="str">
        <f t="shared" si="385"/>
        <v>ShahAbdulAzim</v>
      </c>
      <c r="E3526" s="40"/>
      <c r="F3526" s="15"/>
      <c r="G3526" s="17"/>
      <c r="H3526" s="10" t="s">
        <v>8563</v>
      </c>
      <c r="I3526" s="4" t="str">
        <f t="shared" si="386"/>
        <v>|áh-ʿAbdu’l-ʿAẓim|</v>
      </c>
      <c r="J3526" s="3" t="str">
        <f t="shared" si="387"/>
        <v>|Shah-'Abdu'l-'Azim|</v>
      </c>
      <c r="K3526" s="3" t="str">
        <f t="shared" si="388"/>
        <v>Shah-Abdul-Azim</v>
      </c>
      <c r="N3526" s="39" t="str">
        <f t="shared" si="389"/>
        <v/>
      </c>
      <c r="P3526" s="39" t="str">
        <f t="shared" si="390"/>
        <v/>
      </c>
      <c r="R3526" s="39" t="str">
        <f t="shared" si="391"/>
        <v/>
      </c>
      <c r="S3526" s="28"/>
      <c r="T3526" s="28"/>
      <c r="U3526" s="28"/>
    </row>
    <row r="3527" spans="1:21" s="5" customFormat="1">
      <c r="A3527" s="179" t="s">
        <v>4109</v>
      </c>
      <c r="B3527" s="185" t="s">
        <v>7949</v>
      </c>
      <c r="C3527" s="35" t="str">
        <f t="shared" si="385"/>
        <v>Shahadat</v>
      </c>
      <c r="E3527" s="40"/>
      <c r="F3527" s="15" t="s">
        <v>4110</v>
      </c>
      <c r="G3527" s="17"/>
      <c r="H3527" s="10" t="s">
        <v>8563</v>
      </c>
      <c r="I3527" s="4" t="str">
        <f t="shared" si="386"/>
        <v>|ahádat|</v>
      </c>
      <c r="J3527" s="3" t="str">
        <f t="shared" si="387"/>
        <v>|Shahadat|</v>
      </c>
      <c r="K3527" s="3" t="str">
        <f t="shared" si="388"/>
        <v>Shahadat</v>
      </c>
      <c r="N3527" s="39" t="str">
        <f t="shared" si="389"/>
        <v/>
      </c>
      <c r="P3527" s="39" t="str">
        <f t="shared" si="390"/>
        <v/>
      </c>
      <c r="R3527" s="39" t="str">
        <f t="shared" si="391"/>
        <v/>
      </c>
      <c r="S3527" s="28"/>
      <c r="T3527" s="28"/>
      <c r="U3527" s="28"/>
    </row>
    <row r="3528" spans="1:21" s="5" customFormat="1">
      <c r="A3528" s="179" t="s">
        <v>4111</v>
      </c>
      <c r="B3528" s="185" t="s">
        <v>7950</v>
      </c>
      <c r="C3528" s="35" t="str">
        <f t="shared" si="385"/>
        <v>Shahanshah</v>
      </c>
      <c r="E3528" s="40"/>
      <c r="F3528" s="14"/>
      <c r="G3528" s="17"/>
      <c r="H3528" s="10" t="s">
        <v>8563</v>
      </c>
      <c r="I3528" s="4" t="str">
        <f t="shared" si="386"/>
        <v>|áhanáh|</v>
      </c>
      <c r="J3528" s="3" t="str">
        <f t="shared" si="387"/>
        <v>|Shahanshah|</v>
      </c>
      <c r="K3528" s="3" t="str">
        <f t="shared" si="388"/>
        <v>Shahanshah</v>
      </c>
      <c r="N3528" s="39" t="str">
        <f t="shared" si="389"/>
        <v/>
      </c>
      <c r="P3528" s="39" t="str">
        <f t="shared" si="390"/>
        <v/>
      </c>
      <c r="R3528" s="39" t="str">
        <f t="shared" si="391"/>
        <v/>
      </c>
      <c r="S3528" s="28"/>
      <c r="T3528" s="28"/>
      <c r="U3528" s="28"/>
    </row>
    <row r="3529" spans="1:21" s="5" customFormat="1">
      <c r="A3529" s="179" t="s">
        <v>4112</v>
      </c>
      <c r="B3529" s="185" t="s">
        <v>7951</v>
      </c>
      <c r="C3529" s="35" t="str">
        <f t="shared" si="385"/>
        <v>ShahBahram</v>
      </c>
      <c r="E3529" s="40"/>
      <c r="F3529" s="14" t="s">
        <v>4113</v>
      </c>
      <c r="G3529" s="17"/>
      <c r="H3529" s="10" t="s">
        <v>8563</v>
      </c>
      <c r="I3529" s="4" t="str">
        <f t="shared" si="386"/>
        <v>|áh-Bahrám|</v>
      </c>
      <c r="J3529" s="3" t="str">
        <f t="shared" si="387"/>
        <v>|Shah-Bahram|</v>
      </c>
      <c r="K3529" s="3" t="str">
        <f t="shared" si="388"/>
        <v>Shah-Bahram</v>
      </c>
      <c r="N3529" s="39" t="str">
        <f t="shared" si="389"/>
        <v/>
      </c>
      <c r="P3529" s="39" t="str">
        <f t="shared" si="390"/>
        <v/>
      </c>
      <c r="R3529" s="39" t="str">
        <f t="shared" si="391"/>
        <v/>
      </c>
      <c r="S3529" s="28"/>
      <c r="T3529" s="28"/>
      <c r="U3529" s="28"/>
    </row>
    <row r="3530" spans="1:21" s="5" customFormat="1">
      <c r="A3530" s="179" t="s">
        <v>4114</v>
      </c>
      <c r="B3530" s="185" t="s">
        <v>7952</v>
      </c>
      <c r="C3530" s="35" t="str">
        <f t="shared" si="385"/>
        <v>Shahbar</v>
      </c>
      <c r="E3530" s="40"/>
      <c r="F3530" s="14"/>
      <c r="G3530" s="17"/>
      <c r="H3530" s="10" t="s">
        <v>8563</v>
      </c>
      <c r="I3530" s="4" t="str">
        <f t="shared" si="386"/>
        <v>|ahbar|</v>
      </c>
      <c r="J3530" s="3" t="str">
        <f t="shared" si="387"/>
        <v>|Shahbar|</v>
      </c>
      <c r="K3530" s="3" t="str">
        <f t="shared" si="388"/>
        <v>Shahbar</v>
      </c>
      <c r="N3530" s="39" t="str">
        <f t="shared" si="389"/>
        <v/>
      </c>
      <c r="P3530" s="39" t="str">
        <f t="shared" si="390"/>
        <v/>
      </c>
      <c r="R3530" s="39" t="str">
        <f t="shared" si="391"/>
        <v/>
      </c>
      <c r="S3530" s="28"/>
      <c r="T3530" s="28"/>
      <c r="U3530" s="28"/>
    </row>
    <row r="3531" spans="1:21" s="5" customFormat="1">
      <c r="A3531" s="179" t="s">
        <v>4115</v>
      </c>
      <c r="B3531" s="185" t="s">
        <v>7953</v>
      </c>
      <c r="C3531" s="35" t="str">
        <f t="shared" si="385"/>
        <v>ShahChiragh</v>
      </c>
      <c r="E3531" s="40"/>
      <c r="F3531" s="14"/>
      <c r="G3531" s="17"/>
      <c r="H3531" s="10" t="s">
        <v>8563</v>
      </c>
      <c r="I3531" s="4" t="str">
        <f t="shared" si="386"/>
        <v>|áh-ira|</v>
      </c>
      <c r="J3531" s="3" t="str">
        <f t="shared" si="387"/>
        <v>|Shah-Chiragh|</v>
      </c>
      <c r="K3531" s="3" t="str">
        <f t="shared" si="388"/>
        <v>Shah-Chiragh</v>
      </c>
      <c r="N3531" s="39" t="str">
        <f t="shared" si="389"/>
        <v/>
      </c>
      <c r="P3531" s="39" t="str">
        <f t="shared" si="390"/>
        <v/>
      </c>
      <c r="R3531" s="39" t="str">
        <f t="shared" si="391"/>
        <v/>
      </c>
      <c r="S3531" s="28"/>
      <c r="T3531" s="28"/>
      <c r="U3531" s="28"/>
    </row>
    <row r="3532" spans="1:21" s="5" customFormat="1">
      <c r="A3532" s="179" t="s">
        <v>4116</v>
      </c>
      <c r="B3532" s="185" t="s">
        <v>7954</v>
      </c>
      <c r="C3532" s="35" t="str">
        <f t="shared" si="385"/>
        <v>Shahid</v>
      </c>
      <c r="E3532" s="40"/>
      <c r="F3532" s="14" t="s">
        <v>4117</v>
      </c>
      <c r="G3532" s="17"/>
      <c r="H3532" s="10" t="s">
        <v>8563</v>
      </c>
      <c r="I3532" s="4" t="str">
        <f t="shared" si="386"/>
        <v>|ahíd|</v>
      </c>
      <c r="J3532" s="3" t="str">
        <f t="shared" si="387"/>
        <v>|Shahid|</v>
      </c>
      <c r="K3532" s="3" t="str">
        <f t="shared" si="388"/>
        <v>Shahid</v>
      </c>
      <c r="N3532" s="39" t="str">
        <f t="shared" si="389"/>
        <v/>
      </c>
      <c r="P3532" s="39" t="str">
        <f t="shared" si="390"/>
        <v/>
      </c>
      <c r="R3532" s="39" t="str">
        <f t="shared" si="391"/>
        <v/>
      </c>
      <c r="S3532" s="28"/>
      <c r="T3532" s="28"/>
      <c r="U3532" s="28"/>
    </row>
    <row r="3533" spans="1:21" s="5" customFormat="1">
      <c r="A3533" s="179" t="s">
        <v>4118</v>
      </c>
      <c r="B3533" s="185" t="s">
        <v>7955</v>
      </c>
      <c r="C3533" s="35" t="str">
        <f t="shared" si="385"/>
        <v>ShahidiMazkan</v>
      </c>
      <c r="E3533" s="40"/>
      <c r="F3533" s="14"/>
      <c r="G3533" s="17"/>
      <c r="H3533" s="10" t="s">
        <v>8563</v>
      </c>
      <c r="I3533" s="4" t="str">
        <f t="shared" si="386"/>
        <v>|ahíd-i-Mazkán|</v>
      </c>
      <c r="J3533" s="3" t="str">
        <f t="shared" si="387"/>
        <v>|Shahid-i-Mazkan|</v>
      </c>
      <c r="K3533" s="3" t="str">
        <f t="shared" si="388"/>
        <v>Shahid-i-Mazkan</v>
      </c>
      <c r="N3533" s="39" t="str">
        <f t="shared" si="389"/>
        <v/>
      </c>
      <c r="P3533" s="39" t="str">
        <f t="shared" si="390"/>
        <v/>
      </c>
      <c r="R3533" s="39" t="str">
        <f t="shared" si="391"/>
        <v/>
      </c>
      <c r="S3533" s="28"/>
      <c r="T3533" s="28"/>
      <c r="U3533" s="28"/>
    </row>
    <row r="3534" spans="1:21" s="5" customFormat="1">
      <c r="A3534" s="179" t="s">
        <v>4119</v>
      </c>
      <c r="B3534" s="185" t="s">
        <v>7956</v>
      </c>
      <c r="C3534" s="35" t="str">
        <f t="shared" si="385"/>
        <v>ShahidiThalith</v>
      </c>
      <c r="E3534" s="40"/>
      <c r="F3534" s="14"/>
      <c r="G3534" s="17"/>
      <c r="H3534" s="10" t="s">
        <v>8563</v>
      </c>
      <c r="I3534" s="4" t="str">
        <f t="shared" si="386"/>
        <v>|ahíd-i-ali|</v>
      </c>
      <c r="J3534" s="3" t="str">
        <f t="shared" si="387"/>
        <v>|Shahid-i-Thalith|</v>
      </c>
      <c r="K3534" s="3" t="str">
        <f t="shared" si="388"/>
        <v>Shahid-i-Thalith</v>
      </c>
      <c r="N3534" s="39" t="str">
        <f t="shared" si="389"/>
        <v/>
      </c>
      <c r="P3534" s="39" t="str">
        <f t="shared" si="390"/>
        <v/>
      </c>
      <c r="R3534" s="39" t="str">
        <f t="shared" si="391"/>
        <v/>
      </c>
      <c r="S3534" s="28"/>
      <c r="T3534" s="28"/>
      <c r="U3534" s="28"/>
    </row>
    <row r="3535" spans="1:21" s="5" customFormat="1">
      <c r="A3535" s="179" t="s">
        <v>4120</v>
      </c>
      <c r="B3535" s="185" t="s">
        <v>7957</v>
      </c>
      <c r="C3535" s="35" t="str">
        <f t="shared" si="385"/>
        <v>Shahin</v>
      </c>
      <c r="E3535" s="40"/>
      <c r="F3535" s="15"/>
      <c r="G3535" s="17"/>
      <c r="H3535" s="10" t="s">
        <v>8563</v>
      </c>
      <c r="I3535" s="4" t="str">
        <f t="shared" si="386"/>
        <v>|ahín|</v>
      </c>
      <c r="J3535" s="3" t="str">
        <f t="shared" si="387"/>
        <v>|Shahin|</v>
      </c>
      <c r="K3535" s="3" t="str">
        <f t="shared" si="388"/>
        <v>Shahin</v>
      </c>
      <c r="N3535" s="39" t="str">
        <f t="shared" si="389"/>
        <v/>
      </c>
      <c r="P3535" s="39" t="str">
        <f t="shared" si="390"/>
        <v/>
      </c>
      <c r="R3535" s="39" t="str">
        <f t="shared" si="391"/>
        <v/>
      </c>
      <c r="S3535" s="28"/>
      <c r="T3535" s="28"/>
      <c r="U3535" s="28"/>
    </row>
    <row r="3536" spans="1:21" s="5" customFormat="1">
      <c r="A3536" s="179" t="s">
        <v>4121</v>
      </c>
      <c r="B3536" s="185" t="s">
        <v>7958</v>
      </c>
      <c r="C3536" s="35" t="str">
        <f t="shared" si="385"/>
        <v>ShahiSahibAlam</v>
      </c>
      <c r="E3536" s="40"/>
      <c r="F3536" s="15"/>
      <c r="G3536" s="17"/>
      <c r="H3536" s="10" t="s">
        <v>8563</v>
      </c>
      <c r="I3536" s="4" t="str">
        <f t="shared" si="386"/>
        <v>|áh-i-Ṣáhib-ʿÁlam|</v>
      </c>
      <c r="J3536" s="3" t="str">
        <f t="shared" si="387"/>
        <v>|Shah-i-Sahib-'Alam|</v>
      </c>
      <c r="K3536" s="3" t="str">
        <f t="shared" si="388"/>
        <v>Shah-i-Sahib-Alam</v>
      </c>
      <c r="N3536" s="39" t="str">
        <f t="shared" si="389"/>
        <v/>
      </c>
      <c r="P3536" s="39" t="str">
        <f t="shared" si="390"/>
        <v/>
      </c>
      <c r="R3536" s="39" t="str">
        <f t="shared" si="391"/>
        <v/>
      </c>
      <c r="S3536" s="28"/>
      <c r="T3536" s="28"/>
      <c r="U3536" s="28"/>
    </row>
    <row r="3537" spans="1:21" s="5" customFormat="1">
      <c r="A3537" s="179" t="s">
        <v>4122</v>
      </c>
      <c r="B3537" s="185" t="s">
        <v>7959</v>
      </c>
      <c r="C3537" s="35" t="str">
        <f t="shared" si="385"/>
        <v>Shahmirzad</v>
      </c>
      <c r="E3537" s="40"/>
      <c r="F3537" s="14"/>
      <c r="G3537" s="17"/>
      <c r="H3537" s="10" t="s">
        <v>8563</v>
      </c>
      <c r="I3537" s="4" t="str">
        <f t="shared" si="386"/>
        <v>|ahmírzád|</v>
      </c>
      <c r="J3537" s="3" t="str">
        <f t="shared" si="387"/>
        <v>|Shahmirzad|</v>
      </c>
      <c r="K3537" s="3" t="str">
        <f t="shared" si="388"/>
        <v>Shahmirzad</v>
      </c>
      <c r="N3537" s="39" t="str">
        <f t="shared" si="389"/>
        <v/>
      </c>
      <c r="P3537" s="39" t="str">
        <f t="shared" si="390"/>
        <v/>
      </c>
      <c r="R3537" s="39" t="str">
        <f t="shared" si="391"/>
        <v/>
      </c>
      <c r="S3537" s="28"/>
      <c r="T3537" s="28"/>
      <c r="U3537" s="28"/>
    </row>
    <row r="3538" spans="1:21" s="5" customFormat="1">
      <c r="A3538" s="179" t="s">
        <v>4123</v>
      </c>
      <c r="B3538" s="185" t="s">
        <v>7960</v>
      </c>
      <c r="C3538" s="35" t="str">
        <f t="shared" si="385"/>
        <v>Shahmirzadi</v>
      </c>
      <c r="E3538" s="40"/>
      <c r="F3538" s="15" t="s">
        <v>4124</v>
      </c>
      <c r="G3538" s="17"/>
      <c r="H3538" s="10" t="s">
        <v>8563</v>
      </c>
      <c r="I3538" s="4" t="str">
        <f t="shared" si="386"/>
        <v>|ahmírzádí|</v>
      </c>
      <c r="J3538" s="3" t="str">
        <f t="shared" si="387"/>
        <v>|Shahmirzadi|</v>
      </c>
      <c r="K3538" s="3" t="str">
        <f t="shared" si="388"/>
        <v>Shahmirzadi</v>
      </c>
      <c r="N3538" s="39" t="str">
        <f t="shared" si="389"/>
        <v/>
      </c>
      <c r="P3538" s="39" t="str">
        <f t="shared" si="390"/>
        <v/>
      </c>
      <c r="R3538" s="39" t="str">
        <f t="shared" si="391"/>
        <v/>
      </c>
      <c r="S3538" s="28"/>
      <c r="T3538" s="28"/>
      <c r="U3538" s="28"/>
    </row>
    <row r="3539" spans="1:21" s="5" customFormat="1">
      <c r="A3539" s="179" t="s">
        <v>4125</v>
      </c>
      <c r="B3539" s="185" t="s">
        <v>7961</v>
      </c>
      <c r="C3539" s="35" t="str">
        <f t="shared" si="385"/>
        <v>ShahMuhammad</v>
      </c>
      <c r="E3539" s="40"/>
      <c r="F3539" s="14"/>
      <c r="G3539" s="17"/>
      <c r="H3539" s="10" t="s">
        <v>8563</v>
      </c>
      <c r="I3539" s="4" t="str">
        <f t="shared" si="386"/>
        <v>|áh-Muḥammad|</v>
      </c>
      <c r="J3539" s="3" t="str">
        <f t="shared" si="387"/>
        <v>|Shah-Muhammad|</v>
      </c>
      <c r="K3539" s="3" t="str">
        <f t="shared" si="388"/>
        <v>Shah-Muhammad</v>
      </c>
      <c r="N3539" s="39" t="str">
        <f t="shared" si="389"/>
        <v/>
      </c>
      <c r="P3539" s="39" t="str">
        <f t="shared" si="390"/>
        <v/>
      </c>
      <c r="R3539" s="39" t="str">
        <f t="shared" si="391"/>
        <v/>
      </c>
      <c r="S3539" s="28"/>
      <c r="T3539" s="28"/>
      <c r="U3539" s="28"/>
    </row>
    <row r="3540" spans="1:21" s="5" customFormat="1">
      <c r="A3540" s="179" t="s">
        <v>4126</v>
      </c>
      <c r="B3540" s="185" t="s">
        <v>7962</v>
      </c>
      <c r="C3540" s="35" t="str">
        <f t="shared" si="385"/>
        <v>ShahMuhammadAmin</v>
      </c>
      <c r="E3540" s="40"/>
      <c r="F3540" s="14"/>
      <c r="G3540" s="17"/>
      <c r="H3540" s="10" t="s">
        <v>8563</v>
      </c>
      <c r="I3540" s="4" t="str">
        <f t="shared" si="386"/>
        <v>|áh-Muḥammad-Amín|</v>
      </c>
      <c r="J3540" s="3" t="str">
        <f t="shared" si="387"/>
        <v>|Shah-Muhammad-Amin|</v>
      </c>
      <c r="K3540" s="3" t="str">
        <f t="shared" si="388"/>
        <v>Shah-Muhammad-Amin</v>
      </c>
      <c r="N3540" s="39" t="str">
        <f t="shared" si="389"/>
        <v/>
      </c>
      <c r="P3540" s="39" t="str">
        <f t="shared" si="390"/>
        <v/>
      </c>
      <c r="R3540" s="39" t="str">
        <f t="shared" si="391"/>
        <v/>
      </c>
      <c r="S3540" s="28"/>
      <c r="T3540" s="28"/>
      <c r="U3540" s="28"/>
    </row>
    <row r="3541" spans="1:21" s="5" customFormat="1">
      <c r="A3541" s="179" t="s">
        <v>4127</v>
      </c>
      <c r="B3541" s="185" t="s">
        <v>7963</v>
      </c>
      <c r="C3541" s="35" t="str">
        <f t="shared" si="385"/>
        <v>Shahnaz</v>
      </c>
      <c r="E3541" s="40"/>
      <c r="F3541" s="14"/>
      <c r="G3541" s="17"/>
      <c r="H3541" s="10" t="s">
        <v>8563</v>
      </c>
      <c r="I3541" s="4" t="str">
        <f t="shared" si="386"/>
        <v>|ahnáz|</v>
      </c>
      <c r="J3541" s="3" t="str">
        <f t="shared" si="387"/>
        <v>|Shahnaz|</v>
      </c>
      <c r="K3541" s="3" t="str">
        <f t="shared" si="388"/>
        <v>Shahnaz</v>
      </c>
      <c r="N3541" s="39" t="str">
        <f t="shared" si="389"/>
        <v/>
      </c>
      <c r="P3541" s="39" t="str">
        <f t="shared" si="390"/>
        <v/>
      </c>
      <c r="R3541" s="39" t="str">
        <f t="shared" si="391"/>
        <v/>
      </c>
      <c r="S3541" s="28"/>
      <c r="T3541" s="28"/>
      <c r="U3541" s="28"/>
    </row>
    <row r="3542" spans="1:21" s="5" customFormat="1">
      <c r="A3542" s="179" t="s">
        <v>4128</v>
      </c>
      <c r="B3542" s="185" t="s">
        <v>7964</v>
      </c>
      <c r="C3542" s="35" t="str">
        <f t="shared" si="385"/>
        <v>Shahrbanu</v>
      </c>
      <c r="E3542" s="40" t="s">
        <v>9115</v>
      </c>
      <c r="F3542" s="15"/>
      <c r="G3542" s="17"/>
      <c r="H3542" s="10" t="s">
        <v>8563</v>
      </c>
      <c r="I3542" s="4" t="str">
        <f t="shared" si="386"/>
        <v>|ahrbanú|</v>
      </c>
      <c r="J3542" s="3" t="str">
        <f t="shared" si="387"/>
        <v>|Shahrbanu|</v>
      </c>
      <c r="K3542" s="3" t="str">
        <f t="shared" si="388"/>
        <v>Shahrbanu</v>
      </c>
      <c r="N3542" s="39" t="str">
        <f t="shared" si="389"/>
        <v/>
      </c>
      <c r="P3542" s="39" t="str">
        <f t="shared" si="390"/>
        <v/>
      </c>
      <c r="R3542" s="39" t="str">
        <f t="shared" si="391"/>
        <v/>
      </c>
      <c r="S3542" s="28"/>
      <c r="T3542" s="28"/>
      <c r="U3542" s="28"/>
    </row>
    <row r="3543" spans="1:21" s="5" customFormat="1">
      <c r="A3543" s="181"/>
      <c r="B3543" s="185" t="s">
        <v>8815</v>
      </c>
      <c r="C3543" s="35" t="str">
        <f t="shared" si="385"/>
        <v>Shahrbanu</v>
      </c>
      <c r="D3543" s="1"/>
      <c r="E3543" s="40" t="s">
        <v>9115</v>
      </c>
      <c r="F3543" s="12"/>
      <c r="G3543" s="9"/>
      <c r="H3543" s="12" t="s">
        <v>8622</v>
      </c>
      <c r="I3543" s="4" t="str">
        <f t="shared" si="386"/>
        <v>|ahrbánú|</v>
      </c>
      <c r="J3543" s="3" t="str">
        <f t="shared" si="387"/>
        <v>|Shahrbanu|</v>
      </c>
      <c r="K3543" s="3" t="str">
        <f t="shared" si="388"/>
        <v>Shahrbanu</v>
      </c>
      <c r="N3543" s="39" t="str">
        <f t="shared" si="389"/>
        <v/>
      </c>
      <c r="P3543" s="39" t="str">
        <f t="shared" si="390"/>
        <v/>
      </c>
      <c r="R3543" s="39" t="str">
        <f t="shared" si="391"/>
        <v/>
      </c>
      <c r="S3543" s="29">
        <v>41760</v>
      </c>
      <c r="T3543" s="28"/>
      <c r="U3543" s="28"/>
    </row>
    <row r="3544" spans="1:21" s="5" customFormat="1">
      <c r="A3544" s="179" t="s">
        <v>4131</v>
      </c>
      <c r="B3544" s="185" t="s">
        <v>7967</v>
      </c>
      <c r="C3544" s="35" t="str">
        <f t="shared" si="385"/>
        <v>ShahriKhastan</v>
      </c>
      <c r="E3544" s="40"/>
      <c r="F3544" s="15"/>
      <c r="G3544" s="17"/>
      <c r="H3544" s="10" t="s">
        <v>8563</v>
      </c>
      <c r="I3544" s="4" t="str">
        <f t="shared" si="386"/>
        <v>|ahr-i-ástán|</v>
      </c>
      <c r="J3544" s="3" t="str">
        <f t="shared" si="387"/>
        <v>|Shahr-i-Khastan|</v>
      </c>
      <c r="K3544" s="3" t="str">
        <f t="shared" si="388"/>
        <v>Shahr-i-Khastan</v>
      </c>
      <c r="N3544" s="39" t="str">
        <f t="shared" si="389"/>
        <v/>
      </c>
      <c r="P3544" s="39" t="str">
        <f t="shared" si="390"/>
        <v/>
      </c>
      <c r="R3544" s="39" t="str">
        <f t="shared" si="391"/>
        <v/>
      </c>
      <c r="S3544" s="28"/>
      <c r="T3544" s="28"/>
      <c r="U3544" s="28"/>
    </row>
    <row r="3545" spans="1:21" s="5" customFormat="1">
      <c r="A3545" s="179" t="s">
        <v>4129</v>
      </c>
      <c r="B3545" s="185" t="s">
        <v>7965</v>
      </c>
      <c r="C3545" s="35" t="str">
        <f t="shared" si="385"/>
        <v>Shahristan</v>
      </c>
      <c r="E3545" s="40"/>
      <c r="F3545" s="14"/>
      <c r="G3545" s="17"/>
      <c r="H3545" s="10" t="s">
        <v>8563</v>
      </c>
      <c r="I3545" s="4" t="str">
        <f t="shared" si="386"/>
        <v>|ahristán|</v>
      </c>
      <c r="J3545" s="3" t="str">
        <f t="shared" si="387"/>
        <v>|Shahristan|</v>
      </c>
      <c r="K3545" s="3" t="str">
        <f t="shared" si="388"/>
        <v>Shahristan</v>
      </c>
      <c r="N3545" s="39" t="str">
        <f t="shared" si="389"/>
        <v/>
      </c>
      <c r="P3545" s="39" t="str">
        <f t="shared" si="390"/>
        <v/>
      </c>
      <c r="R3545" s="39" t="str">
        <f t="shared" si="391"/>
        <v/>
      </c>
      <c r="S3545" s="28"/>
      <c r="T3545" s="28"/>
      <c r="U3545" s="28"/>
    </row>
    <row r="3546" spans="1:21" s="5" customFormat="1">
      <c r="A3546" s="179" t="s">
        <v>4130</v>
      </c>
      <c r="B3546" s="185" t="s">
        <v>7966</v>
      </c>
      <c r="C3546" s="35" t="str">
        <f t="shared" si="385"/>
        <v>Shahriyar</v>
      </c>
      <c r="E3546" s="40"/>
      <c r="F3546" s="15"/>
      <c r="G3546" s="17"/>
      <c r="H3546" s="10" t="s">
        <v>8563</v>
      </c>
      <c r="I3546" s="4" t="str">
        <f t="shared" si="386"/>
        <v>|ahríyár|</v>
      </c>
      <c r="J3546" s="3" t="str">
        <f t="shared" si="387"/>
        <v>|Shahriyar|</v>
      </c>
      <c r="K3546" s="3" t="str">
        <f t="shared" si="388"/>
        <v>Shahriyar</v>
      </c>
      <c r="N3546" s="39" t="str">
        <f t="shared" si="389"/>
        <v/>
      </c>
      <c r="P3546" s="39" t="str">
        <f t="shared" si="390"/>
        <v/>
      </c>
      <c r="R3546" s="39" t="str">
        <f t="shared" si="391"/>
        <v/>
      </c>
      <c r="S3546" s="28"/>
      <c r="T3546" s="28"/>
      <c r="U3546" s="28"/>
    </row>
    <row r="3547" spans="1:21" s="5" customFormat="1">
      <c r="A3547" s="179" t="s">
        <v>4132</v>
      </c>
      <c r="B3547" s="185" t="s">
        <v>7968</v>
      </c>
      <c r="C3547" s="35" t="str">
        <f t="shared" si="385"/>
        <v>Shahrud</v>
      </c>
      <c r="E3547" s="40"/>
      <c r="F3547" s="14"/>
      <c r="G3547" s="17"/>
      <c r="H3547" s="10" t="s">
        <v>8563</v>
      </c>
      <c r="I3547" s="4" t="str">
        <f t="shared" si="386"/>
        <v>|áhrúd|</v>
      </c>
      <c r="J3547" s="3" t="str">
        <f t="shared" si="387"/>
        <v>|Shahrud|</v>
      </c>
      <c r="K3547" s="3" t="str">
        <f t="shared" si="388"/>
        <v>Shahrud</v>
      </c>
      <c r="N3547" s="39" t="str">
        <f t="shared" si="389"/>
        <v/>
      </c>
      <c r="P3547" s="39" t="str">
        <f t="shared" si="390"/>
        <v/>
      </c>
      <c r="R3547" s="39" t="str">
        <f t="shared" si="391"/>
        <v/>
      </c>
      <c r="S3547" s="28"/>
      <c r="T3547" s="28"/>
      <c r="U3547" s="28"/>
    </row>
    <row r="3548" spans="1:21" s="5" customFormat="1">
      <c r="A3548" s="179" t="s">
        <v>4133</v>
      </c>
      <c r="B3548" s="185" t="s">
        <v>7969</v>
      </c>
      <c r="C3548" s="35" t="str">
        <f t="shared" si="385"/>
        <v>Shahrukh</v>
      </c>
      <c r="E3548" s="40"/>
      <c r="F3548" s="15"/>
      <c r="G3548" s="17"/>
      <c r="H3548" s="10" t="s">
        <v>8563</v>
      </c>
      <c r="I3548" s="4" t="str">
        <f t="shared" si="386"/>
        <v>|áhru|</v>
      </c>
      <c r="J3548" s="3" t="str">
        <f t="shared" si="387"/>
        <v>|Shahrukh|</v>
      </c>
      <c r="K3548" s="3" t="str">
        <f t="shared" si="388"/>
        <v>Shahrukh</v>
      </c>
      <c r="N3548" s="39" t="str">
        <f t="shared" si="389"/>
        <v/>
      </c>
      <c r="P3548" s="39" t="str">
        <f t="shared" si="390"/>
        <v/>
      </c>
      <c r="R3548" s="39" t="str">
        <f t="shared" si="391"/>
        <v/>
      </c>
      <c r="S3548" s="28"/>
      <c r="T3548" s="28"/>
      <c r="U3548" s="28"/>
    </row>
    <row r="3549" spans="1:21" s="5" customFormat="1">
      <c r="A3549" s="179" t="s">
        <v>4844</v>
      </c>
      <c r="B3549" s="185" t="s">
        <v>8509</v>
      </c>
      <c r="C3549" s="35" t="str">
        <f t="shared" si="385"/>
        <v>ShahrulKufih</v>
      </c>
      <c r="E3549" s="40"/>
      <c r="F3549" s="15" t="s">
        <v>8597</v>
      </c>
      <c r="G3549" s="17"/>
      <c r="H3549" s="10" t="s">
        <v>8563</v>
      </c>
      <c r="I3549" s="4" t="str">
        <f t="shared" si="386"/>
        <v>|ahru’l-Kúfih|</v>
      </c>
      <c r="J3549" s="3" t="str">
        <f t="shared" si="387"/>
        <v>|Shahru'l-Kufih|</v>
      </c>
      <c r="K3549" s="3" t="str">
        <f t="shared" si="388"/>
        <v>Shahrul-Kufih</v>
      </c>
      <c r="N3549" s="39" t="str">
        <f t="shared" si="389"/>
        <v/>
      </c>
      <c r="P3549" s="39" t="str">
        <f t="shared" si="390"/>
        <v/>
      </c>
      <c r="R3549" s="39" t="str">
        <f t="shared" si="391"/>
        <v/>
      </c>
      <c r="S3549" s="28"/>
      <c r="T3549" s="28"/>
      <c r="U3549" s="28"/>
    </row>
    <row r="3550" spans="1:21" s="5" customFormat="1">
      <c r="A3550" s="179" t="s">
        <v>4134</v>
      </c>
      <c r="B3550" s="185" t="s">
        <v>7970</v>
      </c>
      <c r="C3550" s="35" t="str">
        <f t="shared" si="385"/>
        <v>Shahzadih</v>
      </c>
      <c r="E3550" s="40"/>
      <c r="F3550" s="14"/>
      <c r="G3550" s="17"/>
      <c r="H3550" s="10" t="s">
        <v>8563</v>
      </c>
      <c r="I3550" s="4" t="str">
        <f t="shared" si="386"/>
        <v>|áhzádih|</v>
      </c>
      <c r="J3550" s="3" t="str">
        <f t="shared" si="387"/>
        <v>|Shahzadih|</v>
      </c>
      <c r="K3550" s="3" t="str">
        <f t="shared" si="388"/>
        <v>Shahzadih</v>
      </c>
      <c r="N3550" s="39" t="str">
        <f t="shared" si="389"/>
        <v/>
      </c>
      <c r="P3550" s="39" t="str">
        <f t="shared" si="390"/>
        <v/>
      </c>
      <c r="R3550" s="39" t="str">
        <f t="shared" si="391"/>
        <v/>
      </c>
      <c r="S3550" s="28"/>
      <c r="T3550" s="28"/>
      <c r="U3550" s="28"/>
    </row>
    <row r="3551" spans="1:21" s="5" customFormat="1">
      <c r="A3551" s="179" t="s">
        <v>4135</v>
      </c>
      <c r="B3551" s="185" t="s">
        <v>7971</v>
      </c>
      <c r="C3551" s="35" t="str">
        <f t="shared" si="385"/>
        <v>Shakhsi</v>
      </c>
      <c r="E3551" s="40"/>
      <c r="F3551" s="15"/>
      <c r="G3551" s="17"/>
      <c r="H3551" s="10" t="s">
        <v>8563</v>
      </c>
      <c r="I3551" s="4" t="str">
        <f t="shared" si="386"/>
        <v>|aṣí|</v>
      </c>
      <c r="J3551" s="3" t="str">
        <f t="shared" si="387"/>
        <v>|Shakhsi|</v>
      </c>
      <c r="K3551" s="3" t="str">
        <f t="shared" si="388"/>
        <v>Shakhsi</v>
      </c>
      <c r="N3551" s="39" t="str">
        <f t="shared" si="389"/>
        <v/>
      </c>
      <c r="P3551" s="39" t="str">
        <f t="shared" si="390"/>
        <v/>
      </c>
      <c r="R3551" s="39" t="str">
        <f t="shared" si="391"/>
        <v/>
      </c>
      <c r="S3551" s="28"/>
      <c r="T3551" s="28"/>
      <c r="U3551" s="28"/>
    </row>
    <row r="3552" spans="1:21" s="5" customFormat="1">
      <c r="A3552" s="179" t="s">
        <v>4136</v>
      </c>
      <c r="B3552" s="185" t="s">
        <v>7972</v>
      </c>
      <c r="C3552" s="35" t="str">
        <f t="shared" si="385"/>
        <v>Shalvar</v>
      </c>
      <c r="E3552" s="40"/>
      <c r="F3552" s="15" t="s">
        <v>4137</v>
      </c>
      <c r="G3552" s="17"/>
      <c r="H3552" s="10" t="s">
        <v>8563</v>
      </c>
      <c r="I3552" s="4" t="str">
        <f t="shared" si="386"/>
        <v>|alvár|</v>
      </c>
      <c r="J3552" s="3" t="str">
        <f t="shared" si="387"/>
        <v>|Shalvar|</v>
      </c>
      <c r="K3552" s="3" t="str">
        <f t="shared" si="388"/>
        <v>Shalvar</v>
      </c>
      <c r="N3552" s="39" t="str">
        <f t="shared" si="389"/>
        <v/>
      </c>
      <c r="P3552" s="39" t="str">
        <f t="shared" si="390"/>
        <v/>
      </c>
      <c r="R3552" s="39" t="str">
        <f t="shared" si="391"/>
        <v/>
      </c>
      <c r="S3552" s="28"/>
      <c r="T3552" s="28"/>
      <c r="U3552" s="28"/>
    </row>
    <row r="3553" spans="1:21" s="5" customFormat="1">
      <c r="A3553" s="179" t="s">
        <v>4138</v>
      </c>
      <c r="B3553" s="185" t="s">
        <v>7973</v>
      </c>
      <c r="C3553" s="35" t="str">
        <f t="shared" si="385"/>
        <v>Sham</v>
      </c>
      <c r="E3553" s="40"/>
      <c r="F3553" s="15" t="s">
        <v>4139</v>
      </c>
      <c r="G3553" s="17"/>
      <c r="H3553" s="10" t="s">
        <v>8563</v>
      </c>
      <c r="I3553" s="4" t="str">
        <f t="shared" si="386"/>
        <v>|ám|</v>
      </c>
      <c r="J3553" s="3" t="str">
        <f t="shared" si="387"/>
        <v>|Sham|</v>
      </c>
      <c r="K3553" s="3" t="str">
        <f t="shared" si="388"/>
        <v>Sham</v>
      </c>
      <c r="N3553" s="39" t="str">
        <f t="shared" si="389"/>
        <v/>
      </c>
      <c r="P3553" s="39" t="str">
        <f t="shared" si="390"/>
        <v/>
      </c>
      <c r="R3553" s="39" t="str">
        <f t="shared" si="391"/>
        <v/>
      </c>
      <c r="S3553" s="28"/>
      <c r="T3553" s="28"/>
      <c r="U3553" s="28"/>
    </row>
    <row r="3554" spans="1:21" s="5" customFormat="1">
      <c r="A3554" s="179" t="s">
        <v>4151</v>
      </c>
      <c r="B3554" s="185" t="s">
        <v>7984</v>
      </c>
      <c r="C3554" s="35" t="str">
        <f t="shared" si="385"/>
        <v>Shamayil</v>
      </c>
      <c r="E3554" s="40"/>
      <c r="F3554" s="15" t="s">
        <v>4152</v>
      </c>
      <c r="G3554" s="17"/>
      <c r="H3554" s="10" t="s">
        <v>8563</v>
      </c>
      <c r="I3554" s="4" t="str">
        <f t="shared" si="386"/>
        <v>|amáyil|</v>
      </c>
      <c r="J3554" s="3" t="str">
        <f t="shared" si="387"/>
        <v>|Shamayil|</v>
      </c>
      <c r="K3554" s="3" t="str">
        <f t="shared" si="388"/>
        <v>Shamayil</v>
      </c>
      <c r="N3554" s="39" t="str">
        <f t="shared" si="389"/>
        <v/>
      </c>
      <c r="P3554" s="39" t="str">
        <f t="shared" si="390"/>
        <v/>
      </c>
      <c r="R3554" s="39" t="str">
        <f t="shared" si="391"/>
        <v/>
      </c>
      <c r="S3554" s="28"/>
      <c r="T3554" s="28"/>
      <c r="U3554" s="28"/>
    </row>
    <row r="3555" spans="1:21" s="5" customFormat="1">
      <c r="A3555" s="179" t="s">
        <v>4140</v>
      </c>
      <c r="B3555" s="185" t="s">
        <v>7974</v>
      </c>
      <c r="C3555" s="35" t="str">
        <f t="shared" si="385"/>
        <v>Shams</v>
      </c>
      <c r="E3555" s="40"/>
      <c r="F3555" s="14"/>
      <c r="G3555" s="17"/>
      <c r="H3555" s="10" t="s">
        <v>8563</v>
      </c>
      <c r="I3555" s="4" t="str">
        <f t="shared" si="386"/>
        <v>|ams|</v>
      </c>
      <c r="J3555" s="3" t="str">
        <f t="shared" si="387"/>
        <v>|Shams|</v>
      </c>
      <c r="K3555" s="3" t="str">
        <f t="shared" si="388"/>
        <v>Shams</v>
      </c>
      <c r="N3555" s="39" t="str">
        <f t="shared" si="389"/>
        <v/>
      </c>
      <c r="P3555" s="39" t="str">
        <f t="shared" si="390"/>
        <v/>
      </c>
      <c r="R3555" s="39" t="str">
        <f t="shared" si="391"/>
        <v/>
      </c>
      <c r="S3555" s="28"/>
      <c r="T3555" s="28"/>
      <c r="U3555" s="28"/>
    </row>
    <row r="3556" spans="1:21" s="5" customFormat="1">
      <c r="A3556" s="179" t="s">
        <v>4141</v>
      </c>
      <c r="B3556" s="185" t="s">
        <v>7975</v>
      </c>
      <c r="C3556" s="35" t="str">
        <f t="shared" si="385"/>
        <v>Shamsi</v>
      </c>
      <c r="E3556" s="40"/>
      <c r="F3556" s="14"/>
      <c r="G3556" s="17"/>
      <c r="H3556" s="10" t="s">
        <v>8563</v>
      </c>
      <c r="I3556" s="4" t="str">
        <f t="shared" si="386"/>
        <v>|amsí|</v>
      </c>
      <c r="J3556" s="3" t="str">
        <f t="shared" si="387"/>
        <v>|Shamsi|</v>
      </c>
      <c r="K3556" s="3" t="str">
        <f t="shared" si="388"/>
        <v>Shamsi</v>
      </c>
      <c r="N3556" s="39" t="str">
        <f t="shared" si="389"/>
        <v/>
      </c>
      <c r="P3556" s="39" t="str">
        <f t="shared" si="390"/>
        <v/>
      </c>
      <c r="R3556" s="39" t="str">
        <f t="shared" si="391"/>
        <v/>
      </c>
      <c r="S3556" s="28"/>
      <c r="T3556" s="28"/>
      <c r="U3556" s="28"/>
    </row>
    <row r="3557" spans="1:21" s="5" customFormat="1">
      <c r="A3557" s="181"/>
      <c r="B3557" s="185" t="s">
        <v>52</v>
      </c>
      <c r="C3557" s="35" t="str">
        <f t="shared" si="385"/>
        <v>ShamsiBig</v>
      </c>
      <c r="D3557" s="1"/>
      <c r="E3557" s="40"/>
      <c r="F3557" s="12"/>
      <c r="G3557" s="9"/>
      <c r="H3557" s="12"/>
      <c r="I3557" s="4" t="str">
        <f t="shared" si="386"/>
        <v>|amsí Big|</v>
      </c>
      <c r="J3557" s="3" t="str">
        <f t="shared" si="387"/>
        <v>|Shamsi Big|</v>
      </c>
      <c r="K3557" s="3" t="str">
        <f t="shared" si="388"/>
        <v>Shamsi Big</v>
      </c>
      <c r="M3557" s="1"/>
      <c r="N3557" s="39" t="str">
        <f t="shared" si="389"/>
        <v/>
      </c>
      <c r="O3557" s="1"/>
      <c r="P3557" s="39" t="str">
        <f t="shared" si="390"/>
        <v/>
      </c>
      <c r="Q3557" s="1"/>
      <c r="R3557" s="39" t="str">
        <f t="shared" si="391"/>
        <v/>
      </c>
      <c r="S3557" s="28"/>
      <c r="T3557" s="29">
        <v>41781</v>
      </c>
      <c r="U3557" s="28" t="s">
        <v>9446</v>
      </c>
    </row>
    <row r="3558" spans="1:21" s="5" customFormat="1">
      <c r="A3558" s="179" t="s">
        <v>4143</v>
      </c>
      <c r="B3558" s="185" t="s">
        <v>7977</v>
      </c>
      <c r="C3558" s="35" t="str">
        <f t="shared" si="385"/>
        <v>ShamsiJahan</v>
      </c>
      <c r="E3558" s="40"/>
      <c r="F3558" s="15" t="s">
        <v>4144</v>
      </c>
      <c r="G3558" s="17"/>
      <c r="H3558" s="10" t="s">
        <v>8563</v>
      </c>
      <c r="I3558" s="4" t="str">
        <f t="shared" si="386"/>
        <v>|ams-i-Jahán|</v>
      </c>
      <c r="J3558" s="3" t="str">
        <f t="shared" si="387"/>
        <v>|Shams-i-Jahan|</v>
      </c>
      <c r="K3558" s="3" t="str">
        <f t="shared" si="388"/>
        <v>Shams-i-Jahan</v>
      </c>
      <c r="N3558" s="39" t="str">
        <f t="shared" si="389"/>
        <v/>
      </c>
      <c r="P3558" s="39" t="str">
        <f t="shared" si="390"/>
        <v/>
      </c>
      <c r="R3558" s="39" t="str">
        <f t="shared" si="391"/>
        <v/>
      </c>
      <c r="S3558" s="28"/>
      <c r="T3558" s="28"/>
      <c r="U3558" s="28"/>
    </row>
    <row r="3559" spans="1:21" s="5" customFormat="1">
      <c r="A3559" s="179" t="s">
        <v>4145</v>
      </c>
      <c r="B3559" s="185" t="s">
        <v>7978</v>
      </c>
      <c r="C3559" s="35" t="str">
        <f t="shared" si="385"/>
        <v>ShamsiTabriz</v>
      </c>
      <c r="E3559" s="40"/>
      <c r="F3559" s="14"/>
      <c r="G3559" s="17"/>
      <c r="H3559" s="10" t="s">
        <v>8563</v>
      </c>
      <c r="I3559" s="4" t="str">
        <f t="shared" si="386"/>
        <v>|ams-i-Tabríz|</v>
      </c>
      <c r="J3559" s="3" t="str">
        <f t="shared" si="387"/>
        <v>|Shams-i-Tabriz|</v>
      </c>
      <c r="K3559" s="3" t="str">
        <f t="shared" si="388"/>
        <v>Shams-i-Tabriz</v>
      </c>
      <c r="N3559" s="39" t="str">
        <f t="shared" si="389"/>
        <v/>
      </c>
      <c r="P3559" s="39" t="str">
        <f t="shared" si="390"/>
        <v/>
      </c>
      <c r="R3559" s="39" t="str">
        <f t="shared" si="391"/>
        <v/>
      </c>
      <c r="S3559" s="28"/>
      <c r="T3559" s="28"/>
      <c r="U3559" s="28"/>
    </row>
    <row r="3560" spans="1:21" s="5" customFormat="1">
      <c r="A3560" s="179" t="s">
        <v>4146</v>
      </c>
      <c r="B3560" s="185" t="s">
        <v>7979</v>
      </c>
      <c r="C3560" s="35" t="str">
        <f t="shared" si="385"/>
        <v>ShamsudDin</v>
      </c>
      <c r="E3560" s="40"/>
      <c r="F3560" s="14"/>
      <c r="G3560" s="17"/>
      <c r="H3560" s="10" t="s">
        <v>8563</v>
      </c>
      <c r="I3560" s="4" t="str">
        <f t="shared" si="386"/>
        <v>|amsu’d-Dín|</v>
      </c>
      <c r="J3560" s="3" t="str">
        <f t="shared" si="387"/>
        <v>|Shamsu'd-Din|</v>
      </c>
      <c r="K3560" s="3" t="str">
        <f t="shared" si="388"/>
        <v>Shamsud-Din</v>
      </c>
      <c r="N3560" s="39" t="str">
        <f t="shared" si="389"/>
        <v/>
      </c>
      <c r="P3560" s="39" t="str">
        <f t="shared" si="390"/>
        <v/>
      </c>
      <c r="R3560" s="39" t="str">
        <f t="shared" si="391"/>
        <v/>
      </c>
      <c r="S3560" s="28"/>
      <c r="T3560" s="28"/>
      <c r="U3560" s="28"/>
    </row>
    <row r="3561" spans="1:21" s="5" customFormat="1">
      <c r="A3561" s="179" t="s">
        <v>4147</v>
      </c>
      <c r="B3561" s="185" t="s">
        <v>7980</v>
      </c>
      <c r="C3561" s="35" t="str">
        <f t="shared" si="385"/>
        <v>ShamsudDiniMalikiDuz</v>
      </c>
      <c r="E3561" s="40"/>
      <c r="F3561" s="14"/>
      <c r="G3561" s="17"/>
      <c r="H3561" s="10" t="s">
        <v>8563</v>
      </c>
      <c r="I3561" s="4" t="str">
        <f t="shared" si="386"/>
        <v>|amsu’d-Dín-i-Malikí-Dúz|</v>
      </c>
      <c r="J3561" s="3" t="str">
        <f t="shared" si="387"/>
        <v>|Shamsu'd-Din-i-Maliki-Duz|</v>
      </c>
      <c r="K3561" s="3" t="str">
        <f t="shared" si="388"/>
        <v>Shamsud-Din-i-Maliki-Duz</v>
      </c>
      <c r="N3561" s="39" t="str">
        <f t="shared" si="389"/>
        <v/>
      </c>
      <c r="P3561" s="39" t="str">
        <f t="shared" si="390"/>
        <v/>
      </c>
      <c r="R3561" s="39" t="str">
        <f t="shared" si="391"/>
        <v/>
      </c>
      <c r="S3561" s="28"/>
      <c r="T3561" s="28"/>
      <c r="U3561" s="28"/>
    </row>
    <row r="3562" spans="1:21" s="5" customFormat="1">
      <c r="A3562" s="179" t="s">
        <v>4148</v>
      </c>
      <c r="B3562" s="185" t="s">
        <v>7981</v>
      </c>
      <c r="C3562" s="35" t="str">
        <f t="shared" si="385"/>
        <v>ShamsudDinMuhammad</v>
      </c>
      <c r="E3562" s="40"/>
      <c r="F3562" s="15"/>
      <c r="G3562" s="17"/>
      <c r="H3562" s="10" t="s">
        <v>8563</v>
      </c>
      <c r="I3562" s="4" t="str">
        <f t="shared" si="386"/>
        <v>|amsu’d-Dín-Muḥammad|</v>
      </c>
      <c r="J3562" s="3" t="str">
        <f t="shared" si="387"/>
        <v>|Shamsu'd-Din-Muhammad|</v>
      </c>
      <c r="K3562" s="3" t="str">
        <f t="shared" si="388"/>
        <v>Shamsud-Din-Muhammad</v>
      </c>
      <c r="N3562" s="39" t="str">
        <f t="shared" si="389"/>
        <v/>
      </c>
      <c r="P3562" s="39" t="str">
        <f t="shared" si="390"/>
        <v/>
      </c>
      <c r="R3562" s="39" t="str">
        <f t="shared" si="391"/>
        <v/>
      </c>
      <c r="S3562" s="28"/>
      <c r="T3562" s="28"/>
      <c r="U3562" s="28"/>
    </row>
    <row r="3563" spans="1:21" s="5" customFormat="1">
      <c r="A3563" s="179" t="s">
        <v>4142</v>
      </c>
      <c r="B3563" s="185" t="s">
        <v>7976</v>
      </c>
      <c r="C3563" s="35" t="str">
        <f t="shared" si="385"/>
        <v>ShamsuʼdDuha</v>
      </c>
      <c r="E3563" s="40"/>
      <c r="F3563" s="14"/>
      <c r="G3563" s="17"/>
      <c r="H3563" s="10" t="s">
        <v>8563</v>
      </c>
      <c r="I3563" s="4" t="str">
        <f t="shared" si="386"/>
        <v>|amsuʼḍ-Ḍuḥá|</v>
      </c>
      <c r="J3563" s="3" t="str">
        <f t="shared" si="387"/>
        <v>|Shamsuʼd-Duha|</v>
      </c>
      <c r="K3563" s="3" t="str">
        <f t="shared" si="388"/>
        <v>Shamsuʼd-Duha</v>
      </c>
      <c r="N3563" s="39" t="str">
        <f t="shared" si="389"/>
        <v/>
      </c>
      <c r="P3563" s="39" t="str">
        <f t="shared" si="390"/>
        <v/>
      </c>
      <c r="R3563" s="39" t="str">
        <f t="shared" si="391"/>
        <v/>
      </c>
      <c r="S3563" s="28"/>
      <c r="T3563" s="28"/>
      <c r="U3563" s="28"/>
    </row>
    <row r="3564" spans="1:21" s="5" customFormat="1">
      <c r="A3564" s="179" t="s">
        <v>4149</v>
      </c>
      <c r="B3564" s="185" t="s">
        <v>7982</v>
      </c>
      <c r="C3564" s="35" t="str">
        <f t="shared" si="385"/>
        <v>ShamsulImarih</v>
      </c>
      <c r="E3564" s="40"/>
      <c r="F3564" s="15"/>
      <c r="G3564" s="17"/>
      <c r="H3564" s="10" t="s">
        <v>8563</v>
      </c>
      <c r="I3564" s="4" t="str">
        <f t="shared" si="386"/>
        <v>|amsu’l-ʿImárih|</v>
      </c>
      <c r="J3564" s="3" t="str">
        <f t="shared" si="387"/>
        <v>|Shamsu'l-'Imarih|</v>
      </c>
      <c r="K3564" s="3" t="str">
        <f t="shared" si="388"/>
        <v>Shamsul-Imarih</v>
      </c>
      <c r="N3564" s="39" t="str">
        <f t="shared" si="389"/>
        <v/>
      </c>
      <c r="P3564" s="39" t="str">
        <f t="shared" si="390"/>
        <v/>
      </c>
      <c r="R3564" s="39" t="str">
        <f t="shared" si="391"/>
        <v/>
      </c>
      <c r="S3564" s="28"/>
      <c r="T3564" s="28"/>
      <c r="U3564" s="28"/>
    </row>
    <row r="3565" spans="1:21" s="5" customFormat="1">
      <c r="A3565" s="179" t="s">
        <v>4150</v>
      </c>
      <c r="B3565" s="185" t="s">
        <v>7983</v>
      </c>
      <c r="C3565" s="35" t="str">
        <f t="shared" si="385"/>
        <v>ShamsulMaali</v>
      </c>
      <c r="E3565" s="40"/>
      <c r="F3565" s="15"/>
      <c r="G3565" s="17"/>
      <c r="H3565" s="10" t="s">
        <v>8563</v>
      </c>
      <c r="I3565" s="4" t="str">
        <f t="shared" si="386"/>
        <v>|amsu’l-Ma’álí|</v>
      </c>
      <c r="J3565" s="3" t="str">
        <f t="shared" si="387"/>
        <v>|Shamsu'l-Ma'ali|</v>
      </c>
      <c r="K3565" s="3" t="str">
        <f t="shared" si="388"/>
        <v>Shamsul-Maali</v>
      </c>
      <c r="N3565" s="39" t="str">
        <f t="shared" si="389"/>
        <v/>
      </c>
      <c r="P3565" s="39" t="str">
        <f t="shared" si="390"/>
        <v/>
      </c>
      <c r="R3565" s="39" t="str">
        <f t="shared" si="391"/>
        <v/>
      </c>
      <c r="S3565" s="28"/>
      <c r="T3565" s="28"/>
      <c r="U3565" s="28"/>
    </row>
    <row r="3566" spans="1:21" s="5" customFormat="1">
      <c r="A3566" s="179" t="s">
        <v>4153</v>
      </c>
      <c r="B3566" s="185" t="s">
        <v>7985</v>
      </c>
      <c r="C3566" s="35" t="str">
        <f t="shared" si="385"/>
        <v>Shan</v>
      </c>
      <c r="E3566" s="40"/>
      <c r="F3566" s="15"/>
      <c r="G3566" s="17"/>
      <c r="H3566" s="10" t="s">
        <v>8563</v>
      </c>
      <c r="I3566" s="4" t="str">
        <f t="shared" si="386"/>
        <v>|a’n|</v>
      </c>
      <c r="J3566" s="3" t="str">
        <f t="shared" si="387"/>
        <v>|Sha'n|</v>
      </c>
      <c r="K3566" s="3" t="str">
        <f t="shared" si="388"/>
        <v>Shan</v>
      </c>
      <c r="N3566" s="39" t="str">
        <f t="shared" si="389"/>
        <v/>
      </c>
      <c r="P3566" s="39" t="str">
        <f t="shared" si="390"/>
        <v/>
      </c>
      <c r="R3566" s="39" t="str">
        <f t="shared" si="391"/>
        <v/>
      </c>
      <c r="S3566" s="28"/>
      <c r="T3566" s="28"/>
      <c r="U3566" s="28"/>
    </row>
    <row r="3567" spans="1:21" s="5" customFormat="1">
      <c r="A3567" s="179" t="s">
        <v>4154</v>
      </c>
      <c r="B3567" s="185" t="s">
        <v>7986</v>
      </c>
      <c r="C3567" s="35" t="str">
        <f t="shared" si="385"/>
        <v>ShanTappih</v>
      </c>
      <c r="E3567" s="40"/>
      <c r="F3567" s="15"/>
      <c r="G3567" s="17"/>
      <c r="H3567" s="10" t="s">
        <v>8563</v>
      </c>
      <c r="I3567" s="4" t="str">
        <f t="shared" si="386"/>
        <v>|án-Tappih|</v>
      </c>
      <c r="J3567" s="3" t="str">
        <f t="shared" si="387"/>
        <v>|Shan-Tappih|</v>
      </c>
      <c r="K3567" s="3" t="str">
        <f t="shared" si="388"/>
        <v>Shan-Tappih</v>
      </c>
      <c r="N3567" s="39" t="str">
        <f t="shared" si="389"/>
        <v/>
      </c>
      <c r="P3567" s="39" t="str">
        <f t="shared" si="390"/>
        <v/>
      </c>
      <c r="R3567" s="39" t="str">
        <f t="shared" si="391"/>
        <v/>
      </c>
      <c r="S3567" s="28"/>
      <c r="T3567" s="28"/>
      <c r="U3567" s="28"/>
    </row>
    <row r="3568" spans="1:21" s="5" customFormat="1">
      <c r="A3568" s="179" t="s">
        <v>4155</v>
      </c>
      <c r="B3568" s="185" t="s">
        <v>7987</v>
      </c>
      <c r="C3568" s="35" t="str">
        <f t="shared" si="385"/>
        <v>Shapur</v>
      </c>
      <c r="E3568" s="40"/>
      <c r="F3568" s="15"/>
      <c r="G3568" s="17"/>
      <c r="H3568" s="10" t="s">
        <v>8563</v>
      </c>
      <c r="I3568" s="4" t="str">
        <f t="shared" si="386"/>
        <v>|ápúr|</v>
      </c>
      <c r="J3568" s="3" t="str">
        <f t="shared" si="387"/>
        <v>|Shapur|</v>
      </c>
      <c r="K3568" s="3" t="str">
        <f t="shared" si="388"/>
        <v>Shapur</v>
      </c>
      <c r="N3568" s="39" t="str">
        <f t="shared" si="389"/>
        <v/>
      </c>
      <c r="P3568" s="39" t="str">
        <f t="shared" si="390"/>
        <v/>
      </c>
      <c r="R3568" s="39" t="str">
        <f t="shared" si="391"/>
        <v/>
      </c>
      <c r="S3568" s="28"/>
      <c r="T3568" s="28"/>
      <c r="U3568" s="28"/>
    </row>
    <row r="3569" spans="1:21" s="5" customFormat="1">
      <c r="A3569" s="179" t="s">
        <v>4222</v>
      </c>
      <c r="B3569" s="185" t="s">
        <v>8038</v>
      </c>
      <c r="C3569" s="35" t="str">
        <f t="shared" si="385"/>
        <v>Shaqaqi</v>
      </c>
      <c r="E3569" s="40"/>
      <c r="F3569" s="14"/>
      <c r="G3569" s="17"/>
      <c r="H3569" s="10" t="s">
        <v>8563</v>
      </c>
      <c r="I3569" s="4" t="str">
        <f t="shared" si="386"/>
        <v>|aqáqí|</v>
      </c>
      <c r="J3569" s="3" t="str">
        <f t="shared" si="387"/>
        <v>|Shaqaqi|</v>
      </c>
      <c r="K3569" s="3" t="str">
        <f t="shared" si="388"/>
        <v>Shaqaqi</v>
      </c>
      <c r="N3569" s="39" t="str">
        <f t="shared" si="389"/>
        <v/>
      </c>
      <c r="P3569" s="39" t="str">
        <f t="shared" si="390"/>
        <v/>
      </c>
      <c r="R3569" s="39" t="str">
        <f t="shared" si="391"/>
        <v/>
      </c>
      <c r="S3569" s="28"/>
      <c r="T3569" s="28"/>
      <c r="U3569" s="28"/>
    </row>
    <row r="3570" spans="1:21" s="5" customFormat="1">
      <c r="A3570" s="179" t="s">
        <v>4156</v>
      </c>
      <c r="B3570" s="185" t="s">
        <v>7988</v>
      </c>
      <c r="C3570" s="35" t="str">
        <f t="shared" si="385"/>
        <v>Shar</v>
      </c>
      <c r="E3570" s="40"/>
      <c r="F3570" s="14"/>
      <c r="G3570" s="17"/>
      <c r="H3570" s="10" t="s">
        <v>8563</v>
      </c>
      <c r="I3570" s="4" t="str">
        <f t="shared" si="386"/>
        <v>|arʿ|</v>
      </c>
      <c r="J3570" s="3" t="str">
        <f t="shared" si="387"/>
        <v>|Shar'|</v>
      </c>
      <c r="K3570" s="3" t="str">
        <f t="shared" si="388"/>
        <v>Shar</v>
      </c>
      <c r="N3570" s="39" t="str">
        <f t="shared" si="389"/>
        <v/>
      </c>
      <c r="P3570" s="39" t="str">
        <f t="shared" si="390"/>
        <v/>
      </c>
      <c r="R3570" s="39" t="str">
        <f t="shared" si="391"/>
        <v/>
      </c>
      <c r="S3570" s="28"/>
      <c r="T3570" s="28"/>
      <c r="U3570" s="28"/>
    </row>
    <row r="3571" spans="1:21" s="5" customFormat="1">
      <c r="A3571" s="179" t="s">
        <v>4157</v>
      </c>
      <c r="B3571" s="185" t="s">
        <v>7989</v>
      </c>
      <c r="C3571" s="35" t="str">
        <f t="shared" si="385"/>
        <v>Sharaf</v>
      </c>
      <c r="E3571" s="40"/>
      <c r="F3571" s="14" t="s">
        <v>4158</v>
      </c>
      <c r="G3571" s="17"/>
      <c r="H3571" s="10" t="s">
        <v>8563</v>
      </c>
      <c r="I3571" s="4" t="str">
        <f t="shared" si="386"/>
        <v>|araf|</v>
      </c>
      <c r="J3571" s="3" t="str">
        <f t="shared" si="387"/>
        <v>|Sharaf|</v>
      </c>
      <c r="K3571" s="3" t="str">
        <f t="shared" si="388"/>
        <v>Sharaf</v>
      </c>
      <c r="N3571" s="39" t="str">
        <f t="shared" si="389"/>
        <v/>
      </c>
      <c r="P3571" s="39" t="str">
        <f t="shared" si="390"/>
        <v/>
      </c>
      <c r="R3571" s="39" t="str">
        <f t="shared" si="391"/>
        <v/>
      </c>
      <c r="S3571" s="28"/>
      <c r="T3571" s="28"/>
      <c r="U3571" s="28"/>
    </row>
    <row r="3572" spans="1:21" s="5" customFormat="1">
      <c r="A3572" s="179" t="s">
        <v>4159</v>
      </c>
      <c r="B3572" s="185" t="s">
        <v>7990</v>
      </c>
      <c r="C3572" s="35" t="str">
        <f t="shared" si="385"/>
        <v>Sharavi</v>
      </c>
      <c r="E3572" s="40"/>
      <c r="F3572" s="15"/>
      <c r="G3572" s="17"/>
      <c r="H3572" s="10" t="s">
        <v>8563</v>
      </c>
      <c r="I3572" s="4" t="str">
        <f t="shared" si="386"/>
        <v>|aʿráví|</v>
      </c>
      <c r="J3572" s="3" t="str">
        <f t="shared" si="387"/>
        <v>|Sha'ravi|</v>
      </c>
      <c r="K3572" s="3" t="str">
        <f t="shared" si="388"/>
        <v>Sharavi</v>
      </c>
      <c r="N3572" s="39" t="str">
        <f t="shared" si="389"/>
        <v/>
      </c>
      <c r="P3572" s="39" t="str">
        <f t="shared" si="390"/>
        <v/>
      </c>
      <c r="R3572" s="39" t="str">
        <f t="shared" si="391"/>
        <v/>
      </c>
      <c r="S3572" s="28"/>
      <c r="T3572" s="28"/>
      <c r="U3572" s="28"/>
    </row>
    <row r="3573" spans="1:21" s="5" customFormat="1">
      <c r="A3573" s="179" t="s">
        <v>4160</v>
      </c>
      <c r="B3573" s="185" t="s">
        <v>7991</v>
      </c>
      <c r="C3573" s="35" t="str">
        <f t="shared" si="385"/>
        <v>Sharbat</v>
      </c>
      <c r="E3573" s="40"/>
      <c r="F3573" s="15" t="s">
        <v>4161</v>
      </c>
      <c r="G3573" s="17"/>
      <c r="H3573" s="10" t="s">
        <v>8563</v>
      </c>
      <c r="I3573" s="4" t="str">
        <f t="shared" si="386"/>
        <v>|arbat|</v>
      </c>
      <c r="J3573" s="3" t="str">
        <f t="shared" si="387"/>
        <v>|Sharbat|</v>
      </c>
      <c r="K3573" s="3" t="str">
        <f t="shared" si="388"/>
        <v>Sharbat</v>
      </c>
      <c r="N3573" s="39" t="str">
        <f t="shared" si="389"/>
        <v/>
      </c>
      <c r="P3573" s="39" t="str">
        <f t="shared" si="390"/>
        <v/>
      </c>
      <c r="R3573" s="39" t="str">
        <f t="shared" si="391"/>
        <v/>
      </c>
      <c r="S3573" s="28"/>
      <c r="T3573" s="28"/>
      <c r="U3573" s="28"/>
    </row>
    <row r="3574" spans="1:21" s="5" customFormat="1">
      <c r="A3574" s="179" t="s">
        <v>4162</v>
      </c>
      <c r="B3574" s="185" t="s">
        <v>7992</v>
      </c>
      <c r="C3574" s="35" t="str">
        <f t="shared" si="385"/>
        <v>Sharh</v>
      </c>
      <c r="E3574" s="40"/>
      <c r="F3574" s="15"/>
      <c r="G3574" s="17"/>
      <c r="H3574" s="10" t="s">
        <v>8563</v>
      </c>
      <c r="I3574" s="4" t="str">
        <f t="shared" si="386"/>
        <v>|arḥ|</v>
      </c>
      <c r="J3574" s="3" t="str">
        <f t="shared" si="387"/>
        <v>|Sharh|</v>
      </c>
      <c r="K3574" s="3" t="str">
        <f t="shared" si="388"/>
        <v>Sharh</v>
      </c>
      <c r="N3574" s="39" t="str">
        <f t="shared" si="389"/>
        <v/>
      </c>
      <c r="P3574" s="39" t="str">
        <f t="shared" si="390"/>
        <v/>
      </c>
      <c r="R3574" s="39" t="str">
        <f t="shared" si="391"/>
        <v/>
      </c>
      <c r="S3574" s="28"/>
      <c r="T3574" s="28"/>
      <c r="U3574" s="28"/>
    </row>
    <row r="3575" spans="1:21" s="5" customFormat="1">
      <c r="A3575" s="179" t="s">
        <v>4163</v>
      </c>
      <c r="B3575" s="185" t="s">
        <v>7993</v>
      </c>
      <c r="C3575" s="35" t="str">
        <f t="shared" si="385"/>
        <v>Sharhi</v>
      </c>
      <c r="E3575" s="40"/>
      <c r="F3575" s="15" t="s">
        <v>4164</v>
      </c>
      <c r="G3575" s="17"/>
      <c r="H3575" s="10" t="s">
        <v>8563</v>
      </c>
      <c r="I3575" s="4" t="str">
        <f t="shared" si="386"/>
        <v>|arḥí|</v>
      </c>
      <c r="J3575" s="3" t="str">
        <f t="shared" si="387"/>
        <v>|Sharhi|</v>
      </c>
      <c r="K3575" s="3" t="str">
        <f t="shared" si="388"/>
        <v>Sharhi</v>
      </c>
      <c r="N3575" s="39" t="str">
        <f t="shared" si="389"/>
        <v/>
      </c>
      <c r="P3575" s="39" t="str">
        <f t="shared" si="390"/>
        <v/>
      </c>
      <c r="R3575" s="39" t="str">
        <f t="shared" si="391"/>
        <v/>
      </c>
      <c r="S3575" s="28"/>
      <c r="T3575" s="28"/>
      <c r="U3575" s="28"/>
    </row>
    <row r="3576" spans="1:21" s="5" customFormat="1">
      <c r="A3576" s="179" t="s">
        <v>4165</v>
      </c>
      <c r="B3576" s="185" t="s">
        <v>7994</v>
      </c>
      <c r="C3576" s="35" t="str">
        <f t="shared" si="385"/>
        <v>SharhiFassiNiginiIsmiAzam</v>
      </c>
      <c r="E3576" s="40"/>
      <c r="F3576" s="15" t="s">
        <v>2640</v>
      </c>
      <c r="G3576" s="17"/>
      <c r="H3576" s="10" t="s">
        <v>8563</v>
      </c>
      <c r="I3576" s="4" t="str">
        <f t="shared" si="386"/>
        <v>|arḥ-i-Faṣṣ-i-Nigín-i-Ism-i-Aʿẓam|</v>
      </c>
      <c r="J3576" s="3" t="str">
        <f t="shared" si="387"/>
        <v>|Sharh-i-Fass-i-Nigin-i-Ism-i-A'zam|</v>
      </c>
      <c r="K3576" s="3" t="str">
        <f t="shared" si="388"/>
        <v>Sharh-i-Fass-i-Nigin-i-Ism-i-Azam</v>
      </c>
      <c r="N3576" s="39" t="str">
        <f t="shared" si="389"/>
        <v/>
      </c>
      <c r="P3576" s="39" t="str">
        <f t="shared" si="390"/>
        <v/>
      </c>
      <c r="R3576" s="39" t="str">
        <f t="shared" si="391"/>
        <v/>
      </c>
      <c r="S3576" s="28"/>
      <c r="T3576" s="28"/>
      <c r="U3576" s="28"/>
    </row>
    <row r="3577" spans="1:21" s="5" customFormat="1">
      <c r="A3577" s="179" t="s">
        <v>4166</v>
      </c>
      <c r="B3577" s="185" t="s">
        <v>7995</v>
      </c>
      <c r="C3577" s="35" t="str">
        <f t="shared" si="385"/>
        <v>SharhiHaliRijaliIran</v>
      </c>
      <c r="E3577" s="40"/>
      <c r="F3577" s="15" t="s">
        <v>4167</v>
      </c>
      <c r="G3577" s="17"/>
      <c r="H3577" s="10" t="s">
        <v>8563</v>
      </c>
      <c r="I3577" s="4" t="str">
        <f t="shared" si="386"/>
        <v>|arḥ-i-Ḥál-i-Rijál-i-Írán|</v>
      </c>
      <c r="J3577" s="3" t="str">
        <f t="shared" si="387"/>
        <v>|Sharh-i-Hal-i-Rijal-i-Iran|</v>
      </c>
      <c r="K3577" s="3" t="str">
        <f t="shared" si="388"/>
        <v>Sharh-i-Hal-i-Rijal-i-Iran</v>
      </c>
      <c r="N3577" s="39" t="str">
        <f t="shared" si="389"/>
        <v/>
      </c>
      <c r="P3577" s="39" t="str">
        <f t="shared" si="390"/>
        <v/>
      </c>
      <c r="R3577" s="39" t="str">
        <f t="shared" si="391"/>
        <v/>
      </c>
      <c r="S3577" s="28"/>
      <c r="T3577" s="28"/>
      <c r="U3577" s="28"/>
    </row>
    <row r="3578" spans="1:21" s="5" customFormat="1">
      <c r="A3578" s="179" t="s">
        <v>4168</v>
      </c>
      <c r="B3578" s="185" t="s">
        <v>7996</v>
      </c>
      <c r="C3578" s="35" t="str">
        <f t="shared" si="385"/>
        <v>SharhiKhutbih</v>
      </c>
      <c r="E3578" s="40"/>
      <c r="F3578" s="15"/>
      <c r="G3578" s="17"/>
      <c r="H3578" s="10" t="s">
        <v>8563</v>
      </c>
      <c r="I3578" s="4" t="str">
        <f t="shared" si="386"/>
        <v>|arḥ-i-uṭbih|</v>
      </c>
      <c r="J3578" s="3" t="str">
        <f t="shared" si="387"/>
        <v>|Sharh-i-Khutbih|</v>
      </c>
      <c r="K3578" s="3" t="str">
        <f t="shared" si="388"/>
        <v>Sharh-i-Khutbih</v>
      </c>
      <c r="N3578" s="39" t="str">
        <f t="shared" si="389"/>
        <v/>
      </c>
      <c r="P3578" s="39" t="str">
        <f t="shared" si="390"/>
        <v/>
      </c>
      <c r="R3578" s="39" t="str">
        <f t="shared" si="391"/>
        <v/>
      </c>
      <c r="S3578" s="28"/>
      <c r="T3578" s="28"/>
      <c r="U3578" s="28"/>
    </row>
    <row r="3579" spans="1:21" s="5" customFormat="1">
      <c r="A3579" s="179" t="s">
        <v>4169</v>
      </c>
      <c r="B3579" s="185" t="s">
        <v>7997</v>
      </c>
      <c r="C3579" s="35" t="str">
        <f t="shared" si="385"/>
        <v>SharhiKhutbiyiTutunjiyyih</v>
      </c>
      <c r="E3579" s="40"/>
      <c r="F3579" s="15"/>
      <c r="G3579" s="17"/>
      <c r="H3579" s="10" t="s">
        <v>8563</v>
      </c>
      <c r="I3579" s="4" t="str">
        <f t="shared" si="386"/>
        <v>|arḥ-i-uṭbiy-i-Tútúnjíyyih|</v>
      </c>
      <c r="J3579" s="3" t="str">
        <f t="shared" si="387"/>
        <v>|Sharh-i-Khutbiy-i-Tutunjiyyih|</v>
      </c>
      <c r="K3579" s="3" t="str">
        <f t="shared" si="388"/>
        <v>Sharh-i-Khutbiy-i-Tutunjiyyih</v>
      </c>
      <c r="N3579" s="39" t="str">
        <f t="shared" si="389"/>
        <v/>
      </c>
      <c r="P3579" s="39" t="str">
        <f t="shared" si="390"/>
        <v/>
      </c>
      <c r="R3579" s="39" t="str">
        <f t="shared" si="391"/>
        <v/>
      </c>
      <c r="S3579" s="28"/>
      <c r="T3579" s="28"/>
      <c r="U3579" s="28"/>
    </row>
    <row r="3580" spans="1:21" s="5" customFormat="1">
      <c r="A3580" s="179" t="s">
        <v>4170</v>
      </c>
      <c r="B3580" s="185" t="s">
        <v>7998</v>
      </c>
      <c r="C3580" s="35" t="str">
        <f t="shared" si="385"/>
        <v>SharhiQasidih</v>
      </c>
      <c r="E3580" s="40"/>
      <c r="F3580" s="15"/>
      <c r="G3580" s="17"/>
      <c r="H3580" s="10" t="s">
        <v>8563</v>
      </c>
      <c r="I3580" s="4" t="str">
        <f t="shared" si="386"/>
        <v>|arḥ-i-Qaṣídih|</v>
      </c>
      <c r="J3580" s="3" t="str">
        <f t="shared" si="387"/>
        <v>|Sharh-i-Qasidih|</v>
      </c>
      <c r="K3580" s="3" t="str">
        <f t="shared" si="388"/>
        <v>Sharh-i-Qasidih</v>
      </c>
      <c r="N3580" s="39" t="str">
        <f t="shared" si="389"/>
        <v/>
      </c>
      <c r="P3580" s="39" t="str">
        <f t="shared" si="390"/>
        <v/>
      </c>
      <c r="R3580" s="39" t="str">
        <f t="shared" si="391"/>
        <v/>
      </c>
      <c r="S3580" s="28"/>
      <c r="T3580" s="28"/>
      <c r="U3580" s="28"/>
    </row>
    <row r="3581" spans="1:21" s="5" customFormat="1">
      <c r="A3581" s="179" t="s">
        <v>4171</v>
      </c>
      <c r="B3581" s="185" t="s">
        <v>7999</v>
      </c>
      <c r="C3581" s="35" t="str">
        <f t="shared" si="385"/>
        <v>SharhiQasidiyiLamiyyih</v>
      </c>
      <c r="E3581" s="40"/>
      <c r="F3581" s="15" t="s">
        <v>8598</v>
      </c>
      <c r="G3581" s="17"/>
      <c r="H3581" s="10" t="s">
        <v>8563</v>
      </c>
      <c r="I3581" s="4" t="str">
        <f t="shared" si="386"/>
        <v>|arḥ-i-Qáṣidiy-i-Lámíyyih|</v>
      </c>
      <c r="J3581" s="3" t="str">
        <f t="shared" si="387"/>
        <v>|Sharh-i-Qasidiy-i-Lamiyyih|</v>
      </c>
      <c r="K3581" s="3" t="str">
        <f t="shared" si="388"/>
        <v>Sharh-i-Qasidiy-i-Lamiyyih</v>
      </c>
      <c r="N3581" s="39" t="str">
        <f t="shared" si="389"/>
        <v/>
      </c>
      <c r="P3581" s="39" t="str">
        <f t="shared" si="390"/>
        <v/>
      </c>
      <c r="R3581" s="39" t="str">
        <f t="shared" si="391"/>
        <v/>
      </c>
      <c r="S3581" s="28"/>
      <c r="T3581" s="28"/>
      <c r="U3581" s="28"/>
    </row>
    <row r="3582" spans="1:21" s="5" customFormat="1">
      <c r="A3582" s="179" t="s">
        <v>4182</v>
      </c>
      <c r="B3582" s="185" t="s">
        <v>8009</v>
      </c>
      <c r="C3582" s="35" t="str">
        <f t="shared" si="385"/>
        <v>SharhulFavaid</v>
      </c>
      <c r="E3582" s="40"/>
      <c r="F3582" s="15" t="s">
        <v>8599</v>
      </c>
      <c r="G3582" s="17"/>
      <c r="H3582" s="10" t="s">
        <v>8563</v>
      </c>
      <c r="I3582" s="4" t="str">
        <f t="shared" si="386"/>
        <v>|arḥu’l-Favá’id|</v>
      </c>
      <c r="J3582" s="3" t="str">
        <f t="shared" si="387"/>
        <v>|Sharhu'l-Fava'id|</v>
      </c>
      <c r="K3582" s="3" t="str">
        <f t="shared" si="388"/>
        <v>Sharhul-Favaid</v>
      </c>
      <c r="N3582" s="39" t="str">
        <f t="shared" si="389"/>
        <v/>
      </c>
      <c r="P3582" s="39" t="str">
        <f t="shared" si="390"/>
        <v/>
      </c>
      <c r="R3582" s="39" t="str">
        <f t="shared" si="391"/>
        <v/>
      </c>
      <c r="S3582" s="28"/>
      <c r="T3582" s="28"/>
      <c r="U3582" s="28"/>
    </row>
    <row r="3583" spans="1:21" s="5" customFormat="1">
      <c r="A3583" s="179" t="s">
        <v>4172</v>
      </c>
      <c r="B3583" s="185" t="s">
        <v>8000</v>
      </c>
      <c r="C3583" s="35" t="str">
        <f t="shared" si="385"/>
        <v>SharhuzZiyarih</v>
      </c>
      <c r="E3583" s="40"/>
      <c r="F3583" s="14"/>
      <c r="G3583" s="17"/>
      <c r="H3583" s="10" t="s">
        <v>8563</v>
      </c>
      <c r="I3583" s="4" t="str">
        <f t="shared" si="386"/>
        <v>|arḥu’z-Zíyárih|</v>
      </c>
      <c r="J3583" s="3" t="str">
        <f t="shared" si="387"/>
        <v>|Sharhu'z-Ziyarih|</v>
      </c>
      <c r="K3583" s="3" t="str">
        <f t="shared" si="388"/>
        <v>Sharhuz-Ziyarih</v>
      </c>
      <c r="N3583" s="39" t="str">
        <f t="shared" si="389"/>
        <v/>
      </c>
      <c r="P3583" s="39" t="str">
        <f t="shared" si="390"/>
        <v/>
      </c>
      <c r="R3583" s="39" t="str">
        <f t="shared" si="391"/>
        <v/>
      </c>
      <c r="S3583" s="28"/>
      <c r="T3583" s="28"/>
      <c r="U3583" s="28"/>
    </row>
    <row r="3584" spans="1:21" s="5" customFormat="1">
      <c r="A3584" s="179" t="s">
        <v>4173</v>
      </c>
      <c r="B3584" s="185" t="s">
        <v>8001</v>
      </c>
      <c r="C3584" s="35" t="str">
        <f t="shared" si="385"/>
        <v>Shariat</v>
      </c>
      <c r="E3584" s="40"/>
      <c r="F3584" s="14" t="s">
        <v>4174</v>
      </c>
      <c r="G3584" s="17"/>
      <c r="H3584" s="10" t="s">
        <v>8563</v>
      </c>
      <c r="I3584" s="4" t="str">
        <f t="shared" si="386"/>
        <v>|aríʿat|</v>
      </c>
      <c r="J3584" s="3" t="str">
        <f t="shared" si="387"/>
        <v>|Shari'at|</v>
      </c>
      <c r="K3584" s="3" t="str">
        <f t="shared" si="388"/>
        <v>Shariat</v>
      </c>
      <c r="N3584" s="39" t="str">
        <f t="shared" si="389"/>
        <v/>
      </c>
      <c r="P3584" s="39" t="str">
        <f t="shared" si="390"/>
        <v/>
      </c>
      <c r="R3584" s="39" t="str">
        <f t="shared" si="391"/>
        <v/>
      </c>
      <c r="S3584" s="28"/>
      <c r="T3584" s="28"/>
      <c r="U3584" s="28"/>
    </row>
    <row r="3585" spans="1:21" s="5" customFormat="1">
      <c r="A3585" s="179" t="s">
        <v>4175</v>
      </c>
      <c r="B3585" s="185" t="s">
        <v>8002</v>
      </c>
      <c r="C3585" s="35" t="str">
        <f t="shared" si="385"/>
        <v>Shariati</v>
      </c>
      <c r="E3585" s="40"/>
      <c r="F3585" s="15"/>
      <c r="G3585" s="17"/>
      <c r="H3585" s="10" t="s">
        <v>8563</v>
      </c>
      <c r="I3585" s="4" t="str">
        <f t="shared" si="386"/>
        <v>|aríʿatí|</v>
      </c>
      <c r="J3585" s="3" t="str">
        <f t="shared" si="387"/>
        <v>|Shari'ati|</v>
      </c>
      <c r="K3585" s="3" t="str">
        <f t="shared" si="388"/>
        <v>Shariati</v>
      </c>
      <c r="N3585" s="39" t="str">
        <f t="shared" si="389"/>
        <v/>
      </c>
      <c r="P3585" s="39" t="str">
        <f t="shared" si="390"/>
        <v/>
      </c>
      <c r="R3585" s="39" t="str">
        <f t="shared" si="391"/>
        <v/>
      </c>
      <c r="S3585" s="28"/>
      <c r="T3585" s="28"/>
      <c r="U3585" s="28"/>
    </row>
    <row r="3586" spans="1:21" s="5" customFormat="1">
      <c r="A3586" s="179" t="s">
        <v>4176</v>
      </c>
      <c r="B3586" s="185" t="s">
        <v>8003</v>
      </c>
      <c r="C3586" s="35" t="str">
        <f t="shared" ref="C3586:C3649" si="392">SUBSTITUTE(SUBSTITUTE(K3586,"-","")," ","")</f>
        <v>ShariatMadar</v>
      </c>
      <c r="E3586" s="40"/>
      <c r="F3586" s="14"/>
      <c r="G3586" s="17"/>
      <c r="H3586" s="10" t="s">
        <v>8563</v>
      </c>
      <c r="I3586" s="4" t="str">
        <f t="shared" ref="I3586:I3649" si="393">CONCATENATE("|",B3586,"|")</f>
        <v>|aríʿat-Madár|</v>
      </c>
      <c r="J3586" s="3" t="str">
        <f t="shared" ref="J3586:J3649" si="394">CONCATENATE("|",F_OutputASCII(B3586),"|")</f>
        <v>|Shari'at-Madar|</v>
      </c>
      <c r="K3586" s="3" t="str">
        <f t="shared" ref="K3586:K3649" si="395">IF(SUBSTITUTE(MID(J3586,2,LEN(J3586)-2),"'","")&lt;&gt;"",SUBSTITUTE(MID(J3586,2,LEN(J3586)-2),"'",""),"ZZZZZ")</f>
        <v>Shariat-Madar</v>
      </c>
      <c r="N3586" s="39" t="str">
        <f t="shared" si="389"/>
        <v/>
      </c>
      <c r="P3586" s="39" t="str">
        <f t="shared" si="390"/>
        <v/>
      </c>
      <c r="R3586" s="39" t="str">
        <f t="shared" si="391"/>
        <v/>
      </c>
      <c r="S3586" s="28"/>
      <c r="T3586" s="28"/>
      <c r="U3586" s="28"/>
    </row>
    <row r="3587" spans="1:21" s="5" customFormat="1">
      <c r="A3587" s="179" t="s">
        <v>4177</v>
      </c>
      <c r="B3587" s="185" t="s">
        <v>8004</v>
      </c>
      <c r="C3587" s="35" t="str">
        <f t="shared" si="392"/>
        <v>Sharif</v>
      </c>
      <c r="E3587" s="40"/>
      <c r="F3587" s="14"/>
      <c r="G3587" s="17"/>
      <c r="H3587" s="10" t="s">
        <v>8563</v>
      </c>
      <c r="I3587" s="4" t="str">
        <f t="shared" si="393"/>
        <v>|aríf|</v>
      </c>
      <c r="J3587" s="3" t="str">
        <f t="shared" si="394"/>
        <v>|Sharif|</v>
      </c>
      <c r="K3587" s="3" t="str">
        <f t="shared" si="395"/>
        <v>Sharif</v>
      </c>
      <c r="N3587" s="39" t="str">
        <f t="shared" ref="N3587:N3650" si="396">SUBSTITUTE(SUBSTITUTE(SUBSTITUTE(F_OutputASCII(M3587),"-","")," ",""),"'","")</f>
        <v/>
      </c>
      <c r="P3587" s="39" t="str">
        <f t="shared" ref="P3587:P3650" si="397">SUBSTITUTE(SUBSTITUTE(SUBSTITUTE(F_OutputASCII(O3587),"-","")," ",""),"'","")</f>
        <v/>
      </c>
      <c r="R3587" s="39" t="str">
        <f t="shared" ref="R3587:R3650" si="398">SUBSTITUTE(SUBSTITUTE(Q3587,"-","")," ","")</f>
        <v/>
      </c>
      <c r="S3587" s="28"/>
      <c r="T3587" s="28"/>
      <c r="U3587" s="28"/>
    </row>
    <row r="3588" spans="1:21" s="5" customFormat="1">
      <c r="A3588" s="179" t="s">
        <v>4178</v>
      </c>
      <c r="B3588" s="185" t="s">
        <v>8005</v>
      </c>
      <c r="C3588" s="35" t="str">
        <f t="shared" si="392"/>
        <v>SharifulUlama</v>
      </c>
      <c r="E3588" s="40"/>
      <c r="F3588" s="15"/>
      <c r="G3588" s="17"/>
      <c r="H3588" s="10" t="s">
        <v>8563</v>
      </c>
      <c r="I3588" s="4" t="str">
        <f t="shared" si="393"/>
        <v>|arífu’l-ʿUlama|</v>
      </c>
      <c r="J3588" s="3" t="str">
        <f t="shared" si="394"/>
        <v>|Sharifu'l-'Ulama|</v>
      </c>
      <c r="K3588" s="3" t="str">
        <f t="shared" si="395"/>
        <v>Shariful-Ulama</v>
      </c>
      <c r="N3588" s="39" t="str">
        <f t="shared" si="396"/>
        <v/>
      </c>
      <c r="P3588" s="39" t="str">
        <f t="shared" si="397"/>
        <v/>
      </c>
      <c r="R3588" s="39" t="str">
        <f t="shared" si="398"/>
        <v/>
      </c>
      <c r="S3588" s="28"/>
      <c r="T3588" s="28"/>
      <c r="U3588" s="28"/>
    </row>
    <row r="3589" spans="1:21" s="5" customFormat="1">
      <c r="A3589" s="179" t="s">
        <v>4179</v>
      </c>
      <c r="B3589" s="185" t="s">
        <v>8006</v>
      </c>
      <c r="C3589" s="35" t="str">
        <f t="shared" si="392"/>
        <v>SharifulUlamaiMazindarani</v>
      </c>
      <c r="E3589" s="40"/>
      <c r="F3589" s="15"/>
      <c r="G3589" s="17"/>
      <c r="H3589" s="10" t="s">
        <v>8563</v>
      </c>
      <c r="I3589" s="4" t="str">
        <f t="shared" si="393"/>
        <v>|arífu’l-ʿUlama-i-Mázindarání|</v>
      </c>
      <c r="J3589" s="3" t="str">
        <f t="shared" si="394"/>
        <v>|Sharifu'l-'Ulama-i-Mazindarani|</v>
      </c>
      <c r="K3589" s="3" t="str">
        <f t="shared" si="395"/>
        <v>Shariful-Ulama-i-Mazindarani</v>
      </c>
      <c r="N3589" s="39" t="str">
        <f t="shared" si="396"/>
        <v/>
      </c>
      <c r="P3589" s="39" t="str">
        <f t="shared" si="397"/>
        <v/>
      </c>
      <c r="R3589" s="39" t="str">
        <f t="shared" si="398"/>
        <v/>
      </c>
      <c r="S3589" s="28"/>
      <c r="T3589" s="28"/>
      <c r="U3589" s="28"/>
    </row>
    <row r="3590" spans="1:21" s="5" customFormat="1">
      <c r="A3590" s="179" t="s">
        <v>4180</v>
      </c>
      <c r="B3590" s="185" t="s">
        <v>8007</v>
      </c>
      <c r="C3590" s="35" t="str">
        <f t="shared" si="392"/>
        <v>Sharik</v>
      </c>
      <c r="E3590" s="40"/>
      <c r="F3590" s="14"/>
      <c r="G3590" s="17"/>
      <c r="H3590" s="10" t="s">
        <v>8563</v>
      </c>
      <c r="I3590" s="4" t="str">
        <f t="shared" si="393"/>
        <v>|arík|</v>
      </c>
      <c r="J3590" s="3" t="str">
        <f t="shared" si="394"/>
        <v>|Sharik|</v>
      </c>
      <c r="K3590" s="3" t="str">
        <f t="shared" si="395"/>
        <v>Sharik</v>
      </c>
      <c r="N3590" s="39" t="str">
        <f t="shared" si="396"/>
        <v/>
      </c>
      <c r="P3590" s="39" t="str">
        <f t="shared" si="397"/>
        <v/>
      </c>
      <c r="R3590" s="39" t="str">
        <f t="shared" si="398"/>
        <v/>
      </c>
      <c r="S3590" s="28"/>
      <c r="T3590" s="28"/>
      <c r="U3590" s="28"/>
    </row>
    <row r="3591" spans="1:21" s="5" customFormat="1">
      <c r="A3591" s="179" t="s">
        <v>4181</v>
      </c>
      <c r="B3591" s="185" t="s">
        <v>8008</v>
      </c>
      <c r="C3591" s="35" t="str">
        <f t="shared" si="392"/>
        <v>Sharq</v>
      </c>
      <c r="E3591" s="40"/>
      <c r="F3591" s="15"/>
      <c r="G3591" s="17"/>
      <c r="H3591" s="10" t="s">
        <v>8563</v>
      </c>
      <c r="I3591" s="4" t="str">
        <f t="shared" si="393"/>
        <v>|arq|</v>
      </c>
      <c r="J3591" s="3" t="str">
        <f t="shared" si="394"/>
        <v>|Sharq|</v>
      </c>
      <c r="K3591" s="3" t="str">
        <f t="shared" si="395"/>
        <v>Sharq</v>
      </c>
      <c r="N3591" s="39" t="str">
        <f t="shared" si="396"/>
        <v/>
      </c>
      <c r="P3591" s="39" t="str">
        <f t="shared" si="397"/>
        <v/>
      </c>
      <c r="R3591" s="39" t="str">
        <f t="shared" si="398"/>
        <v/>
      </c>
      <c r="S3591" s="28"/>
      <c r="T3591" s="28"/>
      <c r="U3591" s="28"/>
    </row>
    <row r="3592" spans="1:21" s="5" customFormat="1">
      <c r="A3592" s="179" t="s">
        <v>4184</v>
      </c>
      <c r="B3592" s="185" t="s">
        <v>8011</v>
      </c>
      <c r="C3592" s="35" t="str">
        <f t="shared" si="392"/>
        <v>Shash</v>
      </c>
      <c r="E3592" s="40"/>
      <c r="F3592" s="15"/>
      <c r="G3592" s="17"/>
      <c r="H3592" s="10" t="s">
        <v>8563</v>
      </c>
      <c r="I3592" s="4" t="str">
        <f t="shared" si="393"/>
        <v>|á|</v>
      </c>
      <c r="J3592" s="3" t="str">
        <f t="shared" si="394"/>
        <v>|Shash|</v>
      </c>
      <c r="K3592" s="3" t="str">
        <f t="shared" si="395"/>
        <v>Shash</v>
      </c>
      <c r="N3592" s="39" t="str">
        <f t="shared" si="396"/>
        <v/>
      </c>
      <c r="P3592" s="39" t="str">
        <f t="shared" si="397"/>
        <v/>
      </c>
      <c r="R3592" s="39" t="str">
        <f t="shared" si="398"/>
        <v/>
      </c>
      <c r="S3592" s="28"/>
      <c r="T3592" s="28"/>
      <c r="U3592" s="28"/>
    </row>
    <row r="3593" spans="1:21" s="5" customFormat="1">
      <c r="A3593" s="179" t="s">
        <v>4185</v>
      </c>
      <c r="B3593" s="185" t="s">
        <v>8012</v>
      </c>
      <c r="C3593" s="35" t="str">
        <f t="shared" si="392"/>
        <v>ShatirBashi</v>
      </c>
      <c r="E3593" s="40"/>
      <c r="F3593" s="15"/>
      <c r="G3593" s="17"/>
      <c r="H3593" s="10" t="s">
        <v>8563</v>
      </c>
      <c r="I3593" s="4" t="str">
        <f t="shared" si="393"/>
        <v>|áṭir-Báí|</v>
      </c>
      <c r="J3593" s="3" t="str">
        <f t="shared" si="394"/>
        <v>|Shatir-Bashi|</v>
      </c>
      <c r="K3593" s="3" t="str">
        <f t="shared" si="395"/>
        <v>Shatir-Bashi</v>
      </c>
      <c r="N3593" s="39" t="str">
        <f t="shared" si="396"/>
        <v/>
      </c>
      <c r="P3593" s="39" t="str">
        <f t="shared" si="397"/>
        <v/>
      </c>
      <c r="R3593" s="39" t="str">
        <f t="shared" si="398"/>
        <v/>
      </c>
      <c r="S3593" s="28"/>
      <c r="T3593" s="28"/>
      <c r="U3593" s="28"/>
    </row>
    <row r="3594" spans="1:21" s="5" customFormat="1">
      <c r="A3594" s="179" t="s">
        <v>4186</v>
      </c>
      <c r="B3594" s="185" t="s">
        <v>8013</v>
      </c>
      <c r="C3594" s="35" t="str">
        <f t="shared" si="392"/>
        <v>ShatirHasan</v>
      </c>
      <c r="E3594" s="40"/>
      <c r="F3594" s="15"/>
      <c r="G3594" s="17"/>
      <c r="H3594" s="10" t="s">
        <v>8563</v>
      </c>
      <c r="I3594" s="4" t="str">
        <f t="shared" si="393"/>
        <v>|áṭír-Ḥasan|</v>
      </c>
      <c r="J3594" s="3" t="str">
        <f t="shared" si="394"/>
        <v>|Shatir-Hasan|</v>
      </c>
      <c r="K3594" s="3" t="str">
        <f t="shared" si="395"/>
        <v>Shatir-Hasan</v>
      </c>
      <c r="N3594" s="39" t="str">
        <f t="shared" si="396"/>
        <v/>
      </c>
      <c r="P3594" s="39" t="str">
        <f t="shared" si="397"/>
        <v/>
      </c>
      <c r="R3594" s="39" t="str">
        <f t="shared" si="398"/>
        <v/>
      </c>
      <c r="S3594" s="28"/>
      <c r="T3594" s="28"/>
      <c r="U3594" s="28"/>
    </row>
    <row r="3595" spans="1:21" s="5" customFormat="1">
      <c r="A3595" s="179" t="s">
        <v>4187</v>
      </c>
      <c r="B3595" s="185" t="s">
        <v>8014</v>
      </c>
      <c r="C3595" s="35" t="str">
        <f t="shared" si="392"/>
        <v>Shatranj</v>
      </c>
      <c r="E3595" s="40"/>
      <c r="F3595" s="15" t="s">
        <v>4188</v>
      </c>
      <c r="G3595" s="17"/>
      <c r="H3595" s="10" t="s">
        <v>8563</v>
      </c>
      <c r="I3595" s="4" t="str">
        <f t="shared" si="393"/>
        <v>|aṭranj|</v>
      </c>
      <c r="J3595" s="3" t="str">
        <f t="shared" si="394"/>
        <v>|Shatranj|</v>
      </c>
      <c r="K3595" s="3" t="str">
        <f t="shared" si="395"/>
        <v>Shatranj</v>
      </c>
      <c r="N3595" s="39" t="str">
        <f t="shared" si="396"/>
        <v/>
      </c>
      <c r="P3595" s="39" t="str">
        <f t="shared" si="397"/>
        <v/>
      </c>
      <c r="R3595" s="39" t="str">
        <f t="shared" si="398"/>
        <v/>
      </c>
      <c r="S3595" s="28"/>
      <c r="T3595" s="28"/>
      <c r="U3595" s="28"/>
    </row>
    <row r="3596" spans="1:21" s="5" customFormat="1">
      <c r="A3596" s="179" t="s">
        <v>4189</v>
      </c>
      <c r="B3596" s="185" t="s">
        <v>8015</v>
      </c>
      <c r="C3596" s="35" t="str">
        <f t="shared" si="392"/>
        <v>ShattulArab</v>
      </c>
      <c r="E3596" s="40"/>
      <c r="F3596" s="14"/>
      <c r="G3596" s="17"/>
      <c r="H3596" s="10" t="s">
        <v>8563</v>
      </c>
      <c r="I3596" s="4" t="str">
        <f t="shared" si="393"/>
        <v>|aṭṭu’l-ʿArab|</v>
      </c>
      <c r="J3596" s="3" t="str">
        <f t="shared" si="394"/>
        <v>|Shattu'l-'Arab|</v>
      </c>
      <c r="K3596" s="3" t="str">
        <f t="shared" si="395"/>
        <v>Shattul-Arab</v>
      </c>
      <c r="N3596" s="39" t="str">
        <f t="shared" si="396"/>
        <v/>
      </c>
      <c r="P3596" s="39" t="str">
        <f t="shared" si="397"/>
        <v/>
      </c>
      <c r="R3596" s="39" t="str">
        <f t="shared" si="398"/>
        <v/>
      </c>
      <c r="S3596" s="28"/>
      <c r="T3596" s="28"/>
      <c r="U3596" s="28"/>
    </row>
    <row r="3597" spans="1:21" s="5" customFormat="1">
      <c r="A3597" s="179" t="s">
        <v>4190</v>
      </c>
      <c r="B3597" s="185" t="s">
        <v>8016</v>
      </c>
      <c r="C3597" s="35" t="str">
        <f t="shared" si="392"/>
        <v>ShavahidiRububiyyih</v>
      </c>
      <c r="E3597" s="40"/>
      <c r="F3597" s="15"/>
      <c r="G3597" s="17"/>
      <c r="H3597" s="10" t="s">
        <v>8563</v>
      </c>
      <c r="I3597" s="4" t="str">
        <f t="shared" si="393"/>
        <v>|aváhid-i-Rubúbíyyih|</v>
      </c>
      <c r="J3597" s="3" t="str">
        <f t="shared" si="394"/>
        <v>|Shavahid-i-Rububiyyih|</v>
      </c>
      <c r="K3597" s="3" t="str">
        <f t="shared" si="395"/>
        <v>Shavahid-i-Rububiyyih</v>
      </c>
      <c r="N3597" s="39" t="str">
        <f t="shared" si="396"/>
        <v/>
      </c>
      <c r="P3597" s="39" t="str">
        <f t="shared" si="397"/>
        <v/>
      </c>
      <c r="R3597" s="39" t="str">
        <f t="shared" si="398"/>
        <v/>
      </c>
      <c r="S3597" s="28"/>
      <c r="T3597" s="28"/>
      <c r="U3597" s="28"/>
    </row>
    <row r="3598" spans="1:21" s="5" customFormat="1">
      <c r="A3598" s="179" t="s">
        <v>4191</v>
      </c>
      <c r="B3598" s="185" t="s">
        <v>8017</v>
      </c>
      <c r="C3598" s="35" t="str">
        <f t="shared" si="392"/>
        <v>Shavval</v>
      </c>
      <c r="E3598" s="40"/>
      <c r="F3598" s="15" t="s">
        <v>4192</v>
      </c>
      <c r="G3598" s="17"/>
      <c r="H3598" s="10" t="s">
        <v>8563</v>
      </c>
      <c r="I3598" s="4" t="str">
        <f t="shared" si="393"/>
        <v>|avvál|</v>
      </c>
      <c r="J3598" s="3" t="str">
        <f t="shared" si="394"/>
        <v>|Shavval|</v>
      </c>
      <c r="K3598" s="3" t="str">
        <f t="shared" si="395"/>
        <v>Shavval</v>
      </c>
      <c r="N3598" s="39" t="str">
        <f t="shared" si="396"/>
        <v/>
      </c>
      <c r="P3598" s="39" t="str">
        <f t="shared" si="397"/>
        <v/>
      </c>
      <c r="R3598" s="39" t="str">
        <f t="shared" si="398"/>
        <v/>
      </c>
      <c r="S3598" s="28"/>
      <c r="T3598" s="28"/>
      <c r="U3598" s="28"/>
    </row>
    <row r="3599" spans="1:21" s="5" customFormat="1">
      <c r="A3599" s="179" t="s">
        <v>4193</v>
      </c>
      <c r="B3599" s="185" t="s">
        <v>8018</v>
      </c>
      <c r="C3599" s="35" t="str">
        <f t="shared" si="392"/>
        <v>Shawkat</v>
      </c>
      <c r="E3599" s="40"/>
      <c r="F3599" s="14"/>
      <c r="G3599" s="17"/>
      <c r="H3599" s="10" t="s">
        <v>8563</v>
      </c>
      <c r="I3599" s="4" t="str">
        <f t="shared" si="393"/>
        <v>|awkat|</v>
      </c>
      <c r="J3599" s="3" t="str">
        <f t="shared" si="394"/>
        <v>|Shawkat|</v>
      </c>
      <c r="K3599" s="3" t="str">
        <f t="shared" si="395"/>
        <v>Shawkat</v>
      </c>
      <c r="N3599" s="39" t="str">
        <f t="shared" si="396"/>
        <v/>
      </c>
      <c r="P3599" s="39" t="str">
        <f t="shared" si="397"/>
        <v/>
      </c>
      <c r="R3599" s="39" t="str">
        <f t="shared" si="398"/>
        <v/>
      </c>
      <c r="S3599" s="28"/>
      <c r="T3599" s="28"/>
      <c r="U3599" s="28"/>
    </row>
    <row r="3600" spans="1:21" s="5" customFormat="1">
      <c r="A3600" s="179" t="s">
        <v>4194</v>
      </c>
      <c r="B3600" s="185" t="s">
        <v>8019</v>
      </c>
      <c r="C3600" s="35" t="str">
        <f t="shared" si="392"/>
        <v>Shawq</v>
      </c>
      <c r="E3600" s="40"/>
      <c r="F3600" s="15" t="s">
        <v>4195</v>
      </c>
      <c r="G3600" s="17"/>
      <c r="H3600" s="10" t="s">
        <v>8563</v>
      </c>
      <c r="I3600" s="4" t="str">
        <f t="shared" si="393"/>
        <v>|awq|</v>
      </c>
      <c r="J3600" s="3" t="str">
        <f t="shared" si="394"/>
        <v>|Shawq|</v>
      </c>
      <c r="K3600" s="3" t="str">
        <f t="shared" si="395"/>
        <v>Shawq</v>
      </c>
      <c r="N3600" s="39" t="str">
        <f t="shared" si="396"/>
        <v/>
      </c>
      <c r="P3600" s="39" t="str">
        <f t="shared" si="397"/>
        <v/>
      </c>
      <c r="R3600" s="39" t="str">
        <f t="shared" si="398"/>
        <v/>
      </c>
      <c r="S3600" s="28"/>
      <c r="T3600" s="28"/>
      <c r="U3600" s="28"/>
    </row>
    <row r="3601" spans="1:21" s="5" customFormat="1">
      <c r="A3601" s="179" t="s">
        <v>4196</v>
      </c>
      <c r="B3601" s="185" t="s">
        <v>8020</v>
      </c>
      <c r="C3601" s="35" t="str">
        <f t="shared" si="392"/>
        <v>Shay</v>
      </c>
      <c r="E3601" s="40"/>
      <c r="F3601" s="14"/>
      <c r="G3601" s="17"/>
      <c r="H3601" s="10" t="s">
        <v>8563</v>
      </c>
      <c r="I3601" s="4" t="str">
        <f t="shared" si="393"/>
        <v>|ay’|</v>
      </c>
      <c r="J3601" s="3" t="str">
        <f t="shared" si="394"/>
        <v>|Shay'|</v>
      </c>
      <c r="K3601" s="3" t="str">
        <f t="shared" si="395"/>
        <v>Shay</v>
      </c>
      <c r="N3601" s="39" t="str">
        <f t="shared" si="396"/>
        <v/>
      </c>
      <c r="P3601" s="39" t="str">
        <f t="shared" si="397"/>
        <v/>
      </c>
      <c r="R3601" s="39" t="str">
        <f t="shared" si="398"/>
        <v/>
      </c>
      <c r="S3601" s="28"/>
      <c r="T3601" s="28"/>
      <c r="U3601" s="28"/>
    </row>
    <row r="3602" spans="1:21" s="5" customFormat="1">
      <c r="A3602" s="179" t="s">
        <v>4197</v>
      </c>
      <c r="B3602" s="185" t="s">
        <v>157</v>
      </c>
      <c r="C3602" s="35" t="str">
        <f t="shared" si="392"/>
        <v>Shayban</v>
      </c>
      <c r="E3602" s="40"/>
      <c r="F3602" s="14"/>
      <c r="G3602" s="17"/>
      <c r="H3602" s="10" t="s">
        <v>8563</v>
      </c>
      <c r="I3602" s="4" t="str">
        <f t="shared" si="393"/>
        <v>|aybán|</v>
      </c>
      <c r="J3602" s="3" t="str">
        <f t="shared" si="394"/>
        <v>|Shayban|</v>
      </c>
      <c r="K3602" s="3" t="str">
        <f t="shared" si="395"/>
        <v>Shayban</v>
      </c>
      <c r="N3602" s="39" t="str">
        <f t="shared" si="396"/>
        <v/>
      </c>
      <c r="P3602" s="39" t="str">
        <f t="shared" si="397"/>
        <v/>
      </c>
      <c r="R3602" s="39" t="str">
        <f t="shared" si="398"/>
        <v/>
      </c>
      <c r="S3602" s="28"/>
      <c r="T3602" s="28"/>
      <c r="U3602" s="28"/>
    </row>
    <row r="3603" spans="1:21" s="5" customFormat="1">
      <c r="A3603" s="179" t="s">
        <v>4198</v>
      </c>
      <c r="B3603" s="185" t="s">
        <v>8021</v>
      </c>
      <c r="C3603" s="35" t="str">
        <f t="shared" si="392"/>
        <v>Shaybani</v>
      </c>
      <c r="E3603" s="40"/>
      <c r="F3603" s="15"/>
      <c r="G3603" s="17"/>
      <c r="H3603" s="10" t="s">
        <v>8563</v>
      </c>
      <c r="I3603" s="4" t="str">
        <f t="shared" si="393"/>
        <v>|aybání|</v>
      </c>
      <c r="J3603" s="3" t="str">
        <f t="shared" si="394"/>
        <v>|Shaybani|</v>
      </c>
      <c r="K3603" s="3" t="str">
        <f t="shared" si="395"/>
        <v>Shaybani</v>
      </c>
      <c r="N3603" s="39" t="str">
        <f t="shared" si="396"/>
        <v/>
      </c>
      <c r="P3603" s="39" t="str">
        <f t="shared" si="397"/>
        <v/>
      </c>
      <c r="R3603" s="39" t="str">
        <f t="shared" si="398"/>
        <v/>
      </c>
      <c r="S3603" s="28"/>
      <c r="T3603" s="28"/>
      <c r="U3603" s="28"/>
    </row>
    <row r="3604" spans="1:21" s="5" customFormat="1">
      <c r="A3604" s="179" t="s">
        <v>4199</v>
      </c>
      <c r="B3604" s="185" t="s">
        <v>8022</v>
      </c>
      <c r="C3604" s="35" t="str">
        <f t="shared" si="392"/>
        <v>Shaykh</v>
      </c>
      <c r="E3604" s="40"/>
      <c r="F3604" s="14" t="s">
        <v>4200</v>
      </c>
      <c r="G3604" s="17"/>
      <c r="H3604" s="10" t="s">
        <v>8563</v>
      </c>
      <c r="I3604" s="4" t="str">
        <f t="shared" si="393"/>
        <v>|ay|</v>
      </c>
      <c r="J3604" s="3" t="str">
        <f t="shared" si="394"/>
        <v>|Shaykh|</v>
      </c>
      <c r="K3604" s="3" t="str">
        <f t="shared" si="395"/>
        <v>Shaykh</v>
      </c>
      <c r="N3604" s="39" t="str">
        <f t="shared" si="396"/>
        <v/>
      </c>
      <c r="P3604" s="39" t="str">
        <f t="shared" si="397"/>
        <v/>
      </c>
      <c r="R3604" s="39" t="str">
        <f t="shared" si="398"/>
        <v/>
      </c>
      <c r="S3604" s="28"/>
      <c r="T3604" s="28"/>
      <c r="U3604" s="28"/>
    </row>
    <row r="3605" spans="1:21" s="5" customFormat="1">
      <c r="A3605" s="181"/>
      <c r="B3605" s="185" t="s">
        <v>8646</v>
      </c>
      <c r="C3605" s="35" t="str">
        <f t="shared" si="392"/>
        <v>ShaykhAbdullah</v>
      </c>
      <c r="D3605" s="1"/>
      <c r="E3605" s="40"/>
      <c r="F3605" s="12"/>
      <c r="G3605" s="9"/>
      <c r="H3605" s="12" t="s">
        <v>8622</v>
      </c>
      <c r="I3605" s="4" t="str">
        <f t="shared" si="393"/>
        <v>|ay ʿAbdu’lláh|</v>
      </c>
      <c r="J3605" s="3" t="str">
        <f t="shared" si="394"/>
        <v>|Shaykh 'Abdu'llah|</v>
      </c>
      <c r="K3605" s="3" t="str">
        <f t="shared" si="395"/>
        <v>Shaykh Abdullah</v>
      </c>
      <c r="N3605" s="39" t="str">
        <f t="shared" si="396"/>
        <v/>
      </c>
      <c r="P3605" s="39" t="str">
        <f t="shared" si="397"/>
        <v/>
      </c>
      <c r="R3605" s="39" t="str">
        <f t="shared" si="398"/>
        <v/>
      </c>
      <c r="S3605" s="29">
        <v>41760</v>
      </c>
      <c r="T3605" s="28"/>
      <c r="U3605" s="28"/>
    </row>
    <row r="3606" spans="1:21" s="5" customFormat="1">
      <c r="A3606" s="181"/>
      <c r="B3606" s="185" t="s">
        <v>8621</v>
      </c>
      <c r="C3606" s="35" t="str">
        <f t="shared" si="392"/>
        <v>ShaykhAbuTurab</v>
      </c>
      <c r="D3606" s="1"/>
      <c r="E3606" s="40"/>
      <c r="F3606" s="12"/>
      <c r="G3606" s="9"/>
      <c r="H3606" s="12" t="s">
        <v>8622</v>
      </c>
      <c r="I3606" s="4" t="str">
        <f t="shared" si="393"/>
        <v>|ay Abú-Turáb|</v>
      </c>
      <c r="J3606" s="3" t="str">
        <f t="shared" si="394"/>
        <v>|Shaykh Abu-Turab|</v>
      </c>
      <c r="K3606" s="3" t="str">
        <f t="shared" si="395"/>
        <v>Shaykh Abu-Turab</v>
      </c>
      <c r="N3606" s="39" t="str">
        <f t="shared" si="396"/>
        <v/>
      </c>
      <c r="P3606" s="39" t="str">
        <f t="shared" si="397"/>
        <v/>
      </c>
      <c r="R3606" s="39" t="str">
        <f t="shared" si="398"/>
        <v/>
      </c>
      <c r="S3606" s="29">
        <v>41760</v>
      </c>
      <c r="T3606" s="28"/>
      <c r="U3606" s="28"/>
    </row>
    <row r="3607" spans="1:21" s="5" customFormat="1">
      <c r="A3607" s="181"/>
      <c r="B3607" s="186" t="s">
        <v>8657</v>
      </c>
      <c r="C3607" s="35" t="str">
        <f t="shared" si="392"/>
        <v>ShaykhAbuTurabs</v>
      </c>
      <c r="D3607" s="1" t="s">
        <v>59</v>
      </c>
      <c r="E3607" s="40"/>
      <c r="F3607" s="12"/>
      <c r="G3607" s="9"/>
      <c r="H3607" s="12" t="s">
        <v>8622</v>
      </c>
      <c r="I3607" s="4" t="str">
        <f t="shared" si="393"/>
        <v>|ay Abú-Turábs|</v>
      </c>
      <c r="J3607" s="3" t="str">
        <f t="shared" si="394"/>
        <v>|Shaykh Abu-Turabs|</v>
      </c>
      <c r="K3607" s="3" t="str">
        <f t="shared" si="395"/>
        <v>Shaykh Abu-Turabs</v>
      </c>
      <c r="N3607" s="39" t="str">
        <f t="shared" si="396"/>
        <v/>
      </c>
      <c r="P3607" s="39" t="str">
        <f t="shared" si="397"/>
        <v/>
      </c>
      <c r="R3607" s="39" t="str">
        <f t="shared" si="398"/>
        <v/>
      </c>
      <c r="S3607" s="28"/>
      <c r="T3607" s="28"/>
      <c r="U3607" s="28"/>
    </row>
    <row r="3608" spans="1:21" s="5" customFormat="1">
      <c r="A3608" s="181"/>
      <c r="B3608" s="185" t="s">
        <v>8768</v>
      </c>
      <c r="C3608" s="35" t="str">
        <f t="shared" si="392"/>
        <v>ShaykhAhmad</v>
      </c>
      <c r="D3608" s="1"/>
      <c r="E3608" s="40"/>
      <c r="F3608" s="12"/>
      <c r="G3608" s="9"/>
      <c r="H3608" s="12" t="s">
        <v>8622</v>
      </c>
      <c r="I3608" s="4" t="str">
        <f t="shared" si="393"/>
        <v>|ay Aḥmad|</v>
      </c>
      <c r="J3608" s="3" t="str">
        <f t="shared" si="394"/>
        <v>|Shaykh Ahmad|</v>
      </c>
      <c r="K3608" s="3" t="str">
        <f t="shared" si="395"/>
        <v>Shaykh Ahmad</v>
      </c>
      <c r="N3608" s="39" t="str">
        <f t="shared" si="396"/>
        <v/>
      </c>
      <c r="P3608" s="39" t="str">
        <f t="shared" si="397"/>
        <v/>
      </c>
      <c r="R3608" s="39" t="str">
        <f t="shared" si="398"/>
        <v/>
      </c>
      <c r="S3608" s="29">
        <v>41760</v>
      </c>
      <c r="T3608" s="28"/>
      <c r="U3608" s="28"/>
    </row>
    <row r="3609" spans="1:21" s="5" customFormat="1">
      <c r="A3609" s="181"/>
      <c r="B3609" s="185" t="s">
        <v>53</v>
      </c>
      <c r="C3609" s="35" t="str">
        <f t="shared" si="392"/>
        <v>ShaykhAhmadiAhsai</v>
      </c>
      <c r="D3609" s="1"/>
      <c r="E3609" s="40"/>
      <c r="F3609" s="12"/>
      <c r="G3609" s="9"/>
      <c r="H3609" s="12"/>
      <c r="I3609" s="4" t="str">
        <f t="shared" si="393"/>
        <v>|ay Aḥmad-i-Aḥsá’í|</v>
      </c>
      <c r="J3609" s="3" t="str">
        <f t="shared" si="394"/>
        <v>|Shaykh Ahmad-i-Ahsa'i|</v>
      </c>
      <c r="K3609" s="3" t="str">
        <f t="shared" si="395"/>
        <v>Shaykh Ahmad-i-Ahsai</v>
      </c>
      <c r="M3609" s="1"/>
      <c r="N3609" s="39" t="str">
        <f t="shared" si="396"/>
        <v/>
      </c>
      <c r="O3609" s="1"/>
      <c r="P3609" s="39" t="str">
        <f t="shared" si="397"/>
        <v/>
      </c>
      <c r="Q3609" s="1"/>
      <c r="R3609" s="39" t="str">
        <f t="shared" si="398"/>
        <v/>
      </c>
      <c r="S3609" s="28"/>
      <c r="T3609" s="29">
        <v>41781</v>
      </c>
      <c r="U3609" s="28" t="s">
        <v>9446</v>
      </c>
    </row>
    <row r="3610" spans="1:21" s="5" customFormat="1">
      <c r="A3610" s="181"/>
      <c r="B3610" s="185" t="s">
        <v>8647</v>
      </c>
      <c r="C3610" s="35" t="str">
        <f t="shared" si="392"/>
        <v>ShaykhAhmadibniZaynudDinibniIbrahimibniSakhribniIbrahimibniZahiribniRamadanibniRashidibniDahimibniShimrukhibniSulih</v>
      </c>
      <c r="D3610" s="1"/>
      <c r="E3610" s="40"/>
      <c r="F3610" s="12"/>
      <c r="G3610" s="9"/>
      <c r="H3610" s="12" t="s">
        <v>8622</v>
      </c>
      <c r="I3610" s="4" t="str">
        <f t="shared" si="393"/>
        <v>|ay Aḥmad-ibn-i-Zaynu’d-Dín-ibn-i-Ibráhím-ibn-i-Ṣar-ibn-i-Ibráhím-ibn-i-Ẓáhir-ibn-i-Ramaḍán-ibn-i-Raíd-ibn-i-Dahím-ibn-i-imrú-ibn-i-Súlih|</v>
      </c>
      <c r="J3610" s="3" t="str">
        <f t="shared" si="394"/>
        <v>|Shaykh Ahmad-ibn-i-Zaynu'd-Din-ibn-i-Ibrahim-ibn-i-Sakhr-ibn-i-Ibrahim-ibn-i-Zahir-ibn-i-Ramadan-ibn-i-Rashid-ibn-i-Dahim-ibn-i-Shimrukh-ibn-i-Sulih|</v>
      </c>
      <c r="K3610" s="3" t="str">
        <f t="shared" si="395"/>
        <v>Shaykh Ahmad-ibn-i-Zaynud-Din-ibn-i-Ibrahim-ibn-i-Sakhr-ibn-i-Ibrahim-ibn-i-Zahir-ibn-i-Ramadan-ibn-i-Rashid-ibn-i-Dahim-ibn-i-Shimrukh-ibn-i-Sulih</v>
      </c>
      <c r="N3610" s="39" t="str">
        <f t="shared" si="396"/>
        <v/>
      </c>
      <c r="P3610" s="39" t="str">
        <f t="shared" si="397"/>
        <v/>
      </c>
      <c r="R3610" s="39" t="str">
        <f t="shared" si="398"/>
        <v/>
      </c>
      <c r="S3610" s="29">
        <v>41760</v>
      </c>
      <c r="T3610" s="28"/>
      <c r="U3610" s="28"/>
    </row>
    <row r="3611" spans="1:21" s="5" customFormat="1">
      <c r="A3611" s="181"/>
      <c r="B3611" s="185" t="s">
        <v>8784</v>
      </c>
      <c r="C3611" s="35" t="str">
        <f t="shared" si="392"/>
        <v>ShaykhAli</v>
      </c>
      <c r="D3611" s="1"/>
      <c r="E3611" s="40"/>
      <c r="F3611" s="12"/>
      <c r="G3611" s="9"/>
      <c r="H3611" s="12" t="s">
        <v>8622</v>
      </c>
      <c r="I3611" s="4" t="str">
        <f t="shared" si="393"/>
        <v>|ay ʿAlí|</v>
      </c>
      <c r="J3611" s="3" t="str">
        <f t="shared" si="394"/>
        <v>|Shaykh 'Ali|</v>
      </c>
      <c r="K3611" s="3" t="str">
        <f t="shared" si="395"/>
        <v>Shaykh Ali</v>
      </c>
      <c r="N3611" s="39" t="str">
        <f t="shared" si="396"/>
        <v/>
      </c>
      <c r="P3611" s="39" t="str">
        <f t="shared" si="397"/>
        <v/>
      </c>
      <c r="R3611" s="39" t="str">
        <f t="shared" si="398"/>
        <v/>
      </c>
      <c r="S3611" s="29">
        <v>41760</v>
      </c>
      <c r="T3611" s="28"/>
      <c r="U3611" s="28"/>
    </row>
    <row r="3612" spans="1:21" s="5" customFormat="1">
      <c r="A3612" s="181"/>
      <c r="B3612" s="185" t="s">
        <v>8783</v>
      </c>
      <c r="C3612" s="35" t="str">
        <f t="shared" si="392"/>
        <v>ShaykhAliMirza</v>
      </c>
      <c r="D3612" s="1"/>
      <c r="E3612" s="40"/>
      <c r="F3612" s="12"/>
      <c r="G3612" s="9"/>
      <c r="H3612" s="12" t="s">
        <v>8622</v>
      </c>
      <c r="I3612" s="4" t="str">
        <f t="shared" si="393"/>
        <v>|ay ʿAlí Mírzá|</v>
      </c>
      <c r="J3612" s="3" t="str">
        <f t="shared" si="394"/>
        <v>|Shaykh 'Ali Mirza|</v>
      </c>
      <c r="K3612" s="3" t="str">
        <f t="shared" si="395"/>
        <v>Shaykh Ali Mirza</v>
      </c>
      <c r="N3612" s="39" t="str">
        <f t="shared" si="396"/>
        <v/>
      </c>
      <c r="P3612" s="39" t="str">
        <f t="shared" si="397"/>
        <v/>
      </c>
      <c r="R3612" s="39" t="str">
        <f t="shared" si="398"/>
        <v/>
      </c>
      <c r="S3612" s="29">
        <v>41760</v>
      </c>
      <c r="T3612" s="28"/>
      <c r="U3612" s="28"/>
    </row>
    <row r="3613" spans="1:21" s="5" customFormat="1">
      <c r="A3613" s="181"/>
      <c r="B3613" s="185" t="s">
        <v>8785</v>
      </c>
      <c r="C3613" s="35" t="str">
        <f t="shared" si="392"/>
        <v>ShaykhHadi</v>
      </c>
      <c r="D3613" s="1"/>
      <c r="E3613" s="40"/>
      <c r="F3613" s="12"/>
      <c r="G3613" s="9"/>
      <c r="H3613" s="12" t="s">
        <v>8622</v>
      </c>
      <c r="I3613" s="4" t="str">
        <f t="shared" si="393"/>
        <v>|ay Hádí|</v>
      </c>
      <c r="J3613" s="3" t="str">
        <f t="shared" si="394"/>
        <v>|Shaykh Hadi|</v>
      </c>
      <c r="K3613" s="3" t="str">
        <f t="shared" si="395"/>
        <v>Shaykh Hadi</v>
      </c>
      <c r="N3613" s="39" t="str">
        <f t="shared" si="396"/>
        <v/>
      </c>
      <c r="P3613" s="39" t="str">
        <f t="shared" si="397"/>
        <v/>
      </c>
      <c r="R3613" s="39" t="str">
        <f t="shared" si="398"/>
        <v/>
      </c>
      <c r="S3613" s="29">
        <v>41760</v>
      </c>
      <c r="T3613" s="28"/>
      <c r="U3613" s="28"/>
    </row>
    <row r="3614" spans="1:21" s="5" customFormat="1">
      <c r="A3614" s="181"/>
      <c r="B3614" s="185" t="s">
        <v>8786</v>
      </c>
      <c r="C3614" s="35" t="str">
        <f t="shared" si="392"/>
        <v>ShaykhHasan</v>
      </c>
      <c r="D3614" s="1"/>
      <c r="E3614" s="40"/>
      <c r="F3614" s="12"/>
      <c r="G3614" s="9"/>
      <c r="H3614" s="12" t="s">
        <v>8622</v>
      </c>
      <c r="I3614" s="4" t="str">
        <f t="shared" si="393"/>
        <v>|ay Ḥasan|</v>
      </c>
      <c r="J3614" s="3" t="str">
        <f t="shared" si="394"/>
        <v>|Shaykh Hasan|</v>
      </c>
      <c r="K3614" s="3" t="str">
        <f t="shared" si="395"/>
        <v>Shaykh Hasan</v>
      </c>
      <c r="N3614" s="39" t="str">
        <f t="shared" si="396"/>
        <v/>
      </c>
      <c r="P3614" s="39" t="str">
        <f t="shared" si="397"/>
        <v/>
      </c>
      <c r="R3614" s="39" t="str">
        <f t="shared" si="398"/>
        <v/>
      </c>
      <c r="S3614" s="29">
        <v>41760</v>
      </c>
      <c r="T3614" s="28"/>
      <c r="U3614" s="28"/>
    </row>
    <row r="3615" spans="1:21" s="5" customFormat="1">
      <c r="A3615" s="181"/>
      <c r="B3615" s="185" t="s">
        <v>8787</v>
      </c>
      <c r="C3615" s="35" t="str">
        <f t="shared" si="392"/>
        <v>ShaykhHasaniZunuzi</v>
      </c>
      <c r="D3615" s="1"/>
      <c r="E3615" s="40"/>
      <c r="F3615" s="12"/>
      <c r="G3615" s="9"/>
      <c r="H3615" s="12" t="s">
        <v>8622</v>
      </c>
      <c r="I3615" s="4" t="str">
        <f t="shared" si="393"/>
        <v>|ay Ḥasan-i-Zunúzí|</v>
      </c>
      <c r="J3615" s="3" t="str">
        <f t="shared" si="394"/>
        <v>|Shaykh Hasan-i-Zunuzi|</v>
      </c>
      <c r="K3615" s="3" t="str">
        <f t="shared" si="395"/>
        <v>Shaykh Hasan-i-Zunuzi</v>
      </c>
      <c r="N3615" s="39" t="str">
        <f t="shared" si="396"/>
        <v/>
      </c>
      <c r="P3615" s="39" t="str">
        <f t="shared" si="397"/>
        <v/>
      </c>
      <c r="R3615" s="39" t="str">
        <f t="shared" si="398"/>
        <v/>
      </c>
      <c r="S3615" s="29">
        <v>41760</v>
      </c>
      <c r="T3615" s="28"/>
      <c r="U3615" s="28"/>
    </row>
    <row r="3616" spans="1:21" s="5" customFormat="1">
      <c r="A3616" s="181"/>
      <c r="B3616" s="185" t="s">
        <v>8788</v>
      </c>
      <c r="C3616" s="35" t="str">
        <f t="shared" si="392"/>
        <v>ShaykhMuhammadHasan</v>
      </c>
      <c r="D3616" s="1"/>
      <c r="E3616" s="40"/>
      <c r="F3616" s="12"/>
      <c r="G3616" s="9"/>
      <c r="H3616" s="12" t="s">
        <v>8622</v>
      </c>
      <c r="I3616" s="4" t="str">
        <f t="shared" si="393"/>
        <v>|ay Muḥammad Ḥasan|</v>
      </c>
      <c r="J3616" s="3" t="str">
        <f t="shared" si="394"/>
        <v>|Shaykh Muhammad Hasan|</v>
      </c>
      <c r="K3616" s="3" t="str">
        <f t="shared" si="395"/>
        <v>Shaykh Muhammad Hasan</v>
      </c>
      <c r="N3616" s="39" t="str">
        <f t="shared" si="396"/>
        <v/>
      </c>
      <c r="P3616" s="39" t="str">
        <f t="shared" si="397"/>
        <v/>
      </c>
      <c r="R3616" s="39" t="str">
        <f t="shared" si="398"/>
        <v/>
      </c>
      <c r="S3616" s="29">
        <v>41760</v>
      </c>
      <c r="T3616" s="28"/>
      <c r="U3616" s="28"/>
    </row>
    <row r="3617" spans="1:21" s="5" customFormat="1">
      <c r="A3617" s="181"/>
      <c r="B3617" s="185" t="s">
        <v>8789</v>
      </c>
      <c r="C3617" s="35" t="str">
        <f t="shared" si="392"/>
        <v>ShaykhMuhammadiShibl</v>
      </c>
      <c r="D3617" s="1"/>
      <c r="E3617" s="40"/>
      <c r="F3617" s="12"/>
      <c r="G3617" s="9"/>
      <c r="H3617" s="12" t="s">
        <v>8622</v>
      </c>
      <c r="I3617" s="4" t="str">
        <f t="shared" si="393"/>
        <v>|ay Muḥammad-i-ibl|</v>
      </c>
      <c r="J3617" s="3" t="str">
        <f t="shared" si="394"/>
        <v>|Shaykh Muhammad-i-Shibl|</v>
      </c>
      <c r="K3617" s="3" t="str">
        <f t="shared" si="395"/>
        <v>Shaykh Muhammad-i-Shibl</v>
      </c>
      <c r="N3617" s="39" t="str">
        <f t="shared" si="396"/>
        <v/>
      </c>
      <c r="P3617" s="39" t="str">
        <f t="shared" si="397"/>
        <v/>
      </c>
      <c r="R3617" s="39" t="str">
        <f t="shared" si="398"/>
        <v/>
      </c>
      <c r="S3617" s="29">
        <v>41760</v>
      </c>
      <c r="T3617" s="28"/>
      <c r="U3617" s="28"/>
    </row>
    <row r="3618" spans="1:21" s="5" customFormat="1">
      <c r="A3618" s="181"/>
      <c r="B3618" s="185" t="s">
        <v>8648</v>
      </c>
      <c r="C3618" s="35" t="str">
        <f t="shared" si="392"/>
        <v>ShaykhSafiudDinIshaq</v>
      </c>
      <c r="D3618" s="1"/>
      <c r="E3618" s="40"/>
      <c r="F3618" s="12"/>
      <c r="G3618" s="9"/>
      <c r="H3618" s="12" t="s">
        <v>8622</v>
      </c>
      <c r="I3618" s="4" t="str">
        <f t="shared" si="393"/>
        <v>|ay Ṣafí’u’d-Dín Isḥáq|</v>
      </c>
      <c r="J3618" s="3" t="str">
        <f t="shared" si="394"/>
        <v>|Shaykh Safi'u'd-Din Ishaq|</v>
      </c>
      <c r="K3618" s="3" t="str">
        <f t="shared" si="395"/>
        <v>Shaykh Safiud-Din Ishaq</v>
      </c>
      <c r="N3618" s="39" t="str">
        <f t="shared" si="396"/>
        <v/>
      </c>
      <c r="P3618" s="39" t="str">
        <f t="shared" si="397"/>
        <v/>
      </c>
      <c r="R3618" s="39" t="str">
        <f t="shared" si="398"/>
        <v/>
      </c>
      <c r="S3618" s="29">
        <v>41760</v>
      </c>
      <c r="T3618" s="28"/>
      <c r="U3618" s="28"/>
    </row>
    <row r="3619" spans="1:21" s="5" customFormat="1">
      <c r="A3619" s="181"/>
      <c r="B3619" s="185" t="s">
        <v>8790</v>
      </c>
      <c r="C3619" s="35" t="str">
        <f t="shared" si="392"/>
        <v>ShaykhSultan</v>
      </c>
      <c r="D3619" s="1"/>
      <c r="E3619" s="40"/>
      <c r="F3619" s="12"/>
      <c r="G3619" s="9"/>
      <c r="H3619" s="12" t="s">
        <v>8622</v>
      </c>
      <c r="I3619" s="4" t="str">
        <f t="shared" si="393"/>
        <v>|ay Sulṭán|</v>
      </c>
      <c r="J3619" s="3" t="str">
        <f t="shared" si="394"/>
        <v>|Shaykh Sultan|</v>
      </c>
      <c r="K3619" s="3" t="str">
        <f t="shared" si="395"/>
        <v>Shaykh Sultan</v>
      </c>
      <c r="N3619" s="39" t="str">
        <f t="shared" si="396"/>
        <v/>
      </c>
      <c r="P3619" s="39" t="str">
        <f t="shared" si="397"/>
        <v/>
      </c>
      <c r="R3619" s="39" t="str">
        <f t="shared" si="398"/>
        <v/>
      </c>
      <c r="S3619" s="29">
        <v>41760</v>
      </c>
      <c r="T3619" s="28"/>
      <c r="U3619" s="28"/>
    </row>
    <row r="3620" spans="1:21" s="5" customFormat="1">
      <c r="A3620" s="181"/>
      <c r="B3620" s="185" t="s">
        <v>8791</v>
      </c>
      <c r="C3620" s="35" t="str">
        <f t="shared" si="392"/>
        <v>ShaykhTabarsi</v>
      </c>
      <c r="D3620" s="1"/>
      <c r="E3620" s="40" t="s">
        <v>9115</v>
      </c>
      <c r="F3620" s="12"/>
      <c r="G3620" s="9"/>
      <c r="H3620" s="12" t="s">
        <v>8622</v>
      </c>
      <c r="I3620" s="4" t="str">
        <f t="shared" si="393"/>
        <v>|ay Ṭabarsí|</v>
      </c>
      <c r="J3620" s="3" t="str">
        <f t="shared" si="394"/>
        <v>|Shaykh Tabarsi|</v>
      </c>
      <c r="K3620" s="3" t="str">
        <f t="shared" si="395"/>
        <v>Shaykh Tabarsi</v>
      </c>
      <c r="N3620" s="39" t="str">
        <f t="shared" si="396"/>
        <v/>
      </c>
      <c r="P3620" s="39" t="str">
        <f t="shared" si="397"/>
        <v/>
      </c>
      <c r="R3620" s="39" t="str">
        <f t="shared" si="398"/>
        <v/>
      </c>
      <c r="S3620" s="29">
        <v>41760</v>
      </c>
      <c r="T3620" s="28"/>
      <c r="U3620" s="28"/>
    </row>
    <row r="3621" spans="1:21" s="5" customFormat="1">
      <c r="A3621" s="179" t="s">
        <v>4202</v>
      </c>
      <c r="B3621" s="185" t="s">
        <v>54</v>
      </c>
      <c r="C3621" s="35" t="str">
        <f t="shared" si="392"/>
        <v>Shaykhi</v>
      </c>
      <c r="E3621" s="40"/>
      <c r="F3621" s="14" t="s">
        <v>4203</v>
      </c>
      <c r="G3621" s="17"/>
      <c r="H3621" s="10" t="s">
        <v>8563</v>
      </c>
      <c r="I3621" s="4" t="str">
        <f t="shared" si="393"/>
        <v>|ayí|</v>
      </c>
      <c r="J3621" s="3" t="str">
        <f t="shared" si="394"/>
        <v>|Shaykhi|</v>
      </c>
      <c r="K3621" s="3" t="str">
        <f t="shared" si="395"/>
        <v>Shaykhi</v>
      </c>
      <c r="N3621" s="39" t="str">
        <f t="shared" si="396"/>
        <v/>
      </c>
      <c r="P3621" s="39" t="str">
        <f t="shared" si="397"/>
        <v/>
      </c>
      <c r="R3621" s="39" t="str">
        <f t="shared" si="398"/>
        <v/>
      </c>
      <c r="S3621" s="28"/>
      <c r="T3621" s="29">
        <v>41801</v>
      </c>
      <c r="U3621" s="28" t="s">
        <v>9446</v>
      </c>
    </row>
    <row r="3622" spans="1:21" s="5" customFormat="1">
      <c r="A3622" s="179" t="s">
        <v>4204</v>
      </c>
      <c r="B3622" s="185" t="s">
        <v>8024</v>
      </c>
      <c r="C3622" s="35" t="str">
        <f t="shared" si="392"/>
        <v>ShaykhiAhsai</v>
      </c>
      <c r="E3622" s="40"/>
      <c r="F3622" s="15"/>
      <c r="G3622" s="17"/>
      <c r="H3622" s="10" t="s">
        <v>8563</v>
      </c>
      <c r="I3622" s="4" t="str">
        <f t="shared" si="393"/>
        <v>|ay-i-Aḥsá’í|</v>
      </c>
      <c r="J3622" s="3" t="str">
        <f t="shared" si="394"/>
        <v>|Shaykh-i-Ahsa'i|</v>
      </c>
      <c r="K3622" s="3" t="str">
        <f t="shared" si="395"/>
        <v>Shaykh-i-Ahsai</v>
      </c>
      <c r="N3622" s="39" t="str">
        <f t="shared" si="396"/>
        <v/>
      </c>
      <c r="P3622" s="39" t="str">
        <f t="shared" si="397"/>
        <v/>
      </c>
      <c r="R3622" s="39" t="str">
        <f t="shared" si="398"/>
        <v/>
      </c>
      <c r="S3622" s="28"/>
      <c r="T3622" s="28"/>
      <c r="U3622" s="28"/>
    </row>
    <row r="3623" spans="1:21" s="5" customFormat="1">
      <c r="A3623" s="179" t="s">
        <v>4205</v>
      </c>
      <c r="B3623" s="185" t="s">
        <v>8025</v>
      </c>
      <c r="C3623" s="35" t="str">
        <f t="shared" si="392"/>
        <v>ShaykhiKulayni</v>
      </c>
      <c r="E3623" s="40"/>
      <c r="F3623" s="14"/>
      <c r="G3623" s="17"/>
      <c r="H3623" s="10" t="s">
        <v>8563</v>
      </c>
      <c r="I3623" s="4" t="str">
        <f t="shared" si="393"/>
        <v>|ay-i-Kulayní|</v>
      </c>
      <c r="J3623" s="3" t="str">
        <f t="shared" si="394"/>
        <v>|Shaykh-i-Kulayni|</v>
      </c>
      <c r="K3623" s="3" t="str">
        <f t="shared" si="395"/>
        <v>Shaykh-i-Kulayni</v>
      </c>
      <c r="N3623" s="39" t="str">
        <f t="shared" si="396"/>
        <v/>
      </c>
      <c r="P3623" s="39" t="str">
        <f t="shared" si="397"/>
        <v/>
      </c>
      <c r="R3623" s="39" t="str">
        <f t="shared" si="398"/>
        <v/>
      </c>
      <c r="S3623" s="28"/>
      <c r="T3623" s="28"/>
      <c r="U3623" s="28"/>
    </row>
    <row r="3624" spans="1:21" s="5" customFormat="1">
      <c r="A3624" s="179" t="s">
        <v>4206</v>
      </c>
      <c r="B3624" s="185" t="s">
        <v>8026</v>
      </c>
      <c r="C3624" s="35" t="str">
        <f t="shared" si="392"/>
        <v>ShaykhiMazgani</v>
      </c>
      <c r="E3624" s="40"/>
      <c r="F3624" s="14"/>
      <c r="G3624" s="17"/>
      <c r="H3624" s="10" t="s">
        <v>8563</v>
      </c>
      <c r="I3624" s="4" t="str">
        <f t="shared" si="393"/>
        <v>|ay-i-Mazgání|</v>
      </c>
      <c r="J3624" s="3" t="str">
        <f t="shared" si="394"/>
        <v>|Shaykh-i-Mazgani|</v>
      </c>
      <c r="K3624" s="3" t="str">
        <f t="shared" si="395"/>
        <v>Shaykh-i-Mazgani</v>
      </c>
      <c r="N3624" s="39" t="str">
        <f t="shared" si="396"/>
        <v/>
      </c>
      <c r="P3624" s="39" t="str">
        <f t="shared" si="397"/>
        <v/>
      </c>
      <c r="R3624" s="39" t="str">
        <f t="shared" si="398"/>
        <v/>
      </c>
      <c r="S3624" s="28"/>
      <c r="T3624" s="28"/>
      <c r="U3624" s="28"/>
    </row>
    <row r="3625" spans="1:21" s="5" customFormat="1">
      <c r="A3625" s="179" t="s">
        <v>4207</v>
      </c>
      <c r="B3625" s="185" t="s">
        <v>8027</v>
      </c>
      <c r="C3625" s="35" t="str">
        <f t="shared" si="392"/>
        <v>ShaykhiMualim</v>
      </c>
      <c r="E3625" s="40"/>
      <c r="F3625" s="15"/>
      <c r="G3625" s="17"/>
      <c r="H3625" s="10" t="s">
        <v>8563</v>
      </c>
      <c r="I3625" s="4" t="str">
        <f t="shared" si="393"/>
        <v>|ay-i-Múʿalim|</v>
      </c>
      <c r="J3625" s="3" t="str">
        <f t="shared" si="394"/>
        <v>|Shaykh-i-Mu'alim|</v>
      </c>
      <c r="K3625" s="3" t="str">
        <f t="shared" si="395"/>
        <v>Shaykh-i-Mualim</v>
      </c>
      <c r="N3625" s="39" t="str">
        <f t="shared" si="396"/>
        <v/>
      </c>
      <c r="P3625" s="39" t="str">
        <f t="shared" si="397"/>
        <v/>
      </c>
      <c r="R3625" s="39" t="str">
        <f t="shared" si="398"/>
        <v/>
      </c>
      <c r="S3625" s="28"/>
      <c r="T3625" s="28"/>
      <c r="U3625" s="28"/>
    </row>
    <row r="3626" spans="1:21" s="5" customFormat="1">
      <c r="A3626" s="181"/>
      <c r="B3626" s="185" t="s">
        <v>55</v>
      </c>
      <c r="C3626" s="35" t="str">
        <f t="shared" si="392"/>
        <v>Shaykhis</v>
      </c>
      <c r="D3626" s="1" t="s">
        <v>9072</v>
      </c>
      <c r="E3626" s="40"/>
      <c r="F3626" s="12"/>
      <c r="G3626" s="9"/>
      <c r="H3626" s="12"/>
      <c r="I3626" s="4" t="str">
        <f t="shared" si="393"/>
        <v>|ayís|</v>
      </c>
      <c r="J3626" s="3" t="str">
        <f t="shared" si="394"/>
        <v>|Shaykhis|</v>
      </c>
      <c r="K3626" s="3" t="str">
        <f t="shared" si="395"/>
        <v>Shaykhis</v>
      </c>
      <c r="M3626" s="1"/>
      <c r="N3626" s="39" t="str">
        <f t="shared" si="396"/>
        <v/>
      </c>
      <c r="O3626" s="1"/>
      <c r="P3626" s="39" t="str">
        <f t="shared" si="397"/>
        <v/>
      </c>
      <c r="Q3626" s="1"/>
      <c r="R3626" s="39" t="str">
        <f t="shared" si="398"/>
        <v/>
      </c>
      <c r="S3626" s="28"/>
      <c r="T3626" s="29">
        <v>41781</v>
      </c>
      <c r="U3626" s="28" t="s">
        <v>9448</v>
      </c>
    </row>
    <row r="3627" spans="1:21" s="5" customFormat="1">
      <c r="A3627" s="179" t="s">
        <v>4201</v>
      </c>
      <c r="B3627" s="185" t="s">
        <v>8023</v>
      </c>
      <c r="C3627" s="35" t="str">
        <f t="shared" si="392"/>
        <v>ShaykhiShivihKash</v>
      </c>
      <c r="E3627" s="40"/>
      <c r="F3627" s="15"/>
      <c r="G3627" s="17"/>
      <c r="H3627" s="10" t="s">
        <v>8563</v>
      </c>
      <c r="I3627" s="4" t="str">
        <f t="shared" si="393"/>
        <v>|ay-i-ívih-Ka|</v>
      </c>
      <c r="J3627" s="3" t="str">
        <f t="shared" si="394"/>
        <v>|Shaykh-i-Shivih-Kash|</v>
      </c>
      <c r="K3627" s="3" t="str">
        <f t="shared" si="395"/>
        <v>Shaykh-i-Shivih-Kash</v>
      </c>
      <c r="N3627" s="39" t="str">
        <f t="shared" si="396"/>
        <v/>
      </c>
      <c r="P3627" s="39" t="str">
        <f t="shared" si="397"/>
        <v/>
      </c>
      <c r="R3627" s="39" t="str">
        <f t="shared" si="398"/>
        <v/>
      </c>
      <c r="S3627" s="28"/>
      <c r="T3627" s="28"/>
      <c r="U3627" s="28"/>
    </row>
    <row r="3628" spans="1:21" s="5" customFormat="1">
      <c r="A3628" s="179" t="s">
        <v>4208</v>
      </c>
      <c r="B3628" s="185" t="s">
        <v>8028</v>
      </c>
      <c r="C3628" s="35" t="str">
        <f t="shared" si="392"/>
        <v>Shaykhiyyih</v>
      </c>
      <c r="E3628" s="40"/>
      <c r="F3628" s="15"/>
      <c r="G3628" s="17"/>
      <c r="H3628" s="10" t="s">
        <v>8563</v>
      </c>
      <c r="I3628" s="4" t="str">
        <f t="shared" si="393"/>
        <v>|ayíyyih|</v>
      </c>
      <c r="J3628" s="3" t="str">
        <f t="shared" si="394"/>
        <v>|Shaykhiyyih|</v>
      </c>
      <c r="K3628" s="3" t="str">
        <f t="shared" si="395"/>
        <v>Shaykhiyyih</v>
      </c>
      <c r="N3628" s="39" t="str">
        <f t="shared" si="396"/>
        <v/>
      </c>
      <c r="P3628" s="39" t="str">
        <f t="shared" si="397"/>
        <v/>
      </c>
      <c r="R3628" s="39" t="str">
        <f t="shared" si="398"/>
        <v/>
      </c>
      <c r="S3628" s="28"/>
      <c r="T3628" s="28"/>
      <c r="U3628" s="28"/>
    </row>
    <row r="3629" spans="1:21" s="5" customFormat="1">
      <c r="A3629" s="179" t="s">
        <v>4209</v>
      </c>
      <c r="B3629" s="185" t="s">
        <v>8029</v>
      </c>
      <c r="C3629" s="35" t="str">
        <f t="shared" si="392"/>
        <v>ShaykhSalih</v>
      </c>
      <c r="E3629" s="40"/>
      <c r="F3629" s="14"/>
      <c r="G3629" s="17"/>
      <c r="H3629" s="10" t="s">
        <v>8563</v>
      </c>
      <c r="I3629" s="4" t="str">
        <f t="shared" si="393"/>
        <v>|ay-Ṣáliḥ|</v>
      </c>
      <c r="J3629" s="3" t="str">
        <f t="shared" si="394"/>
        <v>|Shaykh-Salih|</v>
      </c>
      <c r="K3629" s="3" t="str">
        <f t="shared" si="395"/>
        <v>Shaykh-Salih</v>
      </c>
      <c r="N3629" s="39" t="str">
        <f t="shared" si="396"/>
        <v/>
      </c>
      <c r="P3629" s="39" t="str">
        <f t="shared" si="397"/>
        <v/>
      </c>
      <c r="R3629" s="39" t="str">
        <f t="shared" si="398"/>
        <v/>
      </c>
      <c r="S3629" s="28"/>
      <c r="T3629" s="28"/>
      <c r="U3629" s="28"/>
    </row>
    <row r="3630" spans="1:21" s="5" customFormat="1">
      <c r="A3630" s="179" t="s">
        <v>4210</v>
      </c>
      <c r="B3630" s="185" t="s">
        <v>56</v>
      </c>
      <c r="C3630" s="35" t="str">
        <f t="shared" si="392"/>
        <v>ShaykhTabarsi</v>
      </c>
      <c r="E3630" s="40" t="s">
        <v>9115</v>
      </c>
      <c r="F3630" s="14"/>
      <c r="G3630" s="17"/>
      <c r="H3630" s="10" t="s">
        <v>8563</v>
      </c>
      <c r="I3630" s="4" t="str">
        <f t="shared" si="393"/>
        <v>|ay-Ṭabarsí|</v>
      </c>
      <c r="J3630" s="3" t="str">
        <f t="shared" si="394"/>
        <v>|Shaykh-Tabarsi|</v>
      </c>
      <c r="K3630" s="3" t="str">
        <f t="shared" si="395"/>
        <v>Shaykh-Tabarsi</v>
      </c>
      <c r="N3630" s="39" t="str">
        <f t="shared" si="396"/>
        <v/>
      </c>
      <c r="P3630" s="39" t="str">
        <f t="shared" si="397"/>
        <v/>
      </c>
      <c r="R3630" s="39" t="str">
        <f t="shared" si="398"/>
        <v/>
      </c>
      <c r="S3630" s="28"/>
      <c r="T3630" s="28"/>
      <c r="U3630" s="28"/>
    </row>
    <row r="3631" spans="1:21" s="5" customFormat="1">
      <c r="A3631" s="179" t="s">
        <v>4211</v>
      </c>
      <c r="B3631" s="185" t="s">
        <v>8030</v>
      </c>
      <c r="C3631" s="35" t="str">
        <f t="shared" si="392"/>
        <v>ShaykhulIslam</v>
      </c>
      <c r="E3631" s="40"/>
      <c r="F3631" s="14" t="s">
        <v>4212</v>
      </c>
      <c r="G3631" s="17"/>
      <c r="H3631" s="10" t="s">
        <v>8563</v>
      </c>
      <c r="I3631" s="4" t="str">
        <f t="shared" si="393"/>
        <v>|ayu’l-Islám|</v>
      </c>
      <c r="J3631" s="3" t="str">
        <f t="shared" si="394"/>
        <v>|Shaykhu'l-Islam|</v>
      </c>
      <c r="K3631" s="3" t="str">
        <f t="shared" si="395"/>
        <v>Shaykhul-Islam</v>
      </c>
      <c r="N3631" s="39" t="str">
        <f t="shared" si="396"/>
        <v/>
      </c>
      <c r="P3631" s="39" t="str">
        <f t="shared" si="397"/>
        <v/>
      </c>
      <c r="R3631" s="39" t="str">
        <f t="shared" si="398"/>
        <v/>
      </c>
      <c r="S3631" s="28"/>
      <c r="T3631" s="28"/>
      <c r="U3631" s="28"/>
    </row>
    <row r="3632" spans="1:21" s="5" customFormat="1">
      <c r="A3632" s="181"/>
      <c r="B3632" s="185" t="s">
        <v>8649</v>
      </c>
      <c r="C3632" s="35" t="str">
        <f t="shared" si="392"/>
        <v>Shaykhuna</v>
      </c>
      <c r="D3632" s="1"/>
      <c r="E3632" s="40"/>
      <c r="F3632" s="12"/>
      <c r="G3632" s="9"/>
      <c r="H3632" s="12" t="s">
        <v>8622</v>
      </c>
      <c r="I3632" s="4" t="str">
        <f t="shared" si="393"/>
        <v>|ayuná|</v>
      </c>
      <c r="J3632" s="3" t="str">
        <f t="shared" si="394"/>
        <v>|Shaykhuna|</v>
      </c>
      <c r="K3632" s="3" t="str">
        <f t="shared" si="395"/>
        <v>Shaykhuna</v>
      </c>
      <c r="N3632" s="39" t="str">
        <f t="shared" si="396"/>
        <v/>
      </c>
      <c r="P3632" s="39" t="str">
        <f t="shared" si="397"/>
        <v/>
      </c>
      <c r="R3632" s="39" t="str">
        <f t="shared" si="398"/>
        <v/>
      </c>
      <c r="S3632" s="29">
        <v>41760</v>
      </c>
      <c r="T3632" s="28"/>
      <c r="U3632" s="28"/>
    </row>
    <row r="3633" spans="1:21" s="5" customFormat="1">
      <c r="A3633" s="179" t="s">
        <v>4213</v>
      </c>
      <c r="B3633" s="185" t="s">
        <v>8031</v>
      </c>
      <c r="C3633" s="35" t="str">
        <f t="shared" si="392"/>
        <v>ShaykhurRaīs</v>
      </c>
      <c r="E3633" s="40"/>
      <c r="F3633" s="15"/>
      <c r="G3633" s="17"/>
      <c r="H3633" s="10" t="s">
        <v>8563</v>
      </c>
      <c r="I3633" s="4" t="str">
        <f t="shared" si="393"/>
        <v>|ayu’r-Ra’īs|</v>
      </c>
      <c r="J3633" s="3" t="str">
        <f t="shared" si="394"/>
        <v>|Shaykhu'r-Ra'īs|</v>
      </c>
      <c r="K3633" s="3" t="str">
        <f t="shared" si="395"/>
        <v>Shaykhur-Raīs</v>
      </c>
      <c r="N3633" s="39" t="str">
        <f t="shared" si="396"/>
        <v/>
      </c>
      <c r="P3633" s="39" t="str">
        <f t="shared" si="397"/>
        <v/>
      </c>
      <c r="R3633" s="39" t="str">
        <f t="shared" si="398"/>
        <v/>
      </c>
      <c r="S3633" s="28"/>
      <c r="T3633" s="28"/>
      <c r="U3633" s="28"/>
    </row>
    <row r="3634" spans="1:21" s="5" customFormat="1">
      <c r="A3634" s="179" t="s">
        <v>4214</v>
      </c>
      <c r="B3634" s="185" t="s">
        <v>8032</v>
      </c>
      <c r="C3634" s="35" t="str">
        <f t="shared" si="392"/>
        <v>ShaykhutTayifih</v>
      </c>
      <c r="E3634" s="40"/>
      <c r="F3634" s="15"/>
      <c r="G3634" s="17"/>
      <c r="H3634" s="10" t="s">
        <v>8563</v>
      </c>
      <c r="I3634" s="4" t="str">
        <f t="shared" si="393"/>
        <v>|ayuʿṭ-Ṭáyifih|</v>
      </c>
      <c r="J3634" s="3" t="str">
        <f t="shared" si="394"/>
        <v>|Shaykhu't-Tayifih|</v>
      </c>
      <c r="K3634" s="3" t="str">
        <f t="shared" si="395"/>
        <v>Shaykhut-Tayifih</v>
      </c>
      <c r="N3634" s="39" t="str">
        <f t="shared" si="396"/>
        <v/>
      </c>
      <c r="P3634" s="39" t="str">
        <f t="shared" si="397"/>
        <v/>
      </c>
      <c r="R3634" s="39" t="str">
        <f t="shared" si="398"/>
        <v/>
      </c>
      <c r="S3634" s="28"/>
      <c r="T3634" s="28"/>
      <c r="U3634" s="28"/>
    </row>
    <row r="3635" spans="1:21" s="5" customFormat="1">
      <c r="A3635" s="179" t="s">
        <v>4215</v>
      </c>
      <c r="B3635" s="185" t="s">
        <v>8033</v>
      </c>
      <c r="C3635" s="35" t="str">
        <f t="shared" si="392"/>
        <v>Shaytan</v>
      </c>
      <c r="E3635" s="40"/>
      <c r="F3635" s="15" t="s">
        <v>4216</v>
      </c>
      <c r="G3635" s="17"/>
      <c r="H3635" s="10" t="s">
        <v>8563</v>
      </c>
      <c r="I3635" s="4" t="str">
        <f t="shared" si="393"/>
        <v>|ayṭán|</v>
      </c>
      <c r="J3635" s="3" t="str">
        <f t="shared" si="394"/>
        <v>|Shaytan|</v>
      </c>
      <c r="K3635" s="3" t="str">
        <f t="shared" si="395"/>
        <v>Shaytan</v>
      </c>
      <c r="N3635" s="39" t="str">
        <f t="shared" si="396"/>
        <v/>
      </c>
      <c r="P3635" s="39" t="str">
        <f t="shared" si="397"/>
        <v/>
      </c>
      <c r="R3635" s="39" t="str">
        <f t="shared" si="398"/>
        <v/>
      </c>
      <c r="S3635" s="28"/>
      <c r="T3635" s="28"/>
      <c r="U3635" s="28"/>
    </row>
    <row r="3636" spans="1:21" s="5" customFormat="1">
      <c r="A3636" s="181"/>
      <c r="B3636" s="185" t="s">
        <v>196</v>
      </c>
      <c r="C3636" s="35" t="str">
        <f t="shared" si="392"/>
        <v>Shharik</v>
      </c>
      <c r="D3636" s="1"/>
      <c r="E3636" s="40"/>
      <c r="F3636" s="12"/>
      <c r="G3636" s="9"/>
      <c r="H3636" s="11" t="s">
        <v>77</v>
      </c>
      <c r="I3636" s="4" t="str">
        <f t="shared" si="393"/>
        <v>|harík|</v>
      </c>
      <c r="J3636" s="3" t="str">
        <f t="shared" si="394"/>
        <v>|Shharik|</v>
      </c>
      <c r="K3636" s="3" t="str">
        <f t="shared" si="395"/>
        <v>Shharik</v>
      </c>
      <c r="M3636" s="1"/>
      <c r="N3636" s="39" t="str">
        <f t="shared" si="396"/>
        <v/>
      </c>
      <c r="O3636" s="1"/>
      <c r="P3636" s="39" t="str">
        <f t="shared" si="397"/>
        <v/>
      </c>
      <c r="Q3636" s="1"/>
      <c r="R3636" s="39" t="str">
        <f t="shared" si="398"/>
        <v/>
      </c>
      <c r="S3636" s="28"/>
      <c r="T3636" s="28"/>
      <c r="U3636" s="28"/>
    </row>
    <row r="3637" spans="1:21" s="5" customFormat="1">
      <c r="A3637" s="179" t="s">
        <v>4217</v>
      </c>
      <c r="B3637" s="185" t="s">
        <v>8034</v>
      </c>
      <c r="C3637" s="35" t="str">
        <f t="shared" si="392"/>
        <v>Shibl</v>
      </c>
      <c r="E3637" s="40"/>
      <c r="F3637" s="15"/>
      <c r="G3637" s="17"/>
      <c r="H3637" s="10" t="s">
        <v>8563</v>
      </c>
      <c r="I3637" s="4" t="str">
        <f t="shared" si="393"/>
        <v>|ibl|</v>
      </c>
      <c r="J3637" s="3" t="str">
        <f t="shared" si="394"/>
        <v>|Shibl|</v>
      </c>
      <c r="K3637" s="3" t="str">
        <f t="shared" si="395"/>
        <v>Shibl</v>
      </c>
      <c r="N3637" s="39" t="str">
        <f t="shared" si="396"/>
        <v/>
      </c>
      <c r="P3637" s="39" t="str">
        <f t="shared" si="397"/>
        <v/>
      </c>
      <c r="R3637" s="39" t="str">
        <f t="shared" si="398"/>
        <v/>
      </c>
      <c r="S3637" s="28"/>
      <c r="T3637" s="28"/>
      <c r="U3637" s="28"/>
    </row>
    <row r="3638" spans="1:21" s="5" customFormat="1">
      <c r="A3638" s="179" t="s">
        <v>4218</v>
      </c>
      <c r="B3638" s="185" t="s">
        <v>8035</v>
      </c>
      <c r="C3638" s="35" t="str">
        <f t="shared" si="392"/>
        <v>Shid</v>
      </c>
      <c r="E3638" s="40"/>
      <c r="F3638" s="15"/>
      <c r="G3638" s="17"/>
      <c r="H3638" s="10" t="s">
        <v>8563</v>
      </c>
      <c r="I3638" s="4" t="str">
        <f t="shared" si="393"/>
        <v>|íd|</v>
      </c>
      <c r="J3638" s="3" t="str">
        <f t="shared" si="394"/>
        <v>|Shid|</v>
      </c>
      <c r="K3638" s="3" t="str">
        <f t="shared" si="395"/>
        <v>Shid</v>
      </c>
      <c r="N3638" s="39" t="str">
        <f t="shared" si="396"/>
        <v/>
      </c>
      <c r="P3638" s="39" t="str">
        <f t="shared" si="397"/>
        <v/>
      </c>
      <c r="R3638" s="39" t="str">
        <f t="shared" si="398"/>
        <v/>
      </c>
      <c r="S3638" s="28"/>
      <c r="T3638" s="28"/>
      <c r="U3638" s="28"/>
    </row>
    <row r="3639" spans="1:21" s="5" customFormat="1">
      <c r="A3639" s="179" t="s">
        <v>4219</v>
      </c>
      <c r="B3639" s="185" t="s">
        <v>8036</v>
      </c>
      <c r="C3639" s="35" t="str">
        <f t="shared" si="392"/>
        <v>Shidad</v>
      </c>
      <c r="E3639" s="40"/>
      <c r="F3639" s="15" t="s">
        <v>4220</v>
      </c>
      <c r="G3639" s="17"/>
      <c r="H3639" s="10" t="s">
        <v>8563</v>
      </c>
      <c r="I3639" s="4" t="str">
        <f t="shared" si="393"/>
        <v>|idád|</v>
      </c>
      <c r="J3639" s="3" t="str">
        <f t="shared" si="394"/>
        <v>|Shidad|</v>
      </c>
      <c r="K3639" s="3" t="str">
        <f t="shared" si="395"/>
        <v>Shidad</v>
      </c>
      <c r="N3639" s="39" t="str">
        <f t="shared" si="396"/>
        <v/>
      </c>
      <c r="P3639" s="39" t="str">
        <f t="shared" si="397"/>
        <v/>
      </c>
      <c r="R3639" s="39" t="str">
        <f t="shared" si="398"/>
        <v/>
      </c>
      <c r="S3639" s="28"/>
      <c r="T3639" s="28"/>
      <c r="U3639" s="28"/>
    </row>
    <row r="3640" spans="1:21" s="5" customFormat="1">
      <c r="A3640" s="179" t="s">
        <v>4221</v>
      </c>
      <c r="B3640" s="185" t="s">
        <v>8037</v>
      </c>
      <c r="C3640" s="35" t="str">
        <f t="shared" si="392"/>
        <v>Shidrukh</v>
      </c>
      <c r="E3640" s="40"/>
      <c r="F3640" s="15"/>
      <c r="G3640" s="17"/>
      <c r="H3640" s="10" t="s">
        <v>8563</v>
      </c>
      <c r="I3640" s="4" t="str">
        <f t="shared" si="393"/>
        <v>|ídru|</v>
      </c>
      <c r="J3640" s="3" t="str">
        <f t="shared" si="394"/>
        <v>|Shidrukh|</v>
      </c>
      <c r="K3640" s="3" t="str">
        <f t="shared" si="395"/>
        <v>Shidrukh</v>
      </c>
      <c r="N3640" s="39" t="str">
        <f t="shared" si="396"/>
        <v/>
      </c>
      <c r="P3640" s="39" t="str">
        <f t="shared" si="397"/>
        <v/>
      </c>
      <c r="R3640" s="39" t="str">
        <f t="shared" si="398"/>
        <v/>
      </c>
      <c r="S3640" s="28"/>
      <c r="T3640" s="28"/>
      <c r="U3640" s="28"/>
    </row>
    <row r="3641" spans="1:21" s="5" customFormat="1">
      <c r="A3641" s="179" t="s">
        <v>4223</v>
      </c>
      <c r="B3641" s="185" t="s">
        <v>8039</v>
      </c>
      <c r="C3641" s="35" t="str">
        <f t="shared" si="392"/>
        <v>Shiih</v>
      </c>
      <c r="E3641" s="40"/>
      <c r="F3641" s="14" t="s">
        <v>4224</v>
      </c>
      <c r="G3641" s="17"/>
      <c r="H3641" s="10" t="s">
        <v>8563</v>
      </c>
      <c r="I3641" s="4" t="str">
        <f t="shared" si="393"/>
        <v>|íʿih|</v>
      </c>
      <c r="J3641" s="3" t="str">
        <f t="shared" si="394"/>
        <v>|Shi'ih|</v>
      </c>
      <c r="K3641" s="3" t="str">
        <f t="shared" si="395"/>
        <v>Shiih</v>
      </c>
      <c r="N3641" s="39" t="str">
        <f t="shared" si="396"/>
        <v/>
      </c>
      <c r="P3641" s="39" t="str">
        <f t="shared" si="397"/>
        <v/>
      </c>
      <c r="R3641" s="39" t="str">
        <f t="shared" si="398"/>
        <v/>
      </c>
      <c r="S3641" s="28"/>
      <c r="T3641" s="28"/>
      <c r="U3641" s="28"/>
    </row>
    <row r="3642" spans="1:21" s="5" customFormat="1">
      <c r="A3642" s="179" t="s">
        <v>4225</v>
      </c>
      <c r="B3642" s="185" t="s">
        <v>8040</v>
      </c>
      <c r="C3642" s="35" t="str">
        <f t="shared" si="392"/>
        <v>Shiihikamil</v>
      </c>
      <c r="E3642" s="40"/>
      <c r="F3642" s="15"/>
      <c r="G3642" s="17"/>
      <c r="H3642" s="10" t="s">
        <v>8563</v>
      </c>
      <c r="I3642" s="4" t="str">
        <f t="shared" si="393"/>
        <v>|íʿih-i-kámil|</v>
      </c>
      <c r="J3642" s="3" t="str">
        <f t="shared" si="394"/>
        <v>|Shi'ih-i-kamil|</v>
      </c>
      <c r="K3642" s="3" t="str">
        <f t="shared" si="395"/>
        <v>Shiih-i-kamil</v>
      </c>
      <c r="N3642" s="39" t="str">
        <f t="shared" si="396"/>
        <v/>
      </c>
      <c r="P3642" s="39" t="str">
        <f t="shared" si="397"/>
        <v/>
      </c>
      <c r="R3642" s="39" t="str">
        <f t="shared" si="398"/>
        <v/>
      </c>
      <c r="S3642" s="28"/>
      <c r="T3642" s="28"/>
      <c r="U3642" s="28"/>
    </row>
    <row r="3643" spans="1:21" s="5" customFormat="1">
      <c r="A3643" s="179" t="s">
        <v>4226</v>
      </c>
      <c r="B3643" s="185" t="s">
        <v>8041</v>
      </c>
      <c r="C3643" s="35" t="str">
        <f t="shared" si="392"/>
        <v>Shikastih</v>
      </c>
      <c r="E3643" s="40"/>
      <c r="F3643" s="14"/>
      <c r="G3643" s="17"/>
      <c r="H3643" s="10" t="s">
        <v>8563</v>
      </c>
      <c r="I3643" s="4" t="str">
        <f t="shared" si="393"/>
        <v>|ikastih|</v>
      </c>
      <c r="J3643" s="3" t="str">
        <f t="shared" si="394"/>
        <v>|Shikastih|</v>
      </c>
      <c r="K3643" s="3" t="str">
        <f t="shared" si="395"/>
        <v>Shikastih</v>
      </c>
      <c r="N3643" s="39" t="str">
        <f t="shared" si="396"/>
        <v/>
      </c>
      <c r="P3643" s="39" t="str">
        <f t="shared" si="397"/>
        <v/>
      </c>
      <c r="R3643" s="39" t="str">
        <f t="shared" si="398"/>
        <v/>
      </c>
      <c r="S3643" s="28"/>
      <c r="T3643" s="28"/>
      <c r="U3643" s="28"/>
    </row>
    <row r="3644" spans="1:21" s="5" customFormat="1">
      <c r="A3644" s="179" t="s">
        <v>4227</v>
      </c>
      <c r="B3644" s="185" t="s">
        <v>8042</v>
      </c>
      <c r="C3644" s="35" t="str">
        <f t="shared" si="392"/>
        <v>ShikastihNastaliq</v>
      </c>
      <c r="E3644" s="40"/>
      <c r="F3644" s="15"/>
      <c r="G3644" s="17"/>
      <c r="H3644" s="10" t="s">
        <v>8563</v>
      </c>
      <c r="I3644" s="4" t="str">
        <f t="shared" si="393"/>
        <v>|ikastih-Nastaʿlíq|</v>
      </c>
      <c r="J3644" s="3" t="str">
        <f t="shared" si="394"/>
        <v>|Shikastih-Nasta'liq|</v>
      </c>
      <c r="K3644" s="3" t="str">
        <f t="shared" si="395"/>
        <v>Shikastih-Nastaliq</v>
      </c>
      <c r="N3644" s="39" t="str">
        <f t="shared" si="396"/>
        <v/>
      </c>
      <c r="P3644" s="39" t="str">
        <f t="shared" si="397"/>
        <v/>
      </c>
      <c r="R3644" s="39" t="str">
        <f t="shared" si="398"/>
        <v/>
      </c>
      <c r="S3644" s="28"/>
      <c r="T3644" s="28"/>
      <c r="U3644" s="28"/>
    </row>
    <row r="3645" spans="1:21" s="5" customFormat="1">
      <c r="A3645" s="179" t="s">
        <v>4228</v>
      </c>
      <c r="B3645" s="185" t="s">
        <v>8043</v>
      </c>
      <c r="C3645" s="35" t="str">
        <f t="shared" si="392"/>
        <v>ShikkarShikanShavand</v>
      </c>
      <c r="E3645" s="40"/>
      <c r="F3645" s="15" t="s">
        <v>775</v>
      </c>
      <c r="G3645" s="17"/>
      <c r="H3645" s="10" t="s">
        <v>8563</v>
      </c>
      <c r="I3645" s="4" t="str">
        <f t="shared" si="393"/>
        <v>|ikkar-ikan-avand|</v>
      </c>
      <c r="J3645" s="3" t="str">
        <f t="shared" si="394"/>
        <v>|Shikkar-Shikan-Shavand|</v>
      </c>
      <c r="K3645" s="3" t="str">
        <f t="shared" si="395"/>
        <v>Shikkar-Shikan-Shavand</v>
      </c>
      <c r="N3645" s="39" t="str">
        <f t="shared" si="396"/>
        <v/>
      </c>
      <c r="P3645" s="39" t="str">
        <f t="shared" si="397"/>
        <v/>
      </c>
      <c r="R3645" s="39" t="str">
        <f t="shared" si="398"/>
        <v/>
      </c>
      <c r="S3645" s="28"/>
      <c r="T3645" s="28"/>
      <c r="U3645" s="28"/>
    </row>
    <row r="3646" spans="1:21" s="5" customFormat="1">
      <c r="A3646" s="179" t="s">
        <v>4229</v>
      </c>
      <c r="B3646" s="185" t="s">
        <v>8044</v>
      </c>
      <c r="C3646" s="35" t="str">
        <f t="shared" si="392"/>
        <v>Shimiran</v>
      </c>
      <c r="E3646" s="40"/>
      <c r="F3646" s="14"/>
      <c r="G3646" s="17"/>
      <c r="H3646" s="10" t="s">
        <v>8563</v>
      </c>
      <c r="I3646" s="4" t="str">
        <f t="shared" si="393"/>
        <v>|imírán|</v>
      </c>
      <c r="J3646" s="3" t="str">
        <f t="shared" si="394"/>
        <v>|Shimiran|</v>
      </c>
      <c r="K3646" s="3" t="str">
        <f t="shared" si="395"/>
        <v>Shimiran</v>
      </c>
      <c r="N3646" s="39" t="str">
        <f t="shared" si="396"/>
        <v/>
      </c>
      <c r="P3646" s="39" t="str">
        <f t="shared" si="397"/>
        <v/>
      </c>
      <c r="R3646" s="39" t="str">
        <f t="shared" si="398"/>
        <v/>
      </c>
      <c r="S3646" s="28"/>
      <c r="T3646" s="28"/>
      <c r="U3646" s="28"/>
    </row>
    <row r="3647" spans="1:21" s="5" customFormat="1">
      <c r="A3647" s="179" t="s">
        <v>4231</v>
      </c>
      <c r="B3647" s="185" t="s">
        <v>8046</v>
      </c>
      <c r="C3647" s="35" t="str">
        <f t="shared" si="392"/>
        <v>Shimiranat</v>
      </c>
      <c r="E3647" s="40"/>
      <c r="F3647" s="14"/>
      <c r="G3647" s="17"/>
      <c r="H3647" s="10" t="s">
        <v>8563</v>
      </c>
      <c r="I3647" s="4" t="str">
        <f t="shared" si="393"/>
        <v>|imíránát|</v>
      </c>
      <c r="J3647" s="3" t="str">
        <f t="shared" si="394"/>
        <v>|Shimiranat|</v>
      </c>
      <c r="K3647" s="3" t="str">
        <f t="shared" si="395"/>
        <v>Shimiranat</v>
      </c>
      <c r="N3647" s="39" t="str">
        <f t="shared" si="396"/>
        <v/>
      </c>
      <c r="P3647" s="39" t="str">
        <f t="shared" si="397"/>
        <v/>
      </c>
      <c r="R3647" s="39" t="str">
        <f t="shared" si="398"/>
        <v/>
      </c>
      <c r="S3647" s="28"/>
      <c r="T3647" s="28"/>
      <c r="U3647" s="28"/>
    </row>
    <row r="3648" spans="1:21" s="5" customFormat="1">
      <c r="A3648" s="179" t="s">
        <v>4230</v>
      </c>
      <c r="B3648" s="185" t="s">
        <v>8045</v>
      </c>
      <c r="C3648" s="35" t="str">
        <f t="shared" si="392"/>
        <v>Shimr</v>
      </c>
      <c r="E3648" s="40"/>
      <c r="F3648" s="14"/>
      <c r="G3648" s="17"/>
      <c r="H3648" s="10" t="s">
        <v>8563</v>
      </c>
      <c r="I3648" s="4" t="str">
        <f t="shared" si="393"/>
        <v>|imr|</v>
      </c>
      <c r="J3648" s="3" t="str">
        <f t="shared" si="394"/>
        <v>|Shimr|</v>
      </c>
      <c r="K3648" s="3" t="str">
        <f t="shared" si="395"/>
        <v>Shimr</v>
      </c>
      <c r="N3648" s="39" t="str">
        <f t="shared" si="396"/>
        <v/>
      </c>
      <c r="P3648" s="39" t="str">
        <f t="shared" si="397"/>
        <v/>
      </c>
      <c r="R3648" s="39" t="str">
        <f t="shared" si="398"/>
        <v/>
      </c>
      <c r="S3648" s="28"/>
      <c r="T3648" s="28"/>
      <c r="U3648" s="28"/>
    </row>
    <row r="3649" spans="1:21" s="5" customFormat="1">
      <c r="A3649" s="179" t="s">
        <v>4232</v>
      </c>
      <c r="B3649" s="185" t="s">
        <v>8047</v>
      </c>
      <c r="C3649" s="35" t="str">
        <f t="shared" si="392"/>
        <v>ShimriKashi</v>
      </c>
      <c r="E3649" s="40"/>
      <c r="F3649" s="15"/>
      <c r="G3649" s="17"/>
      <c r="H3649" s="10" t="s">
        <v>8563</v>
      </c>
      <c r="I3649" s="4" t="str">
        <f t="shared" si="393"/>
        <v>|imr-i-Káí|</v>
      </c>
      <c r="J3649" s="3" t="str">
        <f t="shared" si="394"/>
        <v>|Shimr-i-Kashi|</v>
      </c>
      <c r="K3649" s="3" t="str">
        <f t="shared" si="395"/>
        <v>Shimr-i-Kashi</v>
      </c>
      <c r="N3649" s="39" t="str">
        <f t="shared" si="396"/>
        <v/>
      </c>
      <c r="P3649" s="39" t="str">
        <f t="shared" si="397"/>
        <v/>
      </c>
      <c r="R3649" s="39" t="str">
        <f t="shared" si="398"/>
        <v/>
      </c>
      <c r="S3649" s="28"/>
      <c r="T3649" s="28"/>
      <c r="U3649" s="28"/>
    </row>
    <row r="3650" spans="1:21" s="5" customFormat="1">
      <c r="A3650" s="179" t="s">
        <v>4233</v>
      </c>
      <c r="B3650" s="185" t="s">
        <v>8048</v>
      </c>
      <c r="C3650" s="35" t="str">
        <f t="shared" ref="C3650:C3713" si="399">SUBSTITUTE(SUBSTITUTE(K3650,"-","")," ","")</f>
        <v>Shin</v>
      </c>
      <c r="E3650" s="40"/>
      <c r="F3650" s="14"/>
      <c r="G3650" s="17"/>
      <c r="H3650" s="10" t="s">
        <v>8563</v>
      </c>
      <c r="I3650" s="4" t="str">
        <f t="shared" ref="I3650:I3713" si="400">CONCATENATE("|",B3650,"|")</f>
        <v>|ín|</v>
      </c>
      <c r="J3650" s="3" t="str">
        <f t="shared" ref="J3650:J3713" si="401">CONCATENATE("|",F_OutputASCII(B3650),"|")</f>
        <v>|Shin|</v>
      </c>
      <c r="K3650" s="3" t="str">
        <f t="shared" ref="K3650:K3713" si="402">IF(SUBSTITUTE(MID(J3650,2,LEN(J3650)-2),"'","")&lt;&gt;"",SUBSTITUTE(MID(J3650,2,LEN(J3650)-2),"'",""),"ZZZZZ")</f>
        <v>Shin</v>
      </c>
      <c r="N3650" s="39" t="str">
        <f t="shared" si="396"/>
        <v/>
      </c>
      <c r="P3650" s="39" t="str">
        <f t="shared" si="397"/>
        <v/>
      </c>
      <c r="R3650" s="39" t="str">
        <f t="shared" si="398"/>
        <v/>
      </c>
      <c r="S3650" s="28"/>
      <c r="T3650" s="28"/>
      <c r="U3650" s="28"/>
    </row>
    <row r="3651" spans="1:21" s="5" customFormat="1">
      <c r="A3651" s="179" t="s">
        <v>4234</v>
      </c>
      <c r="B3651" s="185" t="s">
        <v>8049</v>
      </c>
      <c r="C3651" s="35" t="str">
        <f t="shared" si="399"/>
        <v>ShirAli</v>
      </c>
      <c r="E3651" s="40"/>
      <c r="F3651" s="15"/>
      <c r="G3651" s="17"/>
      <c r="H3651" s="10" t="s">
        <v>8563</v>
      </c>
      <c r="I3651" s="4" t="str">
        <f t="shared" si="400"/>
        <v>|ír-ʿAlí|</v>
      </c>
      <c r="J3651" s="3" t="str">
        <f t="shared" si="401"/>
        <v>|Shir-'Ali|</v>
      </c>
      <c r="K3651" s="3" t="str">
        <f t="shared" si="402"/>
        <v>Shir-Ali</v>
      </c>
      <c r="N3651" s="39" t="str">
        <f t="shared" ref="N3651:N3714" si="403">SUBSTITUTE(SUBSTITUTE(SUBSTITUTE(F_OutputASCII(M3651),"-","")," ",""),"'","")</f>
        <v/>
      </c>
      <c r="P3651" s="39" t="str">
        <f t="shared" ref="P3651:P3714" si="404">SUBSTITUTE(SUBSTITUTE(SUBSTITUTE(F_OutputASCII(O3651),"-","")," ",""),"'","")</f>
        <v/>
      </c>
      <c r="R3651" s="39" t="str">
        <f t="shared" ref="R3651:R3714" si="405">SUBSTITUTE(SUBSTITUTE(Q3651,"-","")," ","")</f>
        <v/>
      </c>
      <c r="S3651" s="28"/>
      <c r="T3651" s="28"/>
      <c r="U3651" s="28"/>
    </row>
    <row r="3652" spans="1:21" s="5" customFormat="1">
      <c r="A3652" s="179" t="s">
        <v>4235</v>
      </c>
      <c r="B3652" s="185" t="s">
        <v>8050</v>
      </c>
      <c r="C3652" s="35" t="str">
        <f t="shared" si="399"/>
        <v>Shiravan</v>
      </c>
      <c r="E3652" s="40"/>
      <c r="F3652" s="14"/>
      <c r="G3652" s="17"/>
      <c r="H3652" s="10" t="s">
        <v>8563</v>
      </c>
      <c r="I3652" s="4" t="str">
        <f t="shared" si="400"/>
        <v>|íraván|</v>
      </c>
      <c r="J3652" s="3" t="str">
        <f t="shared" si="401"/>
        <v>|Shiravan|</v>
      </c>
      <c r="K3652" s="3" t="str">
        <f t="shared" si="402"/>
        <v>Shiravan</v>
      </c>
      <c r="N3652" s="39" t="str">
        <f t="shared" si="403"/>
        <v/>
      </c>
      <c r="P3652" s="39" t="str">
        <f t="shared" si="404"/>
        <v/>
      </c>
      <c r="R3652" s="39" t="str">
        <f t="shared" si="405"/>
        <v/>
      </c>
      <c r="S3652" s="28"/>
      <c r="T3652" s="28"/>
      <c r="U3652" s="28"/>
    </row>
    <row r="3653" spans="1:21" s="5" customFormat="1">
      <c r="A3653" s="179" t="s">
        <v>4236</v>
      </c>
      <c r="B3653" s="185" t="s">
        <v>57</v>
      </c>
      <c r="C3653" s="35" t="str">
        <f t="shared" si="399"/>
        <v>Shiraz</v>
      </c>
      <c r="E3653" s="40"/>
      <c r="F3653" s="14"/>
      <c r="G3653" s="17"/>
      <c r="H3653" s="10" t="s">
        <v>8563</v>
      </c>
      <c r="I3653" s="4" t="str">
        <f t="shared" si="400"/>
        <v>|íráz|</v>
      </c>
      <c r="J3653" s="3" t="str">
        <f t="shared" si="401"/>
        <v>|Shiraz|</v>
      </c>
      <c r="K3653" s="3" t="str">
        <f t="shared" si="402"/>
        <v>Shiraz</v>
      </c>
      <c r="N3653" s="39" t="str">
        <f t="shared" si="403"/>
        <v/>
      </c>
      <c r="P3653" s="39" t="str">
        <f t="shared" si="404"/>
        <v/>
      </c>
      <c r="R3653" s="39" t="str">
        <f t="shared" si="405"/>
        <v/>
      </c>
      <c r="S3653" s="28"/>
      <c r="T3653" s="29">
        <v>41781</v>
      </c>
      <c r="U3653" s="28" t="s">
        <v>9469</v>
      </c>
    </row>
    <row r="3654" spans="1:21" s="5" customFormat="1">
      <c r="A3654" s="179" t="s">
        <v>4237</v>
      </c>
      <c r="B3654" s="185" t="s">
        <v>8051</v>
      </c>
      <c r="C3654" s="35" t="str">
        <f t="shared" si="399"/>
        <v>Shirazi</v>
      </c>
      <c r="E3654" s="40"/>
      <c r="F3654" s="14"/>
      <c r="G3654" s="17"/>
      <c r="H3654" s="10" t="s">
        <v>8563</v>
      </c>
      <c r="I3654" s="4" t="str">
        <f t="shared" si="400"/>
        <v>|írází|</v>
      </c>
      <c r="J3654" s="3" t="str">
        <f t="shared" si="401"/>
        <v>|Shirazi|</v>
      </c>
      <c r="K3654" s="3" t="str">
        <f t="shared" si="402"/>
        <v>Shirazi</v>
      </c>
      <c r="N3654" s="39" t="str">
        <f t="shared" si="403"/>
        <v/>
      </c>
      <c r="P3654" s="39" t="str">
        <f t="shared" si="404"/>
        <v/>
      </c>
      <c r="R3654" s="39" t="str">
        <f t="shared" si="405"/>
        <v/>
      </c>
      <c r="S3654" s="28"/>
      <c r="T3654" s="28"/>
      <c r="U3654" s="28"/>
    </row>
    <row r="3655" spans="1:21" s="5" customFormat="1">
      <c r="A3655" s="179" t="s">
        <v>4238</v>
      </c>
      <c r="B3655" s="185" t="s">
        <v>8052</v>
      </c>
      <c r="C3655" s="35" t="str">
        <f t="shared" si="399"/>
        <v>ShirGah</v>
      </c>
      <c r="E3655" s="40"/>
      <c r="F3655" s="14"/>
      <c r="G3655" s="17"/>
      <c r="H3655" s="10" t="s">
        <v>8563</v>
      </c>
      <c r="I3655" s="4" t="str">
        <f t="shared" si="400"/>
        <v>|ír-Gáh|</v>
      </c>
      <c r="J3655" s="3" t="str">
        <f t="shared" si="401"/>
        <v>|Shir-Gah|</v>
      </c>
      <c r="K3655" s="3" t="str">
        <f t="shared" si="402"/>
        <v>Shir-Gah</v>
      </c>
      <c r="N3655" s="39" t="str">
        <f t="shared" si="403"/>
        <v/>
      </c>
      <c r="P3655" s="39" t="str">
        <f t="shared" si="404"/>
        <v/>
      </c>
      <c r="R3655" s="39" t="str">
        <f t="shared" si="405"/>
        <v/>
      </c>
      <c r="S3655" s="28"/>
      <c r="T3655" s="28"/>
      <c r="U3655" s="28"/>
    </row>
    <row r="3656" spans="1:21" s="5" customFormat="1">
      <c r="A3656" s="179" t="s">
        <v>4239</v>
      </c>
      <c r="B3656" s="185" t="s">
        <v>8053</v>
      </c>
      <c r="C3656" s="35" t="str">
        <f t="shared" si="399"/>
        <v>Shirin</v>
      </c>
      <c r="E3656" s="40"/>
      <c r="F3656" s="15"/>
      <c r="G3656" s="17"/>
      <c r="H3656" s="10" t="s">
        <v>8563</v>
      </c>
      <c r="I3656" s="4" t="str">
        <f t="shared" si="400"/>
        <v>|írín|</v>
      </c>
      <c r="J3656" s="3" t="str">
        <f t="shared" si="401"/>
        <v>|Shirin|</v>
      </c>
      <c r="K3656" s="3" t="str">
        <f t="shared" si="402"/>
        <v>Shirin</v>
      </c>
      <c r="N3656" s="39" t="str">
        <f t="shared" si="403"/>
        <v/>
      </c>
      <c r="P3656" s="39" t="str">
        <f t="shared" si="404"/>
        <v/>
      </c>
      <c r="R3656" s="39" t="str">
        <f t="shared" si="405"/>
        <v/>
      </c>
      <c r="S3656" s="28"/>
      <c r="T3656" s="28"/>
      <c r="U3656" s="28"/>
    </row>
    <row r="3657" spans="1:21" s="5" customFormat="1">
      <c r="A3657" s="179" t="s">
        <v>4240</v>
      </c>
      <c r="B3657" s="185" t="s">
        <v>8054</v>
      </c>
      <c r="C3657" s="35" t="str">
        <f t="shared" si="399"/>
        <v>Shirk</v>
      </c>
      <c r="E3657" s="40"/>
      <c r="F3657" s="15" t="s">
        <v>4241</v>
      </c>
      <c r="G3657" s="17"/>
      <c r="H3657" s="10" t="s">
        <v>8563</v>
      </c>
      <c r="I3657" s="4" t="str">
        <f t="shared" si="400"/>
        <v>|irk|</v>
      </c>
      <c r="J3657" s="3" t="str">
        <f t="shared" si="401"/>
        <v>|Shirk|</v>
      </c>
      <c r="K3657" s="3" t="str">
        <f t="shared" si="402"/>
        <v>Shirk</v>
      </c>
      <c r="N3657" s="39" t="str">
        <f t="shared" si="403"/>
        <v/>
      </c>
      <c r="P3657" s="39" t="str">
        <f t="shared" si="404"/>
        <v/>
      </c>
      <c r="R3657" s="39" t="str">
        <f t="shared" si="405"/>
        <v/>
      </c>
      <c r="S3657" s="28"/>
      <c r="T3657" s="28"/>
      <c r="U3657" s="28"/>
    </row>
    <row r="3658" spans="1:21" s="5" customFormat="1">
      <c r="A3658" s="179" t="s">
        <v>4242</v>
      </c>
      <c r="B3658" s="185" t="s">
        <v>8055</v>
      </c>
      <c r="C3658" s="35" t="str">
        <f t="shared" si="399"/>
        <v>ShirkatiNawnahalan</v>
      </c>
      <c r="E3658" s="40"/>
      <c r="F3658" s="15"/>
      <c r="G3658" s="17"/>
      <c r="H3658" s="10" t="s">
        <v>8563</v>
      </c>
      <c r="I3658" s="4" t="str">
        <f t="shared" si="400"/>
        <v>|irkat-i-Nawnahálán|</v>
      </c>
      <c r="J3658" s="3" t="str">
        <f t="shared" si="401"/>
        <v>|Shirkat-i-Nawnahalan|</v>
      </c>
      <c r="K3658" s="3" t="str">
        <f t="shared" si="402"/>
        <v>Shirkat-i-Nawnahalan</v>
      </c>
      <c r="N3658" s="39" t="str">
        <f t="shared" si="403"/>
        <v/>
      </c>
      <c r="P3658" s="39" t="str">
        <f t="shared" si="404"/>
        <v/>
      </c>
      <c r="R3658" s="39" t="str">
        <f t="shared" si="405"/>
        <v/>
      </c>
      <c r="S3658" s="28"/>
      <c r="T3658" s="28"/>
      <c r="U3658" s="28"/>
    </row>
    <row r="3659" spans="1:21" s="5" customFormat="1">
      <c r="A3659" s="179" t="s">
        <v>4243</v>
      </c>
      <c r="B3659" s="185" t="s">
        <v>8056</v>
      </c>
      <c r="C3659" s="35" t="str">
        <f t="shared" si="399"/>
        <v>Shiruyih</v>
      </c>
      <c r="E3659" s="40"/>
      <c r="F3659" s="15"/>
      <c r="G3659" s="17"/>
      <c r="H3659" s="10" t="s">
        <v>8563</v>
      </c>
      <c r="I3659" s="4" t="str">
        <f t="shared" si="400"/>
        <v>|írúyih|</v>
      </c>
      <c r="J3659" s="3" t="str">
        <f t="shared" si="401"/>
        <v>|Shiruyih|</v>
      </c>
      <c r="K3659" s="3" t="str">
        <f t="shared" si="402"/>
        <v>Shiruyih</v>
      </c>
      <c r="N3659" s="39" t="str">
        <f t="shared" si="403"/>
        <v/>
      </c>
      <c r="P3659" s="39" t="str">
        <f t="shared" si="404"/>
        <v/>
      </c>
      <c r="R3659" s="39" t="str">
        <f t="shared" si="405"/>
        <v/>
      </c>
      <c r="S3659" s="28"/>
      <c r="T3659" s="28"/>
      <c r="U3659" s="28"/>
    </row>
    <row r="3660" spans="1:21" s="5" customFormat="1">
      <c r="A3660" s="179" t="s">
        <v>4183</v>
      </c>
      <c r="B3660" s="185" t="s">
        <v>8010</v>
      </c>
      <c r="C3660" s="35" t="str">
        <f t="shared" si="399"/>
        <v>Shirvin</v>
      </c>
      <c r="E3660" s="40"/>
      <c r="F3660" s="15"/>
      <c r="G3660" s="17"/>
      <c r="H3660" s="10" t="s">
        <v>8563</v>
      </c>
      <c r="I3660" s="4" t="str">
        <f t="shared" si="400"/>
        <v>|irvín|</v>
      </c>
      <c r="J3660" s="3" t="str">
        <f t="shared" si="401"/>
        <v>|Shirvin|</v>
      </c>
      <c r="K3660" s="3" t="str">
        <f t="shared" si="402"/>
        <v>Shirvin</v>
      </c>
      <c r="N3660" s="39" t="str">
        <f t="shared" si="403"/>
        <v/>
      </c>
      <c r="P3660" s="39" t="str">
        <f t="shared" si="404"/>
        <v/>
      </c>
      <c r="R3660" s="39" t="str">
        <f t="shared" si="405"/>
        <v/>
      </c>
      <c r="S3660" s="28"/>
      <c r="T3660" s="28"/>
      <c r="U3660" s="28"/>
    </row>
    <row r="3661" spans="1:21" s="5" customFormat="1">
      <c r="A3661" s="179" t="s">
        <v>4244</v>
      </c>
      <c r="B3661" s="185" t="s">
        <v>8057</v>
      </c>
      <c r="C3661" s="35" t="str">
        <f t="shared" si="399"/>
        <v>Shishavan</v>
      </c>
      <c r="E3661" s="40"/>
      <c r="F3661" s="15"/>
      <c r="G3661" s="17"/>
      <c r="H3661" s="10" t="s">
        <v>8563</v>
      </c>
      <c r="I3661" s="4" t="str">
        <f t="shared" si="400"/>
        <v>|íaván|</v>
      </c>
      <c r="J3661" s="3" t="str">
        <f t="shared" si="401"/>
        <v>|Shishavan|</v>
      </c>
      <c r="K3661" s="3" t="str">
        <f t="shared" si="402"/>
        <v>Shishavan</v>
      </c>
      <c r="N3661" s="39" t="str">
        <f t="shared" si="403"/>
        <v/>
      </c>
      <c r="P3661" s="39" t="str">
        <f t="shared" si="404"/>
        <v/>
      </c>
      <c r="R3661" s="39" t="str">
        <f t="shared" si="405"/>
        <v/>
      </c>
      <c r="S3661" s="28"/>
      <c r="T3661" s="28"/>
      <c r="U3661" s="28"/>
    </row>
    <row r="3662" spans="1:21" s="5" customFormat="1">
      <c r="A3662" s="179" t="s">
        <v>4245</v>
      </c>
      <c r="B3662" s="185" t="s">
        <v>8058</v>
      </c>
      <c r="C3662" s="35" t="str">
        <f t="shared" si="399"/>
        <v>Shishhizar</v>
      </c>
      <c r="E3662" s="40"/>
      <c r="F3662" s="15"/>
      <c r="G3662" s="17"/>
      <c r="H3662" s="10" t="s">
        <v>8563</v>
      </c>
      <c r="I3662" s="4" t="str">
        <f t="shared" si="400"/>
        <v>|ihizár|</v>
      </c>
      <c r="J3662" s="3" t="str">
        <f t="shared" si="401"/>
        <v>|Shishhizar|</v>
      </c>
      <c r="K3662" s="3" t="str">
        <f t="shared" si="402"/>
        <v>Shishhizar</v>
      </c>
      <c r="N3662" s="39" t="str">
        <f t="shared" si="403"/>
        <v/>
      </c>
      <c r="P3662" s="39" t="str">
        <f t="shared" si="404"/>
        <v/>
      </c>
      <c r="R3662" s="39" t="str">
        <f t="shared" si="405"/>
        <v/>
      </c>
      <c r="S3662" s="28"/>
      <c r="T3662" s="28"/>
      <c r="U3662" s="28"/>
    </row>
    <row r="3663" spans="1:21" s="5" customFormat="1">
      <c r="A3663" s="179" t="s">
        <v>4246</v>
      </c>
      <c r="B3663" s="185" t="s">
        <v>8059</v>
      </c>
      <c r="C3663" s="35" t="str">
        <f t="shared" si="399"/>
        <v>Shishman</v>
      </c>
      <c r="E3663" s="40"/>
      <c r="F3663" s="14"/>
      <c r="G3663" s="17"/>
      <c r="H3663" s="10" t="s">
        <v>8563</v>
      </c>
      <c r="I3663" s="4" t="str">
        <f t="shared" si="400"/>
        <v>|ímán|</v>
      </c>
      <c r="J3663" s="3" t="str">
        <f t="shared" si="401"/>
        <v>|Shishman|</v>
      </c>
      <c r="K3663" s="3" t="str">
        <f t="shared" si="402"/>
        <v>Shishman</v>
      </c>
      <c r="N3663" s="39" t="str">
        <f t="shared" si="403"/>
        <v/>
      </c>
      <c r="P3663" s="39" t="str">
        <f t="shared" si="404"/>
        <v/>
      </c>
      <c r="R3663" s="39" t="str">
        <f t="shared" si="405"/>
        <v/>
      </c>
      <c r="S3663" s="28"/>
      <c r="T3663" s="28"/>
      <c r="U3663" s="28"/>
    </row>
    <row r="3664" spans="1:21" s="5" customFormat="1">
      <c r="A3664" s="179" t="s">
        <v>4247</v>
      </c>
      <c r="B3664" s="185" t="s">
        <v>8060</v>
      </c>
      <c r="C3664" s="35" t="str">
        <f t="shared" si="399"/>
        <v>Shiva</v>
      </c>
      <c r="E3664" s="40"/>
      <c r="F3664" s="15"/>
      <c r="G3664" s="17"/>
      <c r="H3664" s="10" t="s">
        <v>8563</v>
      </c>
      <c r="I3664" s="4" t="str">
        <f t="shared" si="400"/>
        <v>|ívá|</v>
      </c>
      <c r="J3664" s="3" t="str">
        <f t="shared" si="401"/>
        <v>|Shiva|</v>
      </c>
      <c r="K3664" s="3" t="str">
        <f t="shared" si="402"/>
        <v>Shiva</v>
      </c>
      <c r="N3664" s="39" t="str">
        <f t="shared" si="403"/>
        <v/>
      </c>
      <c r="P3664" s="39" t="str">
        <f t="shared" si="404"/>
        <v/>
      </c>
      <c r="R3664" s="39" t="str">
        <f t="shared" si="405"/>
        <v/>
      </c>
      <c r="S3664" s="28"/>
      <c r="T3664" s="28"/>
      <c r="U3664" s="28"/>
    </row>
    <row r="3665" spans="1:21" s="5" customFormat="1">
      <c r="A3665" s="179" t="s">
        <v>4248</v>
      </c>
      <c r="B3665" s="185" t="s">
        <v>8061</v>
      </c>
      <c r="C3665" s="35" t="str">
        <f t="shared" si="399"/>
        <v>Shivirim</v>
      </c>
      <c r="E3665" s="40"/>
      <c r="F3665" s="15" t="s">
        <v>2407</v>
      </c>
      <c r="G3665" s="17"/>
      <c r="H3665" s="10" t="s">
        <v>8563</v>
      </c>
      <c r="I3665" s="4" t="str">
        <f t="shared" si="400"/>
        <v>|ivírím|</v>
      </c>
      <c r="J3665" s="3" t="str">
        <f t="shared" si="401"/>
        <v>|Shivirim|</v>
      </c>
      <c r="K3665" s="3" t="str">
        <f t="shared" si="402"/>
        <v>Shivirim</v>
      </c>
      <c r="N3665" s="39" t="str">
        <f t="shared" si="403"/>
        <v/>
      </c>
      <c r="P3665" s="39" t="str">
        <f t="shared" si="404"/>
        <v/>
      </c>
      <c r="R3665" s="39" t="str">
        <f t="shared" si="405"/>
        <v/>
      </c>
      <c r="S3665" s="28"/>
      <c r="T3665" s="28"/>
      <c r="U3665" s="28"/>
    </row>
    <row r="3666" spans="1:21" s="5" customFormat="1">
      <c r="A3666" s="179" t="s">
        <v>4265</v>
      </c>
      <c r="B3666" s="185" t="s">
        <v>8074</v>
      </c>
      <c r="C3666" s="35" t="str">
        <f t="shared" si="399"/>
        <v>Shiyan</v>
      </c>
      <c r="E3666" s="40"/>
      <c r="F3666" s="14"/>
      <c r="G3666" s="17"/>
      <c r="H3666" s="10" t="s">
        <v>8563</v>
      </c>
      <c r="I3666" s="4" t="str">
        <f t="shared" si="400"/>
        <v>|íyan|</v>
      </c>
      <c r="J3666" s="3" t="str">
        <f t="shared" si="401"/>
        <v>|Shiyan|</v>
      </c>
      <c r="K3666" s="3" t="str">
        <f t="shared" si="402"/>
        <v>Shiyan</v>
      </c>
      <c r="N3666" s="39" t="str">
        <f t="shared" si="403"/>
        <v/>
      </c>
      <c r="P3666" s="39" t="str">
        <f t="shared" si="404"/>
        <v/>
      </c>
      <c r="R3666" s="39" t="str">
        <f t="shared" si="405"/>
        <v/>
      </c>
      <c r="S3666" s="28"/>
      <c r="T3666" s="28"/>
      <c r="U3666" s="28"/>
    </row>
    <row r="3667" spans="1:21" s="5" customFormat="1">
      <c r="A3667" s="181"/>
      <c r="B3667" s="185" t="s">
        <v>41</v>
      </c>
      <c r="C3667" s="35" t="str">
        <f t="shared" si="399"/>
        <v>ShoghiEffendi</v>
      </c>
      <c r="D3667" s="1" t="s">
        <v>9114</v>
      </c>
      <c r="E3667" s="40"/>
      <c r="F3667" s="12"/>
      <c r="G3667" s="9"/>
      <c r="H3667" s="12"/>
      <c r="I3667" s="4" t="str">
        <f t="shared" si="400"/>
        <v>|Shoghi Effendi|</v>
      </c>
      <c r="J3667" s="3" t="str">
        <f t="shared" si="401"/>
        <v>|Shoghi Effendi|</v>
      </c>
      <c r="K3667" s="3" t="str">
        <f t="shared" si="402"/>
        <v>Shoghi Effendi</v>
      </c>
      <c r="M3667" s="1"/>
      <c r="N3667" s="39" t="str">
        <f t="shared" si="403"/>
        <v/>
      </c>
      <c r="O3667" s="1"/>
      <c r="P3667" s="39" t="str">
        <f t="shared" si="404"/>
        <v/>
      </c>
      <c r="Q3667" s="1"/>
      <c r="R3667" s="39" t="str">
        <f t="shared" si="405"/>
        <v/>
      </c>
      <c r="S3667" s="28"/>
      <c r="T3667" s="29">
        <v>41801</v>
      </c>
      <c r="U3667" s="28" t="s">
        <v>9470</v>
      </c>
    </row>
    <row r="3668" spans="1:21" s="5" customFormat="1">
      <c r="A3668" s="179" t="s">
        <v>4249</v>
      </c>
      <c r="B3668" s="185" t="s">
        <v>8062</v>
      </c>
      <c r="C3668" s="35" t="str">
        <f t="shared" si="399"/>
        <v>Shua</v>
      </c>
      <c r="E3668" s="40"/>
      <c r="F3668" s="15"/>
      <c r="G3668" s="17"/>
      <c r="H3668" s="10" t="s">
        <v>8563</v>
      </c>
      <c r="I3668" s="4" t="str">
        <f t="shared" si="400"/>
        <v>|uʿáʿ|</v>
      </c>
      <c r="J3668" s="3" t="str">
        <f t="shared" si="401"/>
        <v>|Shu'a'|</v>
      </c>
      <c r="K3668" s="3" t="str">
        <f t="shared" si="402"/>
        <v>Shua</v>
      </c>
      <c r="N3668" s="39" t="str">
        <f t="shared" si="403"/>
        <v/>
      </c>
      <c r="P3668" s="39" t="str">
        <f t="shared" si="404"/>
        <v/>
      </c>
      <c r="R3668" s="39" t="str">
        <f t="shared" si="405"/>
        <v/>
      </c>
      <c r="S3668" s="28"/>
      <c r="T3668" s="28"/>
      <c r="U3668" s="28"/>
    </row>
    <row r="3669" spans="1:21" s="5" customFormat="1">
      <c r="A3669" s="179" t="s">
        <v>4250</v>
      </c>
      <c r="B3669" s="185" t="s">
        <v>8063</v>
      </c>
      <c r="C3669" s="35" t="str">
        <f t="shared" si="399"/>
        <v>Shuaullah</v>
      </c>
      <c r="E3669" s="40"/>
      <c r="F3669" s="14"/>
      <c r="G3669" s="17"/>
      <c r="H3669" s="10" t="s">
        <v>8563</v>
      </c>
      <c r="I3669" s="4" t="str">
        <f t="shared" si="400"/>
        <v>|uʿáʿu’lláh|</v>
      </c>
      <c r="J3669" s="3" t="str">
        <f t="shared" si="401"/>
        <v>|Shu'a'u'llah|</v>
      </c>
      <c r="K3669" s="3" t="str">
        <f t="shared" si="402"/>
        <v>Shuaullah</v>
      </c>
      <c r="N3669" s="39" t="str">
        <f t="shared" si="403"/>
        <v/>
      </c>
      <c r="P3669" s="39" t="str">
        <f t="shared" si="404"/>
        <v/>
      </c>
      <c r="R3669" s="39" t="str">
        <f t="shared" si="405"/>
        <v/>
      </c>
      <c r="S3669" s="28"/>
      <c r="T3669" s="28"/>
      <c r="U3669" s="28"/>
    </row>
    <row r="3670" spans="1:21" s="5" customFormat="1">
      <c r="A3670" s="179" t="s">
        <v>4251</v>
      </c>
      <c r="B3670" s="185" t="s">
        <v>8064</v>
      </c>
      <c r="C3670" s="35" t="str">
        <f t="shared" si="399"/>
        <v>Shuayb</v>
      </c>
      <c r="E3670" s="40"/>
      <c r="F3670" s="15"/>
      <c r="G3670" s="17"/>
      <c r="H3670" s="10" t="s">
        <v>8563</v>
      </c>
      <c r="I3670" s="4" t="str">
        <f t="shared" si="400"/>
        <v>|uʿayb|</v>
      </c>
      <c r="J3670" s="3" t="str">
        <f t="shared" si="401"/>
        <v>|Shu'ayb|</v>
      </c>
      <c r="K3670" s="3" t="str">
        <f t="shared" si="402"/>
        <v>Shuayb</v>
      </c>
      <c r="N3670" s="39" t="str">
        <f t="shared" si="403"/>
        <v/>
      </c>
      <c r="P3670" s="39" t="str">
        <f t="shared" si="404"/>
        <v/>
      </c>
      <c r="R3670" s="39" t="str">
        <f t="shared" si="405"/>
        <v/>
      </c>
      <c r="S3670" s="28"/>
      <c r="T3670" s="28"/>
      <c r="U3670" s="28"/>
    </row>
    <row r="3671" spans="1:21" s="5" customFormat="1">
      <c r="A3671" s="179" t="s">
        <v>4252</v>
      </c>
      <c r="B3671" s="185" t="s">
        <v>8065</v>
      </c>
      <c r="C3671" s="35" t="str">
        <f t="shared" si="399"/>
        <v>Shuhada</v>
      </c>
      <c r="E3671" s="40"/>
      <c r="F3671" s="15"/>
      <c r="G3671" s="17"/>
      <c r="H3671" s="10" t="s">
        <v>8563</v>
      </c>
      <c r="I3671" s="4" t="str">
        <f t="shared" si="400"/>
        <v>|uhadá|</v>
      </c>
      <c r="J3671" s="3" t="str">
        <f t="shared" si="401"/>
        <v>|Shuhada|</v>
      </c>
      <c r="K3671" s="3" t="str">
        <f t="shared" si="402"/>
        <v>Shuhada</v>
      </c>
      <c r="N3671" s="39" t="str">
        <f t="shared" si="403"/>
        <v/>
      </c>
      <c r="P3671" s="39" t="str">
        <f t="shared" si="404"/>
        <v/>
      </c>
      <c r="R3671" s="39" t="str">
        <f t="shared" si="405"/>
        <v/>
      </c>
      <c r="S3671" s="28"/>
      <c r="T3671" s="28"/>
      <c r="U3671" s="28"/>
    </row>
    <row r="3672" spans="1:21" s="5" customFormat="1">
      <c r="A3672" s="179" t="s">
        <v>4253</v>
      </c>
      <c r="B3672" s="185" t="s">
        <v>8066</v>
      </c>
      <c r="C3672" s="35" t="str">
        <f t="shared" si="399"/>
        <v>ShuhadayiKhamsih</v>
      </c>
      <c r="E3672" s="40"/>
      <c r="F3672" s="15" t="s">
        <v>4254</v>
      </c>
      <c r="G3672" s="17"/>
      <c r="H3672" s="10" t="s">
        <v>8563</v>
      </c>
      <c r="I3672" s="4" t="str">
        <f t="shared" si="400"/>
        <v>|uhadáy-i-amsih|</v>
      </c>
      <c r="J3672" s="3" t="str">
        <f t="shared" si="401"/>
        <v>|Shuhaday-i-Khamsih|</v>
      </c>
      <c r="K3672" s="3" t="str">
        <f t="shared" si="402"/>
        <v>Shuhaday-i-Khamsih</v>
      </c>
      <c r="N3672" s="39" t="str">
        <f t="shared" si="403"/>
        <v/>
      </c>
      <c r="P3672" s="39" t="str">
        <f t="shared" si="404"/>
        <v/>
      </c>
      <c r="R3672" s="39" t="str">
        <f t="shared" si="405"/>
        <v/>
      </c>
      <c r="S3672" s="28"/>
      <c r="T3672" s="28"/>
      <c r="U3672" s="28"/>
    </row>
    <row r="3673" spans="1:21" s="5" customFormat="1">
      <c r="A3673" s="179" t="s">
        <v>4255</v>
      </c>
      <c r="B3673" s="185" t="s">
        <v>8067</v>
      </c>
      <c r="C3673" s="35" t="str">
        <f t="shared" si="399"/>
        <v>Shuhud</v>
      </c>
      <c r="E3673" s="40"/>
      <c r="F3673" s="15" t="s">
        <v>4256</v>
      </c>
      <c r="G3673" s="17"/>
      <c r="H3673" s="10" t="s">
        <v>8563</v>
      </c>
      <c r="I3673" s="4" t="str">
        <f t="shared" si="400"/>
        <v>|uhúd|</v>
      </c>
      <c r="J3673" s="3" t="str">
        <f t="shared" si="401"/>
        <v>|Shuhud|</v>
      </c>
      <c r="K3673" s="3" t="str">
        <f t="shared" si="402"/>
        <v>Shuhud</v>
      </c>
      <c r="N3673" s="39" t="str">
        <f t="shared" si="403"/>
        <v/>
      </c>
      <c r="P3673" s="39" t="str">
        <f t="shared" si="404"/>
        <v/>
      </c>
      <c r="R3673" s="39" t="str">
        <f t="shared" si="405"/>
        <v/>
      </c>
      <c r="S3673" s="28"/>
      <c r="T3673" s="28"/>
      <c r="U3673" s="28"/>
    </row>
    <row r="3674" spans="1:21" s="5" customFormat="1">
      <c r="A3674" s="179" t="s">
        <v>4257</v>
      </c>
      <c r="B3674" s="185" t="s">
        <v>8068</v>
      </c>
      <c r="C3674" s="35" t="str">
        <f t="shared" si="399"/>
        <v>ShujaudDawlih</v>
      </c>
      <c r="E3674" s="40"/>
      <c r="F3674" s="15"/>
      <c r="G3674" s="17"/>
      <c r="H3674" s="10" t="s">
        <v>8563</v>
      </c>
      <c r="I3674" s="4" t="str">
        <f t="shared" si="400"/>
        <v>|ujáʿu’d-Dawlih|</v>
      </c>
      <c r="J3674" s="3" t="str">
        <f t="shared" si="401"/>
        <v>|Shuja'u'd-Dawlih|</v>
      </c>
      <c r="K3674" s="3" t="str">
        <f t="shared" si="402"/>
        <v>Shujaud-Dawlih</v>
      </c>
      <c r="N3674" s="39" t="str">
        <f t="shared" si="403"/>
        <v/>
      </c>
      <c r="P3674" s="39" t="str">
        <f t="shared" si="404"/>
        <v/>
      </c>
      <c r="R3674" s="39" t="str">
        <f t="shared" si="405"/>
        <v/>
      </c>
      <c r="S3674" s="28"/>
      <c r="T3674" s="28"/>
      <c r="U3674" s="28"/>
    </row>
    <row r="3675" spans="1:21" s="5" customFormat="1">
      <c r="A3675" s="179" t="s">
        <v>4258</v>
      </c>
      <c r="B3675" s="185" t="s">
        <v>8069</v>
      </c>
      <c r="C3675" s="35" t="str">
        <f t="shared" si="399"/>
        <v>ShujaulMulk</v>
      </c>
      <c r="E3675" s="40"/>
      <c r="F3675" s="15"/>
      <c r="G3675" s="17"/>
      <c r="H3675" s="10" t="s">
        <v>8563</v>
      </c>
      <c r="I3675" s="4" t="str">
        <f t="shared" si="400"/>
        <v>|ujáʿu’l-Mulk|</v>
      </c>
      <c r="J3675" s="3" t="str">
        <f t="shared" si="401"/>
        <v>|Shuja'u'l-Mulk|</v>
      </c>
      <c r="K3675" s="3" t="str">
        <f t="shared" si="402"/>
        <v>Shujaul-Mulk</v>
      </c>
      <c r="N3675" s="39" t="str">
        <f t="shared" si="403"/>
        <v/>
      </c>
      <c r="P3675" s="39" t="str">
        <f t="shared" si="404"/>
        <v/>
      </c>
      <c r="R3675" s="39" t="str">
        <f t="shared" si="405"/>
        <v/>
      </c>
      <c r="S3675" s="28"/>
      <c r="T3675" s="28"/>
      <c r="U3675" s="28"/>
    </row>
    <row r="3676" spans="1:21" s="5" customFormat="1">
      <c r="A3676" s="179" t="s">
        <v>4259</v>
      </c>
      <c r="B3676" s="185" t="s">
        <v>8070</v>
      </c>
      <c r="C3676" s="35" t="str">
        <f t="shared" si="399"/>
        <v>Shukrullah</v>
      </c>
      <c r="E3676" s="40"/>
      <c r="F3676" s="15" t="s">
        <v>4260</v>
      </c>
      <c r="G3676" s="17"/>
      <c r="H3676" s="10" t="s">
        <v>8563</v>
      </c>
      <c r="I3676" s="4" t="str">
        <f t="shared" si="400"/>
        <v>|ukru’lláh|</v>
      </c>
      <c r="J3676" s="3" t="str">
        <f t="shared" si="401"/>
        <v>|Shukru'llah|</v>
      </c>
      <c r="K3676" s="3" t="str">
        <f t="shared" si="402"/>
        <v>Shukrullah</v>
      </c>
      <c r="N3676" s="39" t="str">
        <f t="shared" si="403"/>
        <v/>
      </c>
      <c r="P3676" s="39" t="str">
        <f t="shared" si="404"/>
        <v/>
      </c>
      <c r="R3676" s="39" t="str">
        <f t="shared" si="405"/>
        <v/>
      </c>
      <c r="S3676" s="28"/>
      <c r="T3676" s="28"/>
      <c r="U3676" s="28"/>
    </row>
    <row r="3677" spans="1:21" s="5" customFormat="1">
      <c r="A3677" s="179" t="s">
        <v>4261</v>
      </c>
      <c r="B3677" s="185" t="s">
        <v>8071</v>
      </c>
      <c r="C3677" s="35" t="str">
        <f t="shared" si="399"/>
        <v>ShukrullahiNuri</v>
      </c>
      <c r="E3677" s="40"/>
      <c r="F3677" s="15"/>
      <c r="G3677" s="17"/>
      <c r="H3677" s="10" t="s">
        <v>8563</v>
      </c>
      <c r="I3677" s="4" t="str">
        <f t="shared" si="400"/>
        <v>|ukru’lláh-i-Núrí|</v>
      </c>
      <c r="J3677" s="3" t="str">
        <f t="shared" si="401"/>
        <v>|Shukru'llah-i-Nuri|</v>
      </c>
      <c r="K3677" s="3" t="str">
        <f t="shared" si="402"/>
        <v>Shukrullah-i-Nuri</v>
      </c>
      <c r="N3677" s="39" t="str">
        <f t="shared" si="403"/>
        <v/>
      </c>
      <c r="P3677" s="39" t="str">
        <f t="shared" si="404"/>
        <v/>
      </c>
      <c r="R3677" s="39" t="str">
        <f t="shared" si="405"/>
        <v/>
      </c>
      <c r="S3677" s="28"/>
      <c r="T3677" s="28"/>
      <c r="U3677" s="28"/>
    </row>
    <row r="3678" spans="1:21" s="5" customFormat="1">
      <c r="A3678" s="179" t="s">
        <v>4262</v>
      </c>
      <c r="B3678" s="185" t="s">
        <v>8072</v>
      </c>
      <c r="C3678" s="35" t="str">
        <f t="shared" si="399"/>
        <v>Shushtar</v>
      </c>
      <c r="E3678" s="40"/>
      <c r="F3678" s="14"/>
      <c r="G3678" s="17"/>
      <c r="H3678" s="10" t="s">
        <v>8563</v>
      </c>
      <c r="I3678" s="4" t="str">
        <f t="shared" si="400"/>
        <v>|útar|</v>
      </c>
      <c r="J3678" s="3" t="str">
        <f t="shared" si="401"/>
        <v>|Shushtar|</v>
      </c>
      <c r="K3678" s="3" t="str">
        <f t="shared" si="402"/>
        <v>Shushtar</v>
      </c>
      <c r="N3678" s="39" t="str">
        <f t="shared" si="403"/>
        <v/>
      </c>
      <c r="P3678" s="39" t="str">
        <f t="shared" si="404"/>
        <v/>
      </c>
      <c r="R3678" s="39" t="str">
        <f t="shared" si="405"/>
        <v/>
      </c>
      <c r="S3678" s="28"/>
      <c r="T3678" s="28"/>
      <c r="U3678" s="28"/>
    </row>
    <row r="3679" spans="1:21" s="5" customFormat="1">
      <c r="A3679" s="179" t="s">
        <v>4263</v>
      </c>
      <c r="B3679" s="185" t="s">
        <v>8073</v>
      </c>
      <c r="C3679" s="35" t="str">
        <f t="shared" si="399"/>
        <v>Shutur</v>
      </c>
      <c r="E3679" s="40"/>
      <c r="F3679" s="15" t="s">
        <v>4264</v>
      </c>
      <c r="G3679" s="17"/>
      <c r="H3679" s="10" t="s">
        <v>8563</v>
      </c>
      <c r="I3679" s="4" t="str">
        <f t="shared" si="400"/>
        <v>|utur|</v>
      </c>
      <c r="J3679" s="3" t="str">
        <f t="shared" si="401"/>
        <v>|Shutur|</v>
      </c>
      <c r="K3679" s="3" t="str">
        <f t="shared" si="402"/>
        <v>Shutur</v>
      </c>
      <c r="N3679" s="39" t="str">
        <f t="shared" si="403"/>
        <v/>
      </c>
      <c r="P3679" s="39" t="str">
        <f t="shared" si="404"/>
        <v/>
      </c>
      <c r="R3679" s="39" t="str">
        <f t="shared" si="405"/>
        <v/>
      </c>
      <c r="S3679" s="28"/>
      <c r="T3679" s="28"/>
      <c r="U3679" s="28"/>
    </row>
    <row r="3680" spans="1:21" s="5" customFormat="1">
      <c r="A3680" s="179" t="s">
        <v>4266</v>
      </c>
      <c r="B3680" s="185" t="s">
        <v>8075</v>
      </c>
      <c r="C3680" s="35" t="str">
        <f t="shared" si="399"/>
        <v>Si</v>
      </c>
      <c r="E3680" s="40"/>
      <c r="F3680" s="15"/>
      <c r="G3680" s="17"/>
      <c r="H3680" s="10" t="s">
        <v>8563</v>
      </c>
      <c r="I3680" s="4" t="str">
        <f t="shared" si="400"/>
        <v>|Sí|</v>
      </c>
      <c r="J3680" s="3" t="str">
        <f t="shared" si="401"/>
        <v>|Si|</v>
      </c>
      <c r="K3680" s="3" t="str">
        <f t="shared" si="402"/>
        <v>Si</v>
      </c>
      <c r="N3680" s="39" t="str">
        <f t="shared" si="403"/>
        <v/>
      </c>
      <c r="P3680" s="39" t="str">
        <f t="shared" si="404"/>
        <v/>
      </c>
      <c r="R3680" s="39" t="str">
        <f t="shared" si="405"/>
        <v/>
      </c>
      <c r="S3680" s="28"/>
      <c r="T3680" s="28"/>
      <c r="U3680" s="28"/>
    </row>
    <row r="3681" spans="1:21" s="5" customFormat="1">
      <c r="A3681" s="179" t="s">
        <v>4267</v>
      </c>
      <c r="B3681" s="185" t="s">
        <v>8076</v>
      </c>
      <c r="C3681" s="35" t="str">
        <f t="shared" si="399"/>
        <v>Sidq</v>
      </c>
      <c r="E3681" s="40"/>
      <c r="F3681" s="14"/>
      <c r="G3681" s="17"/>
      <c r="H3681" s="10" t="s">
        <v>8563</v>
      </c>
      <c r="I3681" s="4" t="str">
        <f t="shared" si="400"/>
        <v>|Ṣidq|</v>
      </c>
      <c r="J3681" s="3" t="str">
        <f t="shared" si="401"/>
        <v>|Sidq|</v>
      </c>
      <c r="K3681" s="3" t="str">
        <f t="shared" si="402"/>
        <v>Sidq</v>
      </c>
      <c r="N3681" s="39" t="str">
        <f t="shared" si="403"/>
        <v/>
      </c>
      <c r="P3681" s="39" t="str">
        <f t="shared" si="404"/>
        <v/>
      </c>
      <c r="R3681" s="39" t="str">
        <f t="shared" si="405"/>
        <v/>
      </c>
      <c r="S3681" s="28"/>
      <c r="T3681" s="28"/>
      <c r="U3681" s="28"/>
    </row>
    <row r="3682" spans="1:21" s="5" customFormat="1">
      <c r="A3682" s="179" t="s">
        <v>4268</v>
      </c>
      <c r="B3682" s="185" t="s">
        <v>8077</v>
      </c>
      <c r="C3682" s="35" t="str">
        <f t="shared" si="399"/>
        <v>SidqAli</v>
      </c>
      <c r="E3682" s="40"/>
      <c r="F3682" s="14"/>
      <c r="G3682" s="17"/>
      <c r="H3682" s="10" t="s">
        <v>8563</v>
      </c>
      <c r="I3682" s="4" t="str">
        <f t="shared" si="400"/>
        <v>|Ṣidq-ʿAlí|</v>
      </c>
      <c r="J3682" s="3" t="str">
        <f t="shared" si="401"/>
        <v>|Sidq-'Ali|</v>
      </c>
      <c r="K3682" s="3" t="str">
        <f t="shared" si="402"/>
        <v>Sidq-Ali</v>
      </c>
      <c r="N3682" s="39" t="str">
        <f t="shared" si="403"/>
        <v/>
      </c>
      <c r="P3682" s="39" t="str">
        <f t="shared" si="404"/>
        <v/>
      </c>
      <c r="R3682" s="39" t="str">
        <f t="shared" si="405"/>
        <v/>
      </c>
      <c r="S3682" s="28"/>
      <c r="T3682" s="28"/>
      <c r="U3682" s="28"/>
    </row>
    <row r="3683" spans="1:21" s="5" customFormat="1">
      <c r="A3683" s="179" t="s">
        <v>4269</v>
      </c>
      <c r="B3683" s="185" t="s">
        <v>8078</v>
      </c>
      <c r="C3683" s="35" t="str">
        <f t="shared" si="399"/>
        <v>Sifatiyyih</v>
      </c>
      <c r="E3683" s="40"/>
      <c r="F3683" s="15"/>
      <c r="G3683" s="17"/>
      <c r="H3683" s="10" t="s">
        <v>8563</v>
      </c>
      <c r="I3683" s="4" t="str">
        <f t="shared" si="400"/>
        <v>|Ṣifátíyyih|</v>
      </c>
      <c r="J3683" s="3" t="str">
        <f t="shared" si="401"/>
        <v>|Sifatiyyih|</v>
      </c>
      <c r="K3683" s="3" t="str">
        <f t="shared" si="402"/>
        <v>Sifatiyyih</v>
      </c>
      <c r="N3683" s="39" t="str">
        <f t="shared" si="403"/>
        <v/>
      </c>
      <c r="P3683" s="39" t="str">
        <f t="shared" si="404"/>
        <v/>
      </c>
      <c r="R3683" s="39" t="str">
        <f t="shared" si="405"/>
        <v/>
      </c>
      <c r="S3683" s="28"/>
      <c r="T3683" s="28"/>
      <c r="U3683" s="28"/>
    </row>
    <row r="3684" spans="1:21" s="5" customFormat="1">
      <c r="A3684" s="179" t="s">
        <v>3936</v>
      </c>
      <c r="B3684" s="185" t="s">
        <v>7820</v>
      </c>
      <c r="C3684" s="35" t="str">
        <f t="shared" si="399"/>
        <v>Sifr</v>
      </c>
      <c r="E3684" s="40"/>
      <c r="F3684" s="15"/>
      <c r="G3684" s="17"/>
      <c r="H3684" s="10" t="s">
        <v>8563</v>
      </c>
      <c r="I3684" s="4" t="str">
        <f t="shared" si="400"/>
        <v>|Ṣifr|</v>
      </c>
      <c r="J3684" s="3" t="str">
        <f t="shared" si="401"/>
        <v>|Sifr|</v>
      </c>
      <c r="K3684" s="3" t="str">
        <f t="shared" si="402"/>
        <v>Sifr</v>
      </c>
      <c r="N3684" s="39" t="str">
        <f t="shared" si="403"/>
        <v/>
      </c>
      <c r="P3684" s="39" t="str">
        <f t="shared" si="404"/>
        <v/>
      </c>
      <c r="R3684" s="39" t="str">
        <f t="shared" si="405"/>
        <v/>
      </c>
      <c r="S3684" s="28"/>
      <c r="T3684" s="28"/>
      <c r="U3684" s="28"/>
    </row>
    <row r="3685" spans="1:21" s="5" customFormat="1">
      <c r="A3685" s="179" t="s">
        <v>4271</v>
      </c>
      <c r="B3685" s="185" t="s">
        <v>8080</v>
      </c>
      <c r="C3685" s="35" t="str">
        <f t="shared" si="399"/>
        <v>Sighih</v>
      </c>
      <c r="E3685" s="40"/>
      <c r="F3685" s="14"/>
      <c r="G3685" s="17"/>
      <c r="H3685" s="10" t="s">
        <v>8563</v>
      </c>
      <c r="I3685" s="4" t="str">
        <f t="shared" si="400"/>
        <v>|Ṣíih|</v>
      </c>
      <c r="J3685" s="3" t="str">
        <f t="shared" si="401"/>
        <v>|Sighih|</v>
      </c>
      <c r="K3685" s="3" t="str">
        <f t="shared" si="402"/>
        <v>Sighih</v>
      </c>
      <c r="N3685" s="39" t="str">
        <f t="shared" si="403"/>
        <v/>
      </c>
      <c r="P3685" s="39" t="str">
        <f t="shared" si="404"/>
        <v/>
      </c>
      <c r="R3685" s="39" t="str">
        <f t="shared" si="405"/>
        <v/>
      </c>
      <c r="S3685" s="28"/>
      <c r="T3685" s="28"/>
      <c r="U3685" s="28"/>
    </row>
    <row r="3686" spans="1:21" s="5" customFormat="1">
      <c r="A3686" s="179" t="s">
        <v>4272</v>
      </c>
      <c r="B3686" s="185" t="s">
        <v>8081</v>
      </c>
      <c r="C3686" s="35" t="str">
        <f t="shared" si="399"/>
        <v>SighihKhanih</v>
      </c>
      <c r="E3686" s="40"/>
      <c r="F3686" s="15"/>
      <c r="G3686" s="17"/>
      <c r="H3686" s="10" t="s">
        <v>8563</v>
      </c>
      <c r="I3686" s="4" t="str">
        <f t="shared" si="400"/>
        <v>|Ṣíih-ánih|</v>
      </c>
      <c r="J3686" s="3" t="str">
        <f t="shared" si="401"/>
        <v>|Sighih-Khanih|</v>
      </c>
      <c r="K3686" s="3" t="str">
        <f t="shared" si="402"/>
        <v>Sighih-Khanih</v>
      </c>
      <c r="N3686" s="39" t="str">
        <f t="shared" si="403"/>
        <v/>
      </c>
      <c r="P3686" s="39" t="str">
        <f t="shared" si="404"/>
        <v/>
      </c>
      <c r="R3686" s="39" t="str">
        <f t="shared" si="405"/>
        <v/>
      </c>
      <c r="S3686" s="28"/>
      <c r="T3686" s="28"/>
      <c r="U3686" s="28"/>
    </row>
    <row r="3687" spans="1:21" s="5" customFormat="1">
      <c r="A3687" s="179" t="s">
        <v>4273</v>
      </c>
      <c r="B3687" s="185" t="s">
        <v>8082</v>
      </c>
      <c r="C3687" s="35" t="str">
        <f t="shared" si="399"/>
        <v>Silakhuri</v>
      </c>
      <c r="E3687" s="40"/>
      <c r="F3687" s="15"/>
      <c r="G3687" s="17"/>
      <c r="H3687" s="10" t="s">
        <v>8563</v>
      </c>
      <c r="I3687" s="4" t="str">
        <f t="shared" si="400"/>
        <v>|Siláurí|</v>
      </c>
      <c r="J3687" s="3" t="str">
        <f t="shared" si="401"/>
        <v>|Silakhuri|</v>
      </c>
      <c r="K3687" s="3" t="str">
        <f t="shared" si="402"/>
        <v>Silakhuri</v>
      </c>
      <c r="N3687" s="39" t="str">
        <f t="shared" si="403"/>
        <v/>
      </c>
      <c r="P3687" s="39" t="str">
        <f t="shared" si="404"/>
        <v/>
      </c>
      <c r="R3687" s="39" t="str">
        <f t="shared" si="405"/>
        <v/>
      </c>
      <c r="S3687" s="28"/>
      <c r="T3687" s="28"/>
      <c r="U3687" s="28"/>
    </row>
    <row r="3688" spans="1:21" s="5" customFormat="1">
      <c r="A3688" s="179" t="s">
        <v>4274</v>
      </c>
      <c r="B3688" s="185" t="s">
        <v>8083</v>
      </c>
      <c r="C3688" s="35" t="str">
        <f t="shared" si="399"/>
        <v>Simari</v>
      </c>
      <c r="E3688" s="40"/>
      <c r="F3688" s="14"/>
      <c r="G3688" s="17"/>
      <c r="H3688" s="10" t="s">
        <v>8563</v>
      </c>
      <c r="I3688" s="4" t="str">
        <f t="shared" si="400"/>
        <v>|Simarí|</v>
      </c>
      <c r="J3688" s="3" t="str">
        <f t="shared" si="401"/>
        <v>|Simari|</v>
      </c>
      <c r="K3688" s="3" t="str">
        <f t="shared" si="402"/>
        <v>Simari</v>
      </c>
      <c r="N3688" s="39" t="str">
        <f t="shared" si="403"/>
        <v/>
      </c>
      <c r="P3688" s="39" t="str">
        <f t="shared" si="404"/>
        <v/>
      </c>
      <c r="R3688" s="39" t="str">
        <f t="shared" si="405"/>
        <v/>
      </c>
      <c r="S3688" s="28"/>
      <c r="T3688" s="28"/>
      <c r="U3688" s="28"/>
    </row>
    <row r="3689" spans="1:21" s="5" customFormat="1">
      <c r="A3689" s="179" t="s">
        <v>4275</v>
      </c>
      <c r="B3689" s="185" t="s">
        <v>8084</v>
      </c>
      <c r="C3689" s="35" t="str">
        <f t="shared" si="399"/>
        <v>Simin</v>
      </c>
      <c r="E3689" s="40"/>
      <c r="F3689" s="15"/>
      <c r="G3689" s="17"/>
      <c r="H3689" s="10" t="s">
        <v>8563</v>
      </c>
      <c r="I3689" s="4" t="str">
        <f t="shared" si="400"/>
        <v>|Símín|</v>
      </c>
      <c r="J3689" s="3" t="str">
        <f t="shared" si="401"/>
        <v>|Simin|</v>
      </c>
      <c r="K3689" s="3" t="str">
        <f t="shared" si="402"/>
        <v>Simin</v>
      </c>
      <c r="N3689" s="39" t="str">
        <f t="shared" si="403"/>
        <v/>
      </c>
      <c r="P3689" s="39" t="str">
        <f t="shared" si="404"/>
        <v/>
      </c>
      <c r="R3689" s="39" t="str">
        <f t="shared" si="405"/>
        <v/>
      </c>
      <c r="S3689" s="28"/>
      <c r="T3689" s="28"/>
      <c r="U3689" s="28"/>
    </row>
    <row r="3690" spans="1:21" s="5" customFormat="1">
      <c r="A3690" s="179" t="s">
        <v>4276</v>
      </c>
      <c r="B3690" s="185" t="s">
        <v>8085</v>
      </c>
      <c r="C3690" s="35" t="str">
        <f t="shared" si="399"/>
        <v>Simnan</v>
      </c>
      <c r="E3690" s="40"/>
      <c r="F3690" s="14"/>
      <c r="G3690" s="17"/>
      <c r="H3690" s="10" t="s">
        <v>8563</v>
      </c>
      <c r="I3690" s="4" t="str">
        <f t="shared" si="400"/>
        <v>|Simnán|</v>
      </c>
      <c r="J3690" s="3" t="str">
        <f t="shared" si="401"/>
        <v>|Simnan|</v>
      </c>
      <c r="K3690" s="3" t="str">
        <f t="shared" si="402"/>
        <v>Simnan</v>
      </c>
      <c r="N3690" s="39" t="str">
        <f t="shared" si="403"/>
        <v/>
      </c>
      <c r="P3690" s="39" t="str">
        <f t="shared" si="404"/>
        <v/>
      </c>
      <c r="R3690" s="39" t="str">
        <f t="shared" si="405"/>
        <v/>
      </c>
      <c r="S3690" s="28"/>
      <c r="T3690" s="28"/>
      <c r="U3690" s="28"/>
    </row>
    <row r="3691" spans="1:21" s="5" customFormat="1">
      <c r="A3691" s="179" t="s">
        <v>4277</v>
      </c>
      <c r="B3691" s="185" t="s">
        <v>8086</v>
      </c>
      <c r="C3691" s="35" t="str">
        <f t="shared" si="399"/>
        <v>sin</v>
      </c>
      <c r="E3691" s="40"/>
      <c r="F3691" s="14"/>
      <c r="G3691" s="17"/>
      <c r="H3691" s="10" t="s">
        <v>8563</v>
      </c>
      <c r="I3691" s="4" t="str">
        <f t="shared" si="400"/>
        <v>|sín|</v>
      </c>
      <c r="J3691" s="3" t="str">
        <f t="shared" si="401"/>
        <v>|sin|</v>
      </c>
      <c r="K3691" s="3" t="str">
        <f t="shared" si="402"/>
        <v>sin</v>
      </c>
      <c r="L3691" s="5" t="s">
        <v>9066</v>
      </c>
      <c r="N3691" s="39" t="str">
        <f t="shared" si="403"/>
        <v/>
      </c>
      <c r="P3691" s="39" t="str">
        <f t="shared" si="404"/>
        <v/>
      </c>
      <c r="R3691" s="39" t="str">
        <f t="shared" si="405"/>
        <v/>
      </c>
      <c r="S3691" s="28"/>
      <c r="T3691" s="28"/>
      <c r="U3691" s="28"/>
    </row>
    <row r="3692" spans="1:21" s="5" customFormat="1">
      <c r="A3692" s="179" t="s">
        <v>4278</v>
      </c>
      <c r="B3692" s="185" t="s">
        <v>8087</v>
      </c>
      <c r="C3692" s="35" t="str">
        <f t="shared" si="399"/>
        <v>Sina</v>
      </c>
      <c r="E3692" s="40"/>
      <c r="F3692" s="14"/>
      <c r="G3692" s="17"/>
      <c r="H3692" s="10" t="s">
        <v>8563</v>
      </c>
      <c r="I3692" s="4" t="str">
        <f t="shared" si="400"/>
        <v>|Síná|</v>
      </c>
      <c r="J3692" s="3" t="str">
        <f t="shared" si="401"/>
        <v>|Sina|</v>
      </c>
      <c r="K3692" s="3" t="str">
        <f t="shared" si="402"/>
        <v>Sina</v>
      </c>
      <c r="N3692" s="39" t="str">
        <f t="shared" si="403"/>
        <v/>
      </c>
      <c r="P3692" s="39" t="str">
        <f t="shared" si="404"/>
        <v/>
      </c>
      <c r="R3692" s="39" t="str">
        <f t="shared" si="405"/>
        <v/>
      </c>
      <c r="S3692" s="28"/>
      <c r="T3692" s="28"/>
      <c r="U3692" s="28"/>
    </row>
    <row r="3693" spans="1:21" s="5" customFormat="1">
      <c r="A3693" s="179" t="s">
        <v>4279</v>
      </c>
      <c r="B3693" s="185" t="s">
        <v>8088</v>
      </c>
      <c r="C3693" s="35" t="str">
        <f t="shared" si="399"/>
        <v>Sinan</v>
      </c>
      <c r="E3693" s="40"/>
      <c r="F3693" s="15"/>
      <c r="G3693" s="17"/>
      <c r="H3693" s="10" t="s">
        <v>8563</v>
      </c>
      <c r="I3693" s="4" t="str">
        <f t="shared" si="400"/>
        <v>|Sinán|</v>
      </c>
      <c r="J3693" s="3" t="str">
        <f t="shared" si="401"/>
        <v>|Sinan|</v>
      </c>
      <c r="K3693" s="3" t="str">
        <f t="shared" si="402"/>
        <v>Sinan</v>
      </c>
      <c r="N3693" s="39" t="str">
        <f t="shared" si="403"/>
        <v/>
      </c>
      <c r="P3693" s="39" t="str">
        <f t="shared" si="404"/>
        <v/>
      </c>
      <c r="R3693" s="39" t="str">
        <f t="shared" si="405"/>
        <v/>
      </c>
      <c r="S3693" s="28"/>
      <c r="T3693" s="28"/>
      <c r="U3693" s="28"/>
    </row>
    <row r="3694" spans="1:21" s="5" customFormat="1">
      <c r="A3694" s="179" t="s">
        <v>4280</v>
      </c>
      <c r="B3694" s="185" t="s">
        <v>8089</v>
      </c>
      <c r="C3694" s="35" t="str">
        <f t="shared" si="399"/>
        <v>SipahSalar</v>
      </c>
      <c r="E3694" s="40"/>
      <c r="F3694" s="14"/>
      <c r="G3694" s="17"/>
      <c r="H3694" s="10" t="s">
        <v>8563</v>
      </c>
      <c r="I3694" s="4" t="str">
        <f t="shared" si="400"/>
        <v>|Sipah-Salar|</v>
      </c>
      <c r="J3694" s="3" t="str">
        <f t="shared" si="401"/>
        <v>|Sipah-Salar|</v>
      </c>
      <c r="K3694" s="3" t="str">
        <f t="shared" si="402"/>
        <v>Sipah-Salar</v>
      </c>
      <c r="N3694" s="39" t="str">
        <f t="shared" si="403"/>
        <v/>
      </c>
      <c r="P3694" s="39" t="str">
        <f t="shared" si="404"/>
        <v/>
      </c>
      <c r="R3694" s="39" t="str">
        <f t="shared" si="405"/>
        <v/>
      </c>
      <c r="S3694" s="28"/>
      <c r="T3694" s="28"/>
      <c r="U3694" s="28"/>
    </row>
    <row r="3695" spans="1:21" s="5" customFormat="1">
      <c r="A3695" s="179" t="s">
        <v>4281</v>
      </c>
      <c r="B3695" s="185" t="s">
        <v>8090</v>
      </c>
      <c r="C3695" s="35" t="str">
        <f t="shared" si="399"/>
        <v>Sipihr</v>
      </c>
      <c r="E3695" s="40"/>
      <c r="F3695" s="14"/>
      <c r="G3695" s="17"/>
      <c r="H3695" s="10" t="s">
        <v>8563</v>
      </c>
      <c r="I3695" s="4" t="str">
        <f t="shared" si="400"/>
        <v>|Sipihr|</v>
      </c>
      <c r="J3695" s="3" t="str">
        <f t="shared" si="401"/>
        <v>|Sipihr|</v>
      </c>
      <c r="K3695" s="3" t="str">
        <f t="shared" si="402"/>
        <v>Sipihr</v>
      </c>
      <c r="N3695" s="39" t="str">
        <f t="shared" si="403"/>
        <v/>
      </c>
      <c r="P3695" s="39" t="str">
        <f t="shared" si="404"/>
        <v/>
      </c>
      <c r="R3695" s="39" t="str">
        <f t="shared" si="405"/>
        <v/>
      </c>
      <c r="S3695" s="28"/>
      <c r="T3695" s="28"/>
      <c r="U3695" s="28"/>
    </row>
    <row r="3696" spans="1:21" s="5" customFormat="1">
      <c r="A3696" s="179" t="s">
        <v>4282</v>
      </c>
      <c r="B3696" s="185" t="s">
        <v>8091</v>
      </c>
      <c r="C3696" s="35" t="str">
        <f t="shared" si="399"/>
        <v>SipihrArfa</v>
      </c>
      <c r="E3696" s="40"/>
      <c r="F3696" s="15"/>
      <c r="G3696" s="17"/>
      <c r="H3696" s="10" t="s">
        <v>8563</v>
      </c>
      <c r="I3696" s="4" t="str">
        <f t="shared" si="400"/>
        <v>|Sipihr-Arfaʿ|</v>
      </c>
      <c r="J3696" s="3" t="str">
        <f t="shared" si="401"/>
        <v>|Sipihr-Arfa'|</v>
      </c>
      <c r="K3696" s="3" t="str">
        <f t="shared" si="402"/>
        <v>Sipihr-Arfa</v>
      </c>
      <c r="N3696" s="39" t="str">
        <f t="shared" si="403"/>
        <v/>
      </c>
      <c r="P3696" s="39" t="str">
        <f t="shared" si="404"/>
        <v/>
      </c>
      <c r="R3696" s="39" t="str">
        <f t="shared" si="405"/>
        <v/>
      </c>
      <c r="S3696" s="28"/>
      <c r="T3696" s="28"/>
      <c r="U3696" s="28"/>
    </row>
    <row r="3697" spans="1:21" s="5" customFormat="1">
      <c r="A3697" s="179" t="s">
        <v>4283</v>
      </c>
      <c r="B3697" s="185" t="s">
        <v>8092</v>
      </c>
      <c r="C3697" s="35" t="str">
        <f t="shared" si="399"/>
        <v>Siraf</v>
      </c>
      <c r="E3697" s="40"/>
      <c r="F3697" s="15"/>
      <c r="G3697" s="17"/>
      <c r="H3697" s="10" t="s">
        <v>8563</v>
      </c>
      <c r="I3697" s="4" t="str">
        <f t="shared" si="400"/>
        <v>|Síráf|</v>
      </c>
      <c r="J3697" s="3" t="str">
        <f t="shared" si="401"/>
        <v>|Siraf|</v>
      </c>
      <c r="K3697" s="3" t="str">
        <f t="shared" si="402"/>
        <v>Siraf</v>
      </c>
      <c r="N3697" s="39" t="str">
        <f t="shared" si="403"/>
        <v/>
      </c>
      <c r="P3697" s="39" t="str">
        <f t="shared" si="404"/>
        <v/>
      </c>
      <c r="R3697" s="39" t="str">
        <f t="shared" si="405"/>
        <v/>
      </c>
      <c r="S3697" s="28"/>
      <c r="T3697" s="28"/>
      <c r="U3697" s="28"/>
    </row>
    <row r="3698" spans="1:21" s="5" customFormat="1">
      <c r="A3698" s="179" t="s">
        <v>4284</v>
      </c>
      <c r="B3698" s="185" t="s">
        <v>8093</v>
      </c>
      <c r="C3698" s="35" t="str">
        <f t="shared" si="399"/>
        <v>Sirat</v>
      </c>
      <c r="E3698" s="40"/>
      <c r="F3698" s="14"/>
      <c r="G3698" s="17"/>
      <c r="H3698" s="10" t="s">
        <v>8563</v>
      </c>
      <c r="I3698" s="4" t="str">
        <f t="shared" si="400"/>
        <v>|Ṣiráṭ|</v>
      </c>
      <c r="J3698" s="3" t="str">
        <f t="shared" si="401"/>
        <v>|Sirat|</v>
      </c>
      <c r="K3698" s="3" t="str">
        <f t="shared" si="402"/>
        <v>Sirat</v>
      </c>
      <c r="N3698" s="39" t="str">
        <f t="shared" si="403"/>
        <v/>
      </c>
      <c r="P3698" s="39" t="str">
        <f t="shared" si="404"/>
        <v/>
      </c>
      <c r="R3698" s="39" t="str">
        <f t="shared" si="405"/>
        <v/>
      </c>
      <c r="S3698" s="28"/>
      <c r="T3698" s="28"/>
      <c r="U3698" s="28"/>
    </row>
    <row r="3699" spans="1:21" s="5" customFormat="1">
      <c r="A3699" s="179" t="s">
        <v>4285</v>
      </c>
      <c r="B3699" s="185" t="s">
        <v>8094</v>
      </c>
      <c r="C3699" s="35" t="str">
        <f t="shared" si="399"/>
        <v>Sirjan</v>
      </c>
      <c r="E3699" s="40"/>
      <c r="F3699" s="15"/>
      <c r="G3699" s="17"/>
      <c r="H3699" s="10" t="s">
        <v>8563</v>
      </c>
      <c r="I3699" s="4" t="str">
        <f t="shared" si="400"/>
        <v>|Sírján|</v>
      </c>
      <c r="J3699" s="3" t="str">
        <f t="shared" si="401"/>
        <v>|Sirjan|</v>
      </c>
      <c r="K3699" s="3" t="str">
        <f t="shared" si="402"/>
        <v>Sirjan</v>
      </c>
      <c r="N3699" s="39" t="str">
        <f t="shared" si="403"/>
        <v/>
      </c>
      <c r="P3699" s="39" t="str">
        <f t="shared" si="404"/>
        <v/>
      </c>
      <c r="R3699" s="39" t="str">
        <f t="shared" si="405"/>
        <v/>
      </c>
      <c r="S3699" s="28"/>
      <c r="T3699" s="28"/>
      <c r="U3699" s="28"/>
    </row>
    <row r="3700" spans="1:21" s="5" customFormat="1">
      <c r="A3700" s="179" t="s">
        <v>4286</v>
      </c>
      <c r="B3700" s="185" t="s">
        <v>8095</v>
      </c>
      <c r="C3700" s="35" t="str">
        <f t="shared" si="399"/>
        <v>Sirrullah</v>
      </c>
      <c r="E3700" s="40"/>
      <c r="F3700" s="14"/>
      <c r="G3700" s="17"/>
      <c r="H3700" s="10" t="s">
        <v>8563</v>
      </c>
      <c r="I3700" s="4" t="str">
        <f t="shared" si="400"/>
        <v>|Sirru’lláh|</v>
      </c>
      <c r="J3700" s="3" t="str">
        <f t="shared" si="401"/>
        <v>|Sirru'llah|</v>
      </c>
      <c r="K3700" s="3" t="str">
        <f t="shared" si="402"/>
        <v>Sirrullah</v>
      </c>
      <c r="N3700" s="39" t="str">
        <f t="shared" si="403"/>
        <v/>
      </c>
      <c r="P3700" s="39" t="str">
        <f t="shared" si="404"/>
        <v/>
      </c>
      <c r="R3700" s="39" t="str">
        <f t="shared" si="405"/>
        <v/>
      </c>
      <c r="S3700" s="28"/>
      <c r="T3700" s="28"/>
      <c r="U3700" s="28"/>
    </row>
    <row r="3701" spans="1:21" s="5" customFormat="1">
      <c r="A3701" s="179" t="s">
        <v>4287</v>
      </c>
      <c r="B3701" s="185" t="s">
        <v>8096</v>
      </c>
      <c r="C3701" s="35" t="str">
        <f t="shared" si="399"/>
        <v>SirrulVujud</v>
      </c>
      <c r="E3701" s="40"/>
      <c r="F3701" s="15"/>
      <c r="G3701" s="17"/>
      <c r="H3701" s="10" t="s">
        <v>8563</v>
      </c>
      <c r="I3701" s="4" t="str">
        <f t="shared" si="400"/>
        <v>|Sirru’l-Vujúd|</v>
      </c>
      <c r="J3701" s="3" t="str">
        <f t="shared" si="401"/>
        <v>|Sirru'l-Vujud|</v>
      </c>
      <c r="K3701" s="3" t="str">
        <f t="shared" si="402"/>
        <v>Sirrul-Vujud</v>
      </c>
      <c r="N3701" s="39" t="str">
        <f t="shared" si="403"/>
        <v/>
      </c>
      <c r="P3701" s="39" t="str">
        <f t="shared" si="404"/>
        <v/>
      </c>
      <c r="R3701" s="39" t="str">
        <f t="shared" si="405"/>
        <v/>
      </c>
      <c r="S3701" s="28"/>
      <c r="T3701" s="28"/>
      <c r="U3701" s="28"/>
    </row>
    <row r="3702" spans="1:21" s="5" customFormat="1">
      <c r="A3702" s="179" t="s">
        <v>4288</v>
      </c>
      <c r="B3702" s="185" t="s">
        <v>8097</v>
      </c>
      <c r="C3702" s="35" t="str">
        <f t="shared" si="399"/>
        <v>Sirus</v>
      </c>
      <c r="E3702" s="40"/>
      <c r="F3702" s="15"/>
      <c r="G3702" s="17"/>
      <c r="H3702" s="10" t="s">
        <v>8563</v>
      </c>
      <c r="I3702" s="4" t="str">
        <f t="shared" si="400"/>
        <v>|Sírús|</v>
      </c>
      <c r="J3702" s="3" t="str">
        <f t="shared" si="401"/>
        <v>|Sirus|</v>
      </c>
      <c r="K3702" s="3" t="str">
        <f t="shared" si="402"/>
        <v>Sirus</v>
      </c>
      <c r="N3702" s="39" t="str">
        <f t="shared" si="403"/>
        <v/>
      </c>
      <c r="P3702" s="39" t="str">
        <f t="shared" si="404"/>
        <v/>
      </c>
      <c r="R3702" s="39" t="str">
        <f t="shared" si="405"/>
        <v/>
      </c>
      <c r="S3702" s="28"/>
      <c r="T3702" s="28"/>
      <c r="U3702" s="28"/>
    </row>
    <row r="3703" spans="1:21" s="5" customFormat="1">
      <c r="A3703" s="179" t="s">
        <v>4289</v>
      </c>
      <c r="B3703" s="185" t="s">
        <v>8098</v>
      </c>
      <c r="C3703" s="35" t="str">
        <f t="shared" si="399"/>
        <v>Sistan</v>
      </c>
      <c r="E3703" s="40"/>
      <c r="F3703" s="14"/>
      <c r="G3703" s="17"/>
      <c r="H3703" s="10" t="s">
        <v>8563</v>
      </c>
      <c r="I3703" s="4" t="str">
        <f t="shared" si="400"/>
        <v>|Sístán|</v>
      </c>
      <c r="J3703" s="3" t="str">
        <f t="shared" si="401"/>
        <v>|Sistan|</v>
      </c>
      <c r="K3703" s="3" t="str">
        <f t="shared" si="402"/>
        <v>Sistan</v>
      </c>
      <c r="N3703" s="39" t="str">
        <f t="shared" si="403"/>
        <v/>
      </c>
      <c r="P3703" s="39" t="str">
        <f t="shared" si="404"/>
        <v/>
      </c>
      <c r="R3703" s="39" t="str">
        <f t="shared" si="405"/>
        <v/>
      </c>
      <c r="S3703" s="28"/>
      <c r="T3703" s="28"/>
      <c r="U3703" s="28"/>
    </row>
    <row r="3704" spans="1:21" s="5" customFormat="1">
      <c r="A3704" s="179" t="s">
        <v>4290</v>
      </c>
      <c r="B3704" s="185" t="s">
        <v>8099</v>
      </c>
      <c r="C3704" s="35" t="str">
        <f t="shared" si="399"/>
        <v>Sitar</v>
      </c>
      <c r="E3704" s="40"/>
      <c r="F3704" s="15" t="s">
        <v>4291</v>
      </c>
      <c r="G3704" s="17"/>
      <c r="H3704" s="10" t="s">
        <v>8563</v>
      </c>
      <c r="I3704" s="4" t="str">
        <f t="shared" si="400"/>
        <v>|Sitár|</v>
      </c>
      <c r="J3704" s="3" t="str">
        <f t="shared" si="401"/>
        <v>|Sitar|</v>
      </c>
      <c r="K3704" s="3" t="str">
        <f t="shared" si="402"/>
        <v>Sitar</v>
      </c>
      <c r="N3704" s="39" t="str">
        <f t="shared" si="403"/>
        <v/>
      </c>
      <c r="P3704" s="39" t="str">
        <f t="shared" si="404"/>
        <v/>
      </c>
      <c r="R3704" s="39" t="str">
        <f t="shared" si="405"/>
        <v/>
      </c>
      <c r="S3704" s="28"/>
      <c r="T3704" s="28"/>
      <c r="U3704" s="28"/>
    </row>
    <row r="3705" spans="1:21" s="5" customFormat="1">
      <c r="A3705" s="179" t="s">
        <v>4292</v>
      </c>
      <c r="B3705" s="185" t="s">
        <v>88</v>
      </c>
      <c r="C3705" s="35" t="str">
        <f t="shared" si="399"/>
        <v>Sitarih</v>
      </c>
      <c r="E3705" s="40"/>
      <c r="F3705" s="14"/>
      <c r="G3705" s="17"/>
      <c r="H3705" s="10" t="s">
        <v>8563</v>
      </c>
      <c r="I3705" s="4" t="str">
        <f t="shared" si="400"/>
        <v>|Sitárih|</v>
      </c>
      <c r="J3705" s="3" t="str">
        <f t="shared" si="401"/>
        <v>|Sitarih|</v>
      </c>
      <c r="K3705" s="3" t="str">
        <f t="shared" si="402"/>
        <v>Sitarih</v>
      </c>
      <c r="N3705" s="39" t="str">
        <f t="shared" si="403"/>
        <v/>
      </c>
      <c r="P3705" s="39" t="str">
        <f t="shared" si="404"/>
        <v/>
      </c>
      <c r="R3705" s="39" t="str">
        <f t="shared" si="405"/>
        <v/>
      </c>
      <c r="S3705" s="28"/>
      <c r="T3705" s="28"/>
      <c r="U3705" s="28"/>
    </row>
    <row r="3706" spans="1:21" s="5" customFormat="1">
      <c r="A3706" s="179" t="s">
        <v>4293</v>
      </c>
      <c r="B3706" s="185" t="s">
        <v>8100</v>
      </c>
      <c r="C3706" s="35" t="str">
        <f t="shared" si="399"/>
        <v>Situdih</v>
      </c>
      <c r="E3706" s="40"/>
      <c r="F3706" s="15" t="s">
        <v>4294</v>
      </c>
      <c r="G3706" s="17"/>
      <c r="H3706" s="10" t="s">
        <v>8563</v>
      </c>
      <c r="I3706" s="4" t="str">
        <f t="shared" si="400"/>
        <v>|Sitúdih|</v>
      </c>
      <c r="J3706" s="3" t="str">
        <f t="shared" si="401"/>
        <v>|Situdih|</v>
      </c>
      <c r="K3706" s="3" t="str">
        <f t="shared" si="402"/>
        <v>Situdih</v>
      </c>
      <c r="N3706" s="39" t="str">
        <f t="shared" si="403"/>
        <v/>
      </c>
      <c r="P3706" s="39" t="str">
        <f t="shared" si="404"/>
        <v/>
      </c>
      <c r="R3706" s="39" t="str">
        <f t="shared" si="405"/>
        <v/>
      </c>
      <c r="S3706" s="28"/>
      <c r="T3706" s="28"/>
      <c r="U3706" s="28"/>
    </row>
    <row r="3707" spans="1:21" s="5" customFormat="1">
      <c r="A3707" s="179" t="s">
        <v>4295</v>
      </c>
      <c r="B3707" s="185" t="s">
        <v>8101</v>
      </c>
      <c r="C3707" s="35" t="str">
        <f t="shared" si="399"/>
        <v>Sivas</v>
      </c>
      <c r="E3707" s="40"/>
      <c r="F3707" s="14"/>
      <c r="G3707" s="17"/>
      <c r="H3707" s="10" t="s">
        <v>8563</v>
      </c>
      <c r="I3707" s="4" t="str">
        <f t="shared" si="400"/>
        <v>|Sívás|</v>
      </c>
      <c r="J3707" s="3" t="str">
        <f t="shared" si="401"/>
        <v>|Sivas|</v>
      </c>
      <c r="K3707" s="3" t="str">
        <f t="shared" si="402"/>
        <v>Sivas</v>
      </c>
      <c r="N3707" s="39" t="str">
        <f t="shared" si="403"/>
        <v/>
      </c>
      <c r="P3707" s="39" t="str">
        <f t="shared" si="404"/>
        <v/>
      </c>
      <c r="R3707" s="39" t="str">
        <f t="shared" si="405"/>
        <v/>
      </c>
      <c r="S3707" s="28"/>
      <c r="T3707" s="28"/>
      <c r="U3707" s="28"/>
    </row>
    <row r="3708" spans="1:21" s="5" customFormat="1">
      <c r="A3708" s="179" t="s">
        <v>4296</v>
      </c>
      <c r="B3708" s="185" t="s">
        <v>8102</v>
      </c>
      <c r="C3708" s="35" t="str">
        <f t="shared" si="399"/>
        <v>Siyah</v>
      </c>
      <c r="E3708" s="40"/>
      <c r="F3708" s="14"/>
      <c r="G3708" s="17"/>
      <c r="H3708" s="10" t="s">
        <v>8563</v>
      </c>
      <c r="I3708" s="4" t="str">
        <f t="shared" si="400"/>
        <v>|Síyáh|</v>
      </c>
      <c r="J3708" s="3" t="str">
        <f t="shared" si="401"/>
        <v>|Siyah|</v>
      </c>
      <c r="K3708" s="3" t="str">
        <f t="shared" si="402"/>
        <v>Siyah</v>
      </c>
      <c r="N3708" s="39" t="str">
        <f t="shared" si="403"/>
        <v/>
      </c>
      <c r="P3708" s="39" t="str">
        <f t="shared" si="404"/>
        <v/>
      </c>
      <c r="R3708" s="39" t="str">
        <f t="shared" si="405"/>
        <v/>
      </c>
      <c r="S3708" s="28"/>
      <c r="T3708" s="28"/>
      <c r="U3708" s="28"/>
    </row>
    <row r="3709" spans="1:21" s="5" customFormat="1">
      <c r="A3709" s="179" t="s">
        <v>4297</v>
      </c>
      <c r="B3709" s="185" t="s">
        <v>184</v>
      </c>
      <c r="C3709" s="35" t="str">
        <f t="shared" si="399"/>
        <v>SiyahChal</v>
      </c>
      <c r="E3709" s="40"/>
      <c r="F3709" s="14" t="s">
        <v>4298</v>
      </c>
      <c r="G3709" s="17"/>
      <c r="H3709" s="10" t="s">
        <v>8563</v>
      </c>
      <c r="I3709" s="4" t="str">
        <f t="shared" si="400"/>
        <v>|Síyáh-ál|</v>
      </c>
      <c r="J3709" s="3" t="str">
        <f t="shared" si="401"/>
        <v>|Siyah-Chal|</v>
      </c>
      <c r="K3709" s="3" t="str">
        <f t="shared" si="402"/>
        <v>Siyah-Chal</v>
      </c>
      <c r="N3709" s="39" t="str">
        <f t="shared" si="403"/>
        <v/>
      </c>
      <c r="P3709" s="39" t="str">
        <f t="shared" si="404"/>
        <v/>
      </c>
      <c r="R3709" s="39" t="str">
        <f t="shared" si="405"/>
        <v/>
      </c>
      <c r="S3709" s="28"/>
      <c r="T3709" s="28"/>
      <c r="U3709" s="28"/>
    </row>
    <row r="3710" spans="1:21" s="5" customFormat="1">
      <c r="A3710" s="179" t="s">
        <v>4299</v>
      </c>
      <c r="B3710" s="185" t="s">
        <v>8103</v>
      </c>
      <c r="C3710" s="35" t="str">
        <f t="shared" si="399"/>
        <v>SiyahDihan</v>
      </c>
      <c r="E3710" s="40"/>
      <c r="F3710" s="14"/>
      <c r="G3710" s="17"/>
      <c r="H3710" s="10" t="s">
        <v>8563</v>
      </c>
      <c r="I3710" s="4" t="str">
        <f t="shared" si="400"/>
        <v>|Síyáh-Dihán|</v>
      </c>
      <c r="J3710" s="3" t="str">
        <f t="shared" si="401"/>
        <v>|Siyah-Dihan|</v>
      </c>
      <c r="K3710" s="3" t="str">
        <f t="shared" si="402"/>
        <v>Siyah-Dihan</v>
      </c>
      <c r="N3710" s="39" t="str">
        <f t="shared" si="403"/>
        <v/>
      </c>
      <c r="P3710" s="39" t="str">
        <f t="shared" si="404"/>
        <v/>
      </c>
      <c r="R3710" s="39" t="str">
        <f t="shared" si="405"/>
        <v/>
      </c>
      <c r="S3710" s="28"/>
      <c r="T3710" s="28"/>
      <c r="U3710" s="28"/>
    </row>
    <row r="3711" spans="1:21" s="5" customFormat="1">
      <c r="A3711" s="179" t="s">
        <v>4300</v>
      </c>
      <c r="B3711" s="185" t="s">
        <v>8104</v>
      </c>
      <c r="C3711" s="35" t="str">
        <f t="shared" si="399"/>
        <v>Siyasiyyih</v>
      </c>
      <c r="E3711" s="40"/>
      <c r="F3711" s="15" t="s">
        <v>2687</v>
      </c>
      <c r="G3711" s="17"/>
      <c r="H3711" s="10" t="s">
        <v>8563</v>
      </c>
      <c r="I3711" s="4" t="str">
        <f t="shared" si="400"/>
        <v>|Síyásíyyih|</v>
      </c>
      <c r="J3711" s="3" t="str">
        <f t="shared" si="401"/>
        <v>|Siyasiyyih|</v>
      </c>
      <c r="K3711" s="3" t="str">
        <f t="shared" si="402"/>
        <v>Siyasiyyih</v>
      </c>
      <c r="N3711" s="39" t="str">
        <f t="shared" si="403"/>
        <v/>
      </c>
      <c r="P3711" s="39" t="str">
        <f t="shared" si="404"/>
        <v/>
      </c>
      <c r="R3711" s="39" t="str">
        <f t="shared" si="405"/>
        <v/>
      </c>
      <c r="S3711" s="28"/>
      <c r="T3711" s="28"/>
      <c r="U3711" s="28"/>
    </row>
    <row r="3712" spans="1:21" s="5" customFormat="1">
      <c r="A3712" s="179" t="s">
        <v>4301</v>
      </c>
      <c r="B3712" s="185" t="s">
        <v>8105</v>
      </c>
      <c r="C3712" s="35" t="str">
        <f t="shared" si="399"/>
        <v>Siyavashi</v>
      </c>
      <c r="E3712" s="40"/>
      <c r="F3712" s="15"/>
      <c r="G3712" s="17"/>
      <c r="H3712" s="10" t="s">
        <v>8563</v>
      </c>
      <c r="I3712" s="4" t="str">
        <f t="shared" si="400"/>
        <v>|Síyávaí|</v>
      </c>
      <c r="J3712" s="3" t="str">
        <f t="shared" si="401"/>
        <v>|Siyavashi|</v>
      </c>
      <c r="K3712" s="3" t="str">
        <f t="shared" si="402"/>
        <v>Siyavashi</v>
      </c>
      <c r="N3712" s="39" t="str">
        <f t="shared" si="403"/>
        <v/>
      </c>
      <c r="P3712" s="39" t="str">
        <f t="shared" si="404"/>
        <v/>
      </c>
      <c r="R3712" s="39" t="str">
        <f t="shared" si="405"/>
        <v/>
      </c>
      <c r="S3712" s="28"/>
      <c r="T3712" s="28"/>
      <c r="U3712" s="28"/>
    </row>
    <row r="3713" spans="1:21" s="5" customFormat="1">
      <c r="A3713" s="179" t="s">
        <v>4302</v>
      </c>
      <c r="B3713" s="185" t="s">
        <v>44</v>
      </c>
      <c r="C3713" s="35" t="str">
        <f t="shared" si="399"/>
        <v>Siyyid</v>
      </c>
      <c r="E3713" s="40"/>
      <c r="F3713" s="14" t="s">
        <v>4303</v>
      </c>
      <c r="G3713" s="17"/>
      <c r="H3713" s="10" t="s">
        <v>8563</v>
      </c>
      <c r="I3713" s="4" t="str">
        <f t="shared" si="400"/>
        <v>|Siyyid|</v>
      </c>
      <c r="J3713" s="3" t="str">
        <f t="shared" si="401"/>
        <v>|Siyyid|</v>
      </c>
      <c r="K3713" s="3" t="str">
        <f t="shared" si="402"/>
        <v>Siyyid</v>
      </c>
      <c r="N3713" s="39" t="str">
        <f t="shared" si="403"/>
        <v/>
      </c>
      <c r="P3713" s="39" t="str">
        <f t="shared" si="404"/>
        <v/>
      </c>
      <c r="R3713" s="39" t="str">
        <f t="shared" si="405"/>
        <v/>
      </c>
      <c r="S3713" s="28"/>
      <c r="T3713" s="29">
        <v>41781</v>
      </c>
      <c r="U3713" s="28" t="s">
        <v>9446</v>
      </c>
    </row>
    <row r="3714" spans="1:21" s="5" customFormat="1">
      <c r="A3714" s="181"/>
      <c r="B3714" s="185" t="s">
        <v>8638</v>
      </c>
      <c r="C3714" s="35" t="str">
        <f t="shared" ref="C3714:C3777" si="406">SUBSTITUTE(SUBSTITUTE(K3714,"-","")," ","")</f>
        <v>SiyyidAbdulBaqi</v>
      </c>
      <c r="D3714" s="1"/>
      <c r="E3714" s="40"/>
      <c r="F3714" s="12"/>
      <c r="G3714" s="9"/>
      <c r="H3714" s="12" t="s">
        <v>8622</v>
      </c>
      <c r="I3714" s="4" t="str">
        <f t="shared" ref="I3714:I3777" si="407">CONCATENATE("|",B3714,"|")</f>
        <v>|Siyyid ʿAbdu’l-Báqí|</v>
      </c>
      <c r="J3714" s="3" t="str">
        <f t="shared" ref="J3714:J3777" si="408">CONCATENATE("|",F_OutputASCII(B3714),"|")</f>
        <v>|Siyyid 'Abdu'l-Baqi|</v>
      </c>
      <c r="K3714" s="3" t="str">
        <f t="shared" ref="K3714:K3777" si="409">IF(SUBSTITUTE(MID(J3714,2,LEN(J3714)-2),"'","")&lt;&gt;"",SUBSTITUTE(MID(J3714,2,LEN(J3714)-2),"'",""),"ZZZZZ")</f>
        <v>Siyyid Abdul-Baqi</v>
      </c>
      <c r="N3714" s="39" t="str">
        <f t="shared" si="403"/>
        <v/>
      </c>
      <c r="P3714" s="39" t="str">
        <f t="shared" si="404"/>
        <v/>
      </c>
      <c r="R3714" s="39" t="str">
        <f t="shared" si="405"/>
        <v/>
      </c>
      <c r="S3714" s="29">
        <v>41760</v>
      </c>
      <c r="T3714" s="28"/>
      <c r="U3714" s="28"/>
    </row>
    <row r="3715" spans="1:21" s="5" customFormat="1">
      <c r="A3715" s="181"/>
      <c r="B3715" s="185" t="s">
        <v>42</v>
      </c>
      <c r="C3715" s="35" t="str">
        <f t="shared" si="406"/>
        <v>SiyyidAliMuhammad</v>
      </c>
      <c r="D3715" s="1"/>
      <c r="E3715" s="40"/>
      <c r="F3715" s="12"/>
      <c r="G3715" s="9"/>
      <c r="H3715" s="12"/>
      <c r="I3715" s="4" t="str">
        <f t="shared" si="407"/>
        <v>|Siyyid ʿAlí-Muḥammad|</v>
      </c>
      <c r="J3715" s="3" t="str">
        <f t="shared" si="408"/>
        <v>|Siyyid 'Ali-Muhammad|</v>
      </c>
      <c r="K3715" s="3" t="str">
        <f t="shared" si="409"/>
        <v>Siyyid Ali-Muhammad</v>
      </c>
      <c r="M3715" s="1"/>
      <c r="N3715" s="39" t="str">
        <f t="shared" ref="N3715:N3778" si="410">SUBSTITUTE(SUBSTITUTE(SUBSTITUTE(F_OutputASCII(M3715),"-","")," ",""),"'","")</f>
        <v/>
      </c>
      <c r="O3715" s="1"/>
      <c r="P3715" s="39" t="str">
        <f t="shared" ref="P3715:P3778" si="411">SUBSTITUTE(SUBSTITUTE(SUBSTITUTE(F_OutputASCII(O3715),"-","")," ",""),"'","")</f>
        <v/>
      </c>
      <c r="Q3715" s="1"/>
      <c r="R3715" s="39" t="str">
        <f t="shared" ref="R3715:R3778" si="412">SUBSTITUTE(SUBSTITUTE(Q3715,"-","")," ","")</f>
        <v/>
      </c>
      <c r="S3715" s="28"/>
      <c r="T3715" s="29">
        <v>41781</v>
      </c>
      <c r="U3715" s="28" t="s">
        <v>9469</v>
      </c>
    </row>
    <row r="3716" spans="1:21" s="5" customFormat="1">
      <c r="A3716" s="179"/>
      <c r="B3716" s="185" t="s">
        <v>9110</v>
      </c>
      <c r="C3716" s="35" t="str">
        <f t="shared" si="406"/>
        <v>SiyyidAliMuhammads</v>
      </c>
      <c r="D3716" s="5" t="s">
        <v>59</v>
      </c>
      <c r="E3716" s="40"/>
      <c r="F3716" s="15"/>
      <c r="G3716" s="17"/>
      <c r="H3716" s="10"/>
      <c r="I3716" s="4" t="str">
        <f t="shared" si="407"/>
        <v>|Siyyid ʿAlí-Muḥammads|</v>
      </c>
      <c r="J3716" s="3" t="str">
        <f t="shared" si="408"/>
        <v>|Siyyid 'Ali-Muhammads|</v>
      </c>
      <c r="K3716" s="3" t="str">
        <f t="shared" si="409"/>
        <v>Siyyid Ali-Muhammads</v>
      </c>
      <c r="L3716" s="1"/>
      <c r="N3716" s="39" t="str">
        <f t="shared" si="410"/>
        <v/>
      </c>
      <c r="P3716" s="39" t="str">
        <f t="shared" si="411"/>
        <v/>
      </c>
      <c r="R3716" s="39" t="str">
        <f t="shared" si="412"/>
        <v/>
      </c>
      <c r="S3716" s="29">
        <v>41781</v>
      </c>
      <c r="T3716" s="29">
        <v>41781</v>
      </c>
      <c r="U3716" s="28" t="s">
        <v>9446</v>
      </c>
    </row>
    <row r="3717" spans="1:21" s="5" customFormat="1">
      <c r="A3717" s="181"/>
      <c r="B3717" s="185" t="s">
        <v>137</v>
      </c>
      <c r="C3717" s="35" t="str">
        <f t="shared" si="406"/>
        <v>SiyyidDavud</v>
      </c>
      <c r="D3717" s="1"/>
      <c r="E3717" s="40"/>
      <c r="F3717" s="12"/>
      <c r="G3717" s="9"/>
      <c r="H3717" s="12" t="s">
        <v>77</v>
      </c>
      <c r="I3717" s="4" t="str">
        <f t="shared" si="407"/>
        <v>|Siyyid Dávúd|</v>
      </c>
      <c r="J3717" s="3" t="str">
        <f t="shared" si="408"/>
        <v>|Siyyid Davud|</v>
      </c>
      <c r="K3717" s="3" t="str">
        <f t="shared" si="409"/>
        <v>Siyyid Davud</v>
      </c>
      <c r="M3717" s="1"/>
      <c r="N3717" s="39" t="str">
        <f t="shared" si="410"/>
        <v/>
      </c>
      <c r="O3717" s="1"/>
      <c r="P3717" s="39" t="str">
        <f t="shared" si="411"/>
        <v/>
      </c>
      <c r="Q3717" s="1"/>
      <c r="R3717" s="39" t="str">
        <f t="shared" si="412"/>
        <v/>
      </c>
      <c r="S3717" s="28"/>
      <c r="T3717" s="28"/>
      <c r="U3717" s="28"/>
    </row>
    <row r="3718" spans="1:21" s="5" customFormat="1">
      <c r="A3718" s="181"/>
      <c r="B3718" s="185" t="s">
        <v>8772</v>
      </c>
      <c r="C3718" s="35" t="str">
        <f t="shared" si="406"/>
        <v>SiyyidHusayn</v>
      </c>
      <c r="D3718" s="1"/>
      <c r="E3718" s="40" t="s">
        <v>9115</v>
      </c>
      <c r="F3718" s="12"/>
      <c r="G3718" s="9"/>
      <c r="H3718" s="12" t="s">
        <v>8622</v>
      </c>
      <c r="I3718" s="4" t="str">
        <f t="shared" si="407"/>
        <v>|Siyyid Ḥusayn|</v>
      </c>
      <c r="J3718" s="3" t="str">
        <f t="shared" si="408"/>
        <v>|Siyyid Husayn|</v>
      </c>
      <c r="K3718" s="3" t="str">
        <f t="shared" si="409"/>
        <v>Siyyid Husayn</v>
      </c>
      <c r="N3718" s="39" t="str">
        <f t="shared" si="410"/>
        <v/>
      </c>
      <c r="P3718" s="39" t="str">
        <f t="shared" si="411"/>
        <v/>
      </c>
      <c r="R3718" s="39" t="str">
        <f t="shared" si="412"/>
        <v/>
      </c>
      <c r="S3718" s="29">
        <v>41760</v>
      </c>
      <c r="T3718" s="28"/>
      <c r="U3718" s="28"/>
    </row>
    <row r="3719" spans="1:21" s="5" customFormat="1">
      <c r="A3719" s="181"/>
      <c r="B3719" s="185" t="s">
        <v>8773</v>
      </c>
      <c r="C3719" s="35" t="str">
        <f t="shared" si="406"/>
        <v>SiyyidHusayniAzghandi</v>
      </c>
      <c r="D3719" s="1"/>
      <c r="E3719" s="40"/>
      <c r="F3719" s="12"/>
      <c r="G3719" s="9"/>
      <c r="H3719" s="12" t="s">
        <v>8622</v>
      </c>
      <c r="I3719" s="4" t="str">
        <f t="shared" si="407"/>
        <v>|Siyyid Ḥusayn-i-Azandí|</v>
      </c>
      <c r="J3719" s="3" t="str">
        <f t="shared" si="408"/>
        <v>|Siyyid Husayn-i-Azghandi|</v>
      </c>
      <c r="K3719" s="3" t="str">
        <f t="shared" si="409"/>
        <v>Siyyid Husayn-i-Azghandi</v>
      </c>
      <c r="N3719" s="39" t="str">
        <f t="shared" si="410"/>
        <v/>
      </c>
      <c r="P3719" s="39" t="str">
        <f t="shared" si="411"/>
        <v/>
      </c>
      <c r="R3719" s="39" t="str">
        <f t="shared" si="412"/>
        <v/>
      </c>
      <c r="S3719" s="29">
        <v>41760</v>
      </c>
      <c r="T3719" s="28"/>
      <c r="U3719" s="28"/>
    </row>
    <row r="3720" spans="1:21" s="5" customFormat="1">
      <c r="A3720" s="181"/>
      <c r="B3720" s="185" t="s">
        <v>8774</v>
      </c>
      <c r="C3720" s="35" t="str">
        <f t="shared" si="406"/>
        <v>SiyyidHusayniYazdi</v>
      </c>
      <c r="D3720" s="1"/>
      <c r="E3720" s="40"/>
      <c r="F3720" s="12"/>
      <c r="G3720" s="9"/>
      <c r="H3720" s="12" t="s">
        <v>8622</v>
      </c>
      <c r="I3720" s="4" t="str">
        <f t="shared" si="407"/>
        <v>|Siyyid Ḥusayn-i-Yazdí|</v>
      </c>
      <c r="J3720" s="3" t="str">
        <f t="shared" si="408"/>
        <v>|Siyyid Husayn-i-Yazdi|</v>
      </c>
      <c r="K3720" s="3" t="str">
        <f t="shared" si="409"/>
        <v>Siyyid Husayn-i-Yazdi</v>
      </c>
      <c r="N3720" s="39" t="str">
        <f t="shared" si="410"/>
        <v/>
      </c>
      <c r="P3720" s="39" t="str">
        <f t="shared" si="411"/>
        <v/>
      </c>
      <c r="R3720" s="39" t="str">
        <f t="shared" si="412"/>
        <v/>
      </c>
      <c r="S3720" s="29">
        <v>41760</v>
      </c>
      <c r="T3720" s="28"/>
      <c r="U3720" s="28"/>
    </row>
    <row r="3721" spans="1:21" s="5" customFormat="1">
      <c r="A3721" s="181"/>
      <c r="B3721" s="185" t="s">
        <v>8639</v>
      </c>
      <c r="C3721" s="35" t="str">
        <f t="shared" si="406"/>
        <v>SiyyidIsmailiZavarii</v>
      </c>
      <c r="D3721" s="1"/>
      <c r="E3721" s="40"/>
      <c r="F3721" s="12"/>
      <c r="G3721" s="9"/>
      <c r="H3721" s="12" t="s">
        <v>8622</v>
      </c>
      <c r="I3721" s="4" t="str">
        <f t="shared" si="407"/>
        <v>|Siyyid Ismáʿíl-i-Zavári’í|</v>
      </c>
      <c r="J3721" s="3" t="str">
        <f t="shared" si="408"/>
        <v>|Siyyid Isma'il-i-Zavari'i|</v>
      </c>
      <c r="K3721" s="3" t="str">
        <f t="shared" si="409"/>
        <v>Siyyid Ismail-i-Zavarii</v>
      </c>
      <c r="N3721" s="39" t="str">
        <f t="shared" si="410"/>
        <v/>
      </c>
      <c r="P3721" s="39" t="str">
        <f t="shared" si="411"/>
        <v/>
      </c>
      <c r="R3721" s="39" t="str">
        <f t="shared" si="412"/>
        <v/>
      </c>
      <c r="S3721" s="29">
        <v>41760</v>
      </c>
      <c r="T3721" s="28"/>
      <c r="U3721" s="28"/>
    </row>
    <row r="3722" spans="1:21" s="5" customFormat="1">
      <c r="A3722" s="181"/>
      <c r="B3722" s="185" t="s">
        <v>8775</v>
      </c>
      <c r="C3722" s="35" t="str">
        <f t="shared" si="406"/>
        <v>SiyyidKazim</v>
      </c>
      <c r="D3722" s="1"/>
      <c r="E3722" s="40"/>
      <c r="F3722" s="12"/>
      <c r="G3722" s="9"/>
      <c r="H3722" s="12" t="s">
        <v>8622</v>
      </c>
      <c r="I3722" s="4" t="str">
        <f t="shared" si="407"/>
        <v>|Siyyid Káẓim|</v>
      </c>
      <c r="J3722" s="3" t="str">
        <f t="shared" si="408"/>
        <v>|Siyyid Kazim|</v>
      </c>
      <c r="K3722" s="3" t="str">
        <f t="shared" si="409"/>
        <v>Siyyid Kazim</v>
      </c>
      <c r="N3722" s="39" t="str">
        <f t="shared" si="410"/>
        <v/>
      </c>
      <c r="P3722" s="39" t="str">
        <f t="shared" si="411"/>
        <v/>
      </c>
      <c r="R3722" s="39" t="str">
        <f t="shared" si="412"/>
        <v/>
      </c>
      <c r="S3722" s="29">
        <v>41760</v>
      </c>
      <c r="T3722" s="29">
        <v>41799</v>
      </c>
      <c r="U3722" s="28" t="s">
        <v>9405</v>
      </c>
    </row>
    <row r="3723" spans="1:21" s="5" customFormat="1">
      <c r="A3723" s="181"/>
      <c r="B3723" s="185" t="s">
        <v>8776</v>
      </c>
      <c r="C3723" s="35" t="str">
        <f t="shared" si="406"/>
        <v>SiyyidKazimiRashti</v>
      </c>
      <c r="D3723" s="1"/>
      <c r="E3723" s="40"/>
      <c r="F3723" s="12"/>
      <c r="G3723" s="9"/>
      <c r="H3723" s="12" t="s">
        <v>8622</v>
      </c>
      <c r="I3723" s="4" t="str">
        <f t="shared" si="407"/>
        <v>|Siyyid Káẓim-i-Ratí|</v>
      </c>
      <c r="J3723" s="3" t="str">
        <f t="shared" si="408"/>
        <v>|Siyyid Kazim-i-Rashti|</v>
      </c>
      <c r="K3723" s="3" t="str">
        <f t="shared" si="409"/>
        <v>Siyyid Kazim-i-Rashti</v>
      </c>
      <c r="N3723" s="39" t="str">
        <f t="shared" si="410"/>
        <v/>
      </c>
      <c r="P3723" s="39" t="str">
        <f t="shared" si="411"/>
        <v/>
      </c>
      <c r="R3723" s="39" t="str">
        <f t="shared" si="412"/>
        <v/>
      </c>
      <c r="S3723" s="29">
        <v>41760</v>
      </c>
      <c r="T3723" s="28"/>
      <c r="U3723" s="28"/>
    </row>
    <row r="3724" spans="1:21" s="5" customFormat="1">
      <c r="A3724" s="181"/>
      <c r="B3724" s="185" t="s">
        <v>8777</v>
      </c>
      <c r="C3724" s="35" t="str">
        <f t="shared" si="406"/>
        <v>SiyyidKazimiZanjani</v>
      </c>
      <c r="D3724" s="1"/>
      <c r="E3724" s="40"/>
      <c r="F3724" s="12"/>
      <c r="G3724" s="9"/>
      <c r="H3724" s="12" t="s">
        <v>8622</v>
      </c>
      <c r="I3724" s="4" t="str">
        <f t="shared" si="407"/>
        <v>|Siyyid Káẓim-i-Zanjání|</v>
      </c>
      <c r="J3724" s="3" t="str">
        <f t="shared" si="408"/>
        <v>|Siyyid Kazim-i-Zanjani|</v>
      </c>
      <c r="K3724" s="3" t="str">
        <f t="shared" si="409"/>
        <v>Siyyid Kazim-i-Zanjani</v>
      </c>
      <c r="N3724" s="39" t="str">
        <f t="shared" si="410"/>
        <v/>
      </c>
      <c r="P3724" s="39" t="str">
        <f t="shared" si="411"/>
        <v/>
      </c>
      <c r="R3724" s="39" t="str">
        <f t="shared" si="412"/>
        <v/>
      </c>
      <c r="S3724" s="29">
        <v>41760</v>
      </c>
      <c r="T3724" s="28"/>
      <c r="U3724" s="28"/>
    </row>
    <row r="3725" spans="1:21" s="5" customFormat="1">
      <c r="A3725" s="181"/>
      <c r="B3725" s="185" t="s">
        <v>138</v>
      </c>
      <c r="C3725" s="35" t="str">
        <f t="shared" si="406"/>
        <v>SiyyidManshadi</v>
      </c>
      <c r="D3725" s="1"/>
      <c r="E3725" s="40"/>
      <c r="F3725" s="12"/>
      <c r="G3725" s="9"/>
      <c r="H3725" s="12" t="s">
        <v>77</v>
      </c>
      <c r="I3725" s="4" t="str">
        <f t="shared" si="407"/>
        <v>|Siyyid Manádí|</v>
      </c>
      <c r="J3725" s="3" t="str">
        <f t="shared" si="408"/>
        <v>|Siyyid Manshadi|</v>
      </c>
      <c r="K3725" s="3" t="str">
        <f t="shared" si="409"/>
        <v>Siyyid Manshadi</v>
      </c>
      <c r="M3725" s="1"/>
      <c r="N3725" s="39" t="str">
        <f t="shared" si="410"/>
        <v/>
      </c>
      <c r="O3725" s="1"/>
      <c r="P3725" s="39" t="str">
        <f t="shared" si="411"/>
        <v/>
      </c>
      <c r="Q3725" s="1"/>
      <c r="R3725" s="39" t="str">
        <f t="shared" si="412"/>
        <v/>
      </c>
      <c r="S3725" s="28"/>
      <c r="T3725" s="28"/>
      <c r="U3725" s="28"/>
    </row>
    <row r="3726" spans="1:21" s="5" customFormat="1">
      <c r="A3726" s="181"/>
      <c r="B3726" s="185" t="s">
        <v>43</v>
      </c>
      <c r="C3726" s="35" t="str">
        <f t="shared" si="406"/>
        <v>SiyyidMirzaMuhammadRiza</v>
      </c>
      <c r="D3726" s="1"/>
      <c r="E3726" s="40"/>
      <c r="F3726" s="12"/>
      <c r="G3726" s="9"/>
      <c r="H3726" s="12" t="s">
        <v>77</v>
      </c>
      <c r="I3726" s="4" t="str">
        <f t="shared" si="407"/>
        <v>|Siyyid Mírzá Muḥammad Riza|</v>
      </c>
      <c r="J3726" s="3" t="str">
        <f t="shared" si="408"/>
        <v>|Siyyid Mirza Muhammad Riza|</v>
      </c>
      <c r="K3726" s="3" t="str">
        <f t="shared" si="409"/>
        <v>Siyyid Mirza Muhammad Riza</v>
      </c>
      <c r="M3726" s="1"/>
      <c r="N3726" s="39" t="str">
        <f t="shared" si="410"/>
        <v/>
      </c>
      <c r="O3726" s="1"/>
      <c r="P3726" s="39" t="str">
        <f t="shared" si="411"/>
        <v/>
      </c>
      <c r="Q3726" s="1"/>
      <c r="R3726" s="39" t="str">
        <f t="shared" si="412"/>
        <v/>
      </c>
      <c r="S3726" s="28"/>
      <c r="T3726" s="28"/>
      <c r="U3726" s="28"/>
    </row>
    <row r="3727" spans="1:21" s="5" customFormat="1">
      <c r="A3727" s="181"/>
      <c r="B3727" s="185" t="s">
        <v>8814</v>
      </c>
      <c r="C3727" s="35" t="str">
        <f t="shared" si="406"/>
        <v>SiyyidMuhammadRida</v>
      </c>
      <c r="D3727" s="1"/>
      <c r="E3727" s="40"/>
      <c r="F3727" s="12"/>
      <c r="G3727" s="9"/>
      <c r="H3727" s="12" t="s">
        <v>8622</v>
      </c>
      <c r="I3727" s="4" t="str">
        <f t="shared" si="407"/>
        <v>|Siyyid Muḥammad-Riḍá|</v>
      </c>
      <c r="J3727" s="3" t="str">
        <f t="shared" si="408"/>
        <v>|Siyyid Muhammad-Rida|</v>
      </c>
      <c r="K3727" s="3" t="str">
        <f t="shared" si="409"/>
        <v>Siyyid Muhammad-Rida</v>
      </c>
      <c r="N3727" s="39" t="str">
        <f t="shared" si="410"/>
        <v/>
      </c>
      <c r="P3727" s="39" t="str">
        <f t="shared" si="411"/>
        <v/>
      </c>
      <c r="R3727" s="39" t="str">
        <f t="shared" si="412"/>
        <v/>
      </c>
      <c r="S3727" s="29">
        <v>41760</v>
      </c>
      <c r="T3727" s="28"/>
      <c r="U3727" s="28"/>
    </row>
    <row r="3728" spans="1:21" s="5" customFormat="1">
      <c r="A3728" s="181"/>
      <c r="B3728" s="185" t="s">
        <v>8778</v>
      </c>
      <c r="C3728" s="35" t="str">
        <f t="shared" si="406"/>
        <v>SiyyidMurtada</v>
      </c>
      <c r="D3728" s="1"/>
      <c r="E3728" s="40"/>
      <c r="F3728" s="12"/>
      <c r="G3728" s="9"/>
      <c r="H3728" s="12" t="s">
        <v>8622</v>
      </c>
      <c r="I3728" s="4" t="str">
        <f t="shared" si="407"/>
        <v>|Siyyid Murtaḍá|</v>
      </c>
      <c r="J3728" s="3" t="str">
        <f t="shared" si="408"/>
        <v>|Siyyid Murtada|</v>
      </c>
      <c r="K3728" s="3" t="str">
        <f t="shared" si="409"/>
        <v>Siyyid Murtada</v>
      </c>
      <c r="N3728" s="39" t="str">
        <f t="shared" si="410"/>
        <v/>
      </c>
      <c r="P3728" s="39" t="str">
        <f t="shared" si="411"/>
        <v/>
      </c>
      <c r="R3728" s="39" t="str">
        <f t="shared" si="412"/>
        <v/>
      </c>
      <c r="S3728" s="29">
        <v>41760</v>
      </c>
      <c r="T3728" s="28"/>
      <c r="U3728" s="28"/>
    </row>
    <row r="3729" spans="1:21" s="5" customFormat="1">
      <c r="A3729" s="181"/>
      <c r="B3729" s="185" t="s">
        <v>8779</v>
      </c>
      <c r="C3729" s="35" t="str">
        <f t="shared" si="406"/>
        <v>SiyyidYahya</v>
      </c>
      <c r="D3729" s="1"/>
      <c r="E3729" s="40"/>
      <c r="F3729" s="12"/>
      <c r="G3729" s="9"/>
      <c r="H3729" s="12" t="s">
        <v>8622</v>
      </c>
      <c r="I3729" s="4" t="str">
        <f t="shared" si="407"/>
        <v>|Siyyid Yaḥyá|</v>
      </c>
      <c r="J3729" s="3" t="str">
        <f t="shared" si="408"/>
        <v>|Siyyid Yahya|</v>
      </c>
      <c r="K3729" s="3" t="str">
        <f t="shared" si="409"/>
        <v>Siyyid Yahya</v>
      </c>
      <c r="N3729" s="39" t="str">
        <f t="shared" si="410"/>
        <v/>
      </c>
      <c r="P3729" s="39" t="str">
        <f t="shared" si="411"/>
        <v/>
      </c>
      <c r="R3729" s="39" t="str">
        <f t="shared" si="412"/>
        <v/>
      </c>
      <c r="S3729" s="29">
        <v>41760</v>
      </c>
      <c r="T3729" s="28"/>
      <c r="U3729" s="28"/>
    </row>
    <row r="3730" spans="1:21" s="5" customFormat="1">
      <c r="A3730" s="179" t="s">
        <v>4304</v>
      </c>
      <c r="B3730" s="185" t="s">
        <v>8106</v>
      </c>
      <c r="C3730" s="35" t="str">
        <f t="shared" si="406"/>
        <v>SiyyidHusayn</v>
      </c>
      <c r="E3730" s="40" t="s">
        <v>9115</v>
      </c>
      <c r="F3730" s="14"/>
      <c r="G3730" s="17" t="s">
        <v>9088</v>
      </c>
      <c r="H3730" s="10" t="s">
        <v>8563</v>
      </c>
      <c r="I3730" s="4" t="str">
        <f t="shared" si="407"/>
        <v>|Siyyid-Ḥusayn|</v>
      </c>
      <c r="J3730" s="3" t="str">
        <f t="shared" si="408"/>
        <v>|Siyyid-Husayn|</v>
      </c>
      <c r="K3730" s="3" t="str">
        <f t="shared" si="409"/>
        <v>Siyyid-Husayn</v>
      </c>
      <c r="N3730" s="39" t="str">
        <f t="shared" si="410"/>
        <v/>
      </c>
      <c r="P3730" s="39" t="str">
        <f t="shared" si="411"/>
        <v/>
      </c>
      <c r="R3730" s="39" t="str">
        <f t="shared" si="412"/>
        <v/>
      </c>
      <c r="S3730" s="28"/>
      <c r="T3730" s="28"/>
      <c r="U3730" s="28"/>
    </row>
    <row r="3731" spans="1:21" s="5" customFormat="1">
      <c r="A3731" s="179" t="s">
        <v>4305</v>
      </c>
      <c r="B3731" s="185" t="s">
        <v>8107</v>
      </c>
      <c r="C3731" s="35" t="str">
        <f t="shared" si="406"/>
        <v>SiyyidiBab</v>
      </c>
      <c r="E3731" s="40"/>
      <c r="F3731" s="14"/>
      <c r="G3731" s="17"/>
      <c r="H3731" s="10" t="s">
        <v>8563</v>
      </c>
      <c r="I3731" s="4" t="str">
        <f t="shared" si="407"/>
        <v>|Siyyid-i-Báb|</v>
      </c>
      <c r="J3731" s="3" t="str">
        <f t="shared" si="408"/>
        <v>|Siyyid-i-Bab|</v>
      </c>
      <c r="K3731" s="3" t="str">
        <f t="shared" si="409"/>
        <v>Siyyid-i-Bab</v>
      </c>
      <c r="N3731" s="39" t="str">
        <f t="shared" si="410"/>
        <v/>
      </c>
      <c r="P3731" s="39" t="str">
        <f t="shared" si="411"/>
        <v/>
      </c>
      <c r="R3731" s="39" t="str">
        <f t="shared" si="412"/>
        <v/>
      </c>
      <c r="S3731" s="28"/>
      <c r="T3731" s="28"/>
      <c r="U3731" s="28"/>
    </row>
    <row r="3732" spans="1:21" s="5" customFormat="1">
      <c r="A3732" s="179" t="s">
        <v>4306</v>
      </c>
      <c r="B3732" s="185" t="s">
        <v>8108</v>
      </c>
      <c r="C3732" s="35" t="str">
        <f t="shared" si="406"/>
        <v>SiyyidiDhikr</v>
      </c>
      <c r="E3732" s="40"/>
      <c r="F3732" s="14"/>
      <c r="G3732" s="17"/>
      <c r="H3732" s="10" t="s">
        <v>8563</v>
      </c>
      <c r="I3732" s="4" t="str">
        <f t="shared" si="407"/>
        <v>|Siyyid-i-ikr|</v>
      </c>
      <c r="J3732" s="3" t="str">
        <f t="shared" si="408"/>
        <v>|Siyyid-i-Dhikr|</v>
      </c>
      <c r="K3732" s="3" t="str">
        <f t="shared" si="409"/>
        <v>Siyyid-i-Dhikr</v>
      </c>
      <c r="N3732" s="39" t="str">
        <f t="shared" si="410"/>
        <v/>
      </c>
      <c r="P3732" s="39" t="str">
        <f t="shared" si="411"/>
        <v/>
      </c>
      <c r="R3732" s="39" t="str">
        <f t="shared" si="412"/>
        <v/>
      </c>
      <c r="S3732" s="28"/>
      <c r="T3732" s="28"/>
      <c r="U3732" s="28"/>
    </row>
    <row r="3733" spans="1:21" s="5" customFormat="1">
      <c r="A3733" s="179" t="s">
        <v>4307</v>
      </c>
      <c r="B3733" s="185" t="s">
        <v>8109</v>
      </c>
      <c r="C3733" s="35" t="str">
        <f t="shared" si="406"/>
        <v>SiyyidiKhalDar</v>
      </c>
      <c r="E3733" s="40"/>
      <c r="F3733" s="15"/>
      <c r="G3733" s="17"/>
      <c r="H3733" s="10" t="s">
        <v>8563</v>
      </c>
      <c r="I3733" s="4" t="str">
        <f t="shared" si="407"/>
        <v>|Siyyid-i-ál-Dár|</v>
      </c>
      <c r="J3733" s="3" t="str">
        <f t="shared" si="408"/>
        <v>|Siyyid-i-Khal-Dar|</v>
      </c>
      <c r="K3733" s="3" t="str">
        <f t="shared" si="409"/>
        <v>Siyyid-i-Khal-Dar</v>
      </c>
      <c r="N3733" s="39" t="str">
        <f t="shared" si="410"/>
        <v/>
      </c>
      <c r="P3733" s="39" t="str">
        <f t="shared" si="411"/>
        <v/>
      </c>
      <c r="R3733" s="39" t="str">
        <f t="shared" si="412"/>
        <v/>
      </c>
      <c r="S3733" s="28"/>
      <c r="T3733" s="28"/>
      <c r="U3733" s="28"/>
    </row>
    <row r="3734" spans="1:21" s="5" customFormat="1">
      <c r="A3734" s="179" t="s">
        <v>4308</v>
      </c>
      <c r="B3734" s="185" t="s">
        <v>8110</v>
      </c>
      <c r="C3734" s="35" t="str">
        <f t="shared" si="406"/>
        <v>SiyyidiNahri</v>
      </c>
      <c r="E3734" s="40"/>
      <c r="F3734" s="14"/>
      <c r="G3734" s="17"/>
      <c r="H3734" s="10" t="s">
        <v>8563</v>
      </c>
      <c r="I3734" s="4" t="str">
        <f t="shared" si="407"/>
        <v>|Siyyid-i-Nahrí|</v>
      </c>
      <c r="J3734" s="3" t="str">
        <f t="shared" si="408"/>
        <v>|Siyyid-i-Nahri|</v>
      </c>
      <c r="K3734" s="3" t="str">
        <f t="shared" si="409"/>
        <v>Siyyid-i-Nahri</v>
      </c>
      <c r="N3734" s="39" t="str">
        <f t="shared" si="410"/>
        <v/>
      </c>
      <c r="P3734" s="39" t="str">
        <f t="shared" si="411"/>
        <v/>
      </c>
      <c r="R3734" s="39" t="str">
        <f t="shared" si="412"/>
        <v/>
      </c>
      <c r="S3734" s="28"/>
      <c r="T3734" s="28"/>
      <c r="U3734" s="28"/>
    </row>
    <row r="3735" spans="1:21" s="5" customFormat="1">
      <c r="A3735" s="179" t="s">
        <v>4309</v>
      </c>
      <c r="B3735" s="185" t="s">
        <v>8111</v>
      </c>
      <c r="C3735" s="35" t="str">
        <f t="shared" si="406"/>
        <v>SiyyidiNur</v>
      </c>
      <c r="E3735" s="40"/>
      <c r="F3735" s="14"/>
      <c r="G3735" s="17"/>
      <c r="H3735" s="10" t="s">
        <v>8563</v>
      </c>
      <c r="I3735" s="4" t="str">
        <f t="shared" si="407"/>
        <v>|Siyyid-i-Núr|</v>
      </c>
      <c r="J3735" s="3" t="str">
        <f t="shared" si="408"/>
        <v>|Siyyid-i-Nur|</v>
      </c>
      <c r="K3735" s="3" t="str">
        <f t="shared" si="409"/>
        <v>Siyyid-i-Nur</v>
      </c>
      <c r="N3735" s="39" t="str">
        <f t="shared" si="410"/>
        <v/>
      </c>
      <c r="P3735" s="39" t="str">
        <f t="shared" si="411"/>
        <v/>
      </c>
      <c r="R3735" s="39" t="str">
        <f t="shared" si="412"/>
        <v/>
      </c>
      <c r="S3735" s="28"/>
      <c r="T3735" s="28"/>
      <c r="U3735" s="28"/>
    </row>
    <row r="3736" spans="1:21" s="5" customFormat="1">
      <c r="A3736" s="179" t="s">
        <v>4310</v>
      </c>
      <c r="B3736" s="185" t="s">
        <v>8112</v>
      </c>
      <c r="C3736" s="35" t="str">
        <f t="shared" si="406"/>
        <v>SiyyidiQumi</v>
      </c>
      <c r="E3736" s="40"/>
      <c r="F3736" s="14"/>
      <c r="G3736" s="17"/>
      <c r="H3736" s="10" t="s">
        <v>8563</v>
      </c>
      <c r="I3736" s="4" t="str">
        <f t="shared" si="407"/>
        <v>|Siyyid-i-Qumí|</v>
      </c>
      <c r="J3736" s="3" t="str">
        <f t="shared" si="408"/>
        <v>|Siyyid-i-Qumi|</v>
      </c>
      <c r="K3736" s="3" t="str">
        <f t="shared" si="409"/>
        <v>Siyyid-i-Qumi</v>
      </c>
      <c r="N3736" s="39" t="str">
        <f t="shared" si="410"/>
        <v/>
      </c>
      <c r="P3736" s="39" t="str">
        <f t="shared" si="411"/>
        <v/>
      </c>
      <c r="R3736" s="39" t="str">
        <f t="shared" si="412"/>
        <v/>
      </c>
      <c r="S3736" s="28"/>
      <c r="T3736" s="28"/>
      <c r="U3736" s="28"/>
    </row>
    <row r="3737" spans="1:21" s="5" customFormat="1">
      <c r="A3737" s="179" t="s">
        <v>4311</v>
      </c>
      <c r="B3737" s="185" t="s">
        <v>8113</v>
      </c>
      <c r="C3737" s="35" t="str">
        <f t="shared" si="406"/>
        <v>SiyyidiShishPari</v>
      </c>
      <c r="E3737" s="40"/>
      <c r="F3737" s="15"/>
      <c r="G3737" s="17"/>
      <c r="H3737" s="10" t="s">
        <v>8563</v>
      </c>
      <c r="I3737" s="4" t="str">
        <f t="shared" si="407"/>
        <v>|Siyyid-i-i-Parí|</v>
      </c>
      <c r="J3737" s="3" t="str">
        <f t="shared" si="408"/>
        <v>|Siyyid-i-Shish-Pari|</v>
      </c>
      <c r="K3737" s="3" t="str">
        <f t="shared" si="409"/>
        <v>Siyyid-i-Shish-Pari</v>
      </c>
      <c r="N3737" s="39" t="str">
        <f t="shared" si="410"/>
        <v/>
      </c>
      <c r="P3737" s="39" t="str">
        <f t="shared" si="411"/>
        <v/>
      </c>
      <c r="R3737" s="39" t="str">
        <f t="shared" si="412"/>
        <v/>
      </c>
      <c r="S3737" s="28"/>
      <c r="T3737" s="28"/>
      <c r="U3737" s="28"/>
    </row>
    <row r="3738" spans="1:21" s="5" customFormat="1">
      <c r="A3738" s="179" t="s">
        <v>4312</v>
      </c>
      <c r="B3738" s="185" t="s">
        <v>8114</v>
      </c>
      <c r="C3738" s="35" t="str">
        <f t="shared" si="406"/>
        <v>SiyyidiUluvv</v>
      </c>
      <c r="E3738" s="40"/>
      <c r="F3738" s="15"/>
      <c r="G3738" s="17"/>
      <c r="H3738" s="10" t="s">
        <v>8563</v>
      </c>
      <c r="I3738" s="4" t="str">
        <f t="shared" si="407"/>
        <v>|Siyyid-i-ʿUluvv|</v>
      </c>
      <c r="J3738" s="3" t="str">
        <f t="shared" si="408"/>
        <v>|Siyyid-i-'Uluvv|</v>
      </c>
      <c r="K3738" s="3" t="str">
        <f t="shared" si="409"/>
        <v>Siyyid-i-Uluvv</v>
      </c>
      <c r="N3738" s="39" t="str">
        <f t="shared" si="410"/>
        <v/>
      </c>
      <c r="P3738" s="39" t="str">
        <f t="shared" si="411"/>
        <v/>
      </c>
      <c r="R3738" s="39" t="str">
        <f t="shared" si="412"/>
        <v/>
      </c>
      <c r="S3738" s="28"/>
      <c r="T3738" s="28"/>
      <c r="U3738" s="28"/>
    </row>
    <row r="3739" spans="1:21" s="5" customFormat="1">
      <c r="A3739" s="179" t="s">
        <v>4313</v>
      </c>
      <c r="B3739" s="185" t="s">
        <v>8115</v>
      </c>
      <c r="C3739" s="35" t="str">
        <f t="shared" si="406"/>
        <v>Siyyidiyyih</v>
      </c>
      <c r="E3739" s="40"/>
      <c r="F3739" s="14"/>
      <c r="G3739" s="17"/>
      <c r="H3739" s="10" t="s">
        <v>8563</v>
      </c>
      <c r="I3739" s="4" t="str">
        <f t="shared" si="407"/>
        <v>|Siyyidíyyih|</v>
      </c>
      <c r="J3739" s="3" t="str">
        <f t="shared" si="408"/>
        <v>|Siyyidiyyih|</v>
      </c>
      <c r="K3739" s="3" t="str">
        <f t="shared" si="409"/>
        <v>Siyyidiyyih</v>
      </c>
      <c r="N3739" s="39" t="str">
        <f t="shared" si="410"/>
        <v/>
      </c>
      <c r="P3739" s="39" t="str">
        <f t="shared" si="411"/>
        <v/>
      </c>
      <c r="R3739" s="39" t="str">
        <f t="shared" si="412"/>
        <v/>
      </c>
      <c r="S3739" s="28"/>
      <c r="T3739" s="28"/>
      <c r="U3739" s="28"/>
    </row>
    <row r="3740" spans="1:21" s="5" customFormat="1">
      <c r="A3740" s="179" t="s">
        <v>4314</v>
      </c>
      <c r="B3740" s="185" t="s">
        <v>8116</v>
      </c>
      <c r="C3740" s="35" t="str">
        <f t="shared" si="406"/>
        <v>SiyyidushShuhada</v>
      </c>
      <c r="E3740" s="40"/>
      <c r="F3740" s="15"/>
      <c r="G3740" s="17"/>
      <c r="H3740" s="10" t="s">
        <v>8563</v>
      </c>
      <c r="I3740" s="4" t="str">
        <f t="shared" si="407"/>
        <v>|Siyyidu’-uhadá|</v>
      </c>
      <c r="J3740" s="3" t="str">
        <f t="shared" si="408"/>
        <v>|Siyyidu'sh-Shuhada|</v>
      </c>
      <c r="K3740" s="3" t="str">
        <f t="shared" si="409"/>
        <v>Siyyidush-Shuhada</v>
      </c>
      <c r="N3740" s="39" t="str">
        <f t="shared" si="410"/>
        <v/>
      </c>
      <c r="P3740" s="39" t="str">
        <f t="shared" si="411"/>
        <v/>
      </c>
      <c r="R3740" s="39" t="str">
        <f t="shared" si="412"/>
        <v/>
      </c>
      <c r="S3740" s="28"/>
      <c r="T3740" s="28"/>
      <c r="U3740" s="28"/>
    </row>
    <row r="3741" spans="1:21" s="5" customFormat="1">
      <c r="A3741" s="179" t="s">
        <v>4316</v>
      </c>
      <c r="B3741" s="185" t="s">
        <v>8118</v>
      </c>
      <c r="C3741" s="35" t="str">
        <f t="shared" si="406"/>
        <v>Sual</v>
      </c>
      <c r="E3741" s="40"/>
      <c r="F3741" s="15"/>
      <c r="G3741" s="17"/>
      <c r="H3741" s="10" t="s">
        <v>8563</v>
      </c>
      <c r="I3741" s="4" t="str">
        <f t="shared" si="407"/>
        <v>|Su’ál|</v>
      </c>
      <c r="J3741" s="3" t="str">
        <f t="shared" si="408"/>
        <v>|Su'al|</v>
      </c>
      <c r="K3741" s="3" t="str">
        <f t="shared" si="409"/>
        <v>Sual</v>
      </c>
      <c r="N3741" s="39" t="str">
        <f t="shared" si="410"/>
        <v/>
      </c>
      <c r="P3741" s="39" t="str">
        <f t="shared" si="411"/>
        <v/>
      </c>
      <c r="R3741" s="39" t="str">
        <f t="shared" si="412"/>
        <v/>
      </c>
      <c r="S3741" s="28"/>
      <c r="T3741" s="28"/>
      <c r="U3741" s="28"/>
    </row>
    <row r="3742" spans="1:21" s="5" customFormat="1">
      <c r="A3742" s="179" t="s">
        <v>4317</v>
      </c>
      <c r="B3742" s="185" t="s">
        <v>8119</v>
      </c>
      <c r="C3742" s="35" t="str">
        <f t="shared" si="406"/>
        <v>Subhan</v>
      </c>
      <c r="E3742" s="40"/>
      <c r="F3742" s="15"/>
      <c r="G3742" s="17"/>
      <c r="H3742" s="10" t="s">
        <v>8563</v>
      </c>
      <c r="I3742" s="4" t="str">
        <f t="shared" si="407"/>
        <v>|Subḥán|</v>
      </c>
      <c r="J3742" s="3" t="str">
        <f t="shared" si="408"/>
        <v>|Subhan|</v>
      </c>
      <c r="K3742" s="3" t="str">
        <f t="shared" si="409"/>
        <v>Subhan</v>
      </c>
      <c r="N3742" s="39" t="str">
        <f t="shared" si="410"/>
        <v/>
      </c>
      <c r="P3742" s="39" t="str">
        <f t="shared" si="411"/>
        <v/>
      </c>
      <c r="R3742" s="39" t="str">
        <f t="shared" si="412"/>
        <v/>
      </c>
      <c r="S3742" s="28"/>
      <c r="T3742" s="28"/>
      <c r="U3742" s="28"/>
    </row>
    <row r="3743" spans="1:21" s="5" customFormat="1">
      <c r="A3743" s="179" t="s">
        <v>4318</v>
      </c>
      <c r="B3743" s="185" t="s">
        <v>8120</v>
      </c>
      <c r="C3743" s="35" t="str">
        <f t="shared" si="406"/>
        <v>SubhanakaYaHu</v>
      </c>
      <c r="E3743" s="40"/>
      <c r="F3743" s="15" t="s">
        <v>775</v>
      </c>
      <c r="G3743" s="17"/>
      <c r="H3743" s="10" t="s">
        <v>8563</v>
      </c>
      <c r="I3743" s="4" t="str">
        <f t="shared" si="407"/>
        <v>|Subḥánaka-Yá-Hú|</v>
      </c>
      <c r="J3743" s="3" t="str">
        <f t="shared" si="408"/>
        <v>|Subhanaka-Ya-Hu|</v>
      </c>
      <c r="K3743" s="3" t="str">
        <f t="shared" si="409"/>
        <v>Subhanaka-Ya-Hu</v>
      </c>
      <c r="N3743" s="39" t="str">
        <f t="shared" si="410"/>
        <v/>
      </c>
      <c r="P3743" s="39" t="str">
        <f t="shared" si="411"/>
        <v/>
      </c>
      <c r="R3743" s="39" t="str">
        <f t="shared" si="412"/>
        <v/>
      </c>
      <c r="S3743" s="28"/>
      <c r="T3743" s="28"/>
      <c r="U3743" s="28"/>
    </row>
    <row r="3744" spans="1:21" s="5" customFormat="1">
      <c r="A3744" s="179" t="s">
        <v>4319</v>
      </c>
      <c r="B3744" s="185" t="s">
        <v>8121</v>
      </c>
      <c r="C3744" s="35" t="str">
        <f t="shared" si="406"/>
        <v>SubhanaRabbiyalAla</v>
      </c>
      <c r="E3744" s="40"/>
      <c r="F3744" s="15" t="s">
        <v>775</v>
      </c>
      <c r="G3744" s="17"/>
      <c r="H3744" s="10" t="s">
        <v>8563</v>
      </c>
      <c r="I3744" s="4" t="str">
        <f t="shared" si="407"/>
        <v>|Subḥána-Rabbíya’l-Aʿlá|</v>
      </c>
      <c r="J3744" s="3" t="str">
        <f t="shared" si="408"/>
        <v>|Subhana-Rabbiya'l-A'la|</v>
      </c>
      <c r="K3744" s="3" t="str">
        <f t="shared" si="409"/>
        <v>Subhana-Rabbiyal-Ala</v>
      </c>
      <c r="N3744" s="39" t="str">
        <f t="shared" si="410"/>
        <v/>
      </c>
      <c r="P3744" s="39" t="str">
        <f t="shared" si="411"/>
        <v/>
      </c>
      <c r="R3744" s="39" t="str">
        <f t="shared" si="412"/>
        <v/>
      </c>
      <c r="S3744" s="28"/>
      <c r="T3744" s="28"/>
      <c r="U3744" s="28"/>
    </row>
    <row r="3745" spans="1:21" s="5" customFormat="1">
      <c r="A3745" s="179" t="s">
        <v>4320</v>
      </c>
      <c r="B3745" s="185" t="s">
        <v>8122</v>
      </c>
      <c r="C3745" s="35" t="str">
        <f t="shared" si="406"/>
        <v>Subhani</v>
      </c>
      <c r="E3745" s="40"/>
      <c r="F3745" s="15"/>
      <c r="G3745" s="17"/>
      <c r="H3745" s="10" t="s">
        <v>8563</v>
      </c>
      <c r="I3745" s="4" t="str">
        <f t="shared" si="407"/>
        <v>|Subḥání|</v>
      </c>
      <c r="J3745" s="3" t="str">
        <f t="shared" si="408"/>
        <v>|Subhani|</v>
      </c>
      <c r="K3745" s="3" t="str">
        <f t="shared" si="409"/>
        <v>Subhani</v>
      </c>
      <c r="N3745" s="39" t="str">
        <f t="shared" si="410"/>
        <v/>
      </c>
      <c r="P3745" s="39" t="str">
        <f t="shared" si="411"/>
        <v/>
      </c>
      <c r="R3745" s="39" t="str">
        <f t="shared" si="412"/>
        <v/>
      </c>
      <c r="S3745" s="28"/>
      <c r="T3745" s="28"/>
      <c r="U3745" s="28"/>
    </row>
    <row r="3746" spans="1:21" s="5" customFormat="1">
      <c r="A3746" s="179" t="s">
        <v>4321</v>
      </c>
      <c r="B3746" s="185" t="s">
        <v>8123</v>
      </c>
      <c r="C3746" s="35" t="str">
        <f t="shared" si="406"/>
        <v>Subhi</v>
      </c>
      <c r="E3746" s="40"/>
      <c r="F3746" s="15"/>
      <c r="G3746" s="17"/>
      <c r="H3746" s="10" t="s">
        <v>8563</v>
      </c>
      <c r="I3746" s="4" t="str">
        <f t="shared" si="407"/>
        <v>|Ṣubḥí|</v>
      </c>
      <c r="J3746" s="3" t="str">
        <f t="shared" si="408"/>
        <v>|Subhi|</v>
      </c>
      <c r="K3746" s="3" t="str">
        <f t="shared" si="409"/>
        <v>Subhi</v>
      </c>
      <c r="N3746" s="39" t="str">
        <f t="shared" si="410"/>
        <v/>
      </c>
      <c r="P3746" s="39" t="str">
        <f t="shared" si="411"/>
        <v/>
      </c>
      <c r="R3746" s="39" t="str">
        <f t="shared" si="412"/>
        <v/>
      </c>
      <c r="S3746" s="28"/>
      <c r="T3746" s="28"/>
      <c r="U3746" s="28"/>
    </row>
    <row r="3747" spans="1:21" s="5" customFormat="1">
      <c r="A3747" s="179" t="s">
        <v>4322</v>
      </c>
      <c r="B3747" s="185" t="s">
        <v>139</v>
      </c>
      <c r="C3747" s="35" t="str">
        <f t="shared" si="406"/>
        <v>SubhiAzal</v>
      </c>
      <c r="E3747" s="40"/>
      <c r="F3747" s="15" t="s">
        <v>4323</v>
      </c>
      <c r="G3747" s="17"/>
      <c r="H3747" s="10" t="s">
        <v>8563</v>
      </c>
      <c r="I3747" s="4" t="str">
        <f t="shared" si="407"/>
        <v>|Ṣubḥ-i-Azal|</v>
      </c>
      <c r="J3747" s="3" t="str">
        <f t="shared" si="408"/>
        <v>|Subh-i-Azal|</v>
      </c>
      <c r="K3747" s="3" t="str">
        <f t="shared" si="409"/>
        <v>Subh-i-Azal</v>
      </c>
      <c r="N3747" s="39" t="str">
        <f t="shared" si="410"/>
        <v/>
      </c>
      <c r="P3747" s="39" t="str">
        <f t="shared" si="411"/>
        <v/>
      </c>
      <c r="R3747" s="39" t="str">
        <f t="shared" si="412"/>
        <v/>
      </c>
      <c r="S3747" s="28"/>
      <c r="T3747" s="28"/>
      <c r="U3747" s="28"/>
    </row>
    <row r="3748" spans="1:21" s="5" customFormat="1">
      <c r="A3748" s="179" t="s">
        <v>4324</v>
      </c>
      <c r="B3748" s="185" t="s">
        <v>8124</v>
      </c>
      <c r="C3748" s="35" t="str">
        <f t="shared" si="406"/>
        <v>Sudan</v>
      </c>
      <c r="E3748" s="40"/>
      <c r="F3748" s="14"/>
      <c r="G3748" s="17"/>
      <c r="H3748" s="10" t="s">
        <v>8563</v>
      </c>
      <c r="I3748" s="4" t="str">
        <f t="shared" si="407"/>
        <v>|Súdán|</v>
      </c>
      <c r="J3748" s="3" t="str">
        <f t="shared" si="408"/>
        <v>|Sudan|</v>
      </c>
      <c r="K3748" s="3" t="str">
        <f t="shared" si="409"/>
        <v>Sudan</v>
      </c>
      <c r="N3748" s="39" t="str">
        <f t="shared" si="410"/>
        <v/>
      </c>
      <c r="P3748" s="39" t="str">
        <f t="shared" si="411"/>
        <v/>
      </c>
      <c r="R3748" s="39" t="str">
        <f t="shared" si="412"/>
        <v/>
      </c>
      <c r="S3748" s="28"/>
      <c r="T3748" s="28"/>
      <c r="U3748" s="28"/>
    </row>
    <row r="3749" spans="1:21" s="5" customFormat="1">
      <c r="A3749" s="179" t="s">
        <v>4325</v>
      </c>
      <c r="B3749" s="185" t="s">
        <v>8125</v>
      </c>
      <c r="C3749" s="35" t="str">
        <f t="shared" si="406"/>
        <v>Sudur</v>
      </c>
      <c r="E3749" s="40"/>
      <c r="F3749" s="15"/>
      <c r="G3749" s="17"/>
      <c r="H3749" s="10" t="s">
        <v>8563</v>
      </c>
      <c r="I3749" s="4" t="str">
        <f t="shared" si="407"/>
        <v>|Ṣudúr|</v>
      </c>
      <c r="J3749" s="3" t="str">
        <f t="shared" si="408"/>
        <v>|Sudur|</v>
      </c>
      <c r="K3749" s="3" t="str">
        <f t="shared" si="409"/>
        <v>Sudur</v>
      </c>
      <c r="N3749" s="39" t="str">
        <f t="shared" si="410"/>
        <v/>
      </c>
      <c r="P3749" s="39" t="str">
        <f t="shared" si="411"/>
        <v/>
      </c>
      <c r="R3749" s="39" t="str">
        <f t="shared" si="412"/>
        <v/>
      </c>
      <c r="S3749" s="28"/>
      <c r="T3749" s="28"/>
      <c r="U3749" s="28"/>
    </row>
    <row r="3750" spans="1:21" s="5" customFormat="1">
      <c r="A3750" s="179" t="s">
        <v>4326</v>
      </c>
      <c r="B3750" s="185" t="s">
        <v>8126</v>
      </c>
      <c r="C3750" s="35" t="str">
        <f t="shared" si="406"/>
        <v>Sufara</v>
      </c>
      <c r="E3750" s="40"/>
      <c r="F3750" s="15" t="s">
        <v>4327</v>
      </c>
      <c r="G3750" s="17"/>
      <c r="H3750" s="10" t="s">
        <v>8563</v>
      </c>
      <c r="I3750" s="4" t="str">
        <f t="shared" si="407"/>
        <v>|Sufará|</v>
      </c>
      <c r="J3750" s="3" t="str">
        <f t="shared" si="408"/>
        <v>|Sufara|</v>
      </c>
      <c r="K3750" s="3" t="str">
        <f t="shared" si="409"/>
        <v>Sufara</v>
      </c>
      <c r="N3750" s="39" t="str">
        <f t="shared" si="410"/>
        <v/>
      </c>
      <c r="P3750" s="39" t="str">
        <f t="shared" si="411"/>
        <v/>
      </c>
      <c r="R3750" s="39" t="str">
        <f t="shared" si="412"/>
        <v/>
      </c>
      <c r="S3750" s="28"/>
      <c r="T3750" s="28"/>
      <c r="U3750" s="28"/>
    </row>
    <row r="3751" spans="1:21" s="5" customFormat="1">
      <c r="A3751" s="179" t="s">
        <v>4328</v>
      </c>
      <c r="B3751" s="185" t="s">
        <v>112</v>
      </c>
      <c r="C3751" s="35" t="str">
        <f t="shared" si="406"/>
        <v>Sufi</v>
      </c>
      <c r="E3751" s="40"/>
      <c r="F3751" s="14" t="s">
        <v>4329</v>
      </c>
      <c r="G3751" s="17"/>
      <c r="H3751" s="10" t="s">
        <v>8563</v>
      </c>
      <c r="I3751" s="4" t="str">
        <f t="shared" si="407"/>
        <v>|Ṣúfí|</v>
      </c>
      <c r="J3751" s="3" t="str">
        <f t="shared" si="408"/>
        <v>|Sufi|</v>
      </c>
      <c r="K3751" s="3" t="str">
        <f t="shared" si="409"/>
        <v>Sufi</v>
      </c>
      <c r="N3751" s="39" t="str">
        <f t="shared" si="410"/>
        <v/>
      </c>
      <c r="P3751" s="39" t="str">
        <f t="shared" si="411"/>
        <v/>
      </c>
      <c r="R3751" s="39" t="str">
        <f t="shared" si="412"/>
        <v/>
      </c>
      <c r="S3751" s="28"/>
      <c r="T3751" s="28"/>
      <c r="U3751" s="28"/>
    </row>
    <row r="3752" spans="1:21" s="5" customFormat="1">
      <c r="A3752" s="179" t="s">
        <v>4330</v>
      </c>
      <c r="B3752" s="185" t="s">
        <v>8127</v>
      </c>
      <c r="C3752" s="35" t="str">
        <f t="shared" si="406"/>
        <v>Sufyan</v>
      </c>
      <c r="E3752" s="40"/>
      <c r="F3752" s="14"/>
      <c r="G3752" s="17"/>
      <c r="H3752" s="10" t="s">
        <v>8563</v>
      </c>
      <c r="I3752" s="4" t="str">
        <f t="shared" si="407"/>
        <v>|Sufyán|</v>
      </c>
      <c r="J3752" s="3" t="str">
        <f t="shared" si="408"/>
        <v>|Sufyan|</v>
      </c>
      <c r="K3752" s="3" t="str">
        <f t="shared" si="409"/>
        <v>Sufyan</v>
      </c>
      <c r="N3752" s="39" t="str">
        <f t="shared" si="410"/>
        <v/>
      </c>
      <c r="P3752" s="39" t="str">
        <f t="shared" si="411"/>
        <v/>
      </c>
      <c r="R3752" s="39" t="str">
        <f t="shared" si="412"/>
        <v/>
      </c>
      <c r="S3752" s="28"/>
      <c r="T3752" s="28"/>
      <c r="U3752" s="28"/>
    </row>
    <row r="3753" spans="1:21" s="5" customFormat="1">
      <c r="A3753" s="179" t="s">
        <v>4331</v>
      </c>
      <c r="B3753" s="185" t="s">
        <v>8128</v>
      </c>
      <c r="C3753" s="35" t="str">
        <f t="shared" si="406"/>
        <v>Sufyani</v>
      </c>
      <c r="E3753" s="40"/>
      <c r="F3753" s="15"/>
      <c r="G3753" s="17"/>
      <c r="H3753" s="10" t="s">
        <v>8563</v>
      </c>
      <c r="I3753" s="4" t="str">
        <f t="shared" si="407"/>
        <v>|Sufyání|</v>
      </c>
      <c r="J3753" s="3" t="str">
        <f t="shared" si="408"/>
        <v>|Sufyani|</v>
      </c>
      <c r="K3753" s="3" t="str">
        <f t="shared" si="409"/>
        <v>Sufyani</v>
      </c>
      <c r="N3753" s="39" t="str">
        <f t="shared" si="410"/>
        <v/>
      </c>
      <c r="P3753" s="39" t="str">
        <f t="shared" si="411"/>
        <v/>
      </c>
      <c r="R3753" s="39" t="str">
        <f t="shared" si="412"/>
        <v/>
      </c>
      <c r="S3753" s="28"/>
      <c r="T3753" s="29">
        <v>41801</v>
      </c>
      <c r="U3753" s="28" t="s">
        <v>9371</v>
      </c>
    </row>
    <row r="3754" spans="1:21" s="5" customFormat="1">
      <c r="A3754" s="179" t="s">
        <v>4332</v>
      </c>
      <c r="B3754" s="185" t="s">
        <v>8129</v>
      </c>
      <c r="C3754" s="35" t="str">
        <f t="shared" si="406"/>
        <v>Sughra</v>
      </c>
      <c r="E3754" s="40"/>
      <c r="F3754" s="15" t="s">
        <v>4333</v>
      </c>
      <c r="G3754" s="17"/>
      <c r="H3754" s="10" t="s">
        <v>8563</v>
      </c>
      <c r="I3754" s="4" t="str">
        <f t="shared" si="407"/>
        <v>|Ṣurá|</v>
      </c>
      <c r="J3754" s="3" t="str">
        <f t="shared" si="408"/>
        <v>|Sughra|</v>
      </c>
      <c r="K3754" s="3" t="str">
        <f t="shared" si="409"/>
        <v>Sughra</v>
      </c>
      <c r="N3754" s="39" t="str">
        <f t="shared" si="410"/>
        <v/>
      </c>
      <c r="P3754" s="39" t="str">
        <f t="shared" si="411"/>
        <v/>
      </c>
      <c r="R3754" s="39" t="str">
        <f t="shared" si="412"/>
        <v/>
      </c>
      <c r="S3754" s="28"/>
      <c r="T3754" s="28"/>
      <c r="U3754" s="28"/>
    </row>
    <row r="3755" spans="1:21" s="5" customFormat="1">
      <c r="A3755" s="179" t="s">
        <v>4334</v>
      </c>
      <c r="B3755" s="185" t="s">
        <v>8130</v>
      </c>
      <c r="C3755" s="35" t="str">
        <f t="shared" si="406"/>
        <v>SuhbatiLari</v>
      </c>
      <c r="E3755" s="40"/>
      <c r="F3755" s="15" t="s">
        <v>4335</v>
      </c>
      <c r="G3755" s="17"/>
      <c r="H3755" s="10" t="s">
        <v>8563</v>
      </c>
      <c r="I3755" s="4" t="str">
        <f t="shared" si="407"/>
        <v>|Ṣuḥbat-i-Lárí|</v>
      </c>
      <c r="J3755" s="3" t="str">
        <f t="shared" si="408"/>
        <v>|Suhbat-i-Lari|</v>
      </c>
      <c r="K3755" s="3" t="str">
        <f t="shared" si="409"/>
        <v>Suhbat-i-Lari</v>
      </c>
      <c r="N3755" s="39" t="str">
        <f t="shared" si="410"/>
        <v/>
      </c>
      <c r="P3755" s="39" t="str">
        <f t="shared" si="411"/>
        <v/>
      </c>
      <c r="R3755" s="39" t="str">
        <f t="shared" si="412"/>
        <v/>
      </c>
      <c r="S3755" s="28"/>
      <c r="T3755" s="28"/>
      <c r="U3755" s="28"/>
    </row>
    <row r="3756" spans="1:21" s="5" customFormat="1">
      <c r="A3756" s="179" t="s">
        <v>4315</v>
      </c>
      <c r="B3756" s="185" t="s">
        <v>8117</v>
      </c>
      <c r="C3756" s="35" t="str">
        <f t="shared" si="406"/>
        <v>Suhrab</v>
      </c>
      <c r="E3756" s="40"/>
      <c r="F3756" s="15"/>
      <c r="G3756" s="17"/>
      <c r="H3756" s="10" t="s">
        <v>8563</v>
      </c>
      <c r="I3756" s="4" t="str">
        <f t="shared" si="407"/>
        <v>|Suhráb|</v>
      </c>
      <c r="J3756" s="3" t="str">
        <f t="shared" si="408"/>
        <v>|Suhrab|</v>
      </c>
      <c r="K3756" s="3" t="str">
        <f t="shared" si="409"/>
        <v>Suhrab</v>
      </c>
      <c r="N3756" s="39" t="str">
        <f t="shared" si="410"/>
        <v/>
      </c>
      <c r="P3756" s="39" t="str">
        <f t="shared" si="411"/>
        <v/>
      </c>
      <c r="R3756" s="39" t="str">
        <f t="shared" si="412"/>
        <v/>
      </c>
      <c r="S3756" s="28"/>
      <c r="T3756" s="28"/>
      <c r="U3756" s="28"/>
    </row>
    <row r="3757" spans="1:21" s="5" customFormat="1">
      <c r="A3757" s="179" t="s">
        <v>4336</v>
      </c>
      <c r="B3757" s="185" t="s">
        <v>8131</v>
      </c>
      <c r="C3757" s="35" t="str">
        <f t="shared" si="406"/>
        <v>Sukutiyyun</v>
      </c>
      <c r="E3757" s="40"/>
      <c r="F3757" s="15" t="s">
        <v>4337</v>
      </c>
      <c r="G3757" s="17"/>
      <c r="H3757" s="10" t="s">
        <v>8563</v>
      </c>
      <c r="I3757" s="4" t="str">
        <f t="shared" si="407"/>
        <v>|Sukútíyyun|</v>
      </c>
      <c r="J3757" s="3" t="str">
        <f t="shared" si="408"/>
        <v>|Sukutiyyun|</v>
      </c>
      <c r="K3757" s="3" t="str">
        <f t="shared" si="409"/>
        <v>Sukutiyyun</v>
      </c>
      <c r="N3757" s="39" t="str">
        <f t="shared" si="410"/>
        <v/>
      </c>
      <c r="P3757" s="39" t="str">
        <f t="shared" si="411"/>
        <v/>
      </c>
      <c r="R3757" s="39" t="str">
        <f t="shared" si="412"/>
        <v/>
      </c>
      <c r="S3757" s="28"/>
      <c r="T3757" s="28"/>
      <c r="U3757" s="28"/>
    </row>
    <row r="3758" spans="1:21" s="5" customFormat="1">
      <c r="A3758" s="179" t="s">
        <v>4338</v>
      </c>
      <c r="B3758" s="185" t="s">
        <v>8132</v>
      </c>
      <c r="C3758" s="35" t="str">
        <f t="shared" si="406"/>
        <v>Sulayman</v>
      </c>
      <c r="E3758" s="40"/>
      <c r="F3758" s="14"/>
      <c r="G3758" s="17"/>
      <c r="H3758" s="10" t="s">
        <v>8563</v>
      </c>
      <c r="I3758" s="4" t="str">
        <f t="shared" si="407"/>
        <v>|Sulaymán|</v>
      </c>
      <c r="J3758" s="3" t="str">
        <f t="shared" si="408"/>
        <v>|Sulayman|</v>
      </c>
      <c r="K3758" s="3" t="str">
        <f t="shared" si="409"/>
        <v>Sulayman</v>
      </c>
      <c r="N3758" s="39" t="str">
        <f t="shared" si="410"/>
        <v/>
      </c>
      <c r="P3758" s="39" t="str">
        <f t="shared" si="411"/>
        <v/>
      </c>
      <c r="R3758" s="39" t="str">
        <f t="shared" si="412"/>
        <v/>
      </c>
      <c r="S3758" s="28"/>
      <c r="T3758" s="28"/>
      <c r="U3758" s="28"/>
    </row>
    <row r="3759" spans="1:21" s="5" customFormat="1">
      <c r="A3759" s="179" t="s">
        <v>4339</v>
      </c>
      <c r="B3759" s="185" t="s">
        <v>8133</v>
      </c>
      <c r="C3759" s="35" t="str">
        <f t="shared" si="406"/>
        <v>Sulaymani</v>
      </c>
      <c r="E3759" s="40"/>
      <c r="F3759" s="15"/>
      <c r="G3759" s="17"/>
      <c r="H3759" s="10" t="s">
        <v>8563</v>
      </c>
      <c r="I3759" s="4" t="str">
        <f t="shared" si="407"/>
        <v>|Sulaymání|</v>
      </c>
      <c r="J3759" s="3" t="str">
        <f t="shared" si="408"/>
        <v>|Sulaymani|</v>
      </c>
      <c r="K3759" s="3" t="str">
        <f t="shared" si="409"/>
        <v>Sulaymani</v>
      </c>
      <c r="N3759" s="39" t="str">
        <f t="shared" si="410"/>
        <v/>
      </c>
      <c r="P3759" s="39" t="str">
        <f t="shared" si="411"/>
        <v/>
      </c>
      <c r="R3759" s="39" t="str">
        <f t="shared" si="412"/>
        <v/>
      </c>
      <c r="S3759" s="28"/>
      <c r="T3759" s="28"/>
      <c r="U3759" s="28"/>
    </row>
    <row r="3760" spans="1:21" s="5" customFormat="1">
      <c r="A3760" s="179" t="s">
        <v>4340</v>
      </c>
      <c r="B3760" s="185" t="s">
        <v>8134</v>
      </c>
      <c r="C3760" s="35" t="str">
        <f t="shared" si="406"/>
        <v>SulaymaniGhannam</v>
      </c>
      <c r="E3760" s="40"/>
      <c r="F3760" s="15"/>
      <c r="G3760" s="17"/>
      <c r="H3760" s="10" t="s">
        <v>8563</v>
      </c>
      <c r="I3760" s="4" t="str">
        <f t="shared" si="407"/>
        <v>|Sulaymán-i-annám|</v>
      </c>
      <c r="J3760" s="3" t="str">
        <f t="shared" si="408"/>
        <v>|Sulayman-i-Ghannam|</v>
      </c>
      <c r="K3760" s="3" t="str">
        <f t="shared" si="409"/>
        <v>Sulayman-i-Ghannam</v>
      </c>
      <c r="N3760" s="39" t="str">
        <f t="shared" si="410"/>
        <v/>
      </c>
      <c r="P3760" s="39" t="str">
        <f t="shared" si="411"/>
        <v/>
      </c>
      <c r="R3760" s="39" t="str">
        <f t="shared" si="412"/>
        <v/>
      </c>
      <c r="S3760" s="28"/>
      <c r="T3760" s="28"/>
      <c r="U3760" s="28"/>
    </row>
    <row r="3761" spans="1:21" s="5" customFormat="1">
      <c r="A3761" s="179" t="s">
        <v>4341</v>
      </c>
      <c r="B3761" s="185" t="s">
        <v>8135</v>
      </c>
      <c r="C3761" s="35" t="str">
        <f t="shared" si="406"/>
        <v>SulaymaniKhatib</v>
      </c>
      <c r="E3761" s="40"/>
      <c r="F3761" s="15"/>
      <c r="G3761" s="17"/>
      <c r="H3761" s="10" t="s">
        <v>8563</v>
      </c>
      <c r="I3761" s="4" t="str">
        <f t="shared" si="407"/>
        <v>|Sulaymán-i-áṭib|</v>
      </c>
      <c r="J3761" s="3" t="str">
        <f t="shared" si="408"/>
        <v>|Sulayman-i-Khatib|</v>
      </c>
      <c r="K3761" s="3" t="str">
        <f t="shared" si="409"/>
        <v>Sulayman-i-Khatib</v>
      </c>
      <c r="N3761" s="39" t="str">
        <f t="shared" si="410"/>
        <v/>
      </c>
      <c r="P3761" s="39" t="str">
        <f t="shared" si="411"/>
        <v/>
      </c>
      <c r="R3761" s="39" t="str">
        <f t="shared" si="412"/>
        <v/>
      </c>
      <c r="S3761" s="28"/>
      <c r="T3761" s="28"/>
      <c r="U3761" s="28"/>
    </row>
    <row r="3762" spans="1:21" s="5" customFormat="1">
      <c r="A3762" s="179" t="s">
        <v>4342</v>
      </c>
      <c r="B3762" s="185" t="s">
        <v>8136</v>
      </c>
      <c r="C3762" s="35" t="str">
        <f t="shared" si="406"/>
        <v>SulaymaniNuri</v>
      </c>
      <c r="E3762" s="40"/>
      <c r="F3762" s="14"/>
      <c r="G3762" s="17"/>
      <c r="H3762" s="10" t="s">
        <v>8563</v>
      </c>
      <c r="I3762" s="4" t="str">
        <f t="shared" si="407"/>
        <v>|Sulaymán-i-Núrí|</v>
      </c>
      <c r="J3762" s="3" t="str">
        <f t="shared" si="408"/>
        <v>|Sulayman-i-Nuri|</v>
      </c>
      <c r="K3762" s="3" t="str">
        <f t="shared" si="409"/>
        <v>Sulayman-i-Nuri</v>
      </c>
      <c r="N3762" s="39" t="str">
        <f t="shared" si="410"/>
        <v/>
      </c>
      <c r="P3762" s="39" t="str">
        <f t="shared" si="411"/>
        <v/>
      </c>
      <c r="R3762" s="39" t="str">
        <f t="shared" si="412"/>
        <v/>
      </c>
      <c r="S3762" s="28"/>
      <c r="T3762" s="28"/>
      <c r="U3762" s="28"/>
    </row>
    <row r="3763" spans="1:21" s="5" customFormat="1">
      <c r="A3763" s="179" t="s">
        <v>4343</v>
      </c>
      <c r="B3763" s="185" t="s">
        <v>45</v>
      </c>
      <c r="C3763" s="35" t="str">
        <f t="shared" si="406"/>
        <v>Sulaymaniyyih</v>
      </c>
      <c r="E3763" s="40"/>
      <c r="F3763" s="14"/>
      <c r="G3763" s="17"/>
      <c r="H3763" s="10" t="s">
        <v>8563</v>
      </c>
      <c r="I3763" s="4" t="str">
        <f t="shared" si="407"/>
        <v>|Sulaymáníyyih|</v>
      </c>
      <c r="J3763" s="3" t="str">
        <f t="shared" si="408"/>
        <v>|Sulaymaniyyih|</v>
      </c>
      <c r="K3763" s="3" t="str">
        <f t="shared" si="409"/>
        <v>Sulaymaniyyih</v>
      </c>
      <c r="N3763" s="39" t="str">
        <f t="shared" si="410"/>
        <v/>
      </c>
      <c r="P3763" s="39" t="str">
        <f t="shared" si="411"/>
        <v/>
      </c>
      <c r="R3763" s="39" t="str">
        <f t="shared" si="412"/>
        <v/>
      </c>
      <c r="S3763" s="28"/>
      <c r="T3763" s="29">
        <v>41781</v>
      </c>
      <c r="U3763" s="28" t="s">
        <v>9471</v>
      </c>
    </row>
    <row r="3764" spans="1:21" s="5" customFormat="1">
      <c r="A3764" s="179" t="s">
        <v>4344</v>
      </c>
      <c r="B3764" s="185" t="s">
        <v>8137</v>
      </c>
      <c r="C3764" s="35" t="str">
        <f t="shared" si="406"/>
        <v>SulaymanQuli</v>
      </c>
      <c r="E3764" s="40"/>
      <c r="F3764" s="14"/>
      <c r="G3764" s="17"/>
      <c r="H3764" s="10" t="s">
        <v>8563</v>
      </c>
      <c r="I3764" s="4" t="str">
        <f t="shared" si="407"/>
        <v>|Sulaymán-Qulí|</v>
      </c>
      <c r="J3764" s="3" t="str">
        <f t="shared" si="408"/>
        <v>|Sulayman-Quli|</v>
      </c>
      <c r="K3764" s="3" t="str">
        <f t="shared" si="409"/>
        <v>Sulayman-Quli</v>
      </c>
      <c r="N3764" s="39" t="str">
        <f t="shared" si="410"/>
        <v/>
      </c>
      <c r="P3764" s="39" t="str">
        <f t="shared" si="411"/>
        <v/>
      </c>
      <c r="R3764" s="39" t="str">
        <f t="shared" si="412"/>
        <v/>
      </c>
      <c r="S3764" s="28"/>
      <c r="T3764" s="28"/>
      <c r="U3764" s="28"/>
    </row>
    <row r="3765" spans="1:21" s="5" customFormat="1">
      <c r="A3765" s="179" t="s">
        <v>4345</v>
      </c>
      <c r="B3765" s="185" t="s">
        <v>46</v>
      </c>
      <c r="C3765" s="35" t="str">
        <f t="shared" si="406"/>
        <v>Sultan</v>
      </c>
      <c r="E3765" s="40"/>
      <c r="F3765" s="14" t="s">
        <v>4346</v>
      </c>
      <c r="G3765" s="17"/>
      <c r="H3765" s="10" t="s">
        <v>8563</v>
      </c>
      <c r="I3765" s="4" t="str">
        <f t="shared" si="407"/>
        <v>|Sulṭán|</v>
      </c>
      <c r="J3765" s="3" t="str">
        <f t="shared" si="408"/>
        <v>|Sultan|</v>
      </c>
      <c r="K3765" s="3" t="str">
        <f t="shared" si="409"/>
        <v>Sultan</v>
      </c>
      <c r="N3765" s="39" t="str">
        <f t="shared" si="410"/>
        <v/>
      </c>
      <c r="P3765" s="39" t="str">
        <f t="shared" si="411"/>
        <v/>
      </c>
      <c r="R3765" s="39" t="str">
        <f t="shared" si="412"/>
        <v/>
      </c>
      <c r="S3765" s="28"/>
      <c r="T3765" s="29">
        <v>41781</v>
      </c>
      <c r="U3765" s="28" t="s">
        <v>9449</v>
      </c>
    </row>
    <row r="3766" spans="1:21" s="5" customFormat="1">
      <c r="A3766" s="181"/>
      <c r="B3766" s="185" t="s">
        <v>9505</v>
      </c>
      <c r="C3766" s="35" t="str">
        <f t="shared" si="406"/>
        <v>SultanAbdulAziz</v>
      </c>
      <c r="D3766" s="1"/>
      <c r="E3766" s="40"/>
      <c r="F3766" s="12"/>
      <c r="G3766" s="9"/>
      <c r="H3766" s="12"/>
      <c r="I3766" s="4" t="str">
        <f t="shared" si="407"/>
        <v>|Sulṭán ʿAbdu’l-ʿAzíz|</v>
      </c>
      <c r="J3766" s="3" t="str">
        <f t="shared" si="408"/>
        <v>|Sultan 'Abdu'l-'Aziz|</v>
      </c>
      <c r="K3766" s="3" t="str">
        <f t="shared" si="409"/>
        <v>Sultan Abdul-Aziz</v>
      </c>
      <c r="M3766" s="1"/>
      <c r="N3766" s="39" t="str">
        <f t="shared" si="410"/>
        <v/>
      </c>
      <c r="O3766" s="1"/>
      <c r="P3766" s="39" t="str">
        <f t="shared" si="411"/>
        <v/>
      </c>
      <c r="Q3766" s="1"/>
      <c r="R3766" s="39" t="str">
        <f t="shared" si="412"/>
        <v/>
      </c>
      <c r="S3766" s="28"/>
      <c r="T3766" s="29">
        <v>41781</v>
      </c>
      <c r="U3766" s="28" t="s">
        <v>9446</v>
      </c>
    </row>
    <row r="3767" spans="1:21" s="5" customFormat="1">
      <c r="A3767" s="181"/>
      <c r="B3767" s="185" t="s">
        <v>9506</v>
      </c>
      <c r="C3767" s="35" t="str">
        <f t="shared" si="406"/>
        <v>SultanAbdulHamid</v>
      </c>
      <c r="D3767" s="1"/>
      <c r="E3767" s="40"/>
      <c r="F3767" s="12"/>
      <c r="G3767" s="9"/>
      <c r="H3767" s="12"/>
      <c r="I3767" s="4" t="str">
        <f t="shared" si="407"/>
        <v>|Sulṭán ʿAbdu’l-Ḥamíd|</v>
      </c>
      <c r="J3767" s="3" t="str">
        <f t="shared" si="408"/>
        <v>|Sultan 'Abdu'l-Hamid|</v>
      </c>
      <c r="K3767" s="3" t="str">
        <f t="shared" si="409"/>
        <v>Sultan Abdul-Hamid</v>
      </c>
      <c r="M3767" s="1"/>
      <c r="N3767" s="39" t="str">
        <f t="shared" si="410"/>
        <v/>
      </c>
      <c r="O3767" s="1"/>
      <c r="P3767" s="39" t="str">
        <f t="shared" si="411"/>
        <v/>
      </c>
      <c r="Q3767" s="1"/>
      <c r="R3767" s="39" t="str">
        <f t="shared" si="412"/>
        <v/>
      </c>
      <c r="S3767" s="28"/>
      <c r="T3767" s="28"/>
      <c r="U3767" s="28"/>
    </row>
    <row r="3768" spans="1:21" s="5" customFormat="1">
      <c r="A3768" s="179" t="s">
        <v>4347</v>
      </c>
      <c r="B3768" s="185" t="s">
        <v>8138</v>
      </c>
      <c r="C3768" s="35" t="str">
        <f t="shared" si="406"/>
        <v>SultanAbad</v>
      </c>
      <c r="E3768" s="40"/>
      <c r="F3768" s="14"/>
      <c r="G3768" s="17"/>
      <c r="H3768" s="10" t="s">
        <v>8563</v>
      </c>
      <c r="I3768" s="4" t="str">
        <f t="shared" si="407"/>
        <v>|Sulṭán-Ábád|</v>
      </c>
      <c r="J3768" s="3" t="str">
        <f t="shared" si="408"/>
        <v>|Sultan-Abad|</v>
      </c>
      <c r="K3768" s="3" t="str">
        <f t="shared" si="409"/>
        <v>Sultan-Abad</v>
      </c>
      <c r="N3768" s="39" t="str">
        <f t="shared" si="410"/>
        <v/>
      </c>
      <c r="P3768" s="39" t="str">
        <f t="shared" si="411"/>
        <v/>
      </c>
      <c r="R3768" s="39" t="str">
        <f t="shared" si="412"/>
        <v/>
      </c>
      <c r="S3768" s="28"/>
      <c r="T3768" s="28"/>
      <c r="U3768" s="28"/>
    </row>
    <row r="3769" spans="1:21" s="5" customFormat="1">
      <c r="A3769" s="179" t="s">
        <v>4348</v>
      </c>
      <c r="B3769" s="185" t="s">
        <v>8139</v>
      </c>
      <c r="C3769" s="35" t="str">
        <f t="shared" si="406"/>
        <v>SultaniArab</v>
      </c>
      <c r="E3769" s="40"/>
      <c r="F3769" s="14"/>
      <c r="G3769" s="17"/>
      <c r="H3769" s="10" t="s">
        <v>8563</v>
      </c>
      <c r="I3769" s="4" t="str">
        <f t="shared" si="407"/>
        <v>|Sulṭán-i-ʿArab|</v>
      </c>
      <c r="J3769" s="3" t="str">
        <f t="shared" si="408"/>
        <v>|Sultan-i-'Arab|</v>
      </c>
      <c r="K3769" s="3" t="str">
        <f t="shared" si="409"/>
        <v>Sultan-i-Arab</v>
      </c>
      <c r="N3769" s="39" t="str">
        <f t="shared" si="410"/>
        <v/>
      </c>
      <c r="P3769" s="39" t="str">
        <f t="shared" si="411"/>
        <v/>
      </c>
      <c r="R3769" s="39" t="str">
        <f t="shared" si="412"/>
        <v/>
      </c>
      <c r="S3769" s="28"/>
      <c r="T3769" s="28"/>
      <c r="U3769" s="28"/>
    </row>
    <row r="3770" spans="1:21" s="5" customFormat="1">
      <c r="A3770" s="179" t="s">
        <v>4349</v>
      </c>
      <c r="B3770" s="185" t="s">
        <v>8140</v>
      </c>
      <c r="C3770" s="35" t="str">
        <f t="shared" si="406"/>
        <v>SultaniKarbilai</v>
      </c>
      <c r="E3770" s="40"/>
      <c r="F3770" s="14"/>
      <c r="G3770" s="17"/>
      <c r="H3770" s="10" t="s">
        <v>8563</v>
      </c>
      <c r="I3770" s="4" t="str">
        <f t="shared" si="407"/>
        <v>|Sulṭán-i-Karbilá’í|</v>
      </c>
      <c r="J3770" s="3" t="str">
        <f t="shared" si="408"/>
        <v>|Sultan-i-Karbila'i|</v>
      </c>
      <c r="K3770" s="3" t="str">
        <f t="shared" si="409"/>
        <v>Sultan-i-Karbilai</v>
      </c>
      <c r="N3770" s="39" t="str">
        <f t="shared" si="410"/>
        <v/>
      </c>
      <c r="P3770" s="39" t="str">
        <f t="shared" si="411"/>
        <v/>
      </c>
      <c r="R3770" s="39" t="str">
        <f t="shared" si="412"/>
        <v/>
      </c>
      <c r="S3770" s="28"/>
      <c r="T3770" s="28"/>
      <c r="U3770" s="28"/>
    </row>
    <row r="3771" spans="1:21" s="5" customFormat="1">
      <c r="A3771" s="179" t="s">
        <v>4350</v>
      </c>
      <c r="B3771" s="185" t="s">
        <v>8141</v>
      </c>
      <c r="C3771" s="35" t="str">
        <f t="shared" si="406"/>
        <v>Sultaniyyih</v>
      </c>
      <c r="E3771" s="40"/>
      <c r="F3771" s="15" t="s">
        <v>1312</v>
      </c>
      <c r="G3771" s="17"/>
      <c r="H3771" s="10" t="s">
        <v>8563</v>
      </c>
      <c r="I3771" s="4" t="str">
        <f t="shared" si="407"/>
        <v>|Sultáníyyih|</v>
      </c>
      <c r="J3771" s="3" t="str">
        <f t="shared" si="408"/>
        <v>|Sultaniyyih|</v>
      </c>
      <c r="K3771" s="3" t="str">
        <f t="shared" si="409"/>
        <v>Sultaniyyih</v>
      </c>
      <c r="N3771" s="39" t="str">
        <f t="shared" si="410"/>
        <v/>
      </c>
      <c r="P3771" s="39" t="str">
        <f t="shared" si="411"/>
        <v/>
      </c>
      <c r="R3771" s="39" t="str">
        <f t="shared" si="412"/>
        <v/>
      </c>
      <c r="S3771" s="28"/>
      <c r="T3771" s="28"/>
      <c r="U3771" s="28"/>
    </row>
    <row r="3772" spans="1:21" s="5" customFormat="1">
      <c r="A3772" s="179"/>
      <c r="B3772" s="185" t="s">
        <v>9111</v>
      </c>
      <c r="C3772" s="35" t="str">
        <f t="shared" si="406"/>
        <v>Sultans</v>
      </c>
      <c r="D3772" s="5" t="s">
        <v>59</v>
      </c>
      <c r="E3772" s="40"/>
      <c r="F3772" s="15"/>
      <c r="G3772" s="17"/>
      <c r="H3772" s="10"/>
      <c r="I3772" s="4" t="str">
        <f t="shared" si="407"/>
        <v>|Sulṭáns|</v>
      </c>
      <c r="J3772" s="3" t="str">
        <f t="shared" si="408"/>
        <v>|Sultans|</v>
      </c>
      <c r="K3772" s="3" t="str">
        <f t="shared" si="409"/>
        <v>Sultans</v>
      </c>
      <c r="L3772" s="1"/>
      <c r="N3772" s="39" t="str">
        <f t="shared" si="410"/>
        <v/>
      </c>
      <c r="P3772" s="39" t="str">
        <f t="shared" si="411"/>
        <v/>
      </c>
      <c r="R3772" s="39" t="str">
        <f t="shared" si="412"/>
        <v/>
      </c>
      <c r="S3772" s="29">
        <v>41781</v>
      </c>
      <c r="T3772" s="29">
        <v>41781</v>
      </c>
      <c r="U3772" s="28" t="s">
        <v>9448</v>
      </c>
    </row>
    <row r="3773" spans="1:21" s="5" customFormat="1">
      <c r="A3773" s="179" t="s">
        <v>4351</v>
      </c>
      <c r="B3773" s="185" t="s">
        <v>8142</v>
      </c>
      <c r="C3773" s="35" t="str">
        <f t="shared" si="406"/>
        <v>SultanulUlama</v>
      </c>
      <c r="E3773" s="40"/>
      <c r="F3773" s="14"/>
      <c r="G3773" s="17"/>
      <c r="H3773" s="10" t="s">
        <v>8563</v>
      </c>
      <c r="I3773" s="4" t="str">
        <f t="shared" si="407"/>
        <v>|Sulṭánu’l-ʿUlamá|</v>
      </c>
      <c r="J3773" s="3" t="str">
        <f t="shared" si="408"/>
        <v>|Sultanu'l-'Ulama|</v>
      </c>
      <c r="K3773" s="3" t="str">
        <f t="shared" si="409"/>
        <v>Sultanul-Ulama</v>
      </c>
      <c r="N3773" s="39" t="str">
        <f t="shared" si="410"/>
        <v/>
      </c>
      <c r="P3773" s="39" t="str">
        <f t="shared" si="411"/>
        <v/>
      </c>
      <c r="R3773" s="39" t="str">
        <f t="shared" si="412"/>
        <v/>
      </c>
      <c r="S3773" s="28"/>
      <c r="T3773" s="28"/>
      <c r="U3773" s="28"/>
    </row>
    <row r="3774" spans="1:21" s="5" customFormat="1">
      <c r="A3774" s="179" t="s">
        <v>4352</v>
      </c>
      <c r="B3774" s="185" t="s">
        <v>8143</v>
      </c>
      <c r="C3774" s="35" t="str">
        <f t="shared" si="406"/>
        <v>SultanushShuhada</v>
      </c>
      <c r="E3774" s="40"/>
      <c r="F3774" s="15" t="s">
        <v>4353</v>
      </c>
      <c r="G3774" s="17"/>
      <c r="H3774" s="10" t="s">
        <v>8563</v>
      </c>
      <c r="I3774" s="4" t="str">
        <f t="shared" si="407"/>
        <v>|Sulṭánu’-uhadá|</v>
      </c>
      <c r="J3774" s="3" t="str">
        <f t="shared" si="408"/>
        <v>|Sultanu'sh-Shuhada|</v>
      </c>
      <c r="K3774" s="3" t="str">
        <f t="shared" si="409"/>
        <v>Sultanush-Shuhada</v>
      </c>
      <c r="N3774" s="39" t="str">
        <f t="shared" si="410"/>
        <v/>
      </c>
      <c r="P3774" s="39" t="str">
        <f t="shared" si="411"/>
        <v/>
      </c>
      <c r="R3774" s="39" t="str">
        <f t="shared" si="412"/>
        <v/>
      </c>
      <c r="S3774" s="28"/>
      <c r="T3774" s="28"/>
      <c r="U3774" s="28"/>
    </row>
    <row r="3775" spans="1:21" s="5" customFormat="1">
      <c r="A3775" s="179" t="s">
        <v>4354</v>
      </c>
      <c r="B3775" s="185" t="s">
        <v>8144</v>
      </c>
      <c r="C3775" s="35" t="str">
        <f t="shared" si="406"/>
        <v>Suluk</v>
      </c>
      <c r="E3775" s="40"/>
      <c r="F3775" s="15"/>
      <c r="G3775" s="17"/>
      <c r="H3775" s="10" t="s">
        <v>8563</v>
      </c>
      <c r="I3775" s="4" t="str">
        <f t="shared" si="407"/>
        <v>|Sulúk|</v>
      </c>
      <c r="J3775" s="3" t="str">
        <f t="shared" si="408"/>
        <v>|Suluk|</v>
      </c>
      <c r="K3775" s="3" t="str">
        <f t="shared" si="409"/>
        <v>Suluk</v>
      </c>
      <c r="N3775" s="39" t="str">
        <f t="shared" si="410"/>
        <v/>
      </c>
      <c r="P3775" s="39" t="str">
        <f t="shared" si="411"/>
        <v/>
      </c>
      <c r="R3775" s="39" t="str">
        <f t="shared" si="412"/>
        <v/>
      </c>
      <c r="S3775" s="28"/>
      <c r="T3775" s="28"/>
      <c r="U3775" s="28"/>
    </row>
    <row r="3776" spans="1:21" s="5" customFormat="1">
      <c r="A3776" s="179" t="s">
        <v>4355</v>
      </c>
      <c r="B3776" s="185" t="s">
        <v>8145</v>
      </c>
      <c r="C3776" s="35" t="str">
        <f t="shared" si="406"/>
        <v>Sumaq</v>
      </c>
      <c r="E3776" s="40"/>
      <c r="F3776" s="15"/>
      <c r="G3776" s="17"/>
      <c r="H3776" s="10" t="s">
        <v>8563</v>
      </c>
      <c r="I3776" s="4" t="str">
        <f t="shared" si="407"/>
        <v>|Sumáq|</v>
      </c>
      <c r="J3776" s="3" t="str">
        <f t="shared" si="408"/>
        <v>|Sumaq|</v>
      </c>
      <c r="K3776" s="3" t="str">
        <f t="shared" si="409"/>
        <v>Sumaq</v>
      </c>
      <c r="N3776" s="39" t="str">
        <f t="shared" si="410"/>
        <v/>
      </c>
      <c r="P3776" s="39" t="str">
        <f t="shared" si="411"/>
        <v/>
      </c>
      <c r="R3776" s="39" t="str">
        <f t="shared" si="412"/>
        <v/>
      </c>
      <c r="S3776" s="28"/>
      <c r="T3776" s="28"/>
      <c r="U3776" s="28"/>
    </row>
    <row r="3777" spans="1:21" s="5" customFormat="1">
      <c r="A3777" s="179" t="s">
        <v>4356</v>
      </c>
      <c r="B3777" s="185" t="s">
        <v>8146</v>
      </c>
      <c r="C3777" s="35" t="str">
        <f t="shared" si="406"/>
        <v>Sunni</v>
      </c>
      <c r="E3777" s="40"/>
      <c r="F3777" s="14" t="s">
        <v>4357</v>
      </c>
      <c r="G3777" s="17"/>
      <c r="H3777" s="10" t="s">
        <v>8563</v>
      </c>
      <c r="I3777" s="4" t="str">
        <f t="shared" si="407"/>
        <v>|Sunní|</v>
      </c>
      <c r="J3777" s="3" t="str">
        <f t="shared" si="408"/>
        <v>|Sunni|</v>
      </c>
      <c r="K3777" s="3" t="str">
        <f t="shared" si="409"/>
        <v>Sunni</v>
      </c>
      <c r="N3777" s="39" t="str">
        <f t="shared" si="410"/>
        <v/>
      </c>
      <c r="P3777" s="39" t="str">
        <f t="shared" si="411"/>
        <v/>
      </c>
      <c r="R3777" s="39" t="str">
        <f t="shared" si="412"/>
        <v/>
      </c>
      <c r="S3777" s="28"/>
      <c r="T3777" s="28"/>
      <c r="U3777" s="28"/>
    </row>
    <row r="3778" spans="1:21" s="5" customFormat="1">
      <c r="A3778" s="179" t="s">
        <v>4359</v>
      </c>
      <c r="B3778" s="185" t="s">
        <v>8147</v>
      </c>
      <c r="C3778" s="35" t="str">
        <f t="shared" ref="C3778:C3841" si="413">SUBSTITUTE(SUBSTITUTE(K3778,"-","")," ","")</f>
        <v>Surat</v>
      </c>
      <c r="E3778" s="40"/>
      <c r="F3778" s="15"/>
      <c r="G3778" s="17"/>
      <c r="H3778" s="10" t="s">
        <v>8563</v>
      </c>
      <c r="I3778" s="4" t="str">
        <f t="shared" ref="I3778:I3841" si="414">CONCATENATE("|",B3778,"|")</f>
        <v>|Ṣúrat|</v>
      </c>
      <c r="J3778" s="3" t="str">
        <f t="shared" ref="J3778:J3841" si="415">CONCATENATE("|",F_OutputASCII(B3778),"|")</f>
        <v>|Surat|</v>
      </c>
      <c r="K3778" s="3" t="str">
        <f t="shared" ref="K3778:K3841" si="416">IF(SUBSTITUTE(MID(J3778,2,LEN(J3778)-2),"'","")&lt;&gt;"",SUBSTITUTE(MID(J3778,2,LEN(J3778)-2),"'",""),"ZZZZZ")</f>
        <v>Surat</v>
      </c>
      <c r="N3778" s="39" t="str">
        <f t="shared" si="410"/>
        <v/>
      </c>
      <c r="P3778" s="39" t="str">
        <f t="shared" si="411"/>
        <v/>
      </c>
      <c r="R3778" s="39" t="str">
        <f t="shared" si="412"/>
        <v/>
      </c>
      <c r="S3778" s="28"/>
      <c r="T3778" s="28"/>
      <c r="U3778" s="28"/>
    </row>
    <row r="3779" spans="1:21" s="5" customFormat="1">
      <c r="A3779" s="179" t="s">
        <v>4360</v>
      </c>
      <c r="B3779" s="185" t="s">
        <v>113</v>
      </c>
      <c r="C3779" s="35" t="str">
        <f t="shared" si="413"/>
        <v>SuratulHaykal</v>
      </c>
      <c r="E3779" s="40"/>
      <c r="F3779" s="14"/>
      <c r="G3779" s="17"/>
      <c r="H3779" s="10" t="s">
        <v>8563</v>
      </c>
      <c r="I3779" s="4" t="str">
        <f t="shared" si="414"/>
        <v>|Súratu’l-Haykal|</v>
      </c>
      <c r="J3779" s="3" t="str">
        <f t="shared" si="415"/>
        <v>|Suratu'l-Haykal|</v>
      </c>
      <c r="K3779" s="3" t="str">
        <f t="shared" si="416"/>
        <v>Suratul-Haykal</v>
      </c>
      <c r="N3779" s="39" t="str">
        <f t="shared" ref="N3779:N3842" si="417">SUBSTITUTE(SUBSTITUTE(SUBSTITUTE(F_OutputASCII(M3779),"-","")," ",""),"'","")</f>
        <v/>
      </c>
      <c r="P3779" s="39" t="str">
        <f t="shared" ref="P3779:P3842" si="418">SUBSTITUTE(SUBSTITUTE(SUBSTITUTE(F_OutputASCII(O3779),"-","")," ",""),"'","")</f>
        <v/>
      </c>
      <c r="R3779" s="39" t="str">
        <f t="shared" ref="R3779:R3842" si="419">SUBSTITUTE(SUBSTITUTE(Q3779,"-","")," ","")</f>
        <v/>
      </c>
      <c r="S3779" s="28"/>
      <c r="T3779" s="28"/>
      <c r="U3779" s="28"/>
    </row>
    <row r="3780" spans="1:21" s="5" customFormat="1">
      <c r="A3780" s="179" t="s">
        <v>4361</v>
      </c>
      <c r="B3780" s="185" t="s">
        <v>8148</v>
      </c>
      <c r="C3780" s="35" t="str">
        <f t="shared" si="413"/>
        <v>SuratulKawthar</v>
      </c>
      <c r="E3780" s="40"/>
      <c r="F3780" s="15" t="s">
        <v>8600</v>
      </c>
      <c r="G3780" s="17"/>
      <c r="H3780" s="10" t="s">
        <v>8563</v>
      </c>
      <c r="I3780" s="4" t="str">
        <f t="shared" si="414"/>
        <v>|Súratu’l-Kawar|</v>
      </c>
      <c r="J3780" s="3" t="str">
        <f t="shared" si="415"/>
        <v>|Suratu'l-Kawthar|</v>
      </c>
      <c r="K3780" s="3" t="str">
        <f t="shared" si="416"/>
        <v>Suratul-Kawthar</v>
      </c>
      <c r="N3780" s="39" t="str">
        <f t="shared" si="417"/>
        <v/>
      </c>
      <c r="P3780" s="39" t="str">
        <f t="shared" si="418"/>
        <v/>
      </c>
      <c r="R3780" s="39" t="str">
        <f t="shared" si="419"/>
        <v/>
      </c>
      <c r="S3780" s="28"/>
      <c r="T3780" s="28"/>
      <c r="U3780" s="28"/>
    </row>
    <row r="3781" spans="1:21" s="5" customFormat="1">
      <c r="A3781" s="179" t="s">
        <v>4362</v>
      </c>
      <c r="B3781" s="185" t="s">
        <v>8149</v>
      </c>
      <c r="C3781" s="35" t="str">
        <f t="shared" si="413"/>
        <v>Suratullah</v>
      </c>
      <c r="E3781" s="40"/>
      <c r="F3781" s="15"/>
      <c r="G3781" s="17"/>
      <c r="H3781" s="10" t="s">
        <v>8563</v>
      </c>
      <c r="I3781" s="4" t="str">
        <f t="shared" si="414"/>
        <v>|Súratu’lláh|</v>
      </c>
      <c r="J3781" s="3" t="str">
        <f t="shared" si="415"/>
        <v>|Suratu'llah|</v>
      </c>
      <c r="K3781" s="3" t="str">
        <f t="shared" si="416"/>
        <v>Suratullah</v>
      </c>
      <c r="N3781" s="39" t="str">
        <f t="shared" si="417"/>
        <v/>
      </c>
      <c r="P3781" s="39" t="str">
        <f t="shared" si="418"/>
        <v/>
      </c>
      <c r="R3781" s="39" t="str">
        <f t="shared" si="419"/>
        <v/>
      </c>
      <c r="S3781" s="28"/>
      <c r="T3781" s="28"/>
      <c r="U3781" s="28"/>
    </row>
    <row r="3782" spans="1:21" s="5" customFormat="1">
      <c r="A3782" s="179" t="s">
        <v>4363</v>
      </c>
      <c r="B3782" s="185" t="s">
        <v>8150</v>
      </c>
      <c r="C3782" s="35" t="str">
        <f t="shared" si="413"/>
        <v>SuratulMuluk</v>
      </c>
      <c r="E3782" s="40"/>
      <c r="F3782" s="15"/>
      <c r="G3782" s="17"/>
      <c r="H3782" s="10" t="s">
        <v>8563</v>
      </c>
      <c r="I3782" s="4" t="str">
        <f t="shared" si="414"/>
        <v>|Súratu’l-Mulúk|</v>
      </c>
      <c r="J3782" s="3" t="str">
        <f t="shared" si="415"/>
        <v>|Suratu'l-Muluk|</v>
      </c>
      <c r="K3782" s="3" t="str">
        <f t="shared" si="416"/>
        <v>Suratul-Muluk</v>
      </c>
      <c r="N3782" s="39" t="str">
        <f t="shared" si="417"/>
        <v/>
      </c>
      <c r="P3782" s="39" t="str">
        <f t="shared" si="418"/>
        <v/>
      </c>
      <c r="R3782" s="39" t="str">
        <f t="shared" si="419"/>
        <v/>
      </c>
      <c r="S3782" s="28"/>
      <c r="T3782" s="28"/>
      <c r="U3782" s="28"/>
    </row>
    <row r="3783" spans="1:21" s="5" customFormat="1">
      <c r="A3783" s="179" t="s">
        <v>4364</v>
      </c>
      <c r="B3783" s="185" t="s">
        <v>8151</v>
      </c>
      <c r="C3783" s="35" t="str">
        <f t="shared" si="413"/>
        <v>SuratushShams</v>
      </c>
      <c r="E3783" s="40"/>
      <c r="F3783" s="15" t="s">
        <v>4365</v>
      </c>
      <c r="G3783" s="17"/>
      <c r="H3783" s="10" t="s">
        <v>8563</v>
      </c>
      <c r="I3783" s="4" t="str">
        <f t="shared" si="414"/>
        <v>|Súratu’-ams|</v>
      </c>
      <c r="J3783" s="3" t="str">
        <f t="shared" si="415"/>
        <v>|Suratu'sh-Shams|</v>
      </c>
      <c r="K3783" s="3" t="str">
        <f t="shared" si="416"/>
        <v>Suratush-Shams</v>
      </c>
      <c r="N3783" s="39" t="str">
        <f t="shared" si="417"/>
        <v/>
      </c>
      <c r="P3783" s="39" t="str">
        <f t="shared" si="418"/>
        <v/>
      </c>
      <c r="R3783" s="39" t="str">
        <f t="shared" si="419"/>
        <v/>
      </c>
      <c r="S3783" s="28"/>
      <c r="T3783" s="28"/>
      <c r="U3783" s="28"/>
    </row>
    <row r="3784" spans="1:21" s="5" customFormat="1">
      <c r="A3784" s="179" t="s">
        <v>4366</v>
      </c>
      <c r="B3784" s="185" t="s">
        <v>8152</v>
      </c>
      <c r="C3784" s="35" t="str">
        <f t="shared" si="413"/>
        <v>SuratusSabr</v>
      </c>
      <c r="E3784" s="40"/>
      <c r="F3784" s="15"/>
      <c r="G3784" s="17"/>
      <c r="H3784" s="10" t="s">
        <v>8563</v>
      </c>
      <c r="I3784" s="4" t="str">
        <f t="shared" si="414"/>
        <v>|Súratu’ṣ-Ṣabr|</v>
      </c>
      <c r="J3784" s="3" t="str">
        <f t="shared" si="415"/>
        <v>|Suratu's-Sabr|</v>
      </c>
      <c r="K3784" s="3" t="str">
        <f t="shared" si="416"/>
        <v>Suratus-Sabr</v>
      </c>
      <c r="N3784" s="39" t="str">
        <f t="shared" si="417"/>
        <v/>
      </c>
      <c r="P3784" s="39" t="str">
        <f t="shared" si="418"/>
        <v/>
      </c>
      <c r="R3784" s="39" t="str">
        <f t="shared" si="419"/>
        <v/>
      </c>
      <c r="S3784" s="28"/>
      <c r="T3784" s="28"/>
      <c r="U3784" s="28"/>
    </row>
    <row r="3785" spans="1:21" s="5" customFormat="1">
      <c r="A3785" s="179" t="s">
        <v>4367</v>
      </c>
      <c r="B3785" s="185" t="s">
        <v>8153</v>
      </c>
      <c r="C3785" s="35" t="str">
        <f t="shared" si="413"/>
        <v>SuratutTawhid</v>
      </c>
      <c r="E3785" s="40"/>
      <c r="F3785" s="15"/>
      <c r="G3785" s="17"/>
      <c r="H3785" s="10" t="s">
        <v>8563</v>
      </c>
      <c r="I3785" s="4" t="str">
        <f t="shared" si="414"/>
        <v>|Súratu’t-Tawḥíd|</v>
      </c>
      <c r="J3785" s="3" t="str">
        <f t="shared" si="415"/>
        <v>|Suratu't-Tawhid|</v>
      </c>
      <c r="K3785" s="3" t="str">
        <f t="shared" si="416"/>
        <v>Suratut-Tawhid</v>
      </c>
      <c r="N3785" s="39" t="str">
        <f t="shared" si="417"/>
        <v/>
      </c>
      <c r="P3785" s="39" t="str">
        <f t="shared" si="418"/>
        <v/>
      </c>
      <c r="R3785" s="39" t="str">
        <f t="shared" si="419"/>
        <v/>
      </c>
      <c r="S3785" s="28"/>
      <c r="T3785" s="28"/>
      <c r="U3785" s="28"/>
    </row>
    <row r="3786" spans="1:21" s="5" customFormat="1">
      <c r="A3786" s="179" t="s">
        <v>4358</v>
      </c>
      <c r="B3786" s="185" t="s">
        <v>114</v>
      </c>
      <c r="C3786" s="35" t="str">
        <f t="shared" si="413"/>
        <v>Surih</v>
      </c>
      <c r="E3786" s="40"/>
      <c r="F3786" s="14" t="s">
        <v>4368</v>
      </c>
      <c r="G3786" s="17"/>
      <c r="H3786" s="10" t="s">
        <v>8563</v>
      </c>
      <c r="I3786" s="4" t="str">
        <f t="shared" si="414"/>
        <v>|Súrih|</v>
      </c>
      <c r="J3786" s="3" t="str">
        <f t="shared" si="415"/>
        <v>|Surih|</v>
      </c>
      <c r="K3786" s="3" t="str">
        <f t="shared" si="416"/>
        <v>Surih</v>
      </c>
      <c r="N3786" s="39" t="str">
        <f t="shared" si="417"/>
        <v/>
      </c>
      <c r="P3786" s="39" t="str">
        <f t="shared" si="418"/>
        <v/>
      </c>
      <c r="R3786" s="39" t="str">
        <f t="shared" si="419"/>
        <v/>
      </c>
      <c r="S3786" s="28"/>
      <c r="T3786" s="28"/>
      <c r="U3786" s="28"/>
    </row>
    <row r="3787" spans="1:21" s="5" customFormat="1">
      <c r="A3787" s="181"/>
      <c r="B3787" s="185" t="s">
        <v>8780</v>
      </c>
      <c r="C3787" s="35" t="str">
        <f t="shared" si="413"/>
        <v>SurihAbd</v>
      </c>
      <c r="D3787" s="1"/>
      <c r="E3787" s="40"/>
      <c r="F3787" s="12"/>
      <c r="G3787" s="9"/>
      <c r="H3787" s="12" t="s">
        <v>8622</v>
      </c>
      <c r="I3787" s="4" t="str">
        <f t="shared" si="414"/>
        <v>|Súrih ʿAbd|</v>
      </c>
      <c r="J3787" s="3" t="str">
        <f t="shared" si="415"/>
        <v>|Surih 'Abd|</v>
      </c>
      <c r="K3787" s="3" t="str">
        <f t="shared" si="416"/>
        <v>Surih Abd</v>
      </c>
      <c r="N3787" s="39" t="str">
        <f t="shared" si="417"/>
        <v/>
      </c>
      <c r="P3787" s="39" t="str">
        <f t="shared" si="418"/>
        <v/>
      </c>
      <c r="R3787" s="39" t="str">
        <f t="shared" si="419"/>
        <v/>
      </c>
      <c r="S3787" s="29">
        <v>41760</v>
      </c>
      <c r="T3787" s="28"/>
      <c r="U3787" s="28"/>
    </row>
    <row r="3788" spans="1:21" s="5" customFormat="1">
      <c r="A3788" s="181"/>
      <c r="B3788" s="185" t="s">
        <v>8781</v>
      </c>
      <c r="C3788" s="35" t="str">
        <f t="shared" si="413"/>
        <v>SurihQarabat</v>
      </c>
      <c r="D3788" s="1"/>
      <c r="E3788" s="40"/>
      <c r="F3788" s="12"/>
      <c r="G3788" s="9"/>
      <c r="H3788" s="12" t="s">
        <v>8622</v>
      </c>
      <c r="I3788" s="4" t="str">
        <f t="shared" si="414"/>
        <v>|Súrih Qarábat|</v>
      </c>
      <c r="J3788" s="3" t="str">
        <f t="shared" si="415"/>
        <v>|Surih Qarabat|</v>
      </c>
      <c r="K3788" s="3" t="str">
        <f t="shared" si="416"/>
        <v>Surih Qarabat</v>
      </c>
      <c r="N3788" s="39" t="str">
        <f t="shared" si="417"/>
        <v/>
      </c>
      <c r="P3788" s="39" t="str">
        <f t="shared" si="418"/>
        <v/>
      </c>
      <c r="R3788" s="39" t="str">
        <f t="shared" si="419"/>
        <v/>
      </c>
      <c r="S3788" s="29">
        <v>41760</v>
      </c>
      <c r="T3788" s="28"/>
      <c r="U3788" s="28"/>
    </row>
    <row r="3789" spans="1:21" s="5" customFormat="1">
      <c r="A3789" s="179" t="s">
        <v>4369</v>
      </c>
      <c r="B3789" s="185" t="s">
        <v>8154</v>
      </c>
      <c r="C3789" s="35" t="str">
        <f t="shared" si="413"/>
        <v>SuriyiAhzan</v>
      </c>
      <c r="E3789" s="40"/>
      <c r="F3789" s="15" t="s">
        <v>4370</v>
      </c>
      <c r="G3789" s="17"/>
      <c r="H3789" s="10" t="s">
        <v>8563</v>
      </c>
      <c r="I3789" s="4" t="str">
        <f t="shared" si="414"/>
        <v>|Súriy-i-Aḥzán|</v>
      </c>
      <c r="J3789" s="3" t="str">
        <f t="shared" si="415"/>
        <v>|Suriy-i-Ahzan|</v>
      </c>
      <c r="K3789" s="3" t="str">
        <f t="shared" si="416"/>
        <v>Suriy-i-Ahzan</v>
      </c>
      <c r="N3789" s="39" t="str">
        <f t="shared" si="417"/>
        <v/>
      </c>
      <c r="P3789" s="39" t="str">
        <f t="shared" si="418"/>
        <v/>
      </c>
      <c r="R3789" s="39" t="str">
        <f t="shared" si="419"/>
        <v/>
      </c>
      <c r="S3789" s="28"/>
      <c r="T3789" s="28"/>
      <c r="U3789" s="28"/>
    </row>
    <row r="3790" spans="1:21" s="5" customFormat="1">
      <c r="A3790" s="179" t="s">
        <v>4371</v>
      </c>
      <c r="B3790" s="185" t="s">
        <v>8155</v>
      </c>
      <c r="C3790" s="35" t="str">
        <f t="shared" si="413"/>
        <v>SuriyiAmin</v>
      </c>
      <c r="E3790" s="40"/>
      <c r="F3790" s="15" t="s">
        <v>4372</v>
      </c>
      <c r="G3790" s="17"/>
      <c r="H3790" s="10" t="s">
        <v>8563</v>
      </c>
      <c r="I3790" s="4" t="str">
        <f t="shared" si="414"/>
        <v>|Súriy-i-Amín|</v>
      </c>
      <c r="J3790" s="3" t="str">
        <f t="shared" si="415"/>
        <v>|Suriy-i-Amin|</v>
      </c>
      <c r="K3790" s="3" t="str">
        <f t="shared" si="416"/>
        <v>Suriy-i-Amin</v>
      </c>
      <c r="N3790" s="39" t="str">
        <f t="shared" si="417"/>
        <v/>
      </c>
      <c r="P3790" s="39" t="str">
        <f t="shared" si="418"/>
        <v/>
      </c>
      <c r="R3790" s="39" t="str">
        <f t="shared" si="419"/>
        <v/>
      </c>
      <c r="S3790" s="28"/>
      <c r="T3790" s="28"/>
      <c r="U3790" s="28"/>
    </row>
    <row r="3791" spans="1:21" s="5" customFormat="1">
      <c r="A3791" s="179" t="s">
        <v>4373</v>
      </c>
      <c r="B3791" s="185" t="s">
        <v>8156</v>
      </c>
      <c r="C3791" s="35" t="str">
        <f t="shared" si="413"/>
        <v>SuriyiAmr</v>
      </c>
      <c r="E3791" s="40"/>
      <c r="F3791" s="14"/>
      <c r="G3791" s="17"/>
      <c r="H3791" s="10" t="s">
        <v>8563</v>
      </c>
      <c r="I3791" s="4" t="str">
        <f t="shared" si="414"/>
        <v>|Súriy-i-Amr|</v>
      </c>
      <c r="J3791" s="3" t="str">
        <f t="shared" si="415"/>
        <v>|Suriy-i-Amr|</v>
      </c>
      <c r="K3791" s="3" t="str">
        <f t="shared" si="416"/>
        <v>Suriy-i-Amr</v>
      </c>
      <c r="N3791" s="39" t="str">
        <f t="shared" si="417"/>
        <v/>
      </c>
      <c r="P3791" s="39" t="str">
        <f t="shared" si="418"/>
        <v/>
      </c>
      <c r="R3791" s="39" t="str">
        <f t="shared" si="419"/>
        <v/>
      </c>
      <c r="S3791" s="28"/>
      <c r="T3791" s="28"/>
      <c r="U3791" s="28"/>
    </row>
    <row r="3792" spans="1:21" s="5" customFormat="1">
      <c r="A3792" s="179" t="s">
        <v>4374</v>
      </c>
      <c r="B3792" s="185" t="s">
        <v>8157</v>
      </c>
      <c r="C3792" s="35" t="str">
        <f t="shared" si="413"/>
        <v>SuriyiArab</v>
      </c>
      <c r="E3792" s="40"/>
      <c r="F3792" s="15" t="s">
        <v>4375</v>
      </c>
      <c r="G3792" s="17"/>
      <c r="H3792" s="10" t="s">
        <v>8563</v>
      </c>
      <c r="I3792" s="4" t="str">
        <f t="shared" si="414"/>
        <v>|Súriy-i-Aʿráb|</v>
      </c>
      <c r="J3792" s="3" t="str">
        <f t="shared" si="415"/>
        <v>|Suriy-i-A'rab|</v>
      </c>
      <c r="K3792" s="3" t="str">
        <f t="shared" si="416"/>
        <v>Suriy-i-Arab</v>
      </c>
      <c r="N3792" s="39" t="str">
        <f t="shared" si="417"/>
        <v/>
      </c>
      <c r="P3792" s="39" t="str">
        <f t="shared" si="418"/>
        <v/>
      </c>
      <c r="R3792" s="39" t="str">
        <f t="shared" si="419"/>
        <v/>
      </c>
      <c r="S3792" s="28"/>
      <c r="T3792" s="28"/>
      <c r="U3792" s="28"/>
    </row>
    <row r="3793" spans="1:21" s="5" customFormat="1">
      <c r="A3793" s="179" t="s">
        <v>4376</v>
      </c>
      <c r="B3793" s="185" t="s">
        <v>8158</v>
      </c>
      <c r="C3793" s="35" t="str">
        <f t="shared" si="413"/>
        <v>SuriyiAshab</v>
      </c>
      <c r="E3793" s="40"/>
      <c r="F3793" s="15" t="s">
        <v>4377</v>
      </c>
      <c r="G3793" s="17"/>
      <c r="H3793" s="10" t="s">
        <v>8563</v>
      </c>
      <c r="I3793" s="4" t="str">
        <f t="shared" si="414"/>
        <v>|Súriy-i-Aṣḥáb|</v>
      </c>
      <c r="J3793" s="3" t="str">
        <f t="shared" si="415"/>
        <v>|Suriy-i-Ashab|</v>
      </c>
      <c r="K3793" s="3" t="str">
        <f t="shared" si="416"/>
        <v>Suriy-i-Ashab</v>
      </c>
      <c r="N3793" s="39" t="str">
        <f t="shared" si="417"/>
        <v/>
      </c>
      <c r="P3793" s="39" t="str">
        <f t="shared" si="418"/>
        <v/>
      </c>
      <c r="R3793" s="39" t="str">
        <f t="shared" si="419"/>
        <v/>
      </c>
      <c r="S3793" s="28"/>
      <c r="T3793" s="28"/>
      <c r="U3793" s="28"/>
    </row>
    <row r="3794" spans="1:21" s="5" customFormat="1">
      <c r="A3794" s="179" t="s">
        <v>4378</v>
      </c>
      <c r="B3794" s="185" t="s">
        <v>8159</v>
      </c>
      <c r="C3794" s="35" t="str">
        <f t="shared" si="413"/>
        <v>SuriyiAsma</v>
      </c>
      <c r="E3794" s="40"/>
      <c r="F3794" s="15" t="s">
        <v>4379</v>
      </c>
      <c r="G3794" s="17"/>
      <c r="H3794" s="10" t="s">
        <v>8563</v>
      </c>
      <c r="I3794" s="4" t="str">
        <f t="shared" si="414"/>
        <v>|Súriy-i-Asmá|</v>
      </c>
      <c r="J3794" s="3" t="str">
        <f t="shared" si="415"/>
        <v>|Suriy-i-Asma|</v>
      </c>
      <c r="K3794" s="3" t="str">
        <f t="shared" si="416"/>
        <v>Suriy-i-Asma</v>
      </c>
      <c r="N3794" s="39" t="str">
        <f t="shared" si="417"/>
        <v/>
      </c>
      <c r="P3794" s="39" t="str">
        <f t="shared" si="418"/>
        <v/>
      </c>
      <c r="R3794" s="39" t="str">
        <f t="shared" si="419"/>
        <v/>
      </c>
      <c r="S3794" s="28"/>
      <c r="T3794" s="28"/>
      <c r="U3794" s="28"/>
    </row>
    <row r="3795" spans="1:21" s="5" customFormat="1">
      <c r="A3795" s="179" t="s">
        <v>4380</v>
      </c>
      <c r="B3795" s="185" t="s">
        <v>8160</v>
      </c>
      <c r="C3795" s="35" t="str">
        <f t="shared" si="413"/>
        <v>SuriyiAyyub</v>
      </c>
      <c r="E3795" s="40"/>
      <c r="F3795" s="15"/>
      <c r="G3795" s="17"/>
      <c r="H3795" s="10" t="s">
        <v>8563</v>
      </c>
      <c r="I3795" s="4" t="str">
        <f t="shared" si="414"/>
        <v>|Súriy-i-Ayyúb|</v>
      </c>
      <c r="J3795" s="3" t="str">
        <f t="shared" si="415"/>
        <v>|Suriy-i-Ayyub|</v>
      </c>
      <c r="K3795" s="3" t="str">
        <f t="shared" si="416"/>
        <v>Suriy-i-Ayyub</v>
      </c>
      <c r="N3795" s="39" t="str">
        <f t="shared" si="417"/>
        <v/>
      </c>
      <c r="P3795" s="39" t="str">
        <f t="shared" si="418"/>
        <v/>
      </c>
      <c r="R3795" s="39" t="str">
        <f t="shared" si="419"/>
        <v/>
      </c>
      <c r="S3795" s="28"/>
      <c r="T3795" s="28"/>
      <c r="U3795" s="28"/>
    </row>
    <row r="3796" spans="1:21" s="5" customFormat="1">
      <c r="A3796" s="179" t="s">
        <v>4381</v>
      </c>
      <c r="B3796" s="185" t="s">
        <v>8161</v>
      </c>
      <c r="C3796" s="35" t="str">
        <f t="shared" si="413"/>
        <v>SuriyiBayan</v>
      </c>
      <c r="E3796" s="40"/>
      <c r="F3796" s="15" t="s">
        <v>4382</v>
      </c>
      <c r="G3796" s="17"/>
      <c r="H3796" s="10" t="s">
        <v>8563</v>
      </c>
      <c r="I3796" s="4" t="str">
        <f t="shared" si="414"/>
        <v>|Súriy-i-Bayán|</v>
      </c>
      <c r="J3796" s="3" t="str">
        <f t="shared" si="415"/>
        <v>|Suriy-i-Bayan|</v>
      </c>
      <c r="K3796" s="3" t="str">
        <f t="shared" si="416"/>
        <v>Suriy-i-Bayan</v>
      </c>
      <c r="N3796" s="39" t="str">
        <f t="shared" si="417"/>
        <v/>
      </c>
      <c r="P3796" s="39" t="str">
        <f t="shared" si="418"/>
        <v/>
      </c>
      <c r="R3796" s="39" t="str">
        <f t="shared" si="419"/>
        <v/>
      </c>
      <c r="S3796" s="28"/>
      <c r="T3796" s="29">
        <v>41801</v>
      </c>
      <c r="U3796" s="28" t="s">
        <v>9426</v>
      </c>
    </row>
    <row r="3797" spans="1:21" s="5" customFormat="1">
      <c r="A3797" s="179" t="s">
        <v>4383</v>
      </c>
      <c r="B3797" s="185" t="s">
        <v>8162</v>
      </c>
      <c r="C3797" s="35" t="str">
        <f t="shared" si="413"/>
        <v>SuriyiBurhan</v>
      </c>
      <c r="E3797" s="40"/>
      <c r="F3797" s="15" t="s">
        <v>4384</v>
      </c>
      <c r="G3797" s="17"/>
      <c r="H3797" s="10" t="s">
        <v>8563</v>
      </c>
      <c r="I3797" s="4" t="str">
        <f t="shared" si="414"/>
        <v>|Súriy-i-Burhán|</v>
      </c>
      <c r="J3797" s="3" t="str">
        <f t="shared" si="415"/>
        <v>|Suriy-i-Burhan|</v>
      </c>
      <c r="K3797" s="3" t="str">
        <f t="shared" si="416"/>
        <v>Suriy-i-Burhan</v>
      </c>
      <c r="N3797" s="39" t="str">
        <f t="shared" si="417"/>
        <v/>
      </c>
      <c r="P3797" s="39" t="str">
        <f t="shared" si="418"/>
        <v/>
      </c>
      <c r="R3797" s="39" t="str">
        <f t="shared" si="419"/>
        <v/>
      </c>
      <c r="S3797" s="28"/>
      <c r="T3797" s="28"/>
      <c r="U3797" s="28"/>
    </row>
    <row r="3798" spans="1:21" s="5" customFormat="1">
      <c r="A3798" s="179" t="s">
        <v>4385</v>
      </c>
      <c r="B3798" s="185" t="s">
        <v>8163</v>
      </c>
      <c r="C3798" s="35" t="str">
        <f t="shared" si="413"/>
        <v>SuriyiDamm</v>
      </c>
      <c r="E3798" s="40"/>
      <c r="F3798" s="14"/>
      <c r="G3798" s="17"/>
      <c r="H3798" s="10" t="s">
        <v>8563</v>
      </c>
      <c r="I3798" s="4" t="str">
        <f t="shared" si="414"/>
        <v>|Súriy-i-Damm|</v>
      </c>
      <c r="J3798" s="3" t="str">
        <f t="shared" si="415"/>
        <v>|Suriy-i-Damm|</v>
      </c>
      <c r="K3798" s="3" t="str">
        <f t="shared" si="416"/>
        <v>Suriy-i-Damm</v>
      </c>
      <c r="N3798" s="39" t="str">
        <f t="shared" si="417"/>
        <v/>
      </c>
      <c r="P3798" s="39" t="str">
        <f t="shared" si="418"/>
        <v/>
      </c>
      <c r="R3798" s="39" t="str">
        <f t="shared" si="419"/>
        <v/>
      </c>
      <c r="S3798" s="28"/>
      <c r="T3798" s="28"/>
      <c r="U3798" s="28"/>
    </row>
    <row r="3799" spans="1:21" s="5" customFormat="1">
      <c r="A3799" s="179" t="s">
        <v>4386</v>
      </c>
      <c r="B3799" s="185" t="s">
        <v>8164</v>
      </c>
      <c r="C3799" s="35" t="str">
        <f t="shared" si="413"/>
        <v>SuriyiDhabih</v>
      </c>
      <c r="E3799" s="40"/>
      <c r="F3799" s="15" t="s">
        <v>4387</v>
      </c>
      <c r="G3799" s="17"/>
      <c r="H3799" s="10" t="s">
        <v>8563</v>
      </c>
      <c r="I3799" s="4" t="str">
        <f t="shared" si="414"/>
        <v>|Súriy-i-abíḥ|</v>
      </c>
      <c r="J3799" s="3" t="str">
        <f t="shared" si="415"/>
        <v>|Suriy-i-Dhabih|</v>
      </c>
      <c r="K3799" s="3" t="str">
        <f t="shared" si="416"/>
        <v>Suriy-i-Dhabih</v>
      </c>
      <c r="N3799" s="39" t="str">
        <f t="shared" si="417"/>
        <v/>
      </c>
      <c r="P3799" s="39" t="str">
        <f t="shared" si="418"/>
        <v/>
      </c>
      <c r="R3799" s="39" t="str">
        <f t="shared" si="419"/>
        <v/>
      </c>
      <c r="S3799" s="28"/>
      <c r="T3799" s="28"/>
      <c r="U3799" s="28"/>
    </row>
    <row r="3800" spans="1:21" s="5" customFormat="1">
      <c r="A3800" s="179" t="s">
        <v>4388</v>
      </c>
      <c r="B3800" s="185" t="s">
        <v>8165</v>
      </c>
      <c r="C3800" s="35" t="str">
        <f t="shared" si="413"/>
        <v>SuriyiDhikr</v>
      </c>
      <c r="E3800" s="40"/>
      <c r="F3800" s="15" t="s">
        <v>4389</v>
      </c>
      <c r="G3800" s="17"/>
      <c r="H3800" s="10" t="s">
        <v>8563</v>
      </c>
      <c r="I3800" s="4" t="str">
        <f t="shared" si="414"/>
        <v>|Súriy-i-ikr|</v>
      </c>
      <c r="J3800" s="3" t="str">
        <f t="shared" si="415"/>
        <v>|Suriy-i-Dhikr|</v>
      </c>
      <c r="K3800" s="3" t="str">
        <f t="shared" si="416"/>
        <v>Suriy-i-Dhikr</v>
      </c>
      <c r="N3800" s="39" t="str">
        <f t="shared" si="417"/>
        <v/>
      </c>
      <c r="P3800" s="39" t="str">
        <f t="shared" si="418"/>
        <v/>
      </c>
      <c r="R3800" s="39" t="str">
        <f t="shared" si="419"/>
        <v/>
      </c>
      <c r="S3800" s="28"/>
      <c r="T3800" s="28"/>
      <c r="U3800" s="28"/>
    </row>
    <row r="3801" spans="1:21" s="5" customFormat="1">
      <c r="A3801" s="179" t="s">
        <v>4390</v>
      </c>
      <c r="B3801" s="185" t="s">
        <v>8166</v>
      </c>
      <c r="C3801" s="35" t="str">
        <f t="shared" si="413"/>
        <v>SuriyiFadl</v>
      </c>
      <c r="E3801" s="40"/>
      <c r="F3801" s="15" t="s">
        <v>4391</v>
      </c>
      <c r="G3801" s="17"/>
      <c r="H3801" s="10" t="s">
        <v>8563</v>
      </c>
      <c r="I3801" s="4" t="str">
        <f t="shared" si="414"/>
        <v>|Súriy-i-Faḍl|</v>
      </c>
      <c r="J3801" s="3" t="str">
        <f t="shared" si="415"/>
        <v>|Suriy-i-Fadl|</v>
      </c>
      <c r="K3801" s="3" t="str">
        <f t="shared" si="416"/>
        <v>Suriy-i-Fadl</v>
      </c>
      <c r="N3801" s="39" t="str">
        <f t="shared" si="417"/>
        <v/>
      </c>
      <c r="P3801" s="39" t="str">
        <f t="shared" si="418"/>
        <v/>
      </c>
      <c r="R3801" s="39" t="str">
        <f t="shared" si="419"/>
        <v/>
      </c>
      <c r="S3801" s="28"/>
      <c r="T3801" s="28"/>
      <c r="U3801" s="28"/>
    </row>
    <row r="3802" spans="1:21" s="5" customFormat="1">
      <c r="A3802" s="179" t="s">
        <v>4392</v>
      </c>
      <c r="B3802" s="185" t="s">
        <v>8167</v>
      </c>
      <c r="C3802" s="35" t="str">
        <f t="shared" si="413"/>
        <v>SuriyiFath</v>
      </c>
      <c r="E3802" s="40"/>
      <c r="F3802" s="15" t="s">
        <v>4393</v>
      </c>
      <c r="G3802" s="17"/>
      <c r="H3802" s="10" t="s">
        <v>8563</v>
      </c>
      <c r="I3802" s="4" t="str">
        <f t="shared" si="414"/>
        <v>|Súriy-i-Fatḥ|</v>
      </c>
      <c r="J3802" s="3" t="str">
        <f t="shared" si="415"/>
        <v>|Suriy-i-Fath|</v>
      </c>
      <c r="K3802" s="3" t="str">
        <f t="shared" si="416"/>
        <v>Suriy-i-Fath</v>
      </c>
      <c r="N3802" s="39" t="str">
        <f t="shared" si="417"/>
        <v/>
      </c>
      <c r="P3802" s="39" t="str">
        <f t="shared" si="418"/>
        <v/>
      </c>
      <c r="R3802" s="39" t="str">
        <f t="shared" si="419"/>
        <v/>
      </c>
      <c r="S3802" s="28"/>
      <c r="T3802" s="28"/>
      <c r="U3802" s="28"/>
    </row>
    <row r="3803" spans="1:21" s="5" customFormat="1">
      <c r="A3803" s="179" t="s">
        <v>4394</v>
      </c>
      <c r="B3803" s="185" t="s">
        <v>8168</v>
      </c>
      <c r="C3803" s="35" t="str">
        <f t="shared" si="413"/>
        <v>SuriyiFuad</v>
      </c>
      <c r="E3803" s="40"/>
      <c r="F3803" s="15" t="s">
        <v>4395</v>
      </c>
      <c r="G3803" s="17"/>
      <c r="H3803" s="10" t="s">
        <v>8563</v>
      </c>
      <c r="I3803" s="4" t="str">
        <f t="shared" si="414"/>
        <v>|Súriy-i-Fu’ád|</v>
      </c>
      <c r="J3803" s="3" t="str">
        <f t="shared" si="415"/>
        <v>|Suriy-i-Fu'ad|</v>
      </c>
      <c r="K3803" s="3" t="str">
        <f t="shared" si="416"/>
        <v>Suriy-i-Fuad</v>
      </c>
      <c r="N3803" s="39" t="str">
        <f t="shared" si="417"/>
        <v/>
      </c>
      <c r="P3803" s="39" t="str">
        <f t="shared" si="418"/>
        <v/>
      </c>
      <c r="R3803" s="39" t="str">
        <f t="shared" si="419"/>
        <v/>
      </c>
      <c r="S3803" s="28"/>
      <c r="T3803" s="28"/>
      <c r="U3803" s="28"/>
    </row>
    <row r="3804" spans="1:21" s="5" customFormat="1">
      <c r="A3804" s="179" t="s">
        <v>4396</v>
      </c>
      <c r="B3804" s="185" t="s">
        <v>8169</v>
      </c>
      <c r="C3804" s="35" t="str">
        <f t="shared" si="413"/>
        <v>SuriyiGhusn</v>
      </c>
      <c r="E3804" s="40"/>
      <c r="F3804" s="14"/>
      <c r="G3804" s="17"/>
      <c r="H3804" s="10" t="s">
        <v>8563</v>
      </c>
      <c r="I3804" s="4" t="str">
        <f t="shared" si="414"/>
        <v>|Súriy-i-uṣn|</v>
      </c>
      <c r="J3804" s="3" t="str">
        <f t="shared" si="415"/>
        <v>|Suriy-i-Ghusn|</v>
      </c>
      <c r="K3804" s="3" t="str">
        <f t="shared" si="416"/>
        <v>Suriy-i-Ghusn</v>
      </c>
      <c r="N3804" s="39" t="str">
        <f t="shared" si="417"/>
        <v/>
      </c>
      <c r="P3804" s="39" t="str">
        <f t="shared" si="418"/>
        <v/>
      </c>
      <c r="R3804" s="39" t="str">
        <f t="shared" si="419"/>
        <v/>
      </c>
      <c r="S3804" s="28"/>
      <c r="T3804" s="28"/>
      <c r="U3804" s="28"/>
    </row>
    <row r="3805" spans="1:21" s="5" customFormat="1">
      <c r="A3805" s="179" t="s">
        <v>4397</v>
      </c>
      <c r="B3805" s="185" t="s">
        <v>8170</v>
      </c>
      <c r="C3805" s="35" t="str">
        <f t="shared" si="413"/>
        <v>SuriyiHajj</v>
      </c>
      <c r="E3805" s="40"/>
      <c r="F3805" s="15" t="s">
        <v>4398</v>
      </c>
      <c r="G3805" s="17"/>
      <c r="H3805" s="10" t="s">
        <v>8563</v>
      </c>
      <c r="I3805" s="4" t="str">
        <f t="shared" si="414"/>
        <v>|Súriy-i-Ḥajj|</v>
      </c>
      <c r="J3805" s="3" t="str">
        <f t="shared" si="415"/>
        <v>|Suriy-i-Hajj|</v>
      </c>
      <c r="K3805" s="3" t="str">
        <f t="shared" si="416"/>
        <v>Suriy-i-Hajj</v>
      </c>
      <c r="N3805" s="39" t="str">
        <f t="shared" si="417"/>
        <v/>
      </c>
      <c r="P3805" s="39" t="str">
        <f t="shared" si="418"/>
        <v/>
      </c>
      <c r="R3805" s="39" t="str">
        <f t="shared" si="419"/>
        <v/>
      </c>
      <c r="S3805" s="28"/>
      <c r="T3805" s="28"/>
      <c r="U3805" s="28"/>
    </row>
    <row r="3806" spans="1:21" s="5" customFormat="1">
      <c r="A3806" s="179" t="s">
        <v>4399</v>
      </c>
      <c r="B3806" s="185" t="s">
        <v>8171</v>
      </c>
      <c r="C3806" s="35" t="str">
        <f t="shared" si="413"/>
        <v>SuriyiHaykal</v>
      </c>
      <c r="E3806" s="40"/>
      <c r="F3806" s="14"/>
      <c r="G3806" s="17"/>
      <c r="H3806" s="10" t="s">
        <v>8563</v>
      </c>
      <c r="I3806" s="4" t="str">
        <f t="shared" si="414"/>
        <v>|Súriy-i-Haykal|</v>
      </c>
      <c r="J3806" s="3" t="str">
        <f t="shared" si="415"/>
        <v>|Suriy-i-Haykal|</v>
      </c>
      <c r="K3806" s="3" t="str">
        <f t="shared" si="416"/>
        <v>Suriy-i-Haykal</v>
      </c>
      <c r="N3806" s="39" t="str">
        <f t="shared" si="417"/>
        <v/>
      </c>
      <c r="P3806" s="39" t="str">
        <f t="shared" si="418"/>
        <v/>
      </c>
      <c r="R3806" s="39" t="str">
        <f t="shared" si="419"/>
        <v/>
      </c>
      <c r="S3806" s="28"/>
      <c r="T3806" s="29">
        <v>41801</v>
      </c>
      <c r="U3806" s="28" t="s">
        <v>9416</v>
      </c>
    </row>
    <row r="3807" spans="1:21" s="5" customFormat="1">
      <c r="A3807" s="179" t="s">
        <v>4400</v>
      </c>
      <c r="B3807" s="185" t="s">
        <v>8172</v>
      </c>
      <c r="C3807" s="35" t="str">
        <f t="shared" si="413"/>
        <v>SuriyiHifz</v>
      </c>
      <c r="E3807" s="40"/>
      <c r="F3807" s="15" t="s">
        <v>4401</v>
      </c>
      <c r="G3807" s="17"/>
      <c r="H3807" s="10" t="s">
        <v>8563</v>
      </c>
      <c r="I3807" s="4" t="str">
        <f t="shared" si="414"/>
        <v>|Súriy-i-Ḥifẓ|</v>
      </c>
      <c r="J3807" s="3" t="str">
        <f t="shared" si="415"/>
        <v>|Suriy-i-Hifz|</v>
      </c>
      <c r="K3807" s="3" t="str">
        <f t="shared" si="416"/>
        <v>Suriy-i-Hifz</v>
      </c>
      <c r="N3807" s="39" t="str">
        <f t="shared" si="417"/>
        <v/>
      </c>
      <c r="P3807" s="39" t="str">
        <f t="shared" si="418"/>
        <v/>
      </c>
      <c r="R3807" s="39" t="str">
        <f t="shared" si="419"/>
        <v/>
      </c>
      <c r="S3807" s="28"/>
      <c r="T3807" s="28"/>
      <c r="U3807" s="28"/>
    </row>
    <row r="3808" spans="1:21" s="5" customFormat="1">
      <c r="A3808" s="179" t="s">
        <v>4402</v>
      </c>
      <c r="B3808" s="185" t="s">
        <v>8173</v>
      </c>
      <c r="C3808" s="35" t="str">
        <f t="shared" si="413"/>
        <v>SuriyiHijr</v>
      </c>
      <c r="E3808" s="40"/>
      <c r="F3808" s="15" t="s">
        <v>4403</v>
      </c>
      <c r="G3808" s="17"/>
      <c r="H3808" s="10" t="s">
        <v>8563</v>
      </c>
      <c r="I3808" s="4" t="str">
        <f t="shared" si="414"/>
        <v>|Súriy-i-Hijr|</v>
      </c>
      <c r="J3808" s="3" t="str">
        <f t="shared" si="415"/>
        <v>|Suriy-i-Hijr|</v>
      </c>
      <c r="K3808" s="3" t="str">
        <f t="shared" si="416"/>
        <v>Suriy-i-Hijr</v>
      </c>
      <c r="N3808" s="39" t="str">
        <f t="shared" si="417"/>
        <v/>
      </c>
      <c r="P3808" s="39" t="str">
        <f t="shared" si="418"/>
        <v/>
      </c>
      <c r="R3808" s="39" t="str">
        <f t="shared" si="419"/>
        <v/>
      </c>
      <c r="S3808" s="28"/>
      <c r="T3808" s="28"/>
      <c r="U3808" s="28"/>
    </row>
    <row r="3809" spans="1:21" s="5" customFormat="1">
      <c r="A3809" s="179" t="s">
        <v>4404</v>
      </c>
      <c r="B3809" s="185" t="s">
        <v>8174</v>
      </c>
      <c r="C3809" s="35" t="str">
        <f t="shared" si="413"/>
        <v>SuriyiIbad</v>
      </c>
      <c r="E3809" s="40"/>
      <c r="F3809" s="15" t="s">
        <v>4405</v>
      </c>
      <c r="G3809" s="17"/>
      <c r="H3809" s="10" t="s">
        <v>8563</v>
      </c>
      <c r="I3809" s="4" t="str">
        <f t="shared" si="414"/>
        <v>|Súriy-i-ʿIbád|</v>
      </c>
      <c r="J3809" s="3" t="str">
        <f t="shared" si="415"/>
        <v>|Suriy-i-'Ibad|</v>
      </c>
      <c r="K3809" s="3" t="str">
        <f t="shared" si="416"/>
        <v>Suriy-i-Ibad</v>
      </c>
      <c r="N3809" s="39" t="str">
        <f t="shared" si="417"/>
        <v/>
      </c>
      <c r="P3809" s="39" t="str">
        <f t="shared" si="418"/>
        <v/>
      </c>
      <c r="R3809" s="39" t="str">
        <f t="shared" si="419"/>
        <v/>
      </c>
      <c r="S3809" s="28"/>
      <c r="T3809" s="28"/>
      <c r="U3809" s="28"/>
    </row>
    <row r="3810" spans="1:21" s="5" customFormat="1">
      <c r="A3810" s="179" t="s">
        <v>4406</v>
      </c>
      <c r="B3810" s="185" t="s">
        <v>8175</v>
      </c>
      <c r="C3810" s="35" t="str">
        <f t="shared" si="413"/>
        <v>SuriyiIsm</v>
      </c>
      <c r="E3810" s="40"/>
      <c r="F3810" s="15" t="s">
        <v>4407</v>
      </c>
      <c r="G3810" s="17"/>
      <c r="H3810" s="10" t="s">
        <v>8563</v>
      </c>
      <c r="I3810" s="4" t="str">
        <f t="shared" si="414"/>
        <v>|Súriy-i-Ism|</v>
      </c>
      <c r="J3810" s="3" t="str">
        <f t="shared" si="415"/>
        <v>|Suriy-i-Ism|</v>
      </c>
      <c r="K3810" s="3" t="str">
        <f t="shared" si="416"/>
        <v>Suriy-i-Ism</v>
      </c>
      <c r="N3810" s="39" t="str">
        <f t="shared" si="417"/>
        <v/>
      </c>
      <c r="P3810" s="39" t="str">
        <f t="shared" si="418"/>
        <v/>
      </c>
      <c r="R3810" s="39" t="str">
        <f t="shared" si="419"/>
        <v/>
      </c>
      <c r="S3810" s="28"/>
      <c r="T3810" s="28"/>
      <c r="U3810" s="28"/>
    </row>
    <row r="3811" spans="1:21" s="5" customFormat="1">
      <c r="A3811" s="179" t="s">
        <v>4408</v>
      </c>
      <c r="B3811" s="185" t="s">
        <v>8176</v>
      </c>
      <c r="C3811" s="35" t="str">
        <f t="shared" si="413"/>
        <v>SuriyiIsmunalMursil</v>
      </c>
      <c r="E3811" s="40"/>
      <c r="F3811" s="15" t="s">
        <v>4409</v>
      </c>
      <c r="G3811" s="17"/>
      <c r="H3811" s="10" t="s">
        <v>8563</v>
      </c>
      <c r="I3811" s="4" t="str">
        <f t="shared" si="414"/>
        <v>|Súriy-i-Ismuna’l-Mursil|</v>
      </c>
      <c r="J3811" s="3" t="str">
        <f t="shared" si="415"/>
        <v>|Suriy-i-Ismuna'l-Mursil|</v>
      </c>
      <c r="K3811" s="3" t="str">
        <f t="shared" si="416"/>
        <v>Suriy-i-Ismunal-Mursil</v>
      </c>
      <c r="N3811" s="39" t="str">
        <f t="shared" si="417"/>
        <v/>
      </c>
      <c r="P3811" s="39" t="str">
        <f t="shared" si="418"/>
        <v/>
      </c>
      <c r="R3811" s="39" t="str">
        <f t="shared" si="419"/>
        <v/>
      </c>
      <c r="S3811" s="28"/>
      <c r="T3811" s="28"/>
      <c r="U3811" s="28"/>
    </row>
    <row r="3812" spans="1:21" s="5" customFormat="1">
      <c r="A3812" s="179" t="s">
        <v>4410</v>
      </c>
      <c r="B3812" s="185" t="s">
        <v>8177</v>
      </c>
      <c r="C3812" s="35" t="str">
        <f t="shared" si="413"/>
        <v>SuriyiJavad</v>
      </c>
      <c r="E3812" s="40"/>
      <c r="F3812" s="15" t="s">
        <v>775</v>
      </c>
      <c r="G3812" s="17"/>
      <c r="H3812" s="10" t="s">
        <v>8563</v>
      </c>
      <c r="I3812" s="4" t="str">
        <f t="shared" si="414"/>
        <v>|Súriy-i-Javád|</v>
      </c>
      <c r="J3812" s="3" t="str">
        <f t="shared" si="415"/>
        <v>|Suriy-i-Javad|</v>
      </c>
      <c r="K3812" s="3" t="str">
        <f t="shared" si="416"/>
        <v>Suriy-i-Javad</v>
      </c>
      <c r="N3812" s="39" t="str">
        <f t="shared" si="417"/>
        <v/>
      </c>
      <c r="P3812" s="39" t="str">
        <f t="shared" si="418"/>
        <v/>
      </c>
      <c r="R3812" s="39" t="str">
        <f t="shared" si="419"/>
        <v/>
      </c>
      <c r="S3812" s="28"/>
      <c r="T3812" s="28"/>
      <c r="U3812" s="28"/>
    </row>
    <row r="3813" spans="1:21" s="5" customFormat="1">
      <c r="A3813" s="179" t="s">
        <v>4411</v>
      </c>
      <c r="B3813" s="185" t="s">
        <v>8178</v>
      </c>
      <c r="C3813" s="35" t="str">
        <f t="shared" si="413"/>
        <v>SuriyiKhitab</v>
      </c>
      <c r="E3813" s="40"/>
      <c r="F3813" s="15" t="s">
        <v>4412</v>
      </c>
      <c r="G3813" s="17"/>
      <c r="H3813" s="10" t="s">
        <v>8563</v>
      </c>
      <c r="I3813" s="4" t="str">
        <f t="shared" si="414"/>
        <v>|Súriy-i-iṭáb|</v>
      </c>
      <c r="J3813" s="3" t="str">
        <f t="shared" si="415"/>
        <v>|Suriy-i-Khitab|</v>
      </c>
      <c r="K3813" s="3" t="str">
        <f t="shared" si="416"/>
        <v>Suriy-i-Khitab</v>
      </c>
      <c r="N3813" s="39" t="str">
        <f t="shared" si="417"/>
        <v/>
      </c>
      <c r="P3813" s="39" t="str">
        <f t="shared" si="418"/>
        <v/>
      </c>
      <c r="R3813" s="39" t="str">
        <f t="shared" si="419"/>
        <v/>
      </c>
      <c r="S3813" s="28"/>
      <c r="T3813" s="28"/>
      <c r="U3813" s="28"/>
    </row>
    <row r="3814" spans="1:21" s="5" customFormat="1">
      <c r="A3814" s="179" t="s">
        <v>4413</v>
      </c>
      <c r="B3814" s="185" t="s">
        <v>8179</v>
      </c>
      <c r="C3814" s="35" t="str">
        <f t="shared" si="413"/>
        <v>SuriyiMaani</v>
      </c>
      <c r="E3814" s="40"/>
      <c r="F3814" s="15" t="s">
        <v>4414</v>
      </c>
      <c r="G3814" s="17"/>
      <c r="H3814" s="10" t="s">
        <v>8563</v>
      </c>
      <c r="I3814" s="4" t="str">
        <f t="shared" si="414"/>
        <v>|Súriy-i-Maʿání|</v>
      </c>
      <c r="J3814" s="3" t="str">
        <f t="shared" si="415"/>
        <v>|Suriy-i-Ma'ani|</v>
      </c>
      <c r="K3814" s="3" t="str">
        <f t="shared" si="416"/>
        <v>Suriy-i-Maani</v>
      </c>
      <c r="N3814" s="39" t="str">
        <f t="shared" si="417"/>
        <v/>
      </c>
      <c r="P3814" s="39" t="str">
        <f t="shared" si="418"/>
        <v/>
      </c>
      <c r="R3814" s="39" t="str">
        <f t="shared" si="419"/>
        <v/>
      </c>
      <c r="S3814" s="28"/>
      <c r="T3814" s="28"/>
      <c r="U3814" s="28"/>
    </row>
    <row r="3815" spans="1:21" s="5" customFormat="1">
      <c r="A3815" s="179" t="s">
        <v>4415</v>
      </c>
      <c r="B3815" s="185" t="s">
        <v>8180</v>
      </c>
      <c r="C3815" s="35" t="str">
        <f t="shared" si="413"/>
        <v>SuriyiMan</v>
      </c>
      <c r="E3815" s="40"/>
      <c r="F3815" s="15" t="s">
        <v>4416</v>
      </c>
      <c r="G3815" s="17"/>
      <c r="H3815" s="10" t="s">
        <v>8563</v>
      </c>
      <c r="I3815" s="4" t="str">
        <f t="shared" si="414"/>
        <v>|Súriy-i-Manʿ|</v>
      </c>
      <c r="J3815" s="3" t="str">
        <f t="shared" si="415"/>
        <v>|Suriy-i-Man'|</v>
      </c>
      <c r="K3815" s="3" t="str">
        <f t="shared" si="416"/>
        <v>Suriy-i-Man</v>
      </c>
      <c r="N3815" s="39" t="str">
        <f t="shared" si="417"/>
        <v/>
      </c>
      <c r="P3815" s="39" t="str">
        <f t="shared" si="418"/>
        <v/>
      </c>
      <c r="R3815" s="39" t="str">
        <f t="shared" si="419"/>
        <v/>
      </c>
      <c r="S3815" s="28"/>
      <c r="T3815" s="28"/>
      <c r="U3815" s="28"/>
    </row>
    <row r="3816" spans="1:21" s="5" customFormat="1">
      <c r="A3816" s="179" t="s">
        <v>4417</v>
      </c>
      <c r="B3816" s="185" t="s">
        <v>8181</v>
      </c>
      <c r="C3816" s="35" t="str">
        <f t="shared" si="413"/>
        <v>SuriyiMuluk</v>
      </c>
      <c r="E3816" s="40"/>
      <c r="F3816" s="14" t="s">
        <v>4418</v>
      </c>
      <c r="G3816" s="17"/>
      <c r="H3816" s="10" t="s">
        <v>8563</v>
      </c>
      <c r="I3816" s="4" t="str">
        <f t="shared" si="414"/>
        <v>|Súriy-i-Mulúk|</v>
      </c>
      <c r="J3816" s="3" t="str">
        <f t="shared" si="415"/>
        <v>|Suriy-i-Muluk|</v>
      </c>
      <c r="K3816" s="3" t="str">
        <f t="shared" si="416"/>
        <v>Suriy-i-Muluk</v>
      </c>
      <c r="N3816" s="39" t="str">
        <f t="shared" si="417"/>
        <v/>
      </c>
      <c r="P3816" s="39" t="str">
        <f t="shared" si="418"/>
        <v/>
      </c>
      <c r="R3816" s="39" t="str">
        <f t="shared" si="419"/>
        <v/>
      </c>
      <c r="S3816" s="28"/>
      <c r="T3816" s="28"/>
      <c r="U3816" s="28"/>
    </row>
    <row r="3817" spans="1:21" s="5" customFormat="1">
      <c r="A3817" s="179" t="s">
        <v>4419</v>
      </c>
      <c r="B3817" s="185" t="s">
        <v>8182</v>
      </c>
      <c r="C3817" s="35" t="str">
        <f t="shared" si="413"/>
        <v>SuriyiNida</v>
      </c>
      <c r="E3817" s="40"/>
      <c r="F3817" s="15" t="s">
        <v>4420</v>
      </c>
      <c r="G3817" s="17"/>
      <c r="H3817" s="10" t="s">
        <v>8563</v>
      </c>
      <c r="I3817" s="4" t="str">
        <f t="shared" si="414"/>
        <v>|Súriy-i-Nidá|</v>
      </c>
      <c r="J3817" s="3" t="str">
        <f t="shared" si="415"/>
        <v>|Suriy-i-Nida|</v>
      </c>
      <c r="K3817" s="3" t="str">
        <f t="shared" si="416"/>
        <v>Suriy-i-Nida</v>
      </c>
      <c r="N3817" s="39" t="str">
        <f t="shared" si="417"/>
        <v/>
      </c>
      <c r="P3817" s="39" t="str">
        <f t="shared" si="418"/>
        <v/>
      </c>
      <c r="R3817" s="39" t="str">
        <f t="shared" si="419"/>
        <v/>
      </c>
      <c r="S3817" s="28"/>
      <c r="T3817" s="28"/>
      <c r="U3817" s="28"/>
    </row>
    <row r="3818" spans="1:21" s="5" customFormat="1">
      <c r="A3818" s="179" t="s">
        <v>4421</v>
      </c>
      <c r="B3818" s="185" t="s">
        <v>8183</v>
      </c>
      <c r="C3818" s="35" t="str">
        <f t="shared" si="413"/>
        <v>SuriyiNush</v>
      </c>
      <c r="E3818" s="40"/>
      <c r="F3818" s="15" t="s">
        <v>4422</v>
      </c>
      <c r="G3818" s="17"/>
      <c r="H3818" s="10" t="s">
        <v>8563</v>
      </c>
      <c r="I3818" s="4" t="str">
        <f t="shared" si="414"/>
        <v>|Súriy-i-Nuṣḥ|</v>
      </c>
      <c r="J3818" s="3" t="str">
        <f t="shared" si="415"/>
        <v>|Suriy-i-Nush|</v>
      </c>
      <c r="K3818" s="3" t="str">
        <f t="shared" si="416"/>
        <v>Suriy-i-Nush</v>
      </c>
      <c r="N3818" s="39" t="str">
        <f t="shared" si="417"/>
        <v/>
      </c>
      <c r="P3818" s="39" t="str">
        <f t="shared" si="418"/>
        <v/>
      </c>
      <c r="R3818" s="39" t="str">
        <f t="shared" si="419"/>
        <v/>
      </c>
      <c r="S3818" s="28"/>
      <c r="T3818" s="28"/>
      <c r="U3818" s="28"/>
    </row>
    <row r="3819" spans="1:21" s="5" customFormat="1">
      <c r="A3819" s="179" t="s">
        <v>4423</v>
      </c>
      <c r="B3819" s="185" t="s">
        <v>8184</v>
      </c>
      <c r="C3819" s="35" t="str">
        <f t="shared" si="413"/>
        <v>SuriyiQadir</v>
      </c>
      <c r="E3819" s="40"/>
      <c r="F3819" s="15" t="s">
        <v>4424</v>
      </c>
      <c r="G3819" s="17"/>
      <c r="H3819" s="10" t="s">
        <v>8563</v>
      </c>
      <c r="I3819" s="4" t="str">
        <f t="shared" si="414"/>
        <v>|Súriy-i-Qadír|</v>
      </c>
      <c r="J3819" s="3" t="str">
        <f t="shared" si="415"/>
        <v>|Suriy-i-Qadir|</v>
      </c>
      <c r="K3819" s="3" t="str">
        <f t="shared" si="416"/>
        <v>Suriy-i-Qadir</v>
      </c>
      <c r="N3819" s="39" t="str">
        <f t="shared" si="417"/>
        <v/>
      </c>
      <c r="P3819" s="39" t="str">
        <f t="shared" si="418"/>
        <v/>
      </c>
      <c r="R3819" s="39" t="str">
        <f t="shared" si="419"/>
        <v/>
      </c>
      <c r="S3819" s="28"/>
      <c r="T3819" s="28"/>
      <c r="U3819" s="28"/>
    </row>
    <row r="3820" spans="1:21" s="5" customFormat="1">
      <c r="A3820" s="179" t="s">
        <v>4425</v>
      </c>
      <c r="B3820" s="185" t="s">
        <v>8185</v>
      </c>
      <c r="C3820" s="35" t="str">
        <f t="shared" si="413"/>
        <v>SuriyiQahir</v>
      </c>
      <c r="E3820" s="40"/>
      <c r="F3820" s="15" t="s">
        <v>4426</v>
      </c>
      <c r="G3820" s="17"/>
      <c r="H3820" s="10" t="s">
        <v>8563</v>
      </c>
      <c r="I3820" s="4" t="str">
        <f t="shared" si="414"/>
        <v>|Súriy-i-Qahír|</v>
      </c>
      <c r="J3820" s="3" t="str">
        <f t="shared" si="415"/>
        <v>|Suriy-i-Qahir|</v>
      </c>
      <c r="K3820" s="3" t="str">
        <f t="shared" si="416"/>
        <v>Suriy-i-Qahir</v>
      </c>
      <c r="N3820" s="39" t="str">
        <f t="shared" si="417"/>
        <v/>
      </c>
      <c r="P3820" s="39" t="str">
        <f t="shared" si="418"/>
        <v/>
      </c>
      <c r="R3820" s="39" t="str">
        <f t="shared" si="419"/>
        <v/>
      </c>
      <c r="S3820" s="28"/>
      <c r="T3820" s="28"/>
      <c r="U3820" s="28"/>
    </row>
    <row r="3821" spans="1:21" s="5" customFormat="1">
      <c r="A3821" s="179" t="s">
        <v>4427</v>
      </c>
      <c r="B3821" s="185" t="s">
        <v>8186</v>
      </c>
      <c r="C3821" s="35" t="str">
        <f t="shared" si="413"/>
        <v>SuriyiQalam</v>
      </c>
      <c r="E3821" s="40"/>
      <c r="F3821" s="15" t="s">
        <v>4428</v>
      </c>
      <c r="G3821" s="17"/>
      <c r="H3821" s="10" t="s">
        <v>8563</v>
      </c>
      <c r="I3821" s="4" t="str">
        <f t="shared" si="414"/>
        <v>|Súriy-i-Qalam|</v>
      </c>
      <c r="J3821" s="3" t="str">
        <f t="shared" si="415"/>
        <v>|Suriy-i-Qalam|</v>
      </c>
      <c r="K3821" s="3" t="str">
        <f t="shared" si="416"/>
        <v>Suriy-i-Qalam</v>
      </c>
      <c r="N3821" s="39" t="str">
        <f t="shared" si="417"/>
        <v/>
      </c>
      <c r="P3821" s="39" t="str">
        <f t="shared" si="418"/>
        <v/>
      </c>
      <c r="R3821" s="39" t="str">
        <f t="shared" si="419"/>
        <v/>
      </c>
      <c r="S3821" s="28"/>
      <c r="T3821" s="28"/>
      <c r="U3821" s="28"/>
    </row>
    <row r="3822" spans="1:21" s="5" customFormat="1">
      <c r="A3822" s="179" t="s">
        <v>4429</v>
      </c>
      <c r="B3822" s="185" t="s">
        <v>8187</v>
      </c>
      <c r="C3822" s="35" t="str">
        <f t="shared" si="413"/>
        <v>SuriyiQamis</v>
      </c>
      <c r="E3822" s="40"/>
      <c r="F3822" s="15" t="s">
        <v>4430</v>
      </c>
      <c r="G3822" s="17"/>
      <c r="H3822" s="10" t="s">
        <v>8563</v>
      </c>
      <c r="I3822" s="4" t="str">
        <f t="shared" si="414"/>
        <v>|Súriy-i-Qamíṣ|</v>
      </c>
      <c r="J3822" s="3" t="str">
        <f t="shared" si="415"/>
        <v>|Suriy-i-Qamis|</v>
      </c>
      <c r="K3822" s="3" t="str">
        <f t="shared" si="416"/>
        <v>Suriy-i-Qamis</v>
      </c>
      <c r="N3822" s="39" t="str">
        <f t="shared" si="417"/>
        <v/>
      </c>
      <c r="P3822" s="39" t="str">
        <f t="shared" si="418"/>
        <v/>
      </c>
      <c r="R3822" s="39" t="str">
        <f t="shared" si="419"/>
        <v/>
      </c>
      <c r="S3822" s="28"/>
      <c r="T3822" s="28"/>
      <c r="U3822" s="28"/>
    </row>
    <row r="3823" spans="1:21" s="5" customFormat="1">
      <c r="A3823" s="179" t="s">
        <v>4431</v>
      </c>
      <c r="B3823" s="185" t="s">
        <v>8188</v>
      </c>
      <c r="C3823" s="35" t="str">
        <f t="shared" si="413"/>
        <v>SuriyiRais</v>
      </c>
      <c r="E3823" s="40"/>
      <c r="F3823" s="14"/>
      <c r="G3823" s="17"/>
      <c r="H3823" s="10" t="s">
        <v>8563</v>
      </c>
      <c r="I3823" s="4" t="str">
        <f t="shared" si="414"/>
        <v>|Súriy-i-Ra’ís|</v>
      </c>
      <c r="J3823" s="3" t="str">
        <f t="shared" si="415"/>
        <v>|Suriy-i-Ra'is|</v>
      </c>
      <c r="K3823" s="3" t="str">
        <f t="shared" si="416"/>
        <v>Suriy-i-Rais</v>
      </c>
      <c r="N3823" s="39" t="str">
        <f t="shared" si="417"/>
        <v/>
      </c>
      <c r="P3823" s="39" t="str">
        <f t="shared" si="418"/>
        <v/>
      </c>
      <c r="R3823" s="39" t="str">
        <f t="shared" si="419"/>
        <v/>
      </c>
      <c r="S3823" s="28"/>
      <c r="T3823" s="28"/>
      <c r="U3823" s="28"/>
    </row>
    <row r="3824" spans="1:21" s="5" customFormat="1">
      <c r="A3824" s="179" t="s">
        <v>4432</v>
      </c>
      <c r="B3824" s="185" t="s">
        <v>8189</v>
      </c>
      <c r="C3824" s="35" t="str">
        <f t="shared" si="413"/>
        <v>SuriyiSabr</v>
      </c>
      <c r="E3824" s="40"/>
      <c r="F3824" s="14"/>
      <c r="G3824" s="17"/>
      <c r="H3824" s="10" t="s">
        <v>8563</v>
      </c>
      <c r="I3824" s="4" t="str">
        <f t="shared" si="414"/>
        <v>|Súriy-i-Ṣabr|</v>
      </c>
      <c r="J3824" s="3" t="str">
        <f t="shared" si="415"/>
        <v>|Suriy-i-Sabr|</v>
      </c>
      <c r="K3824" s="3" t="str">
        <f t="shared" si="416"/>
        <v>Suriy-i-Sabr</v>
      </c>
      <c r="N3824" s="39" t="str">
        <f t="shared" si="417"/>
        <v/>
      </c>
      <c r="P3824" s="39" t="str">
        <f t="shared" si="418"/>
        <v/>
      </c>
      <c r="R3824" s="39" t="str">
        <f t="shared" si="419"/>
        <v/>
      </c>
      <c r="S3824" s="28"/>
      <c r="T3824" s="28"/>
      <c r="U3824" s="28"/>
    </row>
    <row r="3825" spans="1:21" s="5" customFormat="1">
      <c r="A3825" s="179" t="s">
        <v>4433</v>
      </c>
      <c r="B3825" s="185" t="s">
        <v>8190</v>
      </c>
      <c r="C3825" s="35" t="str">
        <f t="shared" si="413"/>
        <v>SuriyiSultan</v>
      </c>
      <c r="E3825" s="40"/>
      <c r="F3825" s="15" t="s">
        <v>4434</v>
      </c>
      <c r="G3825" s="17"/>
      <c r="H3825" s="10" t="s">
        <v>8563</v>
      </c>
      <c r="I3825" s="4" t="str">
        <f t="shared" si="414"/>
        <v>|Súriy-i-Sulṭán|</v>
      </c>
      <c r="J3825" s="3" t="str">
        <f t="shared" si="415"/>
        <v>|Suriy-i-Sultan|</v>
      </c>
      <c r="K3825" s="3" t="str">
        <f t="shared" si="416"/>
        <v>Suriy-i-Sultan</v>
      </c>
      <c r="N3825" s="39" t="str">
        <f t="shared" si="417"/>
        <v/>
      </c>
      <c r="P3825" s="39" t="str">
        <f t="shared" si="418"/>
        <v/>
      </c>
      <c r="R3825" s="39" t="str">
        <f t="shared" si="419"/>
        <v/>
      </c>
      <c r="S3825" s="28"/>
      <c r="T3825" s="28"/>
      <c r="U3825" s="28"/>
    </row>
    <row r="3826" spans="1:21" s="5" customFormat="1">
      <c r="A3826" s="179" t="s">
        <v>4435</v>
      </c>
      <c r="B3826" s="185" t="s">
        <v>8191</v>
      </c>
      <c r="C3826" s="35" t="str">
        <f t="shared" si="413"/>
        <v>SuriyiTawhid</v>
      </c>
      <c r="E3826" s="40"/>
      <c r="F3826" s="15" t="s">
        <v>2573</v>
      </c>
      <c r="G3826" s="17"/>
      <c r="H3826" s="10" t="s">
        <v>8563</v>
      </c>
      <c r="I3826" s="4" t="str">
        <f t="shared" si="414"/>
        <v>|Súriy-i-Tawḥíd|</v>
      </c>
      <c r="J3826" s="3" t="str">
        <f t="shared" si="415"/>
        <v>|Suriy-i-Tawhid|</v>
      </c>
      <c r="K3826" s="3" t="str">
        <f t="shared" si="416"/>
        <v>Suriy-i-Tawhid</v>
      </c>
      <c r="N3826" s="39" t="str">
        <f t="shared" si="417"/>
        <v/>
      </c>
      <c r="P3826" s="39" t="str">
        <f t="shared" si="418"/>
        <v/>
      </c>
      <c r="R3826" s="39" t="str">
        <f t="shared" si="419"/>
        <v/>
      </c>
      <c r="S3826" s="28"/>
      <c r="T3826" s="28"/>
      <c r="U3826" s="28"/>
    </row>
    <row r="3827" spans="1:21" s="5" customFormat="1">
      <c r="A3827" s="179" t="s">
        <v>4436</v>
      </c>
      <c r="B3827" s="185" t="s">
        <v>8192</v>
      </c>
      <c r="C3827" s="35" t="str">
        <f t="shared" si="413"/>
        <v>SuriyiVafa</v>
      </c>
      <c r="E3827" s="40"/>
      <c r="F3827" s="15" t="s">
        <v>4437</v>
      </c>
      <c r="G3827" s="17"/>
      <c r="H3827" s="10" t="s">
        <v>8563</v>
      </c>
      <c r="I3827" s="4" t="str">
        <f t="shared" si="414"/>
        <v>|Súriy-i-Vafá|</v>
      </c>
      <c r="J3827" s="3" t="str">
        <f t="shared" si="415"/>
        <v>|Suriy-i-Vafa|</v>
      </c>
      <c r="K3827" s="3" t="str">
        <f t="shared" si="416"/>
        <v>Suriy-i-Vafa</v>
      </c>
      <c r="N3827" s="39" t="str">
        <f t="shared" si="417"/>
        <v/>
      </c>
      <c r="P3827" s="39" t="str">
        <f t="shared" si="418"/>
        <v/>
      </c>
      <c r="R3827" s="39" t="str">
        <f t="shared" si="419"/>
        <v/>
      </c>
      <c r="S3827" s="28"/>
      <c r="T3827" s="29">
        <v>41801</v>
      </c>
      <c r="U3827" s="28" t="s">
        <v>9488</v>
      </c>
    </row>
    <row r="3828" spans="1:21" s="5" customFormat="1">
      <c r="A3828" s="179" t="s">
        <v>4438</v>
      </c>
      <c r="B3828" s="185" t="s">
        <v>8193</v>
      </c>
      <c r="C3828" s="35" t="str">
        <f t="shared" si="413"/>
        <v>SuriyiYusif</v>
      </c>
      <c r="E3828" s="40"/>
      <c r="F3828" s="15"/>
      <c r="G3828" s="17"/>
      <c r="H3828" s="10" t="s">
        <v>8563</v>
      </c>
      <c r="I3828" s="4" t="str">
        <f t="shared" si="414"/>
        <v>|Súriy-i-Yúsif|</v>
      </c>
      <c r="J3828" s="3" t="str">
        <f t="shared" si="415"/>
        <v>|Suriy-i-Yusif|</v>
      </c>
      <c r="K3828" s="3" t="str">
        <f t="shared" si="416"/>
        <v>Suriy-i-Yusif</v>
      </c>
      <c r="N3828" s="39" t="str">
        <f t="shared" si="417"/>
        <v/>
      </c>
      <c r="P3828" s="39" t="str">
        <f t="shared" si="418"/>
        <v/>
      </c>
      <c r="R3828" s="39" t="str">
        <f t="shared" si="419"/>
        <v/>
      </c>
      <c r="S3828" s="28"/>
      <c r="T3828" s="28"/>
      <c r="U3828" s="28"/>
    </row>
    <row r="3829" spans="1:21" s="5" customFormat="1">
      <c r="A3829" s="179" t="s">
        <v>4439</v>
      </c>
      <c r="B3829" s="185" t="s">
        <v>8194</v>
      </c>
      <c r="C3829" s="35" t="str">
        <f t="shared" si="413"/>
        <v>SuriyiZiyarat</v>
      </c>
      <c r="E3829" s="40"/>
      <c r="F3829" s="15" t="s">
        <v>4440</v>
      </c>
      <c r="G3829" s="17"/>
      <c r="H3829" s="10" t="s">
        <v>8563</v>
      </c>
      <c r="I3829" s="4" t="str">
        <f t="shared" si="414"/>
        <v>|Súriy-i-Zíyárat|</v>
      </c>
      <c r="J3829" s="3" t="str">
        <f t="shared" si="415"/>
        <v>|Suriy-i-Ziyarat|</v>
      </c>
      <c r="K3829" s="3" t="str">
        <f t="shared" si="416"/>
        <v>Suriy-i-Ziyarat</v>
      </c>
      <c r="N3829" s="39" t="str">
        <f t="shared" si="417"/>
        <v/>
      </c>
      <c r="P3829" s="39" t="str">
        <f t="shared" si="418"/>
        <v/>
      </c>
      <c r="R3829" s="39" t="str">
        <f t="shared" si="419"/>
        <v/>
      </c>
      <c r="S3829" s="28"/>
      <c r="T3829" s="28"/>
      <c r="U3829" s="28"/>
    </row>
    <row r="3830" spans="1:21" s="5" customFormat="1">
      <c r="A3830" s="179" t="s">
        <v>4441</v>
      </c>
      <c r="B3830" s="185" t="s">
        <v>8195</v>
      </c>
      <c r="C3830" s="35" t="str">
        <f t="shared" si="413"/>
        <v>SuriyiZiyarih</v>
      </c>
      <c r="E3830" s="40"/>
      <c r="F3830" s="15" t="s">
        <v>4442</v>
      </c>
      <c r="G3830" s="17"/>
      <c r="H3830" s="10" t="s">
        <v>8563</v>
      </c>
      <c r="I3830" s="4" t="str">
        <f t="shared" si="414"/>
        <v>|Súriy-i-Zíyárih|</v>
      </c>
      <c r="J3830" s="3" t="str">
        <f t="shared" si="415"/>
        <v>|Suriy-i-Ziyarih|</v>
      </c>
      <c r="K3830" s="3" t="str">
        <f t="shared" si="416"/>
        <v>Suriy-i-Ziyarih</v>
      </c>
      <c r="N3830" s="39" t="str">
        <f t="shared" si="417"/>
        <v/>
      </c>
      <c r="P3830" s="39" t="str">
        <f t="shared" si="418"/>
        <v/>
      </c>
      <c r="R3830" s="39" t="str">
        <f t="shared" si="419"/>
        <v/>
      </c>
      <c r="S3830" s="28"/>
      <c r="T3830" s="28"/>
      <c r="U3830" s="28"/>
    </row>
    <row r="3831" spans="1:21" s="5" customFormat="1">
      <c r="A3831" s="179" t="s">
        <v>4443</v>
      </c>
      <c r="B3831" s="185" t="s">
        <v>8196</v>
      </c>
      <c r="C3831" s="35" t="str">
        <f t="shared" si="413"/>
        <v>SuriyiZuhur</v>
      </c>
      <c r="E3831" s="40"/>
      <c r="F3831" s="15" t="s">
        <v>775</v>
      </c>
      <c r="G3831" s="17"/>
      <c r="H3831" s="10" t="s">
        <v>8563</v>
      </c>
      <c r="I3831" s="4" t="str">
        <f t="shared" si="414"/>
        <v>|Súriy-i-Ẓuhúr|</v>
      </c>
      <c r="J3831" s="3" t="str">
        <f t="shared" si="415"/>
        <v>|Suriy-i-Zuhur|</v>
      </c>
      <c r="K3831" s="3" t="str">
        <f t="shared" si="416"/>
        <v>Suriy-i-Zuhur</v>
      </c>
      <c r="N3831" s="39" t="str">
        <f t="shared" si="417"/>
        <v/>
      </c>
      <c r="P3831" s="39" t="str">
        <f t="shared" si="418"/>
        <v/>
      </c>
      <c r="R3831" s="39" t="str">
        <f t="shared" si="419"/>
        <v/>
      </c>
      <c r="S3831" s="28"/>
      <c r="T3831" s="28"/>
      <c r="U3831" s="28"/>
    </row>
    <row r="3832" spans="1:21" s="5" customFormat="1">
      <c r="A3832" s="181"/>
      <c r="B3832" s="185" t="s">
        <v>8640</v>
      </c>
      <c r="C3832" s="35" t="str">
        <f t="shared" si="413"/>
        <v>SurramanRaa</v>
      </c>
      <c r="D3832" s="1"/>
      <c r="E3832" s="40"/>
      <c r="F3832" s="12"/>
      <c r="G3832" s="9"/>
      <c r="H3832" s="12" t="s">
        <v>8622</v>
      </c>
      <c r="I3832" s="4" t="str">
        <f t="shared" si="414"/>
        <v>|Surra-man-Ra’á|</v>
      </c>
      <c r="J3832" s="3" t="str">
        <f t="shared" si="415"/>
        <v>|Surra-man-Ra'a|</v>
      </c>
      <c r="K3832" s="3" t="str">
        <f t="shared" si="416"/>
        <v>Surra-man-Raa</v>
      </c>
      <c r="N3832" s="39" t="str">
        <f t="shared" si="417"/>
        <v/>
      </c>
      <c r="P3832" s="39" t="str">
        <f t="shared" si="418"/>
        <v/>
      </c>
      <c r="R3832" s="39" t="str">
        <f t="shared" si="419"/>
        <v/>
      </c>
      <c r="S3832" s="29">
        <v>41760</v>
      </c>
      <c r="T3832" s="28"/>
      <c r="U3832" s="28"/>
    </row>
    <row r="3833" spans="1:21" s="5" customFormat="1">
      <c r="A3833" s="179" t="s">
        <v>4444</v>
      </c>
      <c r="B3833" s="185" t="s">
        <v>8197</v>
      </c>
      <c r="C3833" s="35" t="str">
        <f t="shared" si="413"/>
        <v>Suud</v>
      </c>
      <c r="E3833" s="40"/>
      <c r="F3833" s="15"/>
      <c r="G3833" s="17"/>
      <c r="H3833" s="10" t="s">
        <v>8563</v>
      </c>
      <c r="I3833" s="4" t="str">
        <f t="shared" si="414"/>
        <v>|Ṣuʿúd|</v>
      </c>
      <c r="J3833" s="3" t="str">
        <f t="shared" si="415"/>
        <v>|Su'ud|</v>
      </c>
      <c r="K3833" s="3" t="str">
        <f t="shared" si="416"/>
        <v>Suud</v>
      </c>
      <c r="N3833" s="39" t="str">
        <f t="shared" si="417"/>
        <v/>
      </c>
      <c r="P3833" s="39" t="str">
        <f t="shared" si="418"/>
        <v/>
      </c>
      <c r="R3833" s="39" t="str">
        <f t="shared" si="419"/>
        <v/>
      </c>
      <c r="S3833" s="28"/>
      <c r="T3833" s="28"/>
      <c r="U3833" s="28"/>
    </row>
    <row r="3834" spans="1:21" s="5" customFormat="1">
      <c r="A3834" s="179" t="s">
        <v>4445</v>
      </c>
      <c r="B3834" s="185" t="s">
        <v>8198</v>
      </c>
      <c r="C3834" s="35" t="str">
        <f t="shared" si="413"/>
        <v>SuvariIlmiyyih</v>
      </c>
      <c r="E3834" s="40"/>
      <c r="F3834" s="15"/>
      <c r="G3834" s="17"/>
      <c r="H3834" s="10" t="s">
        <v>8563</v>
      </c>
      <c r="I3834" s="4" t="str">
        <f t="shared" si="414"/>
        <v>|Ṣuvar-i-ʿIlmíyyih|</v>
      </c>
      <c r="J3834" s="3" t="str">
        <f t="shared" si="415"/>
        <v>|Suvar-i-'Ilmiyyih|</v>
      </c>
      <c r="K3834" s="3" t="str">
        <f t="shared" si="416"/>
        <v>Suvar-i-Ilmiyyih</v>
      </c>
      <c r="N3834" s="39" t="str">
        <f t="shared" si="417"/>
        <v/>
      </c>
      <c r="P3834" s="39" t="str">
        <f t="shared" si="418"/>
        <v/>
      </c>
      <c r="R3834" s="39" t="str">
        <f t="shared" si="419"/>
        <v/>
      </c>
      <c r="S3834" s="28"/>
      <c r="T3834" s="28"/>
      <c r="U3834" s="28"/>
    </row>
    <row r="3835" spans="1:21" s="5" customFormat="1">
      <c r="A3835" s="179" t="s">
        <v>4446</v>
      </c>
      <c r="B3835" s="185" t="s">
        <v>8199</v>
      </c>
      <c r="C3835" s="35" t="str">
        <f t="shared" si="413"/>
        <v>Suyuti</v>
      </c>
      <c r="E3835" s="40"/>
      <c r="F3835" s="15"/>
      <c r="G3835" s="17"/>
      <c r="H3835" s="10" t="s">
        <v>8563</v>
      </c>
      <c r="I3835" s="4" t="str">
        <f t="shared" si="414"/>
        <v>|Suyúṭí|</v>
      </c>
      <c r="J3835" s="3" t="str">
        <f t="shared" si="415"/>
        <v>|Suyuti|</v>
      </c>
      <c r="K3835" s="3" t="str">
        <f t="shared" si="416"/>
        <v>Suyuti</v>
      </c>
      <c r="N3835" s="39" t="str">
        <f t="shared" si="417"/>
        <v/>
      </c>
      <c r="P3835" s="39" t="str">
        <f t="shared" si="418"/>
        <v/>
      </c>
      <c r="R3835" s="39" t="str">
        <f t="shared" si="419"/>
        <v/>
      </c>
      <c r="S3835" s="28"/>
      <c r="T3835" s="28"/>
      <c r="U3835" s="28"/>
    </row>
    <row r="3836" spans="1:21" s="5" customFormat="1">
      <c r="A3836" s="179" t="s">
        <v>4447</v>
      </c>
      <c r="B3836" s="185" t="s">
        <v>8200</v>
      </c>
      <c r="C3836" s="35" t="str">
        <f t="shared" si="413"/>
        <v>Ta</v>
      </c>
      <c r="E3836" s="40" t="s">
        <v>9115</v>
      </c>
      <c r="F3836" s="14"/>
      <c r="G3836" s="17"/>
      <c r="H3836" s="10" t="s">
        <v>8563</v>
      </c>
      <c r="I3836" s="4" t="str">
        <f t="shared" si="414"/>
        <v>|Tá|</v>
      </c>
      <c r="J3836" s="3" t="str">
        <f t="shared" si="415"/>
        <v>|Ta|</v>
      </c>
      <c r="K3836" s="3" t="str">
        <f t="shared" si="416"/>
        <v>Ta</v>
      </c>
      <c r="N3836" s="39" t="str">
        <f t="shared" si="417"/>
        <v/>
      </c>
      <c r="P3836" s="39" t="str">
        <f t="shared" si="418"/>
        <v/>
      </c>
      <c r="R3836" s="39" t="str">
        <f t="shared" si="419"/>
        <v/>
      </c>
      <c r="S3836" s="28"/>
      <c r="T3836" s="28"/>
      <c r="U3836" s="28"/>
    </row>
    <row r="3837" spans="1:21" s="5" customFormat="1">
      <c r="A3837" s="179" t="s">
        <v>4448</v>
      </c>
      <c r="B3837" s="185" t="s">
        <v>8201</v>
      </c>
      <c r="C3837" s="35" t="str">
        <f t="shared" si="413"/>
        <v>Ta</v>
      </c>
      <c r="E3837" s="40" t="s">
        <v>9115</v>
      </c>
      <c r="F3837" s="14" t="s">
        <v>4449</v>
      </c>
      <c r="G3837" s="17"/>
      <c r="H3837" s="10" t="s">
        <v>8563</v>
      </c>
      <c r="I3837" s="4" t="str">
        <f t="shared" si="414"/>
        <v>|Ṭá|</v>
      </c>
      <c r="J3837" s="3" t="str">
        <f t="shared" si="415"/>
        <v>|Ta|</v>
      </c>
      <c r="K3837" s="3" t="str">
        <f t="shared" si="416"/>
        <v>Ta</v>
      </c>
      <c r="N3837" s="39" t="str">
        <f t="shared" si="417"/>
        <v/>
      </c>
      <c r="P3837" s="39" t="str">
        <f t="shared" si="418"/>
        <v/>
      </c>
      <c r="R3837" s="39" t="str">
        <f t="shared" si="419"/>
        <v/>
      </c>
      <c r="S3837" s="28"/>
      <c r="T3837" s="28"/>
      <c r="U3837" s="28"/>
    </row>
    <row r="3838" spans="1:21" s="5" customFormat="1">
      <c r="A3838" s="179" t="s">
        <v>4450</v>
      </c>
      <c r="B3838" s="185" t="s">
        <v>8202</v>
      </c>
      <c r="C3838" s="35" t="str">
        <f t="shared" si="413"/>
        <v>Taah</v>
      </c>
      <c r="E3838" s="40"/>
      <c r="F3838" s="15"/>
      <c r="G3838" s="17"/>
      <c r="H3838" s="10" t="s">
        <v>8563</v>
      </c>
      <c r="I3838" s="4" t="str">
        <f t="shared" si="414"/>
        <v>|Ṭáʿah|</v>
      </c>
      <c r="J3838" s="3" t="str">
        <f t="shared" si="415"/>
        <v>|Ta'ah|</v>
      </c>
      <c r="K3838" s="3" t="str">
        <f t="shared" si="416"/>
        <v>Taah</v>
      </c>
      <c r="N3838" s="39" t="str">
        <f t="shared" si="417"/>
        <v/>
      </c>
      <c r="P3838" s="39" t="str">
        <f t="shared" si="418"/>
        <v/>
      </c>
      <c r="R3838" s="39" t="str">
        <f t="shared" si="419"/>
        <v/>
      </c>
      <c r="S3838" s="28"/>
      <c r="T3838" s="28"/>
      <c r="U3838" s="28"/>
    </row>
    <row r="3839" spans="1:21" s="5" customFormat="1">
      <c r="A3839" s="179" t="s">
        <v>4451</v>
      </c>
      <c r="B3839" s="185" t="s">
        <v>8203</v>
      </c>
      <c r="C3839" s="35" t="str">
        <f t="shared" si="413"/>
        <v>Taaruf</v>
      </c>
      <c r="E3839" s="40"/>
      <c r="F3839" s="15"/>
      <c r="G3839" s="17"/>
      <c r="H3839" s="10" t="s">
        <v>8563</v>
      </c>
      <c r="I3839" s="4" t="str">
        <f t="shared" si="414"/>
        <v>|Taʿáruf|</v>
      </c>
      <c r="J3839" s="3" t="str">
        <f t="shared" si="415"/>
        <v>|Ta'aruf|</v>
      </c>
      <c r="K3839" s="3" t="str">
        <f t="shared" si="416"/>
        <v>Taaruf</v>
      </c>
      <c r="N3839" s="39" t="str">
        <f t="shared" si="417"/>
        <v/>
      </c>
      <c r="P3839" s="39" t="str">
        <f t="shared" si="418"/>
        <v/>
      </c>
      <c r="R3839" s="39" t="str">
        <f t="shared" si="419"/>
        <v/>
      </c>
      <c r="S3839" s="28"/>
      <c r="T3839" s="28"/>
      <c r="U3839" s="28"/>
    </row>
    <row r="3840" spans="1:21" s="5" customFormat="1">
      <c r="A3840" s="179" t="s">
        <v>4452</v>
      </c>
      <c r="B3840" s="185" t="s">
        <v>8204</v>
      </c>
      <c r="C3840" s="35" t="str">
        <f t="shared" si="413"/>
        <v>Tabandih</v>
      </c>
      <c r="E3840" s="40"/>
      <c r="F3840" s="15" t="s">
        <v>4453</v>
      </c>
      <c r="G3840" s="17"/>
      <c r="H3840" s="10" t="s">
        <v>8563</v>
      </c>
      <c r="I3840" s="4" t="str">
        <f t="shared" si="414"/>
        <v>|Tábandih|</v>
      </c>
      <c r="J3840" s="3" t="str">
        <f t="shared" si="415"/>
        <v>|Tabandih|</v>
      </c>
      <c r="K3840" s="3" t="str">
        <f t="shared" si="416"/>
        <v>Tabandih</v>
      </c>
      <c r="N3840" s="39" t="str">
        <f t="shared" si="417"/>
        <v/>
      </c>
      <c r="P3840" s="39" t="str">
        <f t="shared" si="418"/>
        <v/>
      </c>
      <c r="R3840" s="39" t="str">
        <f t="shared" si="419"/>
        <v/>
      </c>
      <c r="S3840" s="28"/>
      <c r="T3840" s="28"/>
      <c r="U3840" s="28"/>
    </row>
    <row r="3841" spans="1:21" s="5" customFormat="1">
      <c r="A3841" s="179" t="s">
        <v>4454</v>
      </c>
      <c r="B3841" s="185" t="s">
        <v>8205</v>
      </c>
      <c r="C3841" s="35" t="str">
        <f t="shared" si="413"/>
        <v>Tabaqat</v>
      </c>
      <c r="E3841" s="40"/>
      <c r="F3841" s="15"/>
      <c r="G3841" s="17"/>
      <c r="H3841" s="10" t="s">
        <v>8563</v>
      </c>
      <c r="I3841" s="4" t="str">
        <f t="shared" si="414"/>
        <v>|Ṭabaqát|</v>
      </c>
      <c r="J3841" s="3" t="str">
        <f t="shared" si="415"/>
        <v>|Tabaqat|</v>
      </c>
      <c r="K3841" s="3" t="str">
        <f t="shared" si="416"/>
        <v>Tabaqat</v>
      </c>
      <c r="N3841" s="39" t="str">
        <f t="shared" si="417"/>
        <v/>
      </c>
      <c r="P3841" s="39" t="str">
        <f t="shared" si="418"/>
        <v/>
      </c>
      <c r="R3841" s="39" t="str">
        <f t="shared" si="419"/>
        <v/>
      </c>
      <c r="S3841" s="28"/>
      <c r="T3841" s="28"/>
      <c r="U3841" s="28"/>
    </row>
    <row r="3842" spans="1:21" s="5" customFormat="1">
      <c r="A3842" s="179" t="s">
        <v>4455</v>
      </c>
      <c r="B3842" s="185" t="s">
        <v>8206</v>
      </c>
      <c r="C3842" s="35" t="str">
        <f t="shared" ref="C3842:C3905" si="420">SUBSTITUTE(SUBSTITUTE(K3842,"-","")," ","")</f>
        <v>Tabari</v>
      </c>
      <c r="E3842" s="40"/>
      <c r="F3842" s="15"/>
      <c r="G3842" s="17"/>
      <c r="H3842" s="10" t="s">
        <v>8563</v>
      </c>
      <c r="I3842" s="4" t="str">
        <f t="shared" ref="I3842:I3905" si="421">CONCATENATE("|",B3842,"|")</f>
        <v>|Ṭabarí|</v>
      </c>
      <c r="J3842" s="3" t="str">
        <f t="shared" ref="J3842:J3905" si="422">CONCATENATE("|",F_OutputASCII(B3842),"|")</f>
        <v>|Tabari|</v>
      </c>
      <c r="K3842" s="3" t="str">
        <f t="shared" ref="K3842:K3905" si="423">IF(SUBSTITUTE(MID(J3842,2,LEN(J3842)-2),"'","")&lt;&gt;"",SUBSTITUTE(MID(J3842,2,LEN(J3842)-2),"'",""),"ZZZZZ")</f>
        <v>Tabari</v>
      </c>
      <c r="N3842" s="39" t="str">
        <f t="shared" si="417"/>
        <v/>
      </c>
      <c r="P3842" s="39" t="str">
        <f t="shared" si="418"/>
        <v/>
      </c>
      <c r="R3842" s="39" t="str">
        <f t="shared" si="419"/>
        <v/>
      </c>
      <c r="S3842" s="28"/>
      <c r="T3842" s="28"/>
      <c r="U3842" s="28"/>
    </row>
    <row r="3843" spans="1:21" s="5" customFormat="1">
      <c r="A3843" s="179" t="s">
        <v>4456</v>
      </c>
      <c r="B3843" s="185" t="s">
        <v>8207</v>
      </c>
      <c r="C3843" s="35" t="str">
        <f t="shared" si="420"/>
        <v>Tabaristan</v>
      </c>
      <c r="E3843" s="40"/>
      <c r="F3843" s="15"/>
      <c r="G3843" s="17"/>
      <c r="H3843" s="10" t="s">
        <v>8563</v>
      </c>
      <c r="I3843" s="4" t="str">
        <f t="shared" si="421"/>
        <v>|Ṭabaristán|</v>
      </c>
      <c r="J3843" s="3" t="str">
        <f t="shared" si="422"/>
        <v>|Tabaristan|</v>
      </c>
      <c r="K3843" s="3" t="str">
        <f t="shared" si="423"/>
        <v>Tabaristan</v>
      </c>
      <c r="N3843" s="39" t="str">
        <f t="shared" ref="N3843:N3906" si="424">SUBSTITUTE(SUBSTITUTE(SUBSTITUTE(F_OutputASCII(M3843),"-","")," ",""),"'","")</f>
        <v/>
      </c>
      <c r="P3843" s="39" t="str">
        <f t="shared" ref="P3843:P3906" si="425">SUBSTITUTE(SUBSTITUTE(SUBSTITUTE(F_OutputASCII(O3843),"-","")," ",""),"'","")</f>
        <v/>
      </c>
      <c r="R3843" s="39" t="str">
        <f t="shared" ref="R3843:R3906" si="426">SUBSTITUTE(SUBSTITUTE(Q3843,"-","")," ","")</f>
        <v/>
      </c>
      <c r="S3843" s="28"/>
      <c r="T3843" s="28"/>
      <c r="U3843" s="28"/>
    </row>
    <row r="3844" spans="1:21" s="5" customFormat="1">
      <c r="A3844" s="179" t="s">
        <v>4457</v>
      </c>
      <c r="B3844" s="185" t="s">
        <v>8208</v>
      </c>
      <c r="C3844" s="35" t="str">
        <f t="shared" si="420"/>
        <v>Tabarsi</v>
      </c>
      <c r="E3844" s="40"/>
      <c r="F3844" s="14"/>
      <c r="G3844" s="17"/>
      <c r="H3844" s="10" t="s">
        <v>8563</v>
      </c>
      <c r="I3844" s="4" t="str">
        <f t="shared" si="421"/>
        <v>|Ṭabarsí|</v>
      </c>
      <c r="J3844" s="3" t="str">
        <f t="shared" si="422"/>
        <v>|Tabarsi|</v>
      </c>
      <c r="K3844" s="3" t="str">
        <f t="shared" si="423"/>
        <v>Tabarsi</v>
      </c>
      <c r="N3844" s="39" t="str">
        <f t="shared" si="424"/>
        <v/>
      </c>
      <c r="P3844" s="39" t="str">
        <f t="shared" si="425"/>
        <v/>
      </c>
      <c r="R3844" s="39" t="str">
        <f t="shared" si="426"/>
        <v/>
      </c>
      <c r="S3844" s="28"/>
      <c r="T3844" s="28"/>
      <c r="U3844" s="28"/>
    </row>
    <row r="3845" spans="1:21" s="5" customFormat="1">
      <c r="A3845" s="179" t="s">
        <v>4458</v>
      </c>
      <c r="B3845" s="185" t="s">
        <v>8209</v>
      </c>
      <c r="C3845" s="35" t="str">
        <f t="shared" si="420"/>
        <v>Tabas</v>
      </c>
      <c r="E3845" s="40"/>
      <c r="F3845" s="15"/>
      <c r="G3845" s="17"/>
      <c r="H3845" s="10" t="s">
        <v>8563</v>
      </c>
      <c r="I3845" s="4" t="str">
        <f t="shared" si="421"/>
        <v>|Ṭabas|</v>
      </c>
      <c r="J3845" s="3" t="str">
        <f t="shared" si="422"/>
        <v>|Tabas|</v>
      </c>
      <c r="K3845" s="3" t="str">
        <f t="shared" si="423"/>
        <v>Tabas</v>
      </c>
      <c r="N3845" s="39" t="str">
        <f t="shared" si="424"/>
        <v/>
      </c>
      <c r="P3845" s="39" t="str">
        <f t="shared" si="425"/>
        <v/>
      </c>
      <c r="R3845" s="39" t="str">
        <f t="shared" si="426"/>
        <v/>
      </c>
      <c r="S3845" s="28"/>
      <c r="T3845" s="28"/>
      <c r="U3845" s="28"/>
    </row>
    <row r="3846" spans="1:21" s="5" customFormat="1">
      <c r="A3846" s="179" t="s">
        <v>4459</v>
      </c>
      <c r="B3846" s="185" t="s">
        <v>8210</v>
      </c>
      <c r="C3846" s="35" t="str">
        <f t="shared" si="420"/>
        <v>Tabataba</v>
      </c>
      <c r="E3846" s="40"/>
      <c r="F3846" s="15" t="s">
        <v>1312</v>
      </c>
      <c r="G3846" s="17"/>
      <c r="H3846" s="10" t="s">
        <v>8563</v>
      </c>
      <c r="I3846" s="4" t="str">
        <f t="shared" si="421"/>
        <v>|Ṭabáṭabá|</v>
      </c>
      <c r="J3846" s="3" t="str">
        <f t="shared" si="422"/>
        <v>|Tabataba|</v>
      </c>
      <c r="K3846" s="3" t="str">
        <f t="shared" si="423"/>
        <v>Tabataba</v>
      </c>
      <c r="N3846" s="39" t="str">
        <f t="shared" si="424"/>
        <v/>
      </c>
      <c r="P3846" s="39" t="str">
        <f t="shared" si="425"/>
        <v/>
      </c>
      <c r="R3846" s="39" t="str">
        <f t="shared" si="426"/>
        <v/>
      </c>
      <c r="S3846" s="28"/>
      <c r="T3846" s="28"/>
      <c r="U3846" s="28"/>
    </row>
    <row r="3847" spans="1:21" s="5" customFormat="1">
      <c r="A3847" s="179" t="s">
        <v>4460</v>
      </c>
      <c r="B3847" s="185" t="s">
        <v>8211</v>
      </c>
      <c r="C3847" s="35" t="str">
        <f t="shared" si="420"/>
        <v>Tabatabai</v>
      </c>
      <c r="E3847" s="40"/>
      <c r="F3847" s="15"/>
      <c r="G3847" s="17"/>
      <c r="H3847" s="10" t="s">
        <v>8563</v>
      </c>
      <c r="I3847" s="4" t="str">
        <f t="shared" si="421"/>
        <v>|Ṭabáṭabá’í|</v>
      </c>
      <c r="J3847" s="3" t="str">
        <f t="shared" si="422"/>
        <v>|Tabataba'i|</v>
      </c>
      <c r="K3847" s="3" t="str">
        <f t="shared" si="423"/>
        <v>Tabatabai</v>
      </c>
      <c r="N3847" s="39" t="str">
        <f t="shared" si="424"/>
        <v/>
      </c>
      <c r="P3847" s="39" t="str">
        <f t="shared" si="425"/>
        <v/>
      </c>
      <c r="R3847" s="39" t="str">
        <f t="shared" si="426"/>
        <v/>
      </c>
      <c r="S3847" s="28"/>
      <c r="T3847" s="28"/>
      <c r="U3847" s="28"/>
    </row>
    <row r="3848" spans="1:21" s="5" customFormat="1">
      <c r="A3848" s="179" t="s">
        <v>4461</v>
      </c>
      <c r="B3848" s="185" t="s">
        <v>8212</v>
      </c>
      <c r="C3848" s="35" t="str">
        <f t="shared" si="420"/>
        <v>Tabib</v>
      </c>
      <c r="E3848" s="40"/>
      <c r="F3848" s="15" t="s">
        <v>4462</v>
      </c>
      <c r="G3848" s="17"/>
      <c r="H3848" s="10" t="s">
        <v>8563</v>
      </c>
      <c r="I3848" s="4" t="str">
        <f t="shared" si="421"/>
        <v>|Ṭabíb|</v>
      </c>
      <c r="J3848" s="3" t="str">
        <f t="shared" si="422"/>
        <v>|Tabib|</v>
      </c>
      <c r="K3848" s="3" t="str">
        <f t="shared" si="423"/>
        <v>Tabib</v>
      </c>
      <c r="N3848" s="39" t="str">
        <f t="shared" si="424"/>
        <v/>
      </c>
      <c r="P3848" s="39" t="str">
        <f t="shared" si="425"/>
        <v/>
      </c>
      <c r="R3848" s="39" t="str">
        <f t="shared" si="426"/>
        <v/>
      </c>
      <c r="S3848" s="28"/>
      <c r="T3848" s="28"/>
      <c r="U3848" s="28"/>
    </row>
    <row r="3849" spans="1:21" s="5" customFormat="1">
      <c r="A3849" s="179" t="s">
        <v>4463</v>
      </c>
      <c r="B3849" s="185" t="s">
        <v>8213</v>
      </c>
      <c r="C3849" s="35" t="str">
        <f t="shared" si="420"/>
        <v>Tabistan</v>
      </c>
      <c r="E3849" s="40"/>
      <c r="F3849" s="15" t="s">
        <v>4464</v>
      </c>
      <c r="G3849" s="17"/>
      <c r="H3849" s="10" t="s">
        <v>8563</v>
      </c>
      <c r="I3849" s="4" t="str">
        <f t="shared" si="421"/>
        <v>|Tábistán|</v>
      </c>
      <c r="J3849" s="3" t="str">
        <f t="shared" si="422"/>
        <v>|Tabistan|</v>
      </c>
      <c r="K3849" s="3" t="str">
        <f t="shared" si="423"/>
        <v>Tabistan</v>
      </c>
      <c r="N3849" s="39" t="str">
        <f t="shared" si="424"/>
        <v/>
      </c>
      <c r="P3849" s="39" t="str">
        <f t="shared" si="425"/>
        <v/>
      </c>
      <c r="R3849" s="39" t="str">
        <f t="shared" si="426"/>
        <v/>
      </c>
      <c r="S3849" s="28"/>
      <c r="T3849" s="28"/>
      <c r="U3849" s="28"/>
    </row>
    <row r="3850" spans="1:21" s="5" customFormat="1">
      <c r="A3850" s="179" t="s">
        <v>4465</v>
      </c>
      <c r="B3850" s="185" t="s">
        <v>8214</v>
      </c>
      <c r="C3850" s="35" t="str">
        <f t="shared" si="420"/>
        <v>Tabligh</v>
      </c>
      <c r="E3850" s="40"/>
      <c r="F3850" s="15" t="s">
        <v>8601</v>
      </c>
      <c r="G3850" s="17"/>
      <c r="H3850" s="10" t="s">
        <v>8563</v>
      </c>
      <c r="I3850" s="4" t="str">
        <f t="shared" si="421"/>
        <v>|Tablí|</v>
      </c>
      <c r="J3850" s="3" t="str">
        <f t="shared" si="422"/>
        <v>|Tabligh|</v>
      </c>
      <c r="K3850" s="3" t="str">
        <f t="shared" si="423"/>
        <v>Tabligh</v>
      </c>
      <c r="N3850" s="39" t="str">
        <f t="shared" si="424"/>
        <v/>
      </c>
      <c r="P3850" s="39" t="str">
        <f t="shared" si="425"/>
        <v/>
      </c>
      <c r="R3850" s="39" t="str">
        <f t="shared" si="426"/>
        <v/>
      </c>
      <c r="S3850" s="28"/>
      <c r="T3850" s="28"/>
      <c r="U3850" s="28"/>
    </row>
    <row r="3851" spans="1:21" s="5" customFormat="1">
      <c r="A3851" s="179" t="s">
        <v>4466</v>
      </c>
      <c r="B3851" s="185" t="s">
        <v>8215</v>
      </c>
      <c r="C3851" s="35" t="str">
        <f t="shared" si="420"/>
        <v>TablighatiIslami</v>
      </c>
      <c r="E3851" s="40"/>
      <c r="F3851" s="15"/>
      <c r="G3851" s="17"/>
      <c r="H3851" s="10" t="s">
        <v>8563</v>
      </c>
      <c r="I3851" s="4" t="str">
        <f t="shared" si="421"/>
        <v>|Tablíát-i-Islámí|</v>
      </c>
      <c r="J3851" s="3" t="str">
        <f t="shared" si="422"/>
        <v>|Tablighat-i-Islami|</v>
      </c>
      <c r="K3851" s="3" t="str">
        <f t="shared" si="423"/>
        <v>Tablighat-i-Islami</v>
      </c>
      <c r="N3851" s="39" t="str">
        <f t="shared" si="424"/>
        <v/>
      </c>
      <c r="P3851" s="39" t="str">
        <f t="shared" si="425"/>
        <v/>
      </c>
      <c r="R3851" s="39" t="str">
        <f t="shared" si="426"/>
        <v/>
      </c>
      <c r="S3851" s="28"/>
      <c r="T3851" s="28"/>
      <c r="U3851" s="28"/>
    </row>
    <row r="3852" spans="1:21" s="5" customFormat="1">
      <c r="A3852" s="179" t="s">
        <v>4467</v>
      </c>
      <c r="B3852" s="185" t="s">
        <v>47</v>
      </c>
      <c r="C3852" s="35" t="str">
        <f t="shared" si="420"/>
        <v>Tabriz</v>
      </c>
      <c r="E3852" s="40"/>
      <c r="F3852" s="14"/>
      <c r="G3852" s="17"/>
      <c r="H3852" s="10" t="s">
        <v>8563</v>
      </c>
      <c r="I3852" s="4" t="str">
        <f t="shared" si="421"/>
        <v>|Tabríz|</v>
      </c>
      <c r="J3852" s="3" t="str">
        <f t="shared" si="422"/>
        <v>|Tabriz|</v>
      </c>
      <c r="K3852" s="3" t="str">
        <f t="shared" si="423"/>
        <v>Tabriz</v>
      </c>
      <c r="N3852" s="39" t="str">
        <f t="shared" si="424"/>
        <v/>
      </c>
      <c r="P3852" s="39" t="str">
        <f t="shared" si="425"/>
        <v/>
      </c>
      <c r="R3852" s="39" t="str">
        <f t="shared" si="426"/>
        <v/>
      </c>
      <c r="S3852" s="28"/>
      <c r="T3852" s="29">
        <v>41781</v>
      </c>
      <c r="U3852" s="28" t="s">
        <v>9472</v>
      </c>
    </row>
    <row r="3853" spans="1:21" s="5" customFormat="1">
      <c r="A3853" s="179" t="s">
        <v>4468</v>
      </c>
      <c r="B3853" s="185" t="s">
        <v>8216</v>
      </c>
      <c r="C3853" s="35" t="str">
        <f t="shared" si="420"/>
        <v>Tabrizi</v>
      </c>
      <c r="E3853" s="40"/>
      <c r="F3853" s="14"/>
      <c r="G3853" s="17"/>
      <c r="H3853" s="10" t="s">
        <v>8563</v>
      </c>
      <c r="I3853" s="4" t="str">
        <f t="shared" si="421"/>
        <v>|Tabrízí|</v>
      </c>
      <c r="J3853" s="3" t="str">
        <f t="shared" si="422"/>
        <v>|Tabrizi|</v>
      </c>
      <c r="K3853" s="3" t="str">
        <f t="shared" si="423"/>
        <v>Tabrizi</v>
      </c>
      <c r="N3853" s="39" t="str">
        <f t="shared" si="424"/>
        <v/>
      </c>
      <c r="P3853" s="39" t="str">
        <f t="shared" si="425"/>
        <v/>
      </c>
      <c r="R3853" s="39" t="str">
        <f t="shared" si="426"/>
        <v/>
      </c>
      <c r="S3853" s="28"/>
      <c r="T3853" s="28"/>
      <c r="U3853" s="28"/>
    </row>
    <row r="3854" spans="1:21" s="5" customFormat="1">
      <c r="A3854" s="179" t="s">
        <v>4469</v>
      </c>
      <c r="B3854" s="185" t="s">
        <v>8217</v>
      </c>
      <c r="C3854" s="35" t="str">
        <f t="shared" si="420"/>
        <v>Tabur</v>
      </c>
      <c r="E3854" s="40"/>
      <c r="F3854" s="15"/>
      <c r="G3854" s="17"/>
      <c r="H3854" s="10" t="s">
        <v>8563</v>
      </c>
      <c r="I3854" s="4" t="str">
        <f t="shared" si="421"/>
        <v>|Tábúr|</v>
      </c>
      <c r="J3854" s="3" t="str">
        <f t="shared" si="422"/>
        <v>|Tabur|</v>
      </c>
      <c r="K3854" s="3" t="str">
        <f t="shared" si="423"/>
        <v>Tabur</v>
      </c>
      <c r="N3854" s="39" t="str">
        <f t="shared" si="424"/>
        <v/>
      </c>
      <c r="P3854" s="39" t="str">
        <f t="shared" si="425"/>
        <v/>
      </c>
      <c r="R3854" s="39" t="str">
        <f t="shared" si="426"/>
        <v/>
      </c>
      <c r="S3854" s="28"/>
      <c r="T3854" s="28"/>
      <c r="U3854" s="28"/>
    </row>
    <row r="3855" spans="1:21" s="5" customFormat="1">
      <c r="A3855" s="179" t="s">
        <v>4470</v>
      </c>
      <c r="B3855" s="185" t="s">
        <v>8218</v>
      </c>
      <c r="C3855" s="35" t="str">
        <f t="shared" si="420"/>
        <v>Tabyin</v>
      </c>
      <c r="E3855" s="40"/>
      <c r="F3855" s="15"/>
      <c r="G3855" s="17"/>
      <c r="H3855" s="10" t="s">
        <v>8563</v>
      </c>
      <c r="I3855" s="4" t="str">
        <f t="shared" si="421"/>
        <v>|Tabyín|</v>
      </c>
      <c r="J3855" s="3" t="str">
        <f t="shared" si="422"/>
        <v>|Tabyin|</v>
      </c>
      <c r="K3855" s="3" t="str">
        <f t="shared" si="423"/>
        <v>Tabyin</v>
      </c>
      <c r="N3855" s="39" t="str">
        <f t="shared" si="424"/>
        <v/>
      </c>
      <c r="P3855" s="39" t="str">
        <f t="shared" si="425"/>
        <v/>
      </c>
      <c r="R3855" s="39" t="str">
        <f t="shared" si="426"/>
        <v/>
      </c>
      <c r="S3855" s="28"/>
      <c r="T3855" s="28"/>
      <c r="U3855" s="28"/>
    </row>
    <row r="3856" spans="1:21" s="5" customFormat="1">
      <c r="A3856" s="179" t="s">
        <v>4471</v>
      </c>
      <c r="B3856" s="185" t="s">
        <v>8219</v>
      </c>
      <c r="C3856" s="35" t="str">
        <f t="shared" si="420"/>
        <v>Tadhkirat</v>
      </c>
      <c r="E3856" s="40"/>
      <c r="F3856" s="15"/>
      <c r="G3856" s="17"/>
      <c r="H3856" s="10" t="s">
        <v>8563</v>
      </c>
      <c r="I3856" s="4" t="str">
        <f t="shared" si="421"/>
        <v>|Takirat|</v>
      </c>
      <c r="J3856" s="3" t="str">
        <f t="shared" si="422"/>
        <v>|Tadhkirat|</v>
      </c>
      <c r="K3856" s="3" t="str">
        <f t="shared" si="423"/>
        <v>Tadhkirat</v>
      </c>
      <c r="N3856" s="39" t="str">
        <f t="shared" si="424"/>
        <v/>
      </c>
      <c r="P3856" s="39" t="str">
        <f t="shared" si="425"/>
        <v/>
      </c>
      <c r="R3856" s="39" t="str">
        <f t="shared" si="426"/>
        <v/>
      </c>
      <c r="S3856" s="28"/>
      <c r="T3856" s="28"/>
      <c r="U3856" s="28"/>
    </row>
    <row r="3857" spans="1:21" s="5" customFormat="1">
      <c r="A3857" s="179" t="s">
        <v>4472</v>
      </c>
      <c r="B3857" s="185" t="s">
        <v>8220</v>
      </c>
      <c r="C3857" s="35" t="str">
        <f t="shared" si="420"/>
        <v>TadhkiratulVafa</v>
      </c>
      <c r="E3857" s="40"/>
      <c r="F3857" s="15" t="s">
        <v>2640</v>
      </c>
      <c r="G3857" s="17"/>
      <c r="H3857" s="10" t="s">
        <v>8563</v>
      </c>
      <c r="I3857" s="4" t="str">
        <f t="shared" si="421"/>
        <v>|Takiratu’l-Vafá|</v>
      </c>
      <c r="J3857" s="3" t="str">
        <f t="shared" si="422"/>
        <v>|Tadhkiratu'l-Vafa|</v>
      </c>
      <c r="K3857" s="3" t="str">
        <f t="shared" si="423"/>
        <v>Tadhkiratul-Vafa</v>
      </c>
      <c r="N3857" s="39" t="str">
        <f t="shared" si="424"/>
        <v/>
      </c>
      <c r="P3857" s="39" t="str">
        <f t="shared" si="425"/>
        <v/>
      </c>
      <c r="R3857" s="39" t="str">
        <f t="shared" si="426"/>
        <v/>
      </c>
      <c r="S3857" s="28"/>
      <c r="T3857" s="28"/>
      <c r="U3857" s="28"/>
    </row>
    <row r="3858" spans="1:21" s="5" customFormat="1">
      <c r="A3858" s="179" t="s">
        <v>4473</v>
      </c>
      <c r="B3858" s="185" t="s">
        <v>8221</v>
      </c>
      <c r="C3858" s="35" t="str">
        <f t="shared" si="420"/>
        <v>Tafasir</v>
      </c>
      <c r="E3858" s="40"/>
      <c r="F3858" s="15" t="s">
        <v>4474</v>
      </c>
      <c r="G3858" s="17"/>
      <c r="H3858" s="10" t="s">
        <v>8563</v>
      </c>
      <c r="I3858" s="4" t="str">
        <f t="shared" si="421"/>
        <v>|Tafásír|</v>
      </c>
      <c r="J3858" s="3" t="str">
        <f t="shared" si="422"/>
        <v>|Tafasir|</v>
      </c>
      <c r="K3858" s="3" t="str">
        <f t="shared" si="423"/>
        <v>Tafasir</v>
      </c>
      <c r="N3858" s="39" t="str">
        <f t="shared" si="424"/>
        <v/>
      </c>
      <c r="P3858" s="39" t="str">
        <f t="shared" si="425"/>
        <v/>
      </c>
      <c r="R3858" s="39" t="str">
        <f t="shared" si="426"/>
        <v/>
      </c>
      <c r="S3858" s="28"/>
      <c r="T3858" s="28"/>
      <c r="U3858" s="28"/>
    </row>
    <row r="3859" spans="1:21" s="5" customFormat="1">
      <c r="A3859" s="179" t="s">
        <v>4475</v>
      </c>
      <c r="B3859" s="185" t="s">
        <v>8222</v>
      </c>
      <c r="C3859" s="35" t="str">
        <f t="shared" si="420"/>
        <v>Taff</v>
      </c>
      <c r="E3859" s="40"/>
      <c r="F3859" s="15"/>
      <c r="G3859" s="17"/>
      <c r="H3859" s="10" t="s">
        <v>8563</v>
      </c>
      <c r="I3859" s="4" t="str">
        <f t="shared" si="421"/>
        <v>|Ṭaff|</v>
      </c>
      <c r="J3859" s="3" t="str">
        <f t="shared" si="422"/>
        <v>|Taff|</v>
      </c>
      <c r="K3859" s="3" t="str">
        <f t="shared" si="423"/>
        <v>Taff</v>
      </c>
      <c r="N3859" s="39" t="str">
        <f t="shared" si="424"/>
        <v/>
      </c>
      <c r="P3859" s="39" t="str">
        <f t="shared" si="425"/>
        <v/>
      </c>
      <c r="R3859" s="39" t="str">
        <f t="shared" si="426"/>
        <v/>
      </c>
      <c r="S3859" s="28"/>
      <c r="T3859" s="28"/>
      <c r="U3859" s="28"/>
    </row>
    <row r="3860" spans="1:21" s="5" customFormat="1">
      <c r="A3860" s="179" t="s">
        <v>4476</v>
      </c>
      <c r="B3860" s="185" t="s">
        <v>8223</v>
      </c>
      <c r="C3860" s="35" t="str">
        <f t="shared" si="420"/>
        <v>Tafrish</v>
      </c>
      <c r="E3860" s="40"/>
      <c r="F3860" s="14"/>
      <c r="G3860" s="17"/>
      <c r="H3860" s="10" t="s">
        <v>8563</v>
      </c>
      <c r="I3860" s="4" t="str">
        <f t="shared" si="421"/>
        <v>|Tafrí|</v>
      </c>
      <c r="J3860" s="3" t="str">
        <f t="shared" si="422"/>
        <v>|Tafrish|</v>
      </c>
      <c r="K3860" s="3" t="str">
        <f t="shared" si="423"/>
        <v>Tafrish</v>
      </c>
      <c r="N3860" s="39" t="str">
        <f t="shared" si="424"/>
        <v/>
      </c>
      <c r="P3860" s="39" t="str">
        <f t="shared" si="425"/>
        <v/>
      </c>
      <c r="R3860" s="39" t="str">
        <f t="shared" si="426"/>
        <v/>
      </c>
      <c r="S3860" s="28"/>
      <c r="T3860" s="28"/>
      <c r="U3860" s="28"/>
    </row>
    <row r="3861" spans="1:21" s="5" customFormat="1">
      <c r="A3861" s="179" t="s">
        <v>4477</v>
      </c>
      <c r="B3861" s="185" t="s">
        <v>8224</v>
      </c>
      <c r="C3861" s="35" t="str">
        <f t="shared" si="420"/>
        <v>Tafrishi</v>
      </c>
      <c r="E3861" s="40"/>
      <c r="F3861" s="14"/>
      <c r="G3861" s="17"/>
      <c r="H3861" s="10" t="s">
        <v>8563</v>
      </c>
      <c r="I3861" s="4" t="str">
        <f t="shared" si="421"/>
        <v>|Tafríí|</v>
      </c>
      <c r="J3861" s="3" t="str">
        <f t="shared" si="422"/>
        <v>|Tafrishi|</v>
      </c>
      <c r="K3861" s="3" t="str">
        <f t="shared" si="423"/>
        <v>Tafrishi</v>
      </c>
      <c r="N3861" s="39" t="str">
        <f t="shared" si="424"/>
        <v/>
      </c>
      <c r="P3861" s="39" t="str">
        <f t="shared" si="425"/>
        <v/>
      </c>
      <c r="R3861" s="39" t="str">
        <f t="shared" si="426"/>
        <v/>
      </c>
      <c r="S3861" s="28"/>
      <c r="T3861" s="28"/>
      <c r="U3861" s="28"/>
    </row>
    <row r="3862" spans="1:21" s="5" customFormat="1">
      <c r="A3862" s="179" t="s">
        <v>4478</v>
      </c>
      <c r="B3862" s="185" t="s">
        <v>8225</v>
      </c>
      <c r="C3862" s="35" t="str">
        <f t="shared" si="420"/>
        <v>Tafsir</v>
      </c>
      <c r="E3862" s="40"/>
      <c r="F3862" s="15"/>
      <c r="G3862" s="17"/>
      <c r="H3862" s="10" t="s">
        <v>8563</v>
      </c>
      <c r="I3862" s="4" t="str">
        <f t="shared" si="421"/>
        <v>|Tafsír|</v>
      </c>
      <c r="J3862" s="3" t="str">
        <f t="shared" si="422"/>
        <v>|Tafsir|</v>
      </c>
      <c r="K3862" s="3" t="str">
        <f t="shared" si="423"/>
        <v>Tafsir</v>
      </c>
      <c r="N3862" s="39" t="str">
        <f t="shared" si="424"/>
        <v/>
      </c>
      <c r="P3862" s="39" t="str">
        <f t="shared" si="425"/>
        <v/>
      </c>
      <c r="R3862" s="39" t="str">
        <f t="shared" si="426"/>
        <v/>
      </c>
      <c r="S3862" s="28"/>
      <c r="T3862" s="28"/>
      <c r="U3862" s="28"/>
    </row>
    <row r="3863" spans="1:21" s="5" customFormat="1">
      <c r="A3863" s="179" t="s">
        <v>4479</v>
      </c>
      <c r="B3863" s="185" t="s">
        <v>8226</v>
      </c>
      <c r="C3863" s="35" t="str">
        <f t="shared" si="420"/>
        <v>TafsiriBismillahirRahmanirRahim</v>
      </c>
      <c r="E3863" s="40"/>
      <c r="F3863" s="15" t="s">
        <v>2640</v>
      </c>
      <c r="G3863" s="17"/>
      <c r="H3863" s="10" t="s">
        <v>8563</v>
      </c>
      <c r="I3863" s="4" t="str">
        <f t="shared" si="421"/>
        <v>|Tafsír-i-Bismi’lláhi’r-Raḥmáni’r-Raḥím|</v>
      </c>
      <c r="J3863" s="3" t="str">
        <f t="shared" si="422"/>
        <v>|Tafsir-i-Bismi'llahi'r-Rahmani'r-Rahim|</v>
      </c>
      <c r="K3863" s="3" t="str">
        <f t="shared" si="423"/>
        <v>Tafsir-i-Bismillahir-Rahmanir-Rahim</v>
      </c>
      <c r="N3863" s="39" t="str">
        <f t="shared" si="424"/>
        <v/>
      </c>
      <c r="P3863" s="39" t="str">
        <f t="shared" si="425"/>
        <v/>
      </c>
      <c r="R3863" s="39" t="str">
        <f t="shared" si="426"/>
        <v/>
      </c>
      <c r="S3863" s="28"/>
      <c r="T3863" s="28"/>
      <c r="U3863" s="28"/>
    </row>
    <row r="3864" spans="1:21" s="5" customFormat="1">
      <c r="A3864" s="179" t="s">
        <v>4480</v>
      </c>
      <c r="B3864" s="185" t="s">
        <v>8227</v>
      </c>
      <c r="C3864" s="35" t="str">
        <f t="shared" si="420"/>
        <v>Tafsirih</v>
      </c>
      <c r="E3864" s="40"/>
      <c r="F3864" s="14"/>
      <c r="G3864" s="17"/>
      <c r="H3864" s="10" t="s">
        <v>8563</v>
      </c>
      <c r="I3864" s="4" t="str">
        <f t="shared" si="421"/>
        <v>|Tafsirih|</v>
      </c>
      <c r="J3864" s="3" t="str">
        <f t="shared" si="422"/>
        <v>|Tafsirih|</v>
      </c>
      <c r="K3864" s="3" t="str">
        <f t="shared" si="423"/>
        <v>Tafsirih</v>
      </c>
      <c r="N3864" s="39" t="str">
        <f t="shared" si="424"/>
        <v/>
      </c>
      <c r="P3864" s="39" t="str">
        <f t="shared" si="425"/>
        <v/>
      </c>
      <c r="R3864" s="39" t="str">
        <f t="shared" si="426"/>
        <v/>
      </c>
      <c r="S3864" s="29"/>
      <c r="T3864" s="28"/>
      <c r="U3864" s="28"/>
    </row>
    <row r="3865" spans="1:21" s="5" customFormat="1">
      <c r="A3865" s="181"/>
      <c r="B3865" s="185" t="s">
        <v>8641</v>
      </c>
      <c r="C3865" s="35" t="str">
        <f t="shared" si="420"/>
        <v>TafsirihAyatulKursi</v>
      </c>
      <c r="D3865" s="1"/>
      <c r="E3865" s="40"/>
      <c r="F3865" s="12"/>
      <c r="G3865" s="9"/>
      <c r="H3865" s="12" t="s">
        <v>8622</v>
      </c>
      <c r="I3865" s="4" t="str">
        <f t="shared" si="421"/>
        <v>|Tafsírih Áyatu’l-Kursi|</v>
      </c>
      <c r="J3865" s="3" t="str">
        <f t="shared" si="422"/>
        <v>|Tafsirih Ayatu'l-Kursi|</v>
      </c>
      <c r="K3865" s="3" t="str">
        <f t="shared" si="423"/>
        <v>Tafsirih Ayatul-Kursi</v>
      </c>
      <c r="N3865" s="39" t="str">
        <f t="shared" si="424"/>
        <v/>
      </c>
      <c r="P3865" s="39" t="str">
        <f t="shared" si="425"/>
        <v/>
      </c>
      <c r="R3865" s="39" t="str">
        <f t="shared" si="426"/>
        <v/>
      </c>
      <c r="S3865" s="29">
        <v>41760</v>
      </c>
      <c r="T3865" s="28"/>
      <c r="U3865" s="28"/>
    </row>
    <row r="3866" spans="1:21" s="5" customFormat="1">
      <c r="A3866" s="179" t="s">
        <v>4481</v>
      </c>
      <c r="B3866" s="185" t="s">
        <v>8228</v>
      </c>
      <c r="C3866" s="35" t="str">
        <f t="shared" si="420"/>
        <v>TafsiriHu</v>
      </c>
      <c r="E3866" s="40"/>
      <c r="F3866" s="14"/>
      <c r="G3866" s="17"/>
      <c r="H3866" s="10" t="s">
        <v>8563</v>
      </c>
      <c r="I3866" s="4" t="str">
        <f t="shared" si="421"/>
        <v>|Tafsír-i-Hú|</v>
      </c>
      <c r="J3866" s="3" t="str">
        <f t="shared" si="422"/>
        <v>|Tafsir-i-Hu|</v>
      </c>
      <c r="K3866" s="3" t="str">
        <f t="shared" si="423"/>
        <v>Tafsir-i-Hu</v>
      </c>
      <c r="N3866" s="39" t="str">
        <f t="shared" si="424"/>
        <v/>
      </c>
      <c r="P3866" s="39" t="str">
        <f t="shared" si="425"/>
        <v/>
      </c>
      <c r="R3866" s="39" t="str">
        <f t="shared" si="426"/>
        <v/>
      </c>
      <c r="S3866" s="28"/>
      <c r="T3866" s="28"/>
      <c r="U3866" s="28"/>
    </row>
    <row r="3867" spans="1:21" s="5" customFormat="1">
      <c r="A3867" s="179" t="s">
        <v>4482</v>
      </c>
      <c r="B3867" s="185" t="s">
        <v>8229</v>
      </c>
      <c r="C3867" s="35" t="str">
        <f t="shared" si="420"/>
        <v>TafsiriHurufatiMuqattaih</v>
      </c>
      <c r="E3867" s="40"/>
      <c r="F3867" s="15" t="s">
        <v>4483</v>
      </c>
      <c r="G3867" s="17"/>
      <c r="H3867" s="10" t="s">
        <v>8563</v>
      </c>
      <c r="I3867" s="4" t="str">
        <f t="shared" si="421"/>
        <v>|Tafsír-i-Ḥurúfát-i-Muqaṭṭaʿih|</v>
      </c>
      <c r="J3867" s="3" t="str">
        <f t="shared" si="422"/>
        <v>|Tafsir-i-Hurufat-i-Muqatta'ih|</v>
      </c>
      <c r="K3867" s="3" t="str">
        <f t="shared" si="423"/>
        <v>Tafsir-i-Hurufat-i-Muqattaih</v>
      </c>
      <c r="N3867" s="39" t="str">
        <f t="shared" si="424"/>
        <v/>
      </c>
      <c r="P3867" s="39" t="str">
        <f t="shared" si="425"/>
        <v/>
      </c>
      <c r="R3867" s="39" t="str">
        <f t="shared" si="426"/>
        <v/>
      </c>
      <c r="S3867" s="28"/>
      <c r="T3867" s="28"/>
      <c r="U3867" s="28"/>
    </row>
    <row r="3868" spans="1:21" s="5" customFormat="1">
      <c r="A3868" s="179" t="s">
        <v>4484</v>
      </c>
      <c r="B3868" s="185" t="s">
        <v>8230</v>
      </c>
      <c r="C3868" s="35" t="str">
        <f t="shared" si="420"/>
        <v>TafsiriKuntu</v>
      </c>
      <c r="E3868" s="40"/>
      <c r="F3868" s="15"/>
      <c r="G3868" s="17"/>
      <c r="H3868" s="10" t="s">
        <v>8563</v>
      </c>
      <c r="I3868" s="4" t="str">
        <f t="shared" si="421"/>
        <v>|Tafsír-i-Kuntu|</v>
      </c>
      <c r="J3868" s="3" t="str">
        <f t="shared" si="422"/>
        <v>|Tafsir-i-Kuntu|</v>
      </c>
      <c r="K3868" s="3" t="str">
        <f t="shared" si="423"/>
        <v>Tafsir-i-Kuntu</v>
      </c>
      <c r="N3868" s="39" t="str">
        <f t="shared" si="424"/>
        <v/>
      </c>
      <c r="P3868" s="39" t="str">
        <f t="shared" si="425"/>
        <v/>
      </c>
      <c r="R3868" s="39" t="str">
        <f t="shared" si="426"/>
        <v/>
      </c>
      <c r="S3868" s="28"/>
      <c r="T3868" s="28"/>
      <c r="U3868" s="28"/>
    </row>
    <row r="3869" spans="1:21" s="5" customFormat="1">
      <c r="A3869" s="179" t="s">
        <v>4485</v>
      </c>
      <c r="B3869" s="185" t="s">
        <v>8231</v>
      </c>
      <c r="C3869" s="35" t="str">
        <f t="shared" si="420"/>
        <v>TafsiriNubuvatiKhassih</v>
      </c>
      <c r="E3869" s="40"/>
      <c r="F3869" s="15"/>
      <c r="G3869" s="17"/>
      <c r="H3869" s="10" t="s">
        <v>8563</v>
      </c>
      <c r="I3869" s="4" t="str">
        <f t="shared" si="421"/>
        <v>|Tafsír-i-Nubuvat-i-aṣṣih|</v>
      </c>
      <c r="J3869" s="3" t="str">
        <f t="shared" si="422"/>
        <v>|Tafsir-i-Nubuvat-i-Khassih|</v>
      </c>
      <c r="K3869" s="3" t="str">
        <f t="shared" si="423"/>
        <v>Tafsir-i-Nubuvat-i-Khassih</v>
      </c>
      <c r="N3869" s="39" t="str">
        <f t="shared" si="424"/>
        <v/>
      </c>
      <c r="P3869" s="39" t="str">
        <f t="shared" si="425"/>
        <v/>
      </c>
      <c r="R3869" s="39" t="str">
        <f t="shared" si="426"/>
        <v/>
      </c>
      <c r="S3869" s="28"/>
      <c r="T3869" s="28"/>
      <c r="U3869" s="28"/>
    </row>
    <row r="3870" spans="1:21" s="5" customFormat="1">
      <c r="A3870" s="179" t="s">
        <v>4486</v>
      </c>
      <c r="B3870" s="185" t="s">
        <v>8232</v>
      </c>
      <c r="C3870" s="35" t="str">
        <f t="shared" si="420"/>
        <v>TafsiriSuriyiVashShams</v>
      </c>
      <c r="E3870" s="40"/>
      <c r="F3870" s="15" t="s">
        <v>4487</v>
      </c>
      <c r="G3870" s="17"/>
      <c r="H3870" s="10" t="s">
        <v>8563</v>
      </c>
      <c r="I3870" s="4" t="str">
        <f t="shared" si="421"/>
        <v>|Tafsír-i-Súriy-i-Va’-ams|</v>
      </c>
      <c r="J3870" s="3" t="str">
        <f t="shared" si="422"/>
        <v>|Tafsir-i-Suriy-i-Va'sh-Shams|</v>
      </c>
      <c r="K3870" s="3" t="str">
        <f t="shared" si="423"/>
        <v>Tafsir-i-Suriy-i-Vash-Shams</v>
      </c>
      <c r="N3870" s="39" t="str">
        <f t="shared" si="424"/>
        <v/>
      </c>
      <c r="P3870" s="39" t="str">
        <f t="shared" si="425"/>
        <v/>
      </c>
      <c r="R3870" s="39" t="str">
        <f t="shared" si="426"/>
        <v/>
      </c>
      <c r="S3870" s="28"/>
      <c r="T3870" s="28"/>
      <c r="U3870" s="28"/>
    </row>
    <row r="3871" spans="1:21" s="5" customFormat="1">
      <c r="A3871" s="179" t="s">
        <v>4488</v>
      </c>
      <c r="B3871" s="185" t="s">
        <v>8233</v>
      </c>
      <c r="C3871" s="35" t="str">
        <f t="shared" si="420"/>
        <v>Tafti</v>
      </c>
      <c r="E3871" s="40"/>
      <c r="F3871" s="15"/>
      <c r="G3871" s="17"/>
      <c r="H3871" s="10" t="s">
        <v>8563</v>
      </c>
      <c r="I3871" s="4" t="str">
        <f t="shared" si="421"/>
        <v>|Taftí|</v>
      </c>
      <c r="J3871" s="3" t="str">
        <f t="shared" si="422"/>
        <v>|Tafti|</v>
      </c>
      <c r="K3871" s="3" t="str">
        <f t="shared" si="423"/>
        <v>Tafti</v>
      </c>
      <c r="N3871" s="39" t="str">
        <f t="shared" si="424"/>
        <v/>
      </c>
      <c r="P3871" s="39" t="str">
        <f t="shared" si="425"/>
        <v/>
      </c>
      <c r="R3871" s="39" t="str">
        <f t="shared" si="426"/>
        <v/>
      </c>
      <c r="S3871" s="28"/>
      <c r="T3871" s="28"/>
      <c r="U3871" s="28"/>
    </row>
    <row r="3872" spans="1:21" s="5" customFormat="1">
      <c r="A3872" s="179" t="s">
        <v>4489</v>
      </c>
      <c r="B3872" s="185" t="s">
        <v>8234</v>
      </c>
      <c r="C3872" s="35" t="str">
        <f t="shared" si="420"/>
        <v>Tafvid</v>
      </c>
      <c r="E3872" s="40"/>
      <c r="F3872" s="15"/>
      <c r="G3872" s="17"/>
      <c r="H3872" s="10" t="s">
        <v>8563</v>
      </c>
      <c r="I3872" s="4" t="str">
        <f t="shared" si="421"/>
        <v>|Tafvíḍ|</v>
      </c>
      <c r="J3872" s="3" t="str">
        <f t="shared" si="422"/>
        <v>|Tafvid|</v>
      </c>
      <c r="K3872" s="3" t="str">
        <f t="shared" si="423"/>
        <v>Tafvid</v>
      </c>
      <c r="N3872" s="39" t="str">
        <f t="shared" si="424"/>
        <v/>
      </c>
      <c r="P3872" s="39" t="str">
        <f t="shared" si="425"/>
        <v/>
      </c>
      <c r="R3872" s="39" t="str">
        <f t="shared" si="426"/>
        <v/>
      </c>
      <c r="S3872" s="28"/>
      <c r="T3872" s="28"/>
      <c r="U3872" s="28"/>
    </row>
    <row r="3873" spans="1:21" s="5" customFormat="1">
      <c r="A3873" s="179" t="s">
        <v>4490</v>
      </c>
      <c r="B3873" s="185" t="s">
        <v>8235</v>
      </c>
      <c r="C3873" s="35" t="str">
        <f t="shared" si="420"/>
        <v>Taghut</v>
      </c>
      <c r="E3873" s="40"/>
      <c r="F3873" s="15"/>
      <c r="G3873" s="17"/>
      <c r="H3873" s="10" t="s">
        <v>8563</v>
      </c>
      <c r="I3873" s="4" t="str">
        <f t="shared" si="421"/>
        <v>|Ṭáút|</v>
      </c>
      <c r="J3873" s="3" t="str">
        <f t="shared" si="422"/>
        <v>|Taghut|</v>
      </c>
      <c r="K3873" s="3" t="str">
        <f t="shared" si="423"/>
        <v>Taghut</v>
      </c>
      <c r="N3873" s="39" t="str">
        <f t="shared" si="424"/>
        <v/>
      </c>
      <c r="P3873" s="39" t="str">
        <f t="shared" si="425"/>
        <v/>
      </c>
      <c r="R3873" s="39" t="str">
        <f t="shared" si="426"/>
        <v/>
      </c>
      <c r="S3873" s="28"/>
      <c r="T3873" s="28"/>
      <c r="U3873" s="28"/>
    </row>
    <row r="3874" spans="1:21" s="5" customFormat="1">
      <c r="A3874" s="179" t="s">
        <v>4491</v>
      </c>
      <c r="B3874" s="185" t="s">
        <v>8236</v>
      </c>
      <c r="C3874" s="35" t="str">
        <f t="shared" si="420"/>
        <v>Tahir</v>
      </c>
      <c r="E3874" s="40"/>
      <c r="F3874" s="15"/>
      <c r="G3874" s="17"/>
      <c r="H3874" s="10" t="s">
        <v>8563</v>
      </c>
      <c r="I3874" s="4" t="str">
        <f t="shared" si="421"/>
        <v>|Ṭáhir|</v>
      </c>
      <c r="J3874" s="3" t="str">
        <f t="shared" si="422"/>
        <v>|Tahir|</v>
      </c>
      <c r="K3874" s="3" t="str">
        <f t="shared" si="423"/>
        <v>Tahir</v>
      </c>
      <c r="N3874" s="39" t="str">
        <f t="shared" si="424"/>
        <v/>
      </c>
      <c r="P3874" s="39" t="str">
        <f t="shared" si="425"/>
        <v/>
      </c>
      <c r="R3874" s="39" t="str">
        <f t="shared" si="426"/>
        <v/>
      </c>
      <c r="S3874" s="28"/>
      <c r="T3874" s="28"/>
      <c r="U3874" s="28"/>
    </row>
    <row r="3875" spans="1:21" s="5" customFormat="1">
      <c r="A3875" s="179" t="s">
        <v>4492</v>
      </c>
      <c r="B3875" s="185" t="s">
        <v>8237</v>
      </c>
      <c r="C3875" s="35" t="str">
        <f t="shared" si="420"/>
        <v>Tahiri</v>
      </c>
      <c r="E3875" s="40"/>
      <c r="F3875" s="15"/>
      <c r="G3875" s="17"/>
      <c r="H3875" s="10" t="s">
        <v>8563</v>
      </c>
      <c r="I3875" s="4" t="str">
        <f t="shared" si="421"/>
        <v>|Ṭáhirí|</v>
      </c>
      <c r="J3875" s="3" t="str">
        <f t="shared" si="422"/>
        <v>|Tahiri|</v>
      </c>
      <c r="K3875" s="3" t="str">
        <f t="shared" si="423"/>
        <v>Tahiri</v>
      </c>
      <c r="N3875" s="39" t="str">
        <f t="shared" si="424"/>
        <v/>
      </c>
      <c r="P3875" s="39" t="str">
        <f t="shared" si="425"/>
        <v/>
      </c>
      <c r="R3875" s="39" t="str">
        <f t="shared" si="426"/>
        <v/>
      </c>
      <c r="S3875" s="28"/>
      <c r="T3875" s="28"/>
      <c r="U3875" s="28"/>
    </row>
    <row r="3876" spans="1:21" s="5" customFormat="1">
      <c r="A3876" s="179" t="s">
        <v>4493</v>
      </c>
      <c r="B3876" s="185" t="s">
        <v>8238</v>
      </c>
      <c r="C3876" s="35" t="str">
        <f t="shared" si="420"/>
        <v>Tahirih</v>
      </c>
      <c r="E3876" s="40"/>
      <c r="F3876" s="14"/>
      <c r="G3876" s="17"/>
      <c r="H3876" s="10" t="s">
        <v>8563</v>
      </c>
      <c r="I3876" s="4" t="str">
        <f t="shared" si="421"/>
        <v>|Ṭáhirih|</v>
      </c>
      <c r="J3876" s="3" t="str">
        <f t="shared" si="422"/>
        <v>|Tahirih|</v>
      </c>
      <c r="K3876" s="3" t="str">
        <f t="shared" si="423"/>
        <v>Tahirih</v>
      </c>
      <c r="N3876" s="39" t="str">
        <f t="shared" si="424"/>
        <v/>
      </c>
      <c r="P3876" s="39" t="str">
        <f t="shared" si="425"/>
        <v/>
      </c>
      <c r="R3876" s="39" t="str">
        <f t="shared" si="426"/>
        <v/>
      </c>
      <c r="S3876" s="28"/>
      <c r="T3876" s="28"/>
      <c r="U3876" s="28"/>
    </row>
    <row r="3877" spans="1:21" s="5" customFormat="1">
      <c r="A3877" s="179" t="s">
        <v>4494</v>
      </c>
      <c r="B3877" s="185" t="s">
        <v>8239</v>
      </c>
      <c r="C3877" s="35" t="str">
        <f t="shared" si="420"/>
        <v>TahiriShirazi</v>
      </c>
      <c r="E3877" s="40"/>
      <c r="F3877" s="15"/>
      <c r="G3877" s="17"/>
      <c r="H3877" s="10" t="s">
        <v>8563</v>
      </c>
      <c r="I3877" s="4" t="str">
        <f t="shared" si="421"/>
        <v>|Ṭáhir-i-írází|</v>
      </c>
      <c r="J3877" s="3" t="str">
        <f t="shared" si="422"/>
        <v>|Tahir-i-Shirazi|</v>
      </c>
      <c r="K3877" s="3" t="str">
        <f t="shared" si="423"/>
        <v>Tahir-i-Shirazi</v>
      </c>
      <c r="N3877" s="39" t="str">
        <f t="shared" si="424"/>
        <v/>
      </c>
      <c r="P3877" s="39" t="str">
        <f t="shared" si="425"/>
        <v/>
      </c>
      <c r="R3877" s="39" t="str">
        <f t="shared" si="426"/>
        <v/>
      </c>
      <c r="S3877" s="28"/>
      <c r="T3877" s="28"/>
      <c r="U3877" s="28"/>
    </row>
    <row r="3878" spans="1:21" s="5" customFormat="1">
      <c r="A3878" s="179" t="s">
        <v>4495</v>
      </c>
      <c r="B3878" s="185" t="s">
        <v>8240</v>
      </c>
      <c r="C3878" s="35" t="str">
        <f t="shared" si="420"/>
        <v>Tahirzadih</v>
      </c>
      <c r="E3878" s="40"/>
      <c r="F3878" s="15" t="s">
        <v>4496</v>
      </c>
      <c r="G3878" s="17"/>
      <c r="H3878" s="10" t="s">
        <v>8563</v>
      </c>
      <c r="I3878" s="4" t="str">
        <f t="shared" si="421"/>
        <v>|Ṭáhirzádih|</v>
      </c>
      <c r="J3878" s="3" t="str">
        <f t="shared" si="422"/>
        <v>|Tahirzadih|</v>
      </c>
      <c r="K3878" s="3" t="str">
        <f t="shared" si="423"/>
        <v>Tahirzadih</v>
      </c>
      <c r="N3878" s="39" t="str">
        <f t="shared" si="424"/>
        <v/>
      </c>
      <c r="P3878" s="39" t="str">
        <f t="shared" si="425"/>
        <v/>
      </c>
      <c r="R3878" s="39" t="str">
        <f t="shared" si="426"/>
        <v/>
      </c>
      <c r="S3878" s="28"/>
      <c r="T3878" s="28"/>
      <c r="U3878" s="28"/>
    </row>
    <row r="3879" spans="1:21" s="5" customFormat="1">
      <c r="A3879" s="179" t="s">
        <v>4497</v>
      </c>
      <c r="B3879" s="185" t="s">
        <v>8241</v>
      </c>
      <c r="C3879" s="35" t="str">
        <f t="shared" si="420"/>
        <v>Tahmasb</v>
      </c>
      <c r="E3879" s="40"/>
      <c r="F3879" s="15"/>
      <c r="G3879" s="17"/>
      <c r="H3879" s="10" t="s">
        <v>8563</v>
      </c>
      <c r="I3879" s="4" t="str">
        <f t="shared" si="421"/>
        <v>|Ṭahmásb|</v>
      </c>
      <c r="J3879" s="3" t="str">
        <f t="shared" si="422"/>
        <v>|Tahmasb|</v>
      </c>
      <c r="K3879" s="3" t="str">
        <f t="shared" si="423"/>
        <v>Tahmasb</v>
      </c>
      <c r="N3879" s="39" t="str">
        <f t="shared" si="424"/>
        <v/>
      </c>
      <c r="P3879" s="39" t="str">
        <f t="shared" si="425"/>
        <v/>
      </c>
      <c r="R3879" s="39" t="str">
        <f t="shared" si="426"/>
        <v/>
      </c>
      <c r="S3879" s="28"/>
      <c r="T3879" s="28"/>
      <c r="U3879" s="28"/>
    </row>
    <row r="3880" spans="1:21" s="5" customFormat="1">
      <c r="A3880" s="179" t="s">
        <v>4498</v>
      </c>
      <c r="B3880" s="185" t="s">
        <v>8242</v>
      </c>
      <c r="C3880" s="35" t="str">
        <f t="shared" si="420"/>
        <v>TahmasbMirza</v>
      </c>
      <c r="E3880" s="40"/>
      <c r="F3880" s="15"/>
      <c r="G3880" s="17"/>
      <c r="H3880" s="10" t="s">
        <v>8563</v>
      </c>
      <c r="I3880" s="4" t="str">
        <f t="shared" si="421"/>
        <v>|Ṭahmásb-Mírzá|</v>
      </c>
      <c r="J3880" s="3" t="str">
        <f t="shared" si="422"/>
        <v>|Tahmasb-Mirza|</v>
      </c>
      <c r="K3880" s="3" t="str">
        <f t="shared" si="423"/>
        <v>Tahmasb-Mirza</v>
      </c>
      <c r="N3880" s="39" t="str">
        <f t="shared" si="424"/>
        <v/>
      </c>
      <c r="P3880" s="39" t="str">
        <f t="shared" si="425"/>
        <v/>
      </c>
      <c r="R3880" s="39" t="str">
        <f t="shared" si="426"/>
        <v/>
      </c>
      <c r="S3880" s="28"/>
      <c r="T3880" s="28"/>
      <c r="U3880" s="28"/>
    </row>
    <row r="3881" spans="1:21" s="5" customFormat="1">
      <c r="A3881" s="181"/>
      <c r="B3881" s="185" t="s">
        <v>8642</v>
      </c>
      <c r="C3881" s="35" t="str">
        <f t="shared" si="420"/>
        <v>TahmaspMirza</v>
      </c>
      <c r="D3881" s="1"/>
      <c r="E3881" s="40"/>
      <c r="F3881" s="12"/>
      <c r="G3881" s="9"/>
      <c r="H3881" s="12" t="s">
        <v>8622</v>
      </c>
      <c r="I3881" s="4" t="str">
        <f t="shared" si="421"/>
        <v>|Ṭahmásp Mírzá|</v>
      </c>
      <c r="J3881" s="3" t="str">
        <f t="shared" si="422"/>
        <v>|Tahmasp Mirza|</v>
      </c>
      <c r="K3881" s="3" t="str">
        <f t="shared" si="423"/>
        <v>Tahmasp Mirza</v>
      </c>
      <c r="N3881" s="39" t="str">
        <f t="shared" si="424"/>
        <v/>
      </c>
      <c r="P3881" s="39" t="str">
        <f t="shared" si="425"/>
        <v/>
      </c>
      <c r="R3881" s="39" t="str">
        <f t="shared" si="426"/>
        <v/>
      </c>
      <c r="S3881" s="29">
        <v>41760</v>
      </c>
      <c r="T3881" s="28"/>
      <c r="U3881" s="28"/>
    </row>
    <row r="3882" spans="1:21" s="5" customFormat="1">
      <c r="A3882" s="179" t="s">
        <v>4499</v>
      </c>
      <c r="B3882" s="185" t="s">
        <v>8243</v>
      </c>
      <c r="C3882" s="35" t="str">
        <f t="shared" si="420"/>
        <v>Tahqiqi</v>
      </c>
      <c r="E3882" s="40"/>
      <c r="F3882" s="15"/>
      <c r="G3882" s="17"/>
      <c r="H3882" s="10" t="s">
        <v>8563</v>
      </c>
      <c r="I3882" s="4" t="str">
        <f t="shared" si="421"/>
        <v>|Taḥqíqí|</v>
      </c>
      <c r="J3882" s="3" t="str">
        <f t="shared" si="422"/>
        <v>|Tahqiqi|</v>
      </c>
      <c r="K3882" s="3" t="str">
        <f t="shared" si="423"/>
        <v>Tahqiqi</v>
      </c>
      <c r="N3882" s="39" t="str">
        <f t="shared" si="424"/>
        <v/>
      </c>
      <c r="P3882" s="39" t="str">
        <f t="shared" si="425"/>
        <v/>
      </c>
      <c r="R3882" s="39" t="str">
        <f t="shared" si="426"/>
        <v/>
      </c>
      <c r="S3882" s="28"/>
      <c r="T3882" s="28"/>
      <c r="U3882" s="28"/>
    </row>
    <row r="3883" spans="1:21" s="5" customFormat="1">
      <c r="A3883" s="179" t="s">
        <v>4500</v>
      </c>
      <c r="B3883" s="185" t="s">
        <v>8244</v>
      </c>
      <c r="C3883" s="35" t="str">
        <f t="shared" si="420"/>
        <v>Tahrif</v>
      </c>
      <c r="E3883" s="40"/>
      <c r="F3883" s="15"/>
      <c r="G3883" s="17"/>
      <c r="H3883" s="10" t="s">
        <v>8563</v>
      </c>
      <c r="I3883" s="4" t="str">
        <f t="shared" si="421"/>
        <v>|Taḥríf|</v>
      </c>
      <c r="J3883" s="3" t="str">
        <f t="shared" si="422"/>
        <v>|Tahrif|</v>
      </c>
      <c r="K3883" s="3" t="str">
        <f t="shared" si="423"/>
        <v>Tahrif</v>
      </c>
      <c r="N3883" s="39" t="str">
        <f t="shared" si="424"/>
        <v/>
      </c>
      <c r="P3883" s="39" t="str">
        <f t="shared" si="425"/>
        <v/>
      </c>
      <c r="R3883" s="39" t="str">
        <f t="shared" si="426"/>
        <v/>
      </c>
      <c r="S3883" s="28"/>
      <c r="T3883" s="28"/>
      <c r="U3883" s="28"/>
    </row>
    <row r="3884" spans="1:21" s="5" customFormat="1">
      <c r="A3884" s="179" t="s">
        <v>4501</v>
      </c>
      <c r="B3884" s="185" t="s">
        <v>8245</v>
      </c>
      <c r="C3884" s="35" t="str">
        <f t="shared" si="420"/>
        <v>Tahririha</v>
      </c>
      <c r="E3884" s="40"/>
      <c r="F3884" s="15"/>
      <c r="G3884" s="17"/>
      <c r="H3884" s="10" t="s">
        <v>8563</v>
      </c>
      <c r="I3884" s="4" t="str">
        <f t="shared" si="421"/>
        <v>|Taḥríríhá|</v>
      </c>
      <c r="J3884" s="3" t="str">
        <f t="shared" si="422"/>
        <v>|Tahririha|</v>
      </c>
      <c r="K3884" s="3" t="str">
        <f t="shared" si="423"/>
        <v>Tahririha</v>
      </c>
      <c r="N3884" s="39" t="str">
        <f t="shared" si="424"/>
        <v/>
      </c>
      <c r="P3884" s="39" t="str">
        <f t="shared" si="425"/>
        <v/>
      </c>
      <c r="R3884" s="39" t="str">
        <f t="shared" si="426"/>
        <v/>
      </c>
      <c r="S3884" s="28"/>
      <c r="T3884" s="28"/>
      <c r="U3884" s="28"/>
    </row>
    <row r="3885" spans="1:21" s="5" customFormat="1">
      <c r="A3885" s="179" t="s">
        <v>4502</v>
      </c>
      <c r="B3885" s="185" t="s">
        <v>8246</v>
      </c>
      <c r="C3885" s="35" t="str">
        <f t="shared" si="420"/>
        <v>Taif</v>
      </c>
      <c r="E3885" s="40"/>
      <c r="F3885" s="15"/>
      <c r="G3885" s="17"/>
      <c r="H3885" s="10" t="s">
        <v>8563</v>
      </c>
      <c r="I3885" s="4" t="str">
        <f t="shared" si="421"/>
        <v>|Ṭá’if|</v>
      </c>
      <c r="J3885" s="3" t="str">
        <f t="shared" si="422"/>
        <v>|Ta'if|</v>
      </c>
      <c r="K3885" s="3" t="str">
        <f t="shared" si="423"/>
        <v>Taif</v>
      </c>
      <c r="N3885" s="39" t="str">
        <f t="shared" si="424"/>
        <v/>
      </c>
      <c r="P3885" s="39" t="str">
        <f t="shared" si="425"/>
        <v/>
      </c>
      <c r="R3885" s="39" t="str">
        <f t="shared" si="426"/>
        <v/>
      </c>
      <c r="S3885" s="28"/>
      <c r="T3885" s="28"/>
      <c r="U3885" s="28"/>
    </row>
    <row r="3886" spans="1:21" s="5" customFormat="1">
      <c r="A3886" s="179" t="s">
        <v>4503</v>
      </c>
      <c r="B3886" s="185" t="s">
        <v>8247</v>
      </c>
      <c r="C3886" s="35" t="str">
        <f t="shared" si="420"/>
        <v>Tair</v>
      </c>
      <c r="E3886" s="40"/>
      <c r="F3886" s="15" t="s">
        <v>4504</v>
      </c>
      <c r="G3886" s="17"/>
      <c r="H3886" s="10" t="s">
        <v>8563</v>
      </c>
      <c r="I3886" s="4" t="str">
        <f t="shared" si="421"/>
        <v>|Ṭá’ir|</v>
      </c>
      <c r="J3886" s="3" t="str">
        <f t="shared" si="422"/>
        <v>|Ta'ir|</v>
      </c>
      <c r="K3886" s="3" t="str">
        <f t="shared" si="423"/>
        <v>Tair</v>
      </c>
      <c r="N3886" s="39" t="str">
        <f t="shared" si="424"/>
        <v/>
      </c>
      <c r="P3886" s="39" t="str">
        <f t="shared" si="425"/>
        <v/>
      </c>
      <c r="R3886" s="39" t="str">
        <f t="shared" si="426"/>
        <v/>
      </c>
      <c r="S3886" s="28"/>
      <c r="T3886" s="28"/>
      <c r="U3886" s="28"/>
    </row>
    <row r="3887" spans="1:21" s="5" customFormat="1">
      <c r="A3887" s="179" t="s">
        <v>4505</v>
      </c>
      <c r="B3887" s="185" t="s">
        <v>8248</v>
      </c>
      <c r="C3887" s="35" t="str">
        <f t="shared" si="420"/>
        <v>Taj</v>
      </c>
      <c r="E3887" s="40"/>
      <c r="F3887" s="14" t="s">
        <v>4506</v>
      </c>
      <c r="G3887" s="17"/>
      <c r="H3887" s="10" t="s">
        <v>8563</v>
      </c>
      <c r="I3887" s="4" t="str">
        <f t="shared" si="421"/>
        <v>|Táj|</v>
      </c>
      <c r="J3887" s="3" t="str">
        <f t="shared" si="422"/>
        <v>|Taj|</v>
      </c>
      <c r="K3887" s="3" t="str">
        <f t="shared" si="423"/>
        <v>Taj</v>
      </c>
      <c r="N3887" s="39" t="str">
        <f t="shared" si="424"/>
        <v/>
      </c>
      <c r="P3887" s="39" t="str">
        <f t="shared" si="425"/>
        <v/>
      </c>
      <c r="R3887" s="39" t="str">
        <f t="shared" si="426"/>
        <v/>
      </c>
      <c r="S3887" s="28"/>
      <c r="T3887" s="28"/>
      <c r="U3887" s="28"/>
    </row>
    <row r="3888" spans="1:21" s="5" customFormat="1">
      <c r="A3888" s="179" t="s">
        <v>4507</v>
      </c>
      <c r="B3888" s="185" t="s">
        <v>8249</v>
      </c>
      <c r="C3888" s="35" t="str">
        <f t="shared" si="420"/>
        <v>TajAbad</v>
      </c>
      <c r="E3888" s="40"/>
      <c r="F3888" s="14"/>
      <c r="G3888" s="17"/>
      <c r="H3888" s="10" t="s">
        <v>8563</v>
      </c>
      <c r="I3888" s="4" t="str">
        <f t="shared" si="421"/>
        <v>|Táj-Ábád|</v>
      </c>
      <c r="J3888" s="3" t="str">
        <f t="shared" si="422"/>
        <v>|Taj-Abad|</v>
      </c>
      <c r="K3888" s="3" t="str">
        <f t="shared" si="423"/>
        <v>Taj-Abad</v>
      </c>
      <c r="N3888" s="39" t="str">
        <f t="shared" si="424"/>
        <v/>
      </c>
      <c r="P3888" s="39" t="str">
        <f t="shared" si="425"/>
        <v/>
      </c>
      <c r="R3888" s="39" t="str">
        <f t="shared" si="426"/>
        <v/>
      </c>
      <c r="S3888" s="28"/>
      <c r="T3888" s="28"/>
      <c r="U3888" s="28"/>
    </row>
    <row r="3889" spans="1:21" s="5" customFormat="1">
      <c r="A3889" s="179" t="s">
        <v>4508</v>
      </c>
      <c r="B3889" s="185" t="s">
        <v>8250</v>
      </c>
      <c r="C3889" s="35" t="str">
        <f t="shared" si="420"/>
        <v>Tajalliyat</v>
      </c>
      <c r="E3889" s="40"/>
      <c r="F3889" s="14" t="s">
        <v>4509</v>
      </c>
      <c r="G3889" s="17"/>
      <c r="H3889" s="10" t="s">
        <v>8563</v>
      </c>
      <c r="I3889" s="4" t="str">
        <f t="shared" si="421"/>
        <v>|Tajallíyát|</v>
      </c>
      <c r="J3889" s="3" t="str">
        <f t="shared" si="422"/>
        <v>|Tajalliyat|</v>
      </c>
      <c r="K3889" s="3" t="str">
        <f t="shared" si="423"/>
        <v>Tajalliyat</v>
      </c>
      <c r="N3889" s="39" t="str">
        <f t="shared" si="424"/>
        <v/>
      </c>
      <c r="P3889" s="39" t="str">
        <f t="shared" si="425"/>
        <v/>
      </c>
      <c r="R3889" s="39" t="str">
        <f t="shared" si="426"/>
        <v/>
      </c>
      <c r="S3889" s="28"/>
      <c r="T3889" s="28"/>
      <c r="U3889" s="28"/>
    </row>
    <row r="3890" spans="1:21" s="5" customFormat="1">
      <c r="A3890" s="179" t="s">
        <v>4510</v>
      </c>
      <c r="B3890" s="185" t="s">
        <v>8251</v>
      </c>
      <c r="C3890" s="35" t="str">
        <f t="shared" si="420"/>
        <v>Tajik</v>
      </c>
      <c r="E3890" s="40"/>
      <c r="F3890" s="14"/>
      <c r="G3890" s="17"/>
      <c r="H3890" s="10" t="s">
        <v>8563</v>
      </c>
      <c r="I3890" s="4" t="str">
        <f t="shared" si="421"/>
        <v>|Tájík|</v>
      </c>
      <c r="J3890" s="3" t="str">
        <f t="shared" si="422"/>
        <v>|Tajik|</v>
      </c>
      <c r="K3890" s="3" t="str">
        <f t="shared" si="423"/>
        <v>Tajik</v>
      </c>
      <c r="N3890" s="39" t="str">
        <f t="shared" si="424"/>
        <v/>
      </c>
      <c r="P3890" s="39" t="str">
        <f t="shared" si="425"/>
        <v/>
      </c>
      <c r="R3890" s="39" t="str">
        <f t="shared" si="426"/>
        <v/>
      </c>
      <c r="S3890" s="28"/>
      <c r="T3890" s="28"/>
      <c r="U3890" s="28"/>
    </row>
    <row r="3891" spans="1:21" s="5" customFormat="1">
      <c r="A3891" s="179" t="s">
        <v>4511</v>
      </c>
      <c r="B3891" s="185" t="s">
        <v>8252</v>
      </c>
      <c r="C3891" s="35" t="str">
        <f t="shared" si="420"/>
        <v>TajiVahhaj</v>
      </c>
      <c r="E3891" s="40"/>
      <c r="F3891" s="15" t="s">
        <v>4167</v>
      </c>
      <c r="G3891" s="17"/>
      <c r="H3891" s="10" t="s">
        <v>8563</v>
      </c>
      <c r="I3891" s="4" t="str">
        <f t="shared" si="421"/>
        <v>|Táj-i-Vahháj|</v>
      </c>
      <c r="J3891" s="3" t="str">
        <f t="shared" si="422"/>
        <v>|Taj-i-Vahhaj|</v>
      </c>
      <c r="K3891" s="3" t="str">
        <f t="shared" si="423"/>
        <v>Taj-i-Vahhaj</v>
      </c>
      <c r="N3891" s="39" t="str">
        <f t="shared" si="424"/>
        <v/>
      </c>
      <c r="P3891" s="39" t="str">
        <f t="shared" si="425"/>
        <v/>
      </c>
      <c r="R3891" s="39" t="str">
        <f t="shared" si="426"/>
        <v/>
      </c>
      <c r="S3891" s="28"/>
      <c r="T3891" s="28"/>
      <c r="U3891" s="28"/>
    </row>
    <row r="3892" spans="1:21" s="5" customFormat="1">
      <c r="A3892" s="179" t="s">
        <v>4512</v>
      </c>
      <c r="B3892" s="185" t="s">
        <v>8253</v>
      </c>
      <c r="C3892" s="35" t="str">
        <f t="shared" si="420"/>
        <v>Tajrish</v>
      </c>
      <c r="E3892" s="40"/>
      <c r="F3892" s="15" t="s">
        <v>2407</v>
      </c>
      <c r="G3892" s="17"/>
      <c r="H3892" s="10" t="s">
        <v>8563</v>
      </c>
      <c r="I3892" s="4" t="str">
        <f t="shared" si="421"/>
        <v>|Tajrí|</v>
      </c>
      <c r="J3892" s="3" t="str">
        <f t="shared" si="422"/>
        <v>|Tajrish|</v>
      </c>
      <c r="K3892" s="3" t="str">
        <f t="shared" si="423"/>
        <v>Tajrish</v>
      </c>
      <c r="N3892" s="39" t="str">
        <f t="shared" si="424"/>
        <v/>
      </c>
      <c r="P3892" s="39" t="str">
        <f t="shared" si="425"/>
        <v/>
      </c>
      <c r="R3892" s="39" t="str">
        <f t="shared" si="426"/>
        <v/>
      </c>
      <c r="S3892" s="28"/>
      <c r="T3892" s="28"/>
      <c r="U3892" s="28"/>
    </row>
    <row r="3893" spans="1:21" s="5" customFormat="1">
      <c r="A3893" s="179" t="s">
        <v>4513</v>
      </c>
      <c r="B3893" s="185" t="s">
        <v>8254</v>
      </c>
      <c r="C3893" s="35" t="str">
        <f t="shared" si="420"/>
        <v>TajudDin</v>
      </c>
      <c r="E3893" s="40"/>
      <c r="F3893" s="15"/>
      <c r="G3893" s="17"/>
      <c r="H3893" s="10" t="s">
        <v>8563</v>
      </c>
      <c r="I3893" s="4" t="str">
        <f t="shared" si="421"/>
        <v>|Táju’d-Dín|</v>
      </c>
      <c r="J3893" s="3" t="str">
        <f t="shared" si="422"/>
        <v>|Taju'd-Din|</v>
      </c>
      <c r="K3893" s="3" t="str">
        <f t="shared" si="423"/>
        <v>Tajud-Din</v>
      </c>
      <c r="N3893" s="39" t="str">
        <f t="shared" si="424"/>
        <v/>
      </c>
      <c r="P3893" s="39" t="str">
        <f t="shared" si="425"/>
        <v/>
      </c>
      <c r="R3893" s="39" t="str">
        <f t="shared" si="426"/>
        <v/>
      </c>
      <c r="S3893" s="28"/>
      <c r="T3893" s="28"/>
      <c r="U3893" s="28"/>
    </row>
    <row r="3894" spans="1:21" s="5" customFormat="1">
      <c r="A3894" s="179" t="s">
        <v>4514</v>
      </c>
      <c r="B3894" s="185" t="s">
        <v>8255</v>
      </c>
      <c r="C3894" s="35" t="str">
        <f t="shared" si="420"/>
        <v>Takhallus</v>
      </c>
      <c r="E3894" s="40"/>
      <c r="F3894" s="15" t="s">
        <v>4515</v>
      </c>
      <c r="G3894" s="17"/>
      <c r="H3894" s="10" t="s">
        <v>8563</v>
      </c>
      <c r="I3894" s="4" t="str">
        <f t="shared" si="421"/>
        <v>|Taalluṣ|</v>
      </c>
      <c r="J3894" s="3" t="str">
        <f t="shared" si="422"/>
        <v>|Takhallus|</v>
      </c>
      <c r="K3894" s="3" t="str">
        <f t="shared" si="423"/>
        <v>Takhallus</v>
      </c>
      <c r="N3894" s="39" t="str">
        <f t="shared" si="424"/>
        <v/>
      </c>
      <c r="P3894" s="39" t="str">
        <f t="shared" si="425"/>
        <v/>
      </c>
      <c r="R3894" s="39" t="str">
        <f t="shared" si="426"/>
        <v/>
      </c>
      <c r="S3894" s="28"/>
      <c r="T3894" s="28"/>
      <c r="U3894" s="28"/>
    </row>
    <row r="3895" spans="1:21" s="5" customFormat="1">
      <c r="A3895" s="179" t="s">
        <v>4516</v>
      </c>
      <c r="B3895" s="185" t="s">
        <v>8256</v>
      </c>
      <c r="C3895" s="35" t="str">
        <f t="shared" si="420"/>
        <v>Takht</v>
      </c>
      <c r="E3895" s="40"/>
      <c r="F3895" s="14"/>
      <c r="G3895" s="17"/>
      <c r="H3895" s="10" t="s">
        <v>8563</v>
      </c>
      <c r="I3895" s="4" t="str">
        <f t="shared" si="421"/>
        <v>|Tat|</v>
      </c>
      <c r="J3895" s="3" t="str">
        <f t="shared" si="422"/>
        <v>|Takht|</v>
      </c>
      <c r="K3895" s="3" t="str">
        <f t="shared" si="423"/>
        <v>Takht</v>
      </c>
      <c r="N3895" s="39" t="str">
        <f t="shared" si="424"/>
        <v/>
      </c>
      <c r="P3895" s="39" t="str">
        <f t="shared" si="425"/>
        <v/>
      </c>
      <c r="R3895" s="39" t="str">
        <f t="shared" si="426"/>
        <v/>
      </c>
      <c r="S3895" s="28"/>
      <c r="T3895" s="28"/>
      <c r="U3895" s="28"/>
    </row>
    <row r="3896" spans="1:21" s="5" customFormat="1">
      <c r="A3896" s="179" t="s">
        <v>4517</v>
      </c>
      <c r="B3896" s="185" t="s">
        <v>8257</v>
      </c>
      <c r="C3896" s="35" t="str">
        <f t="shared" si="420"/>
        <v>TakhtiRavan</v>
      </c>
      <c r="E3896" s="40"/>
      <c r="F3896" s="15" t="s">
        <v>4518</v>
      </c>
      <c r="G3896" s="17"/>
      <c r="H3896" s="10" t="s">
        <v>8563</v>
      </c>
      <c r="I3896" s="4" t="str">
        <f t="shared" si="421"/>
        <v>|Tat-i-Raván|</v>
      </c>
      <c r="J3896" s="3" t="str">
        <f t="shared" si="422"/>
        <v>|Takht-i-Ravan|</v>
      </c>
      <c r="K3896" s="3" t="str">
        <f t="shared" si="423"/>
        <v>Takht-i-Ravan</v>
      </c>
      <c r="N3896" s="39" t="str">
        <f t="shared" si="424"/>
        <v/>
      </c>
      <c r="P3896" s="39" t="str">
        <f t="shared" si="425"/>
        <v/>
      </c>
      <c r="R3896" s="39" t="str">
        <f t="shared" si="426"/>
        <v/>
      </c>
      <c r="S3896" s="28"/>
      <c r="T3896" s="28"/>
      <c r="U3896" s="28"/>
    </row>
    <row r="3897" spans="1:21" s="5" customFormat="1">
      <c r="A3897" s="179" t="s">
        <v>4519</v>
      </c>
      <c r="B3897" s="185" t="s">
        <v>8258</v>
      </c>
      <c r="C3897" s="35" t="str">
        <f t="shared" si="420"/>
        <v>Takur</v>
      </c>
      <c r="E3897" s="40"/>
      <c r="F3897" s="14"/>
      <c r="G3897" s="17"/>
      <c r="H3897" s="10" t="s">
        <v>8563</v>
      </c>
      <c r="I3897" s="4" t="str">
        <f t="shared" si="421"/>
        <v>|Tákur|</v>
      </c>
      <c r="J3897" s="3" t="str">
        <f t="shared" si="422"/>
        <v>|Takur|</v>
      </c>
      <c r="K3897" s="3" t="str">
        <f t="shared" si="423"/>
        <v>Takur</v>
      </c>
      <c r="N3897" s="39" t="str">
        <f t="shared" si="424"/>
        <v/>
      </c>
      <c r="P3897" s="39" t="str">
        <f t="shared" si="425"/>
        <v/>
      </c>
      <c r="R3897" s="39" t="str">
        <f t="shared" si="426"/>
        <v/>
      </c>
      <c r="S3897" s="28"/>
      <c r="T3897" s="28"/>
      <c r="U3897" s="28"/>
    </row>
    <row r="3898" spans="1:21" s="5" customFormat="1">
      <c r="A3898" s="179" t="s">
        <v>4520</v>
      </c>
      <c r="B3898" s="185" t="s">
        <v>8259</v>
      </c>
      <c r="C3898" s="35" t="str">
        <f t="shared" si="420"/>
        <v>Takyih</v>
      </c>
      <c r="E3898" s="40" t="s">
        <v>9115</v>
      </c>
      <c r="F3898" s="14" t="s">
        <v>4521</v>
      </c>
      <c r="G3898" s="17" t="s">
        <v>9507</v>
      </c>
      <c r="H3898" s="10" t="s">
        <v>8563</v>
      </c>
      <c r="I3898" s="4" t="str">
        <f t="shared" si="421"/>
        <v>|Takyih|</v>
      </c>
      <c r="J3898" s="3" t="str">
        <f t="shared" si="422"/>
        <v>|Takyih|</v>
      </c>
      <c r="K3898" s="3" t="str">
        <f t="shared" si="423"/>
        <v>Takyih</v>
      </c>
      <c r="N3898" s="39" t="str">
        <f t="shared" si="424"/>
        <v/>
      </c>
      <c r="P3898" s="39" t="str">
        <f t="shared" si="425"/>
        <v/>
      </c>
      <c r="R3898" s="39" t="str">
        <f t="shared" si="426"/>
        <v/>
      </c>
      <c r="S3898" s="28"/>
      <c r="T3898" s="28"/>
      <c r="U3898" s="28"/>
    </row>
    <row r="3899" spans="1:21" s="5" customFormat="1">
      <c r="A3899" s="179" t="s">
        <v>4522</v>
      </c>
      <c r="B3899" s="185" t="s">
        <v>8260</v>
      </c>
      <c r="C3899" s="35" t="str">
        <f t="shared" si="420"/>
        <v>TakyiyiMawlana</v>
      </c>
      <c r="E3899" s="40"/>
      <c r="F3899" s="15"/>
      <c r="G3899" s="17"/>
      <c r="H3899" s="10" t="s">
        <v>8563</v>
      </c>
      <c r="I3899" s="4" t="str">
        <f t="shared" si="421"/>
        <v>|Takyíy-i-Mawláná|</v>
      </c>
      <c r="J3899" s="3" t="str">
        <f t="shared" si="422"/>
        <v>|Takyiy-i-Mawlana|</v>
      </c>
      <c r="K3899" s="3" t="str">
        <f t="shared" si="423"/>
        <v>Takyiy-i-Mawlana</v>
      </c>
      <c r="N3899" s="39" t="str">
        <f t="shared" si="424"/>
        <v/>
      </c>
      <c r="P3899" s="39" t="str">
        <f t="shared" si="425"/>
        <v/>
      </c>
      <c r="R3899" s="39" t="str">
        <f t="shared" si="426"/>
        <v/>
      </c>
      <c r="S3899" s="28"/>
      <c r="T3899" s="28"/>
      <c r="U3899" s="28"/>
    </row>
    <row r="3900" spans="1:21" s="5" customFormat="1">
      <c r="A3900" s="179" t="s">
        <v>4523</v>
      </c>
      <c r="B3900" s="185" t="s">
        <v>8261</v>
      </c>
      <c r="C3900" s="35" t="str">
        <f t="shared" si="420"/>
        <v>TakyiyiMawlavi</v>
      </c>
      <c r="E3900" s="40"/>
      <c r="F3900" s="14"/>
      <c r="G3900" s="17"/>
      <c r="H3900" s="10" t="s">
        <v>8563</v>
      </c>
      <c r="I3900" s="4" t="str">
        <f t="shared" si="421"/>
        <v>|Takyíy-i-Mawlaví|</v>
      </c>
      <c r="J3900" s="3" t="str">
        <f t="shared" si="422"/>
        <v>|Takyiy-i-Mawlavi|</v>
      </c>
      <c r="K3900" s="3" t="str">
        <f t="shared" si="423"/>
        <v>Takyiy-i-Mawlavi</v>
      </c>
      <c r="N3900" s="39" t="str">
        <f t="shared" si="424"/>
        <v/>
      </c>
      <c r="P3900" s="39" t="str">
        <f t="shared" si="425"/>
        <v/>
      </c>
      <c r="R3900" s="39" t="str">
        <f t="shared" si="426"/>
        <v/>
      </c>
      <c r="S3900" s="28"/>
      <c r="T3900" s="28"/>
      <c r="U3900" s="28"/>
    </row>
    <row r="3901" spans="1:21" s="5" customFormat="1">
      <c r="A3901" s="179" t="s">
        <v>4524</v>
      </c>
      <c r="B3901" s="185" t="s">
        <v>8262</v>
      </c>
      <c r="C3901" s="35" t="str">
        <f t="shared" si="420"/>
        <v>Talai</v>
      </c>
      <c r="E3901" s="40"/>
      <c r="F3901" s="15"/>
      <c r="G3901" s="17"/>
      <c r="H3901" s="10" t="s">
        <v>8563</v>
      </c>
      <c r="I3901" s="4" t="str">
        <f t="shared" si="421"/>
        <v>|Talá’í|</v>
      </c>
      <c r="J3901" s="3" t="str">
        <f t="shared" si="422"/>
        <v>|Tala'i|</v>
      </c>
      <c r="K3901" s="3" t="str">
        <f t="shared" si="423"/>
        <v>Talai</v>
      </c>
      <c r="N3901" s="39" t="str">
        <f t="shared" si="424"/>
        <v/>
      </c>
      <c r="P3901" s="39" t="str">
        <f t="shared" si="425"/>
        <v/>
      </c>
      <c r="R3901" s="39" t="str">
        <f t="shared" si="426"/>
        <v/>
      </c>
      <c r="S3901" s="28"/>
      <c r="T3901" s="28"/>
      <c r="U3901" s="28"/>
    </row>
    <row r="3902" spans="1:21" s="5" customFormat="1">
      <c r="A3902" s="179" t="s">
        <v>4525</v>
      </c>
      <c r="B3902" s="185" t="s">
        <v>8263</v>
      </c>
      <c r="C3902" s="35" t="str">
        <f t="shared" si="420"/>
        <v>Talaq</v>
      </c>
      <c r="E3902" s="40"/>
      <c r="F3902" s="15"/>
      <c r="G3902" s="17"/>
      <c r="H3902" s="10" t="s">
        <v>8563</v>
      </c>
      <c r="I3902" s="4" t="str">
        <f t="shared" si="421"/>
        <v>|Ṭaláq|</v>
      </c>
      <c r="J3902" s="3" t="str">
        <f t="shared" si="422"/>
        <v>|Talaq|</v>
      </c>
      <c r="K3902" s="3" t="str">
        <f t="shared" si="423"/>
        <v>Talaq</v>
      </c>
      <c r="N3902" s="39" t="str">
        <f t="shared" si="424"/>
        <v/>
      </c>
      <c r="P3902" s="39" t="str">
        <f t="shared" si="425"/>
        <v/>
      </c>
      <c r="R3902" s="39" t="str">
        <f t="shared" si="426"/>
        <v/>
      </c>
      <c r="S3902" s="28"/>
      <c r="T3902" s="28"/>
      <c r="U3902" s="28"/>
    </row>
    <row r="3903" spans="1:21" s="5" customFormat="1">
      <c r="A3903" s="179" t="s">
        <v>4526</v>
      </c>
      <c r="B3903" s="185" t="s">
        <v>8264</v>
      </c>
      <c r="C3903" s="35" t="str">
        <f t="shared" si="420"/>
        <v>TalatiAla</v>
      </c>
      <c r="E3903" s="40"/>
      <c r="F3903" s="15" t="s">
        <v>4527</v>
      </c>
      <c r="G3903" s="17"/>
      <c r="H3903" s="10" t="s">
        <v>8563</v>
      </c>
      <c r="I3903" s="4" t="str">
        <f t="shared" si="421"/>
        <v>|Ṭalʿát-i-Aʿlá|</v>
      </c>
      <c r="J3903" s="3" t="str">
        <f t="shared" si="422"/>
        <v>|Tal'at-i-A'la|</v>
      </c>
      <c r="K3903" s="3" t="str">
        <f t="shared" si="423"/>
        <v>Talat-i-Ala</v>
      </c>
      <c r="N3903" s="39" t="str">
        <f t="shared" si="424"/>
        <v/>
      </c>
      <c r="P3903" s="39" t="str">
        <f t="shared" si="425"/>
        <v/>
      </c>
      <c r="R3903" s="39" t="str">
        <f t="shared" si="426"/>
        <v/>
      </c>
      <c r="S3903" s="28"/>
      <c r="T3903" s="28"/>
      <c r="U3903" s="28"/>
    </row>
    <row r="3904" spans="1:21" s="5" customFormat="1">
      <c r="A3904" s="179" t="s">
        <v>4528</v>
      </c>
      <c r="B3904" s="185" t="s">
        <v>8265</v>
      </c>
      <c r="C3904" s="35" t="str">
        <f t="shared" si="420"/>
        <v>Talib</v>
      </c>
      <c r="E3904" s="40"/>
      <c r="F3904" s="15" t="s">
        <v>4529</v>
      </c>
      <c r="G3904" s="17"/>
      <c r="H3904" s="10" t="s">
        <v>8563</v>
      </c>
      <c r="I3904" s="4" t="str">
        <f t="shared" si="421"/>
        <v>|Ṭálib|</v>
      </c>
      <c r="J3904" s="3" t="str">
        <f t="shared" si="422"/>
        <v>|Talib|</v>
      </c>
      <c r="K3904" s="3" t="str">
        <f t="shared" si="423"/>
        <v>Talib</v>
      </c>
      <c r="N3904" s="39" t="str">
        <f t="shared" si="424"/>
        <v/>
      </c>
      <c r="P3904" s="39" t="str">
        <f t="shared" si="425"/>
        <v/>
      </c>
      <c r="R3904" s="39" t="str">
        <f t="shared" si="426"/>
        <v/>
      </c>
      <c r="S3904" s="28"/>
      <c r="T3904" s="28"/>
      <c r="U3904" s="28"/>
    </row>
    <row r="3905" spans="1:21" s="5" customFormat="1">
      <c r="A3905" s="179" t="s">
        <v>4530</v>
      </c>
      <c r="B3905" s="185" t="s">
        <v>8266</v>
      </c>
      <c r="C3905" s="35" t="str">
        <f t="shared" si="420"/>
        <v>Taliban</v>
      </c>
      <c r="E3905" s="40"/>
      <c r="F3905" s="15" t="s">
        <v>4531</v>
      </c>
      <c r="G3905" s="17"/>
      <c r="H3905" s="10" t="s">
        <v>8563</v>
      </c>
      <c r="I3905" s="4" t="str">
        <f t="shared" si="421"/>
        <v>|Ṭálibán|</v>
      </c>
      <c r="J3905" s="3" t="str">
        <f t="shared" si="422"/>
        <v>|Taliban|</v>
      </c>
      <c r="K3905" s="3" t="str">
        <f t="shared" si="423"/>
        <v>Taliban</v>
      </c>
      <c r="N3905" s="39" t="str">
        <f t="shared" si="424"/>
        <v/>
      </c>
      <c r="P3905" s="39" t="str">
        <f t="shared" si="425"/>
        <v/>
      </c>
      <c r="R3905" s="39" t="str">
        <f t="shared" si="426"/>
        <v/>
      </c>
      <c r="S3905" s="28"/>
      <c r="T3905" s="28"/>
      <c r="U3905" s="28"/>
    </row>
    <row r="3906" spans="1:21" s="5" customFormat="1">
      <c r="A3906" s="179" t="s">
        <v>4532</v>
      </c>
      <c r="B3906" s="185" t="s">
        <v>8267</v>
      </c>
      <c r="C3906" s="35" t="str">
        <f t="shared" ref="C3906:C3969" si="427">SUBSTITUTE(SUBSTITUTE(K3906,"-","")," ","")</f>
        <v>Talim</v>
      </c>
      <c r="E3906" s="40"/>
      <c r="F3906" s="15"/>
      <c r="G3906" s="17"/>
      <c r="H3906" s="10" t="s">
        <v>8563</v>
      </c>
      <c r="I3906" s="4" t="str">
        <f t="shared" ref="I3906:I3969" si="428">CONCATENATE("|",B3906,"|")</f>
        <v>|Taʿlím|</v>
      </c>
      <c r="J3906" s="3" t="str">
        <f t="shared" ref="J3906:J3969" si="429">CONCATENATE("|",F_OutputASCII(B3906),"|")</f>
        <v>|Ta'lim|</v>
      </c>
      <c r="K3906" s="3" t="str">
        <f t="shared" ref="K3906:K3969" si="430">IF(SUBSTITUTE(MID(J3906,2,LEN(J3906)-2),"'","")&lt;&gt;"",SUBSTITUTE(MID(J3906,2,LEN(J3906)-2),"'",""),"ZZZZZ")</f>
        <v>Talim</v>
      </c>
      <c r="N3906" s="39" t="str">
        <f t="shared" si="424"/>
        <v/>
      </c>
      <c r="P3906" s="39" t="str">
        <f t="shared" si="425"/>
        <v/>
      </c>
      <c r="R3906" s="39" t="str">
        <f t="shared" si="426"/>
        <v/>
      </c>
      <c r="S3906" s="28"/>
      <c r="T3906" s="28"/>
      <c r="U3906" s="28"/>
    </row>
    <row r="3907" spans="1:21" s="5" customFormat="1">
      <c r="A3907" s="179" t="s">
        <v>4533</v>
      </c>
      <c r="B3907" s="185" t="s">
        <v>8268</v>
      </c>
      <c r="C3907" s="35" t="str">
        <f t="shared" si="427"/>
        <v>Taliqan</v>
      </c>
      <c r="E3907" s="40"/>
      <c r="F3907" s="15"/>
      <c r="G3907" s="17"/>
      <c r="H3907" s="10" t="s">
        <v>8563</v>
      </c>
      <c r="I3907" s="4" t="str">
        <f t="shared" si="428"/>
        <v>|Ṭáliqán|</v>
      </c>
      <c r="J3907" s="3" t="str">
        <f t="shared" si="429"/>
        <v>|Taliqan|</v>
      </c>
      <c r="K3907" s="3" t="str">
        <f t="shared" si="430"/>
        <v>Taliqan</v>
      </c>
      <c r="N3907" s="39" t="str">
        <f t="shared" ref="N3907:N3970" si="431">SUBSTITUTE(SUBSTITUTE(SUBSTITUTE(F_OutputASCII(M3907),"-","")," ",""),"'","")</f>
        <v/>
      </c>
      <c r="P3907" s="39" t="str">
        <f t="shared" ref="P3907:P3970" si="432">SUBSTITUTE(SUBSTITUTE(SUBSTITUTE(F_OutputASCII(O3907),"-","")," ",""),"'","")</f>
        <v/>
      </c>
      <c r="R3907" s="39" t="str">
        <f t="shared" ref="R3907:R3970" si="433">SUBSTITUTE(SUBSTITUTE(Q3907,"-","")," ","")</f>
        <v/>
      </c>
      <c r="S3907" s="28"/>
      <c r="T3907" s="28"/>
      <c r="U3907" s="28"/>
    </row>
    <row r="3908" spans="1:21" s="5" customFormat="1">
      <c r="A3908" s="179" t="s">
        <v>4534</v>
      </c>
      <c r="B3908" s="185" t="s">
        <v>8269</v>
      </c>
      <c r="C3908" s="35" t="str">
        <f t="shared" si="427"/>
        <v>Talish</v>
      </c>
      <c r="E3908" s="40"/>
      <c r="F3908" s="14"/>
      <c r="G3908" s="17"/>
      <c r="H3908" s="10" t="s">
        <v>8563</v>
      </c>
      <c r="I3908" s="4" t="str">
        <f t="shared" si="428"/>
        <v>|Talí|</v>
      </c>
      <c r="J3908" s="3" t="str">
        <f t="shared" si="429"/>
        <v>|Talish|</v>
      </c>
      <c r="K3908" s="3" t="str">
        <f t="shared" si="430"/>
        <v>Talish</v>
      </c>
      <c r="N3908" s="39" t="str">
        <f t="shared" si="431"/>
        <v/>
      </c>
      <c r="P3908" s="39" t="str">
        <f t="shared" si="432"/>
        <v/>
      </c>
      <c r="R3908" s="39" t="str">
        <f t="shared" si="433"/>
        <v/>
      </c>
      <c r="S3908" s="28"/>
      <c r="T3908" s="28"/>
      <c r="U3908" s="28"/>
    </row>
    <row r="3909" spans="1:21" s="5" customFormat="1">
      <c r="A3909" s="179" t="s">
        <v>4535</v>
      </c>
      <c r="B3909" s="185" t="s">
        <v>8270</v>
      </c>
      <c r="C3909" s="35" t="str">
        <f t="shared" si="427"/>
        <v>TamaddunulMulk</v>
      </c>
      <c r="E3909" s="40"/>
      <c r="F3909" s="14"/>
      <c r="G3909" s="17"/>
      <c r="H3909" s="10" t="s">
        <v>8563</v>
      </c>
      <c r="I3909" s="4" t="str">
        <f t="shared" si="428"/>
        <v>|Tamaddunu’l-Mulk|</v>
      </c>
      <c r="J3909" s="3" t="str">
        <f t="shared" si="429"/>
        <v>|Tamaddunu'l-Mulk|</v>
      </c>
      <c r="K3909" s="3" t="str">
        <f t="shared" si="430"/>
        <v>Tamaddunul-Mulk</v>
      </c>
      <c r="N3909" s="39" t="str">
        <f t="shared" si="431"/>
        <v/>
      </c>
      <c r="P3909" s="39" t="str">
        <f t="shared" si="432"/>
        <v/>
      </c>
      <c r="R3909" s="39" t="str">
        <f t="shared" si="433"/>
        <v/>
      </c>
      <c r="S3909" s="28"/>
      <c r="T3909" s="28"/>
      <c r="U3909" s="28"/>
    </row>
    <row r="3910" spans="1:21" s="5" customFormat="1">
      <c r="A3910" s="179" t="s">
        <v>4536</v>
      </c>
      <c r="B3910" s="185" t="s">
        <v>8271</v>
      </c>
      <c r="C3910" s="35" t="str">
        <f t="shared" si="427"/>
        <v>Tamasha</v>
      </c>
      <c r="E3910" s="40"/>
      <c r="F3910" s="15"/>
      <c r="G3910" s="17"/>
      <c r="H3910" s="10" t="s">
        <v>8563</v>
      </c>
      <c r="I3910" s="4" t="str">
        <f t="shared" si="428"/>
        <v>|Tamáá|</v>
      </c>
      <c r="J3910" s="3" t="str">
        <f t="shared" si="429"/>
        <v>|Tamasha|</v>
      </c>
      <c r="K3910" s="3" t="str">
        <f t="shared" si="430"/>
        <v>Tamasha</v>
      </c>
      <c r="N3910" s="39" t="str">
        <f t="shared" si="431"/>
        <v/>
      </c>
      <c r="P3910" s="39" t="str">
        <f t="shared" si="432"/>
        <v/>
      </c>
      <c r="R3910" s="39" t="str">
        <f t="shared" si="433"/>
        <v/>
      </c>
      <c r="S3910" s="28"/>
      <c r="T3910" s="28"/>
      <c r="U3910" s="28"/>
    </row>
    <row r="3911" spans="1:21" s="5" customFormat="1">
      <c r="A3911" s="179" t="s">
        <v>4537</v>
      </c>
      <c r="B3911" s="185" t="s">
        <v>8272</v>
      </c>
      <c r="C3911" s="35" t="str">
        <f t="shared" si="427"/>
        <v>Tanasukh</v>
      </c>
      <c r="E3911" s="40"/>
      <c r="F3911" s="15" t="s">
        <v>4538</v>
      </c>
      <c r="G3911" s="17"/>
      <c r="H3911" s="10" t="s">
        <v>8563</v>
      </c>
      <c r="I3911" s="4" t="str">
        <f t="shared" si="428"/>
        <v>|Tanásu|</v>
      </c>
      <c r="J3911" s="3" t="str">
        <f t="shared" si="429"/>
        <v>|Tanasukh|</v>
      </c>
      <c r="K3911" s="3" t="str">
        <f t="shared" si="430"/>
        <v>Tanasukh</v>
      </c>
      <c r="N3911" s="39" t="str">
        <f t="shared" si="431"/>
        <v/>
      </c>
      <c r="P3911" s="39" t="str">
        <f t="shared" si="432"/>
        <v/>
      </c>
      <c r="R3911" s="39" t="str">
        <f t="shared" si="433"/>
        <v/>
      </c>
      <c r="S3911" s="28"/>
      <c r="T3911" s="28"/>
      <c r="U3911" s="28"/>
    </row>
    <row r="3912" spans="1:21" s="5" customFormat="1">
      <c r="A3912" s="179" t="s">
        <v>4539</v>
      </c>
      <c r="B3912" s="185" t="s">
        <v>8273</v>
      </c>
      <c r="C3912" s="35" t="str">
        <f t="shared" si="427"/>
        <v>TangiQajar</v>
      </c>
      <c r="E3912" s="40"/>
      <c r="F3912" s="14"/>
      <c r="G3912" s="17"/>
      <c r="H3912" s="10" t="s">
        <v>8563</v>
      </c>
      <c r="I3912" s="4" t="str">
        <f t="shared" si="428"/>
        <v>|Tang-i-Qájár|</v>
      </c>
      <c r="J3912" s="3" t="str">
        <f t="shared" si="429"/>
        <v>|Tang-i-Qajar|</v>
      </c>
      <c r="K3912" s="3" t="str">
        <f t="shared" si="430"/>
        <v>Tang-i-Qajar</v>
      </c>
      <c r="N3912" s="39" t="str">
        <f t="shared" si="431"/>
        <v/>
      </c>
      <c r="P3912" s="39" t="str">
        <f t="shared" si="432"/>
        <v/>
      </c>
      <c r="R3912" s="39" t="str">
        <f t="shared" si="433"/>
        <v/>
      </c>
      <c r="S3912" s="28"/>
      <c r="T3912" s="28"/>
      <c r="U3912" s="28"/>
    </row>
    <row r="3913" spans="1:21" s="5" customFormat="1">
      <c r="A3913" s="179" t="s">
        <v>4540</v>
      </c>
      <c r="B3913" s="185" t="s">
        <v>8274</v>
      </c>
      <c r="C3913" s="35" t="str">
        <f t="shared" si="427"/>
        <v>Taqdis</v>
      </c>
      <c r="E3913" s="40"/>
      <c r="F3913" s="15"/>
      <c r="G3913" s="17"/>
      <c r="H3913" s="10" t="s">
        <v>8563</v>
      </c>
      <c r="I3913" s="4" t="str">
        <f t="shared" si="428"/>
        <v>|Taqdís|</v>
      </c>
      <c r="J3913" s="3" t="str">
        <f t="shared" si="429"/>
        <v>|Taqdis|</v>
      </c>
      <c r="K3913" s="3" t="str">
        <f t="shared" si="430"/>
        <v>Taqdis</v>
      </c>
      <c r="N3913" s="39" t="str">
        <f t="shared" si="431"/>
        <v/>
      </c>
      <c r="P3913" s="39" t="str">
        <f t="shared" si="432"/>
        <v/>
      </c>
      <c r="R3913" s="39" t="str">
        <f t="shared" si="433"/>
        <v/>
      </c>
      <c r="S3913" s="28"/>
      <c r="T3913" s="28"/>
      <c r="U3913" s="28"/>
    </row>
    <row r="3914" spans="1:21" s="5" customFormat="1">
      <c r="A3914" s="179" t="s">
        <v>4541</v>
      </c>
      <c r="B3914" s="185" t="s">
        <v>8275</v>
      </c>
      <c r="C3914" s="35" t="str">
        <f t="shared" si="427"/>
        <v>Taqi</v>
      </c>
      <c r="E3914" s="40"/>
      <c r="F3914" s="14"/>
      <c r="G3914" s="17"/>
      <c r="H3914" s="10" t="s">
        <v>8563</v>
      </c>
      <c r="I3914" s="4" t="str">
        <f t="shared" si="428"/>
        <v>|Taqí|</v>
      </c>
      <c r="J3914" s="3" t="str">
        <f t="shared" si="429"/>
        <v>|Taqi|</v>
      </c>
      <c r="K3914" s="3" t="str">
        <f t="shared" si="430"/>
        <v>Taqi</v>
      </c>
      <c r="N3914" s="39" t="str">
        <f t="shared" si="431"/>
        <v/>
      </c>
      <c r="P3914" s="39" t="str">
        <f t="shared" si="432"/>
        <v/>
      </c>
      <c r="R3914" s="39" t="str">
        <f t="shared" si="433"/>
        <v/>
      </c>
      <c r="S3914" s="28"/>
      <c r="T3914" s="28"/>
      <c r="U3914" s="28"/>
    </row>
    <row r="3915" spans="1:21" s="5" customFormat="1">
      <c r="A3915" s="179" t="s">
        <v>4542</v>
      </c>
      <c r="B3915" s="185" t="s">
        <v>8276</v>
      </c>
      <c r="C3915" s="35" t="str">
        <f t="shared" si="427"/>
        <v>TaqiBaqqal</v>
      </c>
      <c r="E3915" s="40"/>
      <c r="F3915" s="14"/>
      <c r="G3915" s="17"/>
      <c r="H3915" s="10" t="s">
        <v>8563</v>
      </c>
      <c r="I3915" s="4" t="str">
        <f t="shared" si="428"/>
        <v>|Taqí-Baqqál|</v>
      </c>
      <c r="J3915" s="3" t="str">
        <f t="shared" si="429"/>
        <v>|Taqi-Baqqal|</v>
      </c>
      <c r="K3915" s="3" t="str">
        <f t="shared" si="430"/>
        <v>Taqi-Baqqal</v>
      </c>
      <c r="N3915" s="39" t="str">
        <f t="shared" si="431"/>
        <v/>
      </c>
      <c r="P3915" s="39" t="str">
        <f t="shared" si="432"/>
        <v/>
      </c>
      <c r="R3915" s="39" t="str">
        <f t="shared" si="433"/>
        <v/>
      </c>
      <c r="S3915" s="28"/>
      <c r="T3915" s="28"/>
      <c r="U3915" s="28"/>
    </row>
    <row r="3916" spans="1:21" s="5" customFormat="1">
      <c r="A3916" s="179" t="s">
        <v>4543</v>
      </c>
      <c r="B3916" s="185" t="s">
        <v>8277</v>
      </c>
      <c r="C3916" s="35" t="str">
        <f t="shared" si="427"/>
        <v>TaqiiBaraqani</v>
      </c>
      <c r="E3916" s="40"/>
      <c r="F3916" s="14"/>
      <c r="G3916" s="17"/>
      <c r="H3916" s="10" t="s">
        <v>8563</v>
      </c>
      <c r="I3916" s="4" t="str">
        <f t="shared" si="428"/>
        <v>|Taqí-i-Baraqání|</v>
      </c>
      <c r="J3916" s="3" t="str">
        <f t="shared" si="429"/>
        <v>|Taqi-i-Baraqani|</v>
      </c>
      <c r="K3916" s="3" t="str">
        <f t="shared" si="430"/>
        <v>Taqi-i-Baraqani</v>
      </c>
      <c r="N3916" s="39" t="str">
        <f t="shared" si="431"/>
        <v/>
      </c>
      <c r="P3916" s="39" t="str">
        <f t="shared" si="432"/>
        <v/>
      </c>
      <c r="R3916" s="39" t="str">
        <f t="shared" si="433"/>
        <v/>
      </c>
      <c r="S3916" s="28"/>
      <c r="T3916" s="28"/>
      <c r="U3916" s="28"/>
    </row>
    <row r="3917" spans="1:21" s="5" customFormat="1">
      <c r="A3917" s="179" t="s">
        <v>4544</v>
      </c>
      <c r="B3917" s="185" t="s">
        <v>8278</v>
      </c>
      <c r="C3917" s="35" t="str">
        <f t="shared" si="427"/>
        <v>TaqiiHirati</v>
      </c>
      <c r="E3917" s="40"/>
      <c r="F3917" s="14"/>
      <c r="G3917" s="17"/>
      <c r="H3917" s="10" t="s">
        <v>8563</v>
      </c>
      <c r="I3917" s="4" t="str">
        <f t="shared" si="428"/>
        <v>|Taqí-i-Hiratí|</v>
      </c>
      <c r="J3917" s="3" t="str">
        <f t="shared" si="429"/>
        <v>|Taqi-i-Hirati|</v>
      </c>
      <c r="K3917" s="3" t="str">
        <f t="shared" si="430"/>
        <v>Taqi-i-Hirati</v>
      </c>
      <c r="N3917" s="39" t="str">
        <f t="shared" si="431"/>
        <v/>
      </c>
      <c r="P3917" s="39" t="str">
        <f t="shared" si="432"/>
        <v/>
      </c>
      <c r="R3917" s="39" t="str">
        <f t="shared" si="433"/>
        <v/>
      </c>
      <c r="S3917" s="28"/>
      <c r="T3917" s="28"/>
      <c r="U3917" s="28"/>
    </row>
    <row r="3918" spans="1:21" s="5" customFormat="1">
      <c r="A3918" s="179" t="s">
        <v>4545</v>
      </c>
      <c r="B3918" s="185" t="s">
        <v>8279</v>
      </c>
      <c r="C3918" s="35" t="str">
        <f t="shared" si="427"/>
        <v>TaqiyiKashani</v>
      </c>
      <c r="E3918" s="40"/>
      <c r="F3918" s="14"/>
      <c r="G3918" s="17"/>
      <c r="H3918" s="10" t="s">
        <v>8563</v>
      </c>
      <c r="I3918" s="4" t="str">
        <f t="shared" si="428"/>
        <v>|Taqíy-i-Káání|</v>
      </c>
      <c r="J3918" s="3" t="str">
        <f t="shared" si="429"/>
        <v>|Taqiy-i-Kashani|</v>
      </c>
      <c r="K3918" s="3" t="str">
        <f t="shared" si="430"/>
        <v>Taqiy-i-Kashani</v>
      </c>
      <c r="N3918" s="39" t="str">
        <f t="shared" si="431"/>
        <v/>
      </c>
      <c r="P3918" s="39" t="str">
        <f t="shared" si="432"/>
        <v/>
      </c>
      <c r="R3918" s="39" t="str">
        <f t="shared" si="433"/>
        <v/>
      </c>
      <c r="S3918" s="28"/>
      <c r="T3918" s="28"/>
      <c r="U3918" s="28"/>
    </row>
    <row r="3919" spans="1:21" s="5" customFormat="1">
      <c r="A3919" s="179" t="s">
        <v>4546</v>
      </c>
      <c r="B3919" s="185" t="s">
        <v>8280</v>
      </c>
      <c r="C3919" s="35" t="str">
        <f t="shared" si="427"/>
        <v>TaqiyiNajafi</v>
      </c>
      <c r="E3919" s="40"/>
      <c r="F3919" s="14"/>
      <c r="G3919" s="17"/>
      <c r="H3919" s="10" t="s">
        <v>8563</v>
      </c>
      <c r="I3919" s="4" t="str">
        <f t="shared" si="428"/>
        <v>|Taqíy-i-Najafí|</v>
      </c>
      <c r="J3919" s="3" t="str">
        <f t="shared" si="429"/>
        <v>|Taqiy-i-Najafi|</v>
      </c>
      <c r="K3919" s="3" t="str">
        <f t="shared" si="430"/>
        <v>Taqiy-i-Najafi</v>
      </c>
      <c r="N3919" s="39" t="str">
        <f t="shared" si="431"/>
        <v/>
      </c>
      <c r="P3919" s="39" t="str">
        <f t="shared" si="432"/>
        <v/>
      </c>
      <c r="R3919" s="39" t="str">
        <f t="shared" si="433"/>
        <v/>
      </c>
      <c r="S3919" s="28"/>
      <c r="T3919" s="28"/>
      <c r="U3919" s="28"/>
    </row>
    <row r="3920" spans="1:21" s="5" customFormat="1">
      <c r="A3920" s="179" t="s">
        <v>4547</v>
      </c>
      <c r="B3920" s="185" t="s">
        <v>8281</v>
      </c>
      <c r="C3920" s="35" t="str">
        <f t="shared" si="427"/>
        <v>TaqiyiNuri</v>
      </c>
      <c r="E3920" s="40"/>
      <c r="F3920" s="14"/>
      <c r="G3920" s="17"/>
      <c r="H3920" s="10" t="s">
        <v>8563</v>
      </c>
      <c r="I3920" s="4" t="str">
        <f t="shared" si="428"/>
        <v>|Taqíy-i-Núrí|</v>
      </c>
      <c r="J3920" s="3" t="str">
        <f t="shared" si="429"/>
        <v>|Taqiy-i-Nuri|</v>
      </c>
      <c r="K3920" s="3" t="str">
        <f t="shared" si="430"/>
        <v>Taqiy-i-Nuri</v>
      </c>
      <c r="N3920" s="39" t="str">
        <f t="shared" si="431"/>
        <v/>
      </c>
      <c r="P3920" s="39" t="str">
        <f t="shared" si="432"/>
        <v/>
      </c>
      <c r="R3920" s="39" t="str">
        <f t="shared" si="433"/>
        <v/>
      </c>
      <c r="S3920" s="28"/>
      <c r="T3920" s="28"/>
      <c r="U3920" s="28"/>
    </row>
    <row r="3921" spans="1:21" s="5" customFormat="1">
      <c r="A3921" s="179" t="s">
        <v>4548</v>
      </c>
      <c r="B3921" s="185" t="s">
        <v>8282</v>
      </c>
      <c r="C3921" s="35" t="str">
        <f t="shared" si="427"/>
        <v>TaqiyiQazvini</v>
      </c>
      <c r="E3921" s="40"/>
      <c r="F3921" s="14"/>
      <c r="G3921" s="17"/>
      <c r="H3921" s="10" t="s">
        <v>8563</v>
      </c>
      <c r="I3921" s="4" t="str">
        <f t="shared" si="428"/>
        <v>|Taqíy-i-Qazvíní|</v>
      </c>
      <c r="J3921" s="3" t="str">
        <f t="shared" si="429"/>
        <v>|Taqiy-i-Qazvini|</v>
      </c>
      <c r="K3921" s="3" t="str">
        <f t="shared" si="430"/>
        <v>Taqiy-i-Qazvini</v>
      </c>
      <c r="N3921" s="39" t="str">
        <f t="shared" si="431"/>
        <v/>
      </c>
      <c r="P3921" s="39" t="str">
        <f t="shared" si="432"/>
        <v/>
      </c>
      <c r="R3921" s="39" t="str">
        <f t="shared" si="433"/>
        <v/>
      </c>
      <c r="S3921" s="28"/>
      <c r="T3921" s="28"/>
      <c r="U3921" s="28"/>
    </row>
    <row r="3922" spans="1:21" s="5" customFormat="1">
      <c r="A3922" s="179" t="s">
        <v>4549</v>
      </c>
      <c r="B3922" s="185" t="s">
        <v>8283</v>
      </c>
      <c r="C3922" s="35" t="str">
        <f t="shared" si="427"/>
        <v>TaqiyiYazdi</v>
      </c>
      <c r="E3922" s="40"/>
      <c r="F3922" s="14"/>
      <c r="G3922" s="17"/>
      <c r="H3922" s="10" t="s">
        <v>8563</v>
      </c>
      <c r="I3922" s="4" t="str">
        <f t="shared" si="428"/>
        <v>|Taqíy-i-Yazdí|</v>
      </c>
      <c r="J3922" s="3" t="str">
        <f t="shared" si="429"/>
        <v>|Taqiy-i-Yazdi|</v>
      </c>
      <c r="K3922" s="3" t="str">
        <f t="shared" si="430"/>
        <v>Taqiy-i-Yazdi</v>
      </c>
      <c r="N3922" s="39" t="str">
        <f t="shared" si="431"/>
        <v/>
      </c>
      <c r="P3922" s="39" t="str">
        <f t="shared" si="432"/>
        <v/>
      </c>
      <c r="R3922" s="39" t="str">
        <f t="shared" si="433"/>
        <v/>
      </c>
      <c r="S3922" s="28"/>
      <c r="T3922" s="28"/>
      <c r="U3922" s="28"/>
    </row>
    <row r="3923" spans="1:21" s="5" customFormat="1">
      <c r="A3923" s="179" t="s">
        <v>4550</v>
      </c>
      <c r="B3923" s="185" t="s">
        <v>8284</v>
      </c>
      <c r="C3923" s="35" t="str">
        <f t="shared" si="427"/>
        <v>Taqiyyih</v>
      </c>
      <c r="E3923" s="40"/>
      <c r="F3923" s="15"/>
      <c r="G3923" s="17"/>
      <c r="H3923" s="10" t="s">
        <v>8563</v>
      </c>
      <c r="I3923" s="4" t="str">
        <f t="shared" si="428"/>
        <v>|Taqíyyih|</v>
      </c>
      <c r="J3923" s="3" t="str">
        <f t="shared" si="429"/>
        <v>|Taqiyyih|</v>
      </c>
      <c r="K3923" s="3" t="str">
        <f t="shared" si="430"/>
        <v>Taqiyyih</v>
      </c>
      <c r="N3923" s="39" t="str">
        <f t="shared" si="431"/>
        <v/>
      </c>
      <c r="P3923" s="39" t="str">
        <f t="shared" si="432"/>
        <v/>
      </c>
      <c r="R3923" s="39" t="str">
        <f t="shared" si="433"/>
        <v/>
      </c>
      <c r="S3923" s="28"/>
      <c r="T3923" s="28"/>
      <c r="U3923" s="28"/>
    </row>
    <row r="3924" spans="1:21" s="5" customFormat="1">
      <c r="A3924" s="179" t="s">
        <v>4551</v>
      </c>
      <c r="B3924" s="185" t="s">
        <v>8285</v>
      </c>
      <c r="C3924" s="35" t="str">
        <f t="shared" si="427"/>
        <v>Taqlid</v>
      </c>
      <c r="E3924" s="40"/>
      <c r="F3924" s="15"/>
      <c r="G3924" s="17"/>
      <c r="H3924" s="10" t="s">
        <v>8563</v>
      </c>
      <c r="I3924" s="4" t="str">
        <f t="shared" si="428"/>
        <v>|Taqlíd|</v>
      </c>
      <c r="J3924" s="3" t="str">
        <f t="shared" si="429"/>
        <v>|Taqlid|</v>
      </c>
      <c r="K3924" s="3" t="str">
        <f t="shared" si="430"/>
        <v>Taqlid</v>
      </c>
      <c r="N3924" s="39" t="str">
        <f t="shared" si="431"/>
        <v/>
      </c>
      <c r="P3924" s="39" t="str">
        <f t="shared" si="432"/>
        <v/>
      </c>
      <c r="R3924" s="39" t="str">
        <f t="shared" si="433"/>
        <v/>
      </c>
      <c r="S3924" s="28"/>
      <c r="T3924" s="28"/>
      <c r="U3924" s="28"/>
    </row>
    <row r="3925" spans="1:21" s="5" customFormat="1">
      <c r="A3925" s="179" t="s">
        <v>4552</v>
      </c>
      <c r="B3925" s="185" t="s">
        <v>8286</v>
      </c>
      <c r="C3925" s="35" t="str">
        <f t="shared" si="427"/>
        <v>Taqva</v>
      </c>
      <c r="E3925" s="40"/>
      <c r="F3925" s="14"/>
      <c r="G3925" s="17"/>
      <c r="H3925" s="10" t="s">
        <v>8563</v>
      </c>
      <c r="I3925" s="4" t="str">
        <f t="shared" si="428"/>
        <v>|Taqvá|</v>
      </c>
      <c r="J3925" s="3" t="str">
        <f t="shared" si="429"/>
        <v>|Taqva|</v>
      </c>
      <c r="K3925" s="3" t="str">
        <f t="shared" si="430"/>
        <v>Taqva</v>
      </c>
      <c r="N3925" s="39" t="str">
        <f t="shared" si="431"/>
        <v/>
      </c>
      <c r="P3925" s="39" t="str">
        <f t="shared" si="432"/>
        <v/>
      </c>
      <c r="R3925" s="39" t="str">
        <f t="shared" si="433"/>
        <v/>
      </c>
      <c r="S3925" s="28"/>
      <c r="T3925" s="28"/>
      <c r="U3925" s="28"/>
    </row>
    <row r="3926" spans="1:21" s="5" customFormat="1">
      <c r="A3926" s="179" t="s">
        <v>4553</v>
      </c>
      <c r="B3926" s="185" t="s">
        <v>8287</v>
      </c>
      <c r="C3926" s="35" t="str">
        <f t="shared" si="427"/>
        <v>Tar</v>
      </c>
      <c r="E3926" s="40"/>
      <c r="F3926" s="14"/>
      <c r="G3926" s="17"/>
      <c r="H3926" s="10" t="s">
        <v>8563</v>
      </c>
      <c r="I3926" s="4" t="str">
        <f t="shared" si="428"/>
        <v>|Tár|</v>
      </c>
      <c r="J3926" s="3" t="str">
        <f t="shared" si="429"/>
        <v>|Tar|</v>
      </c>
      <c r="K3926" s="3" t="str">
        <f t="shared" si="430"/>
        <v>Tar</v>
      </c>
      <c r="N3926" s="39" t="str">
        <f t="shared" si="431"/>
        <v/>
      </c>
      <c r="P3926" s="39" t="str">
        <f t="shared" si="432"/>
        <v/>
      </c>
      <c r="R3926" s="39" t="str">
        <f t="shared" si="433"/>
        <v/>
      </c>
      <c r="S3926" s="28"/>
      <c r="T3926" s="28"/>
      <c r="U3926" s="28"/>
    </row>
    <row r="3927" spans="1:21" s="5" customFormat="1">
      <c r="A3927" s="179" t="s">
        <v>4554</v>
      </c>
      <c r="B3927" s="185" t="s">
        <v>8288</v>
      </c>
      <c r="C3927" s="35" t="str">
        <f t="shared" si="427"/>
        <v>Taranih</v>
      </c>
      <c r="E3927" s="40"/>
      <c r="F3927" s="15"/>
      <c r="G3927" s="17"/>
      <c r="H3927" s="10" t="s">
        <v>8563</v>
      </c>
      <c r="I3927" s="4" t="str">
        <f t="shared" si="428"/>
        <v>|Taránih|</v>
      </c>
      <c r="J3927" s="3" t="str">
        <f t="shared" si="429"/>
        <v>|Taranih|</v>
      </c>
      <c r="K3927" s="3" t="str">
        <f t="shared" si="430"/>
        <v>Taranih</v>
      </c>
      <c r="N3927" s="39" t="str">
        <f t="shared" si="431"/>
        <v/>
      </c>
      <c r="P3927" s="39" t="str">
        <f t="shared" si="432"/>
        <v/>
      </c>
      <c r="R3927" s="39" t="str">
        <f t="shared" si="433"/>
        <v/>
      </c>
      <c r="S3927" s="28"/>
      <c r="T3927" s="28"/>
      <c r="U3927" s="28"/>
    </row>
    <row r="3928" spans="1:21" s="5" customFormat="1">
      <c r="A3928" s="179" t="s">
        <v>4555</v>
      </c>
      <c r="B3928" s="185" t="s">
        <v>8289</v>
      </c>
      <c r="C3928" s="35" t="str">
        <f t="shared" si="427"/>
        <v>Taraz</v>
      </c>
      <c r="E3928" s="40" t="s">
        <v>9115</v>
      </c>
      <c r="F3928" s="14"/>
      <c r="G3928" s="17"/>
      <c r="H3928" s="10" t="s">
        <v>8563</v>
      </c>
      <c r="I3928" s="4" t="str">
        <f t="shared" si="428"/>
        <v>|Taráz|</v>
      </c>
      <c r="J3928" s="3" t="str">
        <f t="shared" si="429"/>
        <v>|Taraz|</v>
      </c>
      <c r="K3928" s="3" t="str">
        <f t="shared" si="430"/>
        <v>Taraz</v>
      </c>
      <c r="N3928" s="39" t="str">
        <f t="shared" si="431"/>
        <v/>
      </c>
      <c r="P3928" s="39" t="str">
        <f t="shared" si="432"/>
        <v/>
      </c>
      <c r="R3928" s="39" t="str">
        <f t="shared" si="433"/>
        <v/>
      </c>
      <c r="S3928" s="28"/>
      <c r="T3928" s="28"/>
      <c r="U3928" s="28"/>
    </row>
    <row r="3929" spans="1:21" s="5" customFormat="1">
      <c r="A3929" s="179" t="s">
        <v>4556</v>
      </c>
      <c r="B3929" s="185" t="s">
        <v>8290</v>
      </c>
      <c r="C3929" s="35" t="str">
        <f t="shared" si="427"/>
        <v>Taraz</v>
      </c>
      <c r="E3929" s="40" t="s">
        <v>9115</v>
      </c>
      <c r="F3929" s="15" t="s">
        <v>4557</v>
      </c>
      <c r="G3929" s="17"/>
      <c r="H3929" s="10" t="s">
        <v>8563</v>
      </c>
      <c r="I3929" s="4" t="str">
        <f t="shared" si="428"/>
        <v>|Ṭaráz|</v>
      </c>
      <c r="J3929" s="3" t="str">
        <f t="shared" si="429"/>
        <v>|Taraz|</v>
      </c>
      <c r="K3929" s="3" t="str">
        <f t="shared" si="430"/>
        <v>Taraz</v>
      </c>
      <c r="N3929" s="39" t="str">
        <f t="shared" si="431"/>
        <v/>
      </c>
      <c r="P3929" s="39" t="str">
        <f t="shared" si="432"/>
        <v/>
      </c>
      <c r="R3929" s="39" t="str">
        <f t="shared" si="433"/>
        <v/>
      </c>
      <c r="S3929" s="28"/>
      <c r="T3929" s="28"/>
      <c r="U3929" s="28"/>
    </row>
    <row r="3930" spans="1:21" s="5" customFormat="1">
      <c r="A3930" s="179" t="s">
        <v>4558</v>
      </c>
      <c r="B3930" s="185" t="s">
        <v>8291</v>
      </c>
      <c r="C3930" s="35" t="str">
        <f t="shared" si="427"/>
        <v>Tarazat</v>
      </c>
      <c r="E3930" s="40"/>
      <c r="F3930" s="14" t="s">
        <v>4559</v>
      </c>
      <c r="G3930" s="17"/>
      <c r="H3930" s="10" t="s">
        <v>8563</v>
      </c>
      <c r="I3930" s="4" t="str">
        <f t="shared" si="428"/>
        <v>|Ṭarázát|</v>
      </c>
      <c r="J3930" s="3" t="str">
        <f t="shared" si="429"/>
        <v>|Tarazat|</v>
      </c>
      <c r="K3930" s="3" t="str">
        <f t="shared" si="430"/>
        <v>Tarazat</v>
      </c>
      <c r="N3930" s="39" t="str">
        <f t="shared" si="431"/>
        <v/>
      </c>
      <c r="P3930" s="39" t="str">
        <f t="shared" si="432"/>
        <v/>
      </c>
      <c r="R3930" s="39" t="str">
        <f t="shared" si="433"/>
        <v/>
      </c>
      <c r="S3930" s="28"/>
      <c r="T3930" s="28"/>
      <c r="U3930" s="28"/>
    </row>
    <row r="3931" spans="1:21" s="5" customFormat="1">
      <c r="A3931" s="179" t="s">
        <v>4560</v>
      </c>
      <c r="B3931" s="185" t="s">
        <v>8292</v>
      </c>
      <c r="C3931" s="35" t="str">
        <f t="shared" si="427"/>
        <v>Tarazullah</v>
      </c>
      <c r="E3931" s="40"/>
      <c r="F3931" s="15"/>
      <c r="G3931" s="17"/>
      <c r="H3931" s="10" t="s">
        <v>8563</v>
      </c>
      <c r="I3931" s="4" t="str">
        <f t="shared" si="428"/>
        <v>|Ṭarázu’lláh|</v>
      </c>
      <c r="J3931" s="3" t="str">
        <f t="shared" si="429"/>
        <v>|Tarazu'llah|</v>
      </c>
      <c r="K3931" s="3" t="str">
        <f t="shared" si="430"/>
        <v>Tarazullah</v>
      </c>
      <c r="N3931" s="39" t="str">
        <f t="shared" si="431"/>
        <v/>
      </c>
      <c r="P3931" s="39" t="str">
        <f t="shared" si="432"/>
        <v/>
      </c>
      <c r="R3931" s="39" t="str">
        <f t="shared" si="433"/>
        <v/>
      </c>
      <c r="S3931" s="28"/>
      <c r="T3931" s="28"/>
      <c r="U3931" s="28"/>
    </row>
    <row r="3932" spans="1:21" s="5" customFormat="1">
      <c r="A3932" s="179" t="s">
        <v>4561</v>
      </c>
      <c r="B3932" s="185" t="s">
        <v>8293</v>
      </c>
      <c r="C3932" s="35" t="str">
        <f t="shared" si="427"/>
        <v>Tarbiyat</v>
      </c>
      <c r="E3932" s="40"/>
      <c r="F3932" s="14"/>
      <c r="G3932" s="17"/>
      <c r="H3932" s="10" t="s">
        <v>8563</v>
      </c>
      <c r="I3932" s="4" t="str">
        <f t="shared" si="428"/>
        <v>|Tarbíyat|</v>
      </c>
      <c r="J3932" s="3" t="str">
        <f t="shared" si="429"/>
        <v>|Tarbiyat|</v>
      </c>
      <c r="K3932" s="3" t="str">
        <f t="shared" si="430"/>
        <v>Tarbiyat</v>
      </c>
      <c r="N3932" s="39" t="str">
        <f t="shared" si="431"/>
        <v/>
      </c>
      <c r="P3932" s="39" t="str">
        <f t="shared" si="432"/>
        <v/>
      </c>
      <c r="R3932" s="39" t="str">
        <f t="shared" si="433"/>
        <v/>
      </c>
      <c r="S3932" s="28"/>
      <c r="T3932" s="28"/>
      <c r="U3932" s="28"/>
    </row>
    <row r="3933" spans="1:21" s="5" customFormat="1">
      <c r="A3933" s="179" t="s">
        <v>4562</v>
      </c>
      <c r="B3933" s="185" t="s">
        <v>8294</v>
      </c>
      <c r="C3933" s="35" t="str">
        <f t="shared" si="427"/>
        <v>TarikhiJadid</v>
      </c>
      <c r="E3933" s="40"/>
      <c r="F3933" s="15"/>
      <c r="G3933" s="17"/>
      <c r="H3933" s="10" t="s">
        <v>8563</v>
      </c>
      <c r="I3933" s="4" t="str">
        <f t="shared" si="428"/>
        <v>|Tárí-i-Jadíd|</v>
      </c>
      <c r="J3933" s="3" t="str">
        <f t="shared" si="429"/>
        <v>|Tarikh-i-Jadid|</v>
      </c>
      <c r="K3933" s="3" t="str">
        <f t="shared" si="430"/>
        <v>Tarikh-i-Jadid</v>
      </c>
      <c r="N3933" s="39" t="str">
        <f t="shared" si="431"/>
        <v/>
      </c>
      <c r="P3933" s="39" t="str">
        <f t="shared" si="432"/>
        <v/>
      </c>
      <c r="R3933" s="39" t="str">
        <f t="shared" si="433"/>
        <v/>
      </c>
      <c r="S3933" s="28"/>
      <c r="T3933" s="28"/>
      <c r="U3933" s="28"/>
    </row>
    <row r="3934" spans="1:21" s="5" customFormat="1">
      <c r="A3934" s="179" t="s">
        <v>4563</v>
      </c>
      <c r="B3934" s="185" t="s">
        <v>8295</v>
      </c>
      <c r="C3934" s="35" t="str">
        <f t="shared" si="427"/>
        <v>TarikhiNasiri</v>
      </c>
      <c r="E3934" s="40"/>
      <c r="F3934" s="15"/>
      <c r="G3934" s="17"/>
      <c r="H3934" s="10" t="s">
        <v>8563</v>
      </c>
      <c r="I3934" s="4" t="str">
        <f t="shared" si="428"/>
        <v>|Tárí-i-Náṣirí|</v>
      </c>
      <c r="J3934" s="3" t="str">
        <f t="shared" si="429"/>
        <v>|Tarikh-i-Nasiri|</v>
      </c>
      <c r="K3934" s="3" t="str">
        <f t="shared" si="430"/>
        <v>Tarikh-i-Nasiri</v>
      </c>
      <c r="N3934" s="39" t="str">
        <f t="shared" si="431"/>
        <v/>
      </c>
      <c r="P3934" s="39" t="str">
        <f t="shared" si="432"/>
        <v/>
      </c>
      <c r="R3934" s="39" t="str">
        <f t="shared" si="433"/>
        <v/>
      </c>
      <c r="S3934" s="28"/>
      <c r="T3934" s="28"/>
      <c r="U3934" s="28"/>
    </row>
    <row r="3935" spans="1:21" s="5" customFormat="1">
      <c r="A3935" s="179" t="s">
        <v>4564</v>
      </c>
      <c r="B3935" s="185" t="s">
        <v>8296</v>
      </c>
      <c r="C3935" s="35" t="str">
        <f t="shared" si="427"/>
        <v>TarikhiZuhurulHaq</v>
      </c>
      <c r="E3935" s="40"/>
      <c r="F3935" s="15"/>
      <c r="G3935" s="17"/>
      <c r="H3935" s="10" t="s">
        <v>8563</v>
      </c>
      <c r="I3935" s="4" t="str">
        <f t="shared" si="428"/>
        <v>|Tárí-i-Zuhúru’l-Ḥaq|</v>
      </c>
      <c r="J3935" s="3" t="str">
        <f t="shared" si="429"/>
        <v>|Tarikh-i-Zuhuru'l-Haq|</v>
      </c>
      <c r="K3935" s="3" t="str">
        <f t="shared" si="430"/>
        <v>Tarikh-i-Zuhurul-Haq</v>
      </c>
      <c r="N3935" s="39" t="str">
        <f t="shared" si="431"/>
        <v/>
      </c>
      <c r="P3935" s="39" t="str">
        <f t="shared" si="432"/>
        <v/>
      </c>
      <c r="R3935" s="39" t="str">
        <f t="shared" si="433"/>
        <v/>
      </c>
      <c r="S3935" s="28"/>
      <c r="T3935" s="28"/>
      <c r="U3935" s="28"/>
    </row>
    <row r="3936" spans="1:21" s="5" customFormat="1">
      <c r="A3936" s="179" t="s">
        <v>4565</v>
      </c>
      <c r="B3936" s="185" t="s">
        <v>8297</v>
      </c>
      <c r="C3936" s="35" t="str">
        <f t="shared" si="427"/>
        <v>Tariqat</v>
      </c>
      <c r="E3936" s="40"/>
      <c r="F3936" s="15"/>
      <c r="G3936" s="17"/>
      <c r="H3936" s="10" t="s">
        <v>8563</v>
      </c>
      <c r="I3936" s="4" t="str">
        <f t="shared" si="428"/>
        <v>|Ṭaríqat|</v>
      </c>
      <c r="J3936" s="3" t="str">
        <f t="shared" si="429"/>
        <v>|Tariqat|</v>
      </c>
      <c r="K3936" s="3" t="str">
        <f t="shared" si="430"/>
        <v>Tariqat</v>
      </c>
      <c r="N3936" s="39" t="str">
        <f t="shared" si="431"/>
        <v/>
      </c>
      <c r="P3936" s="39" t="str">
        <f t="shared" si="432"/>
        <v/>
      </c>
      <c r="R3936" s="39" t="str">
        <f t="shared" si="433"/>
        <v/>
      </c>
      <c r="S3936" s="28"/>
      <c r="T3936" s="28"/>
      <c r="U3936" s="28"/>
    </row>
    <row r="3937" spans="1:21" s="5" customFormat="1">
      <c r="A3937" s="179" t="s">
        <v>4566</v>
      </c>
      <c r="B3937" s="185" t="s">
        <v>8298</v>
      </c>
      <c r="C3937" s="35" t="str">
        <f t="shared" si="427"/>
        <v>Tashkand</v>
      </c>
      <c r="E3937" s="40"/>
      <c r="F3937" s="14"/>
      <c r="G3937" s="17"/>
      <c r="H3937" s="10" t="s">
        <v>8563</v>
      </c>
      <c r="I3937" s="4" t="str">
        <f t="shared" si="428"/>
        <v>|Tákand|</v>
      </c>
      <c r="J3937" s="3" t="str">
        <f t="shared" si="429"/>
        <v>|Tashkand|</v>
      </c>
      <c r="K3937" s="3" t="str">
        <f t="shared" si="430"/>
        <v>Tashkand</v>
      </c>
      <c r="N3937" s="39" t="str">
        <f t="shared" si="431"/>
        <v/>
      </c>
      <c r="P3937" s="39" t="str">
        <f t="shared" si="432"/>
        <v/>
      </c>
      <c r="R3937" s="39" t="str">
        <f t="shared" si="433"/>
        <v/>
      </c>
      <c r="S3937" s="28"/>
      <c r="T3937" s="28"/>
      <c r="U3937" s="28"/>
    </row>
    <row r="3938" spans="1:21" s="5" customFormat="1">
      <c r="A3938" s="179" t="s">
        <v>4567</v>
      </c>
      <c r="B3938" s="185" t="s">
        <v>8299</v>
      </c>
      <c r="C3938" s="35" t="str">
        <f t="shared" si="427"/>
        <v>Tashkhis</v>
      </c>
      <c r="E3938" s="40"/>
      <c r="F3938" s="15" t="s">
        <v>4568</v>
      </c>
      <c r="G3938" s="17"/>
      <c r="H3938" s="10" t="s">
        <v>8563</v>
      </c>
      <c r="I3938" s="4" t="str">
        <f t="shared" si="428"/>
        <v>|Taíṣ|</v>
      </c>
      <c r="J3938" s="3" t="str">
        <f t="shared" si="429"/>
        <v>|Tashkhis|</v>
      </c>
      <c r="K3938" s="3" t="str">
        <f t="shared" si="430"/>
        <v>Tashkhis</v>
      </c>
      <c r="N3938" s="39" t="str">
        <f t="shared" si="431"/>
        <v/>
      </c>
      <c r="P3938" s="39" t="str">
        <f t="shared" si="432"/>
        <v/>
      </c>
      <c r="R3938" s="39" t="str">
        <f t="shared" si="433"/>
        <v/>
      </c>
      <c r="S3938" s="28"/>
      <c r="T3938" s="28"/>
      <c r="U3938" s="28"/>
    </row>
    <row r="3939" spans="1:21" s="5" customFormat="1">
      <c r="A3939" s="179" t="s">
        <v>4569</v>
      </c>
      <c r="B3939" s="185" t="s">
        <v>8300</v>
      </c>
      <c r="C3939" s="35" t="str">
        <f t="shared" si="427"/>
        <v>Taslim</v>
      </c>
      <c r="E3939" s="40"/>
      <c r="F3939" s="15" t="s">
        <v>4570</v>
      </c>
      <c r="G3939" s="17"/>
      <c r="H3939" s="10" t="s">
        <v>8563</v>
      </c>
      <c r="I3939" s="4" t="str">
        <f t="shared" si="428"/>
        <v>|Taslím|</v>
      </c>
      <c r="J3939" s="3" t="str">
        <f t="shared" si="429"/>
        <v>|Taslim|</v>
      </c>
      <c r="K3939" s="3" t="str">
        <f t="shared" si="430"/>
        <v>Taslim</v>
      </c>
      <c r="N3939" s="39" t="str">
        <f t="shared" si="431"/>
        <v/>
      </c>
      <c r="P3939" s="39" t="str">
        <f t="shared" si="432"/>
        <v/>
      </c>
      <c r="R3939" s="39" t="str">
        <f t="shared" si="433"/>
        <v/>
      </c>
      <c r="S3939" s="28"/>
      <c r="T3939" s="28"/>
      <c r="U3939" s="28"/>
    </row>
    <row r="3940" spans="1:21" s="5" customFormat="1">
      <c r="A3940" s="179" t="s">
        <v>4571</v>
      </c>
      <c r="B3940" s="185" t="s">
        <v>8301</v>
      </c>
      <c r="C3940" s="35" t="str">
        <f t="shared" si="427"/>
        <v>Taslimi</v>
      </c>
      <c r="E3940" s="40"/>
      <c r="F3940" s="15"/>
      <c r="G3940" s="17"/>
      <c r="H3940" s="10" t="s">
        <v>8563</v>
      </c>
      <c r="I3940" s="4" t="str">
        <f t="shared" si="428"/>
        <v>|Taslímí|</v>
      </c>
      <c r="J3940" s="3" t="str">
        <f t="shared" si="429"/>
        <v>|Taslimi|</v>
      </c>
      <c r="K3940" s="3" t="str">
        <f t="shared" si="430"/>
        <v>Taslimi</v>
      </c>
      <c r="N3940" s="39" t="str">
        <f t="shared" si="431"/>
        <v/>
      </c>
      <c r="P3940" s="39" t="str">
        <f t="shared" si="432"/>
        <v/>
      </c>
      <c r="R3940" s="39" t="str">
        <f t="shared" si="433"/>
        <v/>
      </c>
      <c r="S3940" s="28"/>
      <c r="T3940" s="28"/>
      <c r="U3940" s="28"/>
    </row>
    <row r="3941" spans="1:21" s="5" customFormat="1">
      <c r="A3941" s="179" t="s">
        <v>4572</v>
      </c>
      <c r="B3941" s="185" t="s">
        <v>8302</v>
      </c>
      <c r="C3941" s="35" t="str">
        <f t="shared" si="427"/>
        <v>Tavangar</v>
      </c>
      <c r="E3941" s="40"/>
      <c r="F3941" s="15" t="s">
        <v>4573</v>
      </c>
      <c r="G3941" s="17"/>
      <c r="H3941" s="10" t="s">
        <v>8563</v>
      </c>
      <c r="I3941" s="4" t="str">
        <f t="shared" si="428"/>
        <v>|Tavángar|</v>
      </c>
      <c r="J3941" s="3" t="str">
        <f t="shared" si="429"/>
        <v>|Tavangar|</v>
      </c>
      <c r="K3941" s="3" t="str">
        <f t="shared" si="430"/>
        <v>Tavangar</v>
      </c>
      <c r="N3941" s="39" t="str">
        <f t="shared" si="431"/>
        <v/>
      </c>
      <c r="P3941" s="39" t="str">
        <f t="shared" si="432"/>
        <v/>
      </c>
      <c r="R3941" s="39" t="str">
        <f t="shared" si="433"/>
        <v/>
      </c>
      <c r="S3941" s="28"/>
      <c r="T3941" s="28"/>
      <c r="U3941" s="28"/>
    </row>
    <row r="3942" spans="1:21" s="5" customFormat="1">
      <c r="A3942" s="179" t="s">
        <v>4574</v>
      </c>
      <c r="B3942" s="185" t="s">
        <v>8303</v>
      </c>
      <c r="C3942" s="35" t="str">
        <f t="shared" si="427"/>
        <v>Tavarikh</v>
      </c>
      <c r="E3942" s="40"/>
      <c r="F3942" s="14"/>
      <c r="G3942" s="17"/>
      <c r="H3942" s="10" t="s">
        <v>8563</v>
      </c>
      <c r="I3942" s="4" t="str">
        <f t="shared" si="428"/>
        <v>|Tavárí|</v>
      </c>
      <c r="J3942" s="3" t="str">
        <f t="shared" si="429"/>
        <v>|Tavarikh|</v>
      </c>
      <c r="K3942" s="3" t="str">
        <f t="shared" si="430"/>
        <v>Tavarikh</v>
      </c>
      <c r="N3942" s="39" t="str">
        <f t="shared" si="431"/>
        <v/>
      </c>
      <c r="P3942" s="39" t="str">
        <f t="shared" si="432"/>
        <v/>
      </c>
      <c r="R3942" s="39" t="str">
        <f t="shared" si="433"/>
        <v/>
      </c>
      <c r="S3942" s="28"/>
      <c r="T3942" s="28"/>
      <c r="U3942" s="28"/>
    </row>
    <row r="3943" spans="1:21" s="5" customFormat="1">
      <c r="A3943" s="179" t="s">
        <v>4575</v>
      </c>
      <c r="B3943" s="185" t="s">
        <v>8304</v>
      </c>
      <c r="C3943" s="35" t="str">
        <f t="shared" si="427"/>
        <v>Tavus</v>
      </c>
      <c r="E3943" s="40"/>
      <c r="F3943" s="15"/>
      <c r="G3943" s="17"/>
      <c r="H3943" s="10" t="s">
        <v>8563</v>
      </c>
      <c r="I3943" s="4" t="str">
        <f t="shared" si="428"/>
        <v>|Ṭávús|</v>
      </c>
      <c r="J3943" s="3" t="str">
        <f t="shared" si="429"/>
        <v>|Tavus|</v>
      </c>
      <c r="K3943" s="3" t="str">
        <f t="shared" si="430"/>
        <v>Tavus</v>
      </c>
      <c r="N3943" s="39" t="str">
        <f t="shared" si="431"/>
        <v/>
      </c>
      <c r="P3943" s="39" t="str">
        <f t="shared" si="432"/>
        <v/>
      </c>
      <c r="R3943" s="39" t="str">
        <f t="shared" si="433"/>
        <v/>
      </c>
      <c r="S3943" s="28"/>
      <c r="T3943" s="28"/>
      <c r="U3943" s="28"/>
    </row>
    <row r="3944" spans="1:21" s="5" customFormat="1">
      <c r="A3944" s="179" t="s">
        <v>4576</v>
      </c>
      <c r="B3944" s="185" t="s">
        <v>8305</v>
      </c>
      <c r="C3944" s="35" t="str">
        <f t="shared" si="427"/>
        <v>Tawfiq</v>
      </c>
      <c r="E3944" s="40"/>
      <c r="F3944" s="14"/>
      <c r="G3944" s="17"/>
      <c r="H3944" s="10" t="s">
        <v>8563</v>
      </c>
      <c r="I3944" s="4" t="str">
        <f t="shared" si="428"/>
        <v>|Tawfíq|</v>
      </c>
      <c r="J3944" s="3" t="str">
        <f t="shared" si="429"/>
        <v>|Tawfiq|</v>
      </c>
      <c r="K3944" s="3" t="str">
        <f t="shared" si="430"/>
        <v>Tawfiq</v>
      </c>
      <c r="N3944" s="39" t="str">
        <f t="shared" si="431"/>
        <v/>
      </c>
      <c r="P3944" s="39" t="str">
        <f t="shared" si="432"/>
        <v/>
      </c>
      <c r="R3944" s="39" t="str">
        <f t="shared" si="433"/>
        <v/>
      </c>
      <c r="S3944" s="28"/>
      <c r="T3944" s="28"/>
      <c r="U3944" s="28"/>
    </row>
    <row r="3945" spans="1:21" s="5" customFormat="1">
      <c r="A3945" s="179" t="s">
        <v>4577</v>
      </c>
      <c r="B3945" s="185" t="s">
        <v>8306</v>
      </c>
      <c r="C3945" s="35" t="str">
        <f t="shared" si="427"/>
        <v>Tawhid</v>
      </c>
      <c r="E3945" s="40"/>
      <c r="F3945" s="14"/>
      <c r="G3945" s="17"/>
      <c r="H3945" s="10" t="s">
        <v>8563</v>
      </c>
      <c r="I3945" s="4" t="str">
        <f t="shared" si="428"/>
        <v>|Tawḥíd|</v>
      </c>
      <c r="J3945" s="3" t="str">
        <f t="shared" si="429"/>
        <v>|Tawhid|</v>
      </c>
      <c r="K3945" s="3" t="str">
        <f t="shared" si="430"/>
        <v>Tawhid</v>
      </c>
      <c r="N3945" s="39" t="str">
        <f t="shared" si="431"/>
        <v/>
      </c>
      <c r="P3945" s="39" t="str">
        <f t="shared" si="432"/>
        <v/>
      </c>
      <c r="R3945" s="39" t="str">
        <f t="shared" si="433"/>
        <v/>
      </c>
      <c r="S3945" s="28"/>
      <c r="T3945" s="28"/>
      <c r="U3945" s="28"/>
    </row>
    <row r="3946" spans="1:21" s="5" customFormat="1">
      <c r="A3946" s="179" t="s">
        <v>4578</v>
      </c>
      <c r="B3946" s="185" t="s">
        <v>8307</v>
      </c>
      <c r="C3946" s="35" t="str">
        <f t="shared" si="427"/>
        <v>TawhidiShuhudi</v>
      </c>
      <c r="E3946" s="40"/>
      <c r="F3946" s="15" t="s">
        <v>4579</v>
      </c>
      <c r="G3946" s="17"/>
      <c r="H3946" s="10" t="s">
        <v>8563</v>
      </c>
      <c r="I3946" s="4" t="str">
        <f t="shared" si="428"/>
        <v>|Tawḥíd-i-uhúdí|</v>
      </c>
      <c r="J3946" s="3" t="str">
        <f t="shared" si="429"/>
        <v>|Tawhid-i-Shuhudi|</v>
      </c>
      <c r="K3946" s="3" t="str">
        <f t="shared" si="430"/>
        <v>Tawhid-i-Shuhudi</v>
      </c>
      <c r="N3946" s="39" t="str">
        <f t="shared" si="431"/>
        <v/>
      </c>
      <c r="P3946" s="39" t="str">
        <f t="shared" si="432"/>
        <v/>
      </c>
      <c r="R3946" s="39" t="str">
        <f t="shared" si="433"/>
        <v/>
      </c>
      <c r="S3946" s="28"/>
      <c r="T3946" s="28"/>
      <c r="U3946" s="28"/>
    </row>
    <row r="3947" spans="1:21" s="5" customFormat="1">
      <c r="A3947" s="179" t="s">
        <v>4580</v>
      </c>
      <c r="B3947" s="185" t="s">
        <v>8308</v>
      </c>
      <c r="C3947" s="35" t="str">
        <f t="shared" si="427"/>
        <v>TawhidiVujudi</v>
      </c>
      <c r="E3947" s="40"/>
      <c r="F3947" s="15" t="s">
        <v>4581</v>
      </c>
      <c r="G3947" s="17"/>
      <c r="H3947" s="10" t="s">
        <v>8563</v>
      </c>
      <c r="I3947" s="4" t="str">
        <f t="shared" si="428"/>
        <v>|Tawḥíd-i-Vujúdí|</v>
      </c>
      <c r="J3947" s="3" t="str">
        <f t="shared" si="429"/>
        <v>|Tawhid-i-Vujudi|</v>
      </c>
      <c r="K3947" s="3" t="str">
        <f t="shared" si="430"/>
        <v>Tawhid-i-Vujudi</v>
      </c>
      <c r="N3947" s="39" t="str">
        <f t="shared" si="431"/>
        <v/>
      </c>
      <c r="P3947" s="39" t="str">
        <f t="shared" si="432"/>
        <v/>
      </c>
      <c r="R3947" s="39" t="str">
        <f t="shared" si="433"/>
        <v/>
      </c>
      <c r="S3947" s="28"/>
      <c r="T3947" s="28"/>
      <c r="U3947" s="28"/>
    </row>
    <row r="3948" spans="1:21" s="5" customFormat="1">
      <c r="A3948" s="179" t="s">
        <v>4582</v>
      </c>
      <c r="B3948" s="185" t="s">
        <v>8309</v>
      </c>
      <c r="C3948" s="35" t="str">
        <f t="shared" si="427"/>
        <v>TawqiatiMubarakih</v>
      </c>
      <c r="E3948" s="40"/>
      <c r="F3948" s="15" t="s">
        <v>4583</v>
      </c>
      <c r="G3948" s="17"/>
      <c r="H3948" s="10" t="s">
        <v>8563</v>
      </c>
      <c r="I3948" s="4" t="str">
        <f t="shared" si="428"/>
        <v>|Tawqíʿat-i-Mubárakih|</v>
      </c>
      <c r="J3948" s="3" t="str">
        <f t="shared" si="429"/>
        <v>|Tawqi'at-i-Mubarakih|</v>
      </c>
      <c r="K3948" s="3" t="str">
        <f t="shared" si="430"/>
        <v>Tawqiat-i-Mubarakih</v>
      </c>
      <c r="N3948" s="39" t="str">
        <f t="shared" si="431"/>
        <v/>
      </c>
      <c r="P3948" s="39" t="str">
        <f t="shared" si="432"/>
        <v/>
      </c>
      <c r="R3948" s="39" t="str">
        <f t="shared" si="433"/>
        <v/>
      </c>
      <c r="S3948" s="28"/>
      <c r="T3948" s="28"/>
      <c r="U3948" s="28"/>
    </row>
    <row r="3949" spans="1:21" s="5" customFormat="1">
      <c r="A3949" s="179" t="s">
        <v>4584</v>
      </c>
      <c r="B3949" s="185" t="s">
        <v>8310</v>
      </c>
      <c r="C3949" s="35" t="str">
        <f t="shared" si="427"/>
        <v>Tayid</v>
      </c>
      <c r="E3949" s="40"/>
      <c r="F3949" s="14"/>
      <c r="G3949" s="17"/>
      <c r="H3949" s="10" t="s">
        <v>8563</v>
      </c>
      <c r="I3949" s="4" t="str">
        <f t="shared" si="428"/>
        <v>|Ta’yíd|</v>
      </c>
      <c r="J3949" s="3" t="str">
        <f t="shared" si="429"/>
        <v>|Ta'yid|</v>
      </c>
      <c r="K3949" s="3" t="str">
        <f t="shared" si="430"/>
        <v>Tayid</v>
      </c>
      <c r="N3949" s="39" t="str">
        <f t="shared" si="431"/>
        <v/>
      </c>
      <c r="P3949" s="39" t="str">
        <f t="shared" si="432"/>
        <v/>
      </c>
      <c r="R3949" s="39" t="str">
        <f t="shared" si="433"/>
        <v/>
      </c>
      <c r="S3949" s="28"/>
      <c r="T3949" s="28"/>
      <c r="U3949" s="28"/>
    </row>
    <row r="3950" spans="1:21" s="5" customFormat="1">
      <c r="A3950" s="179" t="s">
        <v>4585</v>
      </c>
      <c r="B3950" s="185" t="s">
        <v>8311</v>
      </c>
      <c r="C3950" s="35" t="str">
        <f t="shared" si="427"/>
        <v>Taymuri</v>
      </c>
      <c r="E3950" s="40"/>
      <c r="F3950" s="15"/>
      <c r="G3950" s="17"/>
      <c r="H3950" s="10" t="s">
        <v>8563</v>
      </c>
      <c r="I3950" s="4" t="str">
        <f t="shared" si="428"/>
        <v>|Taymúrí|</v>
      </c>
      <c r="J3950" s="3" t="str">
        <f t="shared" si="429"/>
        <v>|Taymuri|</v>
      </c>
      <c r="K3950" s="3" t="str">
        <f t="shared" si="430"/>
        <v>Taymuri</v>
      </c>
      <c r="N3950" s="39" t="str">
        <f t="shared" si="431"/>
        <v/>
      </c>
      <c r="P3950" s="39" t="str">
        <f t="shared" si="432"/>
        <v/>
      </c>
      <c r="R3950" s="39" t="str">
        <f t="shared" si="433"/>
        <v/>
      </c>
      <c r="S3950" s="28"/>
      <c r="T3950" s="28"/>
      <c r="U3950" s="28"/>
    </row>
    <row r="3951" spans="1:21" s="5" customFormat="1">
      <c r="A3951" s="179" t="s">
        <v>4586</v>
      </c>
      <c r="B3951" s="185" t="s">
        <v>198</v>
      </c>
      <c r="C3951" s="35" t="str">
        <f t="shared" si="427"/>
        <v>Tayy</v>
      </c>
      <c r="E3951" s="40"/>
      <c r="F3951" s="15" t="s">
        <v>4587</v>
      </c>
      <c r="G3951" s="17"/>
      <c r="H3951" s="10" t="s">
        <v>8563</v>
      </c>
      <c r="I3951" s="4" t="str">
        <f t="shared" si="428"/>
        <v>|Ṭayy|</v>
      </c>
      <c r="J3951" s="3" t="str">
        <f t="shared" si="429"/>
        <v>|Tayy|</v>
      </c>
      <c r="K3951" s="3" t="str">
        <f t="shared" si="430"/>
        <v>Tayy</v>
      </c>
      <c r="N3951" s="39" t="str">
        <f t="shared" si="431"/>
        <v/>
      </c>
      <c r="P3951" s="39" t="str">
        <f t="shared" si="432"/>
        <v/>
      </c>
      <c r="R3951" s="39" t="str">
        <f t="shared" si="433"/>
        <v/>
      </c>
      <c r="S3951" s="28"/>
      <c r="T3951" s="28"/>
      <c r="U3951" s="28"/>
    </row>
    <row r="3952" spans="1:21" s="5" customFormat="1">
      <c r="A3952" s="179" t="s">
        <v>4588</v>
      </c>
      <c r="B3952" s="185" t="s">
        <v>8312</v>
      </c>
      <c r="C3952" s="35" t="str">
        <f t="shared" si="427"/>
        <v>Tayyib</v>
      </c>
      <c r="E3952" s="40"/>
      <c r="F3952" s="15"/>
      <c r="G3952" s="17"/>
      <c r="H3952" s="10" t="s">
        <v>8563</v>
      </c>
      <c r="I3952" s="4" t="str">
        <f t="shared" si="428"/>
        <v>|Ṭayyib|</v>
      </c>
      <c r="J3952" s="3" t="str">
        <f t="shared" si="429"/>
        <v>|Tayyib|</v>
      </c>
      <c r="K3952" s="3" t="str">
        <f t="shared" si="430"/>
        <v>Tayyib</v>
      </c>
      <c r="N3952" s="39" t="str">
        <f t="shared" si="431"/>
        <v/>
      </c>
      <c r="P3952" s="39" t="str">
        <f t="shared" si="432"/>
        <v/>
      </c>
      <c r="R3952" s="39" t="str">
        <f t="shared" si="433"/>
        <v/>
      </c>
      <c r="S3952" s="28"/>
      <c r="T3952" s="28"/>
      <c r="U3952" s="28"/>
    </row>
    <row r="3953" spans="1:21" s="5" customFormat="1">
      <c r="A3953" s="179" t="s">
        <v>4589</v>
      </c>
      <c r="B3953" s="185" t="s">
        <v>8313</v>
      </c>
      <c r="C3953" s="35" t="str">
        <f t="shared" si="427"/>
        <v>Tazih</v>
      </c>
      <c r="E3953" s="40"/>
      <c r="F3953" s="15"/>
      <c r="G3953" s="17"/>
      <c r="H3953" s="10" t="s">
        <v>8563</v>
      </c>
      <c r="I3953" s="4" t="str">
        <f t="shared" si="428"/>
        <v>|Tázih|</v>
      </c>
      <c r="J3953" s="3" t="str">
        <f t="shared" si="429"/>
        <v>|Tazih|</v>
      </c>
      <c r="K3953" s="3" t="str">
        <f t="shared" si="430"/>
        <v>Tazih</v>
      </c>
      <c r="N3953" s="39" t="str">
        <f t="shared" si="431"/>
        <v/>
      </c>
      <c r="P3953" s="39" t="str">
        <f t="shared" si="432"/>
        <v/>
      </c>
      <c r="R3953" s="39" t="str">
        <f t="shared" si="433"/>
        <v/>
      </c>
      <c r="S3953" s="28"/>
      <c r="T3953" s="28"/>
      <c r="U3953" s="28"/>
    </row>
    <row r="3954" spans="1:21" s="5" customFormat="1">
      <c r="A3954" s="179" t="s">
        <v>4590</v>
      </c>
      <c r="B3954" s="185" t="s">
        <v>8314</v>
      </c>
      <c r="C3954" s="35" t="str">
        <f t="shared" si="427"/>
        <v>Taziyih</v>
      </c>
      <c r="E3954" s="40"/>
      <c r="F3954" s="15"/>
      <c r="G3954" s="17"/>
      <c r="H3954" s="10" t="s">
        <v>8563</v>
      </c>
      <c r="I3954" s="4" t="str">
        <f t="shared" si="428"/>
        <v>|Taʿzíyih|</v>
      </c>
      <c r="J3954" s="3" t="str">
        <f t="shared" si="429"/>
        <v>|Ta'ziyih|</v>
      </c>
      <c r="K3954" s="3" t="str">
        <f t="shared" si="430"/>
        <v>Taziyih</v>
      </c>
      <c r="N3954" s="39" t="str">
        <f t="shared" si="431"/>
        <v/>
      </c>
      <c r="P3954" s="39" t="str">
        <f t="shared" si="432"/>
        <v/>
      </c>
      <c r="R3954" s="39" t="str">
        <f t="shared" si="433"/>
        <v/>
      </c>
      <c r="S3954" s="28"/>
      <c r="T3954" s="28"/>
      <c r="U3954" s="28"/>
    </row>
    <row r="3955" spans="1:21" s="5" customFormat="1">
      <c r="A3955" s="179" t="s">
        <v>4591</v>
      </c>
      <c r="B3955" s="185" t="s">
        <v>8315</v>
      </c>
      <c r="C3955" s="35" t="str">
        <f t="shared" si="427"/>
        <v>Tha</v>
      </c>
      <c r="E3955" s="40"/>
      <c r="F3955" s="14"/>
      <c r="G3955" s="17"/>
      <c r="H3955" s="10" t="s">
        <v>8563</v>
      </c>
      <c r="I3955" s="4" t="str">
        <f t="shared" si="428"/>
        <v>|á|</v>
      </c>
      <c r="J3955" s="3" t="str">
        <f t="shared" si="429"/>
        <v>|Tha|</v>
      </c>
      <c r="K3955" s="3" t="str">
        <f t="shared" si="430"/>
        <v>Tha</v>
      </c>
      <c r="N3955" s="39" t="str">
        <f t="shared" si="431"/>
        <v/>
      </c>
      <c r="P3955" s="39" t="str">
        <f t="shared" si="432"/>
        <v/>
      </c>
      <c r="R3955" s="39" t="str">
        <f t="shared" si="433"/>
        <v/>
      </c>
      <c r="S3955" s="28"/>
      <c r="T3955" s="28"/>
      <c r="U3955" s="28"/>
    </row>
    <row r="3956" spans="1:21" s="5" customFormat="1">
      <c r="A3956" s="179" t="s">
        <v>4592</v>
      </c>
      <c r="B3956" s="185" t="s">
        <v>8316</v>
      </c>
      <c r="C3956" s="35" t="str">
        <f t="shared" si="427"/>
        <v>Thabit</v>
      </c>
      <c r="E3956" s="40"/>
      <c r="F3956" s="14"/>
      <c r="G3956" s="17"/>
      <c r="H3956" s="10" t="s">
        <v>8563</v>
      </c>
      <c r="I3956" s="4" t="str">
        <f t="shared" si="428"/>
        <v>|ábit|</v>
      </c>
      <c r="J3956" s="3" t="str">
        <f t="shared" si="429"/>
        <v>|Thabit|</v>
      </c>
      <c r="K3956" s="3" t="str">
        <f t="shared" si="430"/>
        <v>Thabit</v>
      </c>
      <c r="N3956" s="39" t="str">
        <f t="shared" si="431"/>
        <v/>
      </c>
      <c r="P3956" s="39" t="str">
        <f t="shared" si="432"/>
        <v/>
      </c>
      <c r="R3956" s="39" t="str">
        <f t="shared" si="433"/>
        <v/>
      </c>
      <c r="S3956" s="28"/>
      <c r="T3956" s="28"/>
      <c r="U3956" s="28"/>
    </row>
    <row r="3957" spans="1:21" s="5" customFormat="1">
      <c r="A3957" s="179" t="s">
        <v>4593</v>
      </c>
      <c r="B3957" s="185" t="s">
        <v>8317</v>
      </c>
      <c r="C3957" s="35" t="str">
        <f t="shared" si="427"/>
        <v>ThabitRasikh</v>
      </c>
      <c r="E3957" s="40"/>
      <c r="F3957" s="15"/>
      <c r="G3957" s="17"/>
      <c r="H3957" s="10" t="s">
        <v>8563</v>
      </c>
      <c r="I3957" s="4" t="str">
        <f t="shared" si="428"/>
        <v>|ábit-Rási|</v>
      </c>
      <c r="J3957" s="3" t="str">
        <f t="shared" si="429"/>
        <v>|Thabit-Rasikh|</v>
      </c>
      <c r="K3957" s="3" t="str">
        <f t="shared" si="430"/>
        <v>Thabit-Rasikh</v>
      </c>
      <c r="N3957" s="39" t="str">
        <f t="shared" si="431"/>
        <v/>
      </c>
      <c r="P3957" s="39" t="str">
        <f t="shared" si="432"/>
        <v/>
      </c>
      <c r="R3957" s="39" t="str">
        <f t="shared" si="433"/>
        <v/>
      </c>
      <c r="S3957" s="28"/>
      <c r="T3957" s="28"/>
      <c r="U3957" s="28"/>
    </row>
    <row r="3958" spans="1:21" s="5" customFormat="1">
      <c r="A3958" s="179" t="s">
        <v>4594</v>
      </c>
      <c r="B3958" s="185" t="s">
        <v>8318</v>
      </c>
      <c r="C3958" s="35" t="str">
        <f t="shared" si="427"/>
        <v>ThabitSarvistani</v>
      </c>
      <c r="E3958" s="40"/>
      <c r="F3958" s="15"/>
      <c r="G3958" s="17"/>
      <c r="H3958" s="10" t="s">
        <v>8563</v>
      </c>
      <c r="I3958" s="4" t="str">
        <f t="shared" si="428"/>
        <v>|ábit-Sarvistání|</v>
      </c>
      <c r="J3958" s="3" t="str">
        <f t="shared" si="429"/>
        <v>|Thabit-Sarvistani|</v>
      </c>
      <c r="K3958" s="3" t="str">
        <f t="shared" si="430"/>
        <v>Thabit-Sarvistani</v>
      </c>
      <c r="N3958" s="39" t="str">
        <f t="shared" si="431"/>
        <v/>
      </c>
      <c r="P3958" s="39" t="str">
        <f t="shared" si="432"/>
        <v/>
      </c>
      <c r="R3958" s="39" t="str">
        <f t="shared" si="433"/>
        <v/>
      </c>
      <c r="S3958" s="28"/>
      <c r="T3958" s="28"/>
      <c r="U3958" s="28"/>
    </row>
    <row r="3959" spans="1:21" s="5" customFormat="1">
      <c r="A3959" s="179" t="s">
        <v>4595</v>
      </c>
      <c r="B3959" s="185" t="s">
        <v>8319</v>
      </c>
      <c r="C3959" s="35" t="str">
        <f t="shared" si="427"/>
        <v>ThamaratulAzaliyyih</v>
      </c>
      <c r="E3959" s="40"/>
      <c r="F3959" s="15"/>
      <c r="G3959" s="17"/>
      <c r="H3959" s="10" t="s">
        <v>8563</v>
      </c>
      <c r="I3959" s="4" t="str">
        <f t="shared" si="428"/>
        <v>|amaratu’l-Azalíyyih|</v>
      </c>
      <c r="J3959" s="3" t="str">
        <f t="shared" si="429"/>
        <v>|Thamaratu'l-Azaliyyih|</v>
      </c>
      <c r="K3959" s="3" t="str">
        <f t="shared" si="430"/>
        <v>Thamaratul-Azaliyyih</v>
      </c>
      <c r="N3959" s="39" t="str">
        <f t="shared" si="431"/>
        <v/>
      </c>
      <c r="P3959" s="39" t="str">
        <f t="shared" si="432"/>
        <v/>
      </c>
      <c r="R3959" s="39" t="str">
        <f t="shared" si="433"/>
        <v/>
      </c>
      <c r="S3959" s="28"/>
      <c r="T3959" s="28"/>
      <c r="U3959" s="28"/>
    </row>
    <row r="3960" spans="1:21" s="5" customFormat="1">
      <c r="A3960" s="179" t="s">
        <v>4596</v>
      </c>
      <c r="B3960" s="185" t="s">
        <v>8320</v>
      </c>
      <c r="C3960" s="35" t="str">
        <f t="shared" si="427"/>
        <v>Thamarih</v>
      </c>
      <c r="E3960" s="40"/>
      <c r="F3960" s="15" t="s">
        <v>4597</v>
      </c>
      <c r="G3960" s="17"/>
      <c r="H3960" s="10" t="s">
        <v>8563</v>
      </c>
      <c r="I3960" s="4" t="str">
        <f t="shared" si="428"/>
        <v>|amarih|</v>
      </c>
      <c r="J3960" s="3" t="str">
        <f t="shared" si="429"/>
        <v>|Thamarih|</v>
      </c>
      <c r="K3960" s="3" t="str">
        <f t="shared" si="430"/>
        <v>Thamarih</v>
      </c>
      <c r="N3960" s="39" t="str">
        <f t="shared" si="431"/>
        <v/>
      </c>
      <c r="P3960" s="39" t="str">
        <f t="shared" si="432"/>
        <v/>
      </c>
      <c r="R3960" s="39" t="str">
        <f t="shared" si="433"/>
        <v/>
      </c>
      <c r="S3960" s="28"/>
      <c r="T3960" s="28"/>
      <c r="U3960" s="28"/>
    </row>
    <row r="3961" spans="1:21" s="5" customFormat="1">
      <c r="A3961" s="179" t="s">
        <v>4598</v>
      </c>
      <c r="B3961" s="185" t="s">
        <v>8321</v>
      </c>
      <c r="C3961" s="35" t="str">
        <f t="shared" si="427"/>
        <v>Thamud</v>
      </c>
      <c r="E3961" s="40" t="s">
        <v>9115</v>
      </c>
      <c r="F3961" s="15"/>
      <c r="G3961" s="17"/>
      <c r="H3961" s="10" t="s">
        <v>8563</v>
      </c>
      <c r="I3961" s="4" t="str">
        <f t="shared" si="428"/>
        <v>|amúd|</v>
      </c>
      <c r="J3961" s="3" t="str">
        <f t="shared" si="429"/>
        <v>|Thamud|</v>
      </c>
      <c r="K3961" s="3" t="str">
        <f t="shared" si="430"/>
        <v>Thamud</v>
      </c>
      <c r="N3961" s="39" t="str">
        <f t="shared" si="431"/>
        <v/>
      </c>
      <c r="P3961" s="39" t="str">
        <f t="shared" si="432"/>
        <v/>
      </c>
      <c r="R3961" s="39" t="str">
        <f t="shared" si="433"/>
        <v/>
      </c>
      <c r="S3961" s="28"/>
      <c r="T3961" s="28"/>
      <c r="U3961" s="28"/>
    </row>
    <row r="3962" spans="1:21" s="5" customFormat="1">
      <c r="A3962" s="179" t="s">
        <v>4599</v>
      </c>
      <c r="B3962" s="185" t="s">
        <v>8322</v>
      </c>
      <c r="C3962" s="35" t="str">
        <f t="shared" si="427"/>
        <v>Thamud</v>
      </c>
      <c r="E3962" s="40" t="s">
        <v>9115</v>
      </c>
      <c r="F3962" s="14"/>
      <c r="G3962" s="17"/>
      <c r="H3962" s="10" t="s">
        <v>8563</v>
      </c>
      <c r="I3962" s="4" t="str">
        <f t="shared" si="428"/>
        <v>|ámúd|</v>
      </c>
      <c r="J3962" s="3" t="str">
        <f t="shared" si="429"/>
        <v>|Thamud|</v>
      </c>
      <c r="K3962" s="3" t="str">
        <f t="shared" si="430"/>
        <v>Thamud</v>
      </c>
      <c r="N3962" s="39" t="str">
        <f t="shared" si="431"/>
        <v/>
      </c>
      <c r="P3962" s="39" t="str">
        <f t="shared" si="432"/>
        <v/>
      </c>
      <c r="R3962" s="39" t="str">
        <f t="shared" si="433"/>
        <v/>
      </c>
      <c r="S3962" s="28"/>
      <c r="T3962" s="28"/>
      <c r="U3962" s="28"/>
    </row>
    <row r="3963" spans="1:21" s="5" customFormat="1">
      <c r="A3963" s="179" t="s">
        <v>4600</v>
      </c>
      <c r="B3963" s="185" t="s">
        <v>8323</v>
      </c>
      <c r="C3963" s="35" t="str">
        <f t="shared" si="427"/>
        <v>Thurayya</v>
      </c>
      <c r="E3963" s="40"/>
      <c r="F3963" s="14"/>
      <c r="G3963" s="17"/>
      <c r="H3963" s="10" t="s">
        <v>8563</v>
      </c>
      <c r="I3963" s="4" t="str">
        <f t="shared" si="428"/>
        <v>|urayyá|</v>
      </c>
      <c r="J3963" s="3" t="str">
        <f t="shared" si="429"/>
        <v>|Thurayya|</v>
      </c>
      <c r="K3963" s="3" t="str">
        <f t="shared" si="430"/>
        <v>Thurayya</v>
      </c>
      <c r="N3963" s="39" t="str">
        <f t="shared" si="431"/>
        <v/>
      </c>
      <c r="P3963" s="39" t="str">
        <f t="shared" si="432"/>
        <v/>
      </c>
      <c r="R3963" s="39" t="str">
        <f t="shared" si="433"/>
        <v/>
      </c>
      <c r="S3963" s="28"/>
      <c r="T3963" s="28"/>
      <c r="U3963" s="28"/>
    </row>
    <row r="3964" spans="1:21" s="5" customFormat="1">
      <c r="A3964" s="179" t="s">
        <v>4601</v>
      </c>
      <c r="B3964" s="185" t="s">
        <v>8324</v>
      </c>
      <c r="C3964" s="35" t="str">
        <f t="shared" si="427"/>
        <v>Tibyaniyan</v>
      </c>
      <c r="E3964" s="40"/>
      <c r="F3964" s="15"/>
      <c r="G3964" s="17"/>
      <c r="H3964" s="10" t="s">
        <v>8563</v>
      </c>
      <c r="I3964" s="4" t="str">
        <f t="shared" si="428"/>
        <v>|Tibyáníyán|</v>
      </c>
      <c r="J3964" s="3" t="str">
        <f t="shared" si="429"/>
        <v>|Tibyaniyan|</v>
      </c>
      <c r="K3964" s="3" t="str">
        <f t="shared" si="430"/>
        <v>Tibyaniyan</v>
      </c>
      <c r="N3964" s="39" t="str">
        <f t="shared" si="431"/>
        <v/>
      </c>
      <c r="P3964" s="39" t="str">
        <f t="shared" si="432"/>
        <v/>
      </c>
      <c r="R3964" s="39" t="str">
        <f t="shared" si="433"/>
        <v/>
      </c>
      <c r="S3964" s="28"/>
      <c r="T3964" s="28"/>
      <c r="U3964" s="28"/>
    </row>
    <row r="3965" spans="1:21" s="5" customFormat="1">
      <c r="A3965" s="179" t="s">
        <v>4602</v>
      </c>
      <c r="B3965" s="185" t="s">
        <v>8325</v>
      </c>
      <c r="C3965" s="35" t="str">
        <f t="shared" si="427"/>
        <v>Tiflis</v>
      </c>
      <c r="E3965" s="40"/>
      <c r="F3965" s="15" t="s">
        <v>4603</v>
      </c>
      <c r="G3965" s="17"/>
      <c r="H3965" s="10" t="s">
        <v>8563</v>
      </c>
      <c r="I3965" s="4" t="str">
        <f t="shared" si="428"/>
        <v>|Tiflís|</v>
      </c>
      <c r="J3965" s="3" t="str">
        <f t="shared" si="429"/>
        <v>|Tiflis|</v>
      </c>
      <c r="K3965" s="3" t="str">
        <f t="shared" si="430"/>
        <v>Tiflis</v>
      </c>
      <c r="N3965" s="39" t="str">
        <f t="shared" si="431"/>
        <v/>
      </c>
      <c r="P3965" s="39" t="str">
        <f t="shared" si="432"/>
        <v/>
      </c>
      <c r="R3965" s="39" t="str">
        <f t="shared" si="433"/>
        <v/>
      </c>
      <c r="S3965" s="28"/>
      <c r="T3965" s="28"/>
      <c r="U3965" s="28"/>
    </row>
    <row r="3966" spans="1:21" s="5" customFormat="1">
      <c r="A3966" s="179" t="s">
        <v>4604</v>
      </c>
      <c r="B3966" s="185" t="s">
        <v>48</v>
      </c>
      <c r="C3966" s="35" t="str">
        <f t="shared" si="427"/>
        <v>Tihran</v>
      </c>
      <c r="E3966" s="40"/>
      <c r="F3966" s="14"/>
      <c r="G3966" s="17"/>
      <c r="H3966" s="10" t="s">
        <v>8563</v>
      </c>
      <c r="I3966" s="4" t="str">
        <f t="shared" si="428"/>
        <v>|Ṭihrán|</v>
      </c>
      <c r="J3966" s="3" t="str">
        <f t="shared" si="429"/>
        <v>|Tihran|</v>
      </c>
      <c r="K3966" s="3" t="str">
        <f t="shared" si="430"/>
        <v>Tihran</v>
      </c>
      <c r="N3966" s="39" t="str">
        <f t="shared" si="431"/>
        <v/>
      </c>
      <c r="P3966" s="39" t="str">
        <f t="shared" si="432"/>
        <v/>
      </c>
      <c r="R3966" s="39" t="str">
        <f t="shared" si="433"/>
        <v/>
      </c>
      <c r="S3966" s="28"/>
      <c r="T3966" s="29">
        <v>41781</v>
      </c>
      <c r="U3966" s="28" t="s">
        <v>9473</v>
      </c>
    </row>
    <row r="3967" spans="1:21" s="5" customFormat="1">
      <c r="A3967" s="179" t="s">
        <v>4605</v>
      </c>
      <c r="B3967" s="185" t="s">
        <v>8326</v>
      </c>
      <c r="C3967" s="35" t="str">
        <f t="shared" si="427"/>
        <v>Tihrani</v>
      </c>
      <c r="E3967" s="40"/>
      <c r="F3967" s="15"/>
      <c r="G3967" s="17"/>
      <c r="H3967" s="10" t="s">
        <v>8563</v>
      </c>
      <c r="I3967" s="4" t="str">
        <f t="shared" si="428"/>
        <v>|Ṭihrání|</v>
      </c>
      <c r="J3967" s="3" t="str">
        <f t="shared" si="429"/>
        <v>|Tihrani|</v>
      </c>
      <c r="K3967" s="3" t="str">
        <f t="shared" si="430"/>
        <v>Tihrani</v>
      </c>
      <c r="N3967" s="39" t="str">
        <f t="shared" si="431"/>
        <v/>
      </c>
      <c r="P3967" s="39" t="str">
        <f t="shared" si="432"/>
        <v/>
      </c>
      <c r="R3967" s="39" t="str">
        <f t="shared" si="433"/>
        <v/>
      </c>
      <c r="S3967" s="28"/>
      <c r="T3967" s="28"/>
      <c r="U3967" s="28"/>
    </row>
    <row r="3968" spans="1:21" s="5" customFormat="1">
      <c r="A3968" s="179"/>
      <c r="B3968" s="185" t="s">
        <v>9112</v>
      </c>
      <c r="C3968" s="35" t="str">
        <f t="shared" si="427"/>
        <v>Tihrans</v>
      </c>
      <c r="D3968" s="5" t="s">
        <v>59</v>
      </c>
      <c r="E3968" s="40"/>
      <c r="F3968" s="15"/>
      <c r="G3968" s="17"/>
      <c r="H3968" s="10"/>
      <c r="I3968" s="4" t="str">
        <f t="shared" si="428"/>
        <v>|Ṭihráns|</v>
      </c>
      <c r="J3968" s="3" t="str">
        <f t="shared" si="429"/>
        <v>|Tihrans|</v>
      </c>
      <c r="K3968" s="3" t="str">
        <f t="shared" si="430"/>
        <v>Tihrans</v>
      </c>
      <c r="L3968" s="1"/>
      <c r="N3968" s="39" t="str">
        <f t="shared" si="431"/>
        <v/>
      </c>
      <c r="P3968" s="39" t="str">
        <f t="shared" si="432"/>
        <v/>
      </c>
      <c r="R3968" s="39" t="str">
        <f t="shared" si="433"/>
        <v/>
      </c>
      <c r="S3968" s="29">
        <v>41781</v>
      </c>
      <c r="T3968" s="29">
        <v>41781</v>
      </c>
      <c r="U3968" s="28" t="s">
        <v>9446</v>
      </c>
    </row>
    <row r="3969" spans="1:21" s="5" customFormat="1">
      <c r="A3969" s="179" t="s">
        <v>4606</v>
      </c>
      <c r="B3969" s="185" t="s">
        <v>8327</v>
      </c>
      <c r="C3969" s="35" t="str">
        <f t="shared" si="427"/>
        <v>Timthal</v>
      </c>
      <c r="E3969" s="40"/>
      <c r="F3969" s="15"/>
      <c r="G3969" s="17"/>
      <c r="H3969" s="10" t="s">
        <v>8563</v>
      </c>
      <c r="I3969" s="4" t="str">
        <f t="shared" si="428"/>
        <v>|Timál|</v>
      </c>
      <c r="J3969" s="3" t="str">
        <f t="shared" si="429"/>
        <v>|Timthal|</v>
      </c>
      <c r="K3969" s="3" t="str">
        <f t="shared" si="430"/>
        <v>Timthal</v>
      </c>
      <c r="N3969" s="39" t="str">
        <f t="shared" si="431"/>
        <v/>
      </c>
      <c r="P3969" s="39" t="str">
        <f t="shared" si="432"/>
        <v/>
      </c>
      <c r="R3969" s="39" t="str">
        <f t="shared" si="433"/>
        <v/>
      </c>
      <c r="S3969" s="28"/>
      <c r="T3969" s="28"/>
      <c r="U3969" s="28"/>
    </row>
    <row r="3970" spans="1:21" s="5" customFormat="1">
      <c r="A3970" s="179" t="s">
        <v>4607</v>
      </c>
      <c r="B3970" s="185" t="s">
        <v>8328</v>
      </c>
      <c r="C3970" s="35" t="str">
        <f t="shared" ref="C3970:C4033" si="434">SUBSTITUTE(SUBSTITUTE(K3970,"-","")," ","")</f>
        <v>Tin</v>
      </c>
      <c r="E3970" s="40"/>
      <c r="F3970" s="15" t="s">
        <v>4608</v>
      </c>
      <c r="G3970" s="17"/>
      <c r="H3970" s="10" t="s">
        <v>8563</v>
      </c>
      <c r="I3970" s="4" t="str">
        <f t="shared" ref="I3970:I4033" si="435">CONCATENATE("|",B3970,"|")</f>
        <v>|Tín|</v>
      </c>
      <c r="J3970" s="3" t="str">
        <f t="shared" ref="J3970:J4033" si="436">CONCATENATE("|",F_OutputASCII(B3970),"|")</f>
        <v>|Tin|</v>
      </c>
      <c r="K3970" s="3" t="str">
        <f t="shared" ref="K3970:K4033" si="437">IF(SUBSTITUTE(MID(J3970,2,LEN(J3970)-2),"'","")&lt;&gt;"",SUBSTITUTE(MID(J3970,2,LEN(J3970)-2),"'",""),"ZZZZZ")</f>
        <v>Tin</v>
      </c>
      <c r="L3970" s="5" t="s">
        <v>9066</v>
      </c>
      <c r="N3970" s="39" t="str">
        <f t="shared" si="431"/>
        <v/>
      </c>
      <c r="P3970" s="39" t="str">
        <f t="shared" si="432"/>
        <v/>
      </c>
      <c r="R3970" s="39" t="str">
        <f t="shared" si="433"/>
        <v/>
      </c>
      <c r="S3970" s="28"/>
      <c r="T3970" s="28"/>
      <c r="U3970" s="28"/>
    </row>
    <row r="3971" spans="1:21" s="5" customFormat="1">
      <c r="A3971" s="179" t="s">
        <v>4609</v>
      </c>
      <c r="B3971" s="185" t="s">
        <v>8329</v>
      </c>
      <c r="C3971" s="35" t="str">
        <f t="shared" si="434"/>
        <v>Tina</v>
      </c>
      <c r="E3971" s="40"/>
      <c r="F3971" s="14"/>
      <c r="G3971" s="17"/>
      <c r="H3971" s="10" t="s">
        <v>8563</v>
      </c>
      <c r="I3971" s="4" t="str">
        <f t="shared" si="435"/>
        <v>|Tíná|</v>
      </c>
      <c r="J3971" s="3" t="str">
        <f t="shared" si="436"/>
        <v>|Tina|</v>
      </c>
      <c r="K3971" s="3" t="str">
        <f t="shared" si="437"/>
        <v>Tina</v>
      </c>
      <c r="N3971" s="39" t="str">
        <f t="shared" ref="N3971:N4034" si="438">SUBSTITUTE(SUBSTITUTE(SUBSTITUTE(F_OutputASCII(M3971),"-","")," ",""),"'","")</f>
        <v/>
      </c>
      <c r="P3971" s="39" t="str">
        <f t="shared" ref="P3971:P4034" si="439">SUBSTITUTE(SUBSTITUTE(SUBSTITUTE(F_OutputASCII(O3971),"-","")," ",""),"'","")</f>
        <v/>
      </c>
      <c r="R3971" s="39" t="str">
        <f t="shared" ref="R3971:R4034" si="440">SUBSTITUTE(SUBSTITUTE(Q3971,"-","")," ","")</f>
        <v/>
      </c>
      <c r="S3971" s="28"/>
      <c r="T3971" s="28"/>
      <c r="U3971" s="28"/>
    </row>
    <row r="3972" spans="1:21" s="5" customFormat="1">
      <c r="A3972" s="179" t="s">
        <v>4610</v>
      </c>
      <c r="B3972" s="185" t="s">
        <v>8330</v>
      </c>
      <c r="C3972" s="35" t="str">
        <f t="shared" si="434"/>
        <v>Tir</v>
      </c>
      <c r="E3972" s="40"/>
      <c r="F3972" s="15"/>
      <c r="G3972" s="17"/>
      <c r="H3972" s="10" t="s">
        <v>8563</v>
      </c>
      <c r="I3972" s="4" t="str">
        <f t="shared" si="435"/>
        <v>|Tír|</v>
      </c>
      <c r="J3972" s="3" t="str">
        <f t="shared" si="436"/>
        <v>|Tir|</v>
      </c>
      <c r="K3972" s="3" t="str">
        <f t="shared" si="437"/>
        <v>Tir</v>
      </c>
      <c r="N3972" s="39" t="str">
        <f t="shared" si="438"/>
        <v/>
      </c>
      <c r="P3972" s="39" t="str">
        <f t="shared" si="439"/>
        <v/>
      </c>
      <c r="R3972" s="39" t="str">
        <f t="shared" si="440"/>
        <v/>
      </c>
      <c r="S3972" s="28"/>
      <c r="T3972" s="28"/>
      <c r="U3972" s="28"/>
    </row>
    <row r="3973" spans="1:21" s="5" customFormat="1">
      <c r="A3973" s="179" t="s">
        <v>4611</v>
      </c>
      <c r="B3973" s="185" t="s">
        <v>8331</v>
      </c>
      <c r="C3973" s="35" t="str">
        <f t="shared" si="434"/>
        <v>TiyyulArd</v>
      </c>
      <c r="E3973" s="40"/>
      <c r="F3973" s="15"/>
      <c r="G3973" s="17"/>
      <c r="H3973" s="10" t="s">
        <v>8563</v>
      </c>
      <c r="I3973" s="4" t="str">
        <f t="shared" si="435"/>
        <v>|Ṭiyyu’l-Arḍ|</v>
      </c>
      <c r="J3973" s="3" t="str">
        <f t="shared" si="436"/>
        <v>|Tiyyu'l-Ard|</v>
      </c>
      <c r="K3973" s="3" t="str">
        <f t="shared" si="437"/>
        <v>Tiyyul-Ard</v>
      </c>
      <c r="N3973" s="39" t="str">
        <f t="shared" si="438"/>
        <v/>
      </c>
      <c r="P3973" s="39" t="str">
        <f t="shared" si="439"/>
        <v/>
      </c>
      <c r="R3973" s="39" t="str">
        <f t="shared" si="440"/>
        <v/>
      </c>
      <c r="S3973" s="28"/>
      <c r="T3973" s="28"/>
      <c r="U3973" s="28"/>
    </row>
    <row r="3974" spans="1:21" s="5" customFormat="1">
      <c r="A3974" s="179" t="s">
        <v>4612</v>
      </c>
      <c r="B3974" s="185" t="s">
        <v>8332</v>
      </c>
      <c r="C3974" s="35" t="str">
        <f t="shared" si="434"/>
        <v>Tizfahm</v>
      </c>
      <c r="E3974" s="40"/>
      <c r="F3974" s="15"/>
      <c r="G3974" s="17"/>
      <c r="H3974" s="10" t="s">
        <v>8563</v>
      </c>
      <c r="I3974" s="4" t="str">
        <f t="shared" si="435"/>
        <v>|Tízfahm|</v>
      </c>
      <c r="J3974" s="3" t="str">
        <f t="shared" si="436"/>
        <v>|Tizfahm|</v>
      </c>
      <c r="K3974" s="3" t="str">
        <f t="shared" si="437"/>
        <v>Tizfahm</v>
      </c>
      <c r="N3974" s="39" t="str">
        <f t="shared" si="438"/>
        <v/>
      </c>
      <c r="P3974" s="39" t="str">
        <f t="shared" si="439"/>
        <v/>
      </c>
      <c r="R3974" s="39" t="str">
        <f t="shared" si="440"/>
        <v/>
      </c>
      <c r="S3974" s="28"/>
      <c r="T3974" s="28"/>
      <c r="U3974" s="28"/>
    </row>
    <row r="3975" spans="1:21" s="5" customFormat="1">
      <c r="A3975" s="179" t="s">
        <v>4613</v>
      </c>
      <c r="B3975" s="185" t="s">
        <v>8333</v>
      </c>
      <c r="C3975" s="35" t="str">
        <f t="shared" si="434"/>
        <v>Tuba</v>
      </c>
      <c r="E3975" s="40"/>
      <c r="F3975" s="15"/>
      <c r="G3975" s="17"/>
      <c r="H3975" s="10" t="s">
        <v>8563</v>
      </c>
      <c r="I3975" s="4" t="str">
        <f t="shared" si="435"/>
        <v>|Ṭúbá|</v>
      </c>
      <c r="J3975" s="3" t="str">
        <f t="shared" si="436"/>
        <v>|Tuba|</v>
      </c>
      <c r="K3975" s="3" t="str">
        <f t="shared" si="437"/>
        <v>Tuba</v>
      </c>
      <c r="N3975" s="39" t="str">
        <f t="shared" si="438"/>
        <v/>
      </c>
      <c r="P3975" s="39" t="str">
        <f t="shared" si="439"/>
        <v/>
      </c>
      <c r="R3975" s="39" t="str">
        <f t="shared" si="440"/>
        <v/>
      </c>
      <c r="S3975" s="28"/>
      <c r="T3975" s="28"/>
      <c r="U3975" s="28"/>
    </row>
    <row r="3976" spans="1:21" s="5" customFormat="1">
      <c r="A3976" s="179" t="s">
        <v>4614</v>
      </c>
      <c r="B3976" s="185" t="s">
        <v>8334</v>
      </c>
      <c r="C3976" s="35" t="str">
        <f t="shared" si="434"/>
        <v>Tubba</v>
      </c>
      <c r="E3976" s="40"/>
      <c r="F3976" s="15"/>
      <c r="G3976" s="17"/>
      <c r="H3976" s="10" t="s">
        <v>8563</v>
      </c>
      <c r="I3976" s="4" t="str">
        <f t="shared" si="435"/>
        <v>|Tubbáʿ|</v>
      </c>
      <c r="J3976" s="3" t="str">
        <f t="shared" si="436"/>
        <v>|Tubba'|</v>
      </c>
      <c r="K3976" s="3" t="str">
        <f t="shared" si="437"/>
        <v>Tubba</v>
      </c>
      <c r="N3976" s="39" t="str">
        <f t="shared" si="438"/>
        <v/>
      </c>
      <c r="P3976" s="39" t="str">
        <f t="shared" si="439"/>
        <v/>
      </c>
      <c r="R3976" s="39" t="str">
        <f t="shared" si="440"/>
        <v/>
      </c>
      <c r="S3976" s="28"/>
      <c r="T3976" s="28"/>
      <c r="U3976" s="28"/>
    </row>
    <row r="3977" spans="1:21" s="5" customFormat="1">
      <c r="A3977" s="179" t="s">
        <v>4615</v>
      </c>
      <c r="B3977" s="185" t="s">
        <v>8335</v>
      </c>
      <c r="C3977" s="35" t="str">
        <f t="shared" si="434"/>
        <v>Tullab</v>
      </c>
      <c r="E3977" s="40"/>
      <c r="F3977" s="15" t="s">
        <v>4616</v>
      </c>
      <c r="G3977" s="17"/>
      <c r="H3977" s="10" t="s">
        <v>8563</v>
      </c>
      <c r="I3977" s="4" t="str">
        <f t="shared" si="435"/>
        <v>|Ṭulláb|</v>
      </c>
      <c r="J3977" s="3" t="str">
        <f t="shared" si="436"/>
        <v>|Tullab|</v>
      </c>
      <c r="K3977" s="3" t="str">
        <f t="shared" si="437"/>
        <v>Tullab</v>
      </c>
      <c r="N3977" s="39" t="str">
        <f t="shared" si="438"/>
        <v/>
      </c>
      <c r="P3977" s="39" t="str">
        <f t="shared" si="439"/>
        <v/>
      </c>
      <c r="R3977" s="39" t="str">
        <f t="shared" si="440"/>
        <v/>
      </c>
      <c r="S3977" s="28"/>
      <c r="T3977" s="28"/>
      <c r="U3977" s="28"/>
    </row>
    <row r="3978" spans="1:21" s="5" customFormat="1">
      <c r="A3978" s="179" t="s">
        <v>4617</v>
      </c>
      <c r="B3978" s="185" t="s">
        <v>8336</v>
      </c>
      <c r="C3978" s="35" t="str">
        <f t="shared" si="434"/>
        <v>Tulun</v>
      </c>
      <c r="E3978" s="40"/>
      <c r="F3978" s="15"/>
      <c r="G3978" s="17"/>
      <c r="H3978" s="10" t="s">
        <v>8563</v>
      </c>
      <c r="I3978" s="4" t="str">
        <f t="shared" si="435"/>
        <v>|Ṭúlún|</v>
      </c>
      <c r="J3978" s="3" t="str">
        <f t="shared" si="436"/>
        <v>|Tulun|</v>
      </c>
      <c r="K3978" s="3" t="str">
        <f t="shared" si="437"/>
        <v>Tulun</v>
      </c>
      <c r="N3978" s="39" t="str">
        <f t="shared" si="438"/>
        <v/>
      </c>
      <c r="P3978" s="39" t="str">
        <f t="shared" si="439"/>
        <v/>
      </c>
      <c r="R3978" s="39" t="str">
        <f t="shared" si="440"/>
        <v/>
      </c>
      <c r="S3978" s="28"/>
      <c r="T3978" s="28"/>
      <c r="U3978" s="28"/>
    </row>
    <row r="3979" spans="1:21" s="5" customFormat="1">
      <c r="A3979" s="179" t="s">
        <v>4618</v>
      </c>
      <c r="B3979" s="185" t="s">
        <v>8337</v>
      </c>
      <c r="C3979" s="35" t="str">
        <f t="shared" si="434"/>
        <v>Tuman</v>
      </c>
      <c r="E3979" s="40"/>
      <c r="F3979" s="14" t="s">
        <v>4619</v>
      </c>
      <c r="G3979" s="17"/>
      <c r="H3979" s="10" t="s">
        <v>8563</v>
      </c>
      <c r="I3979" s="4" t="str">
        <f t="shared" si="435"/>
        <v>|Túmán|</v>
      </c>
      <c r="J3979" s="3" t="str">
        <f t="shared" si="436"/>
        <v>|Tuman|</v>
      </c>
      <c r="K3979" s="3" t="str">
        <f t="shared" si="437"/>
        <v>Tuman</v>
      </c>
      <c r="N3979" s="39" t="str">
        <f t="shared" si="438"/>
        <v/>
      </c>
      <c r="P3979" s="39" t="str">
        <f t="shared" si="439"/>
        <v/>
      </c>
      <c r="R3979" s="39" t="str">
        <f t="shared" si="440"/>
        <v/>
      </c>
      <c r="S3979" s="28"/>
      <c r="T3979" s="28"/>
      <c r="U3979" s="28"/>
    </row>
    <row r="3980" spans="1:21" s="5" customFormat="1">
      <c r="A3980" s="179" t="s">
        <v>4620</v>
      </c>
      <c r="B3980" s="185" t="s">
        <v>8338</v>
      </c>
      <c r="C3980" s="35" t="str">
        <f t="shared" si="434"/>
        <v>Tunis</v>
      </c>
      <c r="E3980" s="40"/>
      <c r="F3980" s="14"/>
      <c r="G3980" s="17"/>
      <c r="H3980" s="10" t="s">
        <v>8563</v>
      </c>
      <c r="I3980" s="4" t="str">
        <f t="shared" si="435"/>
        <v>|Túnis|</v>
      </c>
      <c r="J3980" s="3" t="str">
        <f t="shared" si="436"/>
        <v>|Tunis|</v>
      </c>
      <c r="K3980" s="3" t="str">
        <f t="shared" si="437"/>
        <v>Tunis</v>
      </c>
      <c r="N3980" s="39" t="str">
        <f t="shared" si="438"/>
        <v/>
      </c>
      <c r="P3980" s="39" t="str">
        <f t="shared" si="439"/>
        <v/>
      </c>
      <c r="R3980" s="39" t="str">
        <f t="shared" si="440"/>
        <v/>
      </c>
      <c r="S3980" s="28"/>
      <c r="T3980" s="28"/>
      <c r="U3980" s="28"/>
    </row>
    <row r="3981" spans="1:21" s="5" customFormat="1">
      <c r="A3981" s="179" t="s">
        <v>4621</v>
      </c>
      <c r="B3981" s="185" t="s">
        <v>8339</v>
      </c>
      <c r="C3981" s="35" t="str">
        <f t="shared" si="434"/>
        <v>Tunkabuni</v>
      </c>
      <c r="E3981" s="40"/>
      <c r="F3981" s="15"/>
      <c r="G3981" s="17"/>
      <c r="H3981" s="10" t="s">
        <v>8563</v>
      </c>
      <c r="I3981" s="4" t="str">
        <f t="shared" si="435"/>
        <v>|Tunkábuní|</v>
      </c>
      <c r="J3981" s="3" t="str">
        <f t="shared" si="436"/>
        <v>|Tunkabuni|</v>
      </c>
      <c r="K3981" s="3" t="str">
        <f t="shared" si="437"/>
        <v>Tunkabuni</v>
      </c>
      <c r="N3981" s="39" t="str">
        <f t="shared" si="438"/>
        <v/>
      </c>
      <c r="P3981" s="39" t="str">
        <f t="shared" si="439"/>
        <v/>
      </c>
      <c r="R3981" s="39" t="str">
        <f t="shared" si="440"/>
        <v/>
      </c>
      <c r="S3981" s="28"/>
      <c r="T3981" s="28"/>
      <c r="U3981" s="28"/>
    </row>
    <row r="3982" spans="1:21" s="5" customFormat="1">
      <c r="A3982" s="179" t="s">
        <v>4622</v>
      </c>
      <c r="B3982" s="185" t="s">
        <v>8340</v>
      </c>
      <c r="C3982" s="35" t="str">
        <f t="shared" si="434"/>
        <v>Tupchi</v>
      </c>
      <c r="E3982" s="40"/>
      <c r="F3982" s="15"/>
      <c r="G3982" s="17"/>
      <c r="H3982" s="10" t="s">
        <v>8563</v>
      </c>
      <c r="I3982" s="4" t="str">
        <f t="shared" si="435"/>
        <v>|Túpí|</v>
      </c>
      <c r="J3982" s="3" t="str">
        <f t="shared" si="436"/>
        <v>|Tupchi|</v>
      </c>
      <c r="K3982" s="3" t="str">
        <f t="shared" si="437"/>
        <v>Tupchi</v>
      </c>
      <c r="N3982" s="39" t="str">
        <f t="shared" si="438"/>
        <v/>
      </c>
      <c r="P3982" s="39" t="str">
        <f t="shared" si="439"/>
        <v/>
      </c>
      <c r="R3982" s="39" t="str">
        <f t="shared" si="440"/>
        <v/>
      </c>
      <c r="S3982" s="28"/>
      <c r="T3982" s="28"/>
      <c r="U3982" s="28"/>
    </row>
    <row r="3983" spans="1:21" s="5" customFormat="1">
      <c r="A3983" s="179" t="s">
        <v>4623</v>
      </c>
      <c r="B3983" s="185" t="s">
        <v>8341</v>
      </c>
      <c r="C3983" s="35" t="str">
        <f t="shared" si="434"/>
        <v>TupiZuhr</v>
      </c>
      <c r="E3983" s="40"/>
      <c r="F3983" s="15" t="s">
        <v>4624</v>
      </c>
      <c r="G3983" s="17"/>
      <c r="H3983" s="10" t="s">
        <v>8563</v>
      </c>
      <c r="I3983" s="4" t="str">
        <f t="shared" si="435"/>
        <v>|Túp-i-Ẓuhr|</v>
      </c>
      <c r="J3983" s="3" t="str">
        <f t="shared" si="436"/>
        <v>|Tup-i-Zuhr|</v>
      </c>
      <c r="K3983" s="3" t="str">
        <f t="shared" si="437"/>
        <v>Tup-i-Zuhr</v>
      </c>
      <c r="N3983" s="39" t="str">
        <f t="shared" si="438"/>
        <v/>
      </c>
      <c r="P3983" s="39" t="str">
        <f t="shared" si="439"/>
        <v/>
      </c>
      <c r="R3983" s="39" t="str">
        <f t="shared" si="440"/>
        <v/>
      </c>
      <c r="S3983" s="28"/>
      <c r="T3983" s="28"/>
      <c r="U3983" s="28"/>
    </row>
    <row r="3984" spans="1:21" s="5" customFormat="1">
      <c r="A3984" s="179" t="s">
        <v>4625</v>
      </c>
      <c r="B3984" s="185" t="s">
        <v>8342</v>
      </c>
      <c r="C3984" s="35" t="str">
        <f t="shared" si="434"/>
        <v>Tur</v>
      </c>
      <c r="E3984" s="40"/>
      <c r="F3984" s="15" t="s">
        <v>4626</v>
      </c>
      <c r="G3984" s="17"/>
      <c r="H3984" s="10" t="s">
        <v>8563</v>
      </c>
      <c r="I3984" s="4" t="str">
        <f t="shared" si="435"/>
        <v>|Ṭúr|</v>
      </c>
      <c r="J3984" s="3" t="str">
        <f t="shared" si="436"/>
        <v>|Tur|</v>
      </c>
      <c r="K3984" s="3" t="str">
        <f t="shared" si="437"/>
        <v>Tur</v>
      </c>
      <c r="N3984" s="39" t="str">
        <f t="shared" si="438"/>
        <v/>
      </c>
      <c r="P3984" s="39" t="str">
        <f t="shared" si="439"/>
        <v/>
      </c>
      <c r="R3984" s="39" t="str">
        <f t="shared" si="440"/>
        <v/>
      </c>
      <c r="S3984" s="28"/>
      <c r="T3984" s="28"/>
      <c r="U3984" s="28"/>
    </row>
    <row r="3985" spans="1:22" s="5" customFormat="1">
      <c r="A3985" s="179" t="s">
        <v>4627</v>
      </c>
      <c r="B3985" s="185" t="s">
        <v>8343</v>
      </c>
      <c r="C3985" s="35" t="str">
        <f t="shared" si="434"/>
        <v>Turab</v>
      </c>
      <c r="E3985" s="40"/>
      <c r="F3985" s="15" t="s">
        <v>4628</v>
      </c>
      <c r="G3985" s="17"/>
      <c r="H3985" s="10" t="s">
        <v>8563</v>
      </c>
      <c r="I3985" s="4" t="str">
        <f t="shared" si="435"/>
        <v>|Turáb|</v>
      </c>
      <c r="J3985" s="3" t="str">
        <f t="shared" si="436"/>
        <v>|Turab|</v>
      </c>
      <c r="K3985" s="3" t="str">
        <f t="shared" si="437"/>
        <v>Turab</v>
      </c>
      <c r="N3985" s="39" t="str">
        <f t="shared" si="438"/>
        <v/>
      </c>
      <c r="P3985" s="39" t="str">
        <f t="shared" si="439"/>
        <v/>
      </c>
      <c r="R3985" s="39" t="str">
        <f t="shared" si="440"/>
        <v/>
      </c>
      <c r="S3985" s="28"/>
      <c r="T3985" s="28"/>
      <c r="U3985" s="28"/>
    </row>
    <row r="3986" spans="1:22" s="5" customFormat="1">
      <c r="A3986" s="179" t="s">
        <v>4629</v>
      </c>
      <c r="B3986" s="185" t="s">
        <v>8344</v>
      </c>
      <c r="C3986" s="35" t="str">
        <f t="shared" si="434"/>
        <v>TurabiIshtihardi</v>
      </c>
      <c r="E3986" s="40"/>
      <c r="F3986" s="15"/>
      <c r="G3986" s="17"/>
      <c r="H3986" s="10" t="s">
        <v>8563</v>
      </c>
      <c r="I3986" s="4" t="str">
        <f t="shared" si="435"/>
        <v>|Turáb-i-Itihárdí|</v>
      </c>
      <c r="J3986" s="3" t="str">
        <f t="shared" si="436"/>
        <v>|Turab-i-Ishtihardi|</v>
      </c>
      <c r="K3986" s="3" t="str">
        <f t="shared" si="437"/>
        <v>Turab-i-Ishtihardi</v>
      </c>
      <c r="N3986" s="39" t="str">
        <f t="shared" si="438"/>
        <v/>
      </c>
      <c r="P3986" s="39" t="str">
        <f t="shared" si="439"/>
        <v/>
      </c>
      <c r="R3986" s="39" t="str">
        <f t="shared" si="440"/>
        <v/>
      </c>
      <c r="S3986" s="28"/>
      <c r="T3986" s="28"/>
      <c r="U3986" s="28"/>
    </row>
    <row r="3987" spans="1:22">
      <c r="A3987" s="179" t="s">
        <v>4630</v>
      </c>
      <c r="B3987" s="185" t="s">
        <v>8345</v>
      </c>
      <c r="C3987" s="35" t="str">
        <f t="shared" si="434"/>
        <v>Turan</v>
      </c>
      <c r="D3987" s="5"/>
      <c r="E3987" s="40"/>
      <c r="F3987" s="14"/>
      <c r="G3987" s="17"/>
      <c r="H3987" s="10" t="s">
        <v>8563</v>
      </c>
      <c r="I3987" s="4" t="str">
        <f t="shared" si="435"/>
        <v>|Túrán|</v>
      </c>
      <c r="J3987" s="3" t="str">
        <f t="shared" si="436"/>
        <v>|Turan|</v>
      </c>
      <c r="K3987" s="3" t="str">
        <f t="shared" si="437"/>
        <v>Turan</v>
      </c>
      <c r="L3987" s="5"/>
      <c r="M3987" s="5"/>
      <c r="N3987" s="39" t="str">
        <f t="shared" si="438"/>
        <v/>
      </c>
      <c r="O3987" s="5"/>
      <c r="P3987" s="39" t="str">
        <f t="shared" si="439"/>
        <v/>
      </c>
      <c r="Q3987" s="5"/>
      <c r="R3987" s="39" t="str">
        <f t="shared" si="440"/>
        <v/>
      </c>
      <c r="V3987" s="5"/>
    </row>
    <row r="3988" spans="1:22">
      <c r="A3988" s="179" t="s">
        <v>4631</v>
      </c>
      <c r="B3988" s="185" t="s">
        <v>8346</v>
      </c>
      <c r="C3988" s="35" t="str">
        <f t="shared" si="434"/>
        <v>TuranShah</v>
      </c>
      <c r="D3988" s="5"/>
      <c r="E3988" s="40"/>
      <c r="F3988" s="15"/>
      <c r="G3988" s="17"/>
      <c r="H3988" s="10" t="s">
        <v>8563</v>
      </c>
      <c r="I3988" s="4" t="str">
        <f t="shared" si="435"/>
        <v>|Túrán-áh|</v>
      </c>
      <c r="J3988" s="3" t="str">
        <f t="shared" si="436"/>
        <v>|Turan-Shah|</v>
      </c>
      <c r="K3988" s="3" t="str">
        <f t="shared" si="437"/>
        <v>Turan-Shah</v>
      </c>
      <c r="L3988" s="5"/>
      <c r="M3988" s="5"/>
      <c r="N3988" s="39" t="str">
        <f t="shared" si="438"/>
        <v/>
      </c>
      <c r="O3988" s="5"/>
      <c r="P3988" s="39" t="str">
        <f t="shared" si="439"/>
        <v/>
      </c>
      <c r="Q3988" s="5"/>
      <c r="R3988" s="39" t="str">
        <f t="shared" si="440"/>
        <v/>
      </c>
    </row>
    <row r="3989" spans="1:22">
      <c r="A3989" s="179" t="s">
        <v>4632</v>
      </c>
      <c r="B3989" s="185" t="s">
        <v>8347</v>
      </c>
      <c r="C3989" s="35" t="str">
        <f t="shared" si="434"/>
        <v>Turbat</v>
      </c>
      <c r="D3989" s="5"/>
      <c r="E3989" s="40"/>
      <c r="F3989" s="14"/>
      <c r="G3989" s="17"/>
      <c r="H3989" s="10" t="s">
        <v>8563</v>
      </c>
      <c r="I3989" s="4" t="str">
        <f t="shared" si="435"/>
        <v>|Turbat|</v>
      </c>
      <c r="J3989" s="3" t="str">
        <f t="shared" si="436"/>
        <v>|Turbat|</v>
      </c>
      <c r="K3989" s="3" t="str">
        <f t="shared" si="437"/>
        <v>Turbat</v>
      </c>
      <c r="L3989" s="5"/>
      <c r="M3989" s="5"/>
      <c r="N3989" s="39" t="str">
        <f t="shared" si="438"/>
        <v/>
      </c>
      <c r="O3989" s="5"/>
      <c r="P3989" s="39" t="str">
        <f t="shared" si="439"/>
        <v/>
      </c>
      <c r="Q3989" s="5"/>
      <c r="R3989" s="39" t="str">
        <f t="shared" si="440"/>
        <v/>
      </c>
    </row>
    <row r="3990" spans="1:22">
      <c r="A3990" s="179" t="s">
        <v>4633</v>
      </c>
      <c r="B3990" s="185" t="s">
        <v>8348</v>
      </c>
      <c r="C3990" s="35" t="str">
        <f t="shared" si="434"/>
        <v>TurbatiHaydariyyih</v>
      </c>
      <c r="D3990" s="5"/>
      <c r="E3990" s="40"/>
      <c r="F3990" s="15" t="s">
        <v>1312</v>
      </c>
      <c r="G3990" s="17"/>
      <c r="H3990" s="10" t="s">
        <v>8563</v>
      </c>
      <c r="I3990" s="4" t="str">
        <f t="shared" si="435"/>
        <v>|Turbát-i-Ḥaydaríyyih|</v>
      </c>
      <c r="J3990" s="3" t="str">
        <f t="shared" si="436"/>
        <v>|Turbat-i-Haydariyyih|</v>
      </c>
      <c r="K3990" s="3" t="str">
        <f t="shared" si="437"/>
        <v>Turbat-i-Haydariyyih</v>
      </c>
      <c r="L3990" s="5"/>
      <c r="M3990" s="5"/>
      <c r="N3990" s="39" t="str">
        <f t="shared" si="438"/>
        <v/>
      </c>
      <c r="O3990" s="5"/>
      <c r="P3990" s="39" t="str">
        <f t="shared" si="439"/>
        <v/>
      </c>
      <c r="Q3990" s="5"/>
      <c r="R3990" s="39" t="str">
        <f t="shared" si="440"/>
        <v/>
      </c>
    </row>
    <row r="3991" spans="1:22">
      <c r="A3991" s="179" t="s">
        <v>4634</v>
      </c>
      <c r="B3991" s="185" t="s">
        <v>8349</v>
      </c>
      <c r="C3991" s="35" t="str">
        <f t="shared" si="434"/>
        <v>Turk</v>
      </c>
      <c r="D3991" s="5"/>
      <c r="E3991" s="40"/>
      <c r="F3991" s="14"/>
      <c r="G3991" s="17"/>
      <c r="H3991" s="10" t="s">
        <v>8563</v>
      </c>
      <c r="I3991" s="4" t="str">
        <f t="shared" si="435"/>
        <v>|Turk|</v>
      </c>
      <c r="J3991" s="3" t="str">
        <f t="shared" si="436"/>
        <v>|Turk|</v>
      </c>
      <c r="K3991" s="3" t="str">
        <f t="shared" si="437"/>
        <v>Turk</v>
      </c>
      <c r="L3991" s="5"/>
      <c r="M3991" s="5"/>
      <c r="N3991" s="39" t="str">
        <f t="shared" si="438"/>
        <v/>
      </c>
      <c r="O3991" s="5"/>
      <c r="P3991" s="39" t="str">
        <f t="shared" si="439"/>
        <v/>
      </c>
      <c r="Q3991" s="5"/>
      <c r="R3991" s="39" t="str">
        <f t="shared" si="440"/>
        <v/>
      </c>
    </row>
    <row r="3992" spans="1:22">
      <c r="A3992" s="179" t="s">
        <v>4635</v>
      </c>
      <c r="B3992" s="185" t="s">
        <v>8350</v>
      </c>
      <c r="C3992" s="35" t="str">
        <f t="shared" si="434"/>
        <v>Turkaman</v>
      </c>
      <c r="D3992" s="5"/>
      <c r="E3992" s="40"/>
      <c r="F3992" s="14"/>
      <c r="G3992" s="17"/>
      <c r="H3992" s="10" t="s">
        <v>8563</v>
      </c>
      <c r="I3992" s="4" t="str">
        <f t="shared" si="435"/>
        <v>|Turkaman|</v>
      </c>
      <c r="J3992" s="3" t="str">
        <f t="shared" si="436"/>
        <v>|Turkaman|</v>
      </c>
      <c r="K3992" s="3" t="str">
        <f t="shared" si="437"/>
        <v>Turkaman</v>
      </c>
      <c r="L3992" s="5"/>
      <c r="M3992" s="5"/>
      <c r="N3992" s="39" t="str">
        <f t="shared" si="438"/>
        <v/>
      </c>
      <c r="O3992" s="5"/>
      <c r="P3992" s="39" t="str">
        <f t="shared" si="439"/>
        <v/>
      </c>
      <c r="Q3992" s="5"/>
      <c r="R3992" s="39" t="str">
        <f t="shared" si="440"/>
        <v/>
      </c>
    </row>
    <row r="3993" spans="1:22">
      <c r="A3993" s="179" t="s">
        <v>4636</v>
      </c>
      <c r="B3993" s="185" t="s">
        <v>8351</v>
      </c>
      <c r="C3993" s="35" t="str">
        <f t="shared" si="434"/>
        <v>Turkamanistan</v>
      </c>
      <c r="D3993" s="5"/>
      <c r="E3993" s="40"/>
      <c r="F3993" s="15" t="s">
        <v>1312</v>
      </c>
      <c r="G3993" s="17"/>
      <c r="H3993" s="10" t="s">
        <v>8563</v>
      </c>
      <c r="I3993" s="4" t="str">
        <f t="shared" si="435"/>
        <v>|Turkamanistán|</v>
      </c>
      <c r="J3993" s="3" t="str">
        <f t="shared" si="436"/>
        <v>|Turkamanistan|</v>
      </c>
      <c r="K3993" s="3" t="str">
        <f t="shared" si="437"/>
        <v>Turkamanistan</v>
      </c>
      <c r="L3993" s="5"/>
      <c r="M3993" s="5"/>
      <c r="N3993" s="39" t="str">
        <f t="shared" si="438"/>
        <v/>
      </c>
      <c r="O3993" s="5"/>
      <c r="P3993" s="39" t="str">
        <f t="shared" si="439"/>
        <v/>
      </c>
      <c r="Q3993" s="5"/>
      <c r="R3993" s="39" t="str">
        <f t="shared" si="440"/>
        <v/>
      </c>
    </row>
    <row r="3994" spans="1:22">
      <c r="A3994" s="179" t="s">
        <v>4637</v>
      </c>
      <c r="B3994" s="185" t="s">
        <v>8352</v>
      </c>
      <c r="C3994" s="35" t="str">
        <f t="shared" si="434"/>
        <v>Turkistan</v>
      </c>
      <c r="D3994" s="5"/>
      <c r="E3994" s="40"/>
      <c r="F3994" s="14"/>
      <c r="G3994" s="17"/>
      <c r="H3994" s="10" t="s">
        <v>8563</v>
      </c>
      <c r="I3994" s="4" t="str">
        <f t="shared" si="435"/>
        <v>|Turkistán|</v>
      </c>
      <c r="J3994" s="3" t="str">
        <f t="shared" si="436"/>
        <v>|Turkistan|</v>
      </c>
      <c r="K3994" s="3" t="str">
        <f t="shared" si="437"/>
        <v>Turkistan</v>
      </c>
      <c r="L3994" s="5"/>
      <c r="M3994" s="5"/>
      <c r="N3994" s="39" t="str">
        <f t="shared" si="438"/>
        <v/>
      </c>
      <c r="O3994" s="5"/>
      <c r="P3994" s="39" t="str">
        <f t="shared" si="439"/>
        <v/>
      </c>
      <c r="Q3994" s="5"/>
      <c r="R3994" s="39" t="str">
        <f t="shared" si="440"/>
        <v/>
      </c>
    </row>
    <row r="3995" spans="1:22">
      <c r="A3995" s="179" t="s">
        <v>4638</v>
      </c>
      <c r="B3995" s="185" t="s">
        <v>8353</v>
      </c>
      <c r="C3995" s="35" t="str">
        <f t="shared" si="434"/>
        <v>Turshiz</v>
      </c>
      <c r="D3995" s="5"/>
      <c r="E3995" s="40"/>
      <c r="F3995" s="14"/>
      <c r="G3995" s="17"/>
      <c r="H3995" s="10" t="s">
        <v>8563</v>
      </c>
      <c r="I3995" s="4" t="str">
        <f t="shared" si="435"/>
        <v>|Turíz|</v>
      </c>
      <c r="J3995" s="3" t="str">
        <f t="shared" si="436"/>
        <v>|Turshiz|</v>
      </c>
      <c r="K3995" s="3" t="str">
        <f t="shared" si="437"/>
        <v>Turshiz</v>
      </c>
      <c r="L3995" s="5"/>
      <c r="M3995" s="5"/>
      <c r="N3995" s="39" t="str">
        <f t="shared" si="438"/>
        <v/>
      </c>
      <c r="O3995" s="5"/>
      <c r="P3995" s="39" t="str">
        <f t="shared" si="439"/>
        <v/>
      </c>
      <c r="Q3995" s="5"/>
      <c r="R3995" s="39" t="str">
        <f t="shared" si="440"/>
        <v/>
      </c>
    </row>
    <row r="3996" spans="1:22">
      <c r="A3996" s="179" t="s">
        <v>4639</v>
      </c>
      <c r="B3996" s="185" t="s">
        <v>8354</v>
      </c>
      <c r="C3996" s="35" t="str">
        <f t="shared" si="434"/>
        <v>Turshizi</v>
      </c>
      <c r="D3996" s="5"/>
      <c r="E3996" s="40"/>
      <c r="F3996" s="15" t="s">
        <v>4640</v>
      </c>
      <c r="G3996" s="17"/>
      <c r="H3996" s="10" t="s">
        <v>8563</v>
      </c>
      <c r="I3996" s="4" t="str">
        <f t="shared" si="435"/>
        <v>|Turshízí|</v>
      </c>
      <c r="J3996" s="3" t="str">
        <f t="shared" si="436"/>
        <v>|Turshizi|</v>
      </c>
      <c r="K3996" s="3" t="str">
        <f t="shared" si="437"/>
        <v>Turshizi</v>
      </c>
      <c r="L3996" s="5"/>
      <c r="M3996" s="5"/>
      <c r="N3996" s="39" t="str">
        <f t="shared" si="438"/>
        <v/>
      </c>
      <c r="O3996" s="5"/>
      <c r="P3996" s="39" t="str">
        <f t="shared" si="439"/>
        <v/>
      </c>
      <c r="Q3996" s="5"/>
      <c r="R3996" s="39" t="str">
        <f t="shared" si="440"/>
        <v/>
      </c>
    </row>
    <row r="3997" spans="1:22">
      <c r="A3997" s="179" t="s">
        <v>4641</v>
      </c>
      <c r="B3997" s="185" t="s">
        <v>8355</v>
      </c>
      <c r="C3997" s="35" t="str">
        <f t="shared" si="434"/>
        <v>Tus</v>
      </c>
      <c r="D3997" s="5"/>
      <c r="E3997" s="40"/>
      <c r="F3997" s="15" t="s">
        <v>8602</v>
      </c>
      <c r="G3997" s="17"/>
      <c r="H3997" s="10" t="s">
        <v>8563</v>
      </c>
      <c r="I3997" s="4" t="str">
        <f t="shared" si="435"/>
        <v>|Ṭús|</v>
      </c>
      <c r="J3997" s="3" t="str">
        <f t="shared" si="436"/>
        <v>|Tus|</v>
      </c>
      <c r="K3997" s="3" t="str">
        <f t="shared" si="437"/>
        <v>Tus</v>
      </c>
      <c r="L3997" s="5"/>
      <c r="M3997" s="5"/>
      <c r="N3997" s="39" t="str">
        <f t="shared" si="438"/>
        <v/>
      </c>
      <c r="O3997" s="5"/>
      <c r="P3997" s="39" t="str">
        <f t="shared" si="439"/>
        <v/>
      </c>
      <c r="Q3997" s="5"/>
      <c r="R3997" s="39" t="str">
        <f t="shared" si="440"/>
        <v/>
      </c>
    </row>
    <row r="3998" spans="1:22">
      <c r="A3998" s="179" t="s">
        <v>4642</v>
      </c>
      <c r="B3998" s="185" t="s">
        <v>8356</v>
      </c>
      <c r="C3998" s="35" t="str">
        <f t="shared" si="434"/>
        <v>Tusi</v>
      </c>
      <c r="D3998" s="5"/>
      <c r="E3998" s="40"/>
      <c r="F3998" s="15"/>
      <c r="G3998" s="17"/>
      <c r="H3998" s="10" t="s">
        <v>8563</v>
      </c>
      <c r="I3998" s="4" t="str">
        <f t="shared" si="435"/>
        <v>|Ṭúsí|</v>
      </c>
      <c r="J3998" s="3" t="str">
        <f t="shared" si="436"/>
        <v>|Tusi|</v>
      </c>
      <c r="K3998" s="3" t="str">
        <f t="shared" si="437"/>
        <v>Tusi</v>
      </c>
      <c r="L3998" s="5"/>
      <c r="M3998" s="5"/>
      <c r="N3998" s="39" t="str">
        <f t="shared" si="438"/>
        <v/>
      </c>
      <c r="O3998" s="5"/>
      <c r="P3998" s="39" t="str">
        <f t="shared" si="439"/>
        <v/>
      </c>
      <c r="Q3998" s="5"/>
      <c r="R3998" s="39" t="str">
        <f t="shared" si="440"/>
        <v/>
      </c>
    </row>
    <row r="3999" spans="1:22">
      <c r="A3999" s="179" t="s">
        <v>4643</v>
      </c>
      <c r="B3999" s="185" t="s">
        <v>8357</v>
      </c>
      <c r="C3999" s="35" t="str">
        <f t="shared" si="434"/>
        <v>u</v>
      </c>
      <c r="D3999" s="5"/>
      <c r="E3999" s="40"/>
      <c r="F3999" s="14"/>
      <c r="G3999" s="17"/>
      <c r="H3999" s="10" t="s">
        <v>8563</v>
      </c>
      <c r="I3999" s="4" t="str">
        <f t="shared" si="435"/>
        <v>|ú|</v>
      </c>
      <c r="J3999" s="3" t="str">
        <f t="shared" si="436"/>
        <v>|u|</v>
      </c>
      <c r="K3999" s="3" t="str">
        <f t="shared" si="437"/>
        <v>u</v>
      </c>
      <c r="L3999" s="5" t="s">
        <v>9067</v>
      </c>
      <c r="M3999" s="5"/>
      <c r="N3999" s="39" t="str">
        <f t="shared" si="438"/>
        <v/>
      </c>
      <c r="O3999" s="5"/>
      <c r="P3999" s="39" t="str">
        <f t="shared" si="439"/>
        <v/>
      </c>
      <c r="Q3999" s="5"/>
      <c r="R3999" s="39" t="str">
        <f t="shared" si="440"/>
        <v/>
      </c>
    </row>
    <row r="4000" spans="1:22">
      <c r="A4000" s="179" t="s">
        <v>4644</v>
      </c>
      <c r="B4000" s="185" t="s">
        <v>8358</v>
      </c>
      <c r="C4000" s="35" t="str">
        <f t="shared" si="434"/>
        <v>Udi</v>
      </c>
      <c r="D4000" s="5"/>
      <c r="E4000" s="40"/>
      <c r="F4000" s="15"/>
      <c r="G4000" s="17"/>
      <c r="H4000" s="10" t="s">
        <v>8563</v>
      </c>
      <c r="I4000" s="4" t="str">
        <f t="shared" si="435"/>
        <v>|ʿÚdí|</v>
      </c>
      <c r="J4000" s="3" t="str">
        <f t="shared" si="436"/>
        <v>|'Udi|</v>
      </c>
      <c r="K4000" s="3" t="str">
        <f t="shared" si="437"/>
        <v>Udi</v>
      </c>
      <c r="M4000" s="5"/>
      <c r="N4000" s="39" t="str">
        <f t="shared" si="438"/>
        <v/>
      </c>
      <c r="O4000" s="5"/>
      <c r="P4000" s="39" t="str">
        <f t="shared" si="439"/>
        <v/>
      </c>
      <c r="Q4000" s="5"/>
      <c r="R4000" s="39" t="str">
        <f t="shared" si="440"/>
        <v/>
      </c>
    </row>
    <row r="4001" spans="1:22">
      <c r="A4001" s="179" t="s">
        <v>4645</v>
      </c>
      <c r="B4001" s="185" t="s">
        <v>8359</v>
      </c>
      <c r="C4001" s="35" t="str">
        <f t="shared" si="434"/>
        <v>Ughli</v>
      </c>
      <c r="D4001" s="5"/>
      <c r="E4001" s="40"/>
      <c r="F4001" s="15"/>
      <c r="G4001" s="17"/>
      <c r="H4001" s="10" t="s">
        <v>8563</v>
      </c>
      <c r="I4001" s="4" t="str">
        <f t="shared" si="435"/>
        <v>|Ulí|</v>
      </c>
      <c r="J4001" s="3" t="str">
        <f t="shared" si="436"/>
        <v>|Ughli|</v>
      </c>
      <c r="K4001" s="3" t="str">
        <f t="shared" si="437"/>
        <v>Ughli</v>
      </c>
      <c r="M4001" s="5"/>
      <c r="N4001" s="39" t="str">
        <f t="shared" si="438"/>
        <v/>
      </c>
      <c r="O4001" s="5"/>
      <c r="P4001" s="39" t="str">
        <f t="shared" si="439"/>
        <v/>
      </c>
      <c r="Q4001" s="5"/>
      <c r="R4001" s="39" t="str">
        <f t="shared" si="440"/>
        <v/>
      </c>
    </row>
    <row r="4002" spans="1:22">
      <c r="A4002" s="179" t="s">
        <v>419</v>
      </c>
      <c r="B4002" s="185" t="s">
        <v>8360</v>
      </c>
      <c r="C4002" s="35" t="str">
        <f t="shared" si="434"/>
        <v>Uhud</v>
      </c>
      <c r="D4002" s="5"/>
      <c r="E4002" s="40"/>
      <c r="F4002" s="15"/>
      <c r="G4002" s="17"/>
      <c r="H4002" s="10" t="s">
        <v>8563</v>
      </c>
      <c r="I4002" s="4" t="str">
        <f t="shared" si="435"/>
        <v>|Uḥud|</v>
      </c>
      <c r="J4002" s="3" t="str">
        <f t="shared" si="436"/>
        <v>|Uhud|</v>
      </c>
      <c r="K4002" s="3" t="str">
        <f t="shared" si="437"/>
        <v>Uhud</v>
      </c>
      <c r="M4002" s="5"/>
      <c r="N4002" s="39" t="str">
        <f t="shared" si="438"/>
        <v/>
      </c>
      <c r="O4002" s="5"/>
      <c r="P4002" s="39" t="str">
        <f t="shared" si="439"/>
        <v/>
      </c>
      <c r="Q4002" s="5"/>
      <c r="R4002" s="39" t="str">
        <f t="shared" si="440"/>
        <v/>
      </c>
    </row>
    <row r="4003" spans="1:22">
      <c r="A4003" s="179" t="s">
        <v>4646</v>
      </c>
      <c r="B4003" s="185" t="s">
        <v>8361</v>
      </c>
      <c r="C4003" s="35" t="str">
        <f t="shared" si="434"/>
        <v>Ukaz</v>
      </c>
      <c r="D4003" s="5"/>
      <c r="E4003" s="40"/>
      <c r="F4003" s="15"/>
      <c r="G4003" s="17"/>
      <c r="H4003" s="10" t="s">
        <v>8563</v>
      </c>
      <c r="I4003" s="4" t="str">
        <f t="shared" si="435"/>
        <v>|ʿUkáẓ|</v>
      </c>
      <c r="J4003" s="3" t="str">
        <f t="shared" si="436"/>
        <v>|'Ukaz|</v>
      </c>
      <c r="K4003" s="3" t="str">
        <f t="shared" si="437"/>
        <v>Ukaz</v>
      </c>
      <c r="M4003" s="5"/>
      <c r="N4003" s="39" t="str">
        <f t="shared" si="438"/>
        <v/>
      </c>
      <c r="O4003" s="5"/>
      <c r="P4003" s="39" t="str">
        <f t="shared" si="439"/>
        <v/>
      </c>
      <c r="Q4003" s="5"/>
      <c r="R4003" s="39" t="str">
        <f t="shared" si="440"/>
        <v/>
      </c>
    </row>
    <row r="4004" spans="1:22">
      <c r="A4004" s="179" t="s">
        <v>4647</v>
      </c>
      <c r="B4004" s="185" t="s">
        <v>8362</v>
      </c>
      <c r="C4004" s="35" t="str">
        <f t="shared" si="434"/>
        <v>Ukht</v>
      </c>
      <c r="D4004" s="5"/>
      <c r="E4004" s="40"/>
      <c r="F4004" s="15" t="s">
        <v>4648</v>
      </c>
      <c r="G4004" s="17"/>
      <c r="H4004" s="10" t="s">
        <v>8563</v>
      </c>
      <c r="I4004" s="4" t="str">
        <f t="shared" si="435"/>
        <v>|Ut|</v>
      </c>
      <c r="J4004" s="3" t="str">
        <f t="shared" si="436"/>
        <v>|Ukht|</v>
      </c>
      <c r="K4004" s="3" t="str">
        <f t="shared" si="437"/>
        <v>Ukht</v>
      </c>
      <c r="M4004" s="5"/>
      <c r="N4004" s="39" t="str">
        <f t="shared" si="438"/>
        <v/>
      </c>
      <c r="O4004" s="5"/>
      <c r="P4004" s="39" t="str">
        <f t="shared" si="439"/>
        <v/>
      </c>
      <c r="Q4004" s="5"/>
      <c r="R4004" s="39" t="str">
        <f t="shared" si="440"/>
        <v/>
      </c>
    </row>
    <row r="4005" spans="1:22">
      <c r="A4005" s="179" t="s">
        <v>4649</v>
      </c>
      <c r="B4005" s="185" t="s">
        <v>115</v>
      </c>
      <c r="C4005" s="35" t="str">
        <f t="shared" si="434"/>
        <v>Ulama</v>
      </c>
      <c r="D4005" s="5"/>
      <c r="E4005" s="40"/>
      <c r="F4005" s="14" t="s">
        <v>4650</v>
      </c>
      <c r="G4005" s="17"/>
      <c r="H4005" s="10" t="s">
        <v>8563</v>
      </c>
      <c r="I4005" s="4" t="str">
        <f t="shared" si="435"/>
        <v>|ʿUlamá|</v>
      </c>
      <c r="J4005" s="3" t="str">
        <f t="shared" si="436"/>
        <v>|'Ulama|</v>
      </c>
      <c r="K4005" s="3" t="str">
        <f t="shared" si="437"/>
        <v>Ulama</v>
      </c>
      <c r="M4005" s="5"/>
      <c r="N4005" s="39" t="str">
        <f t="shared" si="438"/>
        <v/>
      </c>
      <c r="O4005" s="5"/>
      <c r="P4005" s="39" t="str">
        <f t="shared" si="439"/>
        <v/>
      </c>
      <c r="Q4005" s="5"/>
      <c r="R4005" s="39" t="str">
        <f t="shared" si="440"/>
        <v/>
      </c>
      <c r="T4005" s="29">
        <v>41799</v>
      </c>
      <c r="U4005" s="28" t="s">
        <v>9405</v>
      </c>
    </row>
    <row r="4006" spans="1:22">
      <c r="A4006" s="179" t="s">
        <v>4651</v>
      </c>
      <c r="B4006" s="185" t="s">
        <v>8363</v>
      </c>
      <c r="C4006" s="35" t="str">
        <f t="shared" si="434"/>
        <v>Ulya</v>
      </c>
      <c r="D4006" s="5"/>
      <c r="E4006" s="40"/>
      <c r="F4006" s="15"/>
      <c r="G4006" s="17"/>
      <c r="H4006" s="10" t="s">
        <v>8563</v>
      </c>
      <c r="I4006" s="4" t="str">
        <f t="shared" si="435"/>
        <v>|ʿUlyá|</v>
      </c>
      <c r="J4006" s="3" t="str">
        <f t="shared" si="436"/>
        <v>|'Ulya|</v>
      </c>
      <c r="K4006" s="3" t="str">
        <f t="shared" si="437"/>
        <v>Ulya</v>
      </c>
      <c r="M4006" s="5"/>
      <c r="N4006" s="39" t="str">
        <f t="shared" si="438"/>
        <v/>
      </c>
      <c r="O4006" s="5"/>
      <c r="P4006" s="39" t="str">
        <f t="shared" si="439"/>
        <v/>
      </c>
      <c r="Q4006" s="5"/>
      <c r="R4006" s="39" t="str">
        <f t="shared" si="440"/>
        <v/>
      </c>
    </row>
    <row r="4007" spans="1:22">
      <c r="A4007" s="179" t="s">
        <v>4653</v>
      </c>
      <c r="B4007" s="185" t="s">
        <v>8365</v>
      </c>
      <c r="C4007" s="35" t="str">
        <f t="shared" si="434"/>
        <v>Umana</v>
      </c>
      <c r="D4007" s="5"/>
      <c r="E4007" s="40"/>
      <c r="F4007" s="15"/>
      <c r="G4007" s="17"/>
      <c r="H4007" s="10" t="s">
        <v>8563</v>
      </c>
      <c r="I4007" s="4" t="str">
        <f t="shared" si="435"/>
        <v>|Umaná|</v>
      </c>
      <c r="J4007" s="3" t="str">
        <f t="shared" si="436"/>
        <v>|Umana|</v>
      </c>
      <c r="K4007" s="3" t="str">
        <f t="shared" si="437"/>
        <v>Umana</v>
      </c>
      <c r="M4007" s="5"/>
      <c r="N4007" s="39" t="str">
        <f t="shared" si="438"/>
        <v/>
      </c>
      <c r="O4007" s="5"/>
      <c r="P4007" s="39" t="str">
        <f t="shared" si="439"/>
        <v/>
      </c>
      <c r="Q4007" s="5"/>
      <c r="R4007" s="39" t="str">
        <f t="shared" si="440"/>
        <v/>
      </c>
    </row>
    <row r="4008" spans="1:22">
      <c r="A4008" s="179" t="s">
        <v>833</v>
      </c>
      <c r="B4008" s="185" t="s">
        <v>140</v>
      </c>
      <c r="C4008" s="35" t="str">
        <f t="shared" si="434"/>
        <v>Umar</v>
      </c>
      <c r="D4008" s="5"/>
      <c r="E4008" s="40"/>
      <c r="F4008" s="14"/>
      <c r="G4008" s="17"/>
      <c r="H4008" s="10" t="s">
        <v>8563</v>
      </c>
      <c r="I4008" s="4" t="str">
        <f t="shared" si="435"/>
        <v>|ʿUmar|</v>
      </c>
      <c r="J4008" s="3" t="str">
        <f t="shared" si="436"/>
        <v>|'Umar|</v>
      </c>
      <c r="K4008" s="3" t="str">
        <f t="shared" si="437"/>
        <v>Umar</v>
      </c>
      <c r="M4008" s="5"/>
      <c r="N4008" s="39" t="str">
        <f t="shared" si="438"/>
        <v/>
      </c>
      <c r="O4008" s="5"/>
      <c r="P4008" s="39" t="str">
        <f t="shared" si="439"/>
        <v/>
      </c>
      <c r="Q4008" s="5"/>
      <c r="R4008" s="39" t="str">
        <f t="shared" si="440"/>
        <v/>
      </c>
    </row>
    <row r="4009" spans="1:22">
      <c r="B4009" s="185" t="s">
        <v>178</v>
      </c>
      <c r="C4009" s="35" t="str">
        <f t="shared" si="434"/>
        <v>UmarKhayyam</v>
      </c>
      <c r="E4009" s="40"/>
      <c r="I4009" s="4" t="str">
        <f t="shared" si="435"/>
        <v>|ʿUmar ayyám|</v>
      </c>
      <c r="J4009" s="3" t="str">
        <f t="shared" si="436"/>
        <v>|'Umar Khayyam|</v>
      </c>
      <c r="K4009" s="3" t="str">
        <f t="shared" si="437"/>
        <v>Umar Khayyam</v>
      </c>
      <c r="N4009" s="39" t="str">
        <f t="shared" si="438"/>
        <v/>
      </c>
      <c r="P4009" s="39" t="str">
        <f t="shared" si="439"/>
        <v/>
      </c>
      <c r="R4009" s="39" t="str">
        <f t="shared" si="440"/>
        <v/>
      </c>
      <c r="V4009" s="5"/>
    </row>
    <row r="4010" spans="1:22">
      <c r="A4010" s="179" t="s">
        <v>4654</v>
      </c>
      <c r="B4010" s="185" t="s">
        <v>8366</v>
      </c>
      <c r="C4010" s="35" t="str">
        <f t="shared" si="434"/>
        <v>UmaribnilKhattab</v>
      </c>
      <c r="D4010" s="5"/>
      <c r="E4010" s="40"/>
      <c r="F4010" s="15"/>
      <c r="G4010" s="17"/>
      <c r="H4010" s="10" t="s">
        <v>8563</v>
      </c>
      <c r="I4010" s="4" t="str">
        <f t="shared" si="435"/>
        <v>|ʿUmar-ibn-i’l-aṭṭáb|</v>
      </c>
      <c r="J4010" s="3" t="str">
        <f t="shared" si="436"/>
        <v>|'Umar-ibn-i'l-Khattab|</v>
      </c>
      <c r="K4010" s="3" t="str">
        <f t="shared" si="437"/>
        <v>Umar-ibn-il-Khattab</v>
      </c>
      <c r="M4010" s="5"/>
      <c r="N4010" s="39" t="str">
        <f t="shared" si="438"/>
        <v/>
      </c>
      <c r="O4010" s="5"/>
      <c r="P4010" s="39" t="str">
        <f t="shared" si="439"/>
        <v/>
      </c>
      <c r="Q4010" s="5"/>
      <c r="R4010" s="39" t="str">
        <f t="shared" si="440"/>
        <v/>
      </c>
    </row>
    <row r="4011" spans="1:22">
      <c r="B4011" s="185" t="s">
        <v>116</v>
      </c>
      <c r="C4011" s="35" t="str">
        <f t="shared" si="434"/>
        <v>Umayyaden</v>
      </c>
      <c r="D4011" s="1" t="s">
        <v>59</v>
      </c>
      <c r="E4011" s="40"/>
      <c r="G4011" s="17" t="s">
        <v>9134</v>
      </c>
      <c r="I4011" s="4" t="str">
        <f t="shared" si="435"/>
        <v>|Umayyaden|</v>
      </c>
      <c r="J4011" s="3" t="str">
        <f t="shared" si="436"/>
        <v>|Umayyaden|</v>
      </c>
      <c r="K4011" s="3" t="str">
        <f t="shared" si="437"/>
        <v>Umayyaden</v>
      </c>
      <c r="N4011" s="39" t="str">
        <f t="shared" si="438"/>
        <v/>
      </c>
      <c r="P4011" s="39" t="str">
        <f t="shared" si="439"/>
        <v/>
      </c>
      <c r="R4011" s="39" t="str">
        <f t="shared" si="440"/>
        <v/>
      </c>
    </row>
    <row r="4012" spans="1:22">
      <c r="A4012" s="179" t="s">
        <v>4655</v>
      </c>
      <c r="B4012" s="185" t="s">
        <v>8367</v>
      </c>
      <c r="C4012" s="35" t="str">
        <f t="shared" si="434"/>
        <v>Umayyih</v>
      </c>
      <c r="D4012" s="5"/>
      <c r="E4012" s="40"/>
      <c r="F4012" s="14"/>
      <c r="G4012" s="17"/>
      <c r="H4012" s="10" t="s">
        <v>8563</v>
      </c>
      <c r="I4012" s="4" t="str">
        <f t="shared" si="435"/>
        <v>|Umayyih|</v>
      </c>
      <c r="J4012" s="3" t="str">
        <f t="shared" si="436"/>
        <v>|Umayyih|</v>
      </c>
      <c r="K4012" s="3" t="str">
        <f t="shared" si="437"/>
        <v>Umayyih</v>
      </c>
      <c r="M4012" s="5"/>
      <c r="N4012" s="39" t="str">
        <f t="shared" si="438"/>
        <v/>
      </c>
      <c r="O4012" s="5"/>
      <c r="P4012" s="39" t="str">
        <f t="shared" si="439"/>
        <v/>
      </c>
      <c r="Q4012" s="5"/>
      <c r="R4012" s="39" t="str">
        <f t="shared" si="440"/>
        <v/>
      </c>
    </row>
    <row r="4013" spans="1:22">
      <c r="A4013" s="179" t="s">
        <v>4656</v>
      </c>
      <c r="B4013" s="185" t="s">
        <v>8368</v>
      </c>
      <c r="C4013" s="35" t="str">
        <f t="shared" si="434"/>
        <v>Umidvaran</v>
      </c>
      <c r="D4013" s="5"/>
      <c r="E4013" s="40"/>
      <c r="F4013" s="15"/>
      <c r="G4013" s="17"/>
      <c r="H4013" s="10" t="s">
        <v>8563</v>
      </c>
      <c r="I4013" s="4" t="str">
        <f t="shared" si="435"/>
        <v>|Umídvárán|</v>
      </c>
      <c r="J4013" s="3" t="str">
        <f t="shared" si="436"/>
        <v>|Umidvaran|</v>
      </c>
      <c r="K4013" s="3" t="str">
        <f t="shared" si="437"/>
        <v>Umidvaran</v>
      </c>
      <c r="M4013" s="5"/>
      <c r="N4013" s="39" t="str">
        <f t="shared" si="438"/>
        <v/>
      </c>
      <c r="O4013" s="5"/>
      <c r="P4013" s="39" t="str">
        <f t="shared" si="439"/>
        <v/>
      </c>
      <c r="Q4013" s="5"/>
      <c r="R4013" s="39" t="str">
        <f t="shared" si="440"/>
        <v/>
      </c>
    </row>
    <row r="4014" spans="1:22">
      <c r="A4014" s="179" t="s">
        <v>4657</v>
      </c>
      <c r="B4014" s="185" t="s">
        <v>8369</v>
      </c>
      <c r="C4014" s="35" t="str">
        <f t="shared" si="434"/>
        <v>UmidvarihKuh</v>
      </c>
      <c r="D4014" s="5"/>
      <c r="E4014" s="40"/>
      <c r="F4014" s="15"/>
      <c r="G4014" s="17"/>
      <c r="H4014" s="10" t="s">
        <v>8563</v>
      </c>
      <c r="I4014" s="4" t="str">
        <f t="shared" si="435"/>
        <v>|Umídvárih-Kúh|</v>
      </c>
      <c r="J4014" s="3" t="str">
        <f t="shared" si="436"/>
        <v>|Umidvarih-Kuh|</v>
      </c>
      <c r="K4014" s="3" t="str">
        <f t="shared" si="437"/>
        <v>Umidvarih-Kuh</v>
      </c>
      <c r="M4014" s="5"/>
      <c r="N4014" s="39" t="str">
        <f t="shared" si="438"/>
        <v/>
      </c>
      <c r="O4014" s="5"/>
      <c r="P4014" s="39" t="str">
        <f t="shared" si="439"/>
        <v/>
      </c>
      <c r="Q4014" s="5"/>
      <c r="R4014" s="39" t="str">
        <f t="shared" si="440"/>
        <v/>
      </c>
    </row>
    <row r="4015" spans="1:22">
      <c r="A4015" s="179" t="s">
        <v>832</v>
      </c>
      <c r="B4015" s="185" t="s">
        <v>8371</v>
      </c>
      <c r="C4015" s="35" t="str">
        <f t="shared" si="434"/>
        <v>Umman</v>
      </c>
      <c r="D4015" s="5"/>
      <c r="E4015" s="40"/>
      <c r="F4015" s="15"/>
      <c r="G4015" s="17"/>
      <c r="H4015" s="10" t="s">
        <v>8563</v>
      </c>
      <c r="I4015" s="4" t="str">
        <f t="shared" si="435"/>
        <v>|ʿUmmán|</v>
      </c>
      <c r="J4015" s="3" t="str">
        <f t="shared" si="436"/>
        <v>|'Umman|</v>
      </c>
      <c r="K4015" s="3" t="str">
        <f t="shared" si="437"/>
        <v>Umman</v>
      </c>
      <c r="M4015" s="5"/>
      <c r="N4015" s="39" t="str">
        <f t="shared" si="438"/>
        <v/>
      </c>
      <c r="O4015" s="5"/>
      <c r="P4015" s="39" t="str">
        <f t="shared" si="439"/>
        <v/>
      </c>
      <c r="Q4015" s="5"/>
      <c r="R4015" s="39" t="str">
        <f t="shared" si="440"/>
        <v/>
      </c>
    </row>
    <row r="4016" spans="1:22">
      <c r="A4016" s="179" t="s">
        <v>4659</v>
      </c>
      <c r="B4016" s="185" t="s">
        <v>8372</v>
      </c>
      <c r="C4016" s="35" t="str">
        <f t="shared" si="434"/>
        <v>UmmiAbdullah</v>
      </c>
      <c r="D4016" s="5"/>
      <c r="E4016" s="40"/>
      <c r="F4016" s="15"/>
      <c r="G4016" s="17"/>
      <c r="H4016" s="10" t="s">
        <v>8563</v>
      </c>
      <c r="I4016" s="4" t="str">
        <f t="shared" si="435"/>
        <v>|Umm-i-ʿAbdu’lláh|</v>
      </c>
      <c r="J4016" s="3" t="str">
        <f t="shared" si="436"/>
        <v>|Umm-i-'Abdu'llah|</v>
      </c>
      <c r="K4016" s="3" t="str">
        <f t="shared" si="437"/>
        <v>Umm-i-Abdullah</v>
      </c>
      <c r="M4016" s="5"/>
      <c r="N4016" s="39" t="str">
        <f t="shared" si="438"/>
        <v/>
      </c>
      <c r="O4016" s="5"/>
      <c r="P4016" s="39" t="str">
        <f t="shared" si="439"/>
        <v/>
      </c>
      <c r="Q4016" s="5"/>
      <c r="R4016" s="39" t="str">
        <f t="shared" si="440"/>
        <v/>
      </c>
    </row>
    <row r="4017" spans="1:18">
      <c r="A4017" s="179" t="s">
        <v>4660</v>
      </c>
      <c r="B4017" s="185" t="s">
        <v>8373</v>
      </c>
      <c r="C4017" s="35" t="str">
        <f t="shared" si="434"/>
        <v>UmmiAshraf</v>
      </c>
      <c r="D4017" s="5"/>
      <c r="E4017" s="40"/>
      <c r="F4017" s="14"/>
      <c r="G4017" s="17"/>
      <c r="H4017" s="10" t="s">
        <v>8563</v>
      </c>
      <c r="I4017" s="4" t="str">
        <f t="shared" si="435"/>
        <v>|Umm-i-Araf|</v>
      </c>
      <c r="J4017" s="3" t="str">
        <f t="shared" si="436"/>
        <v>|Umm-i-Ashraf|</v>
      </c>
      <c r="K4017" s="3" t="str">
        <f t="shared" si="437"/>
        <v>Umm-i-Ashraf</v>
      </c>
      <c r="M4017" s="5"/>
      <c r="N4017" s="39" t="str">
        <f t="shared" si="438"/>
        <v/>
      </c>
      <c r="O4017" s="5"/>
      <c r="P4017" s="39" t="str">
        <f t="shared" si="439"/>
        <v/>
      </c>
      <c r="Q4017" s="5"/>
      <c r="R4017" s="39" t="str">
        <f t="shared" si="440"/>
        <v/>
      </c>
    </row>
    <row r="4018" spans="1:18">
      <c r="A4018" s="179" t="s">
        <v>4661</v>
      </c>
      <c r="B4018" s="185" t="s">
        <v>8374</v>
      </c>
      <c r="C4018" s="35" t="str">
        <f t="shared" si="434"/>
        <v>UmmiSalmih</v>
      </c>
      <c r="D4018" s="5"/>
      <c r="E4018" s="40"/>
      <c r="F4018" s="14"/>
      <c r="G4018" s="17"/>
      <c r="H4018" s="10" t="s">
        <v>8563</v>
      </c>
      <c r="I4018" s="4" t="str">
        <f t="shared" si="435"/>
        <v>|Umm-i-Salmih|</v>
      </c>
      <c r="J4018" s="3" t="str">
        <f t="shared" si="436"/>
        <v>|Umm-i-Salmih|</v>
      </c>
      <c r="K4018" s="3" t="str">
        <f t="shared" si="437"/>
        <v>Umm-i-Salmih</v>
      </c>
      <c r="M4018" s="5"/>
      <c r="N4018" s="39" t="str">
        <f t="shared" si="438"/>
        <v/>
      </c>
      <c r="O4018" s="5"/>
      <c r="P4018" s="39" t="str">
        <f t="shared" si="439"/>
        <v/>
      </c>
      <c r="Q4018" s="5"/>
      <c r="R4018" s="39" t="str">
        <f t="shared" si="440"/>
        <v/>
      </c>
    </row>
    <row r="4019" spans="1:18">
      <c r="A4019" s="179" t="s">
        <v>4658</v>
      </c>
      <c r="B4019" s="185" t="s">
        <v>8370</v>
      </c>
      <c r="C4019" s="35" t="str">
        <f t="shared" si="434"/>
        <v>UmmuʼlDhakat</v>
      </c>
      <c r="D4019" s="5"/>
      <c r="E4019" s="40"/>
      <c r="F4019" s="14"/>
      <c r="G4019" s="17"/>
      <c r="H4019" s="10" t="s">
        <v>8563</v>
      </c>
      <c r="I4019" s="4" t="str">
        <f t="shared" si="435"/>
        <v>|Ummuʼl-akát|</v>
      </c>
      <c r="J4019" s="3" t="str">
        <f t="shared" si="436"/>
        <v>|Ummuʼl-Dhakat|</v>
      </c>
      <c r="K4019" s="3" t="str">
        <f t="shared" si="437"/>
        <v>Ummuʼl-Dhakat</v>
      </c>
      <c r="M4019" s="5"/>
      <c r="N4019" s="39" t="str">
        <f t="shared" si="438"/>
        <v/>
      </c>
      <c r="O4019" s="5"/>
      <c r="P4019" s="39" t="str">
        <f t="shared" si="439"/>
        <v/>
      </c>
      <c r="Q4019" s="5"/>
      <c r="R4019" s="39" t="str">
        <f t="shared" si="440"/>
        <v/>
      </c>
    </row>
    <row r="4020" spans="1:18">
      <c r="A4020" s="179" t="s">
        <v>4662</v>
      </c>
      <c r="B4020" s="185" t="s">
        <v>8375</v>
      </c>
      <c r="C4020" s="35" t="str">
        <f t="shared" si="434"/>
        <v>UmmulKitab</v>
      </c>
      <c r="D4020" s="5"/>
      <c r="E4020" s="40"/>
      <c r="F4020" s="15" t="s">
        <v>4663</v>
      </c>
      <c r="G4020" s="17"/>
      <c r="H4020" s="10" t="s">
        <v>8563</v>
      </c>
      <c r="I4020" s="4" t="str">
        <f t="shared" si="435"/>
        <v>|Ummu’l-Kitáb|</v>
      </c>
      <c r="J4020" s="3" t="str">
        <f t="shared" si="436"/>
        <v>|Ummu'l-Kitab|</v>
      </c>
      <c r="K4020" s="3" t="str">
        <f t="shared" si="437"/>
        <v>Ummul-Kitab</v>
      </c>
      <c r="M4020" s="5"/>
      <c r="N4020" s="39" t="str">
        <f t="shared" si="438"/>
        <v/>
      </c>
      <c r="O4020" s="5"/>
      <c r="P4020" s="39" t="str">
        <f t="shared" si="439"/>
        <v/>
      </c>
      <c r="Q4020" s="5"/>
      <c r="R4020" s="39" t="str">
        <f t="shared" si="440"/>
        <v/>
      </c>
    </row>
    <row r="4021" spans="1:18">
      <c r="A4021" s="179" t="s">
        <v>2023</v>
      </c>
      <c r="B4021" s="185" t="s">
        <v>9057</v>
      </c>
      <c r="C4021" s="35" t="str">
        <f t="shared" si="434"/>
        <v>Umran</v>
      </c>
      <c r="D4021" s="5"/>
      <c r="E4021" s="40"/>
      <c r="F4021" s="14"/>
      <c r="G4021" s="17"/>
      <c r="H4021" s="10" t="s">
        <v>8563</v>
      </c>
      <c r="I4021" s="4" t="str">
        <f t="shared" si="435"/>
        <v>|ʿUmrán|</v>
      </c>
      <c r="J4021" s="3" t="str">
        <f t="shared" si="436"/>
        <v>|'Umran|</v>
      </c>
      <c r="K4021" s="3" t="str">
        <f t="shared" si="437"/>
        <v>Umran</v>
      </c>
      <c r="L4021" s="5"/>
      <c r="M4021" s="5"/>
      <c r="N4021" s="39" t="str">
        <f t="shared" si="438"/>
        <v/>
      </c>
      <c r="O4021" s="5"/>
      <c r="P4021" s="39" t="str">
        <f t="shared" si="439"/>
        <v/>
      </c>
      <c r="Q4021" s="5"/>
      <c r="R4021" s="39" t="str">
        <f t="shared" si="440"/>
        <v/>
      </c>
    </row>
    <row r="4022" spans="1:18">
      <c r="A4022" s="179" t="s">
        <v>4664</v>
      </c>
      <c r="B4022" s="185" t="s">
        <v>8376</v>
      </c>
      <c r="C4022" s="35" t="str">
        <f t="shared" si="434"/>
        <v>Uqab</v>
      </c>
      <c r="D4022" s="5"/>
      <c r="E4022" s="40"/>
      <c r="F4022" s="15" t="s">
        <v>4665</v>
      </c>
      <c r="G4022" s="17"/>
      <c r="H4022" s="10" t="s">
        <v>8563</v>
      </c>
      <c r="I4022" s="4" t="str">
        <f t="shared" si="435"/>
        <v>|ʿUqáb|</v>
      </c>
      <c r="J4022" s="3" t="str">
        <f t="shared" si="436"/>
        <v>|'Uqab|</v>
      </c>
      <c r="K4022" s="3" t="str">
        <f t="shared" si="437"/>
        <v>Uqab</v>
      </c>
      <c r="M4022" s="5"/>
      <c r="N4022" s="39" t="str">
        <f t="shared" si="438"/>
        <v/>
      </c>
      <c r="O4022" s="5"/>
      <c r="P4022" s="39" t="str">
        <f t="shared" si="439"/>
        <v/>
      </c>
      <c r="Q4022" s="5"/>
      <c r="R4022" s="39" t="str">
        <f t="shared" si="440"/>
        <v/>
      </c>
    </row>
    <row r="4023" spans="1:18">
      <c r="A4023" s="179" t="s">
        <v>4666</v>
      </c>
      <c r="B4023" s="185" t="s">
        <v>8377</v>
      </c>
      <c r="C4023" s="35" t="str">
        <f t="shared" si="434"/>
        <v>Urdubad</v>
      </c>
      <c r="D4023" s="5"/>
      <c r="E4023" s="40"/>
      <c r="F4023" s="15"/>
      <c r="G4023" s="17"/>
      <c r="H4023" s="10" t="s">
        <v>8563</v>
      </c>
      <c r="I4023" s="4" t="str">
        <f t="shared" si="435"/>
        <v>|Urdúbád|</v>
      </c>
      <c r="J4023" s="3" t="str">
        <f t="shared" si="436"/>
        <v>|Urdubad|</v>
      </c>
      <c r="K4023" s="3" t="str">
        <f t="shared" si="437"/>
        <v>Urdubad</v>
      </c>
      <c r="M4023" s="5"/>
      <c r="N4023" s="39" t="str">
        <f t="shared" si="438"/>
        <v/>
      </c>
      <c r="O4023" s="5"/>
      <c r="P4023" s="39" t="str">
        <f t="shared" si="439"/>
        <v/>
      </c>
      <c r="Q4023" s="5"/>
      <c r="R4023" s="39" t="str">
        <f t="shared" si="440"/>
        <v/>
      </c>
    </row>
    <row r="4024" spans="1:18">
      <c r="A4024" s="179" t="s">
        <v>4667</v>
      </c>
      <c r="B4024" s="185" t="s">
        <v>8378</v>
      </c>
      <c r="C4024" s="35" t="str">
        <f t="shared" si="434"/>
        <v>Urdubadi</v>
      </c>
      <c r="D4024" s="5"/>
      <c r="E4024" s="40"/>
      <c r="F4024" s="15"/>
      <c r="G4024" s="17"/>
      <c r="H4024" s="10" t="s">
        <v>8563</v>
      </c>
      <c r="I4024" s="4" t="str">
        <f t="shared" si="435"/>
        <v>|Urdúbádí|</v>
      </c>
      <c r="J4024" s="3" t="str">
        <f t="shared" si="436"/>
        <v>|Urdubadi|</v>
      </c>
      <c r="K4024" s="3" t="str">
        <f t="shared" si="437"/>
        <v>Urdubadi</v>
      </c>
      <c r="M4024" s="5"/>
      <c r="N4024" s="39" t="str">
        <f t="shared" si="438"/>
        <v/>
      </c>
      <c r="O4024" s="5"/>
      <c r="P4024" s="39" t="str">
        <f t="shared" si="439"/>
        <v/>
      </c>
      <c r="Q4024" s="5"/>
      <c r="R4024" s="39" t="str">
        <f t="shared" si="440"/>
        <v/>
      </c>
    </row>
    <row r="4025" spans="1:18">
      <c r="A4025" s="179" t="s">
        <v>4668</v>
      </c>
      <c r="B4025" s="185" t="s">
        <v>8379</v>
      </c>
      <c r="C4025" s="35" t="str">
        <f t="shared" si="434"/>
        <v>Urf</v>
      </c>
      <c r="D4025" s="5"/>
      <c r="E4025" s="40"/>
      <c r="F4025" s="14"/>
      <c r="G4025" s="17"/>
      <c r="H4025" s="10" t="s">
        <v>8563</v>
      </c>
      <c r="I4025" s="4" t="str">
        <f t="shared" si="435"/>
        <v>|ʿUrf|</v>
      </c>
      <c r="J4025" s="3" t="str">
        <f t="shared" si="436"/>
        <v>|'Urf|</v>
      </c>
      <c r="K4025" s="3" t="str">
        <f t="shared" si="437"/>
        <v>Urf</v>
      </c>
      <c r="M4025" s="5"/>
      <c r="N4025" s="39" t="str">
        <f t="shared" si="438"/>
        <v/>
      </c>
      <c r="O4025" s="5"/>
      <c r="P4025" s="39" t="str">
        <f t="shared" si="439"/>
        <v/>
      </c>
      <c r="Q4025" s="5"/>
      <c r="R4025" s="39" t="str">
        <f t="shared" si="440"/>
        <v/>
      </c>
    </row>
    <row r="4026" spans="1:18">
      <c r="A4026" s="179" t="s">
        <v>4669</v>
      </c>
      <c r="B4026" s="185" t="s">
        <v>8380</v>
      </c>
      <c r="C4026" s="35" t="str">
        <f t="shared" si="434"/>
        <v>Urumi</v>
      </c>
      <c r="D4026" s="5"/>
      <c r="E4026" s="40"/>
      <c r="F4026" s="15"/>
      <c r="G4026" s="17"/>
      <c r="H4026" s="10" t="s">
        <v>8563</v>
      </c>
      <c r="I4026" s="4" t="str">
        <f t="shared" si="435"/>
        <v>|Urúmí|</v>
      </c>
      <c r="J4026" s="3" t="str">
        <f t="shared" si="436"/>
        <v>|Urumi|</v>
      </c>
      <c r="K4026" s="3" t="str">
        <f t="shared" si="437"/>
        <v>Urumi</v>
      </c>
      <c r="M4026" s="5"/>
      <c r="N4026" s="39" t="str">
        <f t="shared" si="438"/>
        <v/>
      </c>
      <c r="O4026" s="5"/>
      <c r="P4026" s="39" t="str">
        <f t="shared" si="439"/>
        <v/>
      </c>
      <c r="Q4026" s="5"/>
      <c r="R4026" s="39" t="str">
        <f t="shared" si="440"/>
        <v/>
      </c>
    </row>
    <row r="4027" spans="1:18">
      <c r="A4027" s="179" t="s">
        <v>4670</v>
      </c>
      <c r="B4027" s="185" t="s">
        <v>8381</v>
      </c>
      <c r="C4027" s="35" t="str">
        <f t="shared" si="434"/>
        <v>Urumiyyih</v>
      </c>
      <c r="D4027" s="5"/>
      <c r="E4027" s="40"/>
      <c r="F4027" s="14"/>
      <c r="G4027" s="17"/>
      <c r="H4027" s="10" t="s">
        <v>8563</v>
      </c>
      <c r="I4027" s="4" t="str">
        <f t="shared" si="435"/>
        <v>|Urúmíyyih|</v>
      </c>
      <c r="J4027" s="3" t="str">
        <f t="shared" si="436"/>
        <v>|Urumiyyih|</v>
      </c>
      <c r="K4027" s="3" t="str">
        <f t="shared" si="437"/>
        <v>Urumiyyih</v>
      </c>
      <c r="M4027" s="5"/>
      <c r="N4027" s="39" t="str">
        <f t="shared" si="438"/>
        <v/>
      </c>
      <c r="O4027" s="5"/>
      <c r="P4027" s="39" t="str">
        <f t="shared" si="439"/>
        <v/>
      </c>
      <c r="Q4027" s="5"/>
      <c r="R4027" s="39" t="str">
        <f t="shared" si="440"/>
        <v/>
      </c>
    </row>
    <row r="4028" spans="1:18">
      <c r="A4028" s="179" t="s">
        <v>4671</v>
      </c>
      <c r="B4028" s="185" t="s">
        <v>8382</v>
      </c>
      <c r="C4028" s="35" t="str">
        <f t="shared" si="434"/>
        <v>Urupa</v>
      </c>
      <c r="D4028" s="5"/>
      <c r="E4028" s="40"/>
      <c r="F4028" s="15"/>
      <c r="G4028" s="17"/>
      <c r="H4028" s="10" t="s">
        <v>8563</v>
      </c>
      <c r="I4028" s="4" t="str">
        <f t="shared" si="435"/>
        <v>|Urúpá|</v>
      </c>
      <c r="J4028" s="3" t="str">
        <f t="shared" si="436"/>
        <v>|Urupa|</v>
      </c>
      <c r="K4028" s="3" t="str">
        <f t="shared" si="437"/>
        <v>Urupa</v>
      </c>
      <c r="M4028" s="5"/>
      <c r="N4028" s="39" t="str">
        <f t="shared" si="438"/>
        <v/>
      </c>
      <c r="O4028" s="5"/>
      <c r="P4028" s="39" t="str">
        <f t="shared" si="439"/>
        <v/>
      </c>
      <c r="Q4028" s="5"/>
      <c r="R4028" s="39" t="str">
        <f t="shared" si="440"/>
        <v/>
      </c>
    </row>
    <row r="4029" spans="1:18">
      <c r="A4029" s="179" t="s">
        <v>4672</v>
      </c>
      <c r="B4029" s="185" t="s">
        <v>8383</v>
      </c>
      <c r="C4029" s="35" t="str">
        <f t="shared" si="434"/>
        <v>Urvan</v>
      </c>
      <c r="D4029" s="5"/>
      <c r="E4029" s="40"/>
      <c r="F4029" s="15"/>
      <c r="G4029" s="17"/>
      <c r="H4029" s="10" t="s">
        <v>8563</v>
      </c>
      <c r="I4029" s="4" t="str">
        <f t="shared" si="435"/>
        <v>|Urván|</v>
      </c>
      <c r="J4029" s="3" t="str">
        <f t="shared" si="436"/>
        <v>|Urvan|</v>
      </c>
      <c r="K4029" s="3" t="str">
        <f t="shared" si="437"/>
        <v>Urvan</v>
      </c>
      <c r="M4029" s="5"/>
      <c r="N4029" s="39" t="str">
        <f t="shared" si="438"/>
        <v/>
      </c>
      <c r="O4029" s="5"/>
      <c r="P4029" s="39" t="str">
        <f t="shared" si="439"/>
        <v/>
      </c>
      <c r="Q4029" s="5"/>
      <c r="R4029" s="39" t="str">
        <f t="shared" si="440"/>
        <v/>
      </c>
    </row>
    <row r="4030" spans="1:18">
      <c r="A4030" s="179" t="s">
        <v>4673</v>
      </c>
      <c r="B4030" s="185" t="s">
        <v>8384</v>
      </c>
      <c r="C4030" s="35" t="str">
        <f t="shared" si="434"/>
        <v>UrvatulVuthqa</v>
      </c>
      <c r="D4030" s="5"/>
      <c r="E4030" s="40"/>
      <c r="F4030" s="15" t="s">
        <v>8603</v>
      </c>
      <c r="G4030" s="17"/>
      <c r="H4030" s="10" t="s">
        <v>8563</v>
      </c>
      <c r="I4030" s="4" t="str">
        <f t="shared" si="435"/>
        <v>|ʿUrvatu’l-Vuqá|</v>
      </c>
      <c r="J4030" s="3" t="str">
        <f t="shared" si="436"/>
        <v>|'Urvatu'l-Vuthqa|</v>
      </c>
      <c r="K4030" s="3" t="str">
        <f t="shared" si="437"/>
        <v>Urvatul-Vuthqa</v>
      </c>
      <c r="M4030" s="5"/>
      <c r="N4030" s="39" t="str">
        <f t="shared" si="438"/>
        <v/>
      </c>
      <c r="O4030" s="5"/>
      <c r="P4030" s="39" t="str">
        <f t="shared" si="439"/>
        <v/>
      </c>
      <c r="Q4030" s="5"/>
      <c r="R4030" s="39" t="str">
        <f t="shared" si="440"/>
        <v/>
      </c>
    </row>
    <row r="4031" spans="1:18">
      <c r="A4031" s="179" t="s">
        <v>4674</v>
      </c>
      <c r="B4031" s="185" t="s">
        <v>8385</v>
      </c>
      <c r="C4031" s="35" t="str">
        <f t="shared" si="434"/>
        <v>Uryan</v>
      </c>
      <c r="D4031" s="5"/>
      <c r="E4031" s="40"/>
      <c r="F4031" s="15"/>
      <c r="G4031" s="17"/>
      <c r="H4031" s="10" t="s">
        <v>8563</v>
      </c>
      <c r="I4031" s="4" t="str">
        <f t="shared" si="435"/>
        <v>|ʿUryán|</v>
      </c>
      <c r="J4031" s="3" t="str">
        <f t="shared" si="436"/>
        <v>|'Uryan|</v>
      </c>
      <c r="K4031" s="3" t="str">
        <f t="shared" si="437"/>
        <v>Uryan</v>
      </c>
      <c r="M4031" s="5"/>
      <c r="N4031" s="39" t="str">
        <f t="shared" si="438"/>
        <v/>
      </c>
      <c r="O4031" s="5"/>
      <c r="P4031" s="39" t="str">
        <f t="shared" si="439"/>
        <v/>
      </c>
      <c r="Q4031" s="5"/>
      <c r="R4031" s="39" t="str">
        <f t="shared" si="440"/>
        <v/>
      </c>
    </row>
    <row r="4032" spans="1:18">
      <c r="A4032" s="179" t="s">
        <v>4675</v>
      </c>
      <c r="B4032" s="185" t="s">
        <v>8386</v>
      </c>
      <c r="C4032" s="35" t="str">
        <f t="shared" si="434"/>
        <v>Usanlu</v>
      </c>
      <c r="D4032" s="5"/>
      <c r="E4032" s="40"/>
      <c r="F4032" s="15"/>
      <c r="G4032" s="17"/>
      <c r="H4032" s="10" t="s">
        <v>8563</v>
      </c>
      <c r="I4032" s="4" t="str">
        <f t="shared" si="435"/>
        <v>|Usanlú|</v>
      </c>
      <c r="J4032" s="3" t="str">
        <f t="shared" si="436"/>
        <v>|Usanlu|</v>
      </c>
      <c r="K4032" s="3" t="str">
        <f t="shared" si="437"/>
        <v>Usanlu</v>
      </c>
      <c r="M4032" s="5"/>
      <c r="N4032" s="39" t="str">
        <f t="shared" si="438"/>
        <v/>
      </c>
      <c r="O4032" s="5"/>
      <c r="P4032" s="39" t="str">
        <f t="shared" si="439"/>
        <v/>
      </c>
      <c r="Q4032" s="5"/>
      <c r="R4032" s="39" t="str">
        <f t="shared" si="440"/>
        <v/>
      </c>
    </row>
    <row r="4033" spans="1:18">
      <c r="A4033" s="179" t="s">
        <v>4676</v>
      </c>
      <c r="B4033" s="185" t="s">
        <v>8387</v>
      </c>
      <c r="C4033" s="35" t="str">
        <f t="shared" si="434"/>
        <v>UshidarMah</v>
      </c>
      <c r="D4033" s="5"/>
      <c r="E4033" s="40"/>
      <c r="F4033" s="15"/>
      <c r="G4033" s="17"/>
      <c r="H4033" s="10" t="s">
        <v>8563</v>
      </c>
      <c r="I4033" s="4" t="str">
        <f t="shared" si="435"/>
        <v>|Úídar-Máh|</v>
      </c>
      <c r="J4033" s="3" t="str">
        <f t="shared" si="436"/>
        <v>|Ushidar-Mah|</v>
      </c>
      <c r="K4033" s="3" t="str">
        <f t="shared" si="437"/>
        <v>Ushidar-Mah</v>
      </c>
      <c r="M4033" s="5"/>
      <c r="N4033" s="39" t="str">
        <f t="shared" si="438"/>
        <v/>
      </c>
      <c r="O4033" s="5"/>
      <c r="P4033" s="39" t="str">
        <f t="shared" si="439"/>
        <v/>
      </c>
      <c r="Q4033" s="5"/>
      <c r="R4033" s="39" t="str">
        <f t="shared" si="440"/>
        <v/>
      </c>
    </row>
    <row r="4034" spans="1:18">
      <c r="A4034" s="179" t="s">
        <v>4677</v>
      </c>
      <c r="B4034" s="185" t="s">
        <v>8388</v>
      </c>
      <c r="C4034" s="35" t="str">
        <f t="shared" ref="C4034:C4097" si="441">SUBSTITUTE(SUBSTITUTE(K4034,"-","")," ","")</f>
        <v>Ushkur</v>
      </c>
      <c r="D4034" s="5"/>
      <c r="E4034" s="40"/>
      <c r="F4034" s="15"/>
      <c r="G4034" s="17"/>
      <c r="H4034" s="10" t="s">
        <v>8563</v>
      </c>
      <c r="I4034" s="4" t="str">
        <f t="shared" ref="I4034:I4097" si="442">CONCATENATE("|",B4034,"|")</f>
        <v>|Ukur|</v>
      </c>
      <c r="J4034" s="3" t="str">
        <f t="shared" ref="J4034:J4097" si="443">CONCATENATE("|",F_OutputASCII(B4034),"|")</f>
        <v>|Ushkur|</v>
      </c>
      <c r="K4034" s="3" t="str">
        <f t="shared" ref="K4034:K4097" si="444">IF(SUBSTITUTE(MID(J4034,2,LEN(J4034)-2),"'","")&lt;&gt;"",SUBSTITUTE(MID(J4034,2,LEN(J4034)-2),"'",""),"ZZZZZ")</f>
        <v>Ushkur</v>
      </c>
      <c r="M4034" s="5"/>
      <c r="N4034" s="39" t="str">
        <f t="shared" si="438"/>
        <v/>
      </c>
      <c r="O4034" s="5"/>
      <c r="P4034" s="39" t="str">
        <f t="shared" si="439"/>
        <v/>
      </c>
      <c r="Q4034" s="5"/>
      <c r="R4034" s="39" t="str">
        <f t="shared" si="440"/>
        <v/>
      </c>
    </row>
    <row r="4035" spans="1:18">
      <c r="A4035" s="179" t="s">
        <v>4678</v>
      </c>
      <c r="B4035" s="185" t="s">
        <v>8389</v>
      </c>
      <c r="C4035" s="35" t="str">
        <f t="shared" si="441"/>
        <v>Ustad</v>
      </c>
      <c r="D4035" s="5"/>
      <c r="E4035" s="40"/>
      <c r="F4035" s="14"/>
      <c r="G4035" s="17"/>
      <c r="H4035" s="10" t="s">
        <v>8563</v>
      </c>
      <c r="I4035" s="4" t="str">
        <f t="shared" si="442"/>
        <v>|Ustád|</v>
      </c>
      <c r="J4035" s="3" t="str">
        <f t="shared" si="443"/>
        <v>|Ustad|</v>
      </c>
      <c r="K4035" s="3" t="str">
        <f t="shared" si="444"/>
        <v>Ustad</v>
      </c>
      <c r="M4035" s="5"/>
      <c r="N4035" s="39" t="str">
        <f t="shared" ref="N4035:N4098" si="445">SUBSTITUTE(SUBSTITUTE(SUBSTITUTE(F_OutputASCII(M4035),"-","")," ",""),"'","")</f>
        <v/>
      </c>
      <c r="O4035" s="5"/>
      <c r="P4035" s="39" t="str">
        <f t="shared" ref="P4035:P4098" si="446">SUBSTITUTE(SUBSTITUTE(SUBSTITUTE(F_OutputASCII(O4035),"-","")," ",""),"'","")</f>
        <v/>
      </c>
      <c r="Q4035" s="5"/>
      <c r="R4035" s="39" t="str">
        <f t="shared" ref="R4035:R4098" si="447">SUBSTITUTE(SUBSTITUTE(Q4035,"-","")," ","")</f>
        <v/>
      </c>
    </row>
    <row r="4036" spans="1:18">
      <c r="A4036" s="179" t="s">
        <v>4679</v>
      </c>
      <c r="B4036" s="185" t="s">
        <v>8390</v>
      </c>
      <c r="C4036" s="35" t="str">
        <f t="shared" si="441"/>
        <v>Ustan</v>
      </c>
      <c r="D4036" s="5"/>
      <c r="E4036" s="40"/>
      <c r="F4036" s="15" t="s">
        <v>4680</v>
      </c>
      <c r="G4036" s="17"/>
      <c r="H4036" s="10" t="s">
        <v>8563</v>
      </c>
      <c r="I4036" s="4" t="str">
        <f t="shared" si="442"/>
        <v>|Ustán|</v>
      </c>
      <c r="J4036" s="3" t="str">
        <f t="shared" si="443"/>
        <v>|Ustan|</v>
      </c>
      <c r="K4036" s="3" t="str">
        <f t="shared" si="444"/>
        <v>Ustan</v>
      </c>
      <c r="M4036" s="5"/>
      <c r="N4036" s="39" t="str">
        <f t="shared" si="445"/>
        <v/>
      </c>
      <c r="O4036" s="5"/>
      <c r="P4036" s="39" t="str">
        <f t="shared" si="446"/>
        <v/>
      </c>
      <c r="Q4036" s="5"/>
      <c r="R4036" s="39" t="str">
        <f t="shared" si="447"/>
        <v/>
      </c>
    </row>
    <row r="4037" spans="1:18">
      <c r="A4037" s="179" t="s">
        <v>4681</v>
      </c>
      <c r="B4037" s="185" t="s">
        <v>8391</v>
      </c>
      <c r="C4037" s="35" t="str">
        <f t="shared" si="441"/>
        <v>Usul</v>
      </c>
      <c r="D4037" s="5"/>
      <c r="E4037" s="40"/>
      <c r="F4037" s="15"/>
      <c r="G4037" s="17"/>
      <c r="H4037" s="10" t="s">
        <v>8563</v>
      </c>
      <c r="I4037" s="4" t="str">
        <f t="shared" si="442"/>
        <v>|Uṣúl|</v>
      </c>
      <c r="J4037" s="3" t="str">
        <f t="shared" si="443"/>
        <v>|Usul|</v>
      </c>
      <c r="K4037" s="3" t="str">
        <f t="shared" si="444"/>
        <v>Usul</v>
      </c>
      <c r="M4037" s="5"/>
      <c r="N4037" s="39" t="str">
        <f t="shared" si="445"/>
        <v/>
      </c>
      <c r="O4037" s="5"/>
      <c r="P4037" s="39" t="str">
        <f t="shared" si="446"/>
        <v/>
      </c>
      <c r="Q4037" s="5"/>
      <c r="R4037" s="39" t="str">
        <f t="shared" si="447"/>
        <v/>
      </c>
    </row>
    <row r="4038" spans="1:18">
      <c r="A4038" s="179" t="s">
        <v>4682</v>
      </c>
      <c r="B4038" s="185" t="s">
        <v>8392</v>
      </c>
      <c r="C4038" s="35" t="str">
        <f t="shared" si="441"/>
        <v>Usuli</v>
      </c>
      <c r="D4038" s="5"/>
      <c r="E4038" s="40"/>
      <c r="F4038" s="15"/>
      <c r="G4038" s="17"/>
      <c r="H4038" s="10" t="s">
        <v>8563</v>
      </c>
      <c r="I4038" s="4" t="str">
        <f t="shared" si="442"/>
        <v>|Uṣúlí|</v>
      </c>
      <c r="J4038" s="3" t="str">
        <f t="shared" si="443"/>
        <v>|Usuli|</v>
      </c>
      <c r="K4038" s="3" t="str">
        <f t="shared" si="444"/>
        <v>Usuli</v>
      </c>
      <c r="M4038" s="5"/>
      <c r="N4038" s="39" t="str">
        <f t="shared" si="445"/>
        <v/>
      </c>
      <c r="O4038" s="5"/>
      <c r="P4038" s="39" t="str">
        <f t="shared" si="446"/>
        <v/>
      </c>
      <c r="Q4038" s="5"/>
      <c r="R4038" s="39" t="str">
        <f t="shared" si="447"/>
        <v/>
      </c>
    </row>
    <row r="4039" spans="1:18">
      <c r="A4039" s="179" t="s">
        <v>4652</v>
      </c>
      <c r="B4039" s="185" t="s">
        <v>8364</v>
      </c>
      <c r="C4039" s="35" t="str">
        <f t="shared" si="441"/>
        <v>UsuliArbaah</v>
      </c>
      <c r="D4039" s="5"/>
      <c r="E4039" s="40"/>
      <c r="F4039" s="15"/>
      <c r="G4039" s="17"/>
      <c r="H4039" s="10" t="s">
        <v>8563</v>
      </c>
      <c r="I4039" s="4" t="str">
        <f t="shared" si="442"/>
        <v>|Uṣúl-i-Arbaʿah|</v>
      </c>
      <c r="J4039" s="3" t="str">
        <f t="shared" si="443"/>
        <v>|Usul-i-Arba'ah|</v>
      </c>
      <c r="K4039" s="3" t="str">
        <f t="shared" si="444"/>
        <v>Usul-i-Arbaah</v>
      </c>
      <c r="M4039" s="5"/>
      <c r="N4039" s="39" t="str">
        <f t="shared" si="445"/>
        <v/>
      </c>
      <c r="O4039" s="5"/>
      <c r="P4039" s="39" t="str">
        <f t="shared" si="446"/>
        <v/>
      </c>
      <c r="Q4039" s="5"/>
      <c r="R4039" s="39" t="str">
        <f t="shared" si="447"/>
        <v/>
      </c>
    </row>
    <row r="4040" spans="1:18">
      <c r="A4040" s="179" t="s">
        <v>4683</v>
      </c>
      <c r="B4040" s="185" t="s">
        <v>8393</v>
      </c>
      <c r="C4040" s="35" t="str">
        <f t="shared" si="441"/>
        <v>UsuliKafi</v>
      </c>
      <c r="D4040" s="5"/>
      <c r="E4040" s="40"/>
      <c r="F4040" s="15"/>
      <c r="G4040" s="17"/>
      <c r="H4040" s="10" t="s">
        <v>8563</v>
      </c>
      <c r="I4040" s="4" t="str">
        <f t="shared" si="442"/>
        <v>|Uṣúl-i-Káfí|</v>
      </c>
      <c r="J4040" s="3" t="str">
        <f t="shared" si="443"/>
        <v>|Usul-i-Kafi|</v>
      </c>
      <c r="K4040" s="3" t="str">
        <f t="shared" si="444"/>
        <v>Usul-i-Kafi</v>
      </c>
      <c r="M4040" s="5"/>
      <c r="N4040" s="39" t="str">
        <f t="shared" si="445"/>
        <v/>
      </c>
      <c r="O4040" s="5"/>
      <c r="P4040" s="39" t="str">
        <f t="shared" si="446"/>
        <v/>
      </c>
      <c r="Q4040" s="5"/>
      <c r="R4040" s="39" t="str">
        <f t="shared" si="447"/>
        <v/>
      </c>
    </row>
    <row r="4041" spans="1:18">
      <c r="A4041" s="179" t="s">
        <v>4684</v>
      </c>
      <c r="B4041" s="185" t="s">
        <v>8394</v>
      </c>
      <c r="C4041" s="35" t="str">
        <f t="shared" si="441"/>
        <v>Utaqih</v>
      </c>
      <c r="D4041" s="5"/>
      <c r="E4041" s="40"/>
      <c r="F4041" s="15"/>
      <c r="G4041" s="17"/>
      <c r="H4041" s="10" t="s">
        <v>8563</v>
      </c>
      <c r="I4041" s="4" t="str">
        <f t="shared" si="442"/>
        <v>|Utáqih|</v>
      </c>
      <c r="J4041" s="3" t="str">
        <f t="shared" si="443"/>
        <v>|Utaqih|</v>
      </c>
      <c r="K4041" s="3" t="str">
        <f t="shared" si="444"/>
        <v>Utaqih</v>
      </c>
      <c r="M4041" s="5"/>
      <c r="N4041" s="39" t="str">
        <f t="shared" si="445"/>
        <v/>
      </c>
      <c r="O4041" s="5"/>
      <c r="P4041" s="39" t="str">
        <f t="shared" si="446"/>
        <v/>
      </c>
      <c r="Q4041" s="5"/>
      <c r="R4041" s="39" t="str">
        <f t="shared" si="447"/>
        <v/>
      </c>
    </row>
    <row r="4042" spans="1:18">
      <c r="A4042" s="179" t="s">
        <v>4685</v>
      </c>
      <c r="B4042" s="185" t="s">
        <v>8395</v>
      </c>
      <c r="C4042" s="35" t="str">
        <f t="shared" si="441"/>
        <v>Uthman</v>
      </c>
      <c r="D4042" s="5"/>
      <c r="E4042" s="40"/>
      <c r="F4042" s="14"/>
      <c r="G4042" s="17"/>
      <c r="H4042" s="10" t="s">
        <v>8563</v>
      </c>
      <c r="I4042" s="4" t="str">
        <f t="shared" si="442"/>
        <v>|ʿUmán|</v>
      </c>
      <c r="J4042" s="3" t="str">
        <f t="shared" si="443"/>
        <v>|'Uthman|</v>
      </c>
      <c r="K4042" s="3" t="str">
        <f t="shared" si="444"/>
        <v>Uthman</v>
      </c>
      <c r="M4042" s="5"/>
      <c r="N4042" s="39" t="str">
        <f t="shared" si="445"/>
        <v/>
      </c>
      <c r="O4042" s="5"/>
      <c r="P4042" s="39" t="str">
        <f t="shared" si="446"/>
        <v/>
      </c>
      <c r="Q4042" s="5"/>
      <c r="R4042" s="39" t="str">
        <f t="shared" si="447"/>
        <v/>
      </c>
    </row>
    <row r="4043" spans="1:18">
      <c r="A4043" s="179" t="s">
        <v>4686</v>
      </c>
      <c r="B4043" s="185" t="s">
        <v>8396</v>
      </c>
      <c r="C4043" s="35" t="str">
        <f t="shared" si="441"/>
        <v>UthmanibniAffan</v>
      </c>
      <c r="D4043" s="5"/>
      <c r="E4043" s="40"/>
      <c r="F4043" s="15"/>
      <c r="G4043" s="17"/>
      <c r="H4043" s="10" t="s">
        <v>8563</v>
      </c>
      <c r="I4043" s="4" t="str">
        <f t="shared" si="442"/>
        <v>|ʿUmán-ibn-i-ʿAffán|</v>
      </c>
      <c r="J4043" s="3" t="str">
        <f t="shared" si="443"/>
        <v>|'Uthman-ibn-i-'Affan|</v>
      </c>
      <c r="K4043" s="3" t="str">
        <f t="shared" si="444"/>
        <v>Uthman-ibn-i-Affan</v>
      </c>
      <c r="M4043" s="5"/>
      <c r="N4043" s="39" t="str">
        <f t="shared" si="445"/>
        <v/>
      </c>
      <c r="O4043" s="5"/>
      <c r="P4043" s="39" t="str">
        <f t="shared" si="446"/>
        <v/>
      </c>
      <c r="Q4043" s="5"/>
      <c r="R4043" s="39" t="str">
        <f t="shared" si="447"/>
        <v/>
      </c>
    </row>
    <row r="4044" spans="1:18">
      <c r="A4044" s="179" t="s">
        <v>4687</v>
      </c>
      <c r="B4044" s="185" t="s">
        <v>8397</v>
      </c>
      <c r="C4044" s="35" t="str">
        <f t="shared" si="441"/>
        <v>Uthmaniyyih</v>
      </c>
      <c r="D4044" s="5"/>
      <c r="E4044" s="40"/>
      <c r="F4044" s="15"/>
      <c r="G4044" s="17"/>
      <c r="H4044" s="10" t="s">
        <v>8563</v>
      </c>
      <c r="I4044" s="4" t="str">
        <f t="shared" si="442"/>
        <v>|ʿUmáníyyih|</v>
      </c>
      <c r="J4044" s="3" t="str">
        <f t="shared" si="443"/>
        <v>|'Uthmaniyyih|</v>
      </c>
      <c r="K4044" s="3" t="str">
        <f t="shared" si="444"/>
        <v>Uthmaniyyih</v>
      </c>
      <c r="M4044" s="5"/>
      <c r="N4044" s="39" t="str">
        <f t="shared" si="445"/>
        <v/>
      </c>
      <c r="O4044" s="5"/>
      <c r="P4044" s="39" t="str">
        <f t="shared" si="446"/>
        <v/>
      </c>
      <c r="Q4044" s="5"/>
      <c r="R4044" s="39" t="str">
        <f t="shared" si="447"/>
        <v/>
      </c>
    </row>
    <row r="4045" spans="1:18">
      <c r="A4045" s="179" t="s">
        <v>4688</v>
      </c>
      <c r="B4045" s="185" t="s">
        <v>8398</v>
      </c>
      <c r="C4045" s="35" t="str">
        <f t="shared" si="441"/>
        <v>Utrush</v>
      </c>
      <c r="D4045" s="5"/>
      <c r="E4045" s="40"/>
      <c r="F4045" s="15"/>
      <c r="G4045" s="17"/>
      <c r="H4045" s="10" t="s">
        <v>8563</v>
      </c>
      <c r="I4045" s="4" t="str">
        <f t="shared" si="442"/>
        <v>|Uṭru|</v>
      </c>
      <c r="J4045" s="3" t="str">
        <f t="shared" si="443"/>
        <v>|Utrush|</v>
      </c>
      <c r="K4045" s="3" t="str">
        <f t="shared" si="444"/>
        <v>Utrush</v>
      </c>
      <c r="M4045" s="5"/>
      <c r="N4045" s="39" t="str">
        <f t="shared" si="445"/>
        <v/>
      </c>
      <c r="O4045" s="5"/>
      <c r="P4045" s="39" t="str">
        <f t="shared" si="446"/>
        <v/>
      </c>
      <c r="Q4045" s="5"/>
      <c r="R4045" s="39" t="str">
        <f t="shared" si="447"/>
        <v/>
      </c>
    </row>
    <row r="4046" spans="1:18">
      <c r="A4046" s="179" t="s">
        <v>4689</v>
      </c>
      <c r="B4046" s="185" t="s">
        <v>8399</v>
      </c>
      <c r="C4046" s="35" t="str">
        <f t="shared" si="441"/>
        <v>Uttab</v>
      </c>
      <c r="D4046" s="5"/>
      <c r="E4046" s="40"/>
      <c r="F4046" s="15"/>
      <c r="G4046" s="17"/>
      <c r="H4046" s="10" t="s">
        <v>8563</v>
      </c>
      <c r="I4046" s="4" t="str">
        <f t="shared" si="442"/>
        <v>|ʿUttáb|</v>
      </c>
      <c r="J4046" s="3" t="str">
        <f t="shared" si="443"/>
        <v>|'Uttab|</v>
      </c>
      <c r="K4046" s="3" t="str">
        <f t="shared" si="444"/>
        <v>Uttab</v>
      </c>
      <c r="M4046" s="5"/>
      <c r="N4046" s="39" t="str">
        <f t="shared" si="445"/>
        <v/>
      </c>
      <c r="O4046" s="5"/>
      <c r="P4046" s="39" t="str">
        <f t="shared" si="446"/>
        <v/>
      </c>
      <c r="Q4046" s="5"/>
      <c r="R4046" s="39" t="str">
        <f t="shared" si="447"/>
        <v/>
      </c>
    </row>
    <row r="4047" spans="1:18">
      <c r="A4047" s="179" t="s">
        <v>4690</v>
      </c>
      <c r="B4047" s="185" t="s">
        <v>8400</v>
      </c>
      <c r="C4047" s="35" t="str">
        <f t="shared" si="441"/>
        <v>Uttabi</v>
      </c>
      <c r="D4047" s="5"/>
      <c r="E4047" s="40"/>
      <c r="F4047" s="15"/>
      <c r="G4047" s="17"/>
      <c r="H4047" s="10" t="s">
        <v>8563</v>
      </c>
      <c r="I4047" s="4" t="str">
        <f t="shared" si="442"/>
        <v>|ʿUttábí|</v>
      </c>
      <c r="J4047" s="3" t="str">
        <f t="shared" si="443"/>
        <v>|'Uttabi|</v>
      </c>
      <c r="K4047" s="3" t="str">
        <f t="shared" si="444"/>
        <v>Uttabi</v>
      </c>
      <c r="M4047" s="5"/>
      <c r="N4047" s="39" t="str">
        <f t="shared" si="445"/>
        <v/>
      </c>
      <c r="O4047" s="5"/>
      <c r="P4047" s="39" t="str">
        <f t="shared" si="446"/>
        <v/>
      </c>
      <c r="Q4047" s="5"/>
      <c r="R4047" s="39" t="str">
        <f t="shared" si="447"/>
        <v/>
      </c>
    </row>
    <row r="4048" spans="1:18">
      <c r="B4048" s="185" t="s">
        <v>144</v>
      </c>
      <c r="C4048" s="35" t="str">
        <f t="shared" si="441"/>
        <v>UyunalAnbafiTabagatalAtibba</v>
      </c>
      <c r="E4048" s="40"/>
      <c r="H4048" s="12" t="s">
        <v>77</v>
      </c>
      <c r="I4048" s="4" t="str">
        <f t="shared" si="442"/>
        <v>|Uyún al-Anbá fí Ṭabagát al-Aṭibbá|</v>
      </c>
      <c r="J4048" s="3" t="str">
        <f t="shared" si="443"/>
        <v>|Uyun al-Anba fi Tabagat al-Atibba|</v>
      </c>
      <c r="K4048" s="3" t="str">
        <f t="shared" si="444"/>
        <v>Uyun al-Anba fi Tabagat al-Atibba</v>
      </c>
      <c r="N4048" s="39" t="str">
        <f t="shared" si="445"/>
        <v/>
      </c>
      <c r="P4048" s="39" t="str">
        <f t="shared" si="446"/>
        <v/>
      </c>
      <c r="R4048" s="39" t="str">
        <f t="shared" si="447"/>
        <v/>
      </c>
    </row>
    <row r="4049" spans="1:18">
      <c r="A4049" s="179" t="s">
        <v>4691</v>
      </c>
      <c r="B4049" s="185" t="s">
        <v>8401</v>
      </c>
      <c r="C4049" s="35" t="str">
        <f t="shared" si="441"/>
        <v>Uzbakistan</v>
      </c>
      <c r="D4049" s="5"/>
      <c r="E4049" s="40"/>
      <c r="F4049" s="14"/>
      <c r="G4049" s="17"/>
      <c r="H4049" s="10" t="s">
        <v>8563</v>
      </c>
      <c r="I4049" s="4" t="str">
        <f t="shared" si="442"/>
        <v>|Uzbakistán|</v>
      </c>
      <c r="J4049" s="3" t="str">
        <f t="shared" si="443"/>
        <v>|Uzbakistan|</v>
      </c>
      <c r="K4049" s="3" t="str">
        <f t="shared" si="444"/>
        <v>Uzbakistan</v>
      </c>
      <c r="M4049" s="5"/>
      <c r="N4049" s="39" t="str">
        <f t="shared" si="445"/>
        <v/>
      </c>
      <c r="O4049" s="5"/>
      <c r="P4049" s="39" t="str">
        <f t="shared" si="446"/>
        <v/>
      </c>
      <c r="Q4049" s="5"/>
      <c r="R4049" s="39" t="str">
        <f t="shared" si="447"/>
        <v/>
      </c>
    </row>
    <row r="4050" spans="1:18">
      <c r="A4050" s="179" t="s">
        <v>4692</v>
      </c>
      <c r="B4050" s="185" t="s">
        <v>8402</v>
      </c>
      <c r="C4050" s="35" t="str">
        <f t="shared" si="441"/>
        <v>Uzum</v>
      </c>
      <c r="D4050" s="5"/>
      <c r="E4050" s="40"/>
      <c r="F4050" s="15" t="s">
        <v>4693</v>
      </c>
      <c r="G4050" s="17"/>
      <c r="H4050" s="10" t="s">
        <v>8563</v>
      </c>
      <c r="I4050" s="4" t="str">
        <f t="shared" si="442"/>
        <v>|ʿUzúm|</v>
      </c>
      <c r="J4050" s="3" t="str">
        <f t="shared" si="443"/>
        <v>|'Uzum|</v>
      </c>
      <c r="K4050" s="3" t="str">
        <f t="shared" si="444"/>
        <v>Uzum</v>
      </c>
      <c r="M4050" s="5"/>
      <c r="N4050" s="39" t="str">
        <f t="shared" si="445"/>
        <v/>
      </c>
      <c r="O4050" s="5"/>
      <c r="P4050" s="39" t="str">
        <f t="shared" si="446"/>
        <v/>
      </c>
      <c r="Q4050" s="5"/>
      <c r="R4050" s="39" t="str">
        <f t="shared" si="447"/>
        <v/>
      </c>
    </row>
    <row r="4051" spans="1:18">
      <c r="A4051" s="179" t="s">
        <v>4694</v>
      </c>
      <c r="B4051" s="185" t="s">
        <v>8403</v>
      </c>
      <c r="C4051" s="35" t="str">
        <f t="shared" si="441"/>
        <v>Uzza</v>
      </c>
      <c r="D4051" s="5"/>
      <c r="E4051" s="40"/>
      <c r="F4051" s="14"/>
      <c r="G4051" s="17"/>
      <c r="H4051" s="10" t="s">
        <v>8563</v>
      </c>
      <c r="I4051" s="4" t="str">
        <f t="shared" si="442"/>
        <v>|ʿUzzá|</v>
      </c>
      <c r="J4051" s="3" t="str">
        <f t="shared" si="443"/>
        <v>|'Uzza|</v>
      </c>
      <c r="K4051" s="3" t="str">
        <f t="shared" si="444"/>
        <v>Uzza</v>
      </c>
      <c r="M4051" s="5"/>
      <c r="N4051" s="39" t="str">
        <f t="shared" si="445"/>
        <v/>
      </c>
      <c r="O4051" s="5"/>
      <c r="P4051" s="39" t="str">
        <f t="shared" si="446"/>
        <v/>
      </c>
      <c r="Q4051" s="5"/>
      <c r="R4051" s="39" t="str">
        <f t="shared" si="447"/>
        <v/>
      </c>
    </row>
    <row r="4052" spans="1:18">
      <c r="A4052" s="179" t="s">
        <v>4695</v>
      </c>
      <c r="B4052" s="185" t="s">
        <v>8404</v>
      </c>
      <c r="C4052" s="35" t="str">
        <f t="shared" si="441"/>
        <v>Vadi</v>
      </c>
      <c r="D4052" s="5"/>
      <c r="E4052" s="40"/>
      <c r="F4052" s="15"/>
      <c r="G4052" s="17"/>
      <c r="H4052" s="10" t="s">
        <v>8563</v>
      </c>
      <c r="I4052" s="4" t="str">
        <f t="shared" si="442"/>
        <v>|Vádí|</v>
      </c>
      <c r="J4052" s="3" t="str">
        <f t="shared" si="443"/>
        <v>|Vadi|</v>
      </c>
      <c r="K4052" s="3" t="str">
        <f t="shared" si="444"/>
        <v>Vadi</v>
      </c>
      <c r="M4052" s="5"/>
      <c r="N4052" s="39" t="str">
        <f t="shared" si="445"/>
        <v/>
      </c>
      <c r="O4052" s="5"/>
      <c r="P4052" s="39" t="str">
        <f t="shared" si="446"/>
        <v/>
      </c>
      <c r="Q4052" s="5"/>
      <c r="R4052" s="39" t="str">
        <f t="shared" si="447"/>
        <v/>
      </c>
    </row>
    <row r="4053" spans="1:18">
      <c r="A4053" s="179" t="s">
        <v>4696</v>
      </c>
      <c r="B4053" s="185" t="s">
        <v>8405</v>
      </c>
      <c r="C4053" s="35" t="str">
        <f t="shared" si="441"/>
        <v>Vafa</v>
      </c>
      <c r="D4053" s="5"/>
      <c r="E4053" s="40"/>
      <c r="F4053" s="14"/>
      <c r="G4053" s="17"/>
      <c r="H4053" s="10" t="s">
        <v>8563</v>
      </c>
      <c r="I4053" s="4" t="str">
        <f t="shared" si="442"/>
        <v>|Vafá|</v>
      </c>
      <c r="J4053" s="3" t="str">
        <f t="shared" si="443"/>
        <v>|Vafa|</v>
      </c>
      <c r="K4053" s="3" t="str">
        <f t="shared" si="444"/>
        <v>Vafa</v>
      </c>
      <c r="M4053" s="5"/>
      <c r="N4053" s="39" t="str">
        <f t="shared" si="445"/>
        <v/>
      </c>
      <c r="O4053" s="5"/>
      <c r="P4053" s="39" t="str">
        <f t="shared" si="446"/>
        <v/>
      </c>
      <c r="Q4053" s="5"/>
      <c r="R4053" s="39" t="str">
        <f t="shared" si="447"/>
        <v/>
      </c>
    </row>
    <row r="4054" spans="1:18">
      <c r="A4054" s="179" t="s">
        <v>4697</v>
      </c>
      <c r="B4054" s="185" t="s">
        <v>8406</v>
      </c>
      <c r="C4054" s="35" t="str">
        <f t="shared" si="441"/>
        <v>Vafai</v>
      </c>
      <c r="D4054" s="5"/>
      <c r="E4054" s="40"/>
      <c r="F4054" s="15"/>
      <c r="G4054" s="17"/>
      <c r="H4054" s="10" t="s">
        <v>8563</v>
      </c>
      <c r="I4054" s="4" t="str">
        <f t="shared" si="442"/>
        <v>|Vafá’í|</v>
      </c>
      <c r="J4054" s="3" t="str">
        <f t="shared" si="443"/>
        <v>|Vafa'i|</v>
      </c>
      <c r="K4054" s="3" t="str">
        <f t="shared" si="444"/>
        <v>Vafai</v>
      </c>
      <c r="M4054" s="5"/>
      <c r="N4054" s="39" t="str">
        <f t="shared" si="445"/>
        <v/>
      </c>
      <c r="O4054" s="5"/>
      <c r="P4054" s="39" t="str">
        <f t="shared" si="446"/>
        <v/>
      </c>
      <c r="Q4054" s="5"/>
      <c r="R4054" s="39" t="str">
        <f t="shared" si="447"/>
        <v/>
      </c>
    </row>
    <row r="4055" spans="1:18">
      <c r="A4055" s="179" t="s">
        <v>4698</v>
      </c>
      <c r="B4055" s="185" t="s">
        <v>8407</v>
      </c>
      <c r="C4055" s="35" t="str">
        <f t="shared" si="441"/>
        <v>Vafi</v>
      </c>
      <c r="D4055" s="5"/>
      <c r="E4055" s="40"/>
      <c r="F4055" s="14"/>
      <c r="G4055" s="17"/>
      <c r="H4055" s="10" t="s">
        <v>8563</v>
      </c>
      <c r="I4055" s="4" t="str">
        <f t="shared" si="442"/>
        <v>|Vafi|</v>
      </c>
      <c r="J4055" s="3" t="str">
        <f t="shared" si="443"/>
        <v>|Vafi|</v>
      </c>
      <c r="K4055" s="3" t="str">
        <f t="shared" si="444"/>
        <v>Vafi</v>
      </c>
      <c r="M4055" s="5"/>
      <c r="N4055" s="39" t="str">
        <f t="shared" si="445"/>
        <v/>
      </c>
      <c r="O4055" s="5"/>
      <c r="P4055" s="39" t="str">
        <f t="shared" si="446"/>
        <v/>
      </c>
      <c r="Q4055" s="5"/>
      <c r="R4055" s="39" t="str">
        <f t="shared" si="447"/>
        <v/>
      </c>
    </row>
    <row r="4056" spans="1:18">
      <c r="A4056" s="179" t="s">
        <v>4699</v>
      </c>
      <c r="B4056" s="185" t="s">
        <v>8408</v>
      </c>
      <c r="C4056" s="35" t="str">
        <f t="shared" si="441"/>
        <v>Vahdat</v>
      </c>
      <c r="D4056" s="5"/>
      <c r="E4056" s="40"/>
      <c r="F4056" s="15"/>
      <c r="G4056" s="17"/>
      <c r="H4056" s="10" t="s">
        <v>8563</v>
      </c>
      <c r="I4056" s="4" t="str">
        <f t="shared" si="442"/>
        <v>|Vaḥdat|</v>
      </c>
      <c r="J4056" s="3" t="str">
        <f t="shared" si="443"/>
        <v>|Vahdat|</v>
      </c>
      <c r="K4056" s="3" t="str">
        <f t="shared" si="444"/>
        <v>Vahdat</v>
      </c>
      <c r="M4056" s="5"/>
      <c r="N4056" s="39" t="str">
        <f t="shared" si="445"/>
        <v/>
      </c>
      <c r="O4056" s="5"/>
      <c r="P4056" s="39" t="str">
        <f t="shared" si="446"/>
        <v/>
      </c>
      <c r="Q4056" s="5"/>
      <c r="R4056" s="39" t="str">
        <f t="shared" si="447"/>
        <v/>
      </c>
    </row>
    <row r="4057" spans="1:18">
      <c r="A4057" s="179" t="s">
        <v>4700</v>
      </c>
      <c r="B4057" s="185" t="s">
        <v>8409</v>
      </c>
      <c r="C4057" s="35" t="str">
        <f t="shared" si="441"/>
        <v>VahdatiBashar</v>
      </c>
      <c r="D4057" s="5"/>
      <c r="E4057" s="40"/>
      <c r="F4057" s="15"/>
      <c r="G4057" s="17"/>
      <c r="H4057" s="10" t="s">
        <v>8563</v>
      </c>
      <c r="I4057" s="4" t="str">
        <f t="shared" si="442"/>
        <v>|Vaḥdat-i-Baar|</v>
      </c>
      <c r="J4057" s="3" t="str">
        <f t="shared" si="443"/>
        <v>|Vahdat-i-Bashar|</v>
      </c>
      <c r="K4057" s="3" t="str">
        <f t="shared" si="444"/>
        <v>Vahdat-i-Bashar</v>
      </c>
      <c r="M4057" s="5"/>
      <c r="N4057" s="39" t="str">
        <f t="shared" si="445"/>
        <v/>
      </c>
      <c r="O4057" s="5"/>
      <c r="P4057" s="39" t="str">
        <f t="shared" si="446"/>
        <v/>
      </c>
      <c r="Q4057" s="5"/>
      <c r="R4057" s="39" t="str">
        <f t="shared" si="447"/>
        <v/>
      </c>
    </row>
    <row r="4058" spans="1:18">
      <c r="A4058" s="179" t="s">
        <v>4701</v>
      </c>
      <c r="B4058" s="185" t="s">
        <v>8410</v>
      </c>
      <c r="C4058" s="35" t="str">
        <f t="shared" si="441"/>
        <v>VahdatiHaqq</v>
      </c>
      <c r="D4058" s="5"/>
      <c r="E4058" s="40"/>
      <c r="F4058" s="15"/>
      <c r="G4058" s="17"/>
      <c r="H4058" s="10" t="s">
        <v>8563</v>
      </c>
      <c r="I4058" s="4" t="str">
        <f t="shared" si="442"/>
        <v>|Vaḥdat-i-Ḥaqq|</v>
      </c>
      <c r="J4058" s="3" t="str">
        <f t="shared" si="443"/>
        <v>|Vahdat-i-Haqq|</v>
      </c>
      <c r="K4058" s="3" t="str">
        <f t="shared" si="444"/>
        <v>Vahdat-i-Haqq</v>
      </c>
      <c r="M4058" s="5"/>
      <c r="N4058" s="39" t="str">
        <f t="shared" si="445"/>
        <v/>
      </c>
      <c r="O4058" s="5"/>
      <c r="P4058" s="39" t="str">
        <f t="shared" si="446"/>
        <v/>
      </c>
      <c r="Q4058" s="5"/>
      <c r="R4058" s="39" t="str">
        <f t="shared" si="447"/>
        <v/>
      </c>
    </row>
    <row r="4059" spans="1:18">
      <c r="A4059" s="179" t="s">
        <v>4702</v>
      </c>
      <c r="B4059" s="185" t="s">
        <v>8411</v>
      </c>
      <c r="C4059" s="35" t="str">
        <f t="shared" si="441"/>
        <v>Vahdatulvujud</v>
      </c>
      <c r="D4059" s="5"/>
      <c r="E4059" s="40"/>
      <c r="F4059" s="15" t="s">
        <v>4581</v>
      </c>
      <c r="G4059" s="17"/>
      <c r="H4059" s="10" t="s">
        <v>8563</v>
      </c>
      <c r="I4059" s="4" t="str">
        <f t="shared" si="442"/>
        <v>|Vaḥdatu’l-vujúd|</v>
      </c>
      <c r="J4059" s="3" t="str">
        <f t="shared" si="443"/>
        <v>|Vahdatu'l-vujud|</v>
      </c>
      <c r="K4059" s="3" t="str">
        <f t="shared" si="444"/>
        <v>Vahdatul-vujud</v>
      </c>
      <c r="M4059" s="5"/>
      <c r="N4059" s="39" t="str">
        <f t="shared" si="445"/>
        <v/>
      </c>
      <c r="O4059" s="5"/>
      <c r="P4059" s="39" t="str">
        <f t="shared" si="446"/>
        <v/>
      </c>
      <c r="Q4059" s="5"/>
      <c r="R4059" s="39" t="str">
        <f t="shared" si="447"/>
        <v/>
      </c>
    </row>
    <row r="4060" spans="1:18">
      <c r="A4060" s="179" t="s">
        <v>4703</v>
      </c>
      <c r="B4060" s="185" t="s">
        <v>8412</v>
      </c>
      <c r="C4060" s="35" t="str">
        <f t="shared" si="441"/>
        <v>Vahdatushshuhud</v>
      </c>
      <c r="D4060" s="5"/>
      <c r="E4060" s="40"/>
      <c r="F4060" s="15" t="s">
        <v>4579</v>
      </c>
      <c r="G4060" s="17"/>
      <c r="H4060" s="10" t="s">
        <v>8563</v>
      </c>
      <c r="I4060" s="4" t="str">
        <f t="shared" si="442"/>
        <v>|Vaḥdatu’-uhúd|</v>
      </c>
      <c r="J4060" s="3" t="str">
        <f t="shared" si="443"/>
        <v>|Vahdatu'sh-shuhud|</v>
      </c>
      <c r="K4060" s="3" t="str">
        <f t="shared" si="444"/>
        <v>Vahdatush-shuhud</v>
      </c>
      <c r="M4060" s="5"/>
      <c r="N4060" s="39" t="str">
        <f t="shared" si="445"/>
        <v/>
      </c>
      <c r="O4060" s="5"/>
      <c r="P4060" s="39" t="str">
        <f t="shared" si="446"/>
        <v/>
      </c>
      <c r="Q4060" s="5"/>
      <c r="R4060" s="39" t="str">
        <f t="shared" si="447"/>
        <v/>
      </c>
    </row>
    <row r="4061" spans="1:18">
      <c r="A4061" s="179" t="s">
        <v>4704</v>
      </c>
      <c r="B4061" s="185" t="s">
        <v>8413</v>
      </c>
      <c r="C4061" s="35" t="str">
        <f t="shared" si="441"/>
        <v>Vahhab</v>
      </c>
      <c r="D4061" s="5"/>
      <c r="E4061" s="40"/>
      <c r="F4061" s="14"/>
      <c r="G4061" s="17"/>
      <c r="H4061" s="10" t="s">
        <v>8563</v>
      </c>
      <c r="I4061" s="4" t="str">
        <f t="shared" si="442"/>
        <v>|Vahháb|</v>
      </c>
      <c r="J4061" s="3" t="str">
        <f t="shared" si="443"/>
        <v>|Vahhab|</v>
      </c>
      <c r="K4061" s="3" t="str">
        <f t="shared" si="444"/>
        <v>Vahhab</v>
      </c>
      <c r="M4061" s="5"/>
      <c r="N4061" s="39" t="str">
        <f t="shared" si="445"/>
        <v/>
      </c>
      <c r="O4061" s="5"/>
      <c r="P4061" s="39" t="str">
        <f t="shared" si="446"/>
        <v/>
      </c>
      <c r="Q4061" s="5"/>
      <c r="R4061" s="39" t="str">
        <f t="shared" si="447"/>
        <v/>
      </c>
    </row>
    <row r="4062" spans="1:18">
      <c r="A4062" s="179" t="s">
        <v>4705</v>
      </c>
      <c r="B4062" s="185" t="s">
        <v>8414</v>
      </c>
      <c r="C4062" s="35" t="str">
        <f t="shared" si="441"/>
        <v>VahhabiKhurasani</v>
      </c>
      <c r="D4062" s="5"/>
      <c r="E4062" s="40"/>
      <c r="F4062" s="14"/>
      <c r="G4062" s="17"/>
      <c r="H4062" s="10" t="s">
        <v>8563</v>
      </c>
      <c r="I4062" s="4" t="str">
        <f t="shared" si="442"/>
        <v>|Vahháb-i-urásání|</v>
      </c>
      <c r="J4062" s="3" t="str">
        <f t="shared" si="443"/>
        <v>|Vahhab-i-Khurasani|</v>
      </c>
      <c r="K4062" s="3" t="str">
        <f t="shared" si="444"/>
        <v>Vahhab-i-Khurasani</v>
      </c>
      <c r="M4062" s="5"/>
      <c r="N4062" s="39" t="str">
        <f t="shared" si="445"/>
        <v/>
      </c>
      <c r="O4062" s="5"/>
      <c r="P4062" s="39" t="str">
        <f t="shared" si="446"/>
        <v/>
      </c>
      <c r="Q4062" s="5"/>
      <c r="R4062" s="39" t="str">
        <f t="shared" si="447"/>
        <v/>
      </c>
    </row>
    <row r="4063" spans="1:18">
      <c r="A4063" s="179" t="s">
        <v>4706</v>
      </c>
      <c r="B4063" s="185" t="s">
        <v>8415</v>
      </c>
      <c r="C4063" s="35" t="str">
        <f t="shared" si="441"/>
        <v>Vahid</v>
      </c>
      <c r="D4063" s="5"/>
      <c r="E4063" s="40"/>
      <c r="F4063" s="14" t="s">
        <v>4707</v>
      </c>
      <c r="G4063" s="17"/>
      <c r="H4063" s="10" t="s">
        <v>8563</v>
      </c>
      <c r="I4063" s="4" t="str">
        <f t="shared" si="442"/>
        <v>|Vaḥíd|</v>
      </c>
      <c r="J4063" s="3" t="str">
        <f t="shared" si="443"/>
        <v>|Vahid|</v>
      </c>
      <c r="K4063" s="3" t="str">
        <f t="shared" si="444"/>
        <v>Vahid</v>
      </c>
      <c r="M4063" s="5"/>
      <c r="N4063" s="39" t="str">
        <f t="shared" si="445"/>
        <v/>
      </c>
      <c r="O4063" s="5"/>
      <c r="P4063" s="39" t="str">
        <f t="shared" si="446"/>
        <v/>
      </c>
      <c r="Q4063" s="5"/>
      <c r="R4063" s="39" t="str">
        <f t="shared" si="447"/>
        <v/>
      </c>
    </row>
    <row r="4064" spans="1:18">
      <c r="A4064" s="179" t="s">
        <v>4708</v>
      </c>
      <c r="B4064" s="185" t="s">
        <v>8416</v>
      </c>
      <c r="C4064" s="35" t="str">
        <f t="shared" si="441"/>
        <v>Vahid</v>
      </c>
      <c r="D4064" s="5"/>
      <c r="E4064" s="40"/>
      <c r="F4064" s="14" t="s">
        <v>4709</v>
      </c>
      <c r="G4064" s="17"/>
      <c r="H4064" s="10" t="s">
        <v>8563</v>
      </c>
      <c r="I4064" s="4" t="str">
        <f t="shared" si="442"/>
        <v>|Váḥid|</v>
      </c>
      <c r="J4064" s="3" t="str">
        <f t="shared" si="443"/>
        <v>|Vahid|</v>
      </c>
      <c r="K4064" s="3" t="str">
        <f t="shared" si="444"/>
        <v>Vahid</v>
      </c>
      <c r="M4064" s="5"/>
      <c r="N4064" s="39" t="str">
        <f t="shared" si="445"/>
        <v/>
      </c>
      <c r="O4064" s="5"/>
      <c r="P4064" s="39" t="str">
        <f t="shared" si="446"/>
        <v/>
      </c>
      <c r="Q4064" s="5"/>
      <c r="R4064" s="39" t="str">
        <f t="shared" si="447"/>
        <v/>
      </c>
    </row>
    <row r="4065" spans="1:18">
      <c r="A4065" s="179" t="s">
        <v>4710</v>
      </c>
      <c r="B4065" s="185" t="s">
        <v>8417</v>
      </c>
      <c r="C4065" s="35" t="str">
        <f t="shared" si="441"/>
        <v>Vahy</v>
      </c>
      <c r="D4065" s="5"/>
      <c r="E4065" s="40"/>
      <c r="F4065" s="15" t="s">
        <v>4711</v>
      </c>
      <c r="G4065" s="17"/>
      <c r="H4065" s="10" t="s">
        <v>8563</v>
      </c>
      <c r="I4065" s="4" t="str">
        <f t="shared" si="442"/>
        <v>|Vaḥy|</v>
      </c>
      <c r="J4065" s="3" t="str">
        <f t="shared" si="443"/>
        <v>|Vahy|</v>
      </c>
      <c r="K4065" s="3" t="str">
        <f t="shared" si="444"/>
        <v>Vahy</v>
      </c>
      <c r="M4065" s="5"/>
      <c r="N4065" s="39" t="str">
        <f t="shared" si="445"/>
        <v/>
      </c>
      <c r="O4065" s="5"/>
      <c r="P4065" s="39" t="str">
        <f t="shared" si="446"/>
        <v/>
      </c>
      <c r="Q4065" s="5"/>
      <c r="R4065" s="39" t="str">
        <f t="shared" si="447"/>
        <v/>
      </c>
    </row>
    <row r="4066" spans="1:18">
      <c r="A4066" s="179" t="s">
        <v>4712</v>
      </c>
      <c r="B4066" s="185" t="s">
        <v>8418</v>
      </c>
      <c r="C4066" s="35" t="str">
        <f t="shared" si="441"/>
        <v>Vakil</v>
      </c>
      <c r="D4066" s="5"/>
      <c r="E4066" s="40"/>
      <c r="F4066" s="14"/>
      <c r="G4066" s="17"/>
      <c r="H4066" s="10" t="s">
        <v>8563</v>
      </c>
      <c r="I4066" s="4" t="str">
        <f t="shared" si="442"/>
        <v>|Vakíl|</v>
      </c>
      <c r="J4066" s="3" t="str">
        <f t="shared" si="443"/>
        <v>|Vakil|</v>
      </c>
      <c r="K4066" s="3" t="str">
        <f t="shared" si="444"/>
        <v>Vakil</v>
      </c>
      <c r="M4066" s="5"/>
      <c r="N4066" s="39" t="str">
        <f t="shared" si="445"/>
        <v/>
      </c>
      <c r="O4066" s="5"/>
      <c r="P4066" s="39" t="str">
        <f t="shared" si="446"/>
        <v/>
      </c>
      <c r="Q4066" s="5"/>
      <c r="R4066" s="39" t="str">
        <f t="shared" si="447"/>
        <v/>
      </c>
    </row>
    <row r="4067" spans="1:18">
      <c r="A4067" s="179" t="s">
        <v>4713</v>
      </c>
      <c r="B4067" s="185" t="s">
        <v>8419</v>
      </c>
      <c r="C4067" s="35" t="str">
        <f t="shared" si="441"/>
        <v>VakiludDawlih</v>
      </c>
      <c r="D4067" s="5"/>
      <c r="E4067" s="40"/>
      <c r="F4067" s="14"/>
      <c r="G4067" s="17"/>
      <c r="H4067" s="10" t="s">
        <v>8563</v>
      </c>
      <c r="I4067" s="4" t="str">
        <f t="shared" si="442"/>
        <v>|Vakílu’d-Dawlih|</v>
      </c>
      <c r="J4067" s="3" t="str">
        <f t="shared" si="443"/>
        <v>|Vakilu'd-Dawlih|</v>
      </c>
      <c r="K4067" s="3" t="str">
        <f t="shared" si="444"/>
        <v>Vakilud-Dawlih</v>
      </c>
      <c r="M4067" s="5"/>
      <c r="N4067" s="39" t="str">
        <f t="shared" si="445"/>
        <v/>
      </c>
      <c r="O4067" s="5"/>
      <c r="P4067" s="39" t="str">
        <f t="shared" si="446"/>
        <v/>
      </c>
      <c r="Q4067" s="5"/>
      <c r="R4067" s="39" t="str">
        <f t="shared" si="447"/>
        <v/>
      </c>
    </row>
    <row r="4068" spans="1:18">
      <c r="A4068" s="179" t="s">
        <v>4714</v>
      </c>
      <c r="B4068" s="185" t="s">
        <v>8420</v>
      </c>
      <c r="C4068" s="35" t="str">
        <f t="shared" si="441"/>
        <v>Vali</v>
      </c>
      <c r="D4068" s="5"/>
      <c r="E4068" s="40" t="s">
        <v>9115</v>
      </c>
      <c r="F4068" s="14" t="s">
        <v>4715</v>
      </c>
      <c r="G4068" s="17" t="s">
        <v>9508</v>
      </c>
      <c r="H4068" s="10" t="s">
        <v>8563</v>
      </c>
      <c r="I4068" s="4" t="str">
        <f t="shared" si="442"/>
        <v>|Valí|</v>
      </c>
      <c r="J4068" s="3" t="str">
        <f t="shared" si="443"/>
        <v>|Vali|</v>
      </c>
      <c r="K4068" s="3" t="str">
        <f t="shared" si="444"/>
        <v>Vali</v>
      </c>
      <c r="M4068" s="5"/>
      <c r="N4068" s="39" t="str">
        <f t="shared" si="445"/>
        <v/>
      </c>
      <c r="O4068" s="5"/>
      <c r="P4068" s="39" t="str">
        <f t="shared" si="446"/>
        <v/>
      </c>
      <c r="Q4068" s="5"/>
      <c r="R4068" s="39" t="str">
        <f t="shared" si="447"/>
        <v/>
      </c>
    </row>
    <row r="4069" spans="1:18">
      <c r="A4069" s="179" t="s">
        <v>4716</v>
      </c>
      <c r="B4069" s="185" t="s">
        <v>8421</v>
      </c>
      <c r="C4069" s="35" t="str">
        <f t="shared" si="441"/>
        <v>Vali</v>
      </c>
      <c r="D4069" s="5"/>
      <c r="E4069" s="40" t="s">
        <v>9115</v>
      </c>
      <c r="F4069" s="15" t="s">
        <v>4717</v>
      </c>
      <c r="G4069" s="17" t="s">
        <v>9508</v>
      </c>
      <c r="H4069" s="10" t="s">
        <v>8563</v>
      </c>
      <c r="I4069" s="4" t="str">
        <f t="shared" si="442"/>
        <v>|Válí|</v>
      </c>
      <c r="J4069" s="3" t="str">
        <f t="shared" si="443"/>
        <v>|Vali|</v>
      </c>
      <c r="K4069" s="3" t="str">
        <f t="shared" si="444"/>
        <v>Vali</v>
      </c>
      <c r="M4069" s="5"/>
      <c r="N4069" s="39" t="str">
        <f t="shared" si="445"/>
        <v/>
      </c>
      <c r="O4069" s="5"/>
      <c r="P4069" s="39" t="str">
        <f t="shared" si="446"/>
        <v/>
      </c>
      <c r="Q4069" s="5"/>
      <c r="R4069" s="39" t="str">
        <f t="shared" si="447"/>
        <v/>
      </c>
    </row>
    <row r="4070" spans="1:18">
      <c r="A4070" s="179" t="s">
        <v>4718</v>
      </c>
      <c r="B4070" s="185" t="s">
        <v>8422</v>
      </c>
      <c r="C4070" s="35" t="str">
        <f t="shared" si="441"/>
        <v>ValiAhd</v>
      </c>
      <c r="D4070" s="5"/>
      <c r="E4070" s="40"/>
      <c r="F4070" s="14" t="s">
        <v>4719</v>
      </c>
      <c r="G4070" s="17"/>
      <c r="H4070" s="10" t="s">
        <v>8563</v>
      </c>
      <c r="I4070" s="4" t="str">
        <f t="shared" si="442"/>
        <v>|Valí-ʿAhd|</v>
      </c>
      <c r="J4070" s="3" t="str">
        <f t="shared" si="443"/>
        <v>|Vali-'Ahd|</v>
      </c>
      <c r="K4070" s="3" t="str">
        <f t="shared" si="444"/>
        <v>Vali-Ahd</v>
      </c>
      <c r="M4070" s="5"/>
      <c r="N4070" s="39" t="str">
        <f t="shared" si="445"/>
        <v/>
      </c>
      <c r="O4070" s="5"/>
      <c r="P4070" s="39" t="str">
        <f t="shared" si="446"/>
        <v/>
      </c>
      <c r="Q4070" s="5"/>
      <c r="R4070" s="39" t="str">
        <f t="shared" si="447"/>
        <v/>
      </c>
    </row>
    <row r="4071" spans="1:18">
      <c r="A4071" s="179" t="s">
        <v>4720</v>
      </c>
      <c r="B4071" s="185" t="s">
        <v>8423</v>
      </c>
      <c r="C4071" s="35" t="str">
        <f t="shared" si="441"/>
        <v>ValiAmrullah</v>
      </c>
      <c r="D4071" s="5"/>
      <c r="E4071" s="40"/>
      <c r="F4071" s="15"/>
      <c r="G4071" s="17"/>
      <c r="H4071" s="10" t="s">
        <v>8563</v>
      </c>
      <c r="I4071" s="4" t="str">
        <f t="shared" si="442"/>
        <v>|Valí-Amru’lláh|</v>
      </c>
      <c r="J4071" s="3" t="str">
        <f t="shared" si="443"/>
        <v>|Vali-Amru'llah|</v>
      </c>
      <c r="K4071" s="3" t="str">
        <f t="shared" si="444"/>
        <v>Vali-Amrullah</v>
      </c>
      <c r="M4071" s="5"/>
      <c r="N4071" s="39" t="str">
        <f t="shared" si="445"/>
        <v/>
      </c>
      <c r="O4071" s="5"/>
      <c r="P4071" s="39" t="str">
        <f t="shared" si="446"/>
        <v/>
      </c>
      <c r="Q4071" s="5"/>
      <c r="R4071" s="39" t="str">
        <f t="shared" si="447"/>
        <v/>
      </c>
    </row>
    <row r="4072" spans="1:18">
      <c r="A4072" s="179" t="s">
        <v>4721</v>
      </c>
      <c r="B4072" s="185" t="s">
        <v>8424</v>
      </c>
      <c r="C4072" s="35" t="str">
        <f t="shared" si="441"/>
        <v>ValiAttar</v>
      </c>
      <c r="D4072" s="5"/>
      <c r="E4072" s="40"/>
      <c r="F4072" s="15"/>
      <c r="G4072" s="17"/>
      <c r="H4072" s="10" t="s">
        <v>8563</v>
      </c>
      <c r="I4072" s="4" t="str">
        <f t="shared" si="442"/>
        <v>|Valí-ʿAṭṭar|</v>
      </c>
      <c r="J4072" s="3" t="str">
        <f t="shared" si="443"/>
        <v>|Vali-'Attar|</v>
      </c>
      <c r="K4072" s="3" t="str">
        <f t="shared" si="444"/>
        <v>Vali-Attar</v>
      </c>
      <c r="M4072" s="5"/>
      <c r="N4072" s="39" t="str">
        <f t="shared" si="445"/>
        <v/>
      </c>
      <c r="O4072" s="5"/>
      <c r="P4072" s="39" t="str">
        <f t="shared" si="446"/>
        <v/>
      </c>
      <c r="Q4072" s="5"/>
      <c r="R4072" s="39" t="str">
        <f t="shared" si="447"/>
        <v/>
      </c>
    </row>
    <row r="4073" spans="1:18">
      <c r="A4073" s="179" t="s">
        <v>4722</v>
      </c>
      <c r="B4073" s="185" t="s">
        <v>141</v>
      </c>
      <c r="C4073" s="35" t="str">
        <f t="shared" si="441"/>
        <v>Valid</v>
      </c>
      <c r="D4073" s="5"/>
      <c r="E4073" s="40"/>
      <c r="F4073" s="14"/>
      <c r="G4073" s="17"/>
      <c r="H4073" s="10" t="s">
        <v>8563</v>
      </c>
      <c r="I4073" s="4" t="str">
        <f t="shared" si="442"/>
        <v>|Valíd|</v>
      </c>
      <c r="J4073" s="3" t="str">
        <f t="shared" si="443"/>
        <v>|Valid|</v>
      </c>
      <c r="K4073" s="3" t="str">
        <f t="shared" si="444"/>
        <v>Valid</v>
      </c>
      <c r="M4073" s="5"/>
      <c r="N4073" s="39" t="str">
        <f t="shared" si="445"/>
        <v/>
      </c>
      <c r="O4073" s="5"/>
      <c r="P4073" s="39" t="str">
        <f t="shared" si="446"/>
        <v/>
      </c>
      <c r="Q4073" s="5"/>
      <c r="R4073" s="39" t="str">
        <f t="shared" si="447"/>
        <v/>
      </c>
    </row>
    <row r="4074" spans="1:18">
      <c r="A4074" s="179" t="s">
        <v>4723</v>
      </c>
      <c r="B4074" s="185" t="s">
        <v>8425</v>
      </c>
      <c r="C4074" s="35" t="str">
        <f t="shared" si="441"/>
        <v>ValiMuhammad</v>
      </c>
      <c r="D4074" s="5"/>
      <c r="E4074" s="40"/>
      <c r="F4074" s="14"/>
      <c r="G4074" s="17"/>
      <c r="H4074" s="10" t="s">
        <v>8563</v>
      </c>
      <c r="I4074" s="4" t="str">
        <f t="shared" si="442"/>
        <v>|Valí-Muḥammad|</v>
      </c>
      <c r="J4074" s="3" t="str">
        <f t="shared" si="443"/>
        <v>|Vali-Muhammad|</v>
      </c>
      <c r="K4074" s="3" t="str">
        <f t="shared" si="444"/>
        <v>Vali-Muhammad</v>
      </c>
      <c r="M4074" s="5"/>
      <c r="N4074" s="39" t="str">
        <f t="shared" si="445"/>
        <v/>
      </c>
      <c r="O4074" s="5"/>
      <c r="P4074" s="39" t="str">
        <f t="shared" si="446"/>
        <v/>
      </c>
      <c r="Q4074" s="5"/>
      <c r="R4074" s="39" t="str">
        <f t="shared" si="447"/>
        <v/>
      </c>
    </row>
    <row r="4075" spans="1:18">
      <c r="A4075" s="179" t="s">
        <v>4724</v>
      </c>
      <c r="B4075" s="185" t="s">
        <v>8426</v>
      </c>
      <c r="C4075" s="35" t="str">
        <f t="shared" si="441"/>
        <v>ValiyiAmrullah</v>
      </c>
      <c r="D4075" s="5"/>
      <c r="E4075" s="40"/>
      <c r="F4075" s="15" t="s">
        <v>4725</v>
      </c>
      <c r="G4075" s="17"/>
      <c r="H4075" s="10" t="s">
        <v>8563</v>
      </c>
      <c r="I4075" s="4" t="str">
        <f t="shared" si="442"/>
        <v>|Valíy-i-Amru’lláh|</v>
      </c>
      <c r="J4075" s="3" t="str">
        <f t="shared" si="443"/>
        <v>|Valiy-i-Amru'llah|</v>
      </c>
      <c r="K4075" s="3" t="str">
        <f t="shared" si="444"/>
        <v>Valiy-i-Amrullah</v>
      </c>
      <c r="M4075" s="5"/>
      <c r="N4075" s="39" t="str">
        <f t="shared" si="445"/>
        <v/>
      </c>
      <c r="O4075" s="5"/>
      <c r="P4075" s="39" t="str">
        <f t="shared" si="446"/>
        <v/>
      </c>
      <c r="Q4075" s="5"/>
      <c r="R4075" s="39" t="str">
        <f t="shared" si="447"/>
        <v/>
      </c>
    </row>
    <row r="4076" spans="1:18">
      <c r="A4076" s="179" t="s">
        <v>4726</v>
      </c>
      <c r="B4076" s="185" t="s">
        <v>8427</v>
      </c>
      <c r="C4076" s="35" t="str">
        <f t="shared" si="441"/>
        <v>Valiyullah</v>
      </c>
      <c r="D4076" s="5"/>
      <c r="E4076" s="40"/>
      <c r="F4076" s="14"/>
      <c r="G4076" s="17"/>
      <c r="H4076" s="10" t="s">
        <v>8563</v>
      </c>
      <c r="I4076" s="4" t="str">
        <f t="shared" si="442"/>
        <v>|Valíyu’lláh|</v>
      </c>
      <c r="J4076" s="3" t="str">
        <f t="shared" si="443"/>
        <v>|Valiyu'llah|</v>
      </c>
      <c r="K4076" s="3" t="str">
        <f t="shared" si="444"/>
        <v>Valiyullah</v>
      </c>
      <c r="M4076" s="5"/>
      <c r="N4076" s="39" t="str">
        <f t="shared" si="445"/>
        <v/>
      </c>
      <c r="O4076" s="5"/>
      <c r="P4076" s="39" t="str">
        <f t="shared" si="446"/>
        <v/>
      </c>
      <c r="Q4076" s="5"/>
      <c r="R4076" s="39" t="str">
        <f t="shared" si="447"/>
        <v/>
      </c>
    </row>
    <row r="4077" spans="1:18">
      <c r="A4077" s="179" t="s">
        <v>4727</v>
      </c>
      <c r="B4077" s="185" t="s">
        <v>8428</v>
      </c>
      <c r="C4077" s="35" t="str">
        <f t="shared" si="441"/>
        <v>Valiyyih</v>
      </c>
      <c r="D4077" s="5"/>
      <c r="E4077" s="40"/>
      <c r="F4077" s="15"/>
      <c r="G4077" s="17"/>
      <c r="H4077" s="10" t="s">
        <v>8563</v>
      </c>
      <c r="I4077" s="4" t="str">
        <f t="shared" si="442"/>
        <v>|Válíyyih|</v>
      </c>
      <c r="J4077" s="3" t="str">
        <f t="shared" si="443"/>
        <v>|Valiyyih|</v>
      </c>
      <c r="K4077" s="3" t="str">
        <f t="shared" si="444"/>
        <v>Valiyyih</v>
      </c>
      <c r="M4077" s="5"/>
      <c r="N4077" s="39" t="str">
        <f t="shared" si="445"/>
        <v/>
      </c>
      <c r="O4077" s="5"/>
      <c r="P4077" s="39" t="str">
        <f t="shared" si="446"/>
        <v/>
      </c>
      <c r="Q4077" s="5"/>
      <c r="R4077" s="39" t="str">
        <f t="shared" si="447"/>
        <v/>
      </c>
    </row>
    <row r="4078" spans="1:18">
      <c r="A4078" s="179" t="s">
        <v>4728</v>
      </c>
      <c r="B4078" s="185" t="s">
        <v>8429</v>
      </c>
      <c r="C4078" s="35" t="str">
        <f t="shared" si="441"/>
        <v>VaqayiiIttifaqiyih</v>
      </c>
      <c r="D4078" s="5"/>
      <c r="E4078" s="40"/>
      <c r="F4078" s="15"/>
      <c r="G4078" s="17"/>
      <c r="H4078" s="10" t="s">
        <v>8563</v>
      </c>
      <c r="I4078" s="4" t="str">
        <f t="shared" si="442"/>
        <v>|Vaqáyi-i-Ittifáqíyih|</v>
      </c>
      <c r="J4078" s="3" t="str">
        <f t="shared" si="443"/>
        <v>|Vaqayi-i-Ittifaqiyih|</v>
      </c>
      <c r="K4078" s="3" t="str">
        <f t="shared" si="444"/>
        <v>Vaqayi-i-Ittifaqiyih</v>
      </c>
      <c r="M4078" s="5"/>
      <c r="N4078" s="39" t="str">
        <f t="shared" si="445"/>
        <v/>
      </c>
      <c r="O4078" s="5"/>
      <c r="P4078" s="39" t="str">
        <f t="shared" si="446"/>
        <v/>
      </c>
      <c r="Q4078" s="5"/>
      <c r="R4078" s="39" t="str">
        <f t="shared" si="447"/>
        <v/>
      </c>
    </row>
    <row r="4079" spans="1:18">
      <c r="A4079" s="179" t="s">
        <v>4729</v>
      </c>
      <c r="B4079" s="185" t="s">
        <v>8430</v>
      </c>
      <c r="C4079" s="35" t="str">
        <f t="shared" si="441"/>
        <v>vara</v>
      </c>
      <c r="D4079" s="5"/>
      <c r="E4079" s="40"/>
      <c r="F4079" s="15" t="s">
        <v>4730</v>
      </c>
      <c r="G4079" s="17"/>
      <c r="H4079" s="10" t="s">
        <v>8563</v>
      </c>
      <c r="I4079" s="4" t="str">
        <f t="shared" si="442"/>
        <v>|varaʿ|</v>
      </c>
      <c r="J4079" s="3" t="str">
        <f t="shared" si="443"/>
        <v>|vara'|</v>
      </c>
      <c r="K4079" s="3" t="str">
        <f t="shared" si="444"/>
        <v>vara</v>
      </c>
      <c r="M4079" s="5"/>
      <c r="N4079" s="39" t="str">
        <f t="shared" si="445"/>
        <v/>
      </c>
      <c r="O4079" s="5"/>
      <c r="P4079" s="39" t="str">
        <f t="shared" si="446"/>
        <v/>
      </c>
      <c r="Q4079" s="5"/>
      <c r="R4079" s="39" t="str">
        <f t="shared" si="447"/>
        <v/>
      </c>
    </row>
    <row r="4080" spans="1:18">
      <c r="B4080" s="185" t="s">
        <v>117</v>
      </c>
      <c r="C4080" s="35" t="str">
        <f t="shared" si="441"/>
        <v>VaraqatIbnNawfal</v>
      </c>
      <c r="E4080" s="40"/>
      <c r="I4080" s="4" t="str">
        <f t="shared" si="442"/>
        <v>|Varaqat-Ibn-Nawfal|</v>
      </c>
      <c r="J4080" s="3" t="str">
        <f t="shared" si="443"/>
        <v>|Varaqat-Ibn-Nawfal|</v>
      </c>
      <c r="K4080" s="3" t="str">
        <f t="shared" si="444"/>
        <v>Varaqat-Ibn-Nawfal</v>
      </c>
      <c r="N4080" s="39" t="str">
        <f t="shared" si="445"/>
        <v/>
      </c>
      <c r="P4080" s="39" t="str">
        <f t="shared" si="446"/>
        <v/>
      </c>
      <c r="R4080" s="39" t="str">
        <f t="shared" si="447"/>
        <v/>
      </c>
    </row>
    <row r="4081" spans="1:19">
      <c r="A4081" s="179" t="s">
        <v>4731</v>
      </c>
      <c r="B4081" s="185" t="s">
        <v>8431</v>
      </c>
      <c r="C4081" s="35" t="str">
        <f t="shared" si="441"/>
        <v>VaraqatulFirdaws</v>
      </c>
      <c r="D4081" s="5"/>
      <c r="E4081" s="40"/>
      <c r="F4081" s="14"/>
      <c r="G4081" s="17"/>
      <c r="H4081" s="10" t="s">
        <v>8563</v>
      </c>
      <c r="I4081" s="4" t="str">
        <f t="shared" si="442"/>
        <v>|Varaqatu’l-Firdaws|</v>
      </c>
      <c r="J4081" s="3" t="str">
        <f t="shared" si="443"/>
        <v>|Varaqatu'l-Firdaws|</v>
      </c>
      <c r="K4081" s="3" t="str">
        <f t="shared" si="444"/>
        <v>Varaqatul-Firdaws</v>
      </c>
      <c r="M4081" s="5"/>
      <c r="N4081" s="39" t="str">
        <f t="shared" si="445"/>
        <v/>
      </c>
      <c r="O4081" s="5"/>
      <c r="P4081" s="39" t="str">
        <f t="shared" si="446"/>
        <v/>
      </c>
      <c r="Q4081" s="5"/>
      <c r="R4081" s="39" t="str">
        <f t="shared" si="447"/>
        <v/>
      </c>
    </row>
    <row r="4082" spans="1:19">
      <c r="A4082" s="179" t="s">
        <v>4732</v>
      </c>
      <c r="B4082" s="185" t="s">
        <v>8432</v>
      </c>
      <c r="C4082" s="35" t="str">
        <f t="shared" si="441"/>
        <v>VaraqatulUlya</v>
      </c>
      <c r="D4082" s="5"/>
      <c r="E4082" s="40"/>
      <c r="F4082" s="15" t="s">
        <v>4733</v>
      </c>
      <c r="G4082" s="17"/>
      <c r="H4082" s="10" t="s">
        <v>8563</v>
      </c>
      <c r="I4082" s="4" t="str">
        <f t="shared" si="442"/>
        <v>|Varaqatu’l-ʿUlyá|</v>
      </c>
      <c r="J4082" s="3" t="str">
        <f t="shared" si="443"/>
        <v>|Varaqatu'l-'Ulya|</v>
      </c>
      <c r="K4082" s="3" t="str">
        <f t="shared" si="444"/>
        <v>Varaqatul-Ulya</v>
      </c>
      <c r="M4082" s="5"/>
      <c r="N4082" s="39" t="str">
        <f t="shared" si="445"/>
        <v/>
      </c>
      <c r="O4082" s="5"/>
      <c r="P4082" s="39" t="str">
        <f t="shared" si="446"/>
        <v/>
      </c>
      <c r="Q4082" s="5"/>
      <c r="R4082" s="39" t="str">
        <f t="shared" si="447"/>
        <v/>
      </c>
    </row>
    <row r="4083" spans="1:19">
      <c r="A4083" s="179" t="s">
        <v>4734</v>
      </c>
      <c r="B4083" s="185" t="s">
        <v>8433</v>
      </c>
      <c r="C4083" s="35" t="str">
        <f t="shared" si="441"/>
        <v>VaraqaturRidvan</v>
      </c>
      <c r="D4083" s="5"/>
      <c r="E4083" s="40"/>
      <c r="F4083" s="15"/>
      <c r="G4083" s="17"/>
      <c r="H4083" s="10" t="s">
        <v>8563</v>
      </c>
      <c r="I4083" s="4" t="str">
        <f t="shared" si="442"/>
        <v>|Varáqatu’r-Riḍván|</v>
      </c>
      <c r="J4083" s="3" t="str">
        <f t="shared" si="443"/>
        <v>|Varaqatu'r-Ridvan|</v>
      </c>
      <c r="K4083" s="3" t="str">
        <f t="shared" si="444"/>
        <v>Varaqatur-Ridvan</v>
      </c>
      <c r="M4083" s="5"/>
      <c r="N4083" s="39" t="str">
        <f t="shared" si="445"/>
        <v/>
      </c>
      <c r="O4083" s="5"/>
      <c r="P4083" s="39" t="str">
        <f t="shared" si="446"/>
        <v/>
      </c>
      <c r="Q4083" s="5"/>
      <c r="R4083" s="39" t="str">
        <f t="shared" si="447"/>
        <v/>
      </c>
    </row>
    <row r="4084" spans="1:19">
      <c r="A4084" s="179" t="s">
        <v>4735</v>
      </c>
      <c r="B4084" s="185" t="s">
        <v>8434</v>
      </c>
      <c r="C4084" s="35" t="str">
        <f t="shared" si="441"/>
        <v>VaraqiyiUlya</v>
      </c>
      <c r="D4084" s="5"/>
      <c r="E4084" s="40"/>
      <c r="F4084" s="14" t="s">
        <v>4736</v>
      </c>
      <c r="G4084" s="17"/>
      <c r="H4084" s="10" t="s">
        <v>8563</v>
      </c>
      <c r="I4084" s="4" t="str">
        <f t="shared" si="442"/>
        <v>|Varaqiy-i-ʿUlyá|</v>
      </c>
      <c r="J4084" s="3" t="str">
        <f t="shared" si="443"/>
        <v>|Varaqiy-i-'Ulya|</v>
      </c>
      <c r="K4084" s="3" t="str">
        <f t="shared" si="444"/>
        <v>Varaqiy-i-Ulya</v>
      </c>
      <c r="M4084" s="5"/>
      <c r="N4084" s="39" t="str">
        <f t="shared" si="445"/>
        <v/>
      </c>
      <c r="O4084" s="5"/>
      <c r="P4084" s="39" t="str">
        <f t="shared" si="446"/>
        <v/>
      </c>
      <c r="Q4084" s="5"/>
      <c r="R4084" s="39" t="str">
        <f t="shared" si="447"/>
        <v/>
      </c>
    </row>
    <row r="4085" spans="1:19">
      <c r="A4085" s="179" t="s">
        <v>4737</v>
      </c>
      <c r="B4085" s="185" t="s">
        <v>8435</v>
      </c>
      <c r="C4085" s="35" t="str">
        <f t="shared" si="441"/>
        <v>Varjavandi</v>
      </c>
      <c r="D4085" s="5"/>
      <c r="E4085" s="40"/>
      <c r="F4085" s="15"/>
      <c r="G4085" s="17"/>
      <c r="H4085" s="10" t="s">
        <v>8563</v>
      </c>
      <c r="I4085" s="4" t="str">
        <f t="shared" si="442"/>
        <v>|Varjávandí|</v>
      </c>
      <c r="J4085" s="3" t="str">
        <f t="shared" si="443"/>
        <v>|Varjavandi|</v>
      </c>
      <c r="K4085" s="3" t="str">
        <f t="shared" si="444"/>
        <v>Varjavandi</v>
      </c>
      <c r="M4085" s="5"/>
      <c r="N4085" s="39" t="str">
        <f t="shared" si="445"/>
        <v/>
      </c>
      <c r="O4085" s="5"/>
      <c r="P4085" s="39" t="str">
        <f t="shared" si="446"/>
        <v/>
      </c>
      <c r="Q4085" s="5"/>
      <c r="R4085" s="39" t="str">
        <f t="shared" si="447"/>
        <v/>
      </c>
    </row>
    <row r="4086" spans="1:19">
      <c r="A4086" s="179" t="s">
        <v>4738</v>
      </c>
      <c r="B4086" s="185" t="s">
        <v>8436</v>
      </c>
      <c r="C4086" s="35" t="str">
        <f t="shared" si="441"/>
        <v>Varqa</v>
      </c>
      <c r="D4086" s="5"/>
      <c r="E4086" s="40"/>
      <c r="F4086" s="14" t="s">
        <v>4739</v>
      </c>
      <c r="G4086" s="17"/>
      <c r="H4086" s="10" t="s">
        <v>8563</v>
      </c>
      <c r="I4086" s="4" t="str">
        <f t="shared" si="442"/>
        <v>|Varqá|</v>
      </c>
      <c r="J4086" s="3" t="str">
        <f t="shared" si="443"/>
        <v>|Varqa|</v>
      </c>
      <c r="K4086" s="3" t="str">
        <f t="shared" si="444"/>
        <v>Varqa</v>
      </c>
      <c r="M4086" s="5"/>
      <c r="N4086" s="39" t="str">
        <f t="shared" si="445"/>
        <v/>
      </c>
      <c r="O4086" s="5"/>
      <c r="P4086" s="39" t="str">
        <f t="shared" si="446"/>
        <v/>
      </c>
      <c r="Q4086" s="5"/>
      <c r="R4086" s="39" t="str">
        <f t="shared" si="447"/>
        <v/>
      </c>
    </row>
    <row r="4087" spans="1:19">
      <c r="A4087" s="179" t="s">
        <v>4740</v>
      </c>
      <c r="B4087" s="185" t="s">
        <v>8437</v>
      </c>
      <c r="C4087" s="35" t="str">
        <f t="shared" si="441"/>
        <v>Varqaiyyih</v>
      </c>
      <c r="D4087" s="5"/>
      <c r="E4087" s="40"/>
      <c r="F4087" s="15" t="s">
        <v>4741</v>
      </c>
      <c r="G4087" s="17"/>
      <c r="H4087" s="10" t="s">
        <v>8563</v>
      </c>
      <c r="I4087" s="4" t="str">
        <f t="shared" si="442"/>
        <v>|Varqá’íyyih|</v>
      </c>
      <c r="J4087" s="3" t="str">
        <f t="shared" si="443"/>
        <v>|Varqa'iyyih|</v>
      </c>
      <c r="K4087" s="3" t="str">
        <f t="shared" si="444"/>
        <v>Varqaiyyih</v>
      </c>
      <c r="M4087" s="5"/>
      <c r="N4087" s="39" t="str">
        <f t="shared" si="445"/>
        <v/>
      </c>
      <c r="O4087" s="5"/>
      <c r="P4087" s="39" t="str">
        <f t="shared" si="446"/>
        <v/>
      </c>
      <c r="Q4087" s="5"/>
      <c r="R4087" s="39" t="str">
        <f t="shared" si="447"/>
        <v/>
      </c>
    </row>
    <row r="4088" spans="1:19">
      <c r="A4088" s="179" t="s">
        <v>4743</v>
      </c>
      <c r="B4088" s="185" t="s">
        <v>8439</v>
      </c>
      <c r="C4088" s="35" t="str">
        <f t="shared" si="441"/>
        <v>Vasi</v>
      </c>
      <c r="D4088" s="5"/>
      <c r="E4088" s="40" t="s">
        <v>9115</v>
      </c>
      <c r="F4088" s="15" t="s">
        <v>4744</v>
      </c>
      <c r="G4088" s="17"/>
      <c r="H4088" s="10" t="s">
        <v>8563</v>
      </c>
      <c r="I4088" s="4" t="str">
        <f t="shared" si="442"/>
        <v>|Vasíʿ|</v>
      </c>
      <c r="J4088" s="3" t="str">
        <f t="shared" si="443"/>
        <v>|Vasi'|</v>
      </c>
      <c r="K4088" s="3" t="str">
        <f t="shared" si="444"/>
        <v>Vasi</v>
      </c>
      <c r="M4088" s="5"/>
      <c r="N4088" s="39" t="str">
        <f t="shared" si="445"/>
        <v/>
      </c>
      <c r="O4088" s="5"/>
      <c r="P4088" s="39" t="str">
        <f t="shared" si="446"/>
        <v/>
      </c>
      <c r="Q4088" s="5"/>
      <c r="R4088" s="39" t="str">
        <f t="shared" si="447"/>
        <v/>
      </c>
    </row>
    <row r="4089" spans="1:19">
      <c r="A4089" s="179" t="s">
        <v>4742</v>
      </c>
      <c r="B4089" s="185" t="s">
        <v>8438</v>
      </c>
      <c r="C4089" s="35" t="str">
        <f t="shared" si="441"/>
        <v>Vasi</v>
      </c>
      <c r="D4089" s="5"/>
      <c r="E4089" s="40" t="s">
        <v>9115</v>
      </c>
      <c r="F4089" s="15"/>
      <c r="G4089" s="17"/>
      <c r="H4089" s="10" t="s">
        <v>8563</v>
      </c>
      <c r="I4089" s="4" t="str">
        <f t="shared" si="442"/>
        <v>|Vaṣí|</v>
      </c>
      <c r="J4089" s="3" t="str">
        <f t="shared" si="443"/>
        <v>|Vasi|</v>
      </c>
      <c r="K4089" s="3" t="str">
        <f t="shared" si="444"/>
        <v>Vasi</v>
      </c>
      <c r="M4089" s="5"/>
      <c r="N4089" s="39" t="str">
        <f t="shared" si="445"/>
        <v/>
      </c>
      <c r="O4089" s="5"/>
      <c r="P4089" s="39" t="str">
        <f t="shared" si="446"/>
        <v/>
      </c>
      <c r="Q4089" s="5"/>
      <c r="R4089" s="39" t="str">
        <f t="shared" si="447"/>
        <v/>
      </c>
    </row>
    <row r="4090" spans="1:19">
      <c r="A4090" s="179" t="s">
        <v>4745</v>
      </c>
      <c r="B4090" s="185" t="s">
        <v>8440</v>
      </c>
      <c r="C4090" s="35" t="str">
        <f t="shared" si="441"/>
        <v>Vaskas</v>
      </c>
      <c r="D4090" s="5"/>
      <c r="E4090" s="40"/>
      <c r="F4090" s="15"/>
      <c r="G4090" s="17"/>
      <c r="H4090" s="10" t="s">
        <v>8563</v>
      </c>
      <c r="I4090" s="4" t="str">
        <f t="shared" si="442"/>
        <v>|Váskas|</v>
      </c>
      <c r="J4090" s="3" t="str">
        <f t="shared" si="443"/>
        <v>|Vaskas|</v>
      </c>
      <c r="K4090" s="3" t="str">
        <f t="shared" si="444"/>
        <v>Vaskas</v>
      </c>
      <c r="M4090" s="5"/>
      <c r="N4090" s="39" t="str">
        <f t="shared" si="445"/>
        <v/>
      </c>
      <c r="O4090" s="5"/>
      <c r="P4090" s="39" t="str">
        <f t="shared" si="446"/>
        <v/>
      </c>
      <c r="Q4090" s="5"/>
      <c r="R4090" s="39" t="str">
        <f t="shared" si="447"/>
        <v/>
      </c>
    </row>
    <row r="4091" spans="1:19">
      <c r="A4091" s="179" t="s">
        <v>4746</v>
      </c>
      <c r="B4091" s="185" t="s">
        <v>8441</v>
      </c>
      <c r="C4091" s="35" t="str">
        <f t="shared" si="441"/>
        <v>Vav</v>
      </c>
      <c r="D4091" s="5"/>
      <c r="E4091" s="40"/>
      <c r="F4091" s="14"/>
      <c r="G4091" s="17"/>
      <c r="H4091" s="10" t="s">
        <v>8563</v>
      </c>
      <c r="I4091" s="4" t="str">
        <f t="shared" si="442"/>
        <v>|Váv|</v>
      </c>
      <c r="J4091" s="3" t="str">
        <f t="shared" si="443"/>
        <v>|Vav|</v>
      </c>
      <c r="K4091" s="3" t="str">
        <f t="shared" si="444"/>
        <v>Vav</v>
      </c>
      <c r="M4091" s="5"/>
      <c r="N4091" s="39" t="str">
        <f t="shared" si="445"/>
        <v/>
      </c>
      <c r="O4091" s="5"/>
      <c r="P4091" s="39" t="str">
        <f t="shared" si="446"/>
        <v/>
      </c>
      <c r="Q4091" s="5"/>
      <c r="R4091" s="39" t="str">
        <f t="shared" si="447"/>
        <v/>
      </c>
    </row>
    <row r="4092" spans="1:19">
      <c r="A4092" s="179" t="s">
        <v>4747</v>
      </c>
      <c r="B4092" s="185" t="s">
        <v>8442</v>
      </c>
      <c r="C4092" s="35" t="str">
        <f t="shared" si="441"/>
        <v>Vazir</v>
      </c>
      <c r="D4092" s="5"/>
      <c r="E4092" s="40"/>
      <c r="F4092" s="14" t="s">
        <v>4748</v>
      </c>
      <c r="G4092" s="17"/>
      <c r="H4092" s="10" t="s">
        <v>8563</v>
      </c>
      <c r="I4092" s="4" t="str">
        <f t="shared" si="442"/>
        <v>|Vazír|</v>
      </c>
      <c r="J4092" s="3" t="str">
        <f t="shared" si="443"/>
        <v>|Vazir|</v>
      </c>
      <c r="K4092" s="3" t="str">
        <f t="shared" si="444"/>
        <v>Vazir</v>
      </c>
      <c r="M4092" s="5"/>
      <c r="N4092" s="39" t="str">
        <f t="shared" si="445"/>
        <v/>
      </c>
      <c r="O4092" s="5"/>
      <c r="P4092" s="39" t="str">
        <f t="shared" si="446"/>
        <v/>
      </c>
      <c r="Q4092" s="5"/>
      <c r="R4092" s="39" t="str">
        <f t="shared" si="447"/>
        <v/>
      </c>
      <c r="S4092" s="29">
        <v>41760</v>
      </c>
    </row>
    <row r="4093" spans="1:19">
      <c r="B4093" s="185" t="s">
        <v>8782</v>
      </c>
      <c r="C4093" s="35" t="str">
        <f t="shared" si="441"/>
        <v>VazirNizam</v>
      </c>
      <c r="E4093" s="40" t="s">
        <v>9115</v>
      </c>
      <c r="H4093" s="12" t="s">
        <v>8622</v>
      </c>
      <c r="I4093" s="4" t="str">
        <f t="shared" si="442"/>
        <v>|Vazír Niẓám|</v>
      </c>
      <c r="J4093" s="3" t="str">
        <f t="shared" si="443"/>
        <v>|Vazir Nizam|</v>
      </c>
      <c r="K4093" s="3" t="str">
        <f t="shared" si="444"/>
        <v>Vazir Nizam</v>
      </c>
      <c r="M4093" s="5"/>
      <c r="N4093" s="39" t="str">
        <f t="shared" si="445"/>
        <v/>
      </c>
      <c r="O4093" s="5"/>
      <c r="P4093" s="39" t="str">
        <f t="shared" si="446"/>
        <v/>
      </c>
      <c r="Q4093" s="5"/>
      <c r="R4093" s="39" t="str">
        <f t="shared" si="447"/>
        <v/>
      </c>
    </row>
    <row r="4094" spans="1:19">
      <c r="A4094" s="179" t="s">
        <v>4749</v>
      </c>
      <c r="B4094" s="185" t="s">
        <v>8443</v>
      </c>
      <c r="C4094" s="35" t="str">
        <f t="shared" si="441"/>
        <v>VaziriMukarram</v>
      </c>
      <c r="D4094" s="5"/>
      <c r="E4094" s="40"/>
      <c r="F4094" s="15" t="s">
        <v>4750</v>
      </c>
      <c r="G4094" s="17"/>
      <c r="H4094" s="10" t="s">
        <v>8563</v>
      </c>
      <c r="I4094" s="4" t="str">
        <f t="shared" si="442"/>
        <v>|Vazír-i-Mukarram|</v>
      </c>
      <c r="J4094" s="3" t="str">
        <f t="shared" si="443"/>
        <v>|Vazir-i-Mukarram|</v>
      </c>
      <c r="K4094" s="3" t="str">
        <f t="shared" si="444"/>
        <v>Vazir-i-Mukarram</v>
      </c>
      <c r="M4094" s="5"/>
      <c r="N4094" s="39" t="str">
        <f t="shared" si="445"/>
        <v/>
      </c>
      <c r="O4094" s="5"/>
      <c r="P4094" s="39" t="str">
        <f t="shared" si="446"/>
        <v/>
      </c>
      <c r="Q4094" s="5"/>
      <c r="R4094" s="39" t="str">
        <f t="shared" si="447"/>
        <v/>
      </c>
    </row>
    <row r="4095" spans="1:19">
      <c r="A4095" s="179" t="s">
        <v>4751</v>
      </c>
      <c r="B4095" s="185" t="s">
        <v>8444</v>
      </c>
      <c r="C4095" s="35" t="str">
        <f t="shared" si="441"/>
        <v>VaziriYalrudi</v>
      </c>
      <c r="D4095" s="5"/>
      <c r="E4095" s="40"/>
      <c r="F4095" s="15"/>
      <c r="G4095" s="17"/>
      <c r="H4095" s="10" t="s">
        <v>8563</v>
      </c>
      <c r="I4095" s="4" t="str">
        <f t="shared" si="442"/>
        <v>|Vazír-i-Yálrúdí|</v>
      </c>
      <c r="J4095" s="3" t="str">
        <f t="shared" si="443"/>
        <v>|Vazir-i-Yalrudi|</v>
      </c>
      <c r="K4095" s="3" t="str">
        <f t="shared" si="444"/>
        <v>Vazir-i-Yalrudi</v>
      </c>
      <c r="M4095" s="5"/>
      <c r="N4095" s="39" t="str">
        <f t="shared" si="445"/>
        <v/>
      </c>
      <c r="O4095" s="5"/>
      <c r="P4095" s="39" t="str">
        <f t="shared" si="446"/>
        <v/>
      </c>
      <c r="Q4095" s="5"/>
      <c r="R4095" s="39" t="str">
        <f t="shared" si="447"/>
        <v/>
      </c>
    </row>
    <row r="4096" spans="1:19">
      <c r="A4096" s="179" t="s">
        <v>4752</v>
      </c>
      <c r="B4096" s="185" t="s">
        <v>8445</v>
      </c>
      <c r="C4096" s="35" t="str">
        <f t="shared" si="441"/>
        <v>VazirNizam</v>
      </c>
      <c r="D4096" s="5"/>
      <c r="E4096" s="40" t="s">
        <v>9115</v>
      </c>
      <c r="F4096" s="15"/>
      <c r="G4096" s="17"/>
      <c r="H4096" s="10" t="s">
        <v>8563</v>
      </c>
      <c r="I4096" s="4" t="str">
        <f t="shared" si="442"/>
        <v>|Vazír-Niẓám|</v>
      </c>
      <c r="J4096" s="3" t="str">
        <f t="shared" si="443"/>
        <v>|Vazir-Nizam|</v>
      </c>
      <c r="K4096" s="3" t="str">
        <f t="shared" si="444"/>
        <v>Vazir-Nizam</v>
      </c>
      <c r="M4096" s="5"/>
      <c r="N4096" s="39" t="str">
        <f t="shared" si="445"/>
        <v/>
      </c>
      <c r="O4096" s="5"/>
      <c r="P4096" s="39" t="str">
        <f t="shared" si="446"/>
        <v/>
      </c>
      <c r="Q4096" s="5"/>
      <c r="R4096" s="39" t="str">
        <f t="shared" si="447"/>
        <v/>
      </c>
    </row>
    <row r="4097" spans="1:18">
      <c r="A4097" s="179" t="s">
        <v>4753</v>
      </c>
      <c r="B4097" s="185" t="s">
        <v>8446</v>
      </c>
      <c r="C4097" s="35" t="str">
        <f t="shared" si="441"/>
        <v>Vilayat</v>
      </c>
      <c r="D4097" s="5"/>
      <c r="E4097" s="40"/>
      <c r="F4097" s="15" t="s">
        <v>4754</v>
      </c>
      <c r="G4097" s="17"/>
      <c r="H4097" s="10" t="s">
        <v>8563</v>
      </c>
      <c r="I4097" s="4" t="str">
        <f t="shared" si="442"/>
        <v>|Viláyat|</v>
      </c>
      <c r="J4097" s="3" t="str">
        <f t="shared" si="443"/>
        <v>|Vilayat|</v>
      </c>
      <c r="K4097" s="3" t="str">
        <f t="shared" si="444"/>
        <v>Vilayat</v>
      </c>
      <c r="M4097" s="5"/>
      <c r="N4097" s="39" t="str">
        <f t="shared" si="445"/>
        <v/>
      </c>
      <c r="O4097" s="5"/>
      <c r="P4097" s="39" t="str">
        <f t="shared" si="446"/>
        <v/>
      </c>
      <c r="Q4097" s="5"/>
      <c r="R4097" s="39" t="str">
        <f t="shared" si="447"/>
        <v/>
      </c>
    </row>
    <row r="4098" spans="1:18">
      <c r="A4098" s="179" t="s">
        <v>4755</v>
      </c>
      <c r="B4098" s="185" t="s">
        <v>8447</v>
      </c>
      <c r="C4098" s="35" t="str">
        <f t="shared" ref="C4098:C4161" si="448">SUBSTITUTE(SUBSTITUTE(K4098,"-","")," ","")</f>
        <v>VilayatiIshan</v>
      </c>
      <c r="D4098" s="5"/>
      <c r="E4098" s="40"/>
      <c r="F4098" s="15"/>
      <c r="G4098" s="17"/>
      <c r="H4098" s="10" t="s">
        <v>8563</v>
      </c>
      <c r="I4098" s="4" t="str">
        <f t="shared" ref="I4098:I4161" si="449">CONCATENATE("|",B4098,"|")</f>
        <v>|Viláyat-i Ián|</v>
      </c>
      <c r="J4098" s="3" t="str">
        <f t="shared" ref="J4098:J4161" si="450">CONCATENATE("|",F_OutputASCII(B4098),"|")</f>
        <v>|Vilayat-i Ishan|</v>
      </c>
      <c r="K4098" s="3" t="str">
        <f t="shared" ref="K4098:K4161" si="451">IF(SUBSTITUTE(MID(J4098,2,LEN(J4098)-2),"'","")&lt;&gt;"",SUBSTITUTE(MID(J4098,2,LEN(J4098)-2),"'",""),"ZZZZZ")</f>
        <v>Vilayat-i Ishan</v>
      </c>
      <c r="M4098" s="5"/>
      <c r="N4098" s="39" t="str">
        <f t="shared" si="445"/>
        <v/>
      </c>
      <c r="O4098" s="5"/>
      <c r="P4098" s="39" t="str">
        <f t="shared" si="446"/>
        <v/>
      </c>
      <c r="Q4098" s="5"/>
      <c r="R4098" s="39" t="str">
        <f t="shared" si="447"/>
        <v/>
      </c>
    </row>
    <row r="4099" spans="1:18">
      <c r="A4099" s="179" t="s">
        <v>4756</v>
      </c>
      <c r="B4099" s="185" t="s">
        <v>8448</v>
      </c>
      <c r="C4099" s="35" t="str">
        <f t="shared" si="448"/>
        <v>Vina</v>
      </c>
      <c r="D4099" s="5"/>
      <c r="E4099" s="40"/>
      <c r="F4099" s="15"/>
      <c r="G4099" s="17"/>
      <c r="H4099" s="10" t="s">
        <v>8563</v>
      </c>
      <c r="I4099" s="4" t="str">
        <f t="shared" si="449"/>
        <v>|Viná|</v>
      </c>
      <c r="J4099" s="3" t="str">
        <f t="shared" si="450"/>
        <v>|Vina|</v>
      </c>
      <c r="K4099" s="3" t="str">
        <f t="shared" si="451"/>
        <v>Vina</v>
      </c>
      <c r="M4099" s="5"/>
      <c r="N4099" s="39" t="str">
        <f t="shared" ref="N4099:N4162" si="452">SUBSTITUTE(SUBSTITUTE(SUBSTITUTE(F_OutputASCII(M4099),"-","")," ",""),"'","")</f>
        <v/>
      </c>
      <c r="O4099" s="5"/>
      <c r="P4099" s="39" t="str">
        <f t="shared" ref="P4099:P4162" si="453">SUBSTITUTE(SUBSTITUTE(SUBSTITUTE(F_OutputASCII(O4099),"-","")," ",""),"'","")</f>
        <v/>
      </c>
      <c r="Q4099" s="5"/>
      <c r="R4099" s="39" t="str">
        <f t="shared" ref="R4099:R4162" si="454">SUBSTITUTE(SUBSTITUTE(Q4099,"-","")," ","")</f>
        <v/>
      </c>
    </row>
    <row r="4100" spans="1:18">
      <c r="A4100" s="179" t="s">
        <v>4757</v>
      </c>
      <c r="B4100" s="185" t="s">
        <v>8449</v>
      </c>
      <c r="C4100" s="35" t="str">
        <f t="shared" si="448"/>
        <v>Visi</v>
      </c>
      <c r="D4100" s="5"/>
      <c r="E4100" s="40"/>
      <c r="F4100" s="14"/>
      <c r="G4100" s="17"/>
      <c r="H4100" s="10" t="s">
        <v>8563</v>
      </c>
      <c r="I4100" s="4" t="str">
        <f t="shared" si="449"/>
        <v>|Vísí|</v>
      </c>
      <c r="J4100" s="3" t="str">
        <f t="shared" si="450"/>
        <v>|Visi|</v>
      </c>
      <c r="K4100" s="3" t="str">
        <f t="shared" si="451"/>
        <v>Visi</v>
      </c>
      <c r="M4100" s="5"/>
      <c r="N4100" s="39" t="str">
        <f t="shared" si="452"/>
        <v/>
      </c>
      <c r="O4100" s="5"/>
      <c r="P4100" s="39" t="str">
        <f t="shared" si="453"/>
        <v/>
      </c>
      <c r="Q4100" s="5"/>
      <c r="R4100" s="39" t="str">
        <f t="shared" si="454"/>
        <v/>
      </c>
    </row>
    <row r="4101" spans="1:18">
      <c r="A4101" s="179" t="s">
        <v>4758</v>
      </c>
      <c r="B4101" s="185" t="s">
        <v>8450</v>
      </c>
      <c r="C4101" s="35" t="str">
        <f t="shared" si="448"/>
        <v>Vuaz</v>
      </c>
      <c r="D4101" s="5"/>
      <c r="E4101" s="40" t="s">
        <v>9115</v>
      </c>
      <c r="F4101" s="15" t="s">
        <v>4759</v>
      </c>
      <c r="G4101" s="17"/>
      <c r="H4101" s="10" t="s">
        <v>8563</v>
      </c>
      <c r="I4101" s="4" t="str">
        <f t="shared" si="449"/>
        <v>|Vuʿʿáẓ|</v>
      </c>
      <c r="J4101" s="3" t="str">
        <f t="shared" si="450"/>
        <v>|Vu''az|</v>
      </c>
      <c r="K4101" s="3" t="str">
        <f t="shared" si="451"/>
        <v>Vuaz</v>
      </c>
      <c r="M4101" s="5"/>
      <c r="N4101" s="39" t="str">
        <f t="shared" si="452"/>
        <v/>
      </c>
      <c r="O4101" s="5"/>
      <c r="P4101" s="39" t="str">
        <f t="shared" si="453"/>
        <v/>
      </c>
      <c r="Q4101" s="5"/>
      <c r="R4101" s="39" t="str">
        <f t="shared" si="454"/>
        <v/>
      </c>
    </row>
    <row r="4102" spans="1:18">
      <c r="A4102" s="179" t="s">
        <v>4760</v>
      </c>
      <c r="B4102" s="185" t="s">
        <v>8451</v>
      </c>
      <c r="C4102" s="35" t="str">
        <f t="shared" si="448"/>
        <v>Vujdan</v>
      </c>
      <c r="D4102" s="5"/>
      <c r="E4102" s="40"/>
      <c r="F4102" s="15"/>
      <c r="G4102" s="17"/>
      <c r="H4102" s="10" t="s">
        <v>8563</v>
      </c>
      <c r="I4102" s="4" t="str">
        <f t="shared" si="449"/>
        <v>|Vujdán|</v>
      </c>
      <c r="J4102" s="3" t="str">
        <f t="shared" si="450"/>
        <v>|Vujdan|</v>
      </c>
      <c r="K4102" s="3" t="str">
        <f t="shared" si="451"/>
        <v>Vujdan</v>
      </c>
      <c r="M4102" s="5"/>
      <c r="N4102" s="39" t="str">
        <f t="shared" si="452"/>
        <v/>
      </c>
      <c r="O4102" s="5"/>
      <c r="P4102" s="39" t="str">
        <f t="shared" si="453"/>
        <v/>
      </c>
      <c r="Q4102" s="5"/>
      <c r="R4102" s="39" t="str">
        <f t="shared" si="454"/>
        <v/>
      </c>
    </row>
    <row r="4103" spans="1:18">
      <c r="A4103" s="179" t="s">
        <v>4761</v>
      </c>
      <c r="B4103" s="185" t="s">
        <v>8452</v>
      </c>
      <c r="C4103" s="35" t="str">
        <f t="shared" si="448"/>
        <v>Vujdani</v>
      </c>
      <c r="D4103" s="5"/>
      <c r="E4103" s="40"/>
      <c r="F4103" s="15"/>
      <c r="G4103" s="17"/>
      <c r="H4103" s="10" t="s">
        <v>8563</v>
      </c>
      <c r="I4103" s="4" t="str">
        <f t="shared" si="449"/>
        <v>|Vujdání|</v>
      </c>
      <c r="J4103" s="3" t="str">
        <f t="shared" si="450"/>
        <v>|Vujdani|</v>
      </c>
      <c r="K4103" s="3" t="str">
        <f t="shared" si="451"/>
        <v>Vujdani</v>
      </c>
      <c r="M4103" s="5"/>
      <c r="N4103" s="39" t="str">
        <f t="shared" si="452"/>
        <v/>
      </c>
      <c r="O4103" s="5"/>
      <c r="P4103" s="39" t="str">
        <f t="shared" si="453"/>
        <v/>
      </c>
      <c r="Q4103" s="5"/>
      <c r="R4103" s="39" t="str">
        <f t="shared" si="454"/>
        <v/>
      </c>
    </row>
    <row r="4104" spans="1:18">
      <c r="A4104" s="179" t="s">
        <v>4762</v>
      </c>
      <c r="B4104" s="185" t="s">
        <v>8453</v>
      </c>
      <c r="C4104" s="35" t="str">
        <f t="shared" si="448"/>
        <v>Vukala</v>
      </c>
      <c r="D4104" s="5"/>
      <c r="E4104" s="40"/>
      <c r="F4104" s="15"/>
      <c r="G4104" s="17"/>
      <c r="H4104" s="10" t="s">
        <v>8563</v>
      </c>
      <c r="I4104" s="4" t="str">
        <f t="shared" si="449"/>
        <v>|Vukalá|</v>
      </c>
      <c r="J4104" s="3" t="str">
        <f t="shared" si="450"/>
        <v>|Vukala|</v>
      </c>
      <c r="K4104" s="3" t="str">
        <f t="shared" si="451"/>
        <v>Vukala</v>
      </c>
      <c r="M4104" s="5"/>
      <c r="N4104" s="39" t="str">
        <f t="shared" si="452"/>
        <v/>
      </c>
      <c r="O4104" s="5"/>
      <c r="P4104" s="39" t="str">
        <f t="shared" si="453"/>
        <v/>
      </c>
      <c r="Q4104" s="5"/>
      <c r="R4104" s="39" t="str">
        <f t="shared" si="454"/>
        <v/>
      </c>
    </row>
    <row r="4105" spans="1:18">
      <c r="A4105" s="179" t="s">
        <v>4763</v>
      </c>
      <c r="B4105" s="185" t="s">
        <v>8454</v>
      </c>
      <c r="C4105" s="35" t="str">
        <f t="shared" si="448"/>
        <v>Vusta</v>
      </c>
      <c r="D4105" s="5"/>
      <c r="E4105" s="40"/>
      <c r="F4105" s="15"/>
      <c r="G4105" s="17"/>
      <c r="H4105" s="10" t="s">
        <v>8563</v>
      </c>
      <c r="I4105" s="4" t="str">
        <f t="shared" si="449"/>
        <v>|Vusṭá|</v>
      </c>
      <c r="J4105" s="3" t="str">
        <f t="shared" si="450"/>
        <v>|Vusta|</v>
      </c>
      <c r="K4105" s="3" t="str">
        <f t="shared" si="451"/>
        <v>Vusta</v>
      </c>
      <c r="M4105" s="5"/>
      <c r="N4105" s="39" t="str">
        <f t="shared" si="452"/>
        <v/>
      </c>
      <c r="O4105" s="5"/>
      <c r="P4105" s="39" t="str">
        <f t="shared" si="453"/>
        <v/>
      </c>
      <c r="Q4105" s="5"/>
      <c r="R4105" s="39" t="str">
        <f t="shared" si="454"/>
        <v/>
      </c>
    </row>
    <row r="4106" spans="1:18">
      <c r="A4106" s="179" t="s">
        <v>4764</v>
      </c>
      <c r="B4106" s="185" t="s">
        <v>8455</v>
      </c>
      <c r="C4106" s="35" t="str">
        <f t="shared" si="448"/>
        <v>Ya</v>
      </c>
      <c r="D4106" s="5"/>
      <c r="E4106" s="40"/>
      <c r="F4106" s="14" t="s">
        <v>4765</v>
      </c>
      <c r="G4106" s="17"/>
      <c r="H4106" s="10" t="s">
        <v>8563</v>
      </c>
      <c r="I4106" s="4" t="str">
        <f t="shared" si="449"/>
        <v>|Yá|</v>
      </c>
      <c r="J4106" s="3" t="str">
        <f t="shared" si="450"/>
        <v>|Ya|</v>
      </c>
      <c r="K4106" s="3" t="str">
        <f t="shared" si="451"/>
        <v>Ya</v>
      </c>
      <c r="M4106" s="5"/>
      <c r="N4106" s="39" t="str">
        <f t="shared" si="452"/>
        <v/>
      </c>
      <c r="O4106" s="5"/>
      <c r="P4106" s="39" t="str">
        <f t="shared" si="453"/>
        <v/>
      </c>
      <c r="Q4106" s="5"/>
      <c r="R4106" s="39" t="str">
        <f t="shared" si="454"/>
        <v/>
      </c>
    </row>
    <row r="4107" spans="1:18">
      <c r="A4107" s="179" t="s">
        <v>4766</v>
      </c>
      <c r="B4107" s="185" t="s">
        <v>8456</v>
      </c>
      <c r="C4107" s="35" t="str">
        <f t="shared" si="448"/>
        <v>YaAliyuʼlAla</v>
      </c>
      <c r="D4107" s="5"/>
      <c r="E4107" s="40"/>
      <c r="F4107" s="15" t="s">
        <v>4767</v>
      </c>
      <c r="G4107" s="17"/>
      <c r="H4107" s="10" t="s">
        <v>8563</v>
      </c>
      <c r="I4107" s="4" t="str">
        <f t="shared" si="449"/>
        <v>|Yá-ʿAlíyuʼl-Aʿlá|</v>
      </c>
      <c r="J4107" s="3" t="str">
        <f t="shared" si="450"/>
        <v>|Ya-'Aliyuʼl-A'la|</v>
      </c>
      <c r="K4107" s="3" t="str">
        <f t="shared" si="451"/>
        <v>Ya-Aliyuʼl-Ala</v>
      </c>
      <c r="M4107" s="5"/>
      <c r="N4107" s="39" t="str">
        <f t="shared" si="452"/>
        <v/>
      </c>
      <c r="O4107" s="5"/>
      <c r="P4107" s="39" t="str">
        <f t="shared" si="453"/>
        <v/>
      </c>
      <c r="Q4107" s="5"/>
      <c r="R4107" s="39" t="str">
        <f t="shared" si="454"/>
        <v/>
      </c>
    </row>
    <row r="4108" spans="1:18">
      <c r="A4108" s="179" t="s">
        <v>4768</v>
      </c>
      <c r="B4108" s="185" t="s">
        <v>89</v>
      </c>
      <c r="C4108" s="35" t="str">
        <f t="shared" si="448"/>
        <v>YaBahaulAbha</v>
      </c>
      <c r="D4108" s="5"/>
      <c r="E4108" s="40"/>
      <c r="F4108" s="14"/>
      <c r="G4108" s="17"/>
      <c r="H4108" s="10" t="s">
        <v>8563</v>
      </c>
      <c r="I4108" s="4" t="str">
        <f t="shared" si="449"/>
        <v>|Yá-Bahá’u’l-Abhá|</v>
      </c>
      <c r="J4108" s="3" t="str">
        <f t="shared" si="450"/>
        <v>|Ya-Baha'u'l-Abha|</v>
      </c>
      <c r="K4108" s="3" t="str">
        <f t="shared" si="451"/>
        <v>Ya-Bahaul-Abha</v>
      </c>
      <c r="M4108" s="5"/>
      <c r="N4108" s="39" t="str">
        <f t="shared" si="452"/>
        <v/>
      </c>
      <c r="O4108" s="5"/>
      <c r="P4108" s="39" t="str">
        <f t="shared" si="453"/>
        <v/>
      </c>
      <c r="Q4108" s="5"/>
      <c r="R4108" s="39" t="str">
        <f t="shared" si="454"/>
        <v/>
      </c>
    </row>
    <row r="4109" spans="1:18">
      <c r="A4109" s="179" t="s">
        <v>4769</v>
      </c>
      <c r="B4109" s="185" t="s">
        <v>8457</v>
      </c>
      <c r="C4109" s="35" t="str">
        <f t="shared" si="448"/>
        <v>Yadigar</v>
      </c>
      <c r="D4109" s="5"/>
      <c r="E4109" s="40"/>
      <c r="F4109" s="15" t="s">
        <v>8604</v>
      </c>
      <c r="G4109" s="17"/>
      <c r="H4109" s="10" t="s">
        <v>8563</v>
      </c>
      <c r="I4109" s="4" t="str">
        <f t="shared" si="449"/>
        <v>|Yádigár|</v>
      </c>
      <c r="J4109" s="3" t="str">
        <f t="shared" si="450"/>
        <v>|Yadigar|</v>
      </c>
      <c r="K4109" s="3" t="str">
        <f t="shared" si="451"/>
        <v>Yadigar</v>
      </c>
      <c r="M4109" s="5"/>
      <c r="N4109" s="39" t="str">
        <f t="shared" si="452"/>
        <v/>
      </c>
      <c r="O4109" s="5"/>
      <c r="P4109" s="39" t="str">
        <f t="shared" si="453"/>
        <v/>
      </c>
      <c r="Q4109" s="5"/>
      <c r="R4109" s="39" t="str">
        <f t="shared" si="454"/>
        <v/>
      </c>
    </row>
    <row r="4110" spans="1:18">
      <c r="A4110" s="179" t="s">
        <v>4770</v>
      </c>
      <c r="B4110" s="185" t="s">
        <v>973</v>
      </c>
      <c r="C4110" s="35" t="str">
        <f t="shared" si="448"/>
        <v>Yadullah</v>
      </c>
      <c r="D4110" s="5"/>
      <c r="E4110" s="40"/>
      <c r="F4110" s="15"/>
      <c r="G4110" s="17"/>
      <c r="H4110" s="10" t="s">
        <v>8563</v>
      </c>
      <c r="I4110" s="4" t="str">
        <f t="shared" si="449"/>
        <v>|Yadu’lláh|</v>
      </c>
      <c r="J4110" s="3" t="str">
        <f t="shared" si="450"/>
        <v>|Yadu'llah|</v>
      </c>
      <c r="K4110" s="3" t="str">
        <f t="shared" si="451"/>
        <v>Yadullah</v>
      </c>
      <c r="M4110" s="5"/>
      <c r="N4110" s="39" t="str">
        <f t="shared" si="452"/>
        <v/>
      </c>
      <c r="O4110" s="5"/>
      <c r="P4110" s="39" t="str">
        <f t="shared" si="453"/>
        <v/>
      </c>
      <c r="Q4110" s="5"/>
      <c r="R4110" s="39" t="str">
        <f t="shared" si="454"/>
        <v/>
      </c>
    </row>
    <row r="4111" spans="1:18">
      <c r="A4111" s="179" t="s">
        <v>4771</v>
      </c>
      <c r="B4111" s="185" t="s">
        <v>8458</v>
      </c>
      <c r="C4111" s="35" t="str">
        <f t="shared" si="448"/>
        <v>YaftAbad</v>
      </c>
      <c r="D4111" s="5"/>
      <c r="E4111" s="40"/>
      <c r="F4111" s="14"/>
      <c r="G4111" s="17"/>
      <c r="H4111" s="10" t="s">
        <v>8563</v>
      </c>
      <c r="I4111" s="4" t="str">
        <f t="shared" si="449"/>
        <v>|Yáft-Ábád|</v>
      </c>
      <c r="J4111" s="3" t="str">
        <f t="shared" si="450"/>
        <v>|Yaft-Abad|</v>
      </c>
      <c r="K4111" s="3" t="str">
        <f t="shared" si="451"/>
        <v>Yaft-Abad</v>
      </c>
      <c r="M4111" s="5"/>
      <c r="N4111" s="39" t="str">
        <f t="shared" si="452"/>
        <v/>
      </c>
      <c r="O4111" s="5"/>
      <c r="P4111" s="39" t="str">
        <f t="shared" si="453"/>
        <v/>
      </c>
      <c r="Q4111" s="5"/>
      <c r="R4111" s="39" t="str">
        <f t="shared" si="454"/>
        <v/>
      </c>
    </row>
    <row r="4112" spans="1:18">
      <c r="A4112" s="179" t="s">
        <v>4772</v>
      </c>
      <c r="B4112" s="185" t="s">
        <v>8459</v>
      </c>
      <c r="C4112" s="35" t="str">
        <f t="shared" si="448"/>
        <v>Yahudi</v>
      </c>
      <c r="D4112" s="5"/>
      <c r="E4112" s="40"/>
      <c r="F4112" s="15" t="s">
        <v>4773</v>
      </c>
      <c r="G4112" s="17"/>
      <c r="H4112" s="10" t="s">
        <v>8563</v>
      </c>
      <c r="I4112" s="4" t="str">
        <f t="shared" si="449"/>
        <v>|Yahúdí|</v>
      </c>
      <c r="J4112" s="3" t="str">
        <f t="shared" si="450"/>
        <v>|Yahudi|</v>
      </c>
      <c r="K4112" s="3" t="str">
        <f t="shared" si="451"/>
        <v>Yahudi</v>
      </c>
      <c r="M4112" s="5"/>
      <c r="N4112" s="39" t="str">
        <f t="shared" si="452"/>
        <v/>
      </c>
      <c r="O4112" s="5"/>
      <c r="P4112" s="39" t="str">
        <f t="shared" si="453"/>
        <v/>
      </c>
      <c r="Q4112" s="5"/>
      <c r="R4112" s="39" t="str">
        <f t="shared" si="454"/>
        <v/>
      </c>
    </row>
    <row r="4113" spans="1:18">
      <c r="A4113" s="179" t="s">
        <v>4774</v>
      </c>
      <c r="B4113" s="185" t="s">
        <v>118</v>
      </c>
      <c r="C4113" s="35" t="str">
        <f t="shared" si="448"/>
        <v>Yahya</v>
      </c>
      <c r="D4113" s="5"/>
      <c r="E4113" s="40"/>
      <c r="F4113" s="14"/>
      <c r="G4113" s="17"/>
      <c r="H4113" s="10" t="s">
        <v>8563</v>
      </c>
      <c r="I4113" s="4" t="str">
        <f t="shared" si="449"/>
        <v>|Yaḥyá|</v>
      </c>
      <c r="J4113" s="3" t="str">
        <f t="shared" si="450"/>
        <v>|Yahya|</v>
      </c>
      <c r="K4113" s="3" t="str">
        <f t="shared" si="451"/>
        <v>Yahya</v>
      </c>
      <c r="M4113" s="5"/>
      <c r="N4113" s="39" t="str">
        <f t="shared" si="452"/>
        <v/>
      </c>
      <c r="O4113" s="5"/>
      <c r="P4113" s="39" t="str">
        <f t="shared" si="453"/>
        <v/>
      </c>
      <c r="Q4113" s="5"/>
      <c r="R4113" s="39" t="str">
        <f t="shared" si="454"/>
        <v/>
      </c>
    </row>
    <row r="4114" spans="1:18">
      <c r="A4114" s="179" t="s">
        <v>4775</v>
      </c>
      <c r="B4114" s="185" t="s">
        <v>8460</v>
      </c>
      <c r="C4114" s="35" t="str">
        <f t="shared" si="448"/>
        <v>Yahyai</v>
      </c>
      <c r="D4114" s="5"/>
      <c r="E4114" s="40"/>
      <c r="F4114" s="15" t="s">
        <v>4776</v>
      </c>
      <c r="G4114" s="17"/>
      <c r="H4114" s="10" t="s">
        <v>8563</v>
      </c>
      <c r="I4114" s="4" t="str">
        <f t="shared" si="449"/>
        <v>|Yaḥyá’í|</v>
      </c>
      <c r="J4114" s="3" t="str">
        <f t="shared" si="450"/>
        <v>|Yahya'i|</v>
      </c>
      <c r="K4114" s="3" t="str">
        <f t="shared" si="451"/>
        <v>Yahyai</v>
      </c>
      <c r="M4114" s="5"/>
      <c r="N4114" s="39" t="str">
        <f t="shared" si="452"/>
        <v/>
      </c>
      <c r="O4114" s="5"/>
      <c r="P4114" s="39" t="str">
        <f t="shared" si="453"/>
        <v/>
      </c>
      <c r="Q4114" s="5"/>
      <c r="R4114" s="39" t="str">
        <f t="shared" si="454"/>
        <v/>
      </c>
    </row>
    <row r="4115" spans="1:18">
      <c r="A4115" s="179" t="s">
        <v>4777</v>
      </c>
      <c r="B4115" s="185" t="s">
        <v>8461</v>
      </c>
      <c r="C4115" s="35" t="str">
        <f t="shared" si="448"/>
        <v>YahyaiDarabi</v>
      </c>
      <c r="D4115" s="5"/>
      <c r="E4115" s="40" t="s">
        <v>9115</v>
      </c>
      <c r="F4115" s="15"/>
      <c r="G4115" s="17"/>
      <c r="H4115" s="10" t="s">
        <v>8563</v>
      </c>
      <c r="I4115" s="4" t="str">
        <f t="shared" si="449"/>
        <v>|Yaḥyá-i-Darábí|</v>
      </c>
      <c r="J4115" s="3" t="str">
        <f t="shared" si="450"/>
        <v>|Yahya-i-Darabi|</v>
      </c>
      <c r="K4115" s="3" t="str">
        <f t="shared" si="451"/>
        <v>Yahya-i-Darabi</v>
      </c>
      <c r="M4115" s="5"/>
      <c r="N4115" s="39" t="str">
        <f t="shared" si="452"/>
        <v/>
      </c>
      <c r="O4115" s="5"/>
      <c r="P4115" s="39" t="str">
        <f t="shared" si="453"/>
        <v/>
      </c>
      <c r="Q4115" s="5"/>
      <c r="R4115" s="39" t="str">
        <f t="shared" si="454"/>
        <v/>
      </c>
    </row>
    <row r="4116" spans="1:18">
      <c r="A4116" s="179" t="s">
        <v>4778</v>
      </c>
      <c r="B4116" s="185" t="s">
        <v>8620</v>
      </c>
      <c r="C4116" s="35" t="str">
        <f t="shared" si="448"/>
        <v>YahyayiDarabi</v>
      </c>
      <c r="D4116" s="5"/>
      <c r="E4116" s="40" t="s">
        <v>9115</v>
      </c>
      <c r="F4116" s="14"/>
      <c r="G4116" s="17"/>
      <c r="H4116" s="10" t="s">
        <v>8563</v>
      </c>
      <c r="I4116" s="4" t="str">
        <f t="shared" si="449"/>
        <v>|Yaḥyáy-i-Dárábí|</v>
      </c>
      <c r="J4116" s="3" t="str">
        <f t="shared" si="450"/>
        <v>|Yahyay-i-Darabi|</v>
      </c>
      <c r="K4116" s="3" t="str">
        <f t="shared" si="451"/>
        <v>Yahyay-i-Darabi</v>
      </c>
      <c r="M4116" s="5"/>
      <c r="N4116" s="39" t="str">
        <f t="shared" si="452"/>
        <v/>
      </c>
      <c r="O4116" s="5"/>
      <c r="P4116" s="39" t="str">
        <f t="shared" si="453"/>
        <v/>
      </c>
      <c r="Q4116" s="5"/>
      <c r="R4116" s="39" t="str">
        <f t="shared" si="454"/>
        <v/>
      </c>
    </row>
    <row r="4117" spans="1:18">
      <c r="A4117" s="179" t="s">
        <v>4779</v>
      </c>
      <c r="B4117" s="185" t="s">
        <v>8462</v>
      </c>
      <c r="C4117" s="35" t="str">
        <f t="shared" si="448"/>
        <v>Yajuj</v>
      </c>
      <c r="D4117" s="5"/>
      <c r="E4117" s="40"/>
      <c r="F4117" s="15"/>
      <c r="G4117" s="17"/>
      <c r="H4117" s="10" t="s">
        <v>8563</v>
      </c>
      <c r="I4117" s="4" t="str">
        <f t="shared" si="449"/>
        <v>|Yájúj|</v>
      </c>
      <c r="J4117" s="3" t="str">
        <f t="shared" si="450"/>
        <v>|Yajuj|</v>
      </c>
      <c r="K4117" s="3" t="str">
        <f t="shared" si="451"/>
        <v>Yajuj</v>
      </c>
      <c r="M4117" s="5"/>
      <c r="N4117" s="39" t="str">
        <f t="shared" si="452"/>
        <v/>
      </c>
      <c r="O4117" s="5"/>
      <c r="P4117" s="39" t="str">
        <f t="shared" si="453"/>
        <v/>
      </c>
      <c r="Q4117" s="5"/>
      <c r="R4117" s="39" t="str">
        <f t="shared" si="454"/>
        <v/>
      </c>
    </row>
    <row r="4118" spans="1:18">
      <c r="A4118" s="179" t="s">
        <v>4780</v>
      </c>
      <c r="B4118" s="185" t="s">
        <v>8463</v>
      </c>
      <c r="C4118" s="35" t="str">
        <f t="shared" si="448"/>
        <v>Yaldai</v>
      </c>
      <c r="D4118" s="5"/>
      <c r="E4118" s="40"/>
      <c r="F4118" s="15"/>
      <c r="G4118" s="17"/>
      <c r="H4118" s="10" t="s">
        <v>8563</v>
      </c>
      <c r="I4118" s="4" t="str">
        <f t="shared" si="449"/>
        <v>|Yaldá’í|</v>
      </c>
      <c r="J4118" s="3" t="str">
        <f t="shared" si="450"/>
        <v>|Yalda'i|</v>
      </c>
      <c r="K4118" s="3" t="str">
        <f t="shared" si="451"/>
        <v>Yaldai</v>
      </c>
      <c r="M4118" s="5"/>
      <c r="N4118" s="39" t="str">
        <f t="shared" si="452"/>
        <v/>
      </c>
      <c r="O4118" s="5"/>
      <c r="P4118" s="39" t="str">
        <f t="shared" si="453"/>
        <v/>
      </c>
      <c r="Q4118" s="5"/>
      <c r="R4118" s="39" t="str">
        <f t="shared" si="454"/>
        <v/>
      </c>
    </row>
    <row r="4119" spans="1:18">
      <c r="A4119" s="179" t="s">
        <v>4781</v>
      </c>
      <c r="B4119" s="185" t="s">
        <v>8464</v>
      </c>
      <c r="C4119" s="35" t="str">
        <f t="shared" si="448"/>
        <v>Yalrud</v>
      </c>
      <c r="D4119" s="5"/>
      <c r="E4119" s="40"/>
      <c r="F4119" s="15" t="s">
        <v>1312</v>
      </c>
      <c r="G4119" s="17"/>
      <c r="H4119" s="10" t="s">
        <v>8563</v>
      </c>
      <c r="I4119" s="4" t="str">
        <f t="shared" si="449"/>
        <v>|Yálrúd|</v>
      </c>
      <c r="J4119" s="3" t="str">
        <f t="shared" si="450"/>
        <v>|Yalrud|</v>
      </c>
      <c r="K4119" s="3" t="str">
        <f t="shared" si="451"/>
        <v>Yalrud</v>
      </c>
      <c r="M4119" s="5"/>
      <c r="N4119" s="39" t="str">
        <f t="shared" si="452"/>
        <v/>
      </c>
      <c r="O4119" s="5"/>
      <c r="P4119" s="39" t="str">
        <f t="shared" si="453"/>
        <v/>
      </c>
      <c r="Q4119" s="5"/>
      <c r="R4119" s="39" t="str">
        <f t="shared" si="454"/>
        <v/>
      </c>
    </row>
    <row r="4120" spans="1:18">
      <c r="A4120" s="179" t="s">
        <v>4782</v>
      </c>
      <c r="B4120" s="185" t="s">
        <v>8465</v>
      </c>
      <c r="C4120" s="35" t="str">
        <f t="shared" si="448"/>
        <v>Yanbu</v>
      </c>
      <c r="D4120" s="5"/>
      <c r="E4120" s="40"/>
      <c r="F4120" s="15"/>
      <c r="G4120" s="17"/>
      <c r="H4120" s="10" t="s">
        <v>8563</v>
      </c>
      <c r="I4120" s="4" t="str">
        <f t="shared" si="449"/>
        <v>|Yanbúʿ|</v>
      </c>
      <c r="J4120" s="3" t="str">
        <f t="shared" si="450"/>
        <v>|Yanbu'|</v>
      </c>
      <c r="K4120" s="3" t="str">
        <f t="shared" si="451"/>
        <v>Yanbu</v>
      </c>
      <c r="M4120" s="5"/>
      <c r="N4120" s="39" t="str">
        <f t="shared" si="452"/>
        <v/>
      </c>
      <c r="O4120" s="5"/>
      <c r="P4120" s="39" t="str">
        <f t="shared" si="453"/>
        <v/>
      </c>
      <c r="Q4120" s="5"/>
      <c r="R4120" s="39" t="str">
        <f t="shared" si="454"/>
        <v/>
      </c>
    </row>
    <row r="4121" spans="1:18">
      <c r="A4121" s="179" t="s">
        <v>4783</v>
      </c>
      <c r="B4121" s="185" t="s">
        <v>8466</v>
      </c>
      <c r="C4121" s="35" t="str">
        <f t="shared" si="448"/>
        <v>YangiImam</v>
      </c>
      <c r="D4121" s="5"/>
      <c r="E4121" s="40"/>
      <c r="F4121" s="15" t="s">
        <v>4784</v>
      </c>
      <c r="G4121" s="17"/>
      <c r="H4121" s="10" t="s">
        <v>8563</v>
      </c>
      <c r="I4121" s="4" t="str">
        <f t="shared" si="449"/>
        <v>|Yangí-Imám|</v>
      </c>
      <c r="J4121" s="3" t="str">
        <f t="shared" si="450"/>
        <v>|Yangi-Imam|</v>
      </c>
      <c r="K4121" s="3" t="str">
        <f t="shared" si="451"/>
        <v>Yangi-Imam</v>
      </c>
      <c r="M4121" s="5"/>
      <c r="N4121" s="39" t="str">
        <f t="shared" si="452"/>
        <v/>
      </c>
      <c r="O4121" s="5"/>
      <c r="P4121" s="39" t="str">
        <f t="shared" si="453"/>
        <v/>
      </c>
      <c r="Q4121" s="5"/>
      <c r="R4121" s="39" t="str">
        <f t="shared" si="454"/>
        <v/>
      </c>
    </row>
    <row r="4122" spans="1:18">
      <c r="A4122" s="179" t="s">
        <v>4785</v>
      </c>
      <c r="B4122" s="185" t="s">
        <v>8467</v>
      </c>
      <c r="C4122" s="35" t="str">
        <f t="shared" si="448"/>
        <v>Yaqtin</v>
      </c>
      <c r="D4122" s="5"/>
      <c r="E4122" s="40"/>
      <c r="F4122" s="15" t="s">
        <v>4786</v>
      </c>
      <c r="G4122" s="17"/>
      <c r="H4122" s="10" t="s">
        <v>8563</v>
      </c>
      <c r="I4122" s="4" t="str">
        <f t="shared" si="449"/>
        <v>|Yaqtín|</v>
      </c>
      <c r="J4122" s="3" t="str">
        <f t="shared" si="450"/>
        <v>|Yaqtin|</v>
      </c>
      <c r="K4122" s="3" t="str">
        <f t="shared" si="451"/>
        <v>Yaqtin</v>
      </c>
      <c r="M4122" s="5"/>
      <c r="N4122" s="39" t="str">
        <f t="shared" si="452"/>
        <v/>
      </c>
      <c r="O4122" s="5"/>
      <c r="P4122" s="39" t="str">
        <f t="shared" si="453"/>
        <v/>
      </c>
      <c r="Q4122" s="5"/>
      <c r="R4122" s="39" t="str">
        <f t="shared" si="454"/>
        <v/>
      </c>
    </row>
    <row r="4123" spans="1:18">
      <c r="A4123" s="179" t="s">
        <v>4787</v>
      </c>
      <c r="B4123" s="185" t="s">
        <v>8468</v>
      </c>
      <c r="C4123" s="35" t="str">
        <f t="shared" si="448"/>
        <v>Yaqub</v>
      </c>
      <c r="D4123" s="5"/>
      <c r="E4123" s="40"/>
      <c r="F4123" s="15"/>
      <c r="G4123" s="17"/>
      <c r="H4123" s="10" t="s">
        <v>8563</v>
      </c>
      <c r="I4123" s="4" t="str">
        <f t="shared" si="449"/>
        <v>|Yaʿqúb|</v>
      </c>
      <c r="J4123" s="3" t="str">
        <f t="shared" si="450"/>
        <v>|Ya'qub|</v>
      </c>
      <c r="K4123" s="3" t="str">
        <f t="shared" si="451"/>
        <v>Yaqub</v>
      </c>
      <c r="M4123" s="5"/>
      <c r="N4123" s="39" t="str">
        <f t="shared" si="452"/>
        <v/>
      </c>
      <c r="O4123" s="5"/>
      <c r="P4123" s="39" t="str">
        <f t="shared" si="453"/>
        <v/>
      </c>
      <c r="Q4123" s="5"/>
      <c r="R4123" s="39" t="str">
        <f t="shared" si="454"/>
        <v/>
      </c>
    </row>
    <row r="4124" spans="1:18">
      <c r="A4124" s="179" t="s">
        <v>4788</v>
      </c>
      <c r="B4124" s="185" t="s">
        <v>8469</v>
      </c>
      <c r="C4124" s="35" t="str">
        <f t="shared" si="448"/>
        <v>YaqubiMuttahidih</v>
      </c>
      <c r="D4124" s="5"/>
      <c r="E4124" s="40"/>
      <c r="F4124" s="15"/>
      <c r="G4124" s="17"/>
      <c r="H4124" s="10" t="s">
        <v>8563</v>
      </c>
      <c r="I4124" s="4" t="str">
        <f t="shared" si="449"/>
        <v>|Yaʿqúb-i-Muttáḥidih|</v>
      </c>
      <c r="J4124" s="3" t="str">
        <f t="shared" si="450"/>
        <v>|Ya'qub-i-Muttahidih|</v>
      </c>
      <c r="K4124" s="3" t="str">
        <f t="shared" si="451"/>
        <v>Yaqub-i-Muttahidih</v>
      </c>
      <c r="M4124" s="5"/>
      <c r="N4124" s="39" t="str">
        <f t="shared" si="452"/>
        <v/>
      </c>
      <c r="O4124" s="5"/>
      <c r="P4124" s="39" t="str">
        <f t="shared" si="453"/>
        <v/>
      </c>
      <c r="Q4124" s="5"/>
      <c r="R4124" s="39" t="str">
        <f t="shared" si="454"/>
        <v/>
      </c>
    </row>
    <row r="4125" spans="1:18">
      <c r="A4125" s="179" t="s">
        <v>4789</v>
      </c>
      <c r="B4125" s="185" t="s">
        <v>8470</v>
      </c>
      <c r="C4125" s="35" t="str">
        <f t="shared" si="448"/>
        <v>Yaqubiyyih</v>
      </c>
      <c r="D4125" s="5"/>
      <c r="E4125" s="40"/>
      <c r="F4125" s="15"/>
      <c r="G4125" s="17"/>
      <c r="H4125" s="10" t="s">
        <v>8563</v>
      </c>
      <c r="I4125" s="4" t="str">
        <f t="shared" si="449"/>
        <v>|Yaʿqúbíyyih|</v>
      </c>
      <c r="J4125" s="3" t="str">
        <f t="shared" si="450"/>
        <v>|Ya'qubiyyih|</v>
      </c>
      <c r="K4125" s="3" t="str">
        <f t="shared" si="451"/>
        <v>Yaqubiyyih</v>
      </c>
      <c r="M4125" s="5"/>
      <c r="N4125" s="39" t="str">
        <f t="shared" si="452"/>
        <v/>
      </c>
      <c r="O4125" s="5"/>
      <c r="P4125" s="39" t="str">
        <f t="shared" si="453"/>
        <v/>
      </c>
      <c r="Q4125" s="5"/>
      <c r="R4125" s="39" t="str">
        <f t="shared" si="454"/>
        <v/>
      </c>
    </row>
    <row r="4126" spans="1:18">
      <c r="A4126" s="179" t="s">
        <v>4790</v>
      </c>
      <c r="B4126" s="185" t="s">
        <v>8471</v>
      </c>
      <c r="C4126" s="35" t="str">
        <f t="shared" si="448"/>
        <v>Yaqut</v>
      </c>
      <c r="D4126" s="5"/>
      <c r="E4126" s="40"/>
      <c r="F4126" s="15"/>
      <c r="G4126" s="17"/>
      <c r="H4126" s="10" t="s">
        <v>8563</v>
      </c>
      <c r="I4126" s="4" t="str">
        <f t="shared" si="449"/>
        <v>|Yáqút|</v>
      </c>
      <c r="J4126" s="3" t="str">
        <f t="shared" si="450"/>
        <v>|Yaqut|</v>
      </c>
      <c r="K4126" s="3" t="str">
        <f t="shared" si="451"/>
        <v>Yaqut</v>
      </c>
      <c r="M4126" s="5"/>
      <c r="N4126" s="39" t="str">
        <f t="shared" si="452"/>
        <v/>
      </c>
      <c r="O4126" s="5"/>
      <c r="P4126" s="39" t="str">
        <f t="shared" si="453"/>
        <v/>
      </c>
      <c r="Q4126" s="5"/>
      <c r="R4126" s="39" t="str">
        <f t="shared" si="454"/>
        <v/>
      </c>
    </row>
    <row r="4127" spans="1:18">
      <c r="A4127" s="179" t="s">
        <v>4791</v>
      </c>
      <c r="B4127" s="185" t="s">
        <v>8472</v>
      </c>
      <c r="C4127" s="35" t="str">
        <f t="shared" si="448"/>
        <v>YarMuhammad</v>
      </c>
      <c r="D4127" s="5"/>
      <c r="E4127" s="40"/>
      <c r="F4127" s="14"/>
      <c r="G4127" s="17"/>
      <c r="H4127" s="10" t="s">
        <v>8563</v>
      </c>
      <c r="I4127" s="4" t="str">
        <f t="shared" si="449"/>
        <v>|Yar-Muḥammad|</v>
      </c>
      <c r="J4127" s="3" t="str">
        <f t="shared" si="450"/>
        <v>|Yar-Muhammad|</v>
      </c>
      <c r="K4127" s="3" t="str">
        <f t="shared" si="451"/>
        <v>Yar-Muhammad</v>
      </c>
      <c r="M4127" s="5"/>
      <c r="N4127" s="39" t="str">
        <f t="shared" si="452"/>
        <v/>
      </c>
      <c r="O4127" s="5"/>
      <c r="P4127" s="39" t="str">
        <f t="shared" si="453"/>
        <v/>
      </c>
      <c r="Q4127" s="5"/>
      <c r="R4127" s="39" t="str">
        <f t="shared" si="454"/>
        <v/>
      </c>
    </row>
    <row r="4128" spans="1:18">
      <c r="A4128" s="179" t="s">
        <v>4792</v>
      </c>
      <c r="B4128" s="185" t="s">
        <v>8473</v>
      </c>
      <c r="C4128" s="35" t="str">
        <f t="shared" si="448"/>
        <v>Yasa</v>
      </c>
      <c r="D4128" s="5"/>
      <c r="E4128" s="40"/>
      <c r="F4128" s="15"/>
      <c r="G4128" s="17"/>
      <c r="H4128" s="10" t="s">
        <v>8563</v>
      </c>
      <c r="I4128" s="4" t="str">
        <f t="shared" si="449"/>
        <v>|Yasaʿ|</v>
      </c>
      <c r="J4128" s="3" t="str">
        <f t="shared" si="450"/>
        <v>|Yasa'|</v>
      </c>
      <c r="K4128" s="3" t="str">
        <f t="shared" si="451"/>
        <v>Yasa</v>
      </c>
      <c r="M4128" s="5"/>
      <c r="N4128" s="39" t="str">
        <f t="shared" si="452"/>
        <v/>
      </c>
      <c r="O4128" s="5"/>
      <c r="P4128" s="39" t="str">
        <f t="shared" si="453"/>
        <v/>
      </c>
      <c r="Q4128" s="5"/>
      <c r="R4128" s="39" t="str">
        <f t="shared" si="454"/>
        <v/>
      </c>
    </row>
    <row r="4129" spans="1:18">
      <c r="A4129" s="179" t="s">
        <v>4793</v>
      </c>
      <c r="B4129" s="185" t="s">
        <v>185</v>
      </c>
      <c r="C4129" s="35" t="str">
        <f t="shared" si="448"/>
        <v>Yathrib</v>
      </c>
      <c r="D4129" s="5"/>
      <c r="E4129" s="40"/>
      <c r="F4129" s="14"/>
      <c r="G4129" s="17"/>
      <c r="H4129" s="10" t="s">
        <v>8563</v>
      </c>
      <c r="I4129" s="4" t="str">
        <f t="shared" si="449"/>
        <v>|Yarib|</v>
      </c>
      <c r="J4129" s="3" t="str">
        <f t="shared" si="450"/>
        <v>|Yathrib|</v>
      </c>
      <c r="K4129" s="3" t="str">
        <f t="shared" si="451"/>
        <v>Yathrib</v>
      </c>
      <c r="M4129" s="5"/>
      <c r="N4129" s="39" t="str">
        <f t="shared" si="452"/>
        <v/>
      </c>
      <c r="O4129" s="5"/>
      <c r="P4129" s="39" t="str">
        <f t="shared" si="453"/>
        <v/>
      </c>
      <c r="Q4129" s="5"/>
      <c r="R4129" s="39" t="str">
        <f t="shared" si="454"/>
        <v/>
      </c>
    </row>
    <row r="4130" spans="1:18">
      <c r="A4130" s="179" t="s">
        <v>4794</v>
      </c>
      <c r="B4130" s="185" t="s">
        <v>8474</v>
      </c>
      <c r="C4130" s="35" t="str">
        <f t="shared" si="448"/>
        <v>Yavar</v>
      </c>
      <c r="D4130" s="5"/>
      <c r="E4130" s="40"/>
      <c r="F4130" s="14"/>
      <c r="G4130" s="17"/>
      <c r="H4130" s="10" t="s">
        <v>8563</v>
      </c>
      <c r="I4130" s="4" t="str">
        <f t="shared" si="449"/>
        <v>|Yávar|</v>
      </c>
      <c r="J4130" s="3" t="str">
        <f t="shared" si="450"/>
        <v>|Yavar|</v>
      </c>
      <c r="K4130" s="3" t="str">
        <f t="shared" si="451"/>
        <v>Yavar</v>
      </c>
      <c r="M4130" s="5"/>
      <c r="N4130" s="39" t="str">
        <f t="shared" si="452"/>
        <v/>
      </c>
      <c r="O4130" s="5"/>
      <c r="P4130" s="39" t="str">
        <f t="shared" si="453"/>
        <v/>
      </c>
      <c r="Q4130" s="5"/>
      <c r="R4130" s="39" t="str">
        <f t="shared" si="454"/>
        <v/>
      </c>
    </row>
    <row r="4131" spans="1:18">
      <c r="A4131" s="179" t="s">
        <v>4796</v>
      </c>
      <c r="B4131" s="185" t="s">
        <v>8476</v>
      </c>
      <c r="C4131" s="35" t="str">
        <f t="shared" si="448"/>
        <v>YawmiAlast</v>
      </c>
      <c r="D4131" s="5"/>
      <c r="E4131" s="40"/>
      <c r="F4131" s="14"/>
      <c r="G4131" s="17"/>
      <c r="H4131" s="10" t="s">
        <v>8563</v>
      </c>
      <c r="I4131" s="4" t="str">
        <f t="shared" si="449"/>
        <v>|Yawm-i-Alast|</v>
      </c>
      <c r="J4131" s="3" t="str">
        <f t="shared" si="450"/>
        <v>|Yawm-i-Alast|</v>
      </c>
      <c r="K4131" s="3" t="str">
        <f t="shared" si="451"/>
        <v>Yawm-i-Alast</v>
      </c>
      <c r="M4131" s="5"/>
      <c r="N4131" s="39" t="str">
        <f t="shared" si="452"/>
        <v/>
      </c>
      <c r="O4131" s="5"/>
      <c r="P4131" s="39" t="str">
        <f t="shared" si="453"/>
        <v/>
      </c>
      <c r="Q4131" s="5"/>
      <c r="R4131" s="39" t="str">
        <f t="shared" si="454"/>
        <v/>
      </c>
    </row>
    <row r="4132" spans="1:18">
      <c r="A4132" s="179" t="s">
        <v>4797</v>
      </c>
      <c r="B4132" s="185" t="s">
        <v>8477</v>
      </c>
      <c r="C4132" s="35" t="str">
        <f t="shared" si="448"/>
        <v>YawmiIttihad</v>
      </c>
      <c r="D4132" s="5"/>
      <c r="E4132" s="40"/>
      <c r="F4132" s="15"/>
      <c r="G4132" s="17"/>
      <c r="H4132" s="10" t="s">
        <v>8563</v>
      </c>
      <c r="I4132" s="4" t="str">
        <f t="shared" si="449"/>
        <v>|Yawm-i-Ittiḥád|</v>
      </c>
      <c r="J4132" s="3" t="str">
        <f t="shared" si="450"/>
        <v>|Yawm-i-Ittihad|</v>
      </c>
      <c r="K4132" s="3" t="str">
        <f t="shared" si="451"/>
        <v>Yawm-i-Ittihad</v>
      </c>
      <c r="M4132" s="5"/>
      <c r="N4132" s="39" t="str">
        <f t="shared" si="452"/>
        <v/>
      </c>
      <c r="O4132" s="5"/>
      <c r="P4132" s="39" t="str">
        <f t="shared" si="453"/>
        <v/>
      </c>
      <c r="Q4132" s="5"/>
      <c r="R4132" s="39" t="str">
        <f t="shared" si="454"/>
        <v/>
      </c>
    </row>
    <row r="4133" spans="1:18">
      <c r="A4133" s="179" t="s">
        <v>4798</v>
      </c>
      <c r="B4133" s="185" t="s">
        <v>8478</v>
      </c>
      <c r="C4133" s="35" t="str">
        <f t="shared" si="448"/>
        <v>YawmulBath</v>
      </c>
      <c r="D4133" s="5"/>
      <c r="E4133" s="40"/>
      <c r="F4133" s="15" t="s">
        <v>4799</v>
      </c>
      <c r="G4133" s="17"/>
      <c r="H4133" s="10" t="s">
        <v>8563</v>
      </c>
      <c r="I4133" s="4" t="str">
        <f t="shared" si="449"/>
        <v>|Yawmu’l-Baʿ|</v>
      </c>
      <c r="J4133" s="3" t="str">
        <f t="shared" si="450"/>
        <v>|Yawmu'l-Ba'th|</v>
      </c>
      <c r="K4133" s="3" t="str">
        <f t="shared" si="451"/>
        <v>Yawmul-Bath</v>
      </c>
      <c r="M4133" s="5"/>
      <c r="N4133" s="39" t="str">
        <f t="shared" si="452"/>
        <v/>
      </c>
      <c r="O4133" s="5"/>
      <c r="P4133" s="39" t="str">
        <f t="shared" si="453"/>
        <v/>
      </c>
      <c r="Q4133" s="5"/>
      <c r="R4133" s="39" t="str">
        <f t="shared" si="454"/>
        <v/>
      </c>
    </row>
    <row r="4134" spans="1:18">
      <c r="A4134" s="179" t="s">
        <v>4795</v>
      </c>
      <c r="B4134" s="185" t="s">
        <v>8475</v>
      </c>
      <c r="C4134" s="35" t="str">
        <f t="shared" si="448"/>
        <v>YawmuʼlIttihad</v>
      </c>
      <c r="D4134" s="5"/>
      <c r="E4134" s="40"/>
      <c r="F4134" s="14"/>
      <c r="G4134" s="17"/>
      <c r="H4134" s="10" t="s">
        <v>8563</v>
      </c>
      <c r="I4134" s="4" t="str">
        <f t="shared" si="449"/>
        <v>|Yawmuʼl-Ittiḥád|</v>
      </c>
      <c r="J4134" s="3" t="str">
        <f t="shared" si="450"/>
        <v>|Yawmuʼl-Ittihad|</v>
      </c>
      <c r="K4134" s="3" t="str">
        <f t="shared" si="451"/>
        <v>Yawmuʼl-Ittihad</v>
      </c>
      <c r="M4134" s="5"/>
      <c r="N4134" s="39" t="str">
        <f t="shared" si="452"/>
        <v/>
      </c>
      <c r="O4134" s="5"/>
      <c r="P4134" s="39" t="str">
        <f t="shared" si="453"/>
        <v/>
      </c>
      <c r="Q4134" s="5"/>
      <c r="R4134" s="39" t="str">
        <f t="shared" si="454"/>
        <v/>
      </c>
    </row>
    <row r="4135" spans="1:18">
      <c r="A4135" s="179" t="s">
        <v>4800</v>
      </c>
      <c r="B4135" s="185" t="s">
        <v>8479</v>
      </c>
      <c r="C4135" s="35" t="str">
        <f t="shared" si="448"/>
        <v>YawmulJam</v>
      </c>
      <c r="D4135" s="5"/>
      <c r="E4135" s="40"/>
      <c r="F4135" s="15" t="s">
        <v>4801</v>
      </c>
      <c r="G4135" s="17"/>
      <c r="H4135" s="10" t="s">
        <v>8563</v>
      </c>
      <c r="I4135" s="4" t="str">
        <f t="shared" si="449"/>
        <v>|Yawmu’l-Jamʿ|</v>
      </c>
      <c r="J4135" s="3" t="str">
        <f t="shared" si="450"/>
        <v>|Yawmu'l-Jam'|</v>
      </c>
      <c r="K4135" s="3" t="str">
        <f t="shared" si="451"/>
        <v>Yawmul-Jam</v>
      </c>
      <c r="M4135" s="5"/>
      <c r="N4135" s="39" t="str">
        <f t="shared" si="452"/>
        <v/>
      </c>
      <c r="O4135" s="5"/>
      <c r="P4135" s="39" t="str">
        <f t="shared" si="453"/>
        <v/>
      </c>
      <c r="Q4135" s="5"/>
      <c r="R4135" s="39" t="str">
        <f t="shared" si="454"/>
        <v/>
      </c>
    </row>
    <row r="4136" spans="1:18">
      <c r="A4136" s="179" t="s">
        <v>4802</v>
      </c>
      <c r="B4136" s="185" t="s">
        <v>8480</v>
      </c>
      <c r="C4136" s="35" t="str">
        <f t="shared" si="448"/>
        <v>Yawmullah</v>
      </c>
      <c r="D4136" s="5"/>
      <c r="E4136" s="40"/>
      <c r="F4136" s="15" t="s">
        <v>4803</v>
      </c>
      <c r="G4136" s="17"/>
      <c r="H4136" s="10" t="s">
        <v>8563</v>
      </c>
      <c r="I4136" s="4" t="str">
        <f t="shared" si="449"/>
        <v>|Yawmu’lláh|</v>
      </c>
      <c r="J4136" s="3" t="str">
        <f t="shared" si="450"/>
        <v>|Yawmu'llah|</v>
      </c>
      <c r="K4136" s="3" t="str">
        <f t="shared" si="451"/>
        <v>Yawmullah</v>
      </c>
      <c r="M4136" s="5"/>
      <c r="N4136" s="39" t="str">
        <f t="shared" si="452"/>
        <v/>
      </c>
      <c r="O4136" s="5"/>
      <c r="P4136" s="39" t="str">
        <f t="shared" si="453"/>
        <v/>
      </c>
      <c r="Q4136" s="5"/>
      <c r="R4136" s="39" t="str">
        <f t="shared" si="454"/>
        <v/>
      </c>
    </row>
    <row r="4137" spans="1:18">
      <c r="A4137" s="179" t="s">
        <v>4804</v>
      </c>
      <c r="B4137" s="185" t="s">
        <v>8481</v>
      </c>
      <c r="C4137" s="35" t="str">
        <f t="shared" si="448"/>
        <v>YawmulMiad</v>
      </c>
      <c r="D4137" s="5"/>
      <c r="E4137" s="40"/>
      <c r="F4137" s="15" t="s">
        <v>4805</v>
      </c>
      <c r="G4137" s="17"/>
      <c r="H4137" s="10" t="s">
        <v>8563</v>
      </c>
      <c r="I4137" s="4" t="str">
        <f t="shared" si="449"/>
        <v>|Yawmu’l-Míʿád|</v>
      </c>
      <c r="J4137" s="3" t="str">
        <f t="shared" si="450"/>
        <v>|Yawmu'l-Mi'ad|</v>
      </c>
      <c r="K4137" s="3" t="str">
        <f t="shared" si="451"/>
        <v>Yawmul-Miad</v>
      </c>
      <c r="M4137" s="5"/>
      <c r="N4137" s="39" t="str">
        <f t="shared" si="452"/>
        <v/>
      </c>
      <c r="O4137" s="5"/>
      <c r="P4137" s="39" t="str">
        <f t="shared" si="453"/>
        <v/>
      </c>
      <c r="Q4137" s="5"/>
      <c r="R4137" s="39" t="str">
        <f t="shared" si="454"/>
        <v/>
      </c>
    </row>
    <row r="4138" spans="1:18">
      <c r="A4138" s="179" t="s">
        <v>4806</v>
      </c>
      <c r="B4138" s="185" t="s">
        <v>8482</v>
      </c>
      <c r="C4138" s="35" t="str">
        <f t="shared" si="448"/>
        <v>YawmulQiyamat</v>
      </c>
      <c r="D4138" s="5"/>
      <c r="E4138" s="40"/>
      <c r="F4138" s="15" t="s">
        <v>4807</v>
      </c>
      <c r="G4138" s="17"/>
      <c r="H4138" s="10" t="s">
        <v>8563</v>
      </c>
      <c r="I4138" s="4" t="str">
        <f t="shared" si="449"/>
        <v>|Yawmu’l-Qiyámat|</v>
      </c>
      <c r="J4138" s="3" t="str">
        <f t="shared" si="450"/>
        <v>|Yawmu'l-Qiyamat|</v>
      </c>
      <c r="K4138" s="3" t="str">
        <f t="shared" si="451"/>
        <v>Yawmul-Qiyamat</v>
      </c>
      <c r="M4138" s="5"/>
      <c r="N4138" s="39" t="str">
        <f t="shared" si="452"/>
        <v/>
      </c>
      <c r="O4138" s="5"/>
      <c r="P4138" s="39" t="str">
        <f t="shared" si="453"/>
        <v/>
      </c>
      <c r="Q4138" s="5"/>
      <c r="R4138" s="39" t="str">
        <f t="shared" si="454"/>
        <v/>
      </c>
    </row>
    <row r="4139" spans="1:18">
      <c r="A4139" s="179" t="s">
        <v>4808</v>
      </c>
      <c r="B4139" s="185" t="s">
        <v>8483</v>
      </c>
      <c r="C4139" s="35" t="str">
        <f t="shared" si="448"/>
        <v>YawmulTaghabun</v>
      </c>
      <c r="D4139" s="5"/>
      <c r="E4139" s="40"/>
      <c r="F4139" s="15" t="s">
        <v>4809</v>
      </c>
      <c r="G4139" s="17"/>
      <c r="H4139" s="10" t="s">
        <v>8563</v>
      </c>
      <c r="I4139" s="4" t="str">
        <f t="shared" si="449"/>
        <v>|Yawmu’l-Taábun|</v>
      </c>
      <c r="J4139" s="3" t="str">
        <f t="shared" si="450"/>
        <v>|Yawmu'l-Taghabun|</v>
      </c>
      <c r="K4139" s="3" t="str">
        <f t="shared" si="451"/>
        <v>Yawmul-Taghabun</v>
      </c>
      <c r="M4139" s="5"/>
      <c r="N4139" s="39" t="str">
        <f t="shared" si="452"/>
        <v/>
      </c>
      <c r="O4139" s="5"/>
      <c r="P4139" s="39" t="str">
        <f t="shared" si="453"/>
        <v/>
      </c>
      <c r="Q4139" s="5"/>
      <c r="R4139" s="39" t="str">
        <f t="shared" si="454"/>
        <v/>
      </c>
    </row>
    <row r="4140" spans="1:18">
      <c r="A4140" s="179" t="s">
        <v>4810</v>
      </c>
      <c r="B4140" s="185" t="s">
        <v>8484</v>
      </c>
      <c r="C4140" s="35" t="str">
        <f t="shared" si="448"/>
        <v>YawmulTalaq</v>
      </c>
      <c r="D4140" s="5"/>
      <c r="E4140" s="40"/>
      <c r="F4140" s="15" t="s">
        <v>4811</v>
      </c>
      <c r="G4140" s="17"/>
      <c r="H4140" s="10" t="s">
        <v>8563</v>
      </c>
      <c r="I4140" s="4" t="str">
        <f t="shared" si="449"/>
        <v>|Yawmu’l-Ṭaláq|</v>
      </c>
      <c r="J4140" s="3" t="str">
        <f t="shared" si="450"/>
        <v>|Yawmu'l-Talaq|</v>
      </c>
      <c r="K4140" s="3" t="str">
        <f t="shared" si="451"/>
        <v>Yawmul-Talaq</v>
      </c>
      <c r="M4140" s="5"/>
      <c r="N4140" s="39" t="str">
        <f t="shared" si="452"/>
        <v/>
      </c>
      <c r="O4140" s="5"/>
      <c r="P4140" s="39" t="str">
        <f t="shared" si="453"/>
        <v/>
      </c>
      <c r="Q4140" s="5"/>
      <c r="R4140" s="39" t="str">
        <f t="shared" si="454"/>
        <v/>
      </c>
    </row>
    <row r="4141" spans="1:18">
      <c r="A4141" s="179" t="s">
        <v>4812</v>
      </c>
      <c r="B4141" s="185" t="s">
        <v>8485</v>
      </c>
      <c r="C4141" s="35" t="str">
        <f t="shared" si="448"/>
        <v>YawmulVaid</v>
      </c>
      <c r="D4141" s="5"/>
      <c r="E4141" s="40"/>
      <c r="F4141" s="15" t="s">
        <v>4813</v>
      </c>
      <c r="G4141" s="17"/>
      <c r="H4141" s="10" t="s">
        <v>8563</v>
      </c>
      <c r="I4141" s="4" t="str">
        <f t="shared" si="449"/>
        <v>|Yawmu’l-Vaʿíd|</v>
      </c>
      <c r="J4141" s="3" t="str">
        <f t="shared" si="450"/>
        <v>|Yawmu'l-Va'id|</v>
      </c>
      <c r="K4141" s="3" t="str">
        <f t="shared" si="451"/>
        <v>Yawmul-Vaid</v>
      </c>
      <c r="M4141" s="5"/>
      <c r="N4141" s="39" t="str">
        <f t="shared" si="452"/>
        <v/>
      </c>
      <c r="O4141" s="5"/>
      <c r="P4141" s="39" t="str">
        <f t="shared" si="453"/>
        <v/>
      </c>
      <c r="Q4141" s="5"/>
      <c r="R4141" s="39" t="str">
        <f t="shared" si="454"/>
        <v/>
      </c>
    </row>
    <row r="4142" spans="1:18">
      <c r="A4142" s="179" t="s">
        <v>4814</v>
      </c>
      <c r="B4142" s="185" t="s">
        <v>8486</v>
      </c>
      <c r="C4142" s="35" t="str">
        <f t="shared" si="448"/>
        <v>Yazd</v>
      </c>
      <c r="D4142" s="5"/>
      <c r="E4142" s="40"/>
      <c r="F4142" s="14"/>
      <c r="G4142" s="17"/>
      <c r="H4142" s="10" t="s">
        <v>8563</v>
      </c>
      <c r="I4142" s="4" t="str">
        <f t="shared" si="449"/>
        <v>|Yazd|</v>
      </c>
      <c r="J4142" s="3" t="str">
        <f t="shared" si="450"/>
        <v>|Yazd|</v>
      </c>
      <c r="K4142" s="3" t="str">
        <f t="shared" si="451"/>
        <v>Yazd</v>
      </c>
      <c r="M4142" s="5"/>
      <c r="N4142" s="39" t="str">
        <f t="shared" si="452"/>
        <v/>
      </c>
      <c r="O4142" s="5"/>
      <c r="P4142" s="39" t="str">
        <f t="shared" si="453"/>
        <v/>
      </c>
      <c r="Q4142" s="5"/>
      <c r="R4142" s="39" t="str">
        <f t="shared" si="454"/>
        <v/>
      </c>
    </row>
    <row r="4143" spans="1:18">
      <c r="A4143" s="179" t="s">
        <v>4815</v>
      </c>
      <c r="B4143" s="185" t="s">
        <v>8487</v>
      </c>
      <c r="C4143" s="35" t="str">
        <f t="shared" si="448"/>
        <v>Yazdani</v>
      </c>
      <c r="D4143" s="5"/>
      <c r="E4143" s="40"/>
      <c r="F4143" s="15"/>
      <c r="G4143" s="17"/>
      <c r="H4143" s="10" t="s">
        <v>8563</v>
      </c>
      <c r="I4143" s="4" t="str">
        <f t="shared" si="449"/>
        <v>|Yazdání|</v>
      </c>
      <c r="J4143" s="3" t="str">
        <f t="shared" si="450"/>
        <v>|Yazdani|</v>
      </c>
      <c r="K4143" s="3" t="str">
        <f t="shared" si="451"/>
        <v>Yazdani</v>
      </c>
      <c r="M4143" s="5"/>
      <c r="N4143" s="39" t="str">
        <f t="shared" si="452"/>
        <v/>
      </c>
      <c r="O4143" s="5"/>
      <c r="P4143" s="39" t="str">
        <f t="shared" si="453"/>
        <v/>
      </c>
      <c r="Q4143" s="5"/>
      <c r="R4143" s="39" t="str">
        <f t="shared" si="454"/>
        <v/>
      </c>
    </row>
    <row r="4144" spans="1:18">
      <c r="A4144" s="179" t="s">
        <v>4816</v>
      </c>
      <c r="B4144" s="185" t="s">
        <v>8488</v>
      </c>
      <c r="C4144" s="35" t="str">
        <f t="shared" si="448"/>
        <v>Yazdi</v>
      </c>
      <c r="D4144" s="5"/>
      <c r="E4144" s="40"/>
      <c r="F4144" s="14"/>
      <c r="G4144" s="17"/>
      <c r="H4144" s="10" t="s">
        <v>8563</v>
      </c>
      <c r="I4144" s="4" t="str">
        <f t="shared" si="449"/>
        <v>|Yazdí|</v>
      </c>
      <c r="J4144" s="3" t="str">
        <f t="shared" si="450"/>
        <v>|Yazdi|</v>
      </c>
      <c r="K4144" s="3" t="str">
        <f t="shared" si="451"/>
        <v>Yazdi</v>
      </c>
      <c r="M4144" s="5"/>
      <c r="N4144" s="39" t="str">
        <f t="shared" si="452"/>
        <v/>
      </c>
      <c r="O4144" s="5"/>
      <c r="P4144" s="39" t="str">
        <f t="shared" si="453"/>
        <v/>
      </c>
      <c r="Q4144" s="5"/>
      <c r="R4144" s="39" t="str">
        <f t="shared" si="454"/>
        <v/>
      </c>
    </row>
    <row r="4145" spans="1:18">
      <c r="A4145" s="179" t="s">
        <v>4817</v>
      </c>
      <c r="B4145" s="185" t="s">
        <v>8489</v>
      </c>
      <c r="C4145" s="35" t="str">
        <f t="shared" si="448"/>
        <v>Yazdigird</v>
      </c>
      <c r="D4145" s="5"/>
      <c r="E4145" s="40"/>
      <c r="F4145" s="14"/>
      <c r="G4145" s="17"/>
      <c r="H4145" s="10" t="s">
        <v>8563</v>
      </c>
      <c r="I4145" s="4" t="str">
        <f t="shared" si="449"/>
        <v>|Yazdigird|</v>
      </c>
      <c r="J4145" s="3" t="str">
        <f t="shared" si="450"/>
        <v>|Yazdigird|</v>
      </c>
      <c r="K4145" s="3" t="str">
        <f t="shared" si="451"/>
        <v>Yazdigird</v>
      </c>
      <c r="M4145" s="5"/>
      <c r="N4145" s="39" t="str">
        <f t="shared" si="452"/>
        <v/>
      </c>
      <c r="O4145" s="5"/>
      <c r="P4145" s="39" t="str">
        <f t="shared" si="453"/>
        <v/>
      </c>
      <c r="Q4145" s="5"/>
      <c r="R4145" s="39" t="str">
        <f t="shared" si="454"/>
        <v/>
      </c>
    </row>
    <row r="4146" spans="1:18">
      <c r="A4146" s="179" t="s">
        <v>4818</v>
      </c>
      <c r="B4146" s="185" t="s">
        <v>142</v>
      </c>
      <c r="C4146" s="35" t="str">
        <f t="shared" si="448"/>
        <v>Yazid</v>
      </c>
      <c r="D4146" s="5"/>
      <c r="E4146" s="40"/>
      <c r="F4146" s="14"/>
      <c r="G4146" s="17"/>
      <c r="H4146" s="10" t="s">
        <v>8563</v>
      </c>
      <c r="I4146" s="4" t="str">
        <f t="shared" si="449"/>
        <v>|Yazíd|</v>
      </c>
      <c r="J4146" s="3" t="str">
        <f t="shared" si="450"/>
        <v>|Yazid|</v>
      </c>
      <c r="K4146" s="3" t="str">
        <f t="shared" si="451"/>
        <v>Yazid</v>
      </c>
      <c r="M4146" s="5"/>
      <c r="N4146" s="39" t="str">
        <f t="shared" si="452"/>
        <v/>
      </c>
      <c r="O4146" s="5"/>
      <c r="P4146" s="39" t="str">
        <f t="shared" si="453"/>
        <v/>
      </c>
      <c r="Q4146" s="5"/>
      <c r="R4146" s="39" t="str">
        <f t="shared" si="454"/>
        <v/>
      </c>
    </row>
    <row r="4147" spans="1:18">
      <c r="A4147" s="179" t="s">
        <v>4819</v>
      </c>
      <c r="B4147" s="185" t="s">
        <v>8490</v>
      </c>
      <c r="C4147" s="35" t="str">
        <f t="shared" si="448"/>
        <v>Yuashir</v>
      </c>
      <c r="D4147" s="5"/>
      <c r="E4147" s="40"/>
      <c r="F4147" s="15"/>
      <c r="G4147" s="17"/>
      <c r="H4147" s="10" t="s">
        <v>8563</v>
      </c>
      <c r="I4147" s="4" t="str">
        <f t="shared" si="449"/>
        <v>|Yuʿáir|</v>
      </c>
      <c r="J4147" s="3" t="str">
        <f t="shared" si="450"/>
        <v>|Yu'ashir|</v>
      </c>
      <c r="K4147" s="3" t="str">
        <f t="shared" si="451"/>
        <v>Yuashir</v>
      </c>
      <c r="M4147" s="5"/>
      <c r="N4147" s="39" t="str">
        <f t="shared" si="452"/>
        <v/>
      </c>
      <c r="O4147" s="5"/>
      <c r="P4147" s="39" t="str">
        <f t="shared" si="453"/>
        <v/>
      </c>
      <c r="Q4147" s="5"/>
      <c r="R4147" s="39" t="str">
        <f t="shared" si="454"/>
        <v/>
      </c>
    </row>
    <row r="4148" spans="1:18">
      <c r="A4148" s="179" t="s">
        <v>4820</v>
      </c>
      <c r="B4148" s="185" t="s">
        <v>8491</v>
      </c>
      <c r="C4148" s="35" t="str">
        <f t="shared" si="448"/>
        <v>yudhakkirakum</v>
      </c>
      <c r="D4148" s="5"/>
      <c r="E4148" s="40"/>
      <c r="F4148" s="15"/>
      <c r="G4148" s="17"/>
      <c r="H4148" s="10" t="s">
        <v>8563</v>
      </c>
      <c r="I4148" s="4" t="str">
        <f t="shared" si="449"/>
        <v>|yuakkirakum|</v>
      </c>
      <c r="J4148" s="3" t="str">
        <f t="shared" si="450"/>
        <v>|yudhakkirakum|</v>
      </c>
      <c r="K4148" s="3" t="str">
        <f t="shared" si="451"/>
        <v>yudhakkirakum</v>
      </c>
      <c r="M4148" s="5"/>
      <c r="N4148" s="39" t="str">
        <f t="shared" si="452"/>
        <v/>
      </c>
      <c r="O4148" s="5"/>
      <c r="P4148" s="39" t="str">
        <f t="shared" si="453"/>
        <v/>
      </c>
      <c r="Q4148" s="5"/>
      <c r="R4148" s="39" t="str">
        <f t="shared" si="454"/>
        <v/>
      </c>
    </row>
    <row r="4149" spans="1:18">
      <c r="A4149" s="179" t="s">
        <v>4761</v>
      </c>
      <c r="B4149" s="185" t="s">
        <v>8492</v>
      </c>
      <c r="C4149" s="35" t="str">
        <f t="shared" si="448"/>
        <v>Yujdani</v>
      </c>
      <c r="D4149" s="5"/>
      <c r="E4149" s="40" t="s">
        <v>9515</v>
      </c>
      <c r="F4149" s="15"/>
      <c r="G4149" s="17"/>
      <c r="H4149" s="10" t="s">
        <v>8563</v>
      </c>
      <c r="I4149" s="4" t="str">
        <f t="shared" si="449"/>
        <v>|Yujdání|</v>
      </c>
      <c r="J4149" s="3" t="str">
        <f t="shared" si="450"/>
        <v>|Yujdani|</v>
      </c>
      <c r="K4149" s="3" t="str">
        <f t="shared" si="451"/>
        <v>Yujdani</v>
      </c>
      <c r="M4149" s="5"/>
      <c r="N4149" s="39" t="str">
        <f t="shared" si="452"/>
        <v/>
      </c>
      <c r="O4149" s="5"/>
      <c r="P4149" s="39" t="str">
        <f t="shared" si="453"/>
        <v/>
      </c>
      <c r="Q4149" s="5"/>
      <c r="R4149" s="39" t="str">
        <f t="shared" si="454"/>
        <v/>
      </c>
    </row>
    <row r="4150" spans="1:18">
      <c r="A4150" s="179" t="s">
        <v>4821</v>
      </c>
      <c r="B4150" s="185" t="s">
        <v>8493</v>
      </c>
      <c r="C4150" s="35" t="str">
        <f t="shared" si="448"/>
        <v>Yunis</v>
      </c>
      <c r="D4150" s="5"/>
      <c r="E4150" s="40"/>
      <c r="F4150" s="15" t="s">
        <v>4822</v>
      </c>
      <c r="G4150" s="17"/>
      <c r="H4150" s="10" t="s">
        <v>8563</v>
      </c>
      <c r="I4150" s="4" t="str">
        <f t="shared" si="449"/>
        <v>|Yúnis|</v>
      </c>
      <c r="J4150" s="3" t="str">
        <f t="shared" si="450"/>
        <v>|Yunis|</v>
      </c>
      <c r="K4150" s="3" t="str">
        <f t="shared" si="451"/>
        <v>Yunis</v>
      </c>
      <c r="M4150" s="5"/>
      <c r="N4150" s="39" t="str">
        <f t="shared" si="452"/>
        <v/>
      </c>
      <c r="O4150" s="5"/>
      <c r="P4150" s="39" t="str">
        <f t="shared" si="453"/>
        <v/>
      </c>
      <c r="Q4150" s="5"/>
      <c r="R4150" s="39" t="str">
        <f t="shared" si="454"/>
        <v/>
      </c>
    </row>
    <row r="4151" spans="1:18">
      <c r="A4151" s="179" t="s">
        <v>4823</v>
      </c>
      <c r="B4151" s="185" t="s">
        <v>8494</v>
      </c>
      <c r="C4151" s="35" t="str">
        <f t="shared" si="448"/>
        <v>Yusif</v>
      </c>
      <c r="D4151" s="5"/>
      <c r="E4151" s="40"/>
      <c r="F4151" s="15"/>
      <c r="G4151" s="17"/>
      <c r="H4151" s="10" t="s">
        <v>8563</v>
      </c>
      <c r="I4151" s="4" t="str">
        <f t="shared" si="449"/>
        <v>|Yúsif|</v>
      </c>
      <c r="J4151" s="3" t="str">
        <f t="shared" si="450"/>
        <v>|Yusif|</v>
      </c>
      <c r="K4151" s="3" t="str">
        <f t="shared" si="451"/>
        <v>Yusif</v>
      </c>
      <c r="M4151" s="5"/>
      <c r="N4151" s="39" t="str">
        <f t="shared" si="452"/>
        <v/>
      </c>
      <c r="O4151" s="5"/>
      <c r="P4151" s="39" t="str">
        <f t="shared" si="453"/>
        <v/>
      </c>
      <c r="Q4151" s="5"/>
      <c r="R4151" s="39" t="str">
        <f t="shared" si="454"/>
        <v/>
      </c>
    </row>
    <row r="4152" spans="1:18">
      <c r="A4152" s="179" t="s">
        <v>4824</v>
      </c>
      <c r="B4152" s="185" t="s">
        <v>8495</v>
      </c>
      <c r="C4152" s="35" t="str">
        <f t="shared" si="448"/>
        <v>YusifiArdibili</v>
      </c>
      <c r="D4152" s="5"/>
      <c r="E4152" s="40"/>
      <c r="F4152" s="15"/>
      <c r="G4152" s="17"/>
      <c r="H4152" s="10" t="s">
        <v>8563</v>
      </c>
      <c r="I4152" s="4" t="str">
        <f t="shared" si="449"/>
        <v>|Yúsif-i-Ardibílí|</v>
      </c>
      <c r="J4152" s="3" t="str">
        <f t="shared" si="450"/>
        <v>|Yusif-i-Ardibili|</v>
      </c>
      <c r="K4152" s="3" t="str">
        <f t="shared" si="451"/>
        <v>Yusif-i-Ardibili</v>
      </c>
      <c r="M4152" s="5"/>
      <c r="N4152" s="39" t="str">
        <f t="shared" si="452"/>
        <v/>
      </c>
      <c r="O4152" s="5"/>
      <c r="P4152" s="39" t="str">
        <f t="shared" si="453"/>
        <v/>
      </c>
      <c r="Q4152" s="5"/>
      <c r="R4152" s="39" t="str">
        <f t="shared" si="454"/>
        <v/>
      </c>
    </row>
    <row r="4153" spans="1:18">
      <c r="A4153" s="179" t="s">
        <v>4825</v>
      </c>
      <c r="B4153" s="185" t="s">
        <v>8496</v>
      </c>
      <c r="C4153" s="35" t="str">
        <f t="shared" si="448"/>
        <v>YusifiSihDihi</v>
      </c>
      <c r="D4153" s="5"/>
      <c r="E4153" s="40"/>
      <c r="F4153" s="14"/>
      <c r="G4153" s="17"/>
      <c r="H4153" s="10" t="s">
        <v>8563</v>
      </c>
      <c r="I4153" s="4" t="str">
        <f t="shared" si="449"/>
        <v>|Yúsif-i-Sih-Dihí|</v>
      </c>
      <c r="J4153" s="3" t="str">
        <f t="shared" si="450"/>
        <v>|Yusif-i-Sih-Dihi|</v>
      </c>
      <c r="K4153" s="3" t="str">
        <f t="shared" si="451"/>
        <v>Yusif-i-Sih-Dihi</v>
      </c>
      <c r="M4153" s="5"/>
      <c r="N4153" s="39" t="str">
        <f t="shared" si="452"/>
        <v/>
      </c>
      <c r="O4153" s="5"/>
      <c r="P4153" s="39" t="str">
        <f t="shared" si="453"/>
        <v/>
      </c>
      <c r="Q4153" s="5"/>
      <c r="R4153" s="39" t="str">
        <f t="shared" si="454"/>
        <v/>
      </c>
    </row>
    <row r="4154" spans="1:18">
      <c r="A4154" s="179" t="s">
        <v>4826</v>
      </c>
      <c r="B4154" s="185" t="s">
        <v>8497</v>
      </c>
      <c r="C4154" s="35" t="str">
        <f t="shared" si="448"/>
        <v>YuzBashi</v>
      </c>
      <c r="D4154" s="5"/>
      <c r="E4154" s="40"/>
      <c r="F4154" s="15"/>
      <c r="G4154" s="17"/>
      <c r="H4154" s="10" t="s">
        <v>8563</v>
      </c>
      <c r="I4154" s="4" t="str">
        <f t="shared" si="449"/>
        <v>|Yúz-Báí|</v>
      </c>
      <c r="J4154" s="3" t="str">
        <f t="shared" si="450"/>
        <v>|Yuz-Bashi|</v>
      </c>
      <c r="K4154" s="3" t="str">
        <f t="shared" si="451"/>
        <v>Yuz-Bashi</v>
      </c>
      <c r="M4154" s="5"/>
      <c r="N4154" s="39" t="str">
        <f t="shared" si="452"/>
        <v/>
      </c>
      <c r="O4154" s="5"/>
      <c r="P4154" s="39" t="str">
        <f t="shared" si="453"/>
        <v/>
      </c>
      <c r="Q4154" s="5"/>
      <c r="R4154" s="39" t="str">
        <f t="shared" si="454"/>
        <v/>
      </c>
    </row>
    <row r="4155" spans="1:18">
      <c r="A4155" s="179" t="s">
        <v>4827</v>
      </c>
      <c r="B4155" s="185" t="s">
        <v>8498</v>
      </c>
      <c r="C4155" s="35" t="str">
        <f t="shared" si="448"/>
        <v>Za</v>
      </c>
      <c r="D4155" s="5"/>
      <c r="E4155" s="40"/>
      <c r="F4155" s="14"/>
      <c r="G4155" s="17"/>
      <c r="H4155" s="10" t="s">
        <v>8563</v>
      </c>
      <c r="I4155" s="4" t="str">
        <f t="shared" si="449"/>
        <v>|Zá|</v>
      </c>
      <c r="J4155" s="3" t="str">
        <f t="shared" si="450"/>
        <v>|Za|</v>
      </c>
      <c r="K4155" s="3" t="str">
        <f t="shared" si="451"/>
        <v>Za</v>
      </c>
      <c r="M4155" s="5"/>
      <c r="N4155" s="39" t="str">
        <f t="shared" si="452"/>
        <v/>
      </c>
      <c r="O4155" s="5"/>
      <c r="P4155" s="39" t="str">
        <f t="shared" si="453"/>
        <v/>
      </c>
      <c r="Q4155" s="5"/>
      <c r="R4155" s="39" t="str">
        <f t="shared" si="454"/>
        <v/>
      </c>
    </row>
    <row r="4156" spans="1:18">
      <c r="A4156" s="179" t="s">
        <v>4828</v>
      </c>
      <c r="B4156" s="185" t="s">
        <v>8499</v>
      </c>
      <c r="C4156" s="35" t="str">
        <f t="shared" si="448"/>
        <v>Zadih</v>
      </c>
      <c r="D4156" s="5"/>
      <c r="E4156" s="40"/>
      <c r="F4156" s="14" t="s">
        <v>4829</v>
      </c>
      <c r="G4156" s="17"/>
      <c r="H4156" s="10" t="s">
        <v>8563</v>
      </c>
      <c r="I4156" s="4" t="str">
        <f t="shared" si="449"/>
        <v>|Zádih|</v>
      </c>
      <c r="J4156" s="3" t="str">
        <f t="shared" si="450"/>
        <v>|Zadih|</v>
      </c>
      <c r="K4156" s="3" t="str">
        <f t="shared" si="451"/>
        <v>Zadih</v>
      </c>
      <c r="M4156" s="5"/>
      <c r="N4156" s="39" t="str">
        <f t="shared" si="452"/>
        <v/>
      </c>
      <c r="O4156" s="5"/>
      <c r="P4156" s="39" t="str">
        <f t="shared" si="453"/>
        <v/>
      </c>
      <c r="Q4156" s="5"/>
      <c r="R4156" s="39" t="str">
        <f t="shared" si="454"/>
        <v/>
      </c>
    </row>
    <row r="4157" spans="1:18">
      <c r="A4157" s="179" t="s">
        <v>4830</v>
      </c>
      <c r="B4157" s="185" t="s">
        <v>8500</v>
      </c>
      <c r="C4157" s="35" t="str">
        <f t="shared" si="448"/>
        <v>Zafaran</v>
      </c>
      <c r="D4157" s="5"/>
      <c r="E4157" s="40"/>
      <c r="F4157" s="14"/>
      <c r="G4157" s="17"/>
      <c r="H4157" s="10" t="s">
        <v>8563</v>
      </c>
      <c r="I4157" s="4" t="str">
        <f t="shared" si="449"/>
        <v>|Zaʿfarán|</v>
      </c>
      <c r="J4157" s="3" t="str">
        <f t="shared" si="450"/>
        <v>|Za'faran|</v>
      </c>
      <c r="K4157" s="3" t="str">
        <f t="shared" si="451"/>
        <v>Zafaran</v>
      </c>
      <c r="M4157" s="5"/>
      <c r="N4157" s="39" t="str">
        <f t="shared" si="452"/>
        <v/>
      </c>
      <c r="O4157" s="5"/>
      <c r="P4157" s="39" t="str">
        <f t="shared" si="453"/>
        <v/>
      </c>
      <c r="Q4157" s="5"/>
      <c r="R4157" s="39" t="str">
        <f t="shared" si="454"/>
        <v/>
      </c>
    </row>
    <row r="4158" spans="1:18">
      <c r="A4158" s="179" t="s">
        <v>4831</v>
      </c>
      <c r="B4158" s="185" t="s">
        <v>8501</v>
      </c>
      <c r="C4158" s="35" t="str">
        <f t="shared" si="448"/>
        <v>Zagh</v>
      </c>
      <c r="D4158" s="5"/>
      <c r="E4158" s="40"/>
      <c r="F4158" s="15" t="s">
        <v>4832</v>
      </c>
      <c r="G4158" s="17"/>
      <c r="H4158" s="10" t="s">
        <v>8563</v>
      </c>
      <c r="I4158" s="4" t="str">
        <f t="shared" si="449"/>
        <v>|Zá|</v>
      </c>
      <c r="J4158" s="3" t="str">
        <f t="shared" si="450"/>
        <v>|Zagh|</v>
      </c>
      <c r="K4158" s="3" t="str">
        <f t="shared" si="451"/>
        <v>Zagh</v>
      </c>
      <c r="M4158" s="5"/>
      <c r="N4158" s="39" t="str">
        <f t="shared" si="452"/>
        <v/>
      </c>
      <c r="O4158" s="5"/>
      <c r="P4158" s="39" t="str">
        <f t="shared" si="453"/>
        <v/>
      </c>
      <c r="Q4158" s="5"/>
      <c r="R4158" s="39" t="str">
        <f t="shared" si="454"/>
        <v/>
      </c>
    </row>
    <row r="4159" spans="1:18">
      <c r="A4159" s="179" t="s">
        <v>4833</v>
      </c>
      <c r="B4159" s="185" t="s">
        <v>8502</v>
      </c>
      <c r="C4159" s="35" t="str">
        <f t="shared" si="448"/>
        <v>Zahid</v>
      </c>
      <c r="D4159" s="5"/>
      <c r="E4159" s="40"/>
      <c r="F4159" s="15" t="s">
        <v>4834</v>
      </c>
      <c r="G4159" s="17"/>
      <c r="H4159" s="10" t="s">
        <v>8563</v>
      </c>
      <c r="I4159" s="4" t="str">
        <f t="shared" si="449"/>
        <v>|Záhid|</v>
      </c>
      <c r="J4159" s="3" t="str">
        <f t="shared" si="450"/>
        <v>|Zahid|</v>
      </c>
      <c r="K4159" s="3" t="str">
        <f t="shared" si="451"/>
        <v>Zahid</v>
      </c>
      <c r="M4159" s="5"/>
      <c r="N4159" s="39" t="str">
        <f t="shared" si="452"/>
        <v/>
      </c>
      <c r="O4159" s="5"/>
      <c r="P4159" s="39" t="str">
        <f t="shared" si="453"/>
        <v/>
      </c>
      <c r="Q4159" s="5"/>
      <c r="R4159" s="39" t="str">
        <f t="shared" si="454"/>
        <v/>
      </c>
    </row>
    <row r="4160" spans="1:18">
      <c r="A4160" s="179" t="s">
        <v>4835</v>
      </c>
      <c r="B4160" s="185" t="s">
        <v>8503</v>
      </c>
      <c r="C4160" s="35" t="str">
        <f t="shared" si="448"/>
        <v>Zahidan</v>
      </c>
      <c r="D4160" s="5"/>
      <c r="E4160" s="40"/>
      <c r="F4160" s="15" t="s">
        <v>4836</v>
      </c>
      <c r="G4160" s="17"/>
      <c r="H4160" s="10" t="s">
        <v>8563</v>
      </c>
      <c r="I4160" s="4" t="str">
        <f t="shared" si="449"/>
        <v>|Záhidán|</v>
      </c>
      <c r="J4160" s="3" t="str">
        <f t="shared" si="450"/>
        <v>|Zahidan|</v>
      </c>
      <c r="K4160" s="3" t="str">
        <f t="shared" si="451"/>
        <v>Zahidan</v>
      </c>
      <c r="M4160" s="5"/>
      <c r="N4160" s="39" t="str">
        <f t="shared" si="452"/>
        <v/>
      </c>
      <c r="O4160" s="5"/>
      <c r="P4160" s="39" t="str">
        <f t="shared" si="453"/>
        <v/>
      </c>
      <c r="Q4160" s="5"/>
      <c r="R4160" s="39" t="str">
        <f t="shared" si="454"/>
        <v/>
      </c>
    </row>
    <row r="4161" spans="1:21">
      <c r="A4161" s="179" t="s">
        <v>4837</v>
      </c>
      <c r="B4161" s="185" t="s">
        <v>8504</v>
      </c>
      <c r="C4161" s="35" t="str">
        <f t="shared" si="448"/>
        <v>Zahir</v>
      </c>
      <c r="D4161" s="5"/>
      <c r="E4161" s="40"/>
      <c r="F4161" s="15"/>
      <c r="G4161" s="17"/>
      <c r="H4161" s="10" t="s">
        <v>8563</v>
      </c>
      <c r="I4161" s="4" t="str">
        <f t="shared" si="449"/>
        <v>|Ẓáhir|</v>
      </c>
      <c r="J4161" s="3" t="str">
        <f t="shared" si="450"/>
        <v>|Zahir|</v>
      </c>
      <c r="K4161" s="3" t="str">
        <f t="shared" si="451"/>
        <v>Zahir</v>
      </c>
      <c r="M4161" s="5"/>
      <c r="N4161" s="39" t="str">
        <f t="shared" si="452"/>
        <v/>
      </c>
      <c r="O4161" s="5"/>
      <c r="P4161" s="39" t="str">
        <f t="shared" si="453"/>
        <v/>
      </c>
      <c r="Q4161" s="5"/>
      <c r="R4161" s="39" t="str">
        <f t="shared" si="454"/>
        <v/>
      </c>
    </row>
    <row r="4162" spans="1:21">
      <c r="A4162" s="179" t="s">
        <v>4838</v>
      </c>
      <c r="B4162" s="185" t="s">
        <v>8505</v>
      </c>
      <c r="C4162" s="35" t="str">
        <f t="shared" ref="C4162:C4225" si="455">SUBSTITUTE(SUBSTITUTE(K4162,"-","")," ","")</f>
        <v>Zahiri</v>
      </c>
      <c r="D4162" s="5"/>
      <c r="E4162" s="40"/>
      <c r="F4162" s="15" t="s">
        <v>4839</v>
      </c>
      <c r="G4162" s="17"/>
      <c r="H4162" s="10" t="s">
        <v>8563</v>
      </c>
      <c r="I4162" s="4" t="str">
        <f t="shared" ref="I4162:I4225" si="456">CONCATENATE("|",B4162,"|")</f>
        <v>|Ẓáhirí|</v>
      </c>
      <c r="J4162" s="3" t="str">
        <f t="shared" ref="J4162:J4225" si="457">CONCATENATE("|",F_OutputASCII(B4162),"|")</f>
        <v>|Zahiri|</v>
      </c>
      <c r="K4162" s="3" t="str">
        <f t="shared" ref="K4162:K4224" si="458">IF(SUBSTITUTE(MID(J4162,2,LEN(J4162)-2),"'","")&lt;&gt;"",SUBSTITUTE(MID(J4162,2,LEN(J4162)-2),"'",""),"ZZZZZ")</f>
        <v>Zahiri</v>
      </c>
      <c r="M4162" s="5"/>
      <c r="N4162" s="39" t="str">
        <f t="shared" si="452"/>
        <v/>
      </c>
      <c r="O4162" s="5"/>
      <c r="P4162" s="39" t="str">
        <f t="shared" si="453"/>
        <v/>
      </c>
      <c r="Q4162" s="5"/>
      <c r="R4162" s="39" t="str">
        <f t="shared" si="454"/>
        <v/>
      </c>
    </row>
    <row r="4163" spans="1:21">
      <c r="A4163" s="179" t="s">
        <v>4840</v>
      </c>
      <c r="B4163" s="185" t="s">
        <v>8506</v>
      </c>
      <c r="C4163" s="35" t="str">
        <f t="shared" si="455"/>
        <v>ZahirudDawlih</v>
      </c>
      <c r="D4163" s="5"/>
      <c r="E4163" s="40"/>
      <c r="F4163" s="15" t="s">
        <v>4841</v>
      </c>
      <c r="G4163" s="17"/>
      <c r="H4163" s="10" t="s">
        <v>8563</v>
      </c>
      <c r="I4163" s="4" t="str">
        <f t="shared" si="456"/>
        <v>|Ẓáhiru’d-Dawlih|</v>
      </c>
      <c r="J4163" s="3" t="str">
        <f t="shared" si="457"/>
        <v>|Zahiru'd-Dawlih|</v>
      </c>
      <c r="K4163" s="3" t="str">
        <f t="shared" si="458"/>
        <v>Zahirud-Dawlih</v>
      </c>
      <c r="M4163" s="5"/>
      <c r="N4163" s="39" t="str">
        <f t="shared" ref="N4163:N4224" si="459">SUBSTITUTE(SUBSTITUTE(SUBSTITUTE(F_OutputASCII(M4163),"-","")," ",""),"'","")</f>
        <v/>
      </c>
      <c r="O4163" s="5"/>
      <c r="P4163" s="39" t="str">
        <f t="shared" ref="P4163:P4224" si="460">SUBSTITUTE(SUBSTITUTE(SUBSTITUTE(F_OutputASCII(O4163),"-","")," ",""),"'","")</f>
        <v/>
      </c>
      <c r="Q4163" s="5"/>
      <c r="R4163" s="39" t="str">
        <f t="shared" ref="R4163:R4224" si="461">SUBSTITUTE(SUBSTITUTE(Q4163,"-","")," ","")</f>
        <v/>
      </c>
    </row>
    <row r="4164" spans="1:21">
      <c r="A4164" s="179" t="s">
        <v>4842</v>
      </c>
      <c r="B4164" s="185" t="s">
        <v>8507</v>
      </c>
      <c r="C4164" s="35" t="str">
        <f t="shared" si="455"/>
        <v>Zahra</v>
      </c>
      <c r="D4164" s="5"/>
      <c r="E4164" s="40"/>
      <c r="F4164" s="15"/>
      <c r="G4164" s="17"/>
      <c r="H4164" s="10" t="s">
        <v>8563</v>
      </c>
      <c r="I4164" s="4" t="str">
        <f t="shared" si="456"/>
        <v>|Zahrá|</v>
      </c>
      <c r="J4164" s="3" t="str">
        <f t="shared" si="457"/>
        <v>|Zahra|</v>
      </c>
      <c r="K4164" s="3" t="str">
        <f t="shared" si="458"/>
        <v>Zahra</v>
      </c>
      <c r="M4164" s="5"/>
      <c r="N4164" s="39" t="str">
        <f t="shared" si="459"/>
        <v/>
      </c>
      <c r="O4164" s="5"/>
      <c r="P4164" s="39" t="str">
        <f t="shared" si="460"/>
        <v/>
      </c>
      <c r="Q4164" s="5"/>
      <c r="R4164" s="39" t="str">
        <f t="shared" si="461"/>
        <v/>
      </c>
    </row>
    <row r="4165" spans="1:21">
      <c r="A4165" s="179" t="s">
        <v>4843</v>
      </c>
      <c r="B4165" s="185" t="s">
        <v>8508</v>
      </c>
      <c r="C4165" s="35" t="str">
        <f t="shared" si="455"/>
        <v>Zahrai</v>
      </c>
      <c r="D4165" s="5"/>
      <c r="E4165" s="40"/>
      <c r="F4165" s="15"/>
      <c r="G4165" s="17"/>
      <c r="H4165" s="10" t="s">
        <v>8563</v>
      </c>
      <c r="I4165" s="4" t="str">
        <f t="shared" si="456"/>
        <v>|Zahrá’í|</v>
      </c>
      <c r="J4165" s="3" t="str">
        <f t="shared" si="457"/>
        <v>|Zahra'i|</v>
      </c>
      <c r="K4165" s="3" t="str">
        <f t="shared" si="458"/>
        <v>Zahrai</v>
      </c>
      <c r="M4165" s="5"/>
      <c r="N4165" s="39" t="str">
        <f t="shared" si="459"/>
        <v/>
      </c>
      <c r="O4165" s="5"/>
      <c r="P4165" s="39" t="str">
        <f t="shared" si="460"/>
        <v/>
      </c>
      <c r="Q4165" s="5"/>
      <c r="R4165" s="39" t="str">
        <f t="shared" si="461"/>
        <v/>
      </c>
    </row>
    <row r="4166" spans="1:21">
      <c r="A4166" s="179" t="s">
        <v>4845</v>
      </c>
      <c r="B4166" s="185" t="s">
        <v>8510</v>
      </c>
      <c r="C4166" s="35" t="str">
        <f t="shared" si="455"/>
        <v>ZaimudDawlih</v>
      </c>
      <c r="D4166" s="5"/>
      <c r="E4166" s="40"/>
      <c r="F4166" s="15"/>
      <c r="G4166" s="17"/>
      <c r="H4166" s="10" t="s">
        <v>8563</v>
      </c>
      <c r="I4166" s="4" t="str">
        <f t="shared" si="456"/>
        <v>|Zaʿímu’d-Dawlih|</v>
      </c>
      <c r="J4166" s="3" t="str">
        <f t="shared" si="457"/>
        <v>|Za'imu'd-Dawlih|</v>
      </c>
      <c r="K4166" s="3" t="str">
        <f t="shared" si="458"/>
        <v>Zaimud-Dawlih</v>
      </c>
      <c r="M4166" s="5"/>
      <c r="N4166" s="39" t="str">
        <f t="shared" si="459"/>
        <v/>
      </c>
      <c r="O4166" s="5"/>
      <c r="P4166" s="39" t="str">
        <f t="shared" si="460"/>
        <v/>
      </c>
      <c r="Q4166" s="5"/>
      <c r="R4166" s="39" t="str">
        <f t="shared" si="461"/>
        <v/>
      </c>
    </row>
    <row r="4167" spans="1:21">
      <c r="A4167" s="179" t="s">
        <v>4846</v>
      </c>
      <c r="B4167" s="185" t="s">
        <v>8511</v>
      </c>
      <c r="C4167" s="35" t="str">
        <f t="shared" si="455"/>
        <v>Zaʼirpur</v>
      </c>
      <c r="D4167" s="5"/>
      <c r="E4167" s="40"/>
      <c r="F4167" s="15"/>
      <c r="G4167" s="17"/>
      <c r="H4167" s="10" t="s">
        <v>8563</v>
      </c>
      <c r="I4167" s="4" t="str">
        <f t="shared" si="456"/>
        <v>|Záʼirpúr|</v>
      </c>
      <c r="J4167" s="3" t="str">
        <f t="shared" si="457"/>
        <v>|Zaʼirpur|</v>
      </c>
      <c r="K4167" s="3" t="str">
        <f t="shared" si="458"/>
        <v>Zaʼirpur</v>
      </c>
      <c r="M4167" s="5"/>
      <c r="N4167" s="39" t="str">
        <f t="shared" si="459"/>
        <v/>
      </c>
      <c r="O4167" s="5"/>
      <c r="P4167" s="39" t="str">
        <f t="shared" si="460"/>
        <v/>
      </c>
      <c r="Q4167" s="5"/>
      <c r="R4167" s="39" t="str">
        <f t="shared" si="461"/>
        <v/>
      </c>
    </row>
    <row r="4168" spans="1:21">
      <c r="A4168" s="179" t="s">
        <v>4847</v>
      </c>
      <c r="B4168" s="185" t="s">
        <v>8512</v>
      </c>
      <c r="C4168" s="35" t="str">
        <f t="shared" si="455"/>
        <v>ZakariyyayiQadiKalaʼi</v>
      </c>
      <c r="D4168" s="5"/>
      <c r="E4168" s="40"/>
      <c r="F4168" s="15"/>
      <c r="G4168" s="17"/>
      <c r="H4168" s="10" t="s">
        <v>8563</v>
      </c>
      <c r="I4168" s="4" t="str">
        <f t="shared" si="456"/>
        <v>|Zakaríyyáy-i-Qáḍí-Kaláʼí|</v>
      </c>
      <c r="J4168" s="3" t="str">
        <f t="shared" si="457"/>
        <v>|Zakariyyay-i-Qadi-Kalaʼi|</v>
      </c>
      <c r="K4168" s="3" t="str">
        <f t="shared" si="458"/>
        <v>Zakariyyay-i-Qadi-Kalaʼi</v>
      </c>
      <c r="M4168" s="5"/>
      <c r="N4168" s="39" t="str">
        <f t="shared" si="459"/>
        <v/>
      </c>
      <c r="O4168" s="5"/>
      <c r="P4168" s="39" t="str">
        <f t="shared" si="460"/>
        <v/>
      </c>
      <c r="Q4168" s="5"/>
      <c r="R4168" s="39" t="str">
        <f t="shared" si="461"/>
        <v/>
      </c>
    </row>
    <row r="4169" spans="1:21">
      <c r="A4169" s="179" t="s">
        <v>4848</v>
      </c>
      <c r="B4169" s="185" t="s">
        <v>8513</v>
      </c>
      <c r="C4169" s="35" t="str">
        <f t="shared" si="455"/>
        <v>Zakat</v>
      </c>
      <c r="D4169" s="5"/>
      <c r="E4169" s="40"/>
      <c r="F4169" s="14"/>
      <c r="G4169" s="17"/>
      <c r="H4169" s="10" t="s">
        <v>8563</v>
      </c>
      <c r="I4169" s="4" t="str">
        <f t="shared" si="456"/>
        <v>|Zakát|</v>
      </c>
      <c r="J4169" s="3" t="str">
        <f t="shared" si="457"/>
        <v>|Zakat|</v>
      </c>
      <c r="K4169" s="3" t="str">
        <f t="shared" si="458"/>
        <v>Zakat</v>
      </c>
      <c r="M4169" s="5"/>
      <c r="N4169" s="39" t="str">
        <f t="shared" si="459"/>
        <v/>
      </c>
      <c r="O4169" s="5"/>
      <c r="P4169" s="39" t="str">
        <f t="shared" si="460"/>
        <v/>
      </c>
      <c r="Q4169" s="5"/>
      <c r="R4169" s="39" t="str">
        <f t="shared" si="461"/>
        <v/>
      </c>
    </row>
    <row r="4170" spans="1:21">
      <c r="A4170" s="179" t="s">
        <v>4849</v>
      </c>
      <c r="B4170" s="185" t="s">
        <v>8514</v>
      </c>
      <c r="C4170" s="35" t="str">
        <f t="shared" si="455"/>
        <v>Zaki</v>
      </c>
      <c r="D4170" s="5"/>
      <c r="E4170" s="40"/>
      <c r="F4170" s="14"/>
      <c r="G4170" s="17"/>
      <c r="H4170" s="10" t="s">
        <v>8563</v>
      </c>
      <c r="I4170" s="4" t="str">
        <f t="shared" si="456"/>
        <v>|Zakí|</v>
      </c>
      <c r="J4170" s="3" t="str">
        <f t="shared" si="457"/>
        <v>|Zaki|</v>
      </c>
      <c r="K4170" s="3" t="str">
        <f t="shared" si="458"/>
        <v>Zaki</v>
      </c>
      <c r="M4170" s="5"/>
      <c r="N4170" s="39" t="str">
        <f t="shared" si="459"/>
        <v/>
      </c>
      <c r="O4170" s="5"/>
      <c r="P4170" s="39" t="str">
        <f t="shared" si="460"/>
        <v/>
      </c>
      <c r="Q4170" s="5"/>
      <c r="R4170" s="39" t="str">
        <f t="shared" si="461"/>
        <v/>
      </c>
    </row>
    <row r="4171" spans="1:21">
      <c r="A4171" s="179" t="s">
        <v>4850</v>
      </c>
      <c r="B4171" s="185" t="s">
        <v>8515</v>
      </c>
      <c r="C4171" s="35" t="str">
        <f t="shared" si="455"/>
        <v>Zakiyyih</v>
      </c>
      <c r="D4171" s="5"/>
      <c r="E4171" s="40"/>
      <c r="F4171" s="14"/>
      <c r="G4171" s="17"/>
      <c r="H4171" s="10" t="s">
        <v>8563</v>
      </c>
      <c r="I4171" s="4" t="str">
        <f t="shared" si="456"/>
        <v>|Zakíyyih|</v>
      </c>
      <c r="J4171" s="3" t="str">
        <f t="shared" si="457"/>
        <v>|Zakiyyih|</v>
      </c>
      <c r="K4171" s="3" t="str">
        <f t="shared" si="458"/>
        <v>Zakiyyih</v>
      </c>
      <c r="M4171" s="5"/>
      <c r="N4171" s="39" t="str">
        <f t="shared" si="459"/>
        <v/>
      </c>
      <c r="O4171" s="5"/>
      <c r="P4171" s="39" t="str">
        <f t="shared" si="460"/>
        <v/>
      </c>
      <c r="Q4171" s="5"/>
      <c r="R4171" s="39" t="str">
        <f t="shared" si="461"/>
        <v/>
      </c>
    </row>
    <row r="4172" spans="1:21">
      <c r="A4172" s="179" t="s">
        <v>4851</v>
      </c>
      <c r="B4172" s="185" t="s">
        <v>8516</v>
      </c>
      <c r="C4172" s="35" t="str">
        <f t="shared" si="455"/>
        <v>Zal</v>
      </c>
      <c r="D4172" s="5"/>
      <c r="E4172" s="40"/>
      <c r="F4172" s="15"/>
      <c r="G4172" s="17"/>
      <c r="H4172" s="10" t="s">
        <v>8563</v>
      </c>
      <c r="I4172" s="4" t="str">
        <f t="shared" si="456"/>
        <v>|Zál|</v>
      </c>
      <c r="J4172" s="3" t="str">
        <f t="shared" si="457"/>
        <v>|Zal|</v>
      </c>
      <c r="K4172" s="3" t="str">
        <f t="shared" si="458"/>
        <v>Zal</v>
      </c>
      <c r="M4172" s="5"/>
      <c r="N4172" s="39" t="str">
        <f t="shared" si="459"/>
        <v/>
      </c>
      <c r="O4172" s="5"/>
      <c r="P4172" s="39" t="str">
        <f t="shared" si="460"/>
        <v/>
      </c>
      <c r="Q4172" s="5"/>
      <c r="R4172" s="39" t="str">
        <f t="shared" si="461"/>
        <v/>
      </c>
    </row>
    <row r="4173" spans="1:21">
      <c r="A4173" s="179" t="s">
        <v>4852</v>
      </c>
      <c r="B4173" s="185" t="s">
        <v>8517</v>
      </c>
      <c r="C4173" s="35" t="str">
        <f t="shared" si="455"/>
        <v>Zaman</v>
      </c>
      <c r="D4173" s="5"/>
      <c r="E4173" s="40"/>
      <c r="F4173" s="14"/>
      <c r="G4173" s="17"/>
      <c r="H4173" s="10" t="s">
        <v>8563</v>
      </c>
      <c r="I4173" s="4" t="str">
        <f t="shared" si="456"/>
        <v>|Zamán|</v>
      </c>
      <c r="J4173" s="3" t="str">
        <f t="shared" si="457"/>
        <v>|Zaman|</v>
      </c>
      <c r="K4173" s="3" t="str">
        <f t="shared" si="458"/>
        <v>Zaman</v>
      </c>
      <c r="M4173" s="5"/>
      <c r="N4173" s="39" t="str">
        <f t="shared" si="459"/>
        <v/>
      </c>
      <c r="O4173" s="5"/>
      <c r="P4173" s="39" t="str">
        <f t="shared" si="460"/>
        <v/>
      </c>
      <c r="Q4173" s="5"/>
      <c r="R4173" s="39" t="str">
        <f t="shared" si="461"/>
        <v/>
      </c>
    </row>
    <row r="4174" spans="1:21">
      <c r="A4174" s="179" t="s">
        <v>4853</v>
      </c>
      <c r="B4174" s="185" t="s">
        <v>8518</v>
      </c>
      <c r="C4174" s="35" t="str">
        <f t="shared" si="455"/>
        <v>Zamani</v>
      </c>
      <c r="D4174" s="5"/>
      <c r="E4174" s="40"/>
      <c r="F4174" s="15"/>
      <c r="G4174" s="17"/>
      <c r="H4174" s="10" t="s">
        <v>8563</v>
      </c>
      <c r="I4174" s="4" t="str">
        <f t="shared" si="456"/>
        <v>|Zamání|</v>
      </c>
      <c r="J4174" s="3" t="str">
        <f t="shared" si="457"/>
        <v>|Zamani|</v>
      </c>
      <c r="K4174" s="3" t="str">
        <f t="shared" si="458"/>
        <v>Zamani</v>
      </c>
      <c r="M4174" s="5"/>
      <c r="N4174" s="39" t="str">
        <f t="shared" si="459"/>
        <v/>
      </c>
      <c r="O4174" s="5"/>
      <c r="P4174" s="39" t="str">
        <f t="shared" si="460"/>
        <v/>
      </c>
      <c r="Q4174" s="5"/>
      <c r="R4174" s="39" t="str">
        <f t="shared" si="461"/>
        <v/>
      </c>
    </row>
    <row r="4175" spans="1:21">
      <c r="A4175" s="179" t="s">
        <v>4854</v>
      </c>
      <c r="B4175" s="185" t="s">
        <v>8519</v>
      </c>
      <c r="C4175" s="35" t="str">
        <f t="shared" si="455"/>
        <v>Zamzam</v>
      </c>
      <c r="D4175" s="5"/>
      <c r="E4175" s="40"/>
      <c r="F4175" s="14" t="s">
        <v>4855</v>
      </c>
      <c r="G4175" s="17"/>
      <c r="H4175" s="10" t="s">
        <v>8563</v>
      </c>
      <c r="I4175" s="4" t="str">
        <f t="shared" si="456"/>
        <v>|Zamzam|</v>
      </c>
      <c r="J4175" s="3" t="str">
        <f t="shared" si="457"/>
        <v>|Zamzam|</v>
      </c>
      <c r="K4175" s="3" t="str">
        <f t="shared" si="458"/>
        <v>Zamzam</v>
      </c>
      <c r="M4175" s="5"/>
      <c r="N4175" s="39" t="str">
        <f t="shared" si="459"/>
        <v/>
      </c>
      <c r="O4175" s="5"/>
      <c r="P4175" s="39" t="str">
        <f t="shared" si="460"/>
        <v/>
      </c>
      <c r="Q4175" s="5"/>
      <c r="R4175" s="39" t="str">
        <f t="shared" si="461"/>
        <v/>
      </c>
    </row>
    <row r="4176" spans="1:21">
      <c r="A4176" s="179" t="s">
        <v>4856</v>
      </c>
      <c r="B4176" s="185" t="s">
        <v>49</v>
      </c>
      <c r="C4176" s="35" t="str">
        <f t="shared" si="455"/>
        <v>Zanjan</v>
      </c>
      <c r="D4176" s="5"/>
      <c r="E4176" s="40"/>
      <c r="F4176" s="14"/>
      <c r="G4176" s="17"/>
      <c r="H4176" s="10" t="s">
        <v>8563</v>
      </c>
      <c r="I4176" s="4" t="str">
        <f t="shared" si="456"/>
        <v>|Zanján|</v>
      </c>
      <c r="J4176" s="3" t="str">
        <f t="shared" si="457"/>
        <v>|Zanjan|</v>
      </c>
      <c r="K4176" s="3" t="str">
        <f t="shared" si="458"/>
        <v>Zanjan</v>
      </c>
      <c r="M4176" s="5"/>
      <c r="N4176" s="39" t="str">
        <f t="shared" si="459"/>
        <v/>
      </c>
      <c r="O4176" s="5"/>
      <c r="P4176" s="39" t="str">
        <f t="shared" si="460"/>
        <v/>
      </c>
      <c r="Q4176" s="5"/>
      <c r="R4176" s="39" t="str">
        <f t="shared" si="461"/>
        <v/>
      </c>
      <c r="T4176" s="29">
        <v>41781</v>
      </c>
      <c r="U4176" s="28" t="s">
        <v>9446</v>
      </c>
    </row>
    <row r="4177" spans="1:18">
      <c r="A4177" s="179" t="s">
        <v>4857</v>
      </c>
      <c r="B4177" s="185" t="s">
        <v>8520</v>
      </c>
      <c r="C4177" s="35" t="str">
        <f t="shared" si="455"/>
        <v>Zanjani</v>
      </c>
      <c r="D4177" s="5"/>
      <c r="E4177" s="40"/>
      <c r="F4177" s="15"/>
      <c r="G4177" s="17"/>
      <c r="H4177" s="10" t="s">
        <v>8563</v>
      </c>
      <c r="I4177" s="4" t="str">
        <f t="shared" si="456"/>
        <v>|Zanjání|</v>
      </c>
      <c r="J4177" s="3" t="str">
        <f t="shared" si="457"/>
        <v>|Zanjani|</v>
      </c>
      <c r="K4177" s="3" t="str">
        <f t="shared" si="458"/>
        <v>Zanjani</v>
      </c>
      <c r="M4177" s="5"/>
      <c r="N4177" s="39" t="str">
        <f t="shared" si="459"/>
        <v/>
      </c>
      <c r="O4177" s="5"/>
      <c r="P4177" s="39" t="str">
        <f t="shared" si="460"/>
        <v/>
      </c>
      <c r="Q4177" s="5"/>
      <c r="R4177" s="39" t="str">
        <f t="shared" si="461"/>
        <v/>
      </c>
    </row>
    <row r="4178" spans="1:18">
      <c r="A4178" s="179" t="s">
        <v>4858</v>
      </c>
      <c r="B4178" s="185" t="s">
        <v>119</v>
      </c>
      <c r="C4178" s="35" t="str">
        <f t="shared" si="455"/>
        <v>Zaqqum</v>
      </c>
      <c r="D4178" s="5"/>
      <c r="E4178" s="40"/>
      <c r="F4178" s="14"/>
      <c r="G4178" s="17"/>
      <c r="H4178" s="10" t="s">
        <v>8563</v>
      </c>
      <c r="I4178" s="4" t="str">
        <f t="shared" si="456"/>
        <v>|Zaqqúm|</v>
      </c>
      <c r="J4178" s="3" t="str">
        <f t="shared" si="457"/>
        <v>|Zaqqum|</v>
      </c>
      <c r="K4178" s="3" t="str">
        <f t="shared" si="458"/>
        <v>Zaqqum</v>
      </c>
      <c r="M4178" s="5"/>
      <c r="N4178" s="39" t="str">
        <f t="shared" si="459"/>
        <v/>
      </c>
      <c r="O4178" s="5"/>
      <c r="P4178" s="39" t="str">
        <f t="shared" si="460"/>
        <v/>
      </c>
      <c r="Q4178" s="5"/>
      <c r="R4178" s="39" t="str">
        <f t="shared" si="461"/>
        <v/>
      </c>
    </row>
    <row r="4179" spans="1:18">
      <c r="A4179" s="179" t="s">
        <v>4859</v>
      </c>
      <c r="B4179" s="185" t="s">
        <v>8521</v>
      </c>
      <c r="C4179" s="35" t="str">
        <f t="shared" si="455"/>
        <v>Zarand</v>
      </c>
      <c r="D4179" s="5"/>
      <c r="E4179" s="40"/>
      <c r="F4179" s="14"/>
      <c r="G4179" s="17"/>
      <c r="H4179" s="10" t="s">
        <v>8563</v>
      </c>
      <c r="I4179" s="4" t="str">
        <f t="shared" si="456"/>
        <v>|Zarand|</v>
      </c>
      <c r="J4179" s="3" t="str">
        <f t="shared" si="457"/>
        <v>|Zarand|</v>
      </c>
      <c r="K4179" s="3" t="str">
        <f t="shared" si="458"/>
        <v>Zarand</v>
      </c>
      <c r="M4179" s="5"/>
      <c r="N4179" s="39" t="str">
        <f t="shared" si="459"/>
        <v/>
      </c>
      <c r="O4179" s="5"/>
      <c r="P4179" s="39" t="str">
        <f t="shared" si="460"/>
        <v/>
      </c>
      <c r="Q4179" s="5"/>
      <c r="R4179" s="39" t="str">
        <f t="shared" si="461"/>
        <v/>
      </c>
    </row>
    <row r="4180" spans="1:18">
      <c r="A4180" s="179" t="s">
        <v>4860</v>
      </c>
      <c r="B4180" s="185" t="s">
        <v>8522</v>
      </c>
      <c r="C4180" s="35" t="str">
        <f t="shared" si="455"/>
        <v>Zardastan</v>
      </c>
      <c r="D4180" s="5"/>
      <c r="E4180" s="40"/>
      <c r="F4180" s="15"/>
      <c r="G4180" s="17"/>
      <c r="H4180" s="10" t="s">
        <v>8563</v>
      </c>
      <c r="I4180" s="4" t="str">
        <f t="shared" si="456"/>
        <v>|Zardastán|</v>
      </c>
      <c r="J4180" s="3" t="str">
        <f t="shared" si="457"/>
        <v>|Zardastan|</v>
      </c>
      <c r="K4180" s="3" t="str">
        <f t="shared" si="458"/>
        <v>Zardastan</v>
      </c>
      <c r="M4180" s="5"/>
      <c r="N4180" s="39" t="str">
        <f t="shared" si="459"/>
        <v/>
      </c>
      <c r="O4180" s="5"/>
      <c r="P4180" s="39" t="str">
        <f t="shared" si="460"/>
        <v/>
      </c>
      <c r="Q4180" s="5"/>
      <c r="R4180" s="39" t="str">
        <f t="shared" si="461"/>
        <v/>
      </c>
    </row>
    <row r="4181" spans="1:18">
      <c r="A4181" s="179" t="s">
        <v>4861</v>
      </c>
      <c r="B4181" s="185" t="s">
        <v>8523</v>
      </c>
      <c r="C4181" s="35" t="str">
        <f t="shared" si="455"/>
        <v>ZarDuzi</v>
      </c>
      <c r="D4181" s="5"/>
      <c r="E4181" s="40"/>
      <c r="F4181" s="15" t="s">
        <v>4862</v>
      </c>
      <c r="G4181" s="17"/>
      <c r="H4181" s="10" t="s">
        <v>8563</v>
      </c>
      <c r="I4181" s="4" t="str">
        <f t="shared" si="456"/>
        <v>|Zar-Dúzí|</v>
      </c>
      <c r="J4181" s="3" t="str">
        <f t="shared" si="457"/>
        <v>|Zar-Duzi|</v>
      </c>
      <c r="K4181" s="3" t="str">
        <f t="shared" si="458"/>
        <v>Zar-Duzi</v>
      </c>
      <c r="M4181" s="5"/>
      <c r="N4181" s="39" t="str">
        <f t="shared" si="459"/>
        <v/>
      </c>
      <c r="O4181" s="5"/>
      <c r="P4181" s="39" t="str">
        <f t="shared" si="460"/>
        <v/>
      </c>
      <c r="Q4181" s="5"/>
      <c r="R4181" s="39" t="str">
        <f t="shared" si="461"/>
        <v/>
      </c>
    </row>
    <row r="4182" spans="1:18">
      <c r="A4182" s="179" t="s">
        <v>4863</v>
      </c>
      <c r="B4182" s="185" t="s">
        <v>8524</v>
      </c>
      <c r="C4182" s="35" t="str">
        <f t="shared" si="455"/>
        <v>Zarkanad</v>
      </c>
      <c r="D4182" s="5"/>
      <c r="E4182" s="40"/>
      <c r="F4182" s="14"/>
      <c r="G4182" s="17"/>
      <c r="H4182" s="10" t="s">
        <v>8563</v>
      </c>
      <c r="I4182" s="4" t="str">
        <f t="shared" si="456"/>
        <v>|Zarkanád|</v>
      </c>
      <c r="J4182" s="3" t="str">
        <f t="shared" si="457"/>
        <v>|Zarkanad|</v>
      </c>
      <c r="K4182" s="3" t="str">
        <f t="shared" si="458"/>
        <v>Zarkanad</v>
      </c>
      <c r="M4182" s="5"/>
      <c r="N4182" s="39" t="str">
        <f t="shared" si="459"/>
        <v/>
      </c>
      <c r="O4182" s="5"/>
      <c r="P4182" s="39" t="str">
        <f t="shared" si="460"/>
        <v/>
      </c>
      <c r="Q4182" s="5"/>
      <c r="R4182" s="39" t="str">
        <f t="shared" si="461"/>
        <v/>
      </c>
    </row>
    <row r="4183" spans="1:18">
      <c r="A4183" s="179" t="s">
        <v>4864</v>
      </c>
      <c r="B4183" s="185" t="s">
        <v>8525</v>
      </c>
      <c r="C4183" s="35" t="str">
        <f t="shared" si="455"/>
        <v>Zarkandih</v>
      </c>
      <c r="D4183" s="5"/>
      <c r="E4183" s="40"/>
      <c r="F4183" s="14"/>
      <c r="G4183" s="17"/>
      <c r="H4183" s="10" t="s">
        <v>8563</v>
      </c>
      <c r="I4183" s="4" t="str">
        <f t="shared" si="456"/>
        <v>|Zarkandih|</v>
      </c>
      <c r="J4183" s="3" t="str">
        <f t="shared" si="457"/>
        <v>|Zarkandih|</v>
      </c>
      <c r="K4183" s="3" t="str">
        <f t="shared" si="458"/>
        <v>Zarkandih</v>
      </c>
      <c r="M4183" s="5"/>
      <c r="N4183" s="39" t="str">
        <f t="shared" si="459"/>
        <v/>
      </c>
      <c r="O4183" s="5"/>
      <c r="P4183" s="39" t="str">
        <f t="shared" si="460"/>
        <v/>
      </c>
      <c r="Q4183" s="5"/>
      <c r="R4183" s="39" t="str">
        <f t="shared" si="461"/>
        <v/>
      </c>
    </row>
    <row r="4184" spans="1:18">
      <c r="A4184" s="179" t="s">
        <v>4865</v>
      </c>
      <c r="B4184" s="185" t="s">
        <v>8526</v>
      </c>
      <c r="C4184" s="35" t="str">
        <f t="shared" si="455"/>
        <v>Zarqani</v>
      </c>
      <c r="D4184" s="5"/>
      <c r="E4184" s="40"/>
      <c r="F4184" s="15"/>
      <c r="G4184" s="17"/>
      <c r="H4184" s="10" t="s">
        <v>8563</v>
      </c>
      <c r="I4184" s="4" t="str">
        <f t="shared" si="456"/>
        <v>|Zarqání|</v>
      </c>
      <c r="J4184" s="3" t="str">
        <f t="shared" si="457"/>
        <v>|Zarqani|</v>
      </c>
      <c r="K4184" s="3" t="str">
        <f t="shared" si="458"/>
        <v>Zarqani</v>
      </c>
      <c r="M4184" s="5"/>
      <c r="N4184" s="39" t="str">
        <f t="shared" si="459"/>
        <v/>
      </c>
      <c r="O4184" s="5"/>
      <c r="P4184" s="39" t="str">
        <f t="shared" si="460"/>
        <v/>
      </c>
      <c r="Q4184" s="5"/>
      <c r="R4184" s="39" t="str">
        <f t="shared" si="461"/>
        <v/>
      </c>
    </row>
    <row r="4185" spans="1:18">
      <c r="A4185" s="179" t="s">
        <v>4866</v>
      </c>
      <c r="B4185" s="185" t="s">
        <v>8527</v>
      </c>
      <c r="C4185" s="35" t="str">
        <f t="shared" si="455"/>
        <v>Zarrabi</v>
      </c>
      <c r="D4185" s="5"/>
      <c r="E4185" s="40"/>
      <c r="F4185" s="15"/>
      <c r="G4185" s="17"/>
      <c r="H4185" s="10" t="s">
        <v>8563</v>
      </c>
      <c r="I4185" s="4" t="str">
        <f t="shared" si="456"/>
        <v>|Zarrábí|</v>
      </c>
      <c r="J4185" s="3" t="str">
        <f t="shared" si="457"/>
        <v>|Zarrabi|</v>
      </c>
      <c r="K4185" s="3" t="str">
        <f t="shared" si="458"/>
        <v>Zarrabi</v>
      </c>
      <c r="M4185" s="5"/>
      <c r="N4185" s="39" t="str">
        <f t="shared" si="459"/>
        <v/>
      </c>
      <c r="O4185" s="5"/>
      <c r="P4185" s="39" t="str">
        <f t="shared" si="460"/>
        <v/>
      </c>
      <c r="Q4185" s="5"/>
      <c r="R4185" s="39" t="str">
        <f t="shared" si="461"/>
        <v/>
      </c>
    </row>
    <row r="4186" spans="1:18">
      <c r="A4186" s="179" t="s">
        <v>4867</v>
      </c>
      <c r="B4186" s="185" t="s">
        <v>8528</v>
      </c>
      <c r="C4186" s="35" t="str">
        <f t="shared" si="455"/>
        <v>Zarrin</v>
      </c>
      <c r="D4186" s="5"/>
      <c r="E4186" s="40"/>
      <c r="F4186" s="15"/>
      <c r="G4186" s="17"/>
      <c r="H4186" s="10" t="s">
        <v>8563</v>
      </c>
      <c r="I4186" s="4" t="str">
        <f t="shared" si="456"/>
        <v>|Zarrín|</v>
      </c>
      <c r="J4186" s="3" t="str">
        <f t="shared" si="457"/>
        <v>|Zarrin|</v>
      </c>
      <c r="K4186" s="3" t="str">
        <f t="shared" si="458"/>
        <v>Zarrin</v>
      </c>
      <c r="M4186" s="5"/>
      <c r="N4186" s="39" t="str">
        <f t="shared" si="459"/>
        <v/>
      </c>
      <c r="O4186" s="5"/>
      <c r="P4186" s="39" t="str">
        <f t="shared" si="460"/>
        <v/>
      </c>
      <c r="Q4186" s="5"/>
      <c r="R4186" s="39" t="str">
        <f t="shared" si="461"/>
        <v/>
      </c>
    </row>
    <row r="4187" spans="1:18">
      <c r="A4187" s="179" t="s">
        <v>4868</v>
      </c>
      <c r="B4187" s="185" t="s">
        <v>8529</v>
      </c>
      <c r="C4187" s="35" t="str">
        <f t="shared" si="455"/>
        <v>ZarrinTaj</v>
      </c>
      <c r="D4187" s="5"/>
      <c r="E4187" s="40"/>
      <c r="F4187" s="14"/>
      <c r="G4187" s="17"/>
      <c r="H4187" s="10" t="s">
        <v>8563</v>
      </c>
      <c r="I4187" s="4" t="str">
        <f t="shared" si="456"/>
        <v>|Zarrín-Táj|</v>
      </c>
      <c r="J4187" s="3" t="str">
        <f t="shared" si="457"/>
        <v>|Zarrin-Taj|</v>
      </c>
      <c r="K4187" s="3" t="str">
        <f t="shared" si="458"/>
        <v>Zarrin-Taj</v>
      </c>
      <c r="M4187" s="5"/>
      <c r="N4187" s="39" t="str">
        <f t="shared" si="459"/>
        <v/>
      </c>
      <c r="O4187" s="5"/>
      <c r="P4187" s="39" t="str">
        <f t="shared" si="460"/>
        <v/>
      </c>
      <c r="Q4187" s="5"/>
      <c r="R4187" s="39" t="str">
        <f t="shared" si="461"/>
        <v/>
      </c>
    </row>
    <row r="4188" spans="1:18">
      <c r="A4188" s="179" t="s">
        <v>4869</v>
      </c>
      <c r="B4188" s="185" t="s">
        <v>8530</v>
      </c>
      <c r="C4188" s="35" t="str">
        <f t="shared" si="455"/>
        <v>Zaval</v>
      </c>
      <c r="D4188" s="5"/>
      <c r="E4188" s="40"/>
      <c r="F4188" s="15" t="s">
        <v>4870</v>
      </c>
      <c r="G4188" s="17"/>
      <c r="H4188" s="10" t="s">
        <v>8563</v>
      </c>
      <c r="I4188" s="4" t="str">
        <f t="shared" si="456"/>
        <v>|Zavál|</v>
      </c>
      <c r="J4188" s="3" t="str">
        <f t="shared" si="457"/>
        <v>|Zaval|</v>
      </c>
      <c r="K4188" s="3" t="str">
        <f t="shared" si="458"/>
        <v>Zaval</v>
      </c>
      <c r="M4188" s="5"/>
      <c r="N4188" s="39" t="str">
        <f t="shared" si="459"/>
        <v/>
      </c>
      <c r="O4188" s="5"/>
      <c r="P4188" s="39" t="str">
        <f t="shared" si="460"/>
        <v/>
      </c>
      <c r="Q4188" s="5"/>
      <c r="R4188" s="39" t="str">
        <f t="shared" si="461"/>
        <v/>
      </c>
    </row>
    <row r="4189" spans="1:18">
      <c r="A4189" s="179" t="s">
        <v>4871</v>
      </c>
      <c r="B4189" s="185" t="s">
        <v>8531</v>
      </c>
      <c r="C4189" s="35" t="str">
        <f t="shared" si="455"/>
        <v>Zavarih</v>
      </c>
      <c r="D4189" s="5"/>
      <c r="E4189" s="40"/>
      <c r="F4189" s="14"/>
      <c r="G4189" s="17"/>
      <c r="H4189" s="10" t="s">
        <v>8563</v>
      </c>
      <c r="I4189" s="4" t="str">
        <f t="shared" si="456"/>
        <v>|Zavárih|</v>
      </c>
      <c r="J4189" s="3" t="str">
        <f t="shared" si="457"/>
        <v>|Zavarih|</v>
      </c>
      <c r="K4189" s="3" t="str">
        <f t="shared" si="458"/>
        <v>Zavarih</v>
      </c>
      <c r="M4189" s="5"/>
      <c r="N4189" s="39" t="str">
        <f t="shared" si="459"/>
        <v/>
      </c>
      <c r="O4189" s="5"/>
      <c r="P4189" s="39" t="str">
        <f t="shared" si="460"/>
        <v/>
      </c>
      <c r="Q4189" s="5"/>
      <c r="R4189" s="39" t="str">
        <f t="shared" si="461"/>
        <v/>
      </c>
    </row>
    <row r="4190" spans="1:18">
      <c r="A4190" s="179" t="s">
        <v>4872</v>
      </c>
      <c r="B4190" s="185" t="s">
        <v>8532</v>
      </c>
      <c r="C4190" s="35" t="str">
        <f t="shared" si="455"/>
        <v>Zawra</v>
      </c>
      <c r="D4190" s="5"/>
      <c r="E4190" s="40"/>
      <c r="F4190" s="14"/>
      <c r="G4190" s="17"/>
      <c r="H4190" s="10" t="s">
        <v>8563</v>
      </c>
      <c r="I4190" s="4" t="str">
        <f t="shared" si="456"/>
        <v>|Zawrá|</v>
      </c>
      <c r="J4190" s="3" t="str">
        <f t="shared" si="457"/>
        <v>|Zawra|</v>
      </c>
      <c r="K4190" s="3" t="str">
        <f t="shared" si="458"/>
        <v>Zawra</v>
      </c>
      <c r="M4190" s="5"/>
      <c r="N4190" s="39" t="str">
        <f t="shared" si="459"/>
        <v/>
      </c>
      <c r="O4190" s="5"/>
      <c r="P4190" s="39" t="str">
        <f t="shared" si="460"/>
        <v/>
      </c>
      <c r="Q4190" s="5"/>
      <c r="R4190" s="39" t="str">
        <f t="shared" si="461"/>
        <v/>
      </c>
    </row>
    <row r="4191" spans="1:18">
      <c r="A4191" s="179" t="s">
        <v>4873</v>
      </c>
      <c r="B4191" s="185" t="s">
        <v>8533</v>
      </c>
      <c r="C4191" s="35" t="str">
        <f t="shared" si="455"/>
        <v>ZayandihRud</v>
      </c>
      <c r="D4191" s="5"/>
      <c r="E4191" s="40"/>
      <c r="F4191" s="15"/>
      <c r="G4191" s="17"/>
      <c r="H4191" s="10" t="s">
        <v>8563</v>
      </c>
      <c r="I4191" s="4" t="str">
        <f t="shared" si="456"/>
        <v>|Záyandih-Rúd|</v>
      </c>
      <c r="J4191" s="3" t="str">
        <f t="shared" si="457"/>
        <v>|Zayandih-Rud|</v>
      </c>
      <c r="K4191" s="3" t="str">
        <f t="shared" si="458"/>
        <v>Zayandih-Rud</v>
      </c>
      <c r="M4191" s="5"/>
      <c r="N4191" s="39" t="str">
        <f t="shared" si="459"/>
        <v/>
      </c>
      <c r="O4191" s="5"/>
      <c r="P4191" s="39" t="str">
        <f t="shared" si="460"/>
        <v/>
      </c>
      <c r="Q4191" s="5"/>
      <c r="R4191" s="39" t="str">
        <f t="shared" si="461"/>
        <v/>
      </c>
    </row>
    <row r="4192" spans="1:18">
      <c r="A4192" s="179" t="s">
        <v>4874</v>
      </c>
      <c r="B4192" s="185" t="s">
        <v>143</v>
      </c>
      <c r="C4192" s="35" t="str">
        <f t="shared" si="455"/>
        <v>Zayd</v>
      </c>
      <c r="D4192" s="5"/>
      <c r="E4192" s="40"/>
      <c r="F4192" s="14"/>
      <c r="G4192" s="17"/>
      <c r="H4192" s="10" t="s">
        <v>8563</v>
      </c>
      <c r="I4192" s="4" t="str">
        <f t="shared" si="456"/>
        <v>|Zayd|</v>
      </c>
      <c r="J4192" s="3" t="str">
        <f t="shared" si="457"/>
        <v>|Zayd|</v>
      </c>
      <c r="K4192" s="3" t="str">
        <f t="shared" si="458"/>
        <v>Zayd</v>
      </c>
      <c r="M4192" s="5"/>
      <c r="N4192" s="39" t="str">
        <f t="shared" si="459"/>
        <v/>
      </c>
      <c r="O4192" s="5"/>
      <c r="P4192" s="39" t="str">
        <f t="shared" si="460"/>
        <v/>
      </c>
      <c r="Q4192" s="5"/>
      <c r="R4192" s="39" t="str">
        <f t="shared" si="461"/>
        <v/>
      </c>
    </row>
    <row r="4193" spans="1:18">
      <c r="A4193" s="179" t="s">
        <v>4875</v>
      </c>
      <c r="B4193" s="185" t="s">
        <v>8534</v>
      </c>
      <c r="C4193" s="35" t="str">
        <f t="shared" si="455"/>
        <v>Zaydan</v>
      </c>
      <c r="D4193" s="5"/>
      <c r="E4193" s="40"/>
      <c r="F4193" s="15"/>
      <c r="G4193" s="17"/>
      <c r="H4193" s="10" t="s">
        <v>8563</v>
      </c>
      <c r="I4193" s="4" t="str">
        <f t="shared" si="456"/>
        <v>|Zaydán|</v>
      </c>
      <c r="J4193" s="3" t="str">
        <f t="shared" si="457"/>
        <v>|Zaydan|</v>
      </c>
      <c r="K4193" s="3" t="str">
        <f t="shared" si="458"/>
        <v>Zaydan</v>
      </c>
      <c r="M4193" s="5"/>
      <c r="N4193" s="39" t="str">
        <f t="shared" si="459"/>
        <v/>
      </c>
      <c r="O4193" s="5"/>
      <c r="P4193" s="39" t="str">
        <f t="shared" si="460"/>
        <v/>
      </c>
      <c r="Q4193" s="5"/>
      <c r="R4193" s="39" t="str">
        <f t="shared" si="461"/>
        <v/>
      </c>
    </row>
    <row r="4194" spans="1:18">
      <c r="A4194" s="179" t="s">
        <v>4876</v>
      </c>
      <c r="B4194" s="185" t="s">
        <v>8535</v>
      </c>
      <c r="C4194" s="35" t="str">
        <f t="shared" si="455"/>
        <v>Zaydi</v>
      </c>
      <c r="D4194" s="5"/>
      <c r="E4194" s="40"/>
      <c r="F4194" s="15"/>
      <c r="G4194" s="17"/>
      <c r="H4194" s="10" t="s">
        <v>8563</v>
      </c>
      <c r="I4194" s="4" t="str">
        <f t="shared" si="456"/>
        <v>|Zaydí|</v>
      </c>
      <c r="J4194" s="3" t="str">
        <f t="shared" si="457"/>
        <v>|Zaydi|</v>
      </c>
      <c r="K4194" s="3" t="str">
        <f t="shared" si="458"/>
        <v>Zaydi</v>
      </c>
      <c r="M4194" s="5"/>
      <c r="N4194" s="39" t="str">
        <f t="shared" si="459"/>
        <v/>
      </c>
      <c r="O4194" s="5"/>
      <c r="P4194" s="39" t="str">
        <f t="shared" si="460"/>
        <v/>
      </c>
      <c r="Q4194" s="5"/>
      <c r="R4194" s="39" t="str">
        <f t="shared" si="461"/>
        <v/>
      </c>
    </row>
    <row r="4195" spans="1:18">
      <c r="A4195" s="179" t="s">
        <v>4877</v>
      </c>
      <c r="B4195" s="185" t="s">
        <v>8536</v>
      </c>
      <c r="C4195" s="35" t="str">
        <f t="shared" si="455"/>
        <v>Zayn</v>
      </c>
      <c r="D4195" s="5"/>
      <c r="E4195" s="40"/>
      <c r="F4195" s="14"/>
      <c r="G4195" s="17"/>
      <c r="H4195" s="10" t="s">
        <v>8563</v>
      </c>
      <c r="I4195" s="4" t="str">
        <f t="shared" si="456"/>
        <v>|Zayn|</v>
      </c>
      <c r="J4195" s="3" t="str">
        <f t="shared" si="457"/>
        <v>|Zayn|</v>
      </c>
      <c r="K4195" s="3" t="str">
        <f t="shared" si="458"/>
        <v>Zayn</v>
      </c>
      <c r="M4195" s="5"/>
      <c r="N4195" s="39" t="str">
        <f t="shared" si="459"/>
        <v/>
      </c>
      <c r="O4195" s="5"/>
      <c r="P4195" s="39" t="str">
        <f t="shared" si="460"/>
        <v/>
      </c>
      <c r="Q4195" s="5"/>
      <c r="R4195" s="39" t="str">
        <f t="shared" si="461"/>
        <v/>
      </c>
    </row>
    <row r="4196" spans="1:18">
      <c r="A4196" s="179" t="s">
        <v>4878</v>
      </c>
      <c r="B4196" s="185" t="s">
        <v>8537</v>
      </c>
      <c r="C4196" s="35" t="str">
        <f t="shared" si="455"/>
        <v>Zaynab</v>
      </c>
      <c r="D4196" s="5"/>
      <c r="E4196" s="40"/>
      <c r="F4196" s="14"/>
      <c r="G4196" s="17"/>
      <c r="H4196" s="10" t="s">
        <v>8563</v>
      </c>
      <c r="I4196" s="4" t="str">
        <f t="shared" si="456"/>
        <v>|Zaynab|</v>
      </c>
      <c r="J4196" s="3" t="str">
        <f t="shared" si="457"/>
        <v>|Zaynab|</v>
      </c>
      <c r="K4196" s="3" t="str">
        <f t="shared" si="458"/>
        <v>Zaynab</v>
      </c>
      <c r="M4196" s="5"/>
      <c r="N4196" s="39" t="str">
        <f t="shared" si="459"/>
        <v/>
      </c>
      <c r="O4196" s="5"/>
      <c r="P4196" s="39" t="str">
        <f t="shared" si="460"/>
        <v/>
      </c>
      <c r="Q4196" s="5"/>
      <c r="R4196" s="39" t="str">
        <f t="shared" si="461"/>
        <v/>
      </c>
    </row>
    <row r="4197" spans="1:18">
      <c r="A4197" s="179" t="s">
        <v>4879</v>
      </c>
      <c r="B4197" s="185" t="s">
        <v>8538</v>
      </c>
      <c r="C4197" s="35" t="str">
        <f t="shared" si="455"/>
        <v>Zaynil</v>
      </c>
      <c r="D4197" s="5"/>
      <c r="E4197" s="40"/>
      <c r="F4197" s="15" t="s">
        <v>4880</v>
      </c>
      <c r="G4197" s="17"/>
      <c r="H4197" s="10" t="s">
        <v>8563</v>
      </c>
      <c r="I4197" s="4" t="str">
        <f t="shared" si="456"/>
        <v>|Zayníl|</v>
      </c>
      <c r="J4197" s="3" t="str">
        <f t="shared" si="457"/>
        <v>|Zaynil|</v>
      </c>
      <c r="K4197" s="3" t="str">
        <f t="shared" si="458"/>
        <v>Zaynil</v>
      </c>
      <c r="M4197" s="5"/>
      <c r="N4197" s="39" t="str">
        <f t="shared" si="459"/>
        <v/>
      </c>
      <c r="O4197" s="5"/>
      <c r="P4197" s="39" t="str">
        <f t="shared" si="460"/>
        <v/>
      </c>
      <c r="Q4197" s="5"/>
      <c r="R4197" s="39" t="str">
        <f t="shared" si="461"/>
        <v/>
      </c>
    </row>
    <row r="4198" spans="1:18">
      <c r="A4198" s="179" t="s">
        <v>4881</v>
      </c>
      <c r="B4198" s="185" t="s">
        <v>8872</v>
      </c>
      <c r="C4198" s="35" t="str">
        <f t="shared" si="455"/>
        <v>ZaynulAbidayn</v>
      </c>
      <c r="D4198" s="5"/>
      <c r="E4198" s="40"/>
      <c r="F4198" s="14"/>
      <c r="G4198" s="17"/>
      <c r="H4198" s="10" t="s">
        <v>8563</v>
      </c>
      <c r="I4198" s="4" t="str">
        <f t="shared" si="456"/>
        <v>|Zaynu’l-ʿÁbidayn|</v>
      </c>
      <c r="J4198" s="3" t="str">
        <f t="shared" si="457"/>
        <v>|Zaynu'l-'Abidayn|</v>
      </c>
      <c r="K4198" s="3" t="str">
        <f t="shared" si="458"/>
        <v>Zaynul-Abidayn</v>
      </c>
      <c r="M4198" s="5"/>
      <c r="N4198" s="39" t="str">
        <f t="shared" si="459"/>
        <v/>
      </c>
      <c r="O4198" s="5"/>
      <c r="P4198" s="39" t="str">
        <f t="shared" si="460"/>
        <v/>
      </c>
      <c r="Q4198" s="5"/>
      <c r="R4198" s="39" t="str">
        <f t="shared" si="461"/>
        <v/>
      </c>
    </row>
    <row r="4199" spans="1:18">
      <c r="A4199" s="179" t="s">
        <v>4882</v>
      </c>
      <c r="B4199" s="185" t="s">
        <v>8873</v>
      </c>
      <c r="C4199" s="35" t="str">
        <f t="shared" si="455"/>
        <v>ZaynulAbidayniShahmirzadi</v>
      </c>
      <c r="D4199" s="5"/>
      <c r="E4199" s="40"/>
      <c r="F4199" s="15"/>
      <c r="G4199" s="17"/>
      <c r="H4199" s="10" t="s">
        <v>8563</v>
      </c>
      <c r="I4199" s="4" t="str">
        <f t="shared" si="456"/>
        <v>|Zaynu’l-ʿÁbidayn-i-ahmírzádí|</v>
      </c>
      <c r="J4199" s="3" t="str">
        <f t="shared" si="457"/>
        <v>|Zaynu'l-'Abidayn-i-Shahmirzadi|</v>
      </c>
      <c r="K4199" s="3" t="str">
        <f t="shared" si="458"/>
        <v>Zaynul-Abidayn-i-Shahmirzadi</v>
      </c>
      <c r="M4199" s="5"/>
      <c r="N4199" s="39" t="str">
        <f t="shared" si="459"/>
        <v/>
      </c>
      <c r="O4199" s="5"/>
      <c r="P4199" s="39" t="str">
        <f t="shared" si="460"/>
        <v/>
      </c>
      <c r="Q4199" s="5"/>
      <c r="R4199" s="39" t="str">
        <f t="shared" si="461"/>
        <v/>
      </c>
    </row>
    <row r="4200" spans="1:18">
      <c r="A4200" s="179" t="s">
        <v>4883</v>
      </c>
      <c r="B4200" s="185" t="s">
        <v>8874</v>
      </c>
      <c r="C4200" s="35" t="str">
        <f t="shared" si="455"/>
        <v>ZaynulAbidayniYazdi</v>
      </c>
      <c r="D4200" s="5"/>
      <c r="E4200" s="40"/>
      <c r="F4200" s="15"/>
      <c r="G4200" s="17"/>
      <c r="H4200" s="10" t="s">
        <v>8563</v>
      </c>
      <c r="I4200" s="4" t="str">
        <f t="shared" si="456"/>
        <v>|Zaynu’l-ʿÁbidayn-i-Yazdí|</v>
      </c>
      <c r="J4200" s="3" t="str">
        <f t="shared" si="457"/>
        <v>|Zaynu'l-'Abidayn-i-Yazdi|</v>
      </c>
      <c r="K4200" s="3" t="str">
        <f t="shared" si="458"/>
        <v>Zaynul-Abidayn-i-Yazdi</v>
      </c>
      <c r="M4200" s="5"/>
      <c r="N4200" s="39" t="str">
        <f t="shared" si="459"/>
        <v/>
      </c>
      <c r="O4200" s="5"/>
      <c r="P4200" s="39" t="str">
        <f t="shared" si="460"/>
        <v/>
      </c>
      <c r="Q4200" s="5"/>
      <c r="R4200" s="39" t="str">
        <f t="shared" si="461"/>
        <v/>
      </c>
    </row>
    <row r="4201" spans="1:18">
      <c r="A4201" s="179" t="s">
        <v>4884</v>
      </c>
      <c r="B4201" s="185" t="s">
        <v>8539</v>
      </c>
      <c r="C4201" s="35" t="str">
        <f t="shared" si="455"/>
        <v>ZaynulMuqarrabin</v>
      </c>
      <c r="D4201" s="5"/>
      <c r="E4201" s="40"/>
      <c r="F4201" s="14" t="s">
        <v>4885</v>
      </c>
      <c r="G4201" s="17"/>
      <c r="H4201" s="10" t="s">
        <v>8563</v>
      </c>
      <c r="I4201" s="4" t="str">
        <f t="shared" si="456"/>
        <v>|Zaynu’l-Muqarrabín|</v>
      </c>
      <c r="J4201" s="3" t="str">
        <f t="shared" si="457"/>
        <v>|Zaynu'l-Muqarrabin|</v>
      </c>
      <c r="K4201" s="3" t="str">
        <f t="shared" si="458"/>
        <v>Zaynul-Muqarrabin</v>
      </c>
      <c r="M4201" s="5"/>
      <c r="N4201" s="39" t="str">
        <f t="shared" si="459"/>
        <v/>
      </c>
      <c r="O4201" s="5"/>
      <c r="P4201" s="39" t="str">
        <f t="shared" si="460"/>
        <v/>
      </c>
      <c r="Q4201" s="5"/>
      <c r="R4201" s="39" t="str">
        <f t="shared" si="461"/>
        <v/>
      </c>
    </row>
    <row r="4202" spans="1:18">
      <c r="A4202" s="179" t="s">
        <v>4886</v>
      </c>
      <c r="B4202" s="185" t="s">
        <v>8540</v>
      </c>
      <c r="C4202" s="35" t="str">
        <f t="shared" si="455"/>
        <v>Zayta</v>
      </c>
      <c r="D4202" s="5"/>
      <c r="E4202" s="40"/>
      <c r="F4202" s="14"/>
      <c r="G4202" s="17"/>
      <c r="H4202" s="10" t="s">
        <v>8563</v>
      </c>
      <c r="I4202" s="4" t="str">
        <f t="shared" si="456"/>
        <v>|Zaytá|</v>
      </c>
      <c r="J4202" s="3" t="str">
        <f t="shared" si="457"/>
        <v>|Zayta|</v>
      </c>
      <c r="K4202" s="3" t="str">
        <f t="shared" si="458"/>
        <v>Zayta</v>
      </c>
      <c r="M4202" s="5"/>
      <c r="N4202" s="39" t="str">
        <f t="shared" si="459"/>
        <v/>
      </c>
      <c r="O4202" s="5"/>
      <c r="P4202" s="39" t="str">
        <f t="shared" si="460"/>
        <v/>
      </c>
      <c r="Q4202" s="5"/>
      <c r="R4202" s="39" t="str">
        <f t="shared" si="461"/>
        <v/>
      </c>
    </row>
    <row r="4203" spans="1:18">
      <c r="A4203" s="179" t="s">
        <v>4887</v>
      </c>
      <c r="B4203" s="185" t="s">
        <v>8541</v>
      </c>
      <c r="C4203" s="35" t="str">
        <f t="shared" si="455"/>
        <v>Zaytun</v>
      </c>
      <c r="D4203" s="5"/>
      <c r="E4203" s="40"/>
      <c r="F4203" s="14"/>
      <c r="G4203" s="17"/>
      <c r="H4203" s="10" t="s">
        <v>8563</v>
      </c>
      <c r="I4203" s="4" t="str">
        <f t="shared" si="456"/>
        <v>|Zaytún|</v>
      </c>
      <c r="J4203" s="3" t="str">
        <f t="shared" si="457"/>
        <v>|Zaytun|</v>
      </c>
      <c r="K4203" s="3" t="str">
        <f t="shared" si="458"/>
        <v>Zaytun</v>
      </c>
      <c r="M4203" s="5"/>
      <c r="N4203" s="39" t="str">
        <f t="shared" si="459"/>
        <v/>
      </c>
      <c r="O4203" s="5"/>
      <c r="P4203" s="39" t="str">
        <f t="shared" si="460"/>
        <v/>
      </c>
      <c r="Q4203" s="5"/>
      <c r="R4203" s="39" t="str">
        <f t="shared" si="461"/>
        <v/>
      </c>
    </row>
    <row r="4204" spans="1:18">
      <c r="A4204" s="179" t="s">
        <v>4888</v>
      </c>
      <c r="B4204" s="185" t="s">
        <v>8542</v>
      </c>
      <c r="C4204" s="35" t="str">
        <f t="shared" si="455"/>
        <v>Zendeh</v>
      </c>
      <c r="D4204" s="5"/>
      <c r="E4204" s="40"/>
      <c r="F4204" s="14"/>
      <c r="G4204" s="17"/>
      <c r="H4204" s="10" t="s">
        <v>8563</v>
      </c>
      <c r="I4204" s="4" t="str">
        <f t="shared" si="456"/>
        <v>|Zendeh|</v>
      </c>
      <c r="J4204" s="3" t="str">
        <f t="shared" si="457"/>
        <v>|Zendeh|</v>
      </c>
      <c r="K4204" s="3" t="str">
        <f t="shared" si="458"/>
        <v>Zendeh</v>
      </c>
      <c r="M4204" s="5"/>
      <c r="N4204" s="39" t="str">
        <f t="shared" si="459"/>
        <v/>
      </c>
      <c r="O4204" s="5"/>
      <c r="P4204" s="39" t="str">
        <f t="shared" si="460"/>
        <v/>
      </c>
      <c r="Q4204" s="5"/>
      <c r="R4204" s="39" t="str">
        <f t="shared" si="461"/>
        <v/>
      </c>
    </row>
    <row r="4205" spans="1:18">
      <c r="A4205" s="179" t="s">
        <v>4889</v>
      </c>
      <c r="B4205" s="185" t="s">
        <v>8544</v>
      </c>
      <c r="C4205" s="35" t="str">
        <f t="shared" si="455"/>
        <v>Zihtab</v>
      </c>
      <c r="D4205" s="5"/>
      <c r="E4205" s="40"/>
      <c r="F4205" s="15"/>
      <c r="G4205" s="17"/>
      <c r="H4205" s="10" t="s">
        <v>8563</v>
      </c>
      <c r="I4205" s="4" t="str">
        <f t="shared" si="456"/>
        <v>|Zihtáb|</v>
      </c>
      <c r="J4205" s="3" t="str">
        <f t="shared" si="457"/>
        <v>|Zihtab|</v>
      </c>
      <c r="K4205" s="3" t="str">
        <f t="shared" si="458"/>
        <v>Zihtab</v>
      </c>
      <c r="M4205" s="5"/>
      <c r="N4205" s="39" t="str">
        <f t="shared" si="459"/>
        <v/>
      </c>
      <c r="O4205" s="5"/>
      <c r="P4205" s="39" t="str">
        <f t="shared" si="460"/>
        <v/>
      </c>
      <c r="Q4205" s="5"/>
      <c r="R4205" s="39" t="str">
        <f t="shared" si="461"/>
        <v/>
      </c>
    </row>
    <row r="4206" spans="1:18">
      <c r="A4206" s="179" t="s">
        <v>4890</v>
      </c>
      <c r="B4206" s="185" t="s">
        <v>8545</v>
      </c>
      <c r="C4206" s="35" t="str">
        <f t="shared" si="455"/>
        <v>Zillullah</v>
      </c>
      <c r="D4206" s="5"/>
      <c r="E4206" s="40"/>
      <c r="F4206" s="15" t="s">
        <v>4891</v>
      </c>
      <c r="G4206" s="17"/>
      <c r="H4206" s="10" t="s">
        <v>8563</v>
      </c>
      <c r="I4206" s="4" t="str">
        <f t="shared" si="456"/>
        <v>|Ẓillu’lláh|</v>
      </c>
      <c r="J4206" s="3" t="str">
        <f t="shared" si="457"/>
        <v>|Zillu'llah|</v>
      </c>
      <c r="K4206" s="3" t="str">
        <f t="shared" si="458"/>
        <v>Zillullah</v>
      </c>
      <c r="M4206" s="5"/>
      <c r="N4206" s="39" t="str">
        <f t="shared" si="459"/>
        <v/>
      </c>
      <c r="O4206" s="5"/>
      <c r="P4206" s="39" t="str">
        <f t="shared" si="460"/>
        <v/>
      </c>
      <c r="Q4206" s="5"/>
      <c r="R4206" s="39" t="str">
        <f t="shared" si="461"/>
        <v/>
      </c>
    </row>
    <row r="4207" spans="1:18">
      <c r="A4207" s="179" t="s">
        <v>4892</v>
      </c>
      <c r="B4207" s="185" t="s">
        <v>8546</v>
      </c>
      <c r="C4207" s="35" t="str">
        <f t="shared" si="455"/>
        <v>ZillusSultan</v>
      </c>
      <c r="D4207" s="5"/>
      <c r="E4207" s="40"/>
      <c r="F4207" s="15" t="s">
        <v>4893</v>
      </c>
      <c r="G4207" s="17"/>
      <c r="H4207" s="10" t="s">
        <v>8563</v>
      </c>
      <c r="I4207" s="4" t="str">
        <f t="shared" si="456"/>
        <v>|Ẓillu’s-Sulṭán|</v>
      </c>
      <c r="J4207" s="3" t="str">
        <f t="shared" si="457"/>
        <v>|Zillu's-Sultan|</v>
      </c>
      <c r="K4207" s="3" t="str">
        <f t="shared" si="458"/>
        <v>Zillus-Sultan</v>
      </c>
      <c r="M4207" s="5"/>
      <c r="N4207" s="39" t="str">
        <f t="shared" si="459"/>
        <v/>
      </c>
      <c r="O4207" s="5"/>
      <c r="P4207" s="39" t="str">
        <f t="shared" si="460"/>
        <v/>
      </c>
      <c r="Q4207" s="5"/>
      <c r="R4207" s="39" t="str">
        <f t="shared" si="461"/>
        <v/>
      </c>
    </row>
    <row r="4208" spans="1:18">
      <c r="A4208" s="179" t="s">
        <v>4894</v>
      </c>
      <c r="B4208" s="185" t="s">
        <v>8547</v>
      </c>
      <c r="C4208" s="35" t="str">
        <f t="shared" si="455"/>
        <v>Zina</v>
      </c>
      <c r="D4208" s="5"/>
      <c r="E4208" s="40"/>
      <c r="F4208" s="14"/>
      <c r="G4208" s="17"/>
      <c r="H4208" s="10" t="s">
        <v>8563</v>
      </c>
      <c r="I4208" s="4" t="str">
        <f t="shared" si="456"/>
        <v>|Ziná|</v>
      </c>
      <c r="J4208" s="3" t="str">
        <f t="shared" si="457"/>
        <v>|Zina|</v>
      </c>
      <c r="K4208" s="3" t="str">
        <f t="shared" si="458"/>
        <v>Zina</v>
      </c>
      <c r="M4208" s="5"/>
      <c r="N4208" s="39" t="str">
        <f t="shared" si="459"/>
        <v/>
      </c>
      <c r="O4208" s="5"/>
      <c r="P4208" s="39" t="str">
        <f t="shared" si="460"/>
        <v/>
      </c>
      <c r="Q4208" s="5"/>
      <c r="R4208" s="39" t="str">
        <f t="shared" si="461"/>
        <v/>
      </c>
    </row>
    <row r="4209" spans="1:19">
      <c r="A4209" s="179" t="s">
        <v>4895</v>
      </c>
      <c r="B4209" s="185" t="s">
        <v>8548</v>
      </c>
      <c r="C4209" s="35" t="str">
        <f t="shared" si="455"/>
        <v>Zindigani</v>
      </c>
      <c r="D4209" s="5"/>
      <c r="E4209" s="40"/>
      <c r="F4209" s="15"/>
      <c r="G4209" s="17"/>
      <c r="H4209" s="10" t="s">
        <v>8563</v>
      </c>
      <c r="I4209" s="4" t="str">
        <f t="shared" si="456"/>
        <v>|Zindigání|</v>
      </c>
      <c r="J4209" s="3" t="str">
        <f t="shared" si="457"/>
        <v>|Zindigani|</v>
      </c>
      <c r="K4209" s="3" t="str">
        <f t="shared" si="458"/>
        <v>Zindigani</v>
      </c>
      <c r="M4209" s="5"/>
      <c r="N4209" s="39" t="str">
        <f t="shared" si="459"/>
        <v/>
      </c>
      <c r="O4209" s="5"/>
      <c r="P4209" s="39" t="str">
        <f t="shared" si="460"/>
        <v/>
      </c>
      <c r="Q4209" s="5"/>
      <c r="R4209" s="39" t="str">
        <f t="shared" si="461"/>
        <v/>
      </c>
    </row>
    <row r="4210" spans="1:19">
      <c r="A4210" s="179" t="s">
        <v>4896</v>
      </c>
      <c r="B4210" s="185" t="s">
        <v>8549</v>
      </c>
      <c r="C4210" s="35" t="str">
        <f t="shared" si="455"/>
        <v>ZindiganiyiAbulFadliGulpaygani</v>
      </c>
      <c r="D4210" s="5"/>
      <c r="E4210" s="40"/>
      <c r="F4210" s="15"/>
      <c r="G4210" s="17"/>
      <c r="H4210" s="10" t="s">
        <v>8563</v>
      </c>
      <c r="I4210" s="4" t="str">
        <f t="shared" si="456"/>
        <v>|Zindigáníy-i-Abú’l-Faḍl-i-Gulpáygání|</v>
      </c>
      <c r="J4210" s="3" t="str">
        <f t="shared" si="457"/>
        <v>|Zindiganiy-i-Abu'l-Fadl-i-Gulpaygani|</v>
      </c>
      <c r="K4210" s="3" t="str">
        <f t="shared" si="458"/>
        <v>Zindiganiy-i-Abul-Fadl-i-Gulpaygani</v>
      </c>
      <c r="M4210" s="5"/>
      <c r="N4210" s="39" t="str">
        <f t="shared" si="459"/>
        <v/>
      </c>
      <c r="O4210" s="5"/>
      <c r="P4210" s="39" t="str">
        <f t="shared" si="460"/>
        <v/>
      </c>
      <c r="Q4210" s="5"/>
      <c r="R4210" s="39" t="str">
        <f t="shared" si="461"/>
        <v/>
      </c>
    </row>
    <row r="4211" spans="1:19">
      <c r="A4211" s="179" t="s">
        <v>4897</v>
      </c>
      <c r="B4211" s="185" t="s">
        <v>8550</v>
      </c>
      <c r="C4211" s="35" t="str">
        <f t="shared" si="455"/>
        <v>Ziyad</v>
      </c>
      <c r="D4211" s="5"/>
      <c r="E4211" s="40"/>
      <c r="F4211" s="15"/>
      <c r="G4211" s="17"/>
      <c r="H4211" s="10" t="s">
        <v>8563</v>
      </c>
      <c r="I4211" s="4" t="str">
        <f t="shared" si="456"/>
        <v>|Zíyád|</v>
      </c>
      <c r="J4211" s="3" t="str">
        <f t="shared" si="457"/>
        <v>|Ziyad|</v>
      </c>
      <c r="K4211" s="3" t="str">
        <f t="shared" si="458"/>
        <v>Ziyad</v>
      </c>
      <c r="M4211" s="5"/>
      <c r="N4211" s="39" t="str">
        <f t="shared" si="459"/>
        <v/>
      </c>
      <c r="O4211" s="5"/>
      <c r="P4211" s="39" t="str">
        <f t="shared" si="460"/>
        <v/>
      </c>
      <c r="Q4211" s="5"/>
      <c r="R4211" s="39" t="str">
        <f t="shared" si="461"/>
        <v/>
      </c>
    </row>
    <row r="4212" spans="1:19">
      <c r="A4212" s="179" t="s">
        <v>4898</v>
      </c>
      <c r="B4212" s="185" t="s">
        <v>8551</v>
      </c>
      <c r="C4212" s="35" t="str">
        <f t="shared" si="455"/>
        <v>Ziyarat</v>
      </c>
      <c r="D4212" s="5"/>
      <c r="E4212" s="40"/>
      <c r="F4212" s="14"/>
      <c r="G4212" s="17"/>
      <c r="H4212" s="10" t="s">
        <v>8563</v>
      </c>
      <c r="I4212" s="4" t="str">
        <f t="shared" si="456"/>
        <v>|Zíyárat|</v>
      </c>
      <c r="J4212" s="3" t="str">
        <f t="shared" si="457"/>
        <v>|Ziyarat|</v>
      </c>
      <c r="K4212" s="3" t="str">
        <f t="shared" si="458"/>
        <v>Ziyarat</v>
      </c>
      <c r="M4212" s="5"/>
      <c r="N4212" s="39" t="str">
        <f t="shared" si="459"/>
        <v/>
      </c>
      <c r="O4212" s="5"/>
      <c r="P4212" s="39" t="str">
        <f t="shared" si="460"/>
        <v/>
      </c>
      <c r="Q4212" s="5"/>
      <c r="R4212" s="39" t="str">
        <f t="shared" si="461"/>
        <v/>
      </c>
    </row>
    <row r="4213" spans="1:19">
      <c r="A4213" s="179" t="s">
        <v>4899</v>
      </c>
      <c r="B4213" s="185" t="s">
        <v>8552</v>
      </c>
      <c r="C4213" s="35" t="str">
        <f t="shared" si="455"/>
        <v>ZiyaratiShahAbdulAzim</v>
      </c>
      <c r="D4213" s="5"/>
      <c r="E4213" s="40"/>
      <c r="F4213" s="15" t="s">
        <v>2573</v>
      </c>
      <c r="G4213" s="17"/>
      <c r="H4213" s="10" t="s">
        <v>8563</v>
      </c>
      <c r="I4213" s="4" t="str">
        <f t="shared" si="456"/>
        <v>|Zíyárat-i-áh-ʿAbdu’l-ʿAẓím|</v>
      </c>
      <c r="J4213" s="3" t="str">
        <f t="shared" si="457"/>
        <v>|Ziyarat-i-Shah-'Abdu'l-'Azim|</v>
      </c>
      <c r="K4213" s="3" t="str">
        <f t="shared" si="458"/>
        <v>Ziyarat-i-Shah-Abdul-Azim</v>
      </c>
      <c r="M4213" s="5"/>
      <c r="N4213" s="39" t="str">
        <f t="shared" si="459"/>
        <v/>
      </c>
      <c r="O4213" s="5"/>
      <c r="P4213" s="39" t="str">
        <f t="shared" si="460"/>
        <v/>
      </c>
      <c r="Q4213" s="5"/>
      <c r="R4213" s="39" t="str">
        <f t="shared" si="461"/>
        <v/>
      </c>
    </row>
    <row r="4214" spans="1:19">
      <c r="A4214" s="179" t="s">
        <v>4900</v>
      </c>
      <c r="B4214" s="185" t="s">
        <v>8553</v>
      </c>
      <c r="C4214" s="35" t="str">
        <f t="shared" si="455"/>
        <v>ZiyaratNamih</v>
      </c>
      <c r="D4214" s="5"/>
      <c r="E4214" s="40"/>
      <c r="F4214" s="15" t="s">
        <v>4901</v>
      </c>
      <c r="G4214" s="17"/>
      <c r="H4214" s="10" t="s">
        <v>8563</v>
      </c>
      <c r="I4214" s="4" t="str">
        <f t="shared" si="456"/>
        <v>|Zíyárat-Námih|</v>
      </c>
      <c r="J4214" s="3" t="str">
        <f t="shared" si="457"/>
        <v>|Ziyarat-Namih|</v>
      </c>
      <c r="K4214" s="3" t="str">
        <f t="shared" si="458"/>
        <v>Ziyarat-Namih</v>
      </c>
      <c r="M4214" s="5"/>
      <c r="N4214" s="39" t="str">
        <f t="shared" si="459"/>
        <v/>
      </c>
      <c r="O4214" s="5"/>
      <c r="P4214" s="39" t="str">
        <f t="shared" si="460"/>
        <v/>
      </c>
      <c r="Q4214" s="5"/>
      <c r="R4214" s="39" t="str">
        <f t="shared" si="461"/>
        <v/>
      </c>
    </row>
    <row r="4215" spans="1:19">
      <c r="A4215" s="179" t="s">
        <v>4902</v>
      </c>
      <c r="B4215" s="185" t="s">
        <v>8554</v>
      </c>
      <c r="C4215" s="35" t="str">
        <f t="shared" si="455"/>
        <v>ZiyaratNamiyiAwliya</v>
      </c>
      <c r="D4215" s="5"/>
      <c r="E4215" s="40"/>
      <c r="F4215" s="15" t="s">
        <v>4903</v>
      </c>
      <c r="G4215" s="17"/>
      <c r="H4215" s="10" t="s">
        <v>8563</v>
      </c>
      <c r="I4215" s="4" t="str">
        <f t="shared" si="456"/>
        <v>|Zíyárat-Námiy-i-Awlíyá|</v>
      </c>
      <c r="J4215" s="3" t="str">
        <f t="shared" si="457"/>
        <v>|Ziyarat-Namiy-i-Awliya|</v>
      </c>
      <c r="K4215" s="3" t="str">
        <f t="shared" si="458"/>
        <v>Ziyarat-Namiy-i-Awliya</v>
      </c>
      <c r="M4215" s="5"/>
      <c r="N4215" s="39" t="str">
        <f t="shared" si="459"/>
        <v/>
      </c>
      <c r="O4215" s="5"/>
      <c r="P4215" s="39" t="str">
        <f t="shared" si="460"/>
        <v/>
      </c>
      <c r="Q4215" s="5"/>
      <c r="R4215" s="39" t="str">
        <f t="shared" si="461"/>
        <v/>
      </c>
    </row>
    <row r="4216" spans="1:19">
      <c r="A4216" s="179" t="s">
        <v>4904</v>
      </c>
      <c r="B4216" s="185" t="s">
        <v>8555</v>
      </c>
      <c r="C4216" s="35" t="str">
        <f t="shared" si="455"/>
        <v>ZiyaratNamiyiBabulBab</v>
      </c>
      <c r="D4216" s="5"/>
      <c r="E4216" s="40"/>
      <c r="F4216" s="15" t="s">
        <v>4905</v>
      </c>
      <c r="G4216" s="17"/>
      <c r="H4216" s="10" t="s">
        <v>8563</v>
      </c>
      <c r="I4216" s="4" t="str">
        <f t="shared" si="456"/>
        <v>|Zíyárat-Námiy-i-Bábu’l-Báb|</v>
      </c>
      <c r="J4216" s="3" t="str">
        <f t="shared" si="457"/>
        <v>|Ziyarat-Namiy-i-Babu'l-Bab|</v>
      </c>
      <c r="K4216" s="3" t="str">
        <f t="shared" si="458"/>
        <v>Ziyarat-Namiy-i-Babul-Bab</v>
      </c>
      <c r="M4216" s="5"/>
      <c r="N4216" s="39" t="str">
        <f t="shared" si="459"/>
        <v/>
      </c>
      <c r="O4216" s="5"/>
      <c r="P4216" s="39" t="str">
        <f t="shared" si="460"/>
        <v/>
      </c>
      <c r="Q4216" s="5"/>
      <c r="R4216" s="39" t="str">
        <f t="shared" si="461"/>
        <v/>
      </c>
    </row>
    <row r="4217" spans="1:19">
      <c r="A4217" s="179" t="s">
        <v>4906</v>
      </c>
      <c r="B4217" s="185" t="s">
        <v>8556</v>
      </c>
      <c r="C4217" s="35" t="str">
        <f t="shared" si="455"/>
        <v>ZiyaratNamiyiBayt</v>
      </c>
      <c r="D4217" s="5"/>
      <c r="E4217" s="40"/>
      <c r="F4217" s="15" t="s">
        <v>4907</v>
      </c>
      <c r="G4217" s="17"/>
      <c r="H4217" s="10" t="s">
        <v>8563</v>
      </c>
      <c r="I4217" s="4" t="str">
        <f t="shared" si="456"/>
        <v>|Zíyárat-Námiy-i-Bayt|</v>
      </c>
      <c r="J4217" s="3" t="str">
        <f t="shared" si="457"/>
        <v>|Ziyarat-Namiy-i-Bayt|</v>
      </c>
      <c r="K4217" s="3" t="str">
        <f t="shared" si="458"/>
        <v>Ziyarat-Namiy-i-Bayt</v>
      </c>
      <c r="M4217" s="5"/>
      <c r="N4217" s="39" t="str">
        <f t="shared" si="459"/>
        <v/>
      </c>
      <c r="O4217" s="5"/>
      <c r="P4217" s="39" t="str">
        <f t="shared" si="460"/>
        <v/>
      </c>
      <c r="Q4217" s="5"/>
      <c r="R4217" s="39" t="str">
        <f t="shared" si="461"/>
        <v/>
      </c>
    </row>
    <row r="4218" spans="1:19">
      <c r="A4218" s="179" t="s">
        <v>4908</v>
      </c>
      <c r="B4218" s="185" t="s">
        <v>8557</v>
      </c>
      <c r="C4218" s="35" t="str">
        <f t="shared" si="455"/>
        <v>ZiyaratNamiyiMaryam</v>
      </c>
      <c r="D4218" s="5"/>
      <c r="E4218" s="40"/>
      <c r="F4218" s="15" t="s">
        <v>4909</v>
      </c>
      <c r="G4218" s="17"/>
      <c r="H4218" s="10" t="s">
        <v>8563</v>
      </c>
      <c r="I4218" s="4" t="str">
        <f t="shared" si="456"/>
        <v>|Zíyárat-Námiy-i-Maryam|</v>
      </c>
      <c r="J4218" s="3" t="str">
        <f t="shared" si="457"/>
        <v>|Ziyarat-Namiy-i-Maryam|</v>
      </c>
      <c r="K4218" s="3" t="str">
        <f t="shared" si="458"/>
        <v>Ziyarat-Namiy-i-Maryam</v>
      </c>
      <c r="M4218" s="5"/>
      <c r="N4218" s="39" t="str">
        <f t="shared" si="459"/>
        <v/>
      </c>
      <c r="O4218" s="5"/>
      <c r="P4218" s="39" t="str">
        <f t="shared" si="460"/>
        <v/>
      </c>
      <c r="Q4218" s="5"/>
      <c r="R4218" s="39" t="str">
        <f t="shared" si="461"/>
        <v/>
      </c>
    </row>
    <row r="4219" spans="1:19">
      <c r="B4219" s="185" t="s">
        <v>8643</v>
      </c>
      <c r="C4219" s="35" t="str">
        <f t="shared" si="455"/>
        <v>ZiyaratulJamiatulKabirih</v>
      </c>
      <c r="E4219" s="40"/>
      <c r="H4219" s="12" t="s">
        <v>8622</v>
      </c>
      <c r="I4219" s="4" t="str">
        <f t="shared" si="456"/>
        <v>|Zíyáratu’l Jámiʿatu’l-Kabírih|</v>
      </c>
      <c r="J4219" s="3" t="str">
        <f t="shared" si="457"/>
        <v>|Ziyaratu'l Jami'atu'l-Kabirih|</v>
      </c>
      <c r="K4219" s="3" t="str">
        <f t="shared" si="458"/>
        <v>Ziyaratul Jamiatul-Kabirih</v>
      </c>
      <c r="M4219" s="5"/>
      <c r="N4219" s="39" t="str">
        <f t="shared" si="459"/>
        <v/>
      </c>
      <c r="O4219" s="5"/>
      <c r="P4219" s="39" t="str">
        <f t="shared" si="460"/>
        <v/>
      </c>
      <c r="Q4219" s="5"/>
      <c r="R4219" s="39" t="str">
        <f t="shared" si="461"/>
        <v/>
      </c>
      <c r="S4219" s="29">
        <v>41760</v>
      </c>
    </row>
    <row r="4220" spans="1:19">
      <c r="A4220" s="179" t="s">
        <v>4910</v>
      </c>
      <c r="B4220" s="185" t="s">
        <v>8558</v>
      </c>
      <c r="C4220" s="35" t="str">
        <f t="shared" si="455"/>
        <v>Zuhur</v>
      </c>
      <c r="D4220" s="5"/>
      <c r="E4220" s="40"/>
      <c r="F4220" s="15" t="s">
        <v>4911</v>
      </c>
      <c r="G4220" s="17"/>
      <c r="H4220" s="10" t="s">
        <v>8563</v>
      </c>
      <c r="I4220" s="4" t="str">
        <f t="shared" si="456"/>
        <v>|Ẓuhúr|</v>
      </c>
      <c r="J4220" s="3" t="str">
        <f t="shared" si="457"/>
        <v>|Zuhur|</v>
      </c>
      <c r="K4220" s="3" t="str">
        <f t="shared" si="458"/>
        <v>Zuhur</v>
      </c>
      <c r="M4220" s="5"/>
      <c r="N4220" s="39" t="str">
        <f t="shared" si="459"/>
        <v/>
      </c>
      <c r="O4220" s="5"/>
      <c r="P4220" s="39" t="str">
        <f t="shared" si="460"/>
        <v/>
      </c>
      <c r="Q4220" s="5"/>
      <c r="R4220" s="39" t="str">
        <f t="shared" si="461"/>
        <v/>
      </c>
    </row>
    <row r="4221" spans="1:19">
      <c r="A4221" s="179" t="s">
        <v>4912</v>
      </c>
      <c r="B4221" s="185" t="s">
        <v>8559</v>
      </c>
      <c r="C4221" s="35" t="str">
        <f t="shared" si="455"/>
        <v>ZuhuriIlahi</v>
      </c>
      <c r="D4221" s="5"/>
      <c r="E4221" s="40"/>
      <c r="F4221" s="15" t="s">
        <v>4913</v>
      </c>
      <c r="G4221" s="17"/>
      <c r="H4221" s="10" t="s">
        <v>8563</v>
      </c>
      <c r="I4221" s="4" t="str">
        <f t="shared" si="456"/>
        <v>|Ẓuhúr-i-Iláhí|</v>
      </c>
      <c r="J4221" s="3" t="str">
        <f t="shared" si="457"/>
        <v>|Zuhur-i-Ilahi|</v>
      </c>
      <c r="K4221" s="3" t="str">
        <f t="shared" si="458"/>
        <v>Zuhur-i-Ilahi</v>
      </c>
      <c r="M4221" s="5"/>
      <c r="N4221" s="39" t="str">
        <f t="shared" si="459"/>
        <v/>
      </c>
      <c r="O4221" s="5"/>
      <c r="P4221" s="39" t="str">
        <f t="shared" si="460"/>
        <v/>
      </c>
      <c r="Q4221" s="5"/>
      <c r="R4221" s="39" t="str">
        <f t="shared" si="461"/>
        <v/>
      </c>
    </row>
    <row r="4222" spans="1:19">
      <c r="A4222" s="179" t="s">
        <v>4914</v>
      </c>
      <c r="B4222" s="185" t="s">
        <v>8560</v>
      </c>
      <c r="C4222" s="35" t="str">
        <f t="shared" si="455"/>
        <v>Zunuz</v>
      </c>
      <c r="D4222" s="5"/>
      <c r="E4222" s="40"/>
      <c r="F4222" s="15" t="s">
        <v>4915</v>
      </c>
      <c r="G4222" s="17"/>
      <c r="H4222" s="10" t="s">
        <v>8563</v>
      </c>
      <c r="I4222" s="4" t="str">
        <f t="shared" si="456"/>
        <v>|Zunúz|</v>
      </c>
      <c r="J4222" s="3" t="str">
        <f t="shared" si="457"/>
        <v>|Zunuz|</v>
      </c>
      <c r="K4222" s="3" t="str">
        <f t="shared" si="458"/>
        <v>Zunuz</v>
      </c>
      <c r="M4222" s="5"/>
      <c r="N4222" s="39" t="str">
        <f t="shared" si="459"/>
        <v/>
      </c>
      <c r="O4222" s="5"/>
      <c r="P4222" s="39" t="str">
        <f t="shared" si="460"/>
        <v/>
      </c>
      <c r="Q4222" s="5"/>
      <c r="R4222" s="39" t="str">
        <f t="shared" si="461"/>
        <v/>
      </c>
    </row>
    <row r="4223" spans="1:19">
      <c r="A4223" s="179" t="s">
        <v>4916</v>
      </c>
      <c r="B4223" s="185" t="s">
        <v>8561</v>
      </c>
      <c r="C4223" s="35" t="str">
        <f t="shared" si="455"/>
        <v>Zunuzi</v>
      </c>
      <c r="D4223" s="5"/>
      <c r="E4223" s="40"/>
      <c r="F4223" s="15"/>
      <c r="G4223" s="17"/>
      <c r="H4223" s="10" t="s">
        <v>8563</v>
      </c>
      <c r="I4223" s="4" t="str">
        <f t="shared" si="456"/>
        <v>|Zunúzí|</v>
      </c>
      <c r="J4223" s="3" t="str">
        <f t="shared" si="457"/>
        <v>|Zunuzi|</v>
      </c>
      <c r="K4223" s="3" t="str">
        <f t="shared" si="458"/>
        <v>Zunuzi</v>
      </c>
      <c r="M4223" s="5"/>
      <c r="N4223" s="39" t="str">
        <f t="shared" si="459"/>
        <v/>
      </c>
      <c r="O4223" s="5"/>
      <c r="P4223" s="39" t="str">
        <f t="shared" si="460"/>
        <v/>
      </c>
      <c r="Q4223" s="5"/>
      <c r="R4223" s="39" t="str">
        <f t="shared" si="461"/>
        <v/>
      </c>
    </row>
    <row r="4224" spans="1:19">
      <c r="A4224" s="179" t="s">
        <v>4917</v>
      </c>
      <c r="B4224" s="185" t="s">
        <v>8562</v>
      </c>
      <c r="C4224" s="35" t="str">
        <f t="shared" si="455"/>
        <v>ZurKhanih</v>
      </c>
      <c r="D4224" s="5"/>
      <c r="E4224" s="40"/>
      <c r="F4224" s="15" t="s">
        <v>4918</v>
      </c>
      <c r="G4224" s="17"/>
      <c r="H4224" s="10" t="s">
        <v>8563</v>
      </c>
      <c r="I4224" s="4" t="str">
        <f t="shared" si="456"/>
        <v>|Zúr-ánih|</v>
      </c>
      <c r="J4224" s="3" t="str">
        <f t="shared" si="457"/>
        <v>|Zur-Khanih|</v>
      </c>
      <c r="K4224" s="3" t="str">
        <f t="shared" si="458"/>
        <v>Zur-Khanih</v>
      </c>
      <c r="M4224" s="5"/>
      <c r="N4224" s="39" t="str">
        <f t="shared" si="459"/>
        <v/>
      </c>
      <c r="O4224" s="5"/>
      <c r="P4224" s="39" t="str">
        <f t="shared" si="460"/>
        <v/>
      </c>
      <c r="Q4224" s="5"/>
      <c r="R4224" s="39" t="str">
        <f t="shared" si="461"/>
        <v/>
      </c>
    </row>
    <row r="4225" spans="1:21">
      <c r="A4225" s="179"/>
      <c r="C4225" s="35" t="str">
        <f t="shared" si="455"/>
        <v>ZZZZZ</v>
      </c>
      <c r="D4225" s="5"/>
      <c r="E4225" s="40"/>
      <c r="F4225" s="15"/>
      <c r="G4225" s="17" t="s">
        <v>9480</v>
      </c>
      <c r="H4225" s="10"/>
      <c r="I4225" s="4" t="str">
        <f t="shared" si="456"/>
        <v>||</v>
      </c>
      <c r="J4225" s="3" t="str">
        <f t="shared" si="457"/>
        <v>||</v>
      </c>
      <c r="K4225" s="3" t="str">
        <f t="shared" ref="K4225:K4237" si="462">IF(SUBSTITUTE(MID(J4225,2,LEN(J4225)-2),"'","")&lt;&gt;"",SUBSTITUTE(MID(J4225,2,LEN(J4225)-2),"'",""),"ZZZZZ")</f>
        <v>ZZZZZ</v>
      </c>
      <c r="M4225" s="5"/>
      <c r="N4225" s="39" t="str">
        <f t="shared" ref="N4225:N4237" si="463">SUBSTITUTE(SUBSTITUTE(SUBSTITUTE(F_OutputASCII(M4225),"-","")," ",""),"'","")</f>
        <v/>
      </c>
      <c r="O4225" s="5" t="s">
        <v>9113</v>
      </c>
      <c r="P4225" s="39" t="str">
        <f t="shared" ref="P4225:P4237" si="464">SUBSTITUTE(SUBSTITUTE(SUBSTITUTE(F_OutputASCII(O4225),"-","")," ",""),"'","")</f>
        <v>Xerxes</v>
      </c>
      <c r="Q4225" s="5"/>
      <c r="R4225" s="39" t="str">
        <f t="shared" ref="R4225:R4237" si="465">SUBSTITUTE(SUBSTITUTE(Q4225,"-","")," ","")</f>
        <v/>
      </c>
      <c r="S4225" s="29">
        <v>41781</v>
      </c>
      <c r="T4225" s="29">
        <v>41801</v>
      </c>
    </row>
    <row r="4226" spans="1:21">
      <c r="A4226" s="179"/>
      <c r="B4226" s="185" t="s">
        <v>9372</v>
      </c>
      <c r="C4226" s="35" t="str">
        <f t="shared" ref="C4226:C4237" si="466">SUBSTITUTE(SUBSTITUTE(K4226,"-","")," ","")</f>
        <v>Bahas</v>
      </c>
      <c r="D4226" s="5" t="s">
        <v>59</v>
      </c>
      <c r="E4226" s="40"/>
      <c r="F4226" s="15"/>
      <c r="G4226" s="17"/>
      <c r="H4226" s="10"/>
      <c r="I4226" s="4" t="str">
        <f t="shared" ref="I4226:I4237" si="467">CONCATENATE("|",B4226,"|")</f>
        <v>|Bahás|</v>
      </c>
      <c r="J4226" s="3" t="str">
        <f t="shared" ref="J4226:J4237" si="468">CONCATENATE("|",F_OutputASCII(B4226),"|")</f>
        <v>|Bahas|</v>
      </c>
      <c r="K4226" s="3" t="str">
        <f t="shared" si="462"/>
        <v>Bahas</v>
      </c>
      <c r="M4226" s="5"/>
      <c r="N4226" s="39" t="str">
        <f t="shared" si="463"/>
        <v/>
      </c>
      <c r="O4226" s="5"/>
      <c r="P4226" s="39" t="str">
        <f t="shared" si="464"/>
        <v/>
      </c>
      <c r="Q4226" s="5"/>
      <c r="R4226" s="39" t="str">
        <f t="shared" si="465"/>
        <v/>
      </c>
      <c r="S4226" s="29">
        <v>41796</v>
      </c>
      <c r="T4226" s="29">
        <v>41801</v>
      </c>
      <c r="U4226" s="28" t="s">
        <v>9425</v>
      </c>
    </row>
    <row r="4227" spans="1:21">
      <c r="A4227" s="179"/>
      <c r="B4227" s="185" t="s">
        <v>9375</v>
      </c>
      <c r="C4227" s="35" t="str">
        <f t="shared" si="466"/>
        <v>HasanalAskaris</v>
      </c>
      <c r="D4227" s="5" t="s">
        <v>59</v>
      </c>
      <c r="E4227" s="40" t="s">
        <v>9115</v>
      </c>
      <c r="F4227" s="15"/>
      <c r="G4227" s="17" t="s">
        <v>9494</v>
      </c>
      <c r="H4227" s="10"/>
      <c r="I4227" s="4" t="str">
        <f t="shared" si="467"/>
        <v>|Ḥasan al-ʿAskarís|</v>
      </c>
      <c r="J4227" s="3" t="str">
        <f t="shared" si="468"/>
        <v>|Hasan al-'Askaris|</v>
      </c>
      <c r="K4227" s="3" t="str">
        <f t="shared" si="462"/>
        <v>Hasan al-Askaris</v>
      </c>
      <c r="M4227" s="5"/>
      <c r="N4227" s="39" t="str">
        <f t="shared" si="463"/>
        <v/>
      </c>
      <c r="O4227" s="5"/>
      <c r="P4227" s="39" t="str">
        <f t="shared" si="464"/>
        <v/>
      </c>
      <c r="Q4227" s="5"/>
      <c r="R4227" s="39" t="str">
        <f t="shared" si="465"/>
        <v/>
      </c>
      <c r="S4227" s="29">
        <v>41796</v>
      </c>
      <c r="T4227" s="29">
        <v>41801</v>
      </c>
      <c r="U4227" s="28" t="s">
        <v>9371</v>
      </c>
    </row>
    <row r="4228" spans="1:21">
      <c r="A4228" s="179"/>
      <c r="B4228" s="185" t="s">
        <v>9376</v>
      </c>
      <c r="C4228" s="35" t="str">
        <f t="shared" si="466"/>
        <v>Hasans</v>
      </c>
      <c r="D4228" s="5" t="s">
        <v>59</v>
      </c>
      <c r="E4228" s="40"/>
      <c r="F4228" s="15"/>
      <c r="G4228" s="17"/>
      <c r="H4228" s="10"/>
      <c r="I4228" s="4" t="str">
        <f t="shared" si="467"/>
        <v>|Ḥasans|</v>
      </c>
      <c r="J4228" s="3" t="str">
        <f t="shared" si="468"/>
        <v>|Hasans|</v>
      </c>
      <c r="K4228" s="3" t="str">
        <f t="shared" si="462"/>
        <v>Hasans</v>
      </c>
      <c r="M4228" s="5"/>
      <c r="N4228" s="39" t="str">
        <f t="shared" si="463"/>
        <v/>
      </c>
      <c r="O4228" s="5"/>
      <c r="P4228" s="39" t="str">
        <f t="shared" si="464"/>
        <v/>
      </c>
      <c r="Q4228" s="5"/>
      <c r="R4228" s="39" t="str">
        <f t="shared" si="465"/>
        <v/>
      </c>
      <c r="S4228" s="29">
        <v>41796</v>
      </c>
      <c r="T4228" s="29">
        <v>41796</v>
      </c>
      <c r="U4228" s="28" t="s">
        <v>9374</v>
      </c>
    </row>
    <row r="4229" spans="1:21">
      <c r="A4229" s="179"/>
      <c r="B4229" s="185" t="s">
        <v>9379</v>
      </c>
      <c r="C4229" s="35" t="str">
        <f t="shared" si="466"/>
        <v>MuhammadalMahdi</v>
      </c>
      <c r="D4229" s="5"/>
      <c r="E4229" s="40"/>
      <c r="F4229" s="15"/>
      <c r="G4229" s="17"/>
      <c r="H4229" s="10"/>
      <c r="I4229" s="4" t="str">
        <f t="shared" si="467"/>
        <v>|Muḥammad al-Mahdí|</v>
      </c>
      <c r="J4229" s="3" t="str">
        <f t="shared" si="468"/>
        <v>|Muhammad al-Mahdi|</v>
      </c>
      <c r="K4229" s="3" t="str">
        <f t="shared" si="462"/>
        <v>Muhammad al-Mahdi</v>
      </c>
      <c r="M4229" s="5"/>
      <c r="N4229" s="39" t="str">
        <f t="shared" si="463"/>
        <v/>
      </c>
      <c r="O4229" s="5"/>
      <c r="P4229" s="39" t="str">
        <f t="shared" si="464"/>
        <v/>
      </c>
      <c r="Q4229" s="5"/>
      <c r="R4229" s="39" t="str">
        <f t="shared" si="465"/>
        <v/>
      </c>
      <c r="S4229" s="29">
        <v>41796</v>
      </c>
      <c r="T4229" s="29">
        <v>41796</v>
      </c>
      <c r="U4229" s="28" t="s">
        <v>9371</v>
      </c>
    </row>
    <row r="4230" spans="1:21">
      <c r="A4230" s="179"/>
      <c r="C4230" s="35" t="str">
        <f t="shared" si="466"/>
        <v>ZZZZZ</v>
      </c>
      <c r="D4230" s="5"/>
      <c r="E4230" s="40" t="s">
        <v>9115</v>
      </c>
      <c r="F4230" s="15"/>
      <c r="G4230" s="17" t="s">
        <v>9498</v>
      </c>
      <c r="H4230" s="10"/>
      <c r="I4230" s="4" t="str">
        <f t="shared" si="467"/>
        <v>||</v>
      </c>
      <c r="J4230" s="3" t="str">
        <f t="shared" si="468"/>
        <v>||</v>
      </c>
      <c r="K4230" s="3" t="str">
        <f t="shared" si="462"/>
        <v>ZZZZZ</v>
      </c>
      <c r="M4230" s="5"/>
      <c r="N4230" s="39" t="str">
        <f t="shared" si="463"/>
        <v/>
      </c>
      <c r="O4230" s="5" t="s">
        <v>9380</v>
      </c>
      <c r="P4230" s="39" t="str">
        <f t="shared" si="464"/>
        <v>schiitischenIslam</v>
      </c>
      <c r="Q4230" s="5"/>
      <c r="R4230" s="39" t="str">
        <f t="shared" si="465"/>
        <v/>
      </c>
      <c r="S4230" s="29">
        <v>41796</v>
      </c>
      <c r="T4230" s="29">
        <v>41801</v>
      </c>
      <c r="U4230" s="28" t="s">
        <v>9373</v>
      </c>
    </row>
    <row r="4231" spans="1:21">
      <c r="A4231" s="179"/>
      <c r="C4231" s="35" t="str">
        <f t="shared" si="466"/>
        <v>ZZZZZ</v>
      </c>
      <c r="D4231" s="5" t="s">
        <v>59</v>
      </c>
      <c r="E4231" s="40" t="s">
        <v>9115</v>
      </c>
      <c r="F4231" s="15"/>
      <c r="G4231" s="17" t="s">
        <v>9497</v>
      </c>
      <c r="H4231" s="10"/>
      <c r="I4231" s="4" t="str">
        <f t="shared" si="467"/>
        <v>||</v>
      </c>
      <c r="J4231" s="3" t="str">
        <f t="shared" si="468"/>
        <v>||</v>
      </c>
      <c r="K4231" s="3" t="str">
        <f t="shared" si="462"/>
        <v>ZZZZZ</v>
      </c>
      <c r="M4231" s="5"/>
      <c r="N4231" s="39" t="str">
        <f t="shared" si="463"/>
        <v/>
      </c>
      <c r="O4231" s="5" t="s">
        <v>9381</v>
      </c>
      <c r="P4231" s="39" t="str">
        <f t="shared" si="464"/>
        <v>schiitischer</v>
      </c>
      <c r="Q4231" s="5"/>
      <c r="R4231" s="39" t="str">
        <f t="shared" si="465"/>
        <v/>
      </c>
      <c r="S4231" s="29">
        <v>41796</v>
      </c>
      <c r="T4231" s="29">
        <v>41801</v>
      </c>
    </row>
    <row r="4232" spans="1:21">
      <c r="A4232" s="179"/>
      <c r="B4232" s="185" t="s">
        <v>9384</v>
      </c>
      <c r="C4232" s="35" t="str">
        <f t="shared" si="466"/>
        <v>Baha</v>
      </c>
      <c r="D4232" s="5"/>
      <c r="E4232" s="40"/>
      <c r="F4232" s="15"/>
      <c r="G4232" s="17"/>
      <c r="H4232" s="10"/>
      <c r="I4232" s="4" t="str">
        <f t="shared" si="467"/>
        <v>|Bahá|</v>
      </c>
      <c r="J4232" s="3" t="str">
        <f t="shared" si="468"/>
        <v>|Baha|</v>
      </c>
      <c r="K4232" s="3" t="str">
        <f t="shared" si="462"/>
        <v>Baha</v>
      </c>
      <c r="M4232" s="5"/>
      <c r="N4232" s="39" t="str">
        <f t="shared" si="463"/>
        <v/>
      </c>
      <c r="O4232" s="5"/>
      <c r="P4232" s="39" t="str">
        <f t="shared" si="464"/>
        <v/>
      </c>
      <c r="Q4232" s="5"/>
      <c r="R4232" s="39" t="str">
        <f t="shared" si="465"/>
        <v/>
      </c>
      <c r="S4232" s="29">
        <v>41796</v>
      </c>
      <c r="T4232" s="29">
        <v>41796</v>
      </c>
      <c r="U4232" s="28" t="s">
        <v>9382</v>
      </c>
    </row>
    <row r="4233" spans="1:21">
      <c r="A4233" s="179"/>
      <c r="B4233" s="185" t="s">
        <v>9385</v>
      </c>
      <c r="C4233" s="35" t="str">
        <f t="shared" si="466"/>
        <v>Bahais</v>
      </c>
      <c r="D4233" s="5" t="s">
        <v>9066</v>
      </c>
      <c r="E4233" s="40"/>
      <c r="F4233" s="15"/>
      <c r="G4233" s="17"/>
      <c r="H4233" s="10"/>
      <c r="I4233" s="4" t="str">
        <f t="shared" si="467"/>
        <v>|Bahá’ís|</v>
      </c>
      <c r="J4233" s="3" t="str">
        <f t="shared" si="468"/>
        <v>|Baha'is|</v>
      </c>
      <c r="K4233" s="3" t="str">
        <f t="shared" si="462"/>
        <v>Bahais</v>
      </c>
      <c r="M4233" s="5"/>
      <c r="N4233" s="39" t="str">
        <f t="shared" si="463"/>
        <v/>
      </c>
      <c r="O4233" s="5"/>
      <c r="P4233" s="39" t="str">
        <f t="shared" si="464"/>
        <v/>
      </c>
      <c r="Q4233" s="5"/>
      <c r="R4233" s="39" t="str">
        <f t="shared" si="465"/>
        <v/>
      </c>
      <c r="S4233" s="29">
        <v>41796</v>
      </c>
      <c r="T4233" s="29">
        <v>41801</v>
      </c>
      <c r="U4233" s="28" t="s">
        <v>9424</v>
      </c>
    </row>
    <row r="4234" spans="1:21">
      <c r="A4234" s="179"/>
      <c r="B4234" s="185" t="s">
        <v>9406</v>
      </c>
      <c r="C4234" s="35" t="str">
        <f t="shared" si="466"/>
        <v>Bahaitum</v>
      </c>
      <c r="D4234" s="5" t="s">
        <v>59</v>
      </c>
      <c r="E4234" s="40"/>
      <c r="F4234" s="15"/>
      <c r="G4234" s="17"/>
      <c r="H4234" s="10"/>
      <c r="I4234" s="4" t="str">
        <f t="shared" si="467"/>
        <v>|Bahá’ítum|</v>
      </c>
      <c r="J4234" s="3" t="str">
        <f t="shared" si="468"/>
        <v>|Baha'itum|</v>
      </c>
      <c r="K4234" s="3" t="str">
        <f t="shared" si="462"/>
        <v>Bahaitum</v>
      </c>
      <c r="M4234" s="5"/>
      <c r="N4234" s="39" t="str">
        <f t="shared" si="463"/>
        <v/>
      </c>
      <c r="O4234" s="5"/>
      <c r="P4234" s="39" t="str">
        <f t="shared" si="464"/>
        <v/>
      </c>
      <c r="Q4234" s="5"/>
      <c r="R4234" s="39" t="str">
        <f t="shared" si="465"/>
        <v/>
      </c>
      <c r="S4234" s="29">
        <v>41799</v>
      </c>
      <c r="T4234" s="29">
        <v>41800</v>
      </c>
      <c r="U4234" s="28" t="s">
        <v>9405</v>
      </c>
    </row>
    <row r="4235" spans="1:21">
      <c r="A4235" s="179"/>
      <c r="B4235" s="185" t="s">
        <v>9411</v>
      </c>
      <c r="C4235" s="35" t="str">
        <f t="shared" si="466"/>
        <v>Ramadanschmuck</v>
      </c>
      <c r="D4235" s="5" t="s">
        <v>59</v>
      </c>
      <c r="E4235" s="40"/>
      <c r="F4235" s="15"/>
      <c r="G4235" s="17"/>
      <c r="H4235" s="10"/>
      <c r="I4235" s="4" t="str">
        <f t="shared" si="467"/>
        <v>|Ramaḍánschmuck|</v>
      </c>
      <c r="J4235" s="3" t="str">
        <f t="shared" si="468"/>
        <v>|Ramadanschmuck|</v>
      </c>
      <c r="K4235" s="3" t="str">
        <f t="shared" si="462"/>
        <v>Ramadanschmuck</v>
      </c>
      <c r="M4235" s="5"/>
      <c r="N4235" s="39" t="str">
        <f t="shared" si="463"/>
        <v/>
      </c>
      <c r="O4235" s="5"/>
      <c r="P4235" s="39" t="str">
        <f t="shared" si="464"/>
        <v/>
      </c>
      <c r="Q4235" s="5"/>
      <c r="R4235" s="39" t="str">
        <f t="shared" si="465"/>
        <v/>
      </c>
      <c r="S4235" s="29">
        <v>41800</v>
      </c>
      <c r="T4235" s="29">
        <v>41800</v>
      </c>
      <c r="U4235" s="28" t="s">
        <v>9405</v>
      </c>
    </row>
    <row r="4236" spans="1:21">
      <c r="A4236" s="179"/>
      <c r="B4236" s="185" t="s">
        <v>9412</v>
      </c>
      <c r="C4236" s="35" t="str">
        <f t="shared" si="466"/>
        <v>Muslimen</v>
      </c>
      <c r="D4236" s="5" t="s">
        <v>59</v>
      </c>
      <c r="E4236" s="40"/>
      <c r="F4236" s="15"/>
      <c r="G4236" s="17"/>
      <c r="H4236" s="10"/>
      <c r="I4236" s="4" t="str">
        <f t="shared" si="467"/>
        <v>|Muslimen|</v>
      </c>
      <c r="J4236" s="3" t="str">
        <f t="shared" si="468"/>
        <v>|Muslimen|</v>
      </c>
      <c r="K4236" s="3" t="str">
        <f t="shared" si="462"/>
        <v>Muslimen</v>
      </c>
      <c r="M4236" s="5"/>
      <c r="N4236" s="39" t="str">
        <f t="shared" si="463"/>
        <v/>
      </c>
      <c r="O4236" s="5"/>
      <c r="P4236" s="39" t="str">
        <f t="shared" si="464"/>
        <v/>
      </c>
      <c r="Q4236" s="5"/>
      <c r="R4236" s="39" t="str">
        <f t="shared" si="465"/>
        <v/>
      </c>
      <c r="S4236" s="29">
        <v>41800</v>
      </c>
      <c r="T4236" s="29">
        <v>41800</v>
      </c>
      <c r="U4236" s="28" t="s">
        <v>9413</v>
      </c>
    </row>
    <row r="4237" spans="1:21">
      <c r="A4237" s="179"/>
      <c r="B4237" s="185" t="s">
        <v>9415</v>
      </c>
      <c r="C4237" s="35" t="str">
        <f t="shared" si="466"/>
        <v>Abha</v>
      </c>
      <c r="D4237" s="5"/>
      <c r="E4237" s="40"/>
      <c r="F4237" s="15"/>
      <c r="G4237" s="17"/>
      <c r="H4237" s="10"/>
      <c r="I4237" s="4" t="str">
        <f t="shared" si="467"/>
        <v>|Abhá-|</v>
      </c>
      <c r="J4237" s="3" t="str">
        <f t="shared" si="468"/>
        <v>|Abha-|</v>
      </c>
      <c r="K4237" s="3" t="str">
        <f t="shared" si="462"/>
        <v>Abha-</v>
      </c>
      <c r="M4237" s="5"/>
      <c r="N4237" s="39" t="str">
        <f t="shared" si="463"/>
        <v/>
      </c>
      <c r="O4237" s="5"/>
      <c r="P4237" s="39" t="str">
        <f t="shared" si="464"/>
        <v/>
      </c>
      <c r="Q4237" s="5"/>
      <c r="R4237" s="39" t="str">
        <f t="shared" si="465"/>
        <v/>
      </c>
      <c r="S4237" s="29">
        <v>41800</v>
      </c>
      <c r="T4237" s="29">
        <v>41800</v>
      </c>
      <c r="U4237" s="28" t="s">
        <v>9416</v>
      </c>
    </row>
    <row r="4238" spans="1:21">
      <c r="A4238" s="179"/>
      <c r="B4238" s="185" t="s">
        <v>9417</v>
      </c>
      <c r="C4238" s="35" t="str">
        <f t="shared" ref="C4238" si="469">SUBSTITUTE(SUBSTITUTE(K4238,"-","")," ","")</f>
        <v>Arbab</v>
      </c>
      <c r="D4238" s="5" t="s">
        <v>9114</v>
      </c>
      <c r="E4238" s="40"/>
      <c r="F4238" s="15"/>
      <c r="G4238" s="17"/>
      <c r="H4238" s="10"/>
      <c r="I4238" s="4" t="str">
        <f t="shared" ref="I4238" si="470">CONCATENATE("|",B4238,"|")</f>
        <v>|Arbab|</v>
      </c>
      <c r="J4238" s="3" t="str">
        <f t="shared" ref="J4238" si="471">CONCATENATE("|",F_OutputASCII(B4238),"|")</f>
        <v>|Arbab|</v>
      </c>
      <c r="K4238" s="3" t="str">
        <f t="shared" ref="K4238" si="472">IF(SUBSTITUTE(MID(J4238,2,LEN(J4238)-2),"'","")&lt;&gt;"",SUBSTITUTE(MID(J4238,2,LEN(J4238)-2),"'",""),"ZZZZZ")</f>
        <v>Arbab</v>
      </c>
      <c r="M4238" s="5"/>
      <c r="N4238" s="39" t="str">
        <f t="shared" ref="N4238" si="473">SUBSTITUTE(SUBSTITUTE(SUBSTITUTE(F_OutputASCII(M4238),"-","")," ",""),"'","")</f>
        <v/>
      </c>
      <c r="O4238" s="5"/>
      <c r="P4238" s="39" t="str">
        <f t="shared" ref="P4238" si="474">SUBSTITUTE(SUBSTITUTE(SUBSTITUTE(F_OutputASCII(O4238),"-","")," ",""),"'","")</f>
        <v/>
      </c>
      <c r="Q4238" s="5"/>
      <c r="R4238" s="39" t="str">
        <f t="shared" ref="R4238" si="475">SUBSTITUTE(SUBSTITUTE(Q4238,"-","")," ","")</f>
        <v/>
      </c>
      <c r="S4238" s="29">
        <v>41801</v>
      </c>
      <c r="T4238" s="29">
        <v>41801</v>
      </c>
      <c r="U4238" s="28" t="s">
        <v>9416</v>
      </c>
    </row>
    <row r="4239" spans="1:21">
      <c r="A4239" s="179"/>
      <c r="B4239" s="185" t="s">
        <v>9418</v>
      </c>
      <c r="C4239" s="35" t="str">
        <f t="shared" ref="C4239" si="476">SUBSTITUTE(SUBSTITUTE(K4239,"-","")," ","")</f>
        <v>Bahai</v>
      </c>
      <c r="D4239" s="5"/>
      <c r="E4239" s="40"/>
      <c r="F4239" s="15"/>
      <c r="G4239" s="17"/>
      <c r="H4239" s="10"/>
      <c r="I4239" s="4" t="str">
        <f t="shared" ref="I4239" si="477">CONCATENATE("|",B4239,"|")</f>
        <v>|Bahá’í-|</v>
      </c>
      <c r="J4239" s="3" t="str">
        <f t="shared" ref="J4239" si="478">CONCATENATE("|",F_OutputASCII(B4239),"|")</f>
        <v>|Baha'i-|</v>
      </c>
      <c r="K4239" s="3" t="str">
        <f t="shared" ref="K4239" si="479">IF(SUBSTITUTE(MID(J4239,2,LEN(J4239)-2),"'","")&lt;&gt;"",SUBSTITUTE(MID(J4239,2,LEN(J4239)-2),"'",""),"ZZZZZ")</f>
        <v>Bahai-</v>
      </c>
      <c r="M4239" s="5"/>
      <c r="N4239" s="39" t="str">
        <f t="shared" ref="N4239" si="480">SUBSTITUTE(SUBSTITUTE(SUBSTITUTE(F_OutputASCII(M4239),"-","")," ",""),"'","")</f>
        <v/>
      </c>
      <c r="O4239" s="5"/>
      <c r="P4239" s="39" t="str">
        <f t="shared" ref="P4239" si="481">SUBSTITUTE(SUBSTITUTE(SUBSTITUTE(F_OutputASCII(O4239),"-","")," ",""),"'","")</f>
        <v/>
      </c>
      <c r="Q4239" s="5"/>
      <c r="R4239" s="39" t="str">
        <f t="shared" ref="R4239" si="482">SUBSTITUTE(SUBSTITUTE(Q4239,"-","")," ","")</f>
        <v/>
      </c>
      <c r="S4239" s="29">
        <v>41801</v>
      </c>
      <c r="T4239" s="29">
        <v>41801</v>
      </c>
      <c r="U4239" s="28" t="s">
        <v>9493</v>
      </c>
    </row>
    <row r="4240" spans="1:21">
      <c r="A4240" s="179"/>
      <c r="B4240" s="185" t="s">
        <v>9419</v>
      </c>
      <c r="C4240" s="35" t="str">
        <f t="shared" ref="C4240" si="483">SUBSTITUTE(SUBSTITUTE(K4240,"-","")," ","")</f>
        <v>bahai</v>
      </c>
      <c r="D4240" s="5" t="s">
        <v>59</v>
      </c>
      <c r="E4240" s="40"/>
      <c r="F4240" s="15"/>
      <c r="G4240" s="17"/>
      <c r="H4240" s="10"/>
      <c r="I4240" s="4" t="str">
        <f t="shared" ref="I4240" si="484">CONCATENATE("|",B4240,"|")</f>
        <v>|bahá’í-|</v>
      </c>
      <c r="J4240" s="3" t="str">
        <f t="shared" ref="J4240" si="485">CONCATENATE("|",F_OutputASCII(B4240),"|")</f>
        <v>|baha'i-|</v>
      </c>
      <c r="K4240" s="3" t="str">
        <f t="shared" ref="K4240" si="486">IF(SUBSTITUTE(MID(J4240,2,LEN(J4240)-2),"'","")&lt;&gt;"",SUBSTITUTE(MID(J4240,2,LEN(J4240)-2),"'",""),"ZZZZZ")</f>
        <v>bahai-</v>
      </c>
      <c r="M4240" s="5"/>
      <c r="N4240" s="39" t="str">
        <f t="shared" ref="N4240" si="487">SUBSTITUTE(SUBSTITUTE(SUBSTITUTE(F_OutputASCII(M4240),"-","")," ",""),"'","")</f>
        <v/>
      </c>
      <c r="O4240" s="5"/>
      <c r="P4240" s="39" t="str">
        <f t="shared" ref="P4240" si="488">SUBSTITUTE(SUBSTITUTE(SUBSTITUTE(F_OutputASCII(O4240),"-","")," ",""),"'","")</f>
        <v/>
      </c>
      <c r="Q4240" s="5"/>
      <c r="R4240" s="39" t="str">
        <f t="shared" ref="R4240" si="489">SUBSTITUTE(SUBSTITUTE(Q4240,"-","")," ","")</f>
        <v/>
      </c>
      <c r="S4240" s="29">
        <v>41801</v>
      </c>
      <c r="T4240" s="29">
        <v>41801</v>
      </c>
      <c r="U4240" s="28" t="s">
        <v>9416</v>
      </c>
    </row>
    <row r="4241" spans="1:21">
      <c r="A4241" s="179"/>
      <c r="B4241" s="185" t="s">
        <v>9420</v>
      </c>
      <c r="C4241" s="35" t="str">
        <f t="shared" ref="C4241" si="490">SUBSTITUTE(SUBSTITUTE(K4241,"-","")," ","")</f>
        <v>Bahai</v>
      </c>
      <c r="D4241" s="5"/>
      <c r="E4241" s="40"/>
      <c r="F4241" s="15"/>
      <c r="G4241" s="17"/>
      <c r="H4241" s="10"/>
      <c r="I4241" s="4" t="str">
        <f t="shared" ref="I4241" si="491">CONCATENATE("|",B4241,"|")</f>
        <v>|-Bahá’í|</v>
      </c>
      <c r="J4241" s="3" t="str">
        <f t="shared" ref="J4241" si="492">CONCATENATE("|",F_OutputASCII(B4241),"|")</f>
        <v>|-Baha'i|</v>
      </c>
      <c r="K4241" s="3" t="str">
        <f t="shared" ref="K4241" si="493">IF(SUBSTITUTE(MID(J4241,2,LEN(J4241)-2),"'","")&lt;&gt;"",SUBSTITUTE(MID(J4241,2,LEN(J4241)-2),"'",""),"ZZZZZ")</f>
        <v>-Bahai</v>
      </c>
      <c r="M4241" s="5"/>
      <c r="N4241" s="39" t="str">
        <f t="shared" ref="N4241" si="494">SUBSTITUTE(SUBSTITUTE(SUBSTITUTE(F_OutputASCII(M4241),"-","")," ",""),"'","")</f>
        <v/>
      </c>
      <c r="O4241" s="5"/>
      <c r="P4241" s="39" t="str">
        <f t="shared" ref="P4241" si="495">SUBSTITUTE(SUBSTITUTE(SUBSTITUTE(F_OutputASCII(O4241),"-","")," ",""),"'","")</f>
        <v/>
      </c>
      <c r="Q4241" s="5"/>
      <c r="R4241" s="39" t="str">
        <f t="shared" ref="R4241" si="496">SUBSTITUTE(SUBSTITUTE(Q4241,"-","")," ","")</f>
        <v/>
      </c>
      <c r="S4241" s="29">
        <v>41801</v>
      </c>
      <c r="T4241" s="29">
        <v>41801</v>
      </c>
      <c r="U4241" s="28" t="s">
        <v>9477</v>
      </c>
    </row>
    <row r="4242" spans="1:21">
      <c r="A4242" s="179"/>
      <c r="B4242" s="185" t="s">
        <v>9422</v>
      </c>
      <c r="C4242" s="35" t="str">
        <f t="shared" ref="C4242" si="497">SUBSTITUTE(SUBSTITUTE(K4242,"-","")," ","")</f>
        <v>Bahai</v>
      </c>
      <c r="D4242" s="5"/>
      <c r="E4242" s="40"/>
      <c r="F4242" s="15"/>
      <c r="G4242" s="17"/>
      <c r="H4242" s="10"/>
      <c r="I4242" s="4" t="str">
        <f t="shared" ref="I4242" si="498">CONCATENATE("|",B4242,"|")</f>
        <v>|-Bahá’í-|</v>
      </c>
      <c r="J4242" s="3" t="str">
        <f t="shared" ref="J4242" si="499">CONCATENATE("|",F_OutputASCII(B4242),"|")</f>
        <v>|-Baha'i-|</v>
      </c>
      <c r="K4242" s="3" t="str">
        <f t="shared" ref="K4242" si="500">IF(SUBSTITUTE(MID(J4242,2,LEN(J4242)-2),"'","")&lt;&gt;"",SUBSTITUTE(MID(J4242,2,LEN(J4242)-2),"'",""),"ZZZZZ")</f>
        <v>-Bahai-</v>
      </c>
      <c r="M4242" s="5"/>
      <c r="N4242" s="39" t="str">
        <f t="shared" ref="N4242" si="501">SUBSTITUTE(SUBSTITUTE(SUBSTITUTE(F_OutputASCII(M4242),"-","")," ",""),"'","")</f>
        <v/>
      </c>
      <c r="O4242" s="5"/>
      <c r="P4242" s="39" t="str">
        <f t="shared" ref="P4242" si="502">SUBSTITUTE(SUBSTITUTE(SUBSTITUTE(F_OutputASCII(O4242),"-","")," ",""),"'","")</f>
        <v/>
      </c>
      <c r="Q4242" s="5"/>
      <c r="R4242" s="39" t="str">
        <f t="shared" ref="R4242" si="503">SUBSTITUTE(SUBSTITUTE(Q4242,"-","")," ","")</f>
        <v/>
      </c>
      <c r="S4242" s="29">
        <v>41801</v>
      </c>
      <c r="T4242" s="29">
        <v>41801</v>
      </c>
      <c r="U4242" s="28" t="s">
        <v>9423</v>
      </c>
    </row>
    <row r="4243" spans="1:21">
      <c r="A4243" s="179"/>
      <c r="B4243" s="185" t="s">
        <v>9431</v>
      </c>
      <c r="C4243" s="35" t="str">
        <f t="shared" ref="C4243" si="504">SUBSTITUTE(SUBSTITUTE(K4243,"-","")," ","")</f>
        <v>LawhiKamal</v>
      </c>
      <c r="D4243" s="5"/>
      <c r="E4243" s="40"/>
      <c r="F4243" s="15"/>
      <c r="G4243" s="17"/>
      <c r="H4243" s="10"/>
      <c r="I4243" s="4" t="str">
        <f t="shared" ref="I4243" si="505">CONCATENATE("|",B4243,"|")</f>
        <v>|Lawḥ-i-Kamál|</v>
      </c>
      <c r="J4243" s="3" t="str">
        <f t="shared" ref="J4243" si="506">CONCATENATE("|",F_OutputASCII(B4243),"|")</f>
        <v>|Lawh-i-Kamal|</v>
      </c>
      <c r="K4243" s="3" t="str">
        <f t="shared" ref="K4243" si="507">IF(SUBSTITUTE(MID(J4243,2,LEN(J4243)-2),"'","")&lt;&gt;"",SUBSTITUTE(MID(J4243,2,LEN(J4243)-2),"'",""),"ZZZZZ")</f>
        <v>Lawh-i-Kamal</v>
      </c>
      <c r="M4243" s="5"/>
      <c r="N4243" s="39" t="str">
        <f t="shared" ref="N4243" si="508">SUBSTITUTE(SUBSTITUTE(SUBSTITUTE(F_OutputASCII(M4243),"-","")," ",""),"'","")</f>
        <v/>
      </c>
      <c r="O4243" s="5"/>
      <c r="P4243" s="39" t="str">
        <f t="shared" ref="P4243" si="509">SUBSTITUTE(SUBSTITUTE(SUBSTITUTE(F_OutputASCII(O4243),"-","")," ",""),"'","")</f>
        <v/>
      </c>
      <c r="Q4243" s="5"/>
      <c r="R4243" s="39" t="str">
        <f t="shared" ref="R4243" si="510">SUBSTITUTE(SUBSTITUTE(Q4243,"-","")," ","")</f>
        <v/>
      </c>
      <c r="S4243" s="29">
        <v>41801</v>
      </c>
      <c r="T4243" s="29">
        <v>41801</v>
      </c>
      <c r="U4243" s="28" t="s">
        <v>9416</v>
      </c>
    </row>
    <row r="4244" spans="1:21">
      <c r="A4244" s="179"/>
      <c r="B4244" s="185" t="s">
        <v>9432</v>
      </c>
      <c r="C4244" s="35" t="str">
        <f t="shared" ref="C4244" si="511">SUBSTITUTE(SUBSTITUTE(K4244,"-","")," ","")</f>
        <v>LawhiSiyyidiMihdiyiDahaji–1</v>
      </c>
      <c r="D4244" s="5"/>
      <c r="E4244" s="40"/>
      <c r="F4244" s="15"/>
      <c r="G4244" s="17"/>
      <c r="H4244" s="10"/>
      <c r="I4244" s="4" t="str">
        <f t="shared" ref="I4244" si="512">CONCATENATE("|",B4244,"|")</f>
        <v>|Lawḥ-i-Siyyid-i-Mihdíy-i-Dahají–1|</v>
      </c>
      <c r="J4244" s="3" t="str">
        <f t="shared" ref="J4244" si="513">CONCATENATE("|",F_OutputASCII(B4244),"|")</f>
        <v>|Lawh-i-Siyyid-i-Mihdiy-i-Dahaji–1|</v>
      </c>
      <c r="K4244" s="3" t="str">
        <f t="shared" ref="K4244" si="514">IF(SUBSTITUTE(MID(J4244,2,LEN(J4244)-2),"'","")&lt;&gt;"",SUBSTITUTE(MID(J4244,2,LEN(J4244)-2),"'",""),"ZZZZZ")</f>
        <v>Lawh-i-Siyyid-i-Mihdiy-i-Dahaji–1</v>
      </c>
      <c r="M4244" s="5"/>
      <c r="N4244" s="39" t="str">
        <f t="shared" ref="N4244" si="515">SUBSTITUTE(SUBSTITUTE(SUBSTITUTE(F_OutputASCII(M4244),"-","")," ",""),"'","")</f>
        <v/>
      </c>
      <c r="O4244" s="5"/>
      <c r="P4244" s="39" t="str">
        <f t="shared" ref="P4244" si="516">SUBSTITUTE(SUBSTITUTE(SUBSTITUTE(F_OutputASCII(O4244),"-","")," ",""),"'","")</f>
        <v/>
      </c>
      <c r="Q4244" s="5"/>
      <c r="R4244" s="39" t="str">
        <f t="shared" ref="R4244" si="517">SUBSTITUTE(SUBSTITUTE(Q4244,"-","")," ","")</f>
        <v/>
      </c>
      <c r="S4244" s="29">
        <v>41801</v>
      </c>
      <c r="T4244" s="29">
        <v>41801</v>
      </c>
      <c r="U4244" s="28" t="s">
        <v>9426</v>
      </c>
    </row>
    <row r="4245" spans="1:21">
      <c r="A4245" s="179"/>
      <c r="B4245" s="185" t="s">
        <v>9433</v>
      </c>
      <c r="C4245" s="35" t="str">
        <f t="shared" ref="C4245" si="518">SUBSTITUTE(SUBSTITUTE(K4245,"-","")," ","")</f>
        <v>LawhiTajalliyat</v>
      </c>
      <c r="D4245" s="5"/>
      <c r="E4245" s="40"/>
      <c r="F4245" s="15"/>
      <c r="G4245" s="17"/>
      <c r="H4245" s="10"/>
      <c r="I4245" s="4" t="str">
        <f t="shared" ref="I4245" si="519">CONCATENATE("|",B4245,"|")</f>
        <v>|Lawḥ-i-Tajallíyát|</v>
      </c>
      <c r="J4245" s="3" t="str">
        <f t="shared" ref="J4245" si="520">CONCATENATE("|",F_OutputASCII(B4245),"|")</f>
        <v>|Lawh-i-Tajalliyat|</v>
      </c>
      <c r="K4245" s="3" t="str">
        <f t="shared" ref="K4245" si="521">IF(SUBSTITUTE(MID(J4245,2,LEN(J4245)-2),"'","")&lt;&gt;"",SUBSTITUTE(MID(J4245,2,LEN(J4245)-2),"'",""),"ZZZZZ")</f>
        <v>Lawh-i-Tajalliyat</v>
      </c>
      <c r="M4245" s="5"/>
      <c r="N4245" s="39" t="str">
        <f t="shared" ref="N4245" si="522">SUBSTITUTE(SUBSTITUTE(SUBSTITUTE(F_OutputASCII(M4245),"-","")," ",""),"'","")</f>
        <v/>
      </c>
      <c r="O4245" s="5"/>
      <c r="P4245" s="39" t="str">
        <f t="shared" ref="P4245" si="523">SUBSTITUTE(SUBSTITUTE(SUBSTITUTE(F_OutputASCII(O4245),"-","")," ",""),"'","")</f>
        <v/>
      </c>
      <c r="Q4245" s="5"/>
      <c r="R4245" s="39" t="str">
        <f t="shared" ref="R4245" si="524">SUBSTITUTE(SUBSTITUTE(Q4245,"-","")," ","")</f>
        <v/>
      </c>
      <c r="S4245" s="29">
        <v>41801</v>
      </c>
      <c r="T4245" s="29">
        <v>41801</v>
      </c>
      <c r="U4245" s="28" t="s">
        <v>9416</v>
      </c>
    </row>
    <row r="4246" spans="1:21">
      <c r="A4246" s="179"/>
      <c r="B4246" s="185" t="s">
        <v>9434</v>
      </c>
      <c r="C4246" s="35" t="str">
        <f t="shared" ref="C4246" si="525">SUBSTITUTE(SUBSTITUTE(K4246,"-","")," ","")</f>
        <v>LawhiTarazat</v>
      </c>
      <c r="D4246" s="5"/>
      <c r="E4246" s="40"/>
      <c r="F4246" s="15"/>
      <c r="G4246" s="17"/>
      <c r="H4246" s="10"/>
      <c r="I4246" s="4" t="str">
        <f t="shared" ref="I4246" si="526">CONCATENATE("|",B4246,"|")</f>
        <v>|Lawḥ-i-Ṭarázát|</v>
      </c>
      <c r="J4246" s="3" t="str">
        <f t="shared" ref="J4246" si="527">CONCATENATE("|",F_OutputASCII(B4246),"|")</f>
        <v>|Lawh-i-Tarazat|</v>
      </c>
      <c r="K4246" s="3" t="str">
        <f t="shared" ref="K4246" si="528">IF(SUBSTITUTE(MID(J4246,2,LEN(J4246)-2),"'","")&lt;&gt;"",SUBSTITUTE(MID(J4246,2,LEN(J4246)-2),"'",""),"ZZZZZ")</f>
        <v>Lawh-i-Tarazat</v>
      </c>
      <c r="M4246" s="5"/>
      <c r="N4246" s="39" t="str">
        <f t="shared" ref="N4246" si="529">SUBSTITUTE(SUBSTITUTE(SUBSTITUTE(F_OutputASCII(M4246),"-","")," ",""),"'","")</f>
        <v/>
      </c>
      <c r="O4246" s="5"/>
      <c r="P4246" s="39" t="str">
        <f t="shared" ref="P4246" si="530">SUBSTITUTE(SUBSTITUTE(SUBSTITUTE(F_OutputASCII(O4246),"-","")," ",""),"'","")</f>
        <v/>
      </c>
      <c r="Q4246" s="5"/>
      <c r="R4246" s="39" t="str">
        <f t="shared" ref="R4246" si="531">SUBSTITUTE(SUBSTITUTE(Q4246,"-","")," ","")</f>
        <v/>
      </c>
      <c r="S4246" s="29">
        <v>41801</v>
      </c>
      <c r="T4246" s="29">
        <v>41801</v>
      </c>
      <c r="U4246" s="28" t="s">
        <v>9416</v>
      </c>
    </row>
    <row r="4247" spans="1:21">
      <c r="A4247" s="179"/>
      <c r="B4247" s="185" t="s">
        <v>9435</v>
      </c>
      <c r="C4247" s="35" t="str">
        <f t="shared" ref="C4247" si="532">SUBSTITUTE(SUBSTITUTE(K4247,"-","")," ","")</f>
        <v>LawhiKhalil–3</v>
      </c>
      <c r="D4247" s="5"/>
      <c r="E4247" s="40"/>
      <c r="F4247" s="15"/>
      <c r="G4247" s="17"/>
      <c r="H4247" s="10"/>
      <c r="I4247" s="4" t="str">
        <f t="shared" ref="I4247" si="533">CONCATENATE("|",B4247,"|")</f>
        <v>|Lawḥ-i-alíl–3|</v>
      </c>
      <c r="J4247" s="3" t="str">
        <f t="shared" ref="J4247" si="534">CONCATENATE("|",F_OutputASCII(B4247),"|")</f>
        <v>|Lawh-i-Khalil–3|</v>
      </c>
      <c r="K4247" s="3" t="str">
        <f t="shared" ref="K4247" si="535">IF(SUBSTITUTE(MID(J4247,2,LEN(J4247)-2),"'","")&lt;&gt;"",SUBSTITUTE(MID(J4247,2,LEN(J4247)-2),"'",""),"ZZZZZ")</f>
        <v>Lawh-i-Khalil–3</v>
      </c>
      <c r="M4247" s="5"/>
      <c r="N4247" s="39" t="str">
        <f t="shared" ref="N4247" si="536">SUBSTITUTE(SUBSTITUTE(SUBSTITUTE(F_OutputASCII(M4247),"-","")," ",""),"'","")</f>
        <v/>
      </c>
      <c r="O4247" s="5"/>
      <c r="P4247" s="39" t="str">
        <f t="shared" ref="P4247" si="537">SUBSTITUTE(SUBSTITUTE(SUBSTITUTE(F_OutputASCII(O4247),"-","")," ",""),"'","")</f>
        <v/>
      </c>
      <c r="Q4247" s="5"/>
      <c r="R4247" s="39" t="str">
        <f t="shared" ref="R4247" si="538">SUBSTITUTE(SUBSTITUTE(Q4247,"-","")," ","")</f>
        <v/>
      </c>
      <c r="S4247" s="29">
        <v>41801</v>
      </c>
      <c r="T4247" s="29">
        <v>41801</v>
      </c>
      <c r="U4247" s="28" t="s">
        <v>9416</v>
      </c>
    </row>
    <row r="4248" spans="1:21">
      <c r="A4248" s="179"/>
      <c r="B4248" s="185" t="s">
        <v>9436</v>
      </c>
      <c r="C4248" s="35" t="str">
        <f t="shared" ref="C4248" si="539">SUBSTITUTE(SUBSTITUTE(K4248,"-","")," ","")</f>
        <v>MashriqulAdhkars</v>
      </c>
      <c r="D4248" s="5" t="s">
        <v>59</v>
      </c>
      <c r="E4248" s="40"/>
      <c r="F4248" s="15"/>
      <c r="G4248" s="17"/>
      <c r="H4248" s="10"/>
      <c r="I4248" s="4" t="str">
        <f t="shared" ref="I4248" si="540">CONCATENATE("|",B4248,"|")</f>
        <v>|Mariqu’l-Akárs|</v>
      </c>
      <c r="J4248" s="3" t="str">
        <f t="shared" ref="J4248" si="541">CONCATENATE("|",F_OutputASCII(B4248),"|")</f>
        <v>|Mashriqu'l-Adhkars|</v>
      </c>
      <c r="K4248" s="3" t="str">
        <f t="shared" ref="K4248" si="542">IF(SUBSTITUTE(MID(J4248,2,LEN(J4248)-2),"'","")&lt;&gt;"",SUBSTITUTE(MID(J4248,2,LEN(J4248)-2),"'",""),"ZZZZZ")</f>
        <v>Mashriqul-Adhkars</v>
      </c>
      <c r="M4248" s="5"/>
      <c r="N4248" s="39" t="str">
        <f t="shared" ref="N4248" si="543">SUBSTITUTE(SUBSTITUTE(SUBSTITUTE(F_OutputASCII(M4248),"-","")," ",""),"'","")</f>
        <v/>
      </c>
      <c r="O4248" s="5"/>
      <c r="P4248" s="39" t="str">
        <f t="shared" ref="P4248" si="544">SUBSTITUTE(SUBSTITUTE(SUBSTITUTE(F_OutputASCII(O4248),"-","")," ",""),"'","")</f>
        <v/>
      </c>
      <c r="Q4248" s="5"/>
      <c r="R4248" s="39" t="str">
        <f t="shared" ref="R4248" si="545">SUBSTITUTE(SUBSTITUTE(Q4248,"-","")," ","")</f>
        <v/>
      </c>
      <c r="S4248" s="29">
        <v>41801</v>
      </c>
      <c r="T4248" s="29">
        <v>41801</v>
      </c>
      <c r="U4248" s="28" t="s">
        <v>9416</v>
      </c>
    </row>
    <row r="4249" spans="1:21">
      <c r="A4249" s="179"/>
      <c r="B4249" s="185" t="s">
        <v>9438</v>
      </c>
      <c r="C4249" s="35" t="str">
        <f t="shared" ref="C4249" si="546">SUBSTITUTE(SUBSTITUTE(K4249,"-","")," ","")</f>
        <v>ShoghiEffendis</v>
      </c>
      <c r="D4249" s="5" t="s">
        <v>9439</v>
      </c>
      <c r="E4249" s="40"/>
      <c r="F4249" s="15"/>
      <c r="G4249" s="17"/>
      <c r="H4249" s="10"/>
      <c r="I4249" s="4" t="str">
        <f t="shared" ref="I4249" si="547">CONCATENATE("|",B4249,"|")</f>
        <v>|Shoghi Effendis|</v>
      </c>
      <c r="J4249" s="3" t="str">
        <f t="shared" ref="J4249" si="548">CONCATENATE("|",F_OutputASCII(B4249),"|")</f>
        <v>|Shoghi Effendis|</v>
      </c>
      <c r="K4249" s="3" t="str">
        <f t="shared" ref="K4249" si="549">IF(SUBSTITUTE(MID(J4249,2,LEN(J4249)-2),"'","")&lt;&gt;"",SUBSTITUTE(MID(J4249,2,LEN(J4249)-2),"'",""),"ZZZZZ")</f>
        <v>Shoghi Effendis</v>
      </c>
      <c r="M4249" s="5"/>
      <c r="N4249" s="39" t="str">
        <f t="shared" ref="N4249" si="550">SUBSTITUTE(SUBSTITUTE(SUBSTITUTE(F_OutputASCII(M4249),"-","")," ",""),"'","")</f>
        <v/>
      </c>
      <c r="O4249" s="5"/>
      <c r="P4249" s="39" t="str">
        <f t="shared" ref="P4249" si="551">SUBSTITUTE(SUBSTITUTE(SUBSTITUTE(F_OutputASCII(O4249),"-","")," ",""),"'","")</f>
        <v/>
      </c>
      <c r="Q4249" s="5"/>
      <c r="R4249" s="39" t="str">
        <f t="shared" ref="R4249" si="552">SUBSTITUTE(SUBSTITUTE(Q4249,"-","")," ","")</f>
        <v/>
      </c>
      <c r="S4249" s="29">
        <v>41801</v>
      </c>
      <c r="T4249" s="29">
        <v>41801</v>
      </c>
      <c r="U4249" s="28" t="s">
        <v>9421</v>
      </c>
    </row>
    <row r="4250" spans="1:21">
      <c r="A4250" s="179"/>
      <c r="B4250" s="185" t="s">
        <v>9440</v>
      </c>
      <c r="C4250" s="35" t="str">
        <f t="shared" ref="C4250" si="553">SUBSTITUTE(SUBSTITUTE(K4250,"-","")," ","")</f>
        <v>Badi</v>
      </c>
      <c r="D4250" s="5"/>
      <c r="E4250" s="40"/>
      <c r="F4250" s="15"/>
      <c r="G4250" s="17"/>
      <c r="H4250" s="10"/>
      <c r="I4250" s="4" t="str">
        <f t="shared" ref="I4250" si="554">CONCATENATE("|",B4250,"|")</f>
        <v>|Badíʿ-|</v>
      </c>
      <c r="J4250" s="3" t="str">
        <f t="shared" ref="J4250" si="555">CONCATENATE("|",F_OutputASCII(B4250),"|")</f>
        <v>|Badi'-|</v>
      </c>
      <c r="K4250" s="3" t="str">
        <f t="shared" ref="K4250" si="556">IF(SUBSTITUTE(MID(J4250,2,LEN(J4250)-2),"'","")&lt;&gt;"",SUBSTITUTE(MID(J4250,2,LEN(J4250)-2),"'",""),"ZZZZZ")</f>
        <v>Badi-</v>
      </c>
      <c r="M4250" s="5"/>
      <c r="N4250" s="39" t="str">
        <f t="shared" ref="N4250" si="557">SUBSTITUTE(SUBSTITUTE(SUBSTITUTE(F_OutputASCII(M4250),"-","")," ",""),"'","")</f>
        <v/>
      </c>
      <c r="O4250" s="5"/>
      <c r="P4250" s="39" t="str">
        <f t="shared" ref="P4250" si="558">SUBSTITUTE(SUBSTITUTE(SUBSTITUTE(F_OutputASCII(O4250),"-","")," ",""),"'","")</f>
        <v/>
      </c>
      <c r="Q4250" s="5"/>
      <c r="R4250" s="39" t="str">
        <f t="shared" ref="R4250" si="559">SUBSTITUTE(SUBSTITUTE(Q4250,"-","")," ","")</f>
        <v/>
      </c>
      <c r="S4250" s="29">
        <v>41801</v>
      </c>
      <c r="T4250" s="29">
        <v>41801</v>
      </c>
      <c r="U4250" s="28" t="s">
        <v>9405</v>
      </c>
    </row>
    <row r="4251" spans="1:21">
      <c r="A4251" s="179"/>
      <c r="B4251" s="185" t="s">
        <v>9441</v>
      </c>
      <c r="C4251" s="35" t="str">
        <f t="shared" ref="C4251" si="560">SUBSTITUTE(SUBSTITUTE(K4251,"-","")," ","")</f>
        <v>Hamid</v>
      </c>
      <c r="D4251" s="5" t="s">
        <v>9114</v>
      </c>
      <c r="E4251" s="40"/>
      <c r="F4251" s="15"/>
      <c r="G4251" s="17"/>
      <c r="H4251" s="10"/>
      <c r="I4251" s="4" t="str">
        <f t="shared" ref="I4251" si="561">CONCATENATE("|",B4251,"|")</f>
        <v>|Hamid|</v>
      </c>
      <c r="J4251" s="3" t="str">
        <f t="shared" ref="J4251" si="562">CONCATENATE("|",F_OutputASCII(B4251),"|")</f>
        <v>|Hamid|</v>
      </c>
      <c r="K4251" s="3" t="str">
        <f t="shared" ref="K4251" si="563">IF(SUBSTITUTE(MID(J4251,2,LEN(J4251)-2),"'","")&lt;&gt;"",SUBSTITUTE(MID(J4251,2,LEN(J4251)-2),"'",""),"ZZZZZ")</f>
        <v>Hamid</v>
      </c>
      <c r="M4251" s="5"/>
      <c r="N4251" s="39" t="str">
        <f t="shared" ref="N4251" si="564">SUBSTITUTE(SUBSTITUTE(SUBSTITUTE(F_OutputASCII(M4251),"-","")," ",""),"'","")</f>
        <v/>
      </c>
      <c r="O4251" s="5"/>
      <c r="P4251" s="39" t="str">
        <f t="shared" ref="P4251" si="565">SUBSTITUTE(SUBSTITUTE(SUBSTITUTE(F_OutputASCII(O4251),"-","")," ",""),"'","")</f>
        <v/>
      </c>
      <c r="Q4251" s="5"/>
      <c r="R4251" s="39" t="str">
        <f t="shared" ref="R4251" si="566">SUBSTITUTE(SUBSTITUTE(Q4251,"-","")," ","")</f>
        <v/>
      </c>
      <c r="S4251" s="29">
        <v>41801</v>
      </c>
      <c r="T4251" s="29">
        <v>41801</v>
      </c>
      <c r="U4251" s="28" t="s">
        <v>9405</v>
      </c>
    </row>
    <row r="4252" spans="1:21">
      <c r="A4252" s="179"/>
      <c r="B4252" s="185" t="s">
        <v>9443</v>
      </c>
      <c r="C4252" s="35" t="str">
        <f t="shared" ref="C4252" si="567">SUBSTITUTE(SUBSTITUTE(K4252,"-","")," ","")</f>
        <v>NawRuz</v>
      </c>
      <c r="D4252" s="5"/>
      <c r="E4252" s="40"/>
      <c r="F4252" s="15"/>
      <c r="G4252" s="17"/>
      <c r="H4252" s="10"/>
      <c r="I4252" s="4" t="str">
        <f t="shared" ref="I4252" si="568">CONCATENATE("|",B4252,"|")</f>
        <v>|Naw-Rúz-|</v>
      </c>
      <c r="J4252" s="3" t="str">
        <f t="shared" ref="J4252" si="569">CONCATENATE("|",F_OutputASCII(B4252),"|")</f>
        <v>|Naw-Ruz-|</v>
      </c>
      <c r="K4252" s="3" t="str">
        <f t="shared" ref="K4252" si="570">IF(SUBSTITUTE(MID(J4252,2,LEN(J4252)-2),"'","")&lt;&gt;"",SUBSTITUTE(MID(J4252,2,LEN(J4252)-2),"'",""),"ZZZZZ")</f>
        <v>Naw-Ruz-</v>
      </c>
      <c r="M4252" s="5"/>
      <c r="N4252" s="39" t="str">
        <f t="shared" ref="N4252" si="571">SUBSTITUTE(SUBSTITUTE(SUBSTITUTE(F_OutputASCII(M4252),"-","")," ",""),"'","")</f>
        <v/>
      </c>
      <c r="O4252" s="5"/>
      <c r="P4252" s="39" t="str">
        <f t="shared" ref="P4252" si="572">SUBSTITUTE(SUBSTITUTE(SUBSTITUTE(F_OutputASCII(O4252),"-","")," ",""),"'","")</f>
        <v/>
      </c>
      <c r="Q4252" s="5"/>
      <c r="R4252" s="39" t="str">
        <f t="shared" ref="R4252" si="573">SUBSTITUTE(SUBSTITUTE(Q4252,"-","")," ","")</f>
        <v/>
      </c>
      <c r="S4252" s="29">
        <v>41801</v>
      </c>
      <c r="T4252" s="29">
        <v>41801</v>
      </c>
      <c r="U4252" s="28" t="s">
        <v>9405</v>
      </c>
    </row>
    <row r="4253" spans="1:21">
      <c r="A4253" s="179"/>
      <c r="B4253" s="185" t="s">
        <v>9444</v>
      </c>
      <c r="C4253" s="35" t="str">
        <f t="shared" ref="C4253" si="574">SUBSTITUTE(SUBSTITUTE(K4253,"-","")," ","")</f>
        <v>Quran</v>
      </c>
      <c r="D4253" s="5"/>
      <c r="E4253" s="40"/>
      <c r="F4253" s="15"/>
      <c r="G4253" s="17"/>
      <c r="H4253" s="10"/>
      <c r="I4253" s="4" t="str">
        <f t="shared" ref="I4253" si="575">CONCATENATE("|",B4253,"|")</f>
        <v>|Qur’án-|</v>
      </c>
      <c r="J4253" s="3" t="str">
        <f t="shared" ref="J4253" si="576">CONCATENATE("|",F_OutputASCII(B4253),"|")</f>
        <v>|Qur'an-|</v>
      </c>
      <c r="K4253" s="3" t="str">
        <f t="shared" ref="K4253" si="577">IF(SUBSTITUTE(MID(J4253,2,LEN(J4253)-2),"'","")&lt;&gt;"",SUBSTITUTE(MID(J4253,2,LEN(J4253)-2),"'",""),"ZZZZZ")</f>
        <v>Quran-</v>
      </c>
      <c r="M4253" s="5"/>
      <c r="N4253" s="39" t="str">
        <f t="shared" ref="N4253" si="578">SUBSTITUTE(SUBSTITUTE(SUBSTITUTE(F_OutputASCII(M4253),"-","")," ",""),"'","")</f>
        <v/>
      </c>
      <c r="O4253" s="5"/>
      <c r="P4253" s="39" t="str">
        <f t="shared" ref="P4253" si="579">SUBSTITUTE(SUBSTITUTE(SUBSTITUTE(F_OutputASCII(O4253),"-","")," ",""),"'","")</f>
        <v/>
      </c>
      <c r="Q4253" s="5"/>
      <c r="R4253" s="39" t="str">
        <f t="shared" ref="R4253" si="580">SUBSTITUTE(SUBSTITUTE(Q4253,"-","")," ","")</f>
        <v/>
      </c>
      <c r="S4253" s="29">
        <v>41801</v>
      </c>
      <c r="T4253" s="29">
        <v>41801</v>
      </c>
      <c r="U4253" s="28" t="s">
        <v>9405</v>
      </c>
    </row>
    <row r="4254" spans="1:21">
      <c r="A4254" s="179"/>
      <c r="B4254" s="185" t="s">
        <v>9476</v>
      </c>
      <c r="C4254" s="35" t="str">
        <f t="shared" ref="C4254" si="581">SUBSTITUTE(SUBSTITUTE(K4254,"-","")," ","")</f>
        <v>Babi</v>
      </c>
      <c r="D4254" s="5"/>
      <c r="E4254" s="40"/>
      <c r="F4254" s="15"/>
      <c r="G4254" s="17"/>
      <c r="H4254" s="10"/>
      <c r="I4254" s="4" t="str">
        <f t="shared" ref="I4254" si="582">CONCATENATE("|",B4254,"|")</f>
        <v>|Bábí-|</v>
      </c>
      <c r="J4254" s="3" t="str">
        <f t="shared" ref="J4254" si="583">CONCATENATE("|",F_OutputASCII(B4254),"|")</f>
        <v>|Babi-|</v>
      </c>
      <c r="K4254" s="3" t="str">
        <f t="shared" ref="K4254" si="584">IF(SUBSTITUTE(MID(J4254,2,LEN(J4254)-2),"'","")&lt;&gt;"",SUBSTITUTE(MID(J4254,2,LEN(J4254)-2),"'",""),"ZZZZZ")</f>
        <v>Babi-</v>
      </c>
      <c r="M4254" s="5"/>
      <c r="N4254" s="39" t="str">
        <f t="shared" ref="N4254" si="585">SUBSTITUTE(SUBSTITUTE(SUBSTITUTE(F_OutputASCII(M4254),"-","")," ",""),"'","")</f>
        <v/>
      </c>
      <c r="O4254" s="5"/>
      <c r="P4254" s="39" t="str">
        <f t="shared" ref="P4254" si="586">SUBSTITUTE(SUBSTITUTE(SUBSTITUTE(F_OutputASCII(O4254),"-","")," ",""),"'","")</f>
        <v/>
      </c>
      <c r="Q4254" s="5"/>
      <c r="R4254" s="39" t="str">
        <f t="shared" ref="R4254" si="587">SUBSTITUTE(SUBSTITUTE(Q4254,"-","")," ","")</f>
        <v/>
      </c>
      <c r="S4254" s="29">
        <v>41801</v>
      </c>
      <c r="T4254" s="29">
        <v>41801</v>
      </c>
      <c r="U4254" s="28" t="s">
        <v>9450</v>
      </c>
    </row>
    <row r="4255" spans="1:21">
      <c r="A4255" s="179"/>
      <c r="B4255" s="185" t="s">
        <v>9479</v>
      </c>
      <c r="C4255" s="35" t="str">
        <f t="shared" ref="C4255" si="588">SUBSTITUTE(SUBSTITUTE(K4255,"-","")," ","")</f>
        <v>Shaykhi</v>
      </c>
      <c r="D4255" s="5"/>
      <c r="E4255" s="40"/>
      <c r="F4255" s="15"/>
      <c r="G4255" s="17"/>
      <c r="H4255" s="10"/>
      <c r="I4255" s="4" t="str">
        <f t="shared" ref="I4255" si="589">CONCATENATE("|",B4255,"|")</f>
        <v>|ayí-|</v>
      </c>
      <c r="J4255" s="3" t="str">
        <f t="shared" ref="J4255" si="590">CONCATENATE("|",F_OutputASCII(B4255),"|")</f>
        <v>|Shaykhi-|</v>
      </c>
      <c r="K4255" s="3" t="str">
        <f t="shared" ref="K4255" si="591">IF(SUBSTITUTE(MID(J4255,2,LEN(J4255)-2),"'","")&lt;&gt;"",SUBSTITUTE(MID(J4255,2,LEN(J4255)-2),"'",""),"ZZZZZ")</f>
        <v>Shaykhi-</v>
      </c>
      <c r="M4255" s="5"/>
      <c r="N4255" s="39" t="str">
        <f t="shared" ref="N4255" si="592">SUBSTITUTE(SUBSTITUTE(SUBSTITUTE(F_OutputASCII(M4255),"-","")," ",""),"'","")</f>
        <v/>
      </c>
      <c r="O4255" s="5"/>
      <c r="P4255" s="39" t="str">
        <f t="shared" ref="P4255" si="593">SUBSTITUTE(SUBSTITUTE(SUBSTITUTE(F_OutputASCII(O4255),"-","")," ",""),"'","")</f>
        <v/>
      </c>
      <c r="Q4255" s="5"/>
      <c r="R4255" s="39" t="str">
        <f t="shared" ref="R4255" si="594">SUBSTITUTE(SUBSTITUTE(Q4255,"-","")," ","")</f>
        <v/>
      </c>
      <c r="S4255" s="29">
        <v>41801</v>
      </c>
      <c r="T4255" s="29">
        <v>41801</v>
      </c>
      <c r="U4255" s="28" t="s">
        <v>9446</v>
      </c>
    </row>
    <row r="4256" spans="1:21">
      <c r="A4256" s="179"/>
      <c r="B4256" s="185" t="s">
        <v>9490</v>
      </c>
      <c r="C4256" s="35" t="str">
        <f t="shared" ref="C4256" si="595">SUBSTITUTE(SUBSTITUTE(K4256,"-","")," ","")</f>
        <v>Farhad</v>
      </c>
      <c r="D4256" s="5" t="s">
        <v>9114</v>
      </c>
      <c r="E4256" s="40"/>
      <c r="F4256" s="15"/>
      <c r="G4256" s="17"/>
      <c r="H4256" s="10"/>
      <c r="I4256" s="4" t="str">
        <f t="shared" ref="I4256" si="596">CONCATENATE("|",B4256,"|")</f>
        <v>|Farhad|</v>
      </c>
      <c r="J4256" s="3" t="str">
        <f t="shared" ref="J4256" si="597">CONCATENATE("|",F_OutputASCII(B4256),"|")</f>
        <v>|Farhad|</v>
      </c>
      <c r="K4256" s="3" t="str">
        <f t="shared" ref="K4256" si="598">IF(SUBSTITUTE(MID(J4256,2,LEN(J4256)-2),"'","")&lt;&gt;"",SUBSTITUTE(MID(J4256,2,LEN(J4256)-2),"'",""),"ZZZZZ")</f>
        <v>Farhad</v>
      </c>
      <c r="M4256" s="5"/>
      <c r="N4256" s="39" t="str">
        <f t="shared" ref="N4256" si="599">SUBSTITUTE(SUBSTITUTE(SUBSTITUTE(F_OutputASCII(M4256),"-","")," ",""),"'","")</f>
        <v/>
      </c>
      <c r="O4256" s="5"/>
      <c r="P4256" s="39" t="str">
        <f t="shared" ref="P4256" si="600">SUBSTITUTE(SUBSTITUTE(SUBSTITUTE(F_OutputASCII(O4256),"-","")," ",""),"'","")</f>
        <v/>
      </c>
      <c r="Q4256" s="5"/>
      <c r="R4256" s="39" t="str">
        <f t="shared" ref="R4256" si="601">SUBSTITUTE(SUBSTITUTE(Q4256,"-","")," ","")</f>
        <v/>
      </c>
      <c r="S4256" s="29">
        <v>41801</v>
      </c>
      <c r="T4256" s="29">
        <v>41801</v>
      </c>
      <c r="U4256" s="28" t="s">
        <v>9491</v>
      </c>
    </row>
  </sheetData>
  <sortState ref="A2:T4228">
    <sortCondition ref="K2:K4228"/>
    <sortCondition ref="B2:B4228"/>
  </sortState>
  <dataConsolidate/>
  <customSheetViews>
    <customSheetView guid="{082D6A34-A611-47C0-9A79-03EA4C1633BB}" scale="150" showAutoFilter="1" hiddenColumns="1">
      <pane xSplit="2" ySplit="1" topLeftCell="C2" activePane="bottomRight" state="frozen"/>
      <selection pane="bottomRight" sqref="A1:B1048576"/>
      <pageMargins left="0.78740157499999996" right="0.78740157499999996" top="0.984251969" bottom="0.984251969" header="0.4921259845" footer="0.4921259845"/>
      <pageSetup paperSize="9" orientation="portrait" horizontalDpi="1200" verticalDpi="1200" r:id="rId1"/>
      <headerFooter alignWithMargins="0"/>
      <autoFilter ref="A1:X4259"/>
    </customSheetView>
  </customSheetViews>
  <conditionalFormatting sqref="A3711">
    <cfRule type="expression" dxfId="144" priority="52">
      <formula>AND($AJ3704="PRP",FIND("BW",$AI3704))</formula>
    </cfRule>
    <cfRule type="expression" dxfId="143" priority="53">
      <formula>$AJ3704="PRP"</formula>
    </cfRule>
  </conditionalFormatting>
  <conditionalFormatting sqref="A3711">
    <cfRule type="expression" dxfId="142" priority="54">
      <formula>FIND("BW",$AI3704)</formula>
    </cfRule>
  </conditionalFormatting>
  <conditionalFormatting sqref="A3711">
    <cfRule type="expression" dxfId="141" priority="55">
      <formula>$AJ3704="prp only"</formula>
    </cfRule>
  </conditionalFormatting>
  <conditionalFormatting sqref="A3747">
    <cfRule type="expression" dxfId="140" priority="44">
      <formula>AND($AJ3746="PRP",FIND("BW",$AI3746))</formula>
    </cfRule>
    <cfRule type="expression" dxfId="139" priority="45">
      <formula>$AJ3746="PRP"</formula>
    </cfRule>
  </conditionalFormatting>
  <conditionalFormatting sqref="A3747">
    <cfRule type="expression" dxfId="138" priority="46">
      <formula>FIND("BW",$AI3746)</formula>
    </cfRule>
  </conditionalFormatting>
  <conditionalFormatting sqref="A3747">
    <cfRule type="expression" dxfId="137" priority="47">
      <formula>$AJ3746="prp only"</formula>
    </cfRule>
  </conditionalFormatting>
  <conditionalFormatting sqref="K1:K1048576">
    <cfRule type="expression" dxfId="136" priority="13">
      <formula>COUNTIF($K:$K,K1)&gt;1</formula>
    </cfRule>
  </conditionalFormatting>
  <conditionalFormatting sqref="A1:A1048576">
    <cfRule type="expression" dxfId="135" priority="11">
      <formula>COUNTIF($A:$A,A1)&gt;1</formula>
    </cfRule>
  </conditionalFormatting>
  <conditionalFormatting sqref="B1:C2 C3:C1048576">
    <cfRule type="expression" dxfId="134" priority="2">
      <formula>COUNTIF($C:$C,B1)&gt;1</formula>
    </cfRule>
  </conditionalFormatting>
  <conditionalFormatting sqref="H1:H2">
    <cfRule type="expression" dxfId="133" priority="706">
      <formula>O1="de"</formula>
    </cfRule>
  </conditionalFormatting>
  <conditionalFormatting sqref="J1:J2">
    <cfRule type="expression" dxfId="132" priority="887">
      <formula>K1="de"</formula>
    </cfRule>
  </conditionalFormatting>
  <conditionalFormatting sqref="F1:F2">
    <cfRule type="expression" dxfId="131" priority="1160">
      <formula>U1="de"</formula>
    </cfRule>
  </conditionalFormatting>
  <conditionalFormatting sqref="A3711">
    <cfRule type="expression" dxfId="130" priority="1168" stopIfTrue="1">
      <formula>$T3704="english"</formula>
    </cfRule>
    <cfRule type="expression" dxfId="129" priority="1169" stopIfTrue="1">
      <formula>AND(A$972="grey",NOT(ISBLANK($AE3704)))</formula>
    </cfRule>
  </conditionalFormatting>
  <conditionalFormatting sqref="A3747">
    <cfRule type="expression" dxfId="128" priority="1170" stopIfTrue="1">
      <formula>$T3746="english"</formula>
    </cfRule>
    <cfRule type="expression" dxfId="127" priority="1171" stopIfTrue="1">
      <formula>AND(A$972="grey",NOT(ISBLANK($AE3746)))</formula>
    </cfRule>
  </conditionalFormatting>
  <conditionalFormatting sqref="B1:B1048576">
    <cfRule type="containsText" dxfId="126" priority="10" operator="containsText" text="‛">
      <formula>NOT(ISERROR(SEARCH("‛",B1)))</formula>
    </cfRule>
    <cfRule type="containsText" dxfId="125" priority="1172" operator="containsText" text="‘">
      <formula>NOT(ISERROR(SEARCH("‘",B1)))</formula>
    </cfRule>
    <cfRule type="expression" dxfId="124" priority="1173">
      <formula>COUNTIF($B:$B,B1)&gt;1</formula>
    </cfRule>
    <cfRule type="expression" dxfId="123" priority="1174">
      <formula>$D1="Name"</formula>
    </cfRule>
    <cfRule type="expression" dxfId="122" priority="1175">
      <formula>M1&lt;&gt;""</formula>
    </cfRule>
    <cfRule type="expression" dxfId="121" priority="1176">
      <formula>O1&lt;&gt;""</formula>
    </cfRule>
    <cfRule type="expression" dxfId="120" priority="1177">
      <formula>SEARCH("en",D1)</formula>
    </cfRule>
    <cfRule type="expression" dxfId="119" priority="1178">
      <formula>SEARCH("de",D1)</formula>
    </cfRule>
    <cfRule type="expression" dxfId="118" priority="1179">
      <formula>U1=""</formula>
    </cfRule>
  </conditionalFormatting>
  <conditionalFormatting sqref="A3711">
    <cfRule type="expression" dxfId="117" priority="1185" stopIfTrue="1">
      <formula>$S3704="english"</formula>
    </cfRule>
    <cfRule type="expression" dxfId="116" priority="1186" stopIfTrue="1">
      <formula>AND(A$972="grey",NOT(ISBLANK($AD3704)))</formula>
    </cfRule>
  </conditionalFormatting>
  <conditionalFormatting sqref="A3747">
    <cfRule type="expression" dxfId="115" priority="1187" stopIfTrue="1">
      <formula>$S3746="english"</formula>
    </cfRule>
    <cfRule type="expression" dxfId="114" priority="1188" stopIfTrue="1">
      <formula>AND(A$972="grey",NOT(ISBLANK($AD3746)))</formula>
    </cfRule>
  </conditionalFormatting>
  <hyperlinks>
    <hyperlink ref="A659" r:id="rId2" display="http://qalm-jaf.blogspot.com/2005/08/blog-post_25.html"/>
  </hyperlinks>
  <pageMargins left="0.78740157499999996" right="0.78740157499999996" top="0.984251969" bottom="0.984251969" header="0.4921259845" footer="0.4921259845"/>
  <pageSetup paperSize="9" orientation="portrait" horizontalDpi="1200" verticalDpi="1200" r:id="rId3"/>
  <headerFooter alignWithMargins="0"/>
  <legacyDrawing r:id="rId4"/>
</worksheet>
</file>

<file path=xl/worksheets/sheet2.xml><?xml version="1.0" encoding="utf-8"?>
<worksheet xmlns="http://schemas.openxmlformats.org/spreadsheetml/2006/main" xmlns:r="http://schemas.openxmlformats.org/officeDocument/2006/relationships">
  <sheetPr codeName="Tabelle3"/>
  <dimension ref="A1:X61"/>
  <sheetViews>
    <sheetView topLeftCell="E1" workbookViewId="0">
      <selection activeCell="E18" sqref="E18"/>
    </sheetView>
  </sheetViews>
  <sheetFormatPr baseColWidth="10" defaultRowHeight="12.85"/>
  <cols>
    <col min="2" max="2" width="16.86328125" customWidth="1"/>
    <col min="3" max="3" width="7" customWidth="1"/>
    <col min="4" max="4" width="78" customWidth="1"/>
    <col min="5" max="5" width="36.86328125" customWidth="1"/>
    <col min="6" max="6" width="11" customWidth="1"/>
    <col min="7" max="7" width="59.59765625" customWidth="1"/>
    <col min="9" max="11" width="10.59765625" customWidth="1"/>
    <col min="12" max="12" width="11" customWidth="1"/>
    <col min="13" max="18" width="10.59765625" customWidth="1"/>
    <col min="19" max="19" width="7.73046875" customWidth="1"/>
    <col min="20" max="20" width="10.59765625" customWidth="1"/>
    <col min="21" max="21" width="85.1328125" customWidth="1"/>
    <col min="22" max="22" width="95.73046875" customWidth="1"/>
    <col min="23" max="23" width="85.1328125" customWidth="1"/>
    <col min="24" max="24" width="95.73046875" customWidth="1"/>
  </cols>
  <sheetData>
    <row r="1" spans="1:24" ht="40.35" thickTop="1" thickBot="1">
      <c r="C1" s="50"/>
      <c r="H1" s="113"/>
      <c r="I1" s="122" t="s">
        <v>9198</v>
      </c>
      <c r="J1" s="114" t="s">
        <v>9199</v>
      </c>
      <c r="K1" s="114" t="str">
        <f>UPPER(TextLanguage)</f>
        <v>DE</v>
      </c>
      <c r="L1" s="115" t="s">
        <v>9343</v>
      </c>
      <c r="M1" s="114" t="s">
        <v>9200</v>
      </c>
      <c r="N1" s="114" t="s">
        <v>9197</v>
      </c>
      <c r="O1" s="116" t="s">
        <v>9355</v>
      </c>
      <c r="P1" s="117"/>
      <c r="Q1" s="117"/>
      <c r="R1" s="118" t="s">
        <v>9325</v>
      </c>
      <c r="S1" s="118" t="s">
        <v>9182</v>
      </c>
      <c r="T1" s="118"/>
      <c r="U1" s="57" t="s">
        <v>9312</v>
      </c>
      <c r="V1" s="57" t="s">
        <v>9311</v>
      </c>
      <c r="W1" s="57" t="s">
        <v>9310</v>
      </c>
      <c r="X1" s="57" t="s">
        <v>9309</v>
      </c>
    </row>
    <row r="2" spans="1:24" ht="13.95" thickTop="1" thickBot="1">
      <c r="A2" s="54" t="s">
        <v>9168</v>
      </c>
      <c r="B2" s="55" t="s">
        <v>9137</v>
      </c>
      <c r="C2" s="56" t="s">
        <v>9136</v>
      </c>
      <c r="E2" s="171" t="s">
        <v>9196</v>
      </c>
      <c r="F2" s="120" t="s">
        <v>59</v>
      </c>
      <c r="H2" s="121" t="str">
        <f ca="1">LOWER(UserLanguage)&amp;IF(I2,"T","F")&amp;IF(J2,"T","F")&amp;IF(K2,"T","F")&amp;IF(L2,"T","F")&amp;IF(M2,"T","F")&amp;IF(N2,"T","F")&amp;IF(O2,"T","F")</f>
        <v>deFTTFFTT</v>
      </c>
      <c r="I2" s="123" t="b">
        <f>IF(TransHit="",FALSE,TRUE)</f>
        <v>0</v>
      </c>
      <c r="J2" s="124" t="b">
        <f>IF(SubstHit="",FALSE,TRUE)</f>
        <v>1</v>
      </c>
      <c r="K2" s="124" t="b">
        <f>IF(UPPER(LocalInstruction)=K1,TRUE,FALSE)</f>
        <v>1</v>
      </c>
      <c r="L2" s="124" t="b">
        <f ca="1">IF(AND(TransHit="",SubstHit = ""),FALSE,IF(TransHit=SubstHit,TRUE,IF(AND(TransHit&lt;&gt;"",SubstHit&lt;&gt;""),TransHitPlus,IF(TransHit&lt;&gt;"",TransHitPlus,SubstHitPlus))))</f>
        <v>0</v>
      </c>
      <c r="M2" s="124" t="b">
        <f>IF(TransHit=SubstHit,TRUE,FALSE)</f>
        <v>0</v>
      </c>
      <c r="N2" s="124" t="b">
        <f ca="1">IF(ISNUMBER(TransHit),NOT(ISERROR(FIND("|"&amp;BookID,INDIRECT("'"&amp;ListOfTerms&amp;"'!"&amp;ADDRESS(TransHit,ColSour,4))))),NOT(ISERROR(FIND("|"&amp;BookID,INDIRECT("'"&amp;ListOfTerms&amp;"'!"&amp;ADDRESS(SubstHit,ColSour,4))))))</f>
        <v>1</v>
      </c>
      <c r="O2" s="125" t="b">
        <f ca="1">IF(ISNUMBER(TransHit),NOT(ISERROR(FIND("|"&amp;BookID&amp;LocalTermCount&amp;"|",INDIRECT("'"&amp;ListOfTerms&amp;"'!"&amp;ADDRESS(TransHit,ColSour,4))))),NOT(ISERROR(FIND("|"&amp;BookID&amp;LocalTermCount&amp;"|",INDIRECT("'"&amp;ListOfTerms&amp;"'!"&amp;ADDRESS(SubstHit,ColSour,4))))))</f>
        <v>1</v>
      </c>
      <c r="R2" s="103" t="str">
        <f ca="1">VLOOKUP(H2,H3:R56,11,FALSE)</f>
        <v>add source</v>
      </c>
      <c r="S2" s="103">
        <f ca="1">VLOOKUP(H2,H3:S56,12,FALSE)</f>
        <v>4230</v>
      </c>
      <c r="T2" s="91" t="str">
        <f ca="1">VLOOKUP(H2,H3:U56,13,FALSE)</f>
        <v>6b</v>
      </c>
      <c r="U2" s="103" t="str">
        <f ca="1">VLOOKUP(H2,H3:U56,14,FALSE)</f>
        <v>Substitute confirmed; still no associated term exists</v>
      </c>
      <c r="V2" s="103" t="str">
        <f ca="1">VLOOKUP(H2,H3:V56,15,FALSE)</f>
        <v>repeated export of de.GDM_: No term is corresponding to the substitute. Please add term.</v>
      </c>
      <c r="W2" s="103" t="str">
        <f ca="1">VLOOKUP(H2,H3:W56,16,FALSE)</f>
        <v>Substitut für DE bestätigt; es gibt immer noch keinen korrespondierenden Begriff</v>
      </c>
      <c r="X2" s="103" t="str">
        <f ca="1">VLOOKUP(H2,H3:X56,17,FALSE)</f>
        <v>Wiederholter Export von de.GDM_: Es gibt keinen zu diesem Substitut korrespondierenden Begriff. Bitte ergänzen.</v>
      </c>
    </row>
    <row r="3" spans="1:24" ht="13.6" thickTop="1" thickBot="1">
      <c r="A3" s="51"/>
      <c r="B3" s="52"/>
      <c r="C3" s="53">
        <v>0</v>
      </c>
      <c r="E3" s="172"/>
      <c r="H3" s="156" t="s">
        <v>9286</v>
      </c>
      <c r="I3" s="97" t="b">
        <v>0</v>
      </c>
      <c r="J3" s="87" t="b">
        <v>0</v>
      </c>
      <c r="K3" s="87" t="b">
        <v>1</v>
      </c>
      <c r="L3" s="101" t="b">
        <v>1</v>
      </c>
      <c r="M3" s="87"/>
      <c r="N3" s="87"/>
      <c r="O3" s="93"/>
      <c r="P3" s="108"/>
      <c r="Q3" s="107"/>
      <c r="R3" s="109"/>
      <c r="S3" s="109"/>
      <c r="T3" s="107">
        <v>1</v>
      </c>
      <c r="U3" s="135" t="str">
        <f>enFlagged&amp;"error not defined"</f>
        <v>No export: error not defined</v>
      </c>
      <c r="V3" s="136"/>
      <c r="W3" s="154" t="str">
        <f>deFlagged&amp;"undefinierter Fehler"</f>
        <v>Nicht exportiert: undefinierter Fehler</v>
      </c>
      <c r="X3" s="44"/>
    </row>
    <row r="4" spans="1:24" ht="13.95" thickTop="1" thickBot="1">
      <c r="A4" s="74" t="str">
        <f t="array" ref="A4:A33">TRANSPOSE(List!A2:AD2)</f>
        <v>Orig</v>
      </c>
      <c r="B4" s="72" t="str">
        <f t="array" ref="B4:B33">TRANSPOSE(List!A1:AE1)</f>
        <v>Original</v>
      </c>
      <c r="C4" s="75">
        <f t="shared" ref="C4:C33" si="0">C3+1</f>
        <v>1</v>
      </c>
      <c r="D4" s="79" t="s">
        <v>9183</v>
      </c>
      <c r="E4" s="172"/>
      <c r="H4" s="157" t="s">
        <v>9248</v>
      </c>
      <c r="I4" s="127" t="b">
        <v>0</v>
      </c>
      <c r="J4" s="128" t="b">
        <v>0</v>
      </c>
      <c r="K4" s="128" t="b">
        <v>1</v>
      </c>
      <c r="L4" s="128" t="b">
        <v>0</v>
      </c>
      <c r="M4" s="128" t="b">
        <v>1</v>
      </c>
      <c r="N4" s="128" t="b">
        <v>0</v>
      </c>
      <c r="O4" s="129" t="b">
        <v>0</v>
      </c>
      <c r="P4" s="126"/>
      <c r="Q4" s="128"/>
      <c r="R4" s="159" t="str">
        <f>R$58</f>
        <v>add row</v>
      </c>
      <c r="S4" s="103">
        <f>COUNTA(List!C:C)</f>
        <v>4256</v>
      </c>
      <c r="T4" s="128" t="s">
        <v>9201</v>
      </c>
      <c r="U4" s="137" t="s">
        <v>9245</v>
      </c>
      <c r="V4" s="138"/>
      <c r="W4" s="137" t="str">
        <f>"Substitut für "&amp;UPPER(TextLanguage)&amp;" hinzugefügt"</f>
        <v>Substitut für DE hinzugefügt</v>
      </c>
      <c r="X4" s="137"/>
    </row>
    <row r="5" spans="1:24" ht="13.6" thickTop="1" thickBot="1">
      <c r="A5" s="74" t="str">
        <v>Tran</v>
      </c>
      <c r="B5" s="72" t="str">
        <v>ebf</v>
      </c>
      <c r="C5" s="75">
        <f t="shared" si="0"/>
        <v>2</v>
      </c>
      <c r="D5" s="103" t="str">
        <f>SheetName(1)</f>
        <v>List</v>
      </c>
      <c r="E5" s="172"/>
      <c r="H5" s="157" t="s">
        <v>9287</v>
      </c>
      <c r="I5" s="95"/>
      <c r="J5" s="45"/>
      <c r="K5" s="45"/>
      <c r="L5" s="45"/>
      <c r="M5" s="45"/>
      <c r="N5" s="102" t="b">
        <v>1</v>
      </c>
      <c r="O5" s="89"/>
      <c r="P5" s="92"/>
      <c r="Q5" s="43"/>
      <c r="R5" s="42"/>
      <c r="S5" s="43"/>
      <c r="T5" s="43" t="s">
        <v>9202</v>
      </c>
      <c r="U5" s="139" t="str">
        <f>enFlagged&amp;"error not defined"</f>
        <v>No export: error not defined</v>
      </c>
      <c r="V5" s="136"/>
      <c r="W5" s="152" t="str">
        <f>deFlagged&amp;"undefinierter Fehler"</f>
        <v>Nicht exportiert: undefinierter Fehler</v>
      </c>
      <c r="X5" s="152"/>
    </row>
    <row r="6" spans="1:24" ht="13.6" thickTop="1" thickBot="1">
      <c r="A6" s="74" t="str">
        <v>Lett</v>
      </c>
      <c r="B6" s="72" t="str">
        <v>letter string</v>
      </c>
      <c r="C6" s="75">
        <f t="shared" si="0"/>
        <v>3</v>
      </c>
      <c r="D6" s="155" t="str">
        <f>SheetName(2)</f>
        <v>List interface</v>
      </c>
      <c r="E6" s="171" t="s">
        <v>9195</v>
      </c>
      <c r="F6" s="98" t="s">
        <v>59</v>
      </c>
      <c r="H6" s="157" t="s">
        <v>9288</v>
      </c>
      <c r="I6" s="41" t="b">
        <v>0</v>
      </c>
      <c r="J6" s="43" t="b">
        <v>0</v>
      </c>
      <c r="K6" s="43" t="b">
        <v>0</v>
      </c>
      <c r="L6" s="102" t="b">
        <v>1</v>
      </c>
      <c r="M6" s="43"/>
      <c r="N6" s="43"/>
      <c r="O6" s="89"/>
      <c r="P6" s="92"/>
      <c r="Q6" s="43"/>
      <c r="R6" s="42"/>
      <c r="S6" s="42"/>
      <c r="T6" s="43">
        <v>3</v>
      </c>
      <c r="U6" s="139" t="str">
        <f>enFlagged&amp;"error not defined"</f>
        <v>No export: error not defined</v>
      </c>
      <c r="V6" s="136"/>
      <c r="W6" s="152" t="str">
        <f>deFlagged&amp;"undefinierter Fehler"</f>
        <v>Nicht exportiert: undefinierter Fehler</v>
      </c>
      <c r="X6" s="152"/>
    </row>
    <row r="7" spans="1:24" ht="13.6" thickTop="1" thickBot="1">
      <c r="A7" s="74" t="str">
        <v>Lang</v>
      </c>
      <c r="B7" s="72" t="str">
        <v>language</v>
      </c>
      <c r="C7" s="75">
        <f t="shared" si="0"/>
        <v>4</v>
      </c>
      <c r="D7" s="80" t="s">
        <v>9184</v>
      </c>
      <c r="E7" s="171" t="s">
        <v>9191</v>
      </c>
      <c r="F7" s="98" t="s">
        <v>9492</v>
      </c>
      <c r="H7" s="157" t="s">
        <v>9249</v>
      </c>
      <c r="I7" s="127" t="b">
        <v>0</v>
      </c>
      <c r="J7" s="128" t="b">
        <v>0</v>
      </c>
      <c r="K7" s="128" t="b">
        <v>0</v>
      </c>
      <c r="L7" s="128" t="b">
        <v>0</v>
      </c>
      <c r="M7" s="128" t="b">
        <v>1</v>
      </c>
      <c r="N7" s="128" t="b">
        <v>0</v>
      </c>
      <c r="O7" s="129" t="b">
        <v>0</v>
      </c>
      <c r="P7" s="126"/>
      <c r="Q7" s="128"/>
      <c r="R7" s="159" t="str">
        <f>R$58</f>
        <v>add row</v>
      </c>
      <c r="S7" s="159">
        <f>S4</f>
        <v>4256</v>
      </c>
      <c r="T7" s="128" t="s">
        <v>9203</v>
      </c>
      <c r="U7" s="137" t="s">
        <v>9208</v>
      </c>
      <c r="V7" s="138"/>
      <c r="W7" s="137" t="s">
        <v>9316</v>
      </c>
      <c r="X7" s="137"/>
    </row>
    <row r="8" spans="1:24" ht="13.6" thickTop="1" thickBot="1">
      <c r="A8" s="74" t="str">
        <v>Stat</v>
      </c>
      <c r="B8" s="72" t="str">
        <v>status</v>
      </c>
      <c r="C8" s="75">
        <f t="shared" si="0"/>
        <v>5</v>
      </c>
      <c r="D8" s="80" t="s">
        <v>9194</v>
      </c>
      <c r="E8" s="171" t="s">
        <v>9193</v>
      </c>
      <c r="F8" s="98"/>
      <c r="H8" s="157" t="s">
        <v>9289</v>
      </c>
      <c r="I8" s="96"/>
      <c r="J8" s="82"/>
      <c r="K8" s="82"/>
      <c r="L8" s="82"/>
      <c r="M8" s="82"/>
      <c r="N8" s="110" t="b">
        <v>1</v>
      </c>
      <c r="O8" s="90"/>
      <c r="P8" s="111"/>
      <c r="Q8" s="47"/>
      <c r="R8" s="112"/>
      <c r="S8" s="47"/>
      <c r="T8" s="47" t="s">
        <v>9204</v>
      </c>
      <c r="U8" s="140" t="str">
        <f>enFlagged&amp;"error not defined"</f>
        <v>No export: error not defined</v>
      </c>
      <c r="V8" s="141"/>
      <c r="W8" s="153" t="str">
        <f>deFlagged&amp;"undefinierter Fehler"</f>
        <v>Nicht exportiert: undefinierter Fehler</v>
      </c>
      <c r="X8" s="153"/>
    </row>
    <row r="9" spans="1:24" ht="13.6" thickTop="1" thickBot="1">
      <c r="A9" s="74" t="str">
        <v>Defi</v>
      </c>
      <c r="B9" s="72" t="str">
        <v>Definition</v>
      </c>
      <c r="C9" s="75">
        <f t="shared" si="0"/>
        <v>6</v>
      </c>
      <c r="D9" s="80" t="s">
        <v>9188</v>
      </c>
      <c r="E9" s="171" t="s">
        <v>9192</v>
      </c>
      <c r="F9" s="98">
        <v>4230</v>
      </c>
      <c r="G9" s="22" t="s">
        <v>9357</v>
      </c>
      <c r="H9" s="157" t="s">
        <v>9290</v>
      </c>
      <c r="I9" s="165" t="b">
        <v>0</v>
      </c>
      <c r="J9" s="134" t="b">
        <v>1</v>
      </c>
      <c r="K9" s="134" t="b">
        <v>1</v>
      </c>
      <c r="L9" s="134" t="b">
        <v>1</v>
      </c>
      <c r="M9" s="134" t="b">
        <v>0</v>
      </c>
      <c r="N9" s="134" t="b">
        <v>0</v>
      </c>
      <c r="O9" s="166" t="b">
        <v>0</v>
      </c>
      <c r="P9" s="167"/>
      <c r="Q9" s="134"/>
      <c r="R9" s="168" t="str">
        <f t="shared" ref="R9:R14" si="1">R$59</f>
        <v>add source</v>
      </c>
      <c r="S9" s="134">
        <f t="shared" ref="S9:S20" si="2">SubstHit</f>
        <v>4230</v>
      </c>
      <c r="T9" s="134" t="s">
        <v>9333</v>
      </c>
      <c r="U9" s="137" t="str">
        <f>"Substitute for "&amp;UPPER(TextLanguage)&amp;" found"</f>
        <v>Substitute for DE found</v>
      </c>
      <c r="V9" s="138"/>
      <c r="W9" s="137" t="str">
        <f>"Substitut für "&amp;UPPER(TextLanguage)&amp;" gefunden"</f>
        <v>Substitut für DE gefunden</v>
      </c>
      <c r="X9" s="137"/>
    </row>
    <row r="10" spans="1:24" ht="13.6" thickTop="1" thickBot="1">
      <c r="A10" s="74" t="str">
        <v>Ques</v>
      </c>
      <c r="B10" s="72" t="str">
        <v>Rückfragen</v>
      </c>
      <c r="C10" s="75">
        <f t="shared" si="0"/>
        <v>7</v>
      </c>
      <c r="D10" s="80" t="s">
        <v>9189</v>
      </c>
      <c r="E10" s="171" t="s">
        <v>9332</v>
      </c>
      <c r="F10" s="98" t="s">
        <v>9478</v>
      </c>
      <c r="H10" s="157" t="s">
        <v>9339</v>
      </c>
      <c r="I10" s="127"/>
      <c r="J10" s="128"/>
      <c r="K10" s="128"/>
      <c r="L10" s="128"/>
      <c r="M10" s="128"/>
      <c r="N10" s="128" t="b">
        <v>1</v>
      </c>
      <c r="O10" s="129" t="b">
        <v>1</v>
      </c>
      <c r="P10" s="126"/>
      <c r="Q10" s="128"/>
      <c r="R10" s="130" t="str">
        <f t="shared" si="1"/>
        <v>add source</v>
      </c>
      <c r="S10" s="128">
        <f t="shared" si="2"/>
        <v>4230</v>
      </c>
      <c r="T10" s="128" t="s">
        <v>9334</v>
      </c>
      <c r="U10" s="137" t="str">
        <f>"Substitute for "&amp;UPPER(TextLanguage)&amp;" confirmed"</f>
        <v>Substitute for DE confirmed</v>
      </c>
      <c r="V10" s="138"/>
      <c r="W10" s="137" t="str">
        <f>"Substitut für "&amp;UPPER(TextLanguage)&amp;" bestätigt"</f>
        <v>Substitut für DE bestätigt</v>
      </c>
      <c r="X10" s="137"/>
    </row>
    <row r="11" spans="1:24" ht="13.6" thickTop="1" thickBot="1">
      <c r="A11" s="74" t="str">
        <v>Rema</v>
      </c>
      <c r="B11" s="72" t="str">
        <v>Bemerkungen</v>
      </c>
      <c r="C11" s="75">
        <f t="shared" si="0"/>
        <v>8</v>
      </c>
      <c r="D11" s="80" t="s">
        <v>9190</v>
      </c>
      <c r="E11" s="173" t="s">
        <v>9308</v>
      </c>
      <c r="F11" s="98">
        <v>2</v>
      </c>
      <c r="H11" s="157" t="s">
        <v>9340</v>
      </c>
      <c r="I11" s="127"/>
      <c r="J11" s="128"/>
      <c r="K11" s="128"/>
      <c r="L11" s="128"/>
      <c r="M11" s="128"/>
      <c r="N11" s="128" t="b">
        <v>1</v>
      </c>
      <c r="O11" s="129" t="b">
        <v>0</v>
      </c>
      <c r="P11" s="126"/>
      <c r="Q11" s="128"/>
      <c r="R11" s="130" t="str">
        <f t="shared" si="1"/>
        <v>add source</v>
      </c>
      <c r="S11" s="128">
        <f t="shared" si="2"/>
        <v>4230</v>
      </c>
      <c r="T11" s="128" t="s">
        <v>9335</v>
      </c>
      <c r="U11" s="137" t="str">
        <f>"Substitute for "&amp;UPPER(TextLanguage)&amp;" updated"</f>
        <v>Substitute for DE updated</v>
      </c>
      <c r="V11" s="138"/>
      <c r="W11" s="137" t="str">
        <f>"Substitut für "&amp;UPPER(TextLanguage)&amp;" erneuert"</f>
        <v>Substitut für DE erneuert</v>
      </c>
      <c r="X11" s="137"/>
    </row>
    <row r="12" spans="1:24" ht="13.6" thickTop="1" thickBot="1">
      <c r="A12" s="74" t="str">
        <v>|Tr|</v>
      </c>
      <c r="B12" s="72" t="str">
        <v>ebf boarders</v>
      </c>
      <c r="C12" s="75">
        <f t="shared" si="0"/>
        <v>9</v>
      </c>
      <c r="D12" s="80" t="s">
        <v>9319</v>
      </c>
      <c r="E12" s="173" t="s">
        <v>9320</v>
      </c>
      <c r="F12" s="164" t="str">
        <f ca="1">INDIRECT(D14)</f>
        <v>Substitut für DE bestätigt; es gibt immer noch keinen korrespondierenden Begriff</v>
      </c>
      <c r="G12" s="169"/>
      <c r="H12" s="157" t="s">
        <v>9255</v>
      </c>
      <c r="I12" s="95" t="b">
        <v>0</v>
      </c>
      <c r="J12" s="45" t="b">
        <v>1</v>
      </c>
      <c r="K12" s="45" t="b">
        <v>1</v>
      </c>
      <c r="L12" s="45" t="b">
        <v>0</v>
      </c>
      <c r="M12" s="45" t="b">
        <v>0</v>
      </c>
      <c r="N12" s="45" t="b">
        <v>0</v>
      </c>
      <c r="O12" s="84" t="b">
        <v>0</v>
      </c>
      <c r="P12" s="94"/>
      <c r="Q12" s="45"/>
      <c r="R12" s="159" t="str">
        <f t="shared" si="1"/>
        <v>add source</v>
      </c>
      <c r="S12" s="159">
        <f t="shared" si="2"/>
        <v>4230</v>
      </c>
      <c r="T12" s="45" t="s">
        <v>9205</v>
      </c>
      <c r="U12" s="143" t="s">
        <v>9344</v>
      </c>
      <c r="V12" s="144" t="str">
        <f>"export of "&amp;BookID&amp;": No term is corresponding to the substitute. Please add term."</f>
        <v>export of de.GDM_: No term is corresponding to the substitute. Please add term.</v>
      </c>
      <c r="W12" s="143" t="str">
        <f>"Substitut für "&amp;UPPER(TextLanguage)&amp;" gefunden; es gibt keinen koresspondierenden Begriff"</f>
        <v>Substitut für DE gefunden; es gibt keinen koresspondierenden Begriff</v>
      </c>
      <c r="X12" s="143" t="str">
        <f>"Export von "&amp;BookID&amp;": Es gibt keinen zu diesem Substitut korrespondierenden Begriff. Bitte ergänzen."</f>
        <v>Export von de.GDM_: Es gibt keinen zu diesem Substitut korrespondierenden Begriff. Bitte ergänzen.</v>
      </c>
    </row>
    <row r="13" spans="1:24" ht="13.6" thickTop="1" thickBot="1">
      <c r="A13" s="74" t="str">
        <v>|As|</v>
      </c>
      <c r="B13" s="72" t="str">
        <v>ASCII</v>
      </c>
      <c r="C13" s="75">
        <f t="shared" si="0"/>
        <v>10</v>
      </c>
      <c r="D13" s="80" t="s">
        <v>9307</v>
      </c>
      <c r="E13" s="173" t="s">
        <v>9321</v>
      </c>
      <c r="F13" s="164" t="str">
        <f ca="1">INDIRECT(D15)</f>
        <v>Wiederholter Export von de.GDM_: Es gibt keinen zu diesem Substitut korrespondierenden Begriff. Bitte ergänzen.</v>
      </c>
      <c r="G13" s="169"/>
      <c r="H13" s="157" t="s">
        <v>9250</v>
      </c>
      <c r="I13" s="95"/>
      <c r="J13" s="45"/>
      <c r="K13" s="45"/>
      <c r="L13" s="45"/>
      <c r="M13" s="45"/>
      <c r="N13" s="45" t="b">
        <v>1</v>
      </c>
      <c r="O13" s="84" t="b">
        <v>1</v>
      </c>
      <c r="P13" s="94"/>
      <c r="Q13" s="45"/>
      <c r="R13" s="159" t="str">
        <f t="shared" si="1"/>
        <v>add source</v>
      </c>
      <c r="S13" s="159">
        <f t="shared" si="2"/>
        <v>4230</v>
      </c>
      <c r="T13" s="45" t="s">
        <v>9206</v>
      </c>
      <c r="U13" s="143" t="s">
        <v>9345</v>
      </c>
      <c r="V13" s="144" t="str">
        <f>"repeated "&amp;V12</f>
        <v>repeated export of de.GDM_: No term is corresponding to the substitute. Please add term.</v>
      </c>
      <c r="W13" s="143" t="str">
        <f>"Substitut für "&amp;UPPER(TextLanguage)&amp;" bestätigt; es gibt immer noch keinen korrespondierenden Begriff"</f>
        <v>Substitut für DE bestätigt; es gibt immer noch keinen korrespondierenden Begriff</v>
      </c>
      <c r="X13" s="143" t="str">
        <f>"Wiederholter "&amp;X12</f>
        <v>Wiederholter Export von de.GDM_: Es gibt keinen zu diesem Substitut korrespondierenden Begriff. Bitte ergänzen.</v>
      </c>
    </row>
    <row r="14" spans="1:24" ht="13.6" thickTop="1" thickBot="1">
      <c r="A14" s="74" t="str">
        <v>Asci</v>
      </c>
      <c r="B14" s="72" t="str">
        <v>pattern</v>
      </c>
      <c r="C14" s="75">
        <f t="shared" si="0"/>
        <v>11</v>
      </c>
      <c r="D14" s="60" t="str">
        <f>TextLanguage&amp;"LocalFeedback"</f>
        <v>deLocalFeedback</v>
      </c>
      <c r="E14" s="173" t="s">
        <v>9329</v>
      </c>
      <c r="F14" s="170">
        <f ca="1">INDIRECT(D16)</f>
        <v>4230</v>
      </c>
      <c r="H14" s="157" t="s">
        <v>9251</v>
      </c>
      <c r="I14" s="95"/>
      <c r="J14" s="45"/>
      <c r="K14" s="45"/>
      <c r="L14" s="45"/>
      <c r="M14" s="45"/>
      <c r="N14" s="45" t="b">
        <v>1</v>
      </c>
      <c r="O14" s="84" t="b">
        <v>0</v>
      </c>
      <c r="P14" s="94"/>
      <c r="Q14" s="45"/>
      <c r="R14" s="72" t="str">
        <f t="shared" si="1"/>
        <v>add source</v>
      </c>
      <c r="S14" s="159">
        <f t="shared" si="2"/>
        <v>4230</v>
      </c>
      <c r="T14" s="45" t="s">
        <v>9207</v>
      </c>
      <c r="U14" s="143" t="s">
        <v>9346</v>
      </c>
      <c r="V14" s="144" t="str">
        <f>"repeated "&amp;V12</f>
        <v>repeated export of de.GDM_: No term is corresponding to the substitute. Please add term.</v>
      </c>
      <c r="W14" s="143" t="str">
        <f>"Substitut für "&amp;UPPER(TextLanguage)&amp;" erneuert; es gibt immer noch keinen korrespondierenden Begriff"</f>
        <v>Substitut für DE erneuert; es gibt immer noch keinen korrespondierenden Begriff</v>
      </c>
      <c r="X14" s="143" t="str">
        <f>"Wiederholter "&amp;X12</f>
        <v>Wiederholter Export von de.GDM_: Es gibt keinen zu diesem Substitut korrespondierenden Begriff. Bitte ergänzen.</v>
      </c>
    </row>
    <row r="15" spans="1:24" ht="13.6" thickTop="1" thickBot="1">
      <c r="A15" s="74" t="str">
        <v>Skip</v>
      </c>
      <c r="B15" s="72" t="str">
        <v>skip</v>
      </c>
      <c r="C15" s="75">
        <f t="shared" si="0"/>
        <v>12</v>
      </c>
      <c r="D15" s="60" t="str">
        <f>UserLanguage&amp;"XLSfeedback"</f>
        <v>deXLSfeedback</v>
      </c>
      <c r="E15" s="173" t="s">
        <v>9330</v>
      </c>
      <c r="F15" s="164" t="str">
        <f ca="1">INDIRECT(D17)</f>
        <v>add source</v>
      </c>
      <c r="H15" s="157" t="s">
        <v>9291</v>
      </c>
      <c r="I15" s="95" t="b">
        <v>0</v>
      </c>
      <c r="J15" s="45" t="b">
        <v>1</v>
      </c>
      <c r="K15" s="45" t="b">
        <v>0</v>
      </c>
      <c r="L15" s="45" t="b">
        <v>1</v>
      </c>
      <c r="M15" s="45" t="b">
        <v>0</v>
      </c>
      <c r="N15" s="45" t="b">
        <v>0</v>
      </c>
      <c r="O15" s="84" t="b">
        <v>0</v>
      </c>
      <c r="P15" s="94"/>
      <c r="Q15" s="45"/>
      <c r="R15" s="159" t="str">
        <f>R$60</f>
        <v>set flag</v>
      </c>
      <c r="S15" s="159">
        <f t="shared" si="2"/>
        <v>4230</v>
      </c>
      <c r="T15" s="45" t="s">
        <v>9336</v>
      </c>
      <c r="U15" s="143" t="str">
        <f>enFlagged&amp;"Term found in substitute column"</f>
        <v>No export: Term found in substitute column</v>
      </c>
      <c r="V15" s="144" t="str">
        <f>"export of "&amp;BookID&amp;": The term had NOT been marked as a subsitute but was found in the substitute column."</f>
        <v>export of de.GDM_: The term had NOT been marked as a subsitute but was found in the substitute column.</v>
      </c>
      <c r="W15" s="143" t="str">
        <f>deFlagged&amp;"Begriff in der Substitutsspalte gefunden"</f>
        <v>Nicht exportiert: Begriff in der Substitutsspalte gefunden</v>
      </c>
      <c r="X15" s="143" t="str">
        <f>"Export von "&amp;BookID&amp;": Begriff war NICHT als Subsitut markiert, wurde aber in der Substitutionsspalte gefunden."</f>
        <v>Export von de.GDM_: Begriff war NICHT als Subsitut markiert, wurde aber in der Substitutionsspalte gefunden.</v>
      </c>
    </row>
    <row r="16" spans="1:24" ht="13.6" thickTop="1" thickBot="1">
      <c r="A16" s="74" t="str">
        <v>SubTen</v>
      </c>
      <c r="B16" s="72" t="str">
        <v>en subst ebf</v>
      </c>
      <c r="C16" s="75">
        <f t="shared" si="0"/>
        <v>13</v>
      </c>
      <c r="D16" s="80" t="s">
        <v>9327</v>
      </c>
      <c r="E16" s="172"/>
      <c r="H16" s="157" t="s">
        <v>9341</v>
      </c>
      <c r="I16" s="95"/>
      <c r="J16" s="45"/>
      <c r="K16" s="45"/>
      <c r="L16" s="45"/>
      <c r="M16" s="45"/>
      <c r="N16" s="45" t="b">
        <v>1</v>
      </c>
      <c r="O16" s="84" t="b">
        <v>1</v>
      </c>
      <c r="P16" s="94"/>
      <c r="Q16" s="45"/>
      <c r="R16" s="159" t="str">
        <f>R$60</f>
        <v>set flag</v>
      </c>
      <c r="S16" s="159">
        <f t="shared" si="2"/>
        <v>4230</v>
      </c>
      <c r="T16" s="45" t="s">
        <v>9337</v>
      </c>
      <c r="U16" s="143" t="str">
        <f>U15&amp;enBookIDmatch</f>
        <v>No export: Term found in substitute column; exported before from this book</v>
      </c>
      <c r="V16" s="144" t="str">
        <f>"repeated "&amp;V15</f>
        <v>repeated export of de.GDM_: The term had NOT been marked as a subsitute but was found in the substitute column.</v>
      </c>
      <c r="W16" s="143" t="str">
        <f>W15&amp;deBookIDmatch</f>
        <v>Nicht exportiert: Begriff in der Substitutsspalte gefunden; schon einmal aus diesem Buch exportiert</v>
      </c>
      <c r="X16" s="143" t="str">
        <f>"Wiederholter "&amp;X15</f>
        <v>Wiederholter Export von de.GDM_: Begriff war NICHT als Subsitut markiert, wurde aber in der Substitutionsspalte gefunden.</v>
      </c>
    </row>
    <row r="17" spans="1:24" ht="13.6" thickTop="1" thickBot="1">
      <c r="A17" s="74" t="str">
        <v>SubLen</v>
      </c>
      <c r="B17" s="72" t="str">
        <v>en subst letters</v>
      </c>
      <c r="C17" s="75">
        <f t="shared" si="0"/>
        <v>14</v>
      </c>
      <c r="D17" s="80" t="s">
        <v>9328</v>
      </c>
      <c r="E17" s="173" t="s">
        <v>9347</v>
      </c>
      <c r="F17" s="164" t="str">
        <f ca="1">INDIRECT("'"&amp;ListOfTerms&amp;"'!"&amp;ADDRESS(OperateInRow,ColQues,4))</f>
        <v>Wiederholter Export von de.GDM_: Begriff war NICHT als Subsitut markiert, wurde aber in der Substitutionsspalte gefunden. Es gibt keinen zu diesem Substitut korrespondierenden Begriff. Bitte ergänzen.Export von de.GDM_: Es gibt keinen zu diesem Substitut korrespondierenden Begriff. Bitte ergänzen. Is this a specific variation in DE?Export von de.GDM_: Es gibt keinen zu diesem Substitut korrespondierenden Begriff. Bitte ergänzen.Export von de.GDM_: Es gibt keinen zu diesem Substitut korrespondierenden Begriff. Bitte ergänzen.</v>
      </c>
      <c r="G17" s="169"/>
      <c r="H17" s="157" t="s">
        <v>9342</v>
      </c>
      <c r="I17" s="95"/>
      <c r="J17" s="45"/>
      <c r="K17" s="45"/>
      <c r="L17" s="45"/>
      <c r="M17" s="45"/>
      <c r="N17" s="45" t="b">
        <v>1</v>
      </c>
      <c r="O17" s="84" t="b">
        <v>0</v>
      </c>
      <c r="P17" s="94"/>
      <c r="Q17" s="45"/>
      <c r="R17" s="159" t="str">
        <f>R$60</f>
        <v>set flag</v>
      </c>
      <c r="S17" s="159">
        <f t="shared" si="2"/>
        <v>4230</v>
      </c>
      <c r="T17" s="45" t="s">
        <v>9338</v>
      </c>
      <c r="U17" s="143" t="str">
        <f>U15&amp;enBookCountMatch</f>
        <v>No export: Term found in substitute column; exported before from this book with differing count</v>
      </c>
      <c r="V17" s="144" t="str">
        <f>"repeated "&amp;V15</f>
        <v>repeated export of de.GDM_: The term had NOT been marked as a subsitute but was found in the substitute column.</v>
      </c>
      <c r="W17" s="143" t="str">
        <f>W15&amp;deBookCountMatch</f>
        <v>Nicht exportiert: Begriff in der Substitutsspalte gefunden; schon einmal aus diesem Buch mit unterschiedlicher Begriffszählung exportiert</v>
      </c>
      <c r="X17" s="143" t="str">
        <f>"Wiederholter "&amp;X15</f>
        <v>Wiederholter Export von de.GDM_: Begriff war NICHT als Subsitut markiert, wurde aber in der Substitutionsspalte gefunden.</v>
      </c>
    </row>
    <row r="18" spans="1:24" ht="13.6" thickTop="1" thickBot="1">
      <c r="A18" s="74" t="str">
        <v>SubTde</v>
      </c>
      <c r="B18" s="72" t="str">
        <v>de subst ebf</v>
      </c>
      <c r="C18" s="75">
        <f t="shared" si="0"/>
        <v>15</v>
      </c>
      <c r="D18" s="155" t="str">
        <f>SheetName(3)</f>
        <v>wrong spellings</v>
      </c>
      <c r="E18" s="173" t="s">
        <v>9348</v>
      </c>
      <c r="F18" s="164" t="str">
        <f ca="1">INDIRECT("'"&amp;ListOfTerms&amp;"'!"&amp;ADDRESS(OperateInRow,ColStat,4))</f>
        <v>check</v>
      </c>
      <c r="H18" s="157" t="s">
        <v>9254</v>
      </c>
      <c r="I18" s="95" t="b">
        <v>0</v>
      </c>
      <c r="J18" s="45" t="b">
        <v>1</v>
      </c>
      <c r="K18" s="45" t="b">
        <v>0</v>
      </c>
      <c r="L18" s="45" t="b">
        <v>0</v>
      </c>
      <c r="M18" s="45" t="b">
        <v>0</v>
      </c>
      <c r="N18" s="45" t="b">
        <v>0</v>
      </c>
      <c r="O18" s="84" t="b">
        <v>0</v>
      </c>
      <c r="P18" s="94"/>
      <c r="Q18" s="45"/>
      <c r="R18" s="159" t="str">
        <f t="shared" ref="R18:R29" si="3">R$60</f>
        <v>set flag</v>
      </c>
      <c r="S18" s="159">
        <f t="shared" si="2"/>
        <v>4230</v>
      </c>
      <c r="T18" s="45" t="s">
        <v>9209</v>
      </c>
      <c r="U18" s="143" t="str">
        <f>enFlagged&amp;"Term found in substitute column; no term is associated with this substitute"</f>
        <v>No export: Term found in substitute column; no term is associated with this substitute</v>
      </c>
      <c r="V18" s="144" t="str">
        <f>"export of "&amp;BookID&amp;": The term had NOT been marked as a subsitute but was found in the substitute column; no term is associated with this substitute."</f>
        <v>export of de.GDM_: The term had NOT been marked as a subsitute but was found in the substitute column; no term is associated with this substitute.</v>
      </c>
      <c r="W18" s="143" t="str">
        <f>deFlagged&amp;"Begriff in der Substitutsspalte gefunden; es gibt keinen korrespondierenden Begriff"</f>
        <v>Nicht exportiert: Begriff in der Substitutsspalte gefunden; es gibt keinen korrespondierenden Begriff</v>
      </c>
      <c r="X18" s="143" t="str">
        <f>"Export von "&amp;BookID&amp;": Begriff war NICHT als Subsitut markiert, wurde aber in der Substitutionsspalte gefunden. Es gibt keinen zu diesem Substitut korrespondierenden Begriff. Bitte ergänzen."</f>
        <v>Export von de.GDM_: Begriff war NICHT als Subsitut markiert, wurde aber in der Substitutionsspalte gefunden. Es gibt keinen zu diesem Substitut korrespondierenden Begriff. Bitte ergänzen.</v>
      </c>
    </row>
    <row r="19" spans="1:24" ht="13.6" thickTop="1" thickBot="1">
      <c r="A19" s="74" t="str">
        <v>SubLde</v>
      </c>
      <c r="B19" s="72" t="str">
        <v>de subst letters</v>
      </c>
      <c r="C19" s="75">
        <f t="shared" si="0"/>
        <v>16</v>
      </c>
      <c r="D19" s="60"/>
      <c r="E19" s="173" t="s">
        <v>9349</v>
      </c>
      <c r="F19" s="164">
        <f ca="1">INDIRECT("'"&amp;ListOfTerms&amp;"'!"&amp;ADDRESS(OperateInRow,ColLang,4))</f>
        <v>0</v>
      </c>
      <c r="H19" s="157" t="s">
        <v>9252</v>
      </c>
      <c r="I19" s="95"/>
      <c r="J19" s="45"/>
      <c r="K19" s="45"/>
      <c r="L19" s="45"/>
      <c r="M19" s="45"/>
      <c r="N19" s="45" t="b">
        <v>1</v>
      </c>
      <c r="O19" s="84" t="b">
        <v>1</v>
      </c>
      <c r="P19" s="94"/>
      <c r="Q19" s="45"/>
      <c r="R19" s="72" t="str">
        <f t="shared" si="3"/>
        <v>set flag</v>
      </c>
      <c r="S19" s="159">
        <f t="shared" si="2"/>
        <v>4230</v>
      </c>
      <c r="T19" s="45" t="s">
        <v>9210</v>
      </c>
      <c r="U19" s="143" t="str">
        <f>U18&amp;enBookIDmatch</f>
        <v>No export: Term found in substitute column; no term is associated with this substitute; exported before from this book</v>
      </c>
      <c r="V19" s="144" t="str">
        <f>"repeated "&amp;V18</f>
        <v>repeated export of de.GDM_: The term had NOT been marked as a subsitute but was found in the substitute column; no term is associated with this substitute.</v>
      </c>
      <c r="W19" s="143" t="str">
        <f>W18&amp;deBookIDmatch</f>
        <v>Nicht exportiert: Begriff in der Substitutsspalte gefunden; es gibt keinen korrespondierenden Begriff; schon einmal aus diesem Buch exportiert</v>
      </c>
      <c r="X19" s="143" t="str">
        <f>"Wiederholter "&amp;X18</f>
        <v>Wiederholter Export von de.GDM_: Begriff war NICHT als Subsitut markiert, wurde aber in der Substitutionsspalte gefunden. Es gibt keinen zu diesem Substitut korrespondierenden Begriff. Bitte ergänzen.</v>
      </c>
    </row>
    <row r="20" spans="1:24" ht="13.6" thickTop="1" thickBot="1">
      <c r="A20" s="74" t="str">
        <v>SubTpl</v>
      </c>
      <c r="B20" s="72" t="str">
        <v>pl subst ebf</v>
      </c>
      <c r="C20" s="75">
        <f t="shared" si="0"/>
        <v>17</v>
      </c>
      <c r="D20" s="60"/>
      <c r="E20" s="173" t="s">
        <v>9350</v>
      </c>
      <c r="F20" s="164" t="str">
        <f ca="1">INDIRECT("'"&amp;ListOfTerms&amp;"'!"&amp;ADDRESS(OperateInRow,ColSour,4))</f>
        <v>|de.GDM_2|</v>
      </c>
      <c r="H20" s="157" t="s">
        <v>9253</v>
      </c>
      <c r="I20" s="96"/>
      <c r="J20" s="82"/>
      <c r="K20" s="82"/>
      <c r="L20" s="82"/>
      <c r="M20" s="82"/>
      <c r="N20" s="82" t="b">
        <v>1</v>
      </c>
      <c r="O20" s="85" t="b">
        <v>0</v>
      </c>
      <c r="P20" s="106"/>
      <c r="Q20" s="82"/>
      <c r="R20" s="73" t="str">
        <f t="shared" si="3"/>
        <v>set flag</v>
      </c>
      <c r="S20" s="160">
        <f t="shared" si="2"/>
        <v>4230</v>
      </c>
      <c r="T20" s="82" t="s">
        <v>9211</v>
      </c>
      <c r="U20" s="145" t="str">
        <f>U18&amp;enBookCountMatch</f>
        <v>No export: Term found in substitute column; no term is associated with this substitute; exported before from this book with differing count</v>
      </c>
      <c r="V20" s="53" t="str">
        <f>"repeated "&amp;V18</f>
        <v>repeated export of de.GDM_: The term had NOT been marked as a subsitute but was found in the substitute column; no term is associated with this substitute.</v>
      </c>
      <c r="W20" s="145" t="str">
        <f>W18&amp;deBookCountMatch</f>
        <v>Nicht exportiert: Begriff in der Substitutsspalte gefunden; es gibt keinen korrespondierenden Begriff; schon einmal aus diesem Buch mit unterschiedlicher Begriffszählung exportiert</v>
      </c>
      <c r="X20" s="145" t="str">
        <f>"Wiederholter "&amp;X18</f>
        <v>Wiederholter Export von de.GDM_: Begriff war NICHT als Subsitut markiert, wurde aber in der Substitutionsspalte gefunden. Es gibt keinen zu diesem Substitut korrespondierenden Begriff. Bitte ergänzen.</v>
      </c>
    </row>
    <row r="21" spans="1:24" ht="13.6" thickTop="1" thickBot="1">
      <c r="A21" s="74" t="str">
        <v>SubLpl</v>
      </c>
      <c r="B21" s="72" t="str">
        <v>pl subst letters</v>
      </c>
      <c r="C21" s="75">
        <f t="shared" si="0"/>
        <v>18</v>
      </c>
      <c r="D21" s="60"/>
      <c r="E21" s="173" t="s">
        <v>9331</v>
      </c>
      <c r="F21" s="164" t="b">
        <f ca="1">StandardSaysSubst</f>
        <v>0</v>
      </c>
      <c r="H21" s="157" t="s">
        <v>9256</v>
      </c>
      <c r="I21" s="99" t="b">
        <v>1</v>
      </c>
      <c r="J21" s="81" t="b">
        <v>0</v>
      </c>
      <c r="K21" s="81" t="b">
        <v>1</v>
      </c>
      <c r="L21" s="81" t="b">
        <v>1</v>
      </c>
      <c r="M21" s="81" t="b">
        <v>0</v>
      </c>
      <c r="N21" s="81" t="b">
        <v>0</v>
      </c>
      <c r="O21" s="83" t="b">
        <v>0</v>
      </c>
      <c r="P21" s="105"/>
      <c r="Q21" s="81"/>
      <c r="R21" s="163" t="str">
        <f t="shared" si="3"/>
        <v>set flag</v>
      </c>
      <c r="S21" s="161">
        <f t="shared" ref="S21:S32" si="4">TransHit</f>
        <v>0</v>
      </c>
      <c r="T21" s="81" t="s">
        <v>9212</v>
      </c>
      <c r="U21" s="146" t="e">
        <f ca="1">enFlagged&amp;"Substitute found in term column; substitute column has the differing entry ›"&amp;Substitute&amp;"‹"</f>
        <v>#VALUE!</v>
      </c>
      <c r="V21" s="147" t="str">
        <f>"export of "&amp;BookID&amp;": The term had been marked as a substitute but was found in term column. A differing substitute already exists."</f>
        <v>export of de.GDM_: The term had been marked as a substitute but was found in term column. A differing substitute already exists.</v>
      </c>
      <c r="W21" s="143" t="e">
        <f ca="1">deFlagged&amp;"Substitut in Begriffsspalte gefunden; Substitutsspalte hat den verschiedenen Eintrag ›"&amp;Substitute&amp;"‹"</f>
        <v>#VALUE!</v>
      </c>
      <c r="X21" s="143" t="e">
        <f ca="1">"Export von "&amp;BookID&amp;": Als Substitut markierter Begriff wurde in der Begriffsspalte gefunden. Für diesen Begriff existiert in "&amp;UPPER(TextLanguage)&amp;" schon das verschiedene Substitut ›"&amp;Substitute&amp;"."</f>
        <v>#VALUE!</v>
      </c>
    </row>
    <row r="22" spans="1:24" ht="13.6" thickTop="1" thickBot="1">
      <c r="A22" s="74" t="str">
        <v>DatE</v>
      </c>
      <c r="B22" s="72" t="str">
        <v>entry date</v>
      </c>
      <c r="C22" s="75">
        <f t="shared" si="0"/>
        <v>19</v>
      </c>
      <c r="D22" s="60"/>
      <c r="E22" s="173" t="s">
        <v>9326</v>
      </c>
      <c r="F22" s="164" t="b">
        <f ca="1">NOT(ISERROR(SFinden("NAME",INDIRECT("'"&amp;ListOfTerms&amp;"'!"&amp;ADDRESS(OperateInRow,ColLang,4)))))</f>
        <v>0</v>
      </c>
      <c r="H22" s="157" t="s">
        <v>9257</v>
      </c>
      <c r="I22" s="95"/>
      <c r="J22" s="45"/>
      <c r="K22" s="45"/>
      <c r="L22" s="45"/>
      <c r="M22" s="45"/>
      <c r="N22" s="45" t="b">
        <v>1</v>
      </c>
      <c r="O22" s="84" t="b">
        <v>1</v>
      </c>
      <c r="P22" s="94"/>
      <c r="Q22" s="45"/>
      <c r="R22" s="72" t="str">
        <f t="shared" si="3"/>
        <v>set flag</v>
      </c>
      <c r="S22" s="159">
        <f t="shared" si="4"/>
        <v>0</v>
      </c>
      <c r="T22" s="45" t="s">
        <v>9213</v>
      </c>
      <c r="U22" s="143" t="e">
        <f ca="1">U21&amp;enBookIDmatch</f>
        <v>#VALUE!</v>
      </c>
      <c r="V22" s="148" t="str">
        <f>"repeated "&amp;V21</f>
        <v>repeated export of de.GDM_: The term had been marked as a substitute but was found in term column. A differing substitute already exists.</v>
      </c>
      <c r="W22" s="143" t="e">
        <f ca="1">W21&amp;deBookIDmatch</f>
        <v>#VALUE!</v>
      </c>
      <c r="X22" s="143" t="e">
        <f ca="1">"Wiederholter "&amp;X21</f>
        <v>#VALUE!</v>
      </c>
    </row>
    <row r="23" spans="1:24" ht="13.6" thickTop="1" thickBot="1">
      <c r="A23" s="74" t="str">
        <v>DatM</v>
      </c>
      <c r="B23" s="72" t="str">
        <v>modification date</v>
      </c>
      <c r="C23" s="75">
        <f t="shared" si="0"/>
        <v>20</v>
      </c>
      <c r="D23" s="60"/>
      <c r="E23" s="173" t="str">
        <f>"term is language specific for "&amp;UPPER(TextLanguage)</f>
        <v>term is language specific for DE</v>
      </c>
      <c r="F23" s="164" t="b">
        <f ca="1">NOT(ISERROR(SEARCH(TextLanguage,INDIRECT("'"&amp;ListOfTerms&amp;"'!"&amp;ADDRESS(OperateInRow,ColLang,4)))))</f>
        <v>0</v>
      </c>
      <c r="H23" s="157" t="s">
        <v>9258</v>
      </c>
      <c r="I23" s="95"/>
      <c r="J23" s="45"/>
      <c r="K23" s="45"/>
      <c r="L23" s="45"/>
      <c r="M23" s="45"/>
      <c r="N23" s="45" t="b">
        <v>1</v>
      </c>
      <c r="O23" s="84" t="b">
        <v>0</v>
      </c>
      <c r="P23" s="94"/>
      <c r="Q23" s="45"/>
      <c r="R23" s="72" t="str">
        <f t="shared" si="3"/>
        <v>set flag</v>
      </c>
      <c r="S23" s="159">
        <f t="shared" si="4"/>
        <v>0</v>
      </c>
      <c r="T23" s="45" t="s">
        <v>9214</v>
      </c>
      <c r="U23" s="143" t="e">
        <f ca="1">U21&amp;enBookCountMatch</f>
        <v>#VALUE!</v>
      </c>
      <c r="V23" s="148" t="str">
        <f>"repeated "&amp;V21</f>
        <v>repeated export of de.GDM_: The term had been marked as a substitute but was found in term column. A differing substitute already exists.</v>
      </c>
      <c r="W23" s="143" t="e">
        <f ca="1">W21&amp;deBookCountMatch</f>
        <v>#VALUE!</v>
      </c>
      <c r="X23" s="143" t="e">
        <f ca="1">"Wiederholter "&amp;X21</f>
        <v>#VALUE!</v>
      </c>
    </row>
    <row r="24" spans="1:24" ht="13.6" thickTop="1" thickBot="1">
      <c r="A24" s="74" t="str">
        <v>Sour</v>
      </c>
      <c r="B24" s="72" t="str">
        <v>sources</v>
      </c>
      <c r="C24" s="75">
        <f t="shared" si="0"/>
        <v>21</v>
      </c>
      <c r="D24" s="60"/>
      <c r="E24" s="173" t="s">
        <v>9352</v>
      </c>
      <c r="F24" s="104" t="e">
        <f ca="1">INDIRECT("'"&amp;ListOfTerms&amp;"'!"&amp;ADDRESS(TransHit,ColTran,4))</f>
        <v>#VALUE!</v>
      </c>
      <c r="G24" s="174"/>
      <c r="H24" s="157" t="s">
        <v>9259</v>
      </c>
      <c r="I24" s="95" t="b">
        <v>1</v>
      </c>
      <c r="J24" s="45" t="b">
        <v>0</v>
      </c>
      <c r="K24" s="45" t="b">
        <v>1</v>
      </c>
      <c r="L24" s="45" t="b">
        <v>0</v>
      </c>
      <c r="M24" s="45" t="b">
        <v>0</v>
      </c>
      <c r="N24" s="45" t="b">
        <v>0</v>
      </c>
      <c r="O24" s="84" t="b">
        <v>0</v>
      </c>
      <c r="P24" s="94"/>
      <c r="Q24" s="45"/>
      <c r="R24" s="159" t="str">
        <f t="shared" si="3"/>
        <v>set flag</v>
      </c>
      <c r="S24" s="159">
        <f t="shared" si="4"/>
        <v>0</v>
      </c>
      <c r="T24" s="45" t="s">
        <v>9215</v>
      </c>
      <c r="U24" s="143" t="str">
        <f>enFlagged&amp;"Substitute found in term column"</f>
        <v>No export: Substitute found in term column</v>
      </c>
      <c r="V24" s="144" t="str">
        <f>"export of "&amp;BookID&amp;": The term had been marked as a subsitute but was found in the term column."</f>
        <v>export of de.GDM_: The term had been marked as a subsitute but was found in the term column.</v>
      </c>
      <c r="W24" s="143" t="str">
        <f>deFlagged&amp;"Substitut in Begriffsspalte gefunden"</f>
        <v>Nicht exportiert: Substitut in Begriffsspalte gefunden</v>
      </c>
      <c r="X24" s="143" t="str">
        <f>"Export von "&amp;BookID&amp;": Als Substitut markierter Begriff wurde in der Begriffsspalte gefunden."</f>
        <v>Export von de.GDM_: Als Substitut markierter Begriff wurde in der Begriffsspalte gefunden.</v>
      </c>
    </row>
    <row r="25" spans="1:24" ht="13.6" thickTop="1" thickBot="1">
      <c r="A25" s="74">
        <v>0</v>
      </c>
      <c r="B25" s="72">
        <v>0</v>
      </c>
      <c r="C25" s="75">
        <f t="shared" si="0"/>
        <v>22</v>
      </c>
      <c r="D25" s="60"/>
      <c r="E25" s="173" t="s">
        <v>9351</v>
      </c>
      <c r="F25" s="104" t="e">
        <f ca="1">INDIRECT("'"&amp;ListOfTerms&amp;"'!"&amp;ADDRESS(TransHit,ColSubT,4))</f>
        <v>#VALUE!</v>
      </c>
      <c r="G25" s="174"/>
      <c r="H25" s="157" t="s">
        <v>9260</v>
      </c>
      <c r="I25" s="95"/>
      <c r="J25" s="45"/>
      <c r="K25" s="45"/>
      <c r="L25" s="45"/>
      <c r="M25" s="45"/>
      <c r="N25" s="45" t="b">
        <v>1</v>
      </c>
      <c r="O25" s="84" t="b">
        <v>1</v>
      </c>
      <c r="P25" s="94"/>
      <c r="Q25" s="45"/>
      <c r="R25" s="72" t="str">
        <f t="shared" si="3"/>
        <v>set flag</v>
      </c>
      <c r="S25" s="159">
        <f t="shared" si="4"/>
        <v>0</v>
      </c>
      <c r="T25" s="45" t="s">
        <v>9216</v>
      </c>
      <c r="U25" s="143" t="str">
        <f>U24&amp;enBookIDmatch</f>
        <v>No export: Substitute found in term column; exported before from this book</v>
      </c>
      <c r="V25" s="144" t="str">
        <f>"repeated "&amp;V24</f>
        <v>repeated export of de.GDM_: The term had been marked as a subsitute but was found in the term column.</v>
      </c>
      <c r="W25" s="143" t="str">
        <f>W24&amp;deBookIDmatch</f>
        <v>Nicht exportiert: Substitut in Begriffsspalte gefunden; schon einmal aus diesem Buch exportiert</v>
      </c>
      <c r="X25" s="143" t="str">
        <f>"Wiederholter "&amp;X24</f>
        <v>Wiederholter Export von de.GDM_: Als Substitut markierter Begriff wurde in der Begriffsspalte gefunden.</v>
      </c>
    </row>
    <row r="26" spans="1:24" ht="13.6" thickTop="1" thickBot="1">
      <c r="A26" s="74">
        <v>0</v>
      </c>
      <c r="B26" s="72">
        <v>0</v>
      </c>
      <c r="C26" s="75">
        <f t="shared" si="0"/>
        <v>23</v>
      </c>
      <c r="D26" s="60"/>
      <c r="E26" s="173" t="s">
        <v>9353</v>
      </c>
      <c r="F26" s="164">
        <f ca="1">INDIRECT("'"&amp;ListOfTerms&amp;"'!"&amp;ADDRESS(OperateInRow,ColTran,4))</f>
        <v>0</v>
      </c>
      <c r="G26" s="169"/>
      <c r="H26" s="157" t="s">
        <v>9261</v>
      </c>
      <c r="I26" s="95"/>
      <c r="J26" s="45"/>
      <c r="K26" s="45"/>
      <c r="L26" s="45"/>
      <c r="M26" s="45"/>
      <c r="N26" s="45" t="b">
        <v>1</v>
      </c>
      <c r="O26" s="84" t="b">
        <v>0</v>
      </c>
      <c r="P26" s="94"/>
      <c r="Q26" s="45"/>
      <c r="R26" s="72" t="str">
        <f t="shared" si="3"/>
        <v>set flag</v>
      </c>
      <c r="S26" s="159">
        <f t="shared" si="4"/>
        <v>0</v>
      </c>
      <c r="T26" s="45" t="s">
        <v>9217</v>
      </c>
      <c r="U26" s="143" t="str">
        <f>U24&amp;enBookCountMatch</f>
        <v>No export: Substitute found in term column; exported before from this book with differing count</v>
      </c>
      <c r="V26" s="144" t="str">
        <f>"repeated "&amp;V24</f>
        <v>repeated export of de.GDM_: The term had been marked as a subsitute but was found in the term column.</v>
      </c>
      <c r="W26" s="143" t="str">
        <f>W24&amp;deBookCountMatch</f>
        <v>Nicht exportiert: Substitut in Begriffsspalte gefunden; schon einmal aus diesem Buch mit unterschiedlicher Begriffszählung exportiert</v>
      </c>
      <c r="X26" s="143" t="str">
        <f>"Wiederholter "&amp;X24</f>
        <v>Wiederholter Export von de.GDM_: Als Substitut markierter Begriff wurde in der Begriffsspalte gefunden.</v>
      </c>
    </row>
    <row r="27" spans="1:24" ht="13.6" thickTop="1" thickBot="1">
      <c r="A27" s="74">
        <v>0</v>
      </c>
      <c r="B27" s="72">
        <v>0</v>
      </c>
      <c r="C27" s="75">
        <f t="shared" si="0"/>
        <v>24</v>
      </c>
      <c r="D27" s="60"/>
      <c r="E27" s="173" t="s">
        <v>9354</v>
      </c>
      <c r="F27" s="164" t="str">
        <f ca="1">INDIRECT("'"&amp;ListOfTerms&amp;"'!"&amp;ADDRESS(OperateInRow,ColSubT,4))</f>
        <v>schiitischen Islám</v>
      </c>
      <c r="G27" s="169"/>
      <c r="H27" s="157" t="s">
        <v>9262</v>
      </c>
      <c r="I27" s="95" t="b">
        <v>1</v>
      </c>
      <c r="J27" s="45" t="b">
        <v>0</v>
      </c>
      <c r="K27" s="45" t="b">
        <v>0</v>
      </c>
      <c r="L27" s="45" t="b">
        <v>1</v>
      </c>
      <c r="M27" s="45" t="b">
        <v>0</v>
      </c>
      <c r="N27" s="45" t="b">
        <v>0</v>
      </c>
      <c r="O27" s="84" t="b">
        <v>0</v>
      </c>
      <c r="P27" s="94"/>
      <c r="Q27" s="45"/>
      <c r="R27" s="72" t="str">
        <f t="shared" si="3"/>
        <v>set flag</v>
      </c>
      <c r="S27" s="159">
        <f t="shared" si="4"/>
        <v>0</v>
      </c>
      <c r="T27" s="45" t="s">
        <v>9218</v>
      </c>
      <c r="U27" s="143" t="e">
        <f ca="1">enFlagged&amp;"Term found, but the substitute ›"&amp;Substitute &amp;"‹ should be used"</f>
        <v>#VALUE!</v>
      </c>
      <c r="V27" s="144" t="e">
        <f ca="1">"export of "&amp;BookID&amp;": In "&amp;UPPER(TextLanguage)&amp;" the subsitute ›"&amp;Substitute&amp;"‹ should be used instead of the term."</f>
        <v>#VALUE!</v>
      </c>
      <c r="W27" s="143" t="e">
        <f ca="1">deFlagged&amp;"Begriff gefunden, hier soll aber das Substitut ›"&amp;Substitute &amp;"‹ verwendet werden"</f>
        <v>#VALUE!</v>
      </c>
      <c r="X27" s="143" t="e">
        <f ca="1">"Export von "&amp;BookID&amp;": In "&amp;UPPER(TextLanguage)&amp;" sollte das Subsitut ›"&amp;Substitute&amp;"‹ anstelle des Begriffes verwendet werden."</f>
        <v>#VALUE!</v>
      </c>
    </row>
    <row r="28" spans="1:24" ht="13.2" thickTop="1">
      <c r="A28" s="74">
        <v>0</v>
      </c>
      <c r="B28" s="72">
        <v>0</v>
      </c>
      <c r="C28" s="75">
        <f t="shared" si="0"/>
        <v>25</v>
      </c>
      <c r="D28" s="60"/>
      <c r="E28" s="172"/>
      <c r="H28" s="157" t="s">
        <v>9263</v>
      </c>
      <c r="I28" s="95"/>
      <c r="J28" s="45"/>
      <c r="K28" s="45"/>
      <c r="L28" s="45"/>
      <c r="M28" s="45"/>
      <c r="N28" s="45" t="b">
        <v>1</v>
      </c>
      <c r="O28" s="84" t="b">
        <v>1</v>
      </c>
      <c r="P28" s="94"/>
      <c r="Q28" s="45"/>
      <c r="R28" s="72" t="str">
        <f t="shared" si="3"/>
        <v>set flag</v>
      </c>
      <c r="S28" s="159">
        <f t="shared" si="4"/>
        <v>0</v>
      </c>
      <c r="T28" s="45" t="s">
        <v>9219</v>
      </c>
      <c r="U28" s="143" t="e">
        <f ca="1">U27&amp;enBookIDmatch</f>
        <v>#VALUE!</v>
      </c>
      <c r="V28" s="144" t="e">
        <f ca="1">"repeated "&amp;V27</f>
        <v>#VALUE!</v>
      </c>
      <c r="W28" s="143" t="e">
        <f ca="1">W27&amp;deBookIDmatch</f>
        <v>#VALUE!</v>
      </c>
      <c r="X28" s="143" t="e">
        <f ca="1">"Wiederholter "&amp;X27</f>
        <v>#VALUE!</v>
      </c>
    </row>
    <row r="29" spans="1:24" ht="13.2" thickBot="1">
      <c r="A29" s="74">
        <v>0</v>
      </c>
      <c r="B29" s="72">
        <v>0</v>
      </c>
      <c r="C29" s="75">
        <f t="shared" si="0"/>
        <v>26</v>
      </c>
      <c r="D29" s="60"/>
      <c r="E29" s="172"/>
      <c r="H29" s="157" t="s">
        <v>9264</v>
      </c>
      <c r="I29" s="95"/>
      <c r="J29" s="45"/>
      <c r="K29" s="45"/>
      <c r="L29" s="45"/>
      <c r="M29" s="45"/>
      <c r="N29" s="45" t="b">
        <v>1</v>
      </c>
      <c r="O29" s="84" t="b">
        <v>0</v>
      </c>
      <c r="P29" s="94"/>
      <c r="Q29" s="45"/>
      <c r="R29" s="72" t="str">
        <f t="shared" si="3"/>
        <v>set flag</v>
      </c>
      <c r="S29" s="159">
        <f t="shared" si="4"/>
        <v>0</v>
      </c>
      <c r="T29" s="45" t="s">
        <v>9220</v>
      </c>
      <c r="U29" s="143" t="e">
        <f ca="1">U27&amp;enBookCountMatch</f>
        <v>#VALUE!</v>
      </c>
      <c r="V29" s="144" t="e">
        <f ca="1">"repeated "&amp;V27</f>
        <v>#VALUE!</v>
      </c>
      <c r="W29" s="143" t="e">
        <f ca="1">W27&amp;deBookCountMatch</f>
        <v>#VALUE!</v>
      </c>
      <c r="X29" s="143" t="e">
        <f ca="1">"Wiederholter "&amp;X27</f>
        <v>#VALUE!</v>
      </c>
    </row>
    <row r="30" spans="1:24" ht="13.6" thickTop="1" thickBot="1">
      <c r="A30" s="74">
        <v>0</v>
      </c>
      <c r="B30" s="72">
        <v>0</v>
      </c>
      <c r="C30" s="75">
        <f t="shared" si="0"/>
        <v>27</v>
      </c>
      <c r="D30" s="60"/>
      <c r="E30" s="175" t="s">
        <v>9358</v>
      </c>
      <c r="F30" s="104" t="b">
        <f ca="1">IF(TransHit&lt;&gt;"",IF(INDIRECT("'"&amp;ListOfTerms&amp;"'!"&amp;ADDRESS(TransHit,ColSubT,4))="",FALSE,TRUE))</f>
        <v>0</v>
      </c>
      <c r="H30" s="157" t="s">
        <v>9265</v>
      </c>
      <c r="I30" s="127" t="b">
        <v>1</v>
      </c>
      <c r="J30" s="128" t="b">
        <v>0</v>
      </c>
      <c r="K30" s="128" t="b">
        <v>0</v>
      </c>
      <c r="L30" s="128" t="b">
        <v>0</v>
      </c>
      <c r="M30" s="128" t="b">
        <v>0</v>
      </c>
      <c r="N30" s="128" t="b">
        <v>0</v>
      </c>
      <c r="O30" s="129" t="b">
        <v>0</v>
      </c>
      <c r="P30" s="126"/>
      <c r="Q30" s="128"/>
      <c r="R30" s="159" t="str">
        <f>R$59</f>
        <v>add source</v>
      </c>
      <c r="S30" s="159">
        <f t="shared" si="4"/>
        <v>0</v>
      </c>
      <c r="T30" s="128" t="s">
        <v>9221</v>
      </c>
      <c r="U30" s="137" t="s">
        <v>9246</v>
      </c>
      <c r="V30" s="138"/>
      <c r="W30" s="137" t="s">
        <v>9317</v>
      </c>
      <c r="X30" s="137"/>
    </row>
    <row r="31" spans="1:24" ht="13.6" thickTop="1" thickBot="1">
      <c r="A31" s="74">
        <v>0</v>
      </c>
      <c r="B31" s="72">
        <v>0</v>
      </c>
      <c r="C31" s="75">
        <f t="shared" si="0"/>
        <v>28</v>
      </c>
      <c r="D31" s="60"/>
      <c r="E31" s="171" t="s">
        <v>9359</v>
      </c>
      <c r="F31" s="104" t="b">
        <f ca="1">IF(INDIRECT("'"&amp;ListOfTerms&amp;"'!"&amp;ADDRESS(SubstHit,ColTran,4))="",FALSE,TRUE)</f>
        <v>0</v>
      </c>
      <c r="H31" s="157" t="s">
        <v>9266</v>
      </c>
      <c r="I31" s="127"/>
      <c r="J31" s="128"/>
      <c r="K31" s="128"/>
      <c r="L31" s="128"/>
      <c r="M31" s="128"/>
      <c r="N31" s="128" t="b">
        <v>1</v>
      </c>
      <c r="O31" s="129" t="b">
        <v>1</v>
      </c>
      <c r="P31" s="126"/>
      <c r="Q31" s="128"/>
      <c r="R31" s="159" t="str">
        <f>R$59</f>
        <v>add source</v>
      </c>
      <c r="S31" s="159">
        <f t="shared" si="4"/>
        <v>0</v>
      </c>
      <c r="T31" s="128" t="s">
        <v>9222</v>
      </c>
      <c r="U31" s="137" t="s">
        <v>9247</v>
      </c>
      <c r="V31" s="138"/>
      <c r="W31" s="137" t="s">
        <v>9318</v>
      </c>
      <c r="X31" s="137"/>
    </row>
    <row r="32" spans="1:24" ht="13.2" thickTop="1">
      <c r="A32" s="74">
        <v>0</v>
      </c>
      <c r="B32" s="72">
        <v>0</v>
      </c>
      <c r="C32" s="75">
        <f t="shared" si="0"/>
        <v>29</v>
      </c>
      <c r="D32" s="60"/>
      <c r="E32" s="172"/>
      <c r="F32" t="str">
        <f ca="1">T2</f>
        <v>6b</v>
      </c>
      <c r="G32" s="176" t="s">
        <v>9360</v>
      </c>
      <c r="H32" s="157" t="s">
        <v>9267</v>
      </c>
      <c r="I32" s="127"/>
      <c r="J32" s="128"/>
      <c r="K32" s="128"/>
      <c r="L32" s="128"/>
      <c r="M32" s="128"/>
      <c r="N32" s="131" t="b">
        <v>1</v>
      </c>
      <c r="O32" s="132" t="b">
        <v>0</v>
      </c>
      <c r="P32" s="133"/>
      <c r="Q32" s="131"/>
      <c r="R32" s="73" t="str">
        <f>R$59</f>
        <v>add source</v>
      </c>
      <c r="S32" s="160">
        <f t="shared" si="4"/>
        <v>0</v>
      </c>
      <c r="T32" s="131" t="s">
        <v>9223</v>
      </c>
      <c r="U32" s="149" t="s">
        <v>9362</v>
      </c>
      <c r="V32" s="150"/>
      <c r="W32" s="149" t="s">
        <v>9361</v>
      </c>
      <c r="X32" s="149"/>
    </row>
    <row r="33" spans="1:24">
      <c r="A33" s="76">
        <v>0</v>
      </c>
      <c r="B33" s="73">
        <v>0</v>
      </c>
      <c r="C33" s="77">
        <f t="shared" si="0"/>
        <v>30</v>
      </c>
      <c r="D33" s="61"/>
      <c r="E33" s="172" t="e">
        <f ca="1">Term</f>
        <v>#VALUE!</v>
      </c>
      <c r="F33" t="b">
        <f ca="1">F30</f>
        <v>0</v>
      </c>
      <c r="G33" t="e">
        <f ca="1">Substitute</f>
        <v>#VALUE!</v>
      </c>
      <c r="H33" s="157" t="s">
        <v>9268</v>
      </c>
      <c r="I33" s="99" t="b">
        <v>1</v>
      </c>
      <c r="J33" s="81" t="b">
        <v>1</v>
      </c>
      <c r="K33" s="81" t="b">
        <v>1</v>
      </c>
      <c r="L33" s="81" t="b">
        <v>1</v>
      </c>
      <c r="M33" s="81" t="b">
        <v>1</v>
      </c>
      <c r="N33" s="81" t="b">
        <v>0</v>
      </c>
      <c r="O33" s="83" t="b">
        <v>0</v>
      </c>
      <c r="P33" s="105"/>
      <c r="Q33" s="81"/>
      <c r="R33" s="72" t="str">
        <f>R$60</f>
        <v>set flag</v>
      </c>
      <c r="S33" s="161">
        <f>SubstHit</f>
        <v>4230</v>
      </c>
      <c r="T33" s="81" t="s">
        <v>9224</v>
      </c>
      <c r="U33" s="146" t="str">
        <f>enFlagged&amp;"Substitute additionally found in term column, same row"</f>
        <v>No export: Substitute additionally found in term column, same row</v>
      </c>
      <c r="V33" s="144" t="str">
        <f>"export of "&amp;BookID&amp;": The term had been marked as a subsitute but was additionally found in the term column (same row)."</f>
        <v>export of de.GDM_: The term had been marked as a subsitute but was additionally found in the term column (same row).</v>
      </c>
      <c r="W33" s="146" t="str">
        <f>deFlagged&amp;"Substitut zusätzlich in Begriffsspalte gefunden, (selbe Zeile)"</f>
        <v>Nicht exportiert: Substitut zusätzlich in Begriffsspalte gefunden, (selbe Zeile)</v>
      </c>
      <c r="X33" s="146" t="str">
        <f>"Export von "&amp;BookID&amp;": Als Substitut markierter Begriff, wurde zusätzlich in der Begriffsspalte gefunden (selbe Zeile)."</f>
        <v>Export von de.GDM_: Als Substitut markierter Begriff, wurde zusätzlich in der Begriffsspalte gefunden (selbe Zeile).</v>
      </c>
    </row>
    <row r="34" spans="1:24">
      <c r="E34" s="172">
        <f ca="1">INDIRECT("'"&amp;ListOfTerms&amp;"'!"&amp;ADDRESS(SubstHit,ColTran,4))</f>
        <v>0</v>
      </c>
      <c r="F34" t="b">
        <f ca="1">F31</f>
        <v>0</v>
      </c>
      <c r="G34" t="str">
        <f ca="1">INDIRECT("'"&amp;ListOfTerms&amp;"'!"&amp;ADDRESS(SubstHit,ColSubT,4))</f>
        <v>schiitischen Islám</v>
      </c>
      <c r="H34" s="157" t="s">
        <v>9269</v>
      </c>
      <c r="I34" s="95"/>
      <c r="J34" s="45"/>
      <c r="K34" s="45"/>
      <c r="L34" s="45"/>
      <c r="M34" s="45"/>
      <c r="N34" s="45" t="b">
        <v>1</v>
      </c>
      <c r="O34" s="84" t="b">
        <v>1</v>
      </c>
      <c r="P34" s="94"/>
      <c r="Q34" s="45"/>
      <c r="R34" s="72" t="str">
        <f>R$60</f>
        <v>set flag</v>
      </c>
      <c r="S34" s="159">
        <f>SubstHit</f>
        <v>4230</v>
      </c>
      <c r="T34" s="45" t="s">
        <v>9225</v>
      </c>
      <c r="U34" s="143" t="str">
        <f>U33&amp;enBookIDmatch</f>
        <v>No export: Substitute additionally found in term column, same row; exported before from this book</v>
      </c>
      <c r="V34" s="144" t="str">
        <f>"repeated "&amp;V33</f>
        <v>repeated export of de.GDM_: The term had been marked as a subsitute but was additionally found in the term column (same row).</v>
      </c>
      <c r="W34" s="143" t="str">
        <f>W33&amp;deBookIDmatch</f>
        <v>Nicht exportiert: Substitut zusätzlich in Begriffsspalte gefunden, (selbe Zeile); schon einmal aus diesem Buch exportiert</v>
      </c>
      <c r="X34" s="143" t="str">
        <f>"Wiederholter "&amp;X33</f>
        <v>Wiederholter Export von de.GDM_: Als Substitut markierter Begriff, wurde zusätzlich in der Begriffsspalte gefunden (selbe Zeile).</v>
      </c>
    </row>
    <row r="35" spans="1:24">
      <c r="H35" s="157" t="s">
        <v>9270</v>
      </c>
      <c r="I35" s="95"/>
      <c r="J35" s="45"/>
      <c r="K35" s="45"/>
      <c r="L35" s="45"/>
      <c r="M35" s="45"/>
      <c r="N35" s="45" t="b">
        <v>1</v>
      </c>
      <c r="O35" s="84" t="b">
        <v>0</v>
      </c>
      <c r="P35" s="94"/>
      <c r="Q35" s="45"/>
      <c r="R35" s="72" t="str">
        <f>R$60</f>
        <v>set flag</v>
      </c>
      <c r="S35" s="159">
        <f>SubstHit</f>
        <v>4230</v>
      </c>
      <c r="T35" s="45" t="s">
        <v>9226</v>
      </c>
      <c r="U35" s="151" t="str">
        <f>U33&amp;enBookCountMatch</f>
        <v>No export: Substitute additionally found in term column, same row; exported before from this book with differing count</v>
      </c>
      <c r="V35" s="144" t="str">
        <f>"repeated "&amp;V33</f>
        <v>repeated export of de.GDM_: The term had been marked as a subsitute but was additionally found in the term column (same row).</v>
      </c>
      <c r="W35" s="143" t="str">
        <f>W33&amp;deBookCountMatch</f>
        <v>Nicht exportiert: Substitut zusätzlich in Begriffsspalte gefunden, (selbe Zeile); schon einmal aus diesem Buch mit unterschiedlicher Begriffszählung exportiert</v>
      </c>
      <c r="X35" s="143" t="str">
        <f>"Wiederholter "&amp;X33</f>
        <v>Wiederholter Export von de.GDM_: Als Substitut markierter Begriff, wurde zusätzlich in der Begriffsspalte gefunden (selbe Zeile).</v>
      </c>
    </row>
    <row r="36" spans="1:24" ht="13.6" thickBot="1">
      <c r="A36" s="62" t="s">
        <v>9168</v>
      </c>
      <c r="B36" s="63" t="s">
        <v>9137</v>
      </c>
      <c r="C36" s="63" t="s">
        <v>9136</v>
      </c>
      <c r="D36" s="63" t="s">
        <v>9152</v>
      </c>
      <c r="E36" s="64" t="s">
        <v>9153</v>
      </c>
      <c r="H36" s="157" t="s">
        <v>9292</v>
      </c>
      <c r="I36" s="41" t="b">
        <v>1</v>
      </c>
      <c r="J36" s="43" t="b">
        <v>1</v>
      </c>
      <c r="K36" s="43" t="b">
        <v>1</v>
      </c>
      <c r="L36" s="102" t="b">
        <v>0</v>
      </c>
      <c r="M36" s="43" t="b">
        <v>1</v>
      </c>
      <c r="N36" s="43" t="b">
        <v>0</v>
      </c>
      <c r="O36" s="89" t="b">
        <v>0</v>
      </c>
      <c r="P36" s="92"/>
      <c r="Q36" s="43"/>
      <c r="R36" s="43"/>
      <c r="S36" s="43"/>
      <c r="T36" s="43" t="s">
        <v>9295</v>
      </c>
      <c r="U36" s="139" t="str">
        <f>enFlagged&amp;"error not defined"</f>
        <v>No export: error not defined</v>
      </c>
      <c r="V36" s="142"/>
      <c r="W36" s="152" t="str">
        <f>deFlagged&amp;"undefinierter Fehler"</f>
        <v>Nicht exportiert: undefinierter Fehler</v>
      </c>
      <c r="X36" s="152"/>
    </row>
    <row r="37" spans="1:24" ht="13.6" thickTop="1" thickBot="1">
      <c r="A37" s="58" t="s">
        <v>9138</v>
      </c>
      <c r="B37" s="72" t="str">
        <f t="shared" ref="B37:C39" si="5">VLOOKUP(A37,A$4:C$33,2,FALSE)</f>
        <v>ebf</v>
      </c>
      <c r="C37" s="103">
        <f t="shared" si="5"/>
        <v>2</v>
      </c>
      <c r="D37" s="65" t="s">
        <v>9148</v>
      </c>
      <c r="E37" s="66" t="s">
        <v>9161</v>
      </c>
      <c r="H37" s="157" t="s">
        <v>9293</v>
      </c>
      <c r="I37" s="41"/>
      <c r="J37" s="43"/>
      <c r="K37" s="43"/>
      <c r="L37" s="102"/>
      <c r="M37" s="43"/>
      <c r="N37" s="43" t="b">
        <v>1</v>
      </c>
      <c r="O37" s="89" t="b">
        <v>1</v>
      </c>
      <c r="P37" s="92"/>
      <c r="Q37" s="43"/>
      <c r="R37" s="43"/>
      <c r="S37" s="43"/>
      <c r="T37" s="43" t="s">
        <v>9296</v>
      </c>
      <c r="U37" s="139" t="str">
        <f>enFlagged&amp;"error not defined"</f>
        <v>No export: error not defined</v>
      </c>
      <c r="V37" s="142"/>
      <c r="W37" s="152" t="str">
        <f>deFlagged&amp;"undefinierter Fehler"</f>
        <v>Nicht exportiert: undefinierter Fehler</v>
      </c>
      <c r="X37" s="152"/>
    </row>
    <row r="38" spans="1:24" ht="13.2" thickTop="1">
      <c r="A38" s="58" t="s">
        <v>9139</v>
      </c>
      <c r="B38" s="72" t="str">
        <f t="shared" si="5"/>
        <v>pattern</v>
      </c>
      <c r="C38" s="72">
        <f t="shared" si="5"/>
        <v>11</v>
      </c>
      <c r="D38" s="67" t="s">
        <v>9176</v>
      </c>
      <c r="E38" s="66" t="s">
        <v>9154</v>
      </c>
      <c r="H38" s="157" t="s">
        <v>9294</v>
      </c>
      <c r="I38" s="41"/>
      <c r="J38" s="43"/>
      <c r="K38" s="43"/>
      <c r="L38" s="102"/>
      <c r="M38" s="43"/>
      <c r="N38" s="43" t="b">
        <v>1</v>
      </c>
      <c r="O38" s="89" t="b">
        <v>0</v>
      </c>
      <c r="P38" s="92"/>
      <c r="Q38" s="43"/>
      <c r="R38" s="43"/>
      <c r="S38" s="43"/>
      <c r="T38" s="43" t="s">
        <v>9297</v>
      </c>
      <c r="U38" s="139" t="str">
        <f>enFlagged&amp;"error not defined"</f>
        <v>No export: error not defined</v>
      </c>
      <c r="V38" s="142"/>
      <c r="W38" s="152" t="str">
        <f>deFlagged&amp;"undefinierter Fehler"</f>
        <v>Nicht exportiert: undefinierter Fehler</v>
      </c>
      <c r="X38" s="152"/>
    </row>
    <row r="39" spans="1:24">
      <c r="A39" s="58" t="s">
        <v>9173</v>
      </c>
      <c r="B39" s="72" t="str">
        <f t="shared" si="5"/>
        <v>ASCII</v>
      </c>
      <c r="C39" s="72">
        <f t="shared" si="5"/>
        <v>10</v>
      </c>
      <c r="D39" s="67" t="s">
        <v>9367</v>
      </c>
      <c r="E39" s="66" t="s">
        <v>9368</v>
      </c>
      <c r="H39" s="157" t="s">
        <v>9271</v>
      </c>
      <c r="I39" s="95" t="b">
        <v>1</v>
      </c>
      <c r="J39" s="45" t="b">
        <v>1</v>
      </c>
      <c r="K39" s="45" t="b">
        <v>0</v>
      </c>
      <c r="L39" s="45" t="b">
        <v>1</v>
      </c>
      <c r="M39" s="45" t="b">
        <v>1</v>
      </c>
      <c r="N39" s="45" t="b">
        <v>0</v>
      </c>
      <c r="O39" s="84" t="b">
        <v>0</v>
      </c>
      <c r="P39" s="94"/>
      <c r="Q39" s="45"/>
      <c r="R39" s="72" t="str">
        <f>R$60</f>
        <v>set flag</v>
      </c>
      <c r="S39" s="159">
        <f>TransHit</f>
        <v>0</v>
      </c>
      <c r="T39" s="45" t="s">
        <v>9227</v>
      </c>
      <c r="U39" s="143" t="str">
        <f>enFlagged&amp;"Term additionally found in substitute column, same row"</f>
        <v>No export: Term additionally found in substitute column, same row</v>
      </c>
      <c r="V39" s="144" t="str">
        <f>"export of "&amp;BookID&amp;": The term was additionally found in the substitute column (same row)."</f>
        <v>export of de.GDM_: The term was additionally found in the substitute column (same row).</v>
      </c>
      <c r="W39" s="45" t="str">
        <f>deFlagged&amp;"Begriff zusätzlich in Substitutsionsspalte gefunden (selbe Zeile)"</f>
        <v>Nicht exportiert: Begriff zusätzlich in Substitutsionsspalte gefunden (selbe Zeile)</v>
      </c>
      <c r="X39" s="45" t="str">
        <f>"Export von "&amp;BookID&amp;": Der Begriff wurde zusätzlich in der Substitutionsspalte gefunden (selbe Zeile)."</f>
        <v>Export von de.GDM_: Der Begriff wurde zusätzlich in der Substitutionsspalte gefunden (selbe Zeile).</v>
      </c>
    </row>
    <row r="40" spans="1:24" ht="13.2" thickBot="1">
      <c r="A40" s="58" t="s">
        <v>9140</v>
      </c>
      <c r="B40" s="72" t="str">
        <f t="shared" ref="B40:C49" si="6">VLOOKUP(A40,A$4:C$33,2,FALSE)</f>
        <v>letter string</v>
      </c>
      <c r="C40" s="72">
        <f t="shared" si="6"/>
        <v>3</v>
      </c>
      <c r="D40" s="67" t="s">
        <v>9177</v>
      </c>
      <c r="E40" s="66" t="s">
        <v>9155</v>
      </c>
      <c r="H40" s="157" t="s">
        <v>9272</v>
      </c>
      <c r="I40" s="95"/>
      <c r="J40" s="45"/>
      <c r="K40" s="45"/>
      <c r="L40" s="45"/>
      <c r="M40" s="45"/>
      <c r="N40" s="45" t="b">
        <v>1</v>
      </c>
      <c r="O40" s="84" t="b">
        <v>1</v>
      </c>
      <c r="P40" s="94"/>
      <c r="Q40" s="45"/>
      <c r="R40" s="72" t="str">
        <f>R$60</f>
        <v>set flag</v>
      </c>
      <c r="S40" s="159">
        <f>TransHit</f>
        <v>0</v>
      </c>
      <c r="T40" s="45" t="s">
        <v>9228</v>
      </c>
      <c r="U40" s="143" t="str">
        <f>U39&amp;enBookIDmatch</f>
        <v>No export: Term additionally found in substitute column, same row; exported before from this book</v>
      </c>
      <c r="V40" s="144" t="str">
        <f>"repeated "&amp;V39</f>
        <v>repeated export of de.GDM_: The term was additionally found in the substitute column (same row).</v>
      </c>
      <c r="W40" s="143" t="str">
        <f>W39&amp;deBookIDmatch</f>
        <v>Nicht exportiert: Begriff zusätzlich in Substitutsionsspalte gefunden (selbe Zeile); schon einmal aus diesem Buch exportiert</v>
      </c>
      <c r="X40" s="143" t="str">
        <f>"Wiederholter "&amp;X39</f>
        <v>Wiederholter Export von de.GDM_: Der Begriff wurde zusätzlich in der Substitutionsspalte gefunden (selbe Zeile).</v>
      </c>
    </row>
    <row r="41" spans="1:24" ht="13.6" thickTop="1" thickBot="1">
      <c r="A41" s="58" t="s">
        <v>9142</v>
      </c>
      <c r="B41" s="72" t="str">
        <f t="shared" si="6"/>
        <v>status</v>
      </c>
      <c r="C41" s="103">
        <f t="shared" si="6"/>
        <v>5</v>
      </c>
      <c r="D41" s="67" t="s">
        <v>9175</v>
      </c>
      <c r="E41" s="66" t="s">
        <v>9174</v>
      </c>
      <c r="H41" s="157" t="s">
        <v>9273</v>
      </c>
      <c r="I41" s="95"/>
      <c r="J41" s="45"/>
      <c r="K41" s="45"/>
      <c r="L41" s="45"/>
      <c r="M41" s="45"/>
      <c r="N41" s="45" t="b">
        <v>1</v>
      </c>
      <c r="O41" s="84" t="b">
        <v>0</v>
      </c>
      <c r="P41" s="94"/>
      <c r="Q41" s="45"/>
      <c r="R41" s="72" t="str">
        <f>R$60</f>
        <v>set flag</v>
      </c>
      <c r="S41" s="159">
        <f>TransHit</f>
        <v>0</v>
      </c>
      <c r="T41" s="45" t="s">
        <v>9229</v>
      </c>
      <c r="U41" s="143" t="str">
        <f>U39&amp;enBookCountMatch</f>
        <v>No export: Term additionally found in substitute column, same row; exported before from this book with differing count</v>
      </c>
      <c r="V41" s="144" t="str">
        <f>"repeated "&amp;V39</f>
        <v>repeated export of de.GDM_: The term was additionally found in the substitute column (same row).</v>
      </c>
      <c r="W41" s="143" t="str">
        <f>W39&amp;deBookCountMatch</f>
        <v>Nicht exportiert: Begriff zusätzlich in Substitutsionsspalte gefunden (selbe Zeile); schon einmal aus diesem Buch mit unterschiedlicher Begriffszählung exportiert</v>
      </c>
      <c r="X41" s="143" t="str">
        <f>"Wiederholter "&amp;X39</f>
        <v>Wiederholter Export von de.GDM_: Der Begriff wurde zusätzlich in der Substitutionsspalte gefunden (selbe Zeile).</v>
      </c>
    </row>
    <row r="42" spans="1:24" ht="13.6" thickTop="1" thickBot="1">
      <c r="A42" s="58" t="s">
        <v>9141</v>
      </c>
      <c r="B42" s="72" t="str">
        <f t="shared" si="6"/>
        <v>language</v>
      </c>
      <c r="C42" s="103">
        <f t="shared" si="6"/>
        <v>4</v>
      </c>
      <c r="D42" s="67" t="s">
        <v>9178</v>
      </c>
      <c r="E42" s="66" t="s">
        <v>9156</v>
      </c>
      <c r="H42" s="157" t="s">
        <v>9301</v>
      </c>
      <c r="I42" s="41" t="b">
        <v>1</v>
      </c>
      <c r="J42" s="43" t="b">
        <v>1</v>
      </c>
      <c r="K42" s="43" t="b">
        <v>0</v>
      </c>
      <c r="L42" s="102" t="b">
        <v>0</v>
      </c>
      <c r="M42" s="43" t="b">
        <v>1</v>
      </c>
      <c r="N42" s="43" t="b">
        <v>0</v>
      </c>
      <c r="O42" s="89" t="b">
        <v>0</v>
      </c>
      <c r="P42" s="92"/>
      <c r="Q42" s="43"/>
      <c r="R42" s="43"/>
      <c r="S42" s="43"/>
      <c r="T42" s="43" t="s">
        <v>9298</v>
      </c>
      <c r="U42" s="139" t="str">
        <f>enFlagged&amp;"error not defined"</f>
        <v>No export: error not defined</v>
      </c>
      <c r="V42" s="142"/>
      <c r="W42" s="152" t="str">
        <f>deFlagged&amp;"undefinierter Fehler"</f>
        <v>Nicht exportiert: undefinierter Fehler</v>
      </c>
      <c r="X42" s="152"/>
    </row>
    <row r="43" spans="1:24" ht="13.6" thickTop="1" thickBot="1">
      <c r="A43" s="58" t="str">
        <f>CONCATENATE("SubT",TextLanguage)</f>
        <v>SubTde</v>
      </c>
      <c r="B43" s="72" t="str">
        <f t="shared" si="6"/>
        <v>de subst ebf</v>
      </c>
      <c r="C43" s="103">
        <f t="shared" si="6"/>
        <v>15</v>
      </c>
      <c r="D43" s="65" t="str">
        <f>CONCATENATE("standard substitutes for given terms in ",UPPER(F6))</f>
        <v>standard substitutes for given terms in DE</v>
      </c>
      <c r="E43" s="66" t="str">
        <f>CONCATENATE("Substitut für translitterierten Begriff in ",UPPER(F6))</f>
        <v>Substitut für translitterierten Begriff in DE</v>
      </c>
      <c r="H43" s="157" t="s">
        <v>9302</v>
      </c>
      <c r="I43" s="41"/>
      <c r="J43" s="43"/>
      <c r="K43" s="43"/>
      <c r="L43" s="102"/>
      <c r="M43" s="43"/>
      <c r="N43" s="43" t="b">
        <v>1</v>
      </c>
      <c r="O43" s="89" t="b">
        <v>1</v>
      </c>
      <c r="P43" s="92"/>
      <c r="Q43" s="43"/>
      <c r="R43" s="43"/>
      <c r="S43" s="43"/>
      <c r="T43" s="43" t="s">
        <v>9299</v>
      </c>
      <c r="U43" s="139" t="str">
        <f>enFlagged&amp;"error not defined"</f>
        <v>No export: error not defined</v>
      </c>
      <c r="V43" s="142"/>
      <c r="W43" s="152" t="str">
        <f>deFlagged&amp;"undefinierter Fehler"</f>
        <v>Nicht exportiert: undefinierter Fehler</v>
      </c>
      <c r="X43" s="152"/>
    </row>
    <row r="44" spans="1:24" ht="13.6" thickTop="1" thickBot="1">
      <c r="A44" s="58" t="str">
        <f>CONCATENATE("SubL",TextLanguage)</f>
        <v>SubLde</v>
      </c>
      <c r="B44" s="72" t="str">
        <f t="shared" si="6"/>
        <v>de subst letters</v>
      </c>
      <c r="C44" s="72">
        <f t="shared" si="6"/>
        <v>16</v>
      </c>
      <c r="D44" s="65" t="str">
        <f>CONCATENATE("letter sequence of substitutes in ",UPPER(F6)," without diacritical marks, apostroph, ayn, spaces, hyphens")</f>
        <v>letter sequence of substitutes in DE without diacritical marks, apostroph, ayn, spaces, hyphens</v>
      </c>
      <c r="E44" s="66" t="str">
        <f>CONCATENATE("Buchstabenfolge des Substituts in ",UPPER(F6), " ohne diakritische Markierungen, Apostrophe, Ayn, Leerzeichen und Bindestriche")</f>
        <v>Buchstabenfolge des Substituts in DE ohne diakritische Markierungen, Apostrophe, Ayn, Leerzeichen und Bindestriche</v>
      </c>
      <c r="H44" s="157" t="s">
        <v>9303</v>
      </c>
      <c r="I44" s="88"/>
      <c r="J44" s="47"/>
      <c r="K44" s="47"/>
      <c r="L44" s="110"/>
      <c r="M44" s="47"/>
      <c r="N44" s="47" t="b">
        <v>1</v>
      </c>
      <c r="O44" s="90" t="b">
        <v>0</v>
      </c>
      <c r="P44" s="111"/>
      <c r="Q44" s="47"/>
      <c r="R44" s="47"/>
      <c r="S44" s="47"/>
      <c r="T44" s="47" t="s">
        <v>9300</v>
      </c>
      <c r="U44" s="140" t="str">
        <f>enFlagged&amp;"error not defined"</f>
        <v>No export: error not defined</v>
      </c>
      <c r="V44" s="141"/>
      <c r="W44" s="153" t="str">
        <f>deFlagged&amp;"undefinierter Fehler"</f>
        <v>Nicht exportiert: undefinierter Fehler</v>
      </c>
      <c r="X44" s="153"/>
    </row>
    <row r="45" spans="1:24" ht="13.6" thickTop="1" thickBot="1">
      <c r="A45" s="58" t="s">
        <v>9143</v>
      </c>
      <c r="B45" s="72" t="str">
        <f t="shared" si="6"/>
        <v>sources</v>
      </c>
      <c r="C45" s="104">
        <f t="shared" si="6"/>
        <v>21</v>
      </c>
      <c r="D45" s="67" t="s">
        <v>9180</v>
      </c>
      <c r="E45" s="66" t="s">
        <v>9181</v>
      </c>
      <c r="H45" s="157" t="s">
        <v>9274</v>
      </c>
      <c r="I45" s="95" t="b">
        <v>1</v>
      </c>
      <c r="J45" s="45" t="b">
        <v>1</v>
      </c>
      <c r="K45" s="45" t="b">
        <v>1</v>
      </c>
      <c r="L45" s="45" t="b">
        <v>1</v>
      </c>
      <c r="M45" s="45" t="b">
        <v>0</v>
      </c>
      <c r="N45" s="45" t="b">
        <v>0</v>
      </c>
      <c r="O45" s="84" t="b">
        <v>0</v>
      </c>
      <c r="P45" s="105"/>
      <c r="Q45" s="81"/>
      <c r="R45" s="72" t="str">
        <f t="shared" ref="R45:R56" si="7">R$60</f>
        <v>set flag</v>
      </c>
      <c r="S45" s="161">
        <f t="shared" ref="S45:S50" si="8">SubstHit</f>
        <v>4230</v>
      </c>
      <c r="T45" s="81" t="s">
        <v>9230</v>
      </c>
      <c r="U45" s="146" t="e">
        <f ca="1">enFlagged&amp;"Substitute additionally found in term column at row "&amp;TransHit&amp;". That term has the differing substitute ›"&amp;Substitute&amp;"‹."</f>
        <v>#VALUE!</v>
      </c>
      <c r="V45" s="144" t="e">
        <f ca="1">"export of "&amp;BookID&amp;": The substitute was additionally found in the term column at row "&amp;TransHit&amp;". This row contains the differing substitute ́›"&amp;Substitute&amp;"‹."</f>
        <v>#VALUE!</v>
      </c>
      <c r="W45" s="146" t="e">
        <f ca="1">deFlagged&amp;"Substitut zusätzlich in Begriffsspalte (Zeile "&amp;TransHit&amp;") gefunden. Dieser Begriff hat in "&amp;UPPER(TextLanguage)&amp;" das verschiedene Substitut ›"&amp;Substitute&amp;"‹."</f>
        <v>#VALUE!</v>
      </c>
      <c r="X45" s="146" t="e">
        <f ca="1">"Export von "&amp;BookID&amp;": Als Substitut markierter Begriff wurde zusätzlich in Begriffsspalte (Zeile "&amp;TransHit&amp;") gefunden. Diese Zeile enthält das verschiedene Substitut ́›"&amp;Substitute&amp;"‹."</f>
        <v>#VALUE!</v>
      </c>
    </row>
    <row r="46" spans="1:24" ht="13.2" thickTop="1">
      <c r="A46" s="58" t="s">
        <v>9144</v>
      </c>
      <c r="B46" s="72" t="str">
        <f t="shared" si="6"/>
        <v>entry date</v>
      </c>
      <c r="C46" s="72">
        <f t="shared" si="6"/>
        <v>19</v>
      </c>
      <c r="D46" s="65" t="s">
        <v>9149</v>
      </c>
      <c r="E46" s="66" t="s">
        <v>9158</v>
      </c>
      <c r="H46" s="157" t="s">
        <v>9275</v>
      </c>
      <c r="I46" s="95"/>
      <c r="J46" s="45"/>
      <c r="K46" s="45"/>
      <c r="L46" s="45"/>
      <c r="M46" s="45"/>
      <c r="N46" s="45" t="b">
        <v>1</v>
      </c>
      <c r="O46" s="84" t="b">
        <v>1</v>
      </c>
      <c r="P46" s="94"/>
      <c r="Q46" s="45"/>
      <c r="R46" s="72" t="str">
        <f t="shared" si="7"/>
        <v>set flag</v>
      </c>
      <c r="S46" s="159">
        <f t="shared" si="8"/>
        <v>4230</v>
      </c>
      <c r="T46" s="45" t="s">
        <v>9231</v>
      </c>
      <c r="U46" s="143" t="e">
        <f ca="1">U45&amp;enBookIDmatch</f>
        <v>#VALUE!</v>
      </c>
      <c r="V46" s="144" t="e">
        <f ca="1">"repeated "&amp;V45</f>
        <v>#VALUE!</v>
      </c>
      <c r="W46" s="143" t="e">
        <f ca="1">W45&amp;deBookIDmatch</f>
        <v>#VALUE!</v>
      </c>
      <c r="X46" s="143" t="e">
        <f ca="1">"Wiederholter "&amp;X45</f>
        <v>#VALUE!</v>
      </c>
    </row>
    <row r="47" spans="1:24" ht="13.2" thickBot="1">
      <c r="A47" s="58" t="s">
        <v>9145</v>
      </c>
      <c r="B47" s="72" t="str">
        <f t="shared" si="6"/>
        <v>modification date</v>
      </c>
      <c r="C47" s="72">
        <f t="shared" si="6"/>
        <v>20</v>
      </c>
      <c r="D47" s="65" t="s">
        <v>9150</v>
      </c>
      <c r="E47" s="66" t="s">
        <v>9157</v>
      </c>
      <c r="H47" s="157" t="s">
        <v>9276</v>
      </c>
      <c r="I47" s="95"/>
      <c r="J47" s="45"/>
      <c r="K47" s="45"/>
      <c r="L47" s="45"/>
      <c r="M47" s="45"/>
      <c r="N47" s="45" t="b">
        <v>1</v>
      </c>
      <c r="O47" s="84" t="b">
        <v>0</v>
      </c>
      <c r="P47" s="94"/>
      <c r="Q47" s="45"/>
      <c r="R47" s="72" t="str">
        <f t="shared" si="7"/>
        <v>set flag</v>
      </c>
      <c r="S47" s="159">
        <f t="shared" si="8"/>
        <v>4230</v>
      </c>
      <c r="T47" s="45" t="s">
        <v>9232</v>
      </c>
      <c r="U47" s="143" t="e">
        <f ca="1">U45&amp;enBookCountMatch</f>
        <v>#VALUE!</v>
      </c>
      <c r="V47" s="144" t="e">
        <f ca="1">"repeated "&amp;V45</f>
        <v>#VALUE!</v>
      </c>
      <c r="W47" s="143" t="e">
        <f ca="1">W45&amp;deBookCountMatch</f>
        <v>#VALUE!</v>
      </c>
      <c r="X47" s="143" t="e">
        <f ca="1">"Wiederholter "&amp;X45</f>
        <v>#VALUE!</v>
      </c>
    </row>
    <row r="48" spans="1:24" ht="13.6" thickTop="1" thickBot="1">
      <c r="A48" s="58" t="s">
        <v>9147</v>
      </c>
      <c r="B48" s="72" t="str">
        <f t="shared" si="6"/>
        <v>Rückfragen</v>
      </c>
      <c r="C48" s="104">
        <f t="shared" si="6"/>
        <v>7</v>
      </c>
      <c r="D48" s="65" t="s">
        <v>9151</v>
      </c>
      <c r="E48" s="66" t="s">
        <v>9159</v>
      </c>
      <c r="H48" s="157" t="s">
        <v>9277</v>
      </c>
      <c r="I48" s="95" t="b">
        <v>1</v>
      </c>
      <c r="J48" s="45" t="b">
        <v>1</v>
      </c>
      <c r="K48" s="45" t="b">
        <v>1</v>
      </c>
      <c r="L48" s="45" t="b">
        <v>0</v>
      </c>
      <c r="M48" s="45" t="b">
        <v>0</v>
      </c>
      <c r="N48" s="45" t="b">
        <v>0</v>
      </c>
      <c r="O48" s="84" t="b">
        <v>0</v>
      </c>
      <c r="P48" s="94"/>
      <c r="Q48" s="45"/>
      <c r="R48" s="72" t="str">
        <f t="shared" si="7"/>
        <v>set flag</v>
      </c>
      <c r="S48" s="159">
        <f t="shared" si="8"/>
        <v>4230</v>
      </c>
      <c r="T48" s="45" t="s">
        <v>9233</v>
      </c>
      <c r="U48" s="143" t="str">
        <f>enFlagged&amp;"Substitute additionally found in term column at row "&amp;TransHit</f>
        <v xml:space="preserve">No export: Substitute additionally found in term column at row </v>
      </c>
      <c r="V48" s="144" t="str">
        <f>"export of "&amp;BookID&amp;": The substitute was additionally found in the term column at row "&amp;TransHit&amp;"."</f>
        <v>export of de.GDM_: The substitute was additionally found in the term column at row .</v>
      </c>
      <c r="W48" s="143" t="str">
        <f>deFlagged&amp;"Substitut zusätzlich in Begriffsspalte (Zeile "&amp;TransHit&amp;") gefunden"</f>
        <v>Nicht exportiert: Substitut zusätzlich in Begriffsspalte (Zeile ) gefunden</v>
      </c>
      <c r="X48" s="143" t="str">
        <f>"Export von "&amp;BookID&amp;": Als Substitut markierter Begriff wurde zusätzlich in der Begriffsspalte (Zeile "&amp;TransHit&amp;") gefunden."</f>
        <v>Export von de.GDM_: Als Substitut markierter Begriff wurde zusätzlich in der Begriffsspalte (Zeile ) gefunden.</v>
      </c>
    </row>
    <row r="49" spans="1:24" ht="13.2" thickTop="1">
      <c r="A49" s="59" t="s">
        <v>9146</v>
      </c>
      <c r="B49" s="73" t="str">
        <f t="shared" si="6"/>
        <v>skip</v>
      </c>
      <c r="C49" s="73">
        <f t="shared" si="6"/>
        <v>12</v>
      </c>
      <c r="D49" s="68" t="s">
        <v>9179</v>
      </c>
      <c r="E49" s="69" t="s">
        <v>9160</v>
      </c>
      <c r="H49" s="157" t="s">
        <v>9278</v>
      </c>
      <c r="I49" s="95"/>
      <c r="J49" s="45"/>
      <c r="K49" s="45"/>
      <c r="L49" s="45"/>
      <c r="M49" s="45"/>
      <c r="N49" s="45" t="b">
        <v>1</v>
      </c>
      <c r="O49" s="84" t="b">
        <v>1</v>
      </c>
      <c r="P49" s="94"/>
      <c r="Q49" s="45"/>
      <c r="R49" s="72" t="str">
        <f t="shared" si="7"/>
        <v>set flag</v>
      </c>
      <c r="S49" s="159">
        <f t="shared" si="8"/>
        <v>4230</v>
      </c>
      <c r="T49" s="45" t="s">
        <v>9234</v>
      </c>
      <c r="U49" s="143" t="str">
        <f>U48&amp;enBookIDmatch</f>
        <v>No export: Substitute additionally found in term column at row ; exported before from this book</v>
      </c>
      <c r="V49" s="144" t="str">
        <f>"repeated "&amp;V48</f>
        <v>repeated export of de.GDM_: The substitute was additionally found in the term column at row .</v>
      </c>
      <c r="W49" s="143" t="str">
        <f>W48&amp;deBookIDmatch</f>
        <v>Nicht exportiert: Substitut zusätzlich in Begriffsspalte (Zeile ) gefunden; schon einmal aus diesem Buch exportiert</v>
      </c>
      <c r="X49" s="143" t="str">
        <f>"Wiederholter "&amp;X48</f>
        <v>Wiederholter Export von de.GDM_: Als Substitut markierter Begriff wurde zusätzlich in der Begriffsspalte (Zeile ) gefunden.</v>
      </c>
    </row>
    <row r="50" spans="1:24">
      <c r="H50" s="157" t="s">
        <v>9279</v>
      </c>
      <c r="I50" s="95"/>
      <c r="J50" s="45"/>
      <c r="K50" s="45"/>
      <c r="L50" s="45"/>
      <c r="M50" s="45"/>
      <c r="N50" s="45" t="b">
        <v>1</v>
      </c>
      <c r="O50" s="84" t="b">
        <v>0</v>
      </c>
      <c r="P50" s="94"/>
      <c r="Q50" s="45"/>
      <c r="R50" s="72" t="str">
        <f t="shared" si="7"/>
        <v>set flag</v>
      </c>
      <c r="S50" s="159">
        <f t="shared" si="8"/>
        <v>4230</v>
      </c>
      <c r="T50" s="45" t="s">
        <v>9235</v>
      </c>
      <c r="U50" s="143" t="str">
        <f>U48&amp;enBookCountMatch</f>
        <v>No export: Substitute additionally found in term column at row ; exported before from this book with differing count</v>
      </c>
      <c r="V50" s="144" t="str">
        <f>"repeated "&amp;V48</f>
        <v>repeated export of de.GDM_: The substitute was additionally found in the term column at row .</v>
      </c>
      <c r="W50" s="143" t="str">
        <f>W48&amp;deBookCountMatch</f>
        <v>Nicht exportiert: Substitut zusätzlich in Begriffsspalte (Zeile ) gefunden; schon einmal aus diesem Buch mit unterschiedlicher Begriffszählung exportiert</v>
      </c>
      <c r="X50" s="143" t="str">
        <f>"Wiederholter "&amp;X48</f>
        <v>Wiederholter Export von de.GDM_: Als Substitut markierter Begriff wurde zusätzlich in der Begriffsspalte (Zeile ) gefunden.</v>
      </c>
    </row>
    <row r="51" spans="1:24">
      <c r="A51" s="70"/>
      <c r="B51" s="22" t="s">
        <v>9186</v>
      </c>
      <c r="H51" s="157" t="s">
        <v>9280</v>
      </c>
      <c r="I51" s="95" t="b">
        <v>1</v>
      </c>
      <c r="J51" s="45" t="b">
        <v>1</v>
      </c>
      <c r="K51" s="45" t="b">
        <v>0</v>
      </c>
      <c r="L51" s="45" t="b">
        <v>1</v>
      </c>
      <c r="M51" s="45" t="b">
        <v>0</v>
      </c>
      <c r="N51" s="45" t="b">
        <v>0</v>
      </c>
      <c r="O51" s="84" t="b">
        <v>0</v>
      </c>
      <c r="P51" s="94"/>
      <c r="Q51" s="45"/>
      <c r="R51" s="72" t="str">
        <f t="shared" si="7"/>
        <v>set flag</v>
      </c>
      <c r="S51" s="159">
        <f t="shared" ref="S51:S56" si="9">TransHit</f>
        <v>0</v>
      </c>
      <c r="T51" s="45" t="s">
        <v>9236</v>
      </c>
      <c r="U51" s="143" t="e">
        <f ca="1">enFlagged&amp;"The substitute ›"&amp;Substitute&amp;"‹ should be used instead of the term, which was additionally found in substitute column at row "&amp;SubstHit&amp;"."</f>
        <v>#VALUE!</v>
      </c>
      <c r="V51" s="144" t="e">
        <f ca="1">"export of "&amp;BookID&amp;": In "&amp;UPPER(TextLanguage)&amp;" the subsitute ›"&amp;Substitute&amp;"‹ should be used instead of the term. Term additionally found in substitute column at row "&amp;SubstHit&amp;"."</f>
        <v>#VALUE!</v>
      </c>
      <c r="W51" s="143" t="e">
        <f ca="1">deFlagged&amp;"Das Substitut ›"&amp;Substitute&amp;"‹ sollte anstelle des Begriffes verwendet werden. Dieser wurde zusätzlich in der Substitutionsspalte (Zeile "&amp;SubstHit&amp;") gefunden."</f>
        <v>#VALUE!</v>
      </c>
      <c r="X51" s="143" t="e">
        <f ca="1">"Export von "&amp;BookID&amp;": In "&amp;UPPER(TextLanguage)&amp;" sollte das Subsitute ›"&amp;Substitute&amp;"‹ anstelle des Begriffes verwendet werden. Begriff wurde zusätzlich in Substitutionsspalte (Zeile  "&amp;SubstHit&amp;") gefunden."</f>
        <v>#VALUE!</v>
      </c>
    </row>
    <row r="52" spans="1:24">
      <c r="A52" s="71"/>
      <c r="B52" s="22" t="s">
        <v>9187</v>
      </c>
      <c r="H52" s="157" t="s">
        <v>9281</v>
      </c>
      <c r="I52" s="95"/>
      <c r="J52" s="45"/>
      <c r="K52" s="45"/>
      <c r="L52" s="45"/>
      <c r="M52" s="45"/>
      <c r="N52" s="45" t="b">
        <v>1</v>
      </c>
      <c r="O52" s="84" t="b">
        <v>1</v>
      </c>
      <c r="P52" s="94"/>
      <c r="Q52" s="45"/>
      <c r="R52" s="72" t="str">
        <f t="shared" si="7"/>
        <v>set flag</v>
      </c>
      <c r="S52" s="159">
        <f t="shared" si="9"/>
        <v>0</v>
      </c>
      <c r="T52" s="45" t="s">
        <v>9237</v>
      </c>
      <c r="U52" s="143" t="e">
        <f ca="1">U51&amp;enBookIDmatch</f>
        <v>#VALUE!</v>
      </c>
      <c r="V52" s="144" t="e">
        <f ca="1">"repeated "&amp;V51</f>
        <v>#VALUE!</v>
      </c>
      <c r="W52" s="143" t="e">
        <f ca="1">W51&amp;deBookIDmatch</f>
        <v>#VALUE!</v>
      </c>
      <c r="X52" s="143" t="e">
        <f ca="1">"Wiederholter "&amp;X51</f>
        <v>#VALUE!</v>
      </c>
    </row>
    <row r="53" spans="1:24" ht="13.2" thickBot="1">
      <c r="A53" s="78"/>
      <c r="B53" s="22" t="s">
        <v>9185</v>
      </c>
      <c r="H53" s="157" t="s">
        <v>9282</v>
      </c>
      <c r="I53" s="95"/>
      <c r="J53" s="45"/>
      <c r="K53" s="45"/>
      <c r="L53" s="45"/>
      <c r="M53" s="45"/>
      <c r="N53" s="45" t="b">
        <v>1</v>
      </c>
      <c r="O53" s="84" t="b">
        <v>0</v>
      </c>
      <c r="P53" s="94"/>
      <c r="Q53" s="45"/>
      <c r="R53" s="72" t="str">
        <f t="shared" si="7"/>
        <v>set flag</v>
      </c>
      <c r="S53" s="159">
        <f t="shared" si="9"/>
        <v>0</v>
      </c>
      <c r="T53" s="45" t="s">
        <v>9238</v>
      </c>
      <c r="U53" s="143" t="e">
        <f ca="1">U51&amp;enBookCountMatch</f>
        <v>#VALUE!</v>
      </c>
      <c r="V53" s="144" t="e">
        <f ca="1">"repeated "&amp;V51</f>
        <v>#VALUE!</v>
      </c>
      <c r="W53" s="143" t="e">
        <f ca="1">W51&amp;deBookCountMatch</f>
        <v>#VALUE!</v>
      </c>
      <c r="X53" s="143" t="e">
        <f ca="1">"Wiederholter "&amp;X51</f>
        <v>#VALUE!</v>
      </c>
    </row>
    <row r="54" spans="1:24" ht="13.6" thickTop="1" thickBot="1">
      <c r="A54" s="103"/>
      <c r="B54" s="45" t="s">
        <v>9305</v>
      </c>
      <c r="H54" s="157" t="s">
        <v>9283</v>
      </c>
      <c r="I54" s="95" t="b">
        <v>1</v>
      </c>
      <c r="J54" s="45" t="b">
        <v>1</v>
      </c>
      <c r="K54" s="45" t="b">
        <v>0</v>
      </c>
      <c r="L54" s="45" t="b">
        <v>0</v>
      </c>
      <c r="M54" s="45" t="b">
        <v>0</v>
      </c>
      <c r="N54" s="45" t="b">
        <v>0</v>
      </c>
      <c r="O54" s="84" t="b">
        <v>0</v>
      </c>
      <c r="P54" s="94"/>
      <c r="Q54" s="45"/>
      <c r="R54" s="72" t="str">
        <f t="shared" si="7"/>
        <v>set flag</v>
      </c>
      <c r="S54" s="159">
        <f t="shared" si="9"/>
        <v>0</v>
      </c>
      <c r="T54" s="45" t="s">
        <v>9239</v>
      </c>
      <c r="U54" s="143" t="str">
        <f>enFlagged&amp;"Term additionally found in substitute column at row "&amp;TransHit</f>
        <v xml:space="preserve">No export: Term additionally found in substitute column at row </v>
      </c>
      <c r="V54" s="144" t="str">
        <f>"export of "&amp;BookID&amp;": The term was additionally found in the substitute column at row "&amp;TransHit&amp;"."</f>
        <v>export of de.GDM_: The term was additionally found in the substitute column at row .</v>
      </c>
      <c r="W54" s="143" t="str">
        <f>deFlagged&amp;"Begriff zusätzlich in Substitutionsspalte (Zeile "&amp;TransHit&amp;") gefunden"</f>
        <v>Nicht exportiert: Begriff zusätzlich in Substitutionsspalte (Zeile ) gefunden</v>
      </c>
      <c r="X54" s="143" t="str">
        <f>"Export von "&amp;BookID&amp;": Der Begriff wurde zusätzlich in der Substitutionsspalte (Zeile "&amp;TransHit&amp;") gefunden."</f>
        <v>Export von de.GDM_: Der Begriff wurde zusätzlich in der Substitutionsspalte (Zeile ) gefunden.</v>
      </c>
    </row>
    <row r="55" spans="1:24" ht="13.6" thickTop="1" thickBot="1">
      <c r="A55" s="98"/>
      <c r="B55" s="45" t="s">
        <v>9304</v>
      </c>
      <c r="H55" s="157" t="s">
        <v>9284</v>
      </c>
      <c r="I55" s="95"/>
      <c r="J55" s="45"/>
      <c r="K55" s="45"/>
      <c r="L55" s="45"/>
      <c r="M55" s="45"/>
      <c r="N55" s="45" t="b">
        <v>1</v>
      </c>
      <c r="O55" s="84" t="b">
        <v>1</v>
      </c>
      <c r="P55" s="94"/>
      <c r="Q55" s="45"/>
      <c r="R55" s="72" t="str">
        <f t="shared" si="7"/>
        <v>set flag</v>
      </c>
      <c r="S55" s="159">
        <f t="shared" si="9"/>
        <v>0</v>
      </c>
      <c r="T55" s="45" t="s">
        <v>9240</v>
      </c>
      <c r="U55" s="143" t="str">
        <f>U54&amp;enBookIDmatch</f>
        <v>No export: Term additionally found in substitute column at row ; exported before from this book</v>
      </c>
      <c r="V55" s="144" t="str">
        <f>"repeated "&amp;V54</f>
        <v>repeated export of de.GDM_: The term was additionally found in the substitute column at row .</v>
      </c>
      <c r="W55" s="143" t="str">
        <f>W54&amp;deBookIDmatch</f>
        <v>Nicht exportiert: Begriff zusätzlich in Substitutionsspalte (Zeile ) gefunden; schon einmal aus diesem Buch exportiert</v>
      </c>
      <c r="X55" s="143" t="str">
        <f>"Wiederholter "&amp;X54</f>
        <v>Wiederholter Export von de.GDM_: Der Begriff wurde zusätzlich in der Substitutionsspalte (Zeile ) gefunden.</v>
      </c>
    </row>
    <row r="56" spans="1:24" ht="13.6" thickTop="1" thickBot="1">
      <c r="A56" s="120"/>
      <c r="B56" s="45" t="s">
        <v>9306</v>
      </c>
      <c r="H56" s="158" t="s">
        <v>9285</v>
      </c>
      <c r="I56" s="100"/>
      <c r="J56" s="46"/>
      <c r="K56" s="46"/>
      <c r="L56" s="46"/>
      <c r="M56" s="46"/>
      <c r="N56" s="46" t="b">
        <v>1</v>
      </c>
      <c r="O56" s="86" t="b">
        <v>0</v>
      </c>
      <c r="P56" s="106"/>
      <c r="Q56" s="82"/>
      <c r="R56" s="73" t="str">
        <f t="shared" si="7"/>
        <v>set flag</v>
      </c>
      <c r="S56" s="160">
        <f t="shared" si="9"/>
        <v>0</v>
      </c>
      <c r="T56" s="82" t="s">
        <v>9241</v>
      </c>
      <c r="U56" s="145" t="str">
        <f>U54&amp;enBookCountMatch</f>
        <v>No export: Term additionally found in substitute column at row ; exported before from this book with differing count</v>
      </c>
      <c r="V56" s="53" t="str">
        <f>"repeated "&amp;V54</f>
        <v>repeated export of de.GDM_: The term was additionally found in the substitute column at row .</v>
      </c>
      <c r="W56" s="145" t="str">
        <f>W54&amp;deBookCountMatch</f>
        <v>Nicht exportiert: Begriff zusätzlich in Substitutionsspalte (Zeile ) gefunden; schon einmal aus diesem Buch mit unterschiedlicher Begriffszählung exportiert</v>
      </c>
      <c r="X56" s="145" t="str">
        <f>"Wiederholter "&amp;X54</f>
        <v>Wiederholter Export von de.GDM_: Der Begriff wurde zusätzlich in der Substitutionsspalte (Zeile ) gefunden.</v>
      </c>
    </row>
    <row r="57" spans="1:24" ht="13.6" thickTop="1" thickBot="1"/>
    <row r="58" spans="1:24" ht="13.6" thickTop="1" thickBot="1">
      <c r="R58" s="162" t="s">
        <v>9322</v>
      </c>
      <c r="U58" s="119" t="s">
        <v>9244</v>
      </c>
      <c r="W58" s="119" t="s">
        <v>9313</v>
      </c>
    </row>
    <row r="59" spans="1:24" ht="13.6" thickTop="1" thickBot="1">
      <c r="R59" s="162" t="s">
        <v>9323</v>
      </c>
      <c r="U59" s="103" t="s">
        <v>9242</v>
      </c>
      <c r="W59" s="119" t="s">
        <v>9314</v>
      </c>
    </row>
    <row r="60" spans="1:24" ht="13.6" thickTop="1" thickBot="1">
      <c r="R60" s="162" t="s">
        <v>9324</v>
      </c>
      <c r="U60" s="103" t="s">
        <v>9243</v>
      </c>
      <c r="W60" s="119" t="s">
        <v>9315</v>
      </c>
    </row>
    <row r="61" spans="1:24" ht="13.2" thickTop="1"/>
  </sheetData>
  <conditionalFormatting sqref="H1:H1048576">
    <cfRule type="expression" dxfId="113" priority="8">
      <formula>COUNTIF(H:H,H1)&gt;1</formula>
    </cfRule>
  </conditionalFormatting>
  <conditionalFormatting sqref="F24 F30">
    <cfRule type="expression" dxfId="112" priority="6">
      <formula>NOT(LocalInstruction=UPPER(TextLanguage))</formula>
    </cfRule>
  </conditionalFormatting>
  <conditionalFormatting sqref="F25 F31">
    <cfRule type="expression" dxfId="111" priority="5">
      <formula>(LocalInstruction=UPPER(TextLanguage))</formula>
    </cfRule>
  </conditionalFormatting>
  <conditionalFormatting sqref="F26">
    <cfRule type="expression" dxfId="110" priority="4">
      <formula>OperateInRow=TransHit</formula>
    </cfRule>
  </conditionalFormatting>
  <conditionalFormatting sqref="F27">
    <cfRule type="expression" dxfId="109" priority="3">
      <formula>OperateInRow=SubstHit</formula>
    </cfRule>
  </conditionalFormatting>
  <pageMargins left="0.7" right="0.7" top="0.78740157499999996" bottom="0.78740157499999996" header="0.3" footer="0.3"/>
  <pageSetup paperSize="0" orientation="portrait" r:id="rId1"/>
</worksheet>
</file>

<file path=xl/worksheets/sheet3.xml><?xml version="1.0" encoding="utf-8"?>
<worksheet xmlns="http://schemas.openxmlformats.org/spreadsheetml/2006/main" xmlns:r="http://schemas.openxmlformats.org/officeDocument/2006/relationships">
  <sheetPr codeName="Tabelle5"/>
  <dimension ref="A1:X4232"/>
  <sheetViews>
    <sheetView workbookViewId="0">
      <pane xSplit="3" ySplit="2" topLeftCell="D3" activePane="bottomRight" state="frozen"/>
      <selection pane="topRight" activeCell="E1" sqref="E1"/>
      <selection pane="bottomLeft" activeCell="A3" sqref="A3"/>
      <selection pane="bottomRight" activeCell="B11" sqref="B11"/>
    </sheetView>
  </sheetViews>
  <sheetFormatPr baseColWidth="10" defaultColWidth="11.59765625" defaultRowHeight="13.2" outlineLevelCol="1"/>
  <cols>
    <col min="1" max="1" width="20" style="20" customWidth="1"/>
    <col min="2" max="2" width="30.59765625" style="33" customWidth="1"/>
    <col min="3" max="3" width="15.59765625" style="37" customWidth="1"/>
    <col min="4" max="4" width="30.59765625" style="1" customWidth="1"/>
    <col min="5" max="5" width="15.59765625" style="1" customWidth="1"/>
    <col min="6" max="6" width="15.59765625" style="1" customWidth="1" outlineLevel="1"/>
    <col min="7" max="7" width="7.73046875" style="1" customWidth="1" outlineLevel="1"/>
    <col min="8" max="8" width="30" style="12" customWidth="1" outlineLevel="1"/>
    <col min="9" max="9" width="76.86328125" style="9" customWidth="1" outlineLevel="1"/>
    <col min="10" max="10" width="23.1328125" style="12" customWidth="1" outlineLevel="1"/>
    <col min="11" max="11" width="11.59765625" style="1"/>
    <col min="12" max="17" width="17.265625" style="1" customWidth="1"/>
    <col min="18" max="18" width="11.59765625" style="28"/>
    <col min="19" max="19" width="12.265625" style="28" customWidth="1"/>
    <col min="20" max="20" width="57.265625" style="28" customWidth="1"/>
    <col min="21" max="22" width="31.59765625" style="4" customWidth="1"/>
    <col min="23" max="23" width="31.1328125" style="4" bestFit="1" customWidth="1"/>
    <col min="24" max="16384" width="11.59765625" style="1"/>
  </cols>
  <sheetData>
    <row r="1" spans="1:23" s="25" customFormat="1" ht="25.65">
      <c r="A1" s="24" t="s">
        <v>200</v>
      </c>
      <c r="B1" s="32" t="s">
        <v>9073</v>
      </c>
      <c r="C1" s="32" t="s">
        <v>9089</v>
      </c>
      <c r="D1" s="25" t="s">
        <v>9400</v>
      </c>
      <c r="E1" s="25" t="s">
        <v>9401</v>
      </c>
      <c r="F1" s="31" t="s">
        <v>3</v>
      </c>
      <c r="G1" s="31" t="s">
        <v>9101</v>
      </c>
      <c r="H1" s="25" t="s">
        <v>0</v>
      </c>
      <c r="I1" s="25" t="s">
        <v>8605</v>
      </c>
      <c r="J1" s="25" t="s">
        <v>8822</v>
      </c>
      <c r="K1" s="25" t="s">
        <v>9074</v>
      </c>
      <c r="L1" s="25" t="s">
        <v>9399</v>
      </c>
      <c r="M1" s="25" t="s">
        <v>9398</v>
      </c>
      <c r="N1" s="25" t="s">
        <v>9394</v>
      </c>
      <c r="O1" s="25" t="s">
        <v>9395</v>
      </c>
      <c r="P1" s="25" t="s">
        <v>9396</v>
      </c>
      <c r="Q1" s="25" t="s">
        <v>9397</v>
      </c>
      <c r="R1" s="25" t="s">
        <v>9064</v>
      </c>
      <c r="S1" s="25" t="s">
        <v>9065</v>
      </c>
      <c r="T1" s="25" t="s">
        <v>9063</v>
      </c>
      <c r="U1" s="26" t="s">
        <v>9075</v>
      </c>
      <c r="V1" s="25" t="s">
        <v>9091</v>
      </c>
      <c r="W1" s="25" t="s">
        <v>9092</v>
      </c>
    </row>
    <row r="2" spans="1:23" s="25" customFormat="1" ht="12.85">
      <c r="A2" s="24" t="s">
        <v>9169</v>
      </c>
      <c r="B2" s="48" t="s">
        <v>9138</v>
      </c>
      <c r="C2" s="49" t="s">
        <v>9140</v>
      </c>
      <c r="D2" s="25" t="s">
        <v>9402</v>
      </c>
      <c r="E2" s="25" t="s">
        <v>9403</v>
      </c>
      <c r="F2" s="31" t="s">
        <v>9141</v>
      </c>
      <c r="G2" s="31" t="s">
        <v>9142</v>
      </c>
      <c r="H2" s="25" t="s">
        <v>9170</v>
      </c>
      <c r="I2" s="25" t="s">
        <v>9147</v>
      </c>
      <c r="J2" s="25" t="s">
        <v>9171</v>
      </c>
      <c r="K2" s="25" t="s">
        <v>9146</v>
      </c>
      <c r="L2" s="25" t="s">
        <v>9162</v>
      </c>
      <c r="M2" s="25" t="s">
        <v>9163</v>
      </c>
      <c r="N2" s="25" t="s">
        <v>9164</v>
      </c>
      <c r="O2" s="25" t="s">
        <v>9165</v>
      </c>
      <c r="P2" s="25" t="s">
        <v>9166</v>
      </c>
      <c r="Q2" s="25" t="s">
        <v>9167</v>
      </c>
      <c r="R2" s="25" t="s">
        <v>9144</v>
      </c>
      <c r="S2" s="25" t="s">
        <v>9145</v>
      </c>
      <c r="T2" s="25" t="s">
        <v>9143</v>
      </c>
      <c r="U2" s="26" t="s">
        <v>9172</v>
      </c>
      <c r="V2" s="25" t="s">
        <v>9173</v>
      </c>
      <c r="W2" s="25" t="s">
        <v>9139</v>
      </c>
    </row>
    <row r="3" spans="1:23" s="5" customFormat="1">
      <c r="A3" s="6" t="s">
        <v>3687</v>
      </c>
      <c r="B3" s="33" t="s">
        <v>38</v>
      </c>
      <c r="C3" s="34" t="str">
        <f>SUBSTITUTE(SUBSTITUTE(W3,"-","")," ","")</f>
        <v>Quran</v>
      </c>
      <c r="D3" s="5" t="s">
        <v>9393</v>
      </c>
      <c r="E3" s="39" t="str">
        <f t="shared" ref="E3:E66" si="0">SUBSTITUTE(SUBSTITUTE(SUBSTITUTE(F_OutputASCII(D3),"-","")," ",""),"'","")</f>
        <v>Koran</v>
      </c>
      <c r="F3" s="5" t="s">
        <v>59</v>
      </c>
      <c r="G3" s="40"/>
      <c r="H3" s="14"/>
      <c r="I3" s="17"/>
      <c r="J3" s="10"/>
      <c r="M3" s="39" t="str">
        <f>SUBSTITUTE(SUBSTITUTE(SUBSTITUTE(F_OutputASCII(L3),"-","")," ",""),"'","")</f>
        <v/>
      </c>
      <c r="O3" s="39" t="str">
        <f>SUBSTITUTE(SUBSTITUTE(SUBSTITUTE(F_OutputASCII(N3),"-","")," ",""),"'","")</f>
        <v/>
      </c>
      <c r="Q3" s="39" t="str">
        <f>SUBSTITUTE(SUBSTITUTE(P3,"-","")," ","")</f>
        <v/>
      </c>
      <c r="R3" s="28"/>
      <c r="S3" s="28"/>
      <c r="T3" s="28"/>
      <c r="U3" s="4" t="str">
        <f>CONCATENATE("|",B3,"|")</f>
        <v>|Qur’án|</v>
      </c>
      <c r="V3" s="3" t="str">
        <f>CONCATENATE("|",F_OutputASCII(B3),"|")</f>
        <v>|Qur'an|</v>
      </c>
      <c r="W3" s="3" t="str">
        <f>IF(SUBSTITUTE(MID(V3,2,LEN(V3)-2),"'","")&lt;&gt;"",SUBSTITUTE(MID(V3,2,LEN(V3)-2),"'",""),"ZZZZZ")</f>
        <v>Quran</v>
      </c>
    </row>
    <row r="4" spans="1:23" s="5" customFormat="1">
      <c r="A4" s="6"/>
      <c r="B4" s="33" t="s">
        <v>7</v>
      </c>
      <c r="C4" s="34" t="str">
        <f>SUBSTITUTE(SUBSTITUTE(W4,"-","")," ","")</f>
        <v>Adhirbayjan</v>
      </c>
      <c r="D4" s="33" t="s">
        <v>5046</v>
      </c>
      <c r="E4" s="39" t="str">
        <f t="shared" si="0"/>
        <v>Adharbayjan</v>
      </c>
      <c r="G4" s="40"/>
      <c r="H4" s="14"/>
      <c r="I4" s="17"/>
      <c r="J4" s="10"/>
      <c r="M4" s="39" t="str">
        <f>SUBSTITUTE(SUBSTITUTE(SUBSTITUTE(F_OutputASCII(L4),"-","")," ",""),"'","")</f>
        <v/>
      </c>
      <c r="O4" s="39" t="str">
        <f>SUBSTITUTE(SUBSTITUTE(SUBSTITUTE(F_OutputASCII(N4),"-","")," ",""),"'","")</f>
        <v/>
      </c>
      <c r="Q4" s="39" t="str">
        <f>SUBSTITUTE(SUBSTITUTE(P4,"-","")," ","")</f>
        <v/>
      </c>
      <c r="R4" s="28"/>
      <c r="S4" s="28"/>
      <c r="T4" s="28"/>
      <c r="U4" s="4" t="str">
        <f>CONCATENATE("|",B4,"|")</f>
        <v>|Áirbáyján|</v>
      </c>
      <c r="V4" s="3" t="str">
        <f>CONCATENATE("|",F_OutputASCII(B4),"|")</f>
        <v>|Adhirbayjan|</v>
      </c>
      <c r="W4" s="3" t="str">
        <f>IF(SUBSTITUTE(MID(V4,2,LEN(V4)-2),"'","")&lt;&gt;"",SUBSTITUTE(MID(V4,2,LEN(V4)-2),"'",""),"ZZZZZ")</f>
        <v>Adhirbayjan</v>
      </c>
    </row>
    <row r="5" spans="1:23" s="5" customFormat="1">
      <c r="A5" s="6"/>
      <c r="B5" s="33"/>
      <c r="C5" s="34" t="str">
        <f t="shared" ref="C5:C68" si="1">SUBSTITUTE(SUBSTITUTE(W5,"-","")," ","")</f>
        <v>ZZZZZ</v>
      </c>
      <c r="D5" s="5" t="s">
        <v>9410</v>
      </c>
      <c r="E5" s="39" t="str">
        <f t="shared" si="0"/>
        <v>Aschura</v>
      </c>
      <c r="F5" s="5" t="s">
        <v>59</v>
      </c>
      <c r="G5" s="40"/>
      <c r="H5" s="14"/>
      <c r="I5" s="17"/>
      <c r="J5" s="10"/>
      <c r="M5" s="39" t="str">
        <f t="shared" ref="M5:M68" si="2">SUBSTITUTE(SUBSTITUTE(SUBSTITUTE(F_OutputASCII(L5),"-","")," ",""),"'","")</f>
        <v/>
      </c>
      <c r="O5" s="39" t="str">
        <f t="shared" ref="O5:O68" si="3">SUBSTITUTE(SUBSTITUTE(SUBSTITUTE(F_OutputASCII(N5),"-","")," ",""),"'","")</f>
        <v/>
      </c>
      <c r="Q5" s="39" t="str">
        <f t="shared" ref="Q5:Q68" si="4">SUBSTITUTE(SUBSTITUTE(P5,"-","")," ","")</f>
        <v/>
      </c>
      <c r="R5" s="28"/>
      <c r="S5" s="28"/>
      <c r="T5" s="28"/>
      <c r="U5" s="4" t="str">
        <f t="shared" ref="U5:U68" si="5">CONCATENATE("|",B5,"|")</f>
        <v>||</v>
      </c>
      <c r="V5" s="3" t="str">
        <f t="shared" ref="V5:V68" si="6">CONCATENATE("|",F_OutputASCII(B5),"|")</f>
        <v>||</v>
      </c>
      <c r="W5" s="3" t="str">
        <f t="shared" ref="W5:W68" si="7">IF(SUBSTITUTE(MID(V5,2,LEN(V5)-2),"'","")&lt;&gt;"",SUBSTITUTE(MID(V5,2,LEN(V5)-2),"'",""),"ZZZZZ")</f>
        <v>ZZZZZ</v>
      </c>
    </row>
    <row r="6" spans="1:23" s="5" customFormat="1">
      <c r="A6" s="6"/>
      <c r="B6" s="33" t="s">
        <v>18</v>
      </c>
      <c r="C6" s="34" t="str">
        <f t="shared" si="1"/>
        <v>Iraq</v>
      </c>
      <c r="D6" s="5" t="s">
        <v>9499</v>
      </c>
      <c r="E6" s="39" t="str">
        <f t="shared" si="0"/>
        <v>Irak</v>
      </c>
      <c r="G6" s="40"/>
      <c r="H6" s="15"/>
      <c r="I6" s="17"/>
      <c r="J6" s="10"/>
      <c r="M6" s="39" t="str">
        <f t="shared" si="2"/>
        <v/>
      </c>
      <c r="O6" s="39" t="str">
        <f t="shared" si="3"/>
        <v/>
      </c>
      <c r="Q6" s="39" t="str">
        <f t="shared" si="4"/>
        <v/>
      </c>
      <c r="R6" s="28"/>
      <c r="S6" s="28"/>
      <c r="T6" s="28"/>
      <c r="U6" s="4" t="str">
        <f t="shared" si="5"/>
        <v>|ʿIráq|</v>
      </c>
      <c r="V6" s="3" t="str">
        <f t="shared" si="6"/>
        <v>|'Iraq|</v>
      </c>
      <c r="W6" s="3" t="str">
        <f t="shared" si="7"/>
        <v>Iraq</v>
      </c>
    </row>
    <row r="7" spans="1:23" s="5" customFormat="1">
      <c r="A7" s="6"/>
      <c r="B7" s="5" t="s">
        <v>7042</v>
      </c>
      <c r="C7" s="34" t="str">
        <f t="shared" si="1"/>
        <v>Mazindaran</v>
      </c>
      <c r="D7" s="5" t="s">
        <v>9502</v>
      </c>
      <c r="E7" s="39" t="str">
        <f t="shared" si="0"/>
        <v>Mazandaran</v>
      </c>
      <c r="G7" s="40"/>
      <c r="H7" s="14"/>
      <c r="I7" s="17"/>
      <c r="J7" s="10"/>
      <c r="M7" s="39" t="str">
        <f t="shared" si="2"/>
        <v/>
      </c>
      <c r="O7" s="39" t="str">
        <f t="shared" si="3"/>
        <v/>
      </c>
      <c r="Q7" s="39" t="str">
        <f t="shared" si="4"/>
        <v/>
      </c>
      <c r="R7" s="28"/>
      <c r="S7" s="28"/>
      <c r="T7" s="28"/>
      <c r="U7" s="4" t="str">
        <f t="shared" si="5"/>
        <v>|Mázindarán|</v>
      </c>
      <c r="V7" s="3" t="str">
        <f t="shared" si="6"/>
        <v>|Mazindaran|</v>
      </c>
      <c r="W7" s="3" t="str">
        <f t="shared" si="7"/>
        <v>Mazindaran</v>
      </c>
    </row>
    <row r="8" spans="1:23" s="5" customFormat="1">
      <c r="A8" s="6"/>
      <c r="B8" s="185" t="s">
        <v>48</v>
      </c>
      <c r="C8" s="34" t="str">
        <f t="shared" si="1"/>
        <v>Tihran</v>
      </c>
      <c r="D8" s="5" t="s">
        <v>9516</v>
      </c>
      <c r="E8" s="39" t="str">
        <f t="shared" si="0"/>
        <v>Teheran</v>
      </c>
      <c r="F8" s="5" t="s">
        <v>59</v>
      </c>
      <c r="G8" s="40"/>
      <c r="H8" s="15"/>
      <c r="I8" s="17"/>
      <c r="J8" s="10"/>
      <c r="M8" s="39" t="str">
        <f t="shared" si="2"/>
        <v/>
      </c>
      <c r="O8" s="39" t="str">
        <f t="shared" si="3"/>
        <v/>
      </c>
      <c r="Q8" s="39" t="str">
        <f t="shared" si="4"/>
        <v/>
      </c>
      <c r="R8" s="28"/>
      <c r="S8" s="28"/>
      <c r="T8" s="28"/>
      <c r="U8" s="4" t="str">
        <f t="shared" si="5"/>
        <v>|Ṭihrán|</v>
      </c>
      <c r="V8" s="3" t="str">
        <f t="shared" si="6"/>
        <v>|Tihran|</v>
      </c>
      <c r="W8" s="3" t="str">
        <f t="shared" si="7"/>
        <v>Tihran</v>
      </c>
    </row>
    <row r="9" spans="1:23" s="5" customFormat="1">
      <c r="A9" s="6"/>
      <c r="B9" s="185" t="s">
        <v>51</v>
      </c>
      <c r="C9" s="34" t="str">
        <f t="shared" si="1"/>
        <v>Shah</v>
      </c>
      <c r="D9" s="5" t="s">
        <v>9517</v>
      </c>
      <c r="E9" s="39" t="str">
        <f t="shared" si="0"/>
        <v>Schah</v>
      </c>
      <c r="F9" s="5" t="s">
        <v>59</v>
      </c>
      <c r="G9" s="40"/>
      <c r="H9" s="15"/>
      <c r="I9" s="17"/>
      <c r="J9" s="10"/>
      <c r="M9" s="39" t="str">
        <f t="shared" si="2"/>
        <v/>
      </c>
      <c r="O9" s="39" t="str">
        <f t="shared" si="3"/>
        <v/>
      </c>
      <c r="Q9" s="39" t="str">
        <f t="shared" si="4"/>
        <v/>
      </c>
      <c r="R9" s="28"/>
      <c r="S9" s="28"/>
      <c r="T9" s="28"/>
      <c r="U9" s="4" t="str">
        <f t="shared" si="5"/>
        <v>|áh|</v>
      </c>
      <c r="V9" s="3" t="str">
        <f t="shared" si="6"/>
        <v>|Shah|</v>
      </c>
      <c r="W9" s="3" t="str">
        <f t="shared" si="7"/>
        <v>Shah</v>
      </c>
    </row>
    <row r="10" spans="1:23" s="5" customFormat="1">
      <c r="A10" s="6"/>
      <c r="B10" s="185" t="s">
        <v>104</v>
      </c>
      <c r="C10" s="34" t="str">
        <f t="shared" si="1"/>
        <v>Mulla</v>
      </c>
      <c r="D10" s="5" t="s">
        <v>9518</v>
      </c>
      <c r="E10" s="39" t="str">
        <f t="shared" si="0"/>
        <v>Mullah</v>
      </c>
      <c r="G10" s="40"/>
      <c r="H10" s="15"/>
      <c r="I10" s="17"/>
      <c r="J10" s="10"/>
      <c r="M10" s="39" t="str">
        <f t="shared" si="2"/>
        <v/>
      </c>
      <c r="O10" s="39" t="str">
        <f t="shared" si="3"/>
        <v/>
      </c>
      <c r="Q10" s="39" t="str">
        <f t="shared" si="4"/>
        <v/>
      </c>
      <c r="R10" s="28"/>
      <c r="S10" s="28"/>
      <c r="T10" s="28"/>
      <c r="U10" s="4" t="str">
        <f t="shared" si="5"/>
        <v>|Mullá|</v>
      </c>
      <c r="V10" s="3" t="str">
        <f t="shared" si="6"/>
        <v>|Mulla|</v>
      </c>
      <c r="W10" s="3" t="str">
        <f t="shared" si="7"/>
        <v>Mulla</v>
      </c>
    </row>
    <row r="11" spans="1:23" s="5" customFormat="1">
      <c r="A11" s="6"/>
      <c r="B11" s="33"/>
      <c r="C11" s="34" t="str">
        <f t="shared" si="1"/>
        <v>ZZZZZ</v>
      </c>
      <c r="E11" s="39" t="str">
        <f t="shared" si="0"/>
        <v/>
      </c>
      <c r="G11" s="40"/>
      <c r="H11" s="14"/>
      <c r="I11" s="17"/>
      <c r="J11" s="10"/>
      <c r="M11" s="39" t="str">
        <f t="shared" si="2"/>
        <v/>
      </c>
      <c r="O11" s="39" t="str">
        <f t="shared" si="3"/>
        <v/>
      </c>
      <c r="Q11" s="39" t="str">
        <f t="shared" si="4"/>
        <v/>
      </c>
      <c r="R11" s="28"/>
      <c r="S11" s="28"/>
      <c r="T11" s="28"/>
      <c r="U11" s="4" t="str">
        <f t="shared" si="5"/>
        <v>||</v>
      </c>
      <c r="V11" s="3" t="str">
        <f t="shared" si="6"/>
        <v>||</v>
      </c>
      <c r="W11" s="3" t="str">
        <f t="shared" si="7"/>
        <v>ZZZZZ</v>
      </c>
    </row>
    <row r="12" spans="1:23" s="5" customFormat="1">
      <c r="A12" s="6"/>
      <c r="B12" s="33"/>
      <c r="C12" s="34" t="str">
        <f t="shared" si="1"/>
        <v>ZZZZZ</v>
      </c>
      <c r="E12" s="39" t="str">
        <f t="shared" si="0"/>
        <v/>
      </c>
      <c r="G12" s="40"/>
      <c r="H12" s="15"/>
      <c r="I12" s="17"/>
      <c r="J12" s="10"/>
      <c r="M12" s="39" t="str">
        <f t="shared" si="2"/>
        <v/>
      </c>
      <c r="O12" s="39" t="str">
        <f t="shared" si="3"/>
        <v/>
      </c>
      <c r="Q12" s="39" t="str">
        <f t="shared" si="4"/>
        <v/>
      </c>
      <c r="R12" s="28"/>
      <c r="S12" s="28"/>
      <c r="T12" s="28"/>
      <c r="U12" s="4" t="str">
        <f t="shared" si="5"/>
        <v>||</v>
      </c>
      <c r="V12" s="3" t="str">
        <f t="shared" si="6"/>
        <v>||</v>
      </c>
      <c r="W12" s="3" t="str">
        <f t="shared" si="7"/>
        <v>ZZZZZ</v>
      </c>
    </row>
    <row r="13" spans="1:23" s="5" customFormat="1">
      <c r="A13" s="6"/>
      <c r="B13" s="33"/>
      <c r="C13" s="34" t="str">
        <f t="shared" si="1"/>
        <v>ZZZZZ</v>
      </c>
      <c r="E13" s="39" t="str">
        <f t="shared" si="0"/>
        <v/>
      </c>
      <c r="G13" s="40"/>
      <c r="H13" s="14"/>
      <c r="I13" s="17"/>
      <c r="J13" s="10"/>
      <c r="M13" s="39" t="str">
        <f t="shared" si="2"/>
        <v/>
      </c>
      <c r="O13" s="39" t="str">
        <f t="shared" si="3"/>
        <v/>
      </c>
      <c r="Q13" s="39" t="str">
        <f t="shared" si="4"/>
        <v/>
      </c>
      <c r="R13" s="28"/>
      <c r="S13" s="28"/>
      <c r="T13" s="28"/>
      <c r="U13" s="4" t="str">
        <f t="shared" si="5"/>
        <v>||</v>
      </c>
      <c r="V13" s="3" t="str">
        <f t="shared" si="6"/>
        <v>||</v>
      </c>
      <c r="W13" s="3" t="str">
        <f t="shared" si="7"/>
        <v>ZZZZZ</v>
      </c>
    </row>
    <row r="14" spans="1:23" s="5" customFormat="1">
      <c r="A14" s="6"/>
      <c r="B14" s="33"/>
      <c r="C14" s="34" t="str">
        <f t="shared" si="1"/>
        <v>ZZZZZ</v>
      </c>
      <c r="E14" s="39" t="str">
        <f t="shared" si="0"/>
        <v/>
      </c>
      <c r="G14" s="40"/>
      <c r="H14" s="15"/>
      <c r="I14" s="17"/>
      <c r="J14" s="10"/>
      <c r="M14" s="39" t="str">
        <f t="shared" si="2"/>
        <v/>
      </c>
      <c r="O14" s="39" t="str">
        <f t="shared" si="3"/>
        <v/>
      </c>
      <c r="Q14" s="39" t="str">
        <f t="shared" si="4"/>
        <v/>
      </c>
      <c r="R14" s="28"/>
      <c r="S14" s="28"/>
      <c r="T14" s="28"/>
      <c r="U14" s="4" t="str">
        <f t="shared" si="5"/>
        <v>||</v>
      </c>
      <c r="V14" s="3" t="str">
        <f t="shared" si="6"/>
        <v>||</v>
      </c>
      <c r="W14" s="3" t="str">
        <f t="shared" si="7"/>
        <v>ZZZZZ</v>
      </c>
    </row>
    <row r="15" spans="1:23" s="5" customFormat="1">
      <c r="A15" s="6"/>
      <c r="B15" s="33"/>
      <c r="C15" s="34" t="str">
        <f t="shared" si="1"/>
        <v>ZZZZZ</v>
      </c>
      <c r="E15" s="39" t="str">
        <f t="shared" si="0"/>
        <v/>
      </c>
      <c r="G15" s="40"/>
      <c r="H15" s="14"/>
      <c r="I15" s="17"/>
      <c r="J15" s="10"/>
      <c r="M15" s="39" t="str">
        <f t="shared" si="2"/>
        <v/>
      </c>
      <c r="O15" s="39" t="str">
        <f t="shared" si="3"/>
        <v/>
      </c>
      <c r="Q15" s="39" t="str">
        <f t="shared" si="4"/>
        <v/>
      </c>
      <c r="R15" s="28"/>
      <c r="S15" s="28"/>
      <c r="T15" s="28"/>
      <c r="U15" s="4" t="str">
        <f t="shared" si="5"/>
        <v>||</v>
      </c>
      <c r="V15" s="3" t="str">
        <f t="shared" si="6"/>
        <v>||</v>
      </c>
      <c r="W15" s="3" t="str">
        <f t="shared" si="7"/>
        <v>ZZZZZ</v>
      </c>
    </row>
    <row r="16" spans="1:23" s="5" customFormat="1">
      <c r="A16" s="6"/>
      <c r="B16" s="33"/>
      <c r="C16" s="34" t="str">
        <f t="shared" si="1"/>
        <v>ZZZZZ</v>
      </c>
      <c r="E16" s="39" t="str">
        <f t="shared" si="0"/>
        <v/>
      </c>
      <c r="G16" s="40"/>
      <c r="H16" s="15"/>
      <c r="I16" s="17"/>
      <c r="J16" s="10"/>
      <c r="M16" s="39" t="str">
        <f t="shared" si="2"/>
        <v/>
      </c>
      <c r="O16" s="39" t="str">
        <f t="shared" si="3"/>
        <v/>
      </c>
      <c r="Q16" s="39" t="str">
        <f t="shared" si="4"/>
        <v/>
      </c>
      <c r="R16" s="28"/>
      <c r="S16" s="28"/>
      <c r="T16" s="28"/>
      <c r="U16" s="4" t="str">
        <f t="shared" si="5"/>
        <v>||</v>
      </c>
      <c r="V16" s="3" t="str">
        <f t="shared" si="6"/>
        <v>||</v>
      </c>
      <c r="W16" s="3" t="str">
        <f t="shared" si="7"/>
        <v>ZZZZZ</v>
      </c>
    </row>
    <row r="17" spans="1:23" s="5" customFormat="1">
      <c r="A17" s="6"/>
      <c r="B17" s="33"/>
      <c r="C17" s="34" t="str">
        <f t="shared" si="1"/>
        <v>ZZZZZ</v>
      </c>
      <c r="E17" s="39" t="str">
        <f t="shared" si="0"/>
        <v/>
      </c>
      <c r="G17" s="40"/>
      <c r="H17" s="15"/>
      <c r="I17" s="17"/>
      <c r="J17" s="10"/>
      <c r="M17" s="39" t="str">
        <f t="shared" si="2"/>
        <v/>
      </c>
      <c r="O17" s="39" t="str">
        <f t="shared" si="3"/>
        <v/>
      </c>
      <c r="Q17" s="39" t="str">
        <f t="shared" si="4"/>
        <v/>
      </c>
      <c r="R17" s="28"/>
      <c r="S17" s="28"/>
      <c r="T17" s="28"/>
      <c r="U17" s="4" t="str">
        <f t="shared" si="5"/>
        <v>||</v>
      </c>
      <c r="V17" s="3" t="str">
        <f t="shared" si="6"/>
        <v>||</v>
      </c>
      <c r="W17" s="3" t="str">
        <f t="shared" si="7"/>
        <v>ZZZZZ</v>
      </c>
    </row>
    <row r="18" spans="1:23" s="5" customFormat="1">
      <c r="A18" s="6"/>
      <c r="B18" s="33"/>
      <c r="C18" s="34" t="str">
        <f t="shared" si="1"/>
        <v>ZZZZZ</v>
      </c>
      <c r="E18" s="39" t="str">
        <f t="shared" si="0"/>
        <v/>
      </c>
      <c r="G18" s="40"/>
      <c r="H18" s="15"/>
      <c r="I18" s="17"/>
      <c r="J18" s="10"/>
      <c r="M18" s="39" t="str">
        <f t="shared" si="2"/>
        <v/>
      </c>
      <c r="O18" s="39" t="str">
        <f t="shared" si="3"/>
        <v/>
      </c>
      <c r="Q18" s="39" t="str">
        <f t="shared" si="4"/>
        <v/>
      </c>
      <c r="R18" s="28"/>
      <c r="S18" s="28"/>
      <c r="T18" s="28"/>
      <c r="U18" s="4" t="str">
        <f t="shared" si="5"/>
        <v>||</v>
      </c>
      <c r="V18" s="3" t="str">
        <f t="shared" si="6"/>
        <v>||</v>
      </c>
      <c r="W18" s="3" t="str">
        <f t="shared" si="7"/>
        <v>ZZZZZ</v>
      </c>
    </row>
    <row r="19" spans="1:23" s="5" customFormat="1">
      <c r="A19" s="19"/>
      <c r="B19" s="33"/>
      <c r="C19" s="34" t="str">
        <f t="shared" si="1"/>
        <v>ZZZZZ</v>
      </c>
      <c r="D19" s="2"/>
      <c r="E19" s="39" t="str">
        <f t="shared" si="0"/>
        <v/>
      </c>
      <c r="G19" s="40"/>
      <c r="H19" s="10"/>
      <c r="I19" s="17"/>
      <c r="J19" s="11"/>
      <c r="L19" s="2"/>
      <c r="M19" s="39" t="str">
        <f t="shared" si="2"/>
        <v/>
      </c>
      <c r="O19" s="39" t="str">
        <f t="shared" si="3"/>
        <v/>
      </c>
      <c r="Q19" s="39" t="str">
        <f t="shared" si="4"/>
        <v/>
      </c>
      <c r="R19" s="28"/>
      <c r="S19" s="28"/>
      <c r="T19" s="28"/>
      <c r="U19" s="4" t="str">
        <f t="shared" si="5"/>
        <v>||</v>
      </c>
      <c r="V19" s="3" t="str">
        <f t="shared" si="6"/>
        <v>||</v>
      </c>
      <c r="W19" s="3" t="str">
        <f t="shared" si="7"/>
        <v>ZZZZZ</v>
      </c>
    </row>
    <row r="20" spans="1:23" s="5" customFormat="1">
      <c r="A20" s="6"/>
      <c r="B20" s="33"/>
      <c r="C20" s="34" t="str">
        <f t="shared" si="1"/>
        <v>ZZZZZ</v>
      </c>
      <c r="E20" s="39" t="str">
        <f t="shared" si="0"/>
        <v/>
      </c>
      <c r="G20" s="40"/>
      <c r="H20" s="15"/>
      <c r="I20" s="17"/>
      <c r="J20" s="10"/>
      <c r="M20" s="39" t="str">
        <f t="shared" si="2"/>
        <v/>
      </c>
      <c r="O20" s="39" t="str">
        <f t="shared" si="3"/>
        <v/>
      </c>
      <c r="Q20" s="39" t="str">
        <f t="shared" si="4"/>
        <v/>
      </c>
      <c r="R20" s="28"/>
      <c r="S20" s="28"/>
      <c r="T20" s="28"/>
      <c r="U20" s="4" t="str">
        <f t="shared" si="5"/>
        <v>||</v>
      </c>
      <c r="V20" s="3" t="str">
        <f t="shared" si="6"/>
        <v>||</v>
      </c>
      <c r="W20" s="3" t="str">
        <f t="shared" si="7"/>
        <v>ZZZZZ</v>
      </c>
    </row>
    <row r="21" spans="1:23">
      <c r="A21" s="6"/>
      <c r="C21" s="34" t="str">
        <f t="shared" si="1"/>
        <v>ZZZZZ</v>
      </c>
      <c r="D21" s="5"/>
      <c r="E21" s="39" t="str">
        <f t="shared" si="0"/>
        <v/>
      </c>
      <c r="F21" s="5"/>
      <c r="G21" s="40"/>
      <c r="H21" s="15"/>
      <c r="I21" s="17"/>
      <c r="J21" s="10"/>
      <c r="L21" s="5"/>
      <c r="M21" s="39" t="str">
        <f t="shared" si="2"/>
        <v/>
      </c>
      <c r="N21" s="5"/>
      <c r="O21" s="39" t="str">
        <f t="shared" si="3"/>
        <v/>
      </c>
      <c r="P21" s="5"/>
      <c r="Q21" s="39" t="str">
        <f t="shared" si="4"/>
        <v/>
      </c>
      <c r="U21" s="4" t="str">
        <f t="shared" si="5"/>
        <v>||</v>
      </c>
      <c r="V21" s="3" t="str">
        <f t="shared" si="6"/>
        <v>||</v>
      </c>
      <c r="W21" s="3" t="str">
        <f t="shared" si="7"/>
        <v>ZZZZZ</v>
      </c>
    </row>
    <row r="22" spans="1:23">
      <c r="A22" s="6"/>
      <c r="C22" s="34" t="str">
        <f t="shared" si="1"/>
        <v>ZZZZZ</v>
      </c>
      <c r="D22" s="5"/>
      <c r="E22" s="39" t="str">
        <f t="shared" si="0"/>
        <v/>
      </c>
      <c r="F22" s="5"/>
      <c r="G22" s="40"/>
      <c r="H22" s="15"/>
      <c r="I22" s="17"/>
      <c r="J22" s="10"/>
      <c r="L22" s="5"/>
      <c r="M22" s="39" t="str">
        <f t="shared" si="2"/>
        <v/>
      </c>
      <c r="N22" s="5"/>
      <c r="O22" s="39" t="str">
        <f t="shared" si="3"/>
        <v/>
      </c>
      <c r="P22" s="5"/>
      <c r="Q22" s="39" t="str">
        <f t="shared" si="4"/>
        <v/>
      </c>
      <c r="U22" s="4" t="str">
        <f t="shared" si="5"/>
        <v>||</v>
      </c>
      <c r="V22" s="3" t="str">
        <f t="shared" si="6"/>
        <v>||</v>
      </c>
      <c r="W22" s="3" t="str">
        <f t="shared" si="7"/>
        <v>ZZZZZ</v>
      </c>
    </row>
    <row r="23" spans="1:23">
      <c r="A23" s="6"/>
      <c r="C23" s="34" t="str">
        <f t="shared" si="1"/>
        <v>ZZZZZ</v>
      </c>
      <c r="D23" s="5"/>
      <c r="E23" s="39" t="str">
        <f t="shared" si="0"/>
        <v/>
      </c>
      <c r="F23" s="5"/>
      <c r="G23" s="40"/>
      <c r="H23" s="15"/>
      <c r="I23" s="17"/>
      <c r="J23" s="10"/>
      <c r="L23" s="5"/>
      <c r="M23" s="39" t="str">
        <f t="shared" si="2"/>
        <v/>
      </c>
      <c r="N23" s="5"/>
      <c r="O23" s="39" t="str">
        <f t="shared" si="3"/>
        <v/>
      </c>
      <c r="P23" s="5"/>
      <c r="Q23" s="39" t="str">
        <f t="shared" si="4"/>
        <v/>
      </c>
      <c r="U23" s="4" t="str">
        <f t="shared" si="5"/>
        <v>||</v>
      </c>
      <c r="V23" s="3" t="str">
        <f t="shared" si="6"/>
        <v>||</v>
      </c>
      <c r="W23" s="3" t="str">
        <f t="shared" si="7"/>
        <v>ZZZZZ</v>
      </c>
    </row>
    <row r="24" spans="1:23">
      <c r="A24" s="6"/>
      <c r="C24" s="34" t="str">
        <f t="shared" si="1"/>
        <v>ZZZZZ</v>
      </c>
      <c r="D24" s="5"/>
      <c r="E24" s="39" t="str">
        <f t="shared" si="0"/>
        <v/>
      </c>
      <c r="F24" s="5"/>
      <c r="G24" s="40"/>
      <c r="H24" s="15"/>
      <c r="I24" s="17"/>
      <c r="J24" s="10"/>
      <c r="L24" s="5"/>
      <c r="M24" s="39" t="str">
        <f t="shared" si="2"/>
        <v/>
      </c>
      <c r="N24" s="5"/>
      <c r="O24" s="39" t="str">
        <f t="shared" si="3"/>
        <v/>
      </c>
      <c r="P24" s="5"/>
      <c r="Q24" s="39" t="str">
        <f t="shared" si="4"/>
        <v/>
      </c>
      <c r="U24" s="4" t="str">
        <f t="shared" si="5"/>
        <v>||</v>
      </c>
      <c r="V24" s="3" t="str">
        <f t="shared" si="6"/>
        <v>||</v>
      </c>
      <c r="W24" s="3" t="str">
        <f t="shared" si="7"/>
        <v>ZZZZZ</v>
      </c>
    </row>
    <row r="25" spans="1:23">
      <c r="A25" s="6"/>
      <c r="C25" s="34" t="str">
        <f t="shared" si="1"/>
        <v>ZZZZZ</v>
      </c>
      <c r="D25" s="5"/>
      <c r="E25" s="39" t="str">
        <f t="shared" si="0"/>
        <v/>
      </c>
      <c r="F25" s="5"/>
      <c r="G25" s="40"/>
      <c r="H25" s="15"/>
      <c r="I25" s="17"/>
      <c r="J25" s="10"/>
      <c r="L25" s="5"/>
      <c r="M25" s="39" t="str">
        <f t="shared" si="2"/>
        <v/>
      </c>
      <c r="N25" s="5"/>
      <c r="O25" s="39" t="str">
        <f t="shared" si="3"/>
        <v/>
      </c>
      <c r="P25" s="5"/>
      <c r="Q25" s="39" t="str">
        <f t="shared" si="4"/>
        <v/>
      </c>
      <c r="U25" s="4" t="str">
        <f t="shared" si="5"/>
        <v>||</v>
      </c>
      <c r="V25" s="3" t="str">
        <f t="shared" si="6"/>
        <v>||</v>
      </c>
      <c r="W25" s="3" t="str">
        <f t="shared" si="7"/>
        <v>ZZZZZ</v>
      </c>
    </row>
    <row r="26" spans="1:23">
      <c r="A26" s="6"/>
      <c r="C26" s="34" t="str">
        <f t="shared" si="1"/>
        <v>ZZZZZ</v>
      </c>
      <c r="D26" s="5"/>
      <c r="E26" s="39" t="str">
        <f t="shared" si="0"/>
        <v/>
      </c>
      <c r="F26" s="5"/>
      <c r="G26" s="40"/>
      <c r="H26" s="15"/>
      <c r="I26" s="17"/>
      <c r="J26" s="10"/>
      <c r="L26" s="5"/>
      <c r="M26" s="39" t="str">
        <f t="shared" si="2"/>
        <v/>
      </c>
      <c r="N26" s="5"/>
      <c r="O26" s="39" t="str">
        <f t="shared" si="3"/>
        <v/>
      </c>
      <c r="P26" s="5"/>
      <c r="Q26" s="39" t="str">
        <f t="shared" si="4"/>
        <v/>
      </c>
      <c r="U26" s="4" t="str">
        <f t="shared" si="5"/>
        <v>||</v>
      </c>
      <c r="V26" s="3" t="str">
        <f t="shared" si="6"/>
        <v>||</v>
      </c>
      <c r="W26" s="3" t="str">
        <f t="shared" si="7"/>
        <v>ZZZZZ</v>
      </c>
    </row>
    <row r="27" spans="1:23">
      <c r="A27" s="6"/>
      <c r="C27" s="34" t="str">
        <f t="shared" si="1"/>
        <v>ZZZZZ</v>
      </c>
      <c r="D27" s="5"/>
      <c r="E27" s="39" t="str">
        <f t="shared" si="0"/>
        <v/>
      </c>
      <c r="F27" s="5"/>
      <c r="G27" s="40"/>
      <c r="H27" s="14"/>
      <c r="I27" s="17"/>
      <c r="J27" s="10"/>
      <c r="L27" s="5"/>
      <c r="M27" s="39" t="str">
        <f t="shared" si="2"/>
        <v/>
      </c>
      <c r="N27" s="5"/>
      <c r="O27" s="39" t="str">
        <f t="shared" si="3"/>
        <v/>
      </c>
      <c r="P27" s="5"/>
      <c r="Q27" s="39" t="str">
        <f t="shared" si="4"/>
        <v/>
      </c>
      <c r="U27" s="4" t="str">
        <f t="shared" si="5"/>
        <v>||</v>
      </c>
      <c r="V27" s="3" t="str">
        <f t="shared" si="6"/>
        <v>||</v>
      </c>
      <c r="W27" s="3" t="str">
        <f t="shared" si="7"/>
        <v>ZZZZZ</v>
      </c>
    </row>
    <row r="28" spans="1:23">
      <c r="A28" s="6"/>
      <c r="C28" s="34" t="str">
        <f t="shared" si="1"/>
        <v>ZZZZZ</v>
      </c>
      <c r="D28" s="5"/>
      <c r="E28" s="39" t="str">
        <f t="shared" si="0"/>
        <v/>
      </c>
      <c r="F28" s="5"/>
      <c r="G28" s="40"/>
      <c r="H28" s="15"/>
      <c r="I28" s="17"/>
      <c r="J28" s="10"/>
      <c r="L28" s="5"/>
      <c r="M28" s="39" t="str">
        <f t="shared" si="2"/>
        <v/>
      </c>
      <c r="N28" s="5"/>
      <c r="O28" s="39" t="str">
        <f t="shared" si="3"/>
        <v/>
      </c>
      <c r="P28" s="5"/>
      <c r="Q28" s="39" t="str">
        <f t="shared" si="4"/>
        <v/>
      </c>
      <c r="U28" s="4" t="str">
        <f t="shared" si="5"/>
        <v>||</v>
      </c>
      <c r="V28" s="3" t="str">
        <f t="shared" si="6"/>
        <v>||</v>
      </c>
      <c r="W28" s="3" t="str">
        <f t="shared" si="7"/>
        <v>ZZZZZ</v>
      </c>
    </row>
    <row r="29" spans="1:23">
      <c r="A29" s="6"/>
      <c r="C29" s="34" t="str">
        <f t="shared" si="1"/>
        <v>ZZZZZ</v>
      </c>
      <c r="D29" s="5"/>
      <c r="E29" s="39" t="str">
        <f t="shared" si="0"/>
        <v/>
      </c>
      <c r="F29" s="5"/>
      <c r="G29" s="40"/>
      <c r="H29" s="14"/>
      <c r="I29" s="17"/>
      <c r="J29" s="10"/>
      <c r="L29" s="5"/>
      <c r="M29" s="39" t="str">
        <f t="shared" si="2"/>
        <v/>
      </c>
      <c r="N29" s="5"/>
      <c r="O29" s="39" t="str">
        <f t="shared" si="3"/>
        <v/>
      </c>
      <c r="P29" s="5"/>
      <c r="Q29" s="39" t="str">
        <f t="shared" si="4"/>
        <v/>
      </c>
      <c r="U29" s="4" t="str">
        <f t="shared" si="5"/>
        <v>||</v>
      </c>
      <c r="V29" s="3" t="str">
        <f t="shared" si="6"/>
        <v>||</v>
      </c>
      <c r="W29" s="3" t="str">
        <f t="shared" si="7"/>
        <v>ZZZZZ</v>
      </c>
    </row>
    <row r="30" spans="1:23">
      <c r="A30" s="6"/>
      <c r="C30" s="34" t="str">
        <f t="shared" si="1"/>
        <v>ZZZZZ</v>
      </c>
      <c r="D30" s="5"/>
      <c r="E30" s="39" t="str">
        <f t="shared" si="0"/>
        <v/>
      </c>
      <c r="F30" s="5"/>
      <c r="G30" s="40"/>
      <c r="H30" s="15"/>
      <c r="I30" s="17"/>
      <c r="J30" s="10"/>
      <c r="L30" s="5"/>
      <c r="M30" s="39" t="str">
        <f t="shared" si="2"/>
        <v/>
      </c>
      <c r="N30" s="5"/>
      <c r="O30" s="39" t="str">
        <f t="shared" si="3"/>
        <v/>
      </c>
      <c r="P30" s="5"/>
      <c r="Q30" s="39" t="str">
        <f t="shared" si="4"/>
        <v/>
      </c>
      <c r="U30" s="4" t="str">
        <f t="shared" si="5"/>
        <v>||</v>
      </c>
      <c r="V30" s="3" t="str">
        <f t="shared" si="6"/>
        <v>||</v>
      </c>
      <c r="W30" s="3" t="str">
        <f t="shared" si="7"/>
        <v>ZZZZZ</v>
      </c>
    </row>
    <row r="31" spans="1:23">
      <c r="A31" s="6"/>
      <c r="C31" s="34" t="str">
        <f t="shared" si="1"/>
        <v>ZZZZZ</v>
      </c>
      <c r="D31" s="5"/>
      <c r="E31" s="39" t="str">
        <f t="shared" si="0"/>
        <v/>
      </c>
      <c r="F31" s="5"/>
      <c r="G31" s="40"/>
      <c r="H31" s="14"/>
      <c r="I31" s="17"/>
      <c r="J31" s="10"/>
      <c r="L31" s="5"/>
      <c r="M31" s="39" t="str">
        <f t="shared" si="2"/>
        <v/>
      </c>
      <c r="N31" s="5"/>
      <c r="O31" s="39" t="str">
        <f t="shared" si="3"/>
        <v/>
      </c>
      <c r="P31" s="5"/>
      <c r="Q31" s="39" t="str">
        <f t="shared" si="4"/>
        <v/>
      </c>
      <c r="U31" s="4" t="str">
        <f t="shared" si="5"/>
        <v>||</v>
      </c>
      <c r="V31" s="3" t="str">
        <f t="shared" si="6"/>
        <v>||</v>
      </c>
      <c r="W31" s="3" t="str">
        <f t="shared" si="7"/>
        <v>ZZZZZ</v>
      </c>
    </row>
    <row r="32" spans="1:23">
      <c r="A32" s="6"/>
      <c r="C32" s="34" t="str">
        <f t="shared" si="1"/>
        <v>ZZZZZ</v>
      </c>
      <c r="D32" s="5"/>
      <c r="E32" s="39" t="str">
        <f t="shared" si="0"/>
        <v/>
      </c>
      <c r="F32" s="5"/>
      <c r="G32" s="40"/>
      <c r="H32" s="15"/>
      <c r="I32" s="17"/>
      <c r="J32" s="10"/>
      <c r="L32" s="5"/>
      <c r="M32" s="39" t="str">
        <f t="shared" si="2"/>
        <v/>
      </c>
      <c r="N32" s="5"/>
      <c r="O32" s="39" t="str">
        <f t="shared" si="3"/>
        <v/>
      </c>
      <c r="P32" s="5"/>
      <c r="Q32" s="39" t="str">
        <f t="shared" si="4"/>
        <v/>
      </c>
      <c r="U32" s="4" t="str">
        <f t="shared" si="5"/>
        <v>||</v>
      </c>
      <c r="V32" s="3" t="str">
        <f t="shared" si="6"/>
        <v>||</v>
      </c>
      <c r="W32" s="3" t="str">
        <f t="shared" si="7"/>
        <v>ZZZZZ</v>
      </c>
    </row>
    <row r="33" spans="1:23">
      <c r="A33" s="6"/>
      <c r="C33" s="34" t="str">
        <f t="shared" si="1"/>
        <v>ZZZZZ</v>
      </c>
      <c r="D33" s="5"/>
      <c r="E33" s="39" t="str">
        <f t="shared" si="0"/>
        <v/>
      </c>
      <c r="F33" s="5"/>
      <c r="G33" s="40"/>
      <c r="H33" s="14"/>
      <c r="I33" s="17"/>
      <c r="J33" s="10"/>
      <c r="L33" s="5"/>
      <c r="M33" s="39" t="str">
        <f t="shared" si="2"/>
        <v/>
      </c>
      <c r="N33" s="5"/>
      <c r="O33" s="39" t="str">
        <f t="shared" si="3"/>
        <v/>
      </c>
      <c r="P33" s="5"/>
      <c r="Q33" s="39" t="str">
        <f t="shared" si="4"/>
        <v/>
      </c>
      <c r="U33" s="4" t="str">
        <f t="shared" si="5"/>
        <v>||</v>
      </c>
      <c r="V33" s="3" t="str">
        <f t="shared" si="6"/>
        <v>||</v>
      </c>
      <c r="W33" s="3" t="str">
        <f t="shared" si="7"/>
        <v>ZZZZZ</v>
      </c>
    </row>
    <row r="34" spans="1:23">
      <c r="A34" s="6"/>
      <c r="C34" s="34" t="str">
        <f t="shared" si="1"/>
        <v>ZZZZZ</v>
      </c>
      <c r="D34" s="5"/>
      <c r="E34" s="39" t="str">
        <f t="shared" si="0"/>
        <v/>
      </c>
      <c r="F34" s="5"/>
      <c r="G34" s="40"/>
      <c r="H34" s="15"/>
      <c r="I34" s="17"/>
      <c r="J34" s="10"/>
      <c r="L34" s="5"/>
      <c r="M34" s="39" t="str">
        <f t="shared" si="2"/>
        <v/>
      </c>
      <c r="N34" s="5"/>
      <c r="O34" s="39" t="str">
        <f t="shared" si="3"/>
        <v/>
      </c>
      <c r="P34" s="5"/>
      <c r="Q34" s="39" t="str">
        <f t="shared" si="4"/>
        <v/>
      </c>
      <c r="U34" s="4" t="str">
        <f t="shared" si="5"/>
        <v>||</v>
      </c>
      <c r="V34" s="3" t="str">
        <f t="shared" si="6"/>
        <v>||</v>
      </c>
      <c r="W34" s="3" t="str">
        <f t="shared" si="7"/>
        <v>ZZZZZ</v>
      </c>
    </row>
    <row r="35" spans="1:23">
      <c r="A35" s="6"/>
      <c r="C35" s="34" t="str">
        <f t="shared" si="1"/>
        <v>ZZZZZ</v>
      </c>
      <c r="D35" s="5"/>
      <c r="E35" s="39" t="str">
        <f t="shared" si="0"/>
        <v/>
      </c>
      <c r="F35" s="5"/>
      <c r="G35" s="40"/>
      <c r="H35" s="14"/>
      <c r="I35" s="17"/>
      <c r="J35" s="10"/>
      <c r="L35" s="5"/>
      <c r="M35" s="39" t="str">
        <f t="shared" si="2"/>
        <v/>
      </c>
      <c r="N35" s="5"/>
      <c r="O35" s="39" t="str">
        <f t="shared" si="3"/>
        <v/>
      </c>
      <c r="P35" s="5"/>
      <c r="Q35" s="39" t="str">
        <f t="shared" si="4"/>
        <v/>
      </c>
      <c r="U35" s="4" t="str">
        <f t="shared" si="5"/>
        <v>||</v>
      </c>
      <c r="V35" s="3" t="str">
        <f t="shared" si="6"/>
        <v>||</v>
      </c>
      <c r="W35" s="3" t="str">
        <f t="shared" si="7"/>
        <v>ZZZZZ</v>
      </c>
    </row>
    <row r="36" spans="1:23">
      <c r="A36" s="6"/>
      <c r="C36" s="34" t="str">
        <f t="shared" si="1"/>
        <v>ZZZZZ</v>
      </c>
      <c r="D36" s="5"/>
      <c r="E36" s="39" t="str">
        <f t="shared" si="0"/>
        <v/>
      </c>
      <c r="F36" s="5"/>
      <c r="G36" s="40"/>
      <c r="H36" s="15"/>
      <c r="I36" s="17"/>
      <c r="J36" s="10"/>
      <c r="L36" s="5"/>
      <c r="M36" s="39" t="str">
        <f t="shared" si="2"/>
        <v/>
      </c>
      <c r="N36" s="5"/>
      <c r="O36" s="39" t="str">
        <f t="shared" si="3"/>
        <v/>
      </c>
      <c r="P36" s="5"/>
      <c r="Q36" s="39" t="str">
        <f t="shared" si="4"/>
        <v/>
      </c>
      <c r="U36" s="4" t="str">
        <f t="shared" si="5"/>
        <v>||</v>
      </c>
      <c r="V36" s="3" t="str">
        <f t="shared" si="6"/>
        <v>||</v>
      </c>
      <c r="W36" s="3" t="str">
        <f t="shared" si="7"/>
        <v>ZZZZZ</v>
      </c>
    </row>
    <row r="37" spans="1:23">
      <c r="A37" s="6"/>
      <c r="C37" s="34" t="str">
        <f t="shared" si="1"/>
        <v>ZZZZZ</v>
      </c>
      <c r="D37" s="5"/>
      <c r="E37" s="39" t="str">
        <f t="shared" si="0"/>
        <v/>
      </c>
      <c r="F37" s="5"/>
      <c r="G37" s="40"/>
      <c r="H37" s="14"/>
      <c r="I37" s="17"/>
      <c r="J37" s="10"/>
      <c r="L37" s="5"/>
      <c r="M37" s="39" t="str">
        <f t="shared" si="2"/>
        <v/>
      </c>
      <c r="N37" s="5"/>
      <c r="O37" s="39" t="str">
        <f t="shared" si="3"/>
        <v/>
      </c>
      <c r="P37" s="5"/>
      <c r="Q37" s="39" t="str">
        <f t="shared" si="4"/>
        <v/>
      </c>
      <c r="U37" s="4" t="str">
        <f t="shared" si="5"/>
        <v>||</v>
      </c>
      <c r="V37" s="3" t="str">
        <f t="shared" si="6"/>
        <v>||</v>
      </c>
      <c r="W37" s="3" t="str">
        <f t="shared" si="7"/>
        <v>ZZZZZ</v>
      </c>
    </row>
    <row r="38" spans="1:23">
      <c r="A38" s="6"/>
      <c r="C38" s="34" t="str">
        <f t="shared" si="1"/>
        <v>ZZZZZ</v>
      </c>
      <c r="D38" s="5"/>
      <c r="E38" s="39" t="str">
        <f t="shared" si="0"/>
        <v/>
      </c>
      <c r="F38" s="5"/>
      <c r="G38" s="40"/>
      <c r="H38" s="14"/>
      <c r="I38" s="17"/>
      <c r="J38" s="10"/>
      <c r="L38" s="5"/>
      <c r="M38" s="39" t="str">
        <f t="shared" si="2"/>
        <v/>
      </c>
      <c r="N38" s="5"/>
      <c r="O38" s="39" t="str">
        <f t="shared" si="3"/>
        <v/>
      </c>
      <c r="P38" s="5"/>
      <c r="Q38" s="39" t="str">
        <f t="shared" si="4"/>
        <v/>
      </c>
      <c r="U38" s="4" t="str">
        <f t="shared" si="5"/>
        <v>||</v>
      </c>
      <c r="V38" s="3" t="str">
        <f t="shared" si="6"/>
        <v>||</v>
      </c>
      <c r="W38" s="3" t="str">
        <f t="shared" si="7"/>
        <v>ZZZZZ</v>
      </c>
    </row>
    <row r="39" spans="1:23">
      <c r="A39" s="6"/>
      <c r="C39" s="34" t="str">
        <f t="shared" si="1"/>
        <v>ZZZZZ</v>
      </c>
      <c r="D39" s="5"/>
      <c r="E39" s="39" t="str">
        <f t="shared" si="0"/>
        <v/>
      </c>
      <c r="F39" s="5"/>
      <c r="G39" s="40"/>
      <c r="H39" s="15"/>
      <c r="I39" s="17"/>
      <c r="J39" s="10"/>
      <c r="L39" s="5"/>
      <c r="M39" s="39" t="str">
        <f t="shared" si="2"/>
        <v/>
      </c>
      <c r="N39" s="5"/>
      <c r="O39" s="39" t="str">
        <f t="shared" si="3"/>
        <v/>
      </c>
      <c r="P39" s="5"/>
      <c r="Q39" s="39" t="str">
        <f t="shared" si="4"/>
        <v/>
      </c>
      <c r="U39" s="4" t="str">
        <f t="shared" si="5"/>
        <v>||</v>
      </c>
      <c r="V39" s="3" t="str">
        <f t="shared" si="6"/>
        <v>||</v>
      </c>
      <c r="W39" s="3" t="str">
        <f t="shared" si="7"/>
        <v>ZZZZZ</v>
      </c>
    </row>
    <row r="40" spans="1:23">
      <c r="A40" s="6"/>
      <c r="C40" s="34" t="str">
        <f t="shared" si="1"/>
        <v>ZZZZZ</v>
      </c>
      <c r="D40" s="5"/>
      <c r="E40" s="39" t="str">
        <f t="shared" si="0"/>
        <v/>
      </c>
      <c r="F40" s="5"/>
      <c r="G40" s="40"/>
      <c r="H40" s="15"/>
      <c r="I40" s="17"/>
      <c r="J40" s="10"/>
      <c r="L40" s="5"/>
      <c r="M40" s="39" t="str">
        <f t="shared" si="2"/>
        <v/>
      </c>
      <c r="N40" s="5"/>
      <c r="O40" s="39" t="str">
        <f t="shared" si="3"/>
        <v/>
      </c>
      <c r="P40" s="5"/>
      <c r="Q40" s="39" t="str">
        <f t="shared" si="4"/>
        <v/>
      </c>
      <c r="U40" s="4" t="str">
        <f t="shared" si="5"/>
        <v>||</v>
      </c>
      <c r="V40" s="3" t="str">
        <f t="shared" si="6"/>
        <v>||</v>
      </c>
      <c r="W40" s="3" t="str">
        <f t="shared" si="7"/>
        <v>ZZZZZ</v>
      </c>
    </row>
    <row r="41" spans="1:23">
      <c r="A41" s="6"/>
      <c r="C41" s="34" t="str">
        <f t="shared" si="1"/>
        <v>ZZZZZ</v>
      </c>
      <c r="D41" s="5"/>
      <c r="E41" s="39" t="str">
        <f t="shared" si="0"/>
        <v/>
      </c>
      <c r="F41" s="5"/>
      <c r="G41" s="40"/>
      <c r="H41" s="15"/>
      <c r="I41" s="17"/>
      <c r="J41" s="10"/>
      <c r="L41" s="5"/>
      <c r="M41" s="39" t="str">
        <f t="shared" si="2"/>
        <v/>
      </c>
      <c r="N41" s="5"/>
      <c r="O41" s="39" t="str">
        <f t="shared" si="3"/>
        <v/>
      </c>
      <c r="P41" s="5"/>
      <c r="Q41" s="39" t="str">
        <f t="shared" si="4"/>
        <v/>
      </c>
      <c r="U41" s="4" t="str">
        <f t="shared" si="5"/>
        <v>||</v>
      </c>
      <c r="V41" s="3" t="str">
        <f t="shared" si="6"/>
        <v>||</v>
      </c>
      <c r="W41" s="3" t="str">
        <f t="shared" si="7"/>
        <v>ZZZZZ</v>
      </c>
    </row>
    <row r="42" spans="1:23">
      <c r="A42" s="6"/>
      <c r="C42" s="34" t="str">
        <f t="shared" si="1"/>
        <v>ZZZZZ</v>
      </c>
      <c r="D42" s="5"/>
      <c r="E42" s="39" t="str">
        <f t="shared" si="0"/>
        <v/>
      </c>
      <c r="F42" s="5"/>
      <c r="G42" s="40"/>
      <c r="H42" s="14"/>
      <c r="I42" s="17"/>
      <c r="J42" s="10"/>
      <c r="L42" s="5"/>
      <c r="M42" s="39" t="str">
        <f t="shared" si="2"/>
        <v/>
      </c>
      <c r="N42" s="5"/>
      <c r="O42" s="39" t="str">
        <f t="shared" si="3"/>
        <v/>
      </c>
      <c r="P42" s="5"/>
      <c r="Q42" s="39" t="str">
        <f t="shared" si="4"/>
        <v/>
      </c>
      <c r="U42" s="4" t="str">
        <f t="shared" si="5"/>
        <v>||</v>
      </c>
      <c r="V42" s="3" t="str">
        <f t="shared" si="6"/>
        <v>||</v>
      </c>
      <c r="W42" s="3" t="str">
        <f t="shared" si="7"/>
        <v>ZZZZZ</v>
      </c>
    </row>
    <row r="43" spans="1:23">
      <c r="A43" s="6"/>
      <c r="C43" s="34" t="str">
        <f t="shared" si="1"/>
        <v>ZZZZZ</v>
      </c>
      <c r="D43" s="5"/>
      <c r="E43" s="39" t="str">
        <f t="shared" si="0"/>
        <v/>
      </c>
      <c r="F43" s="5"/>
      <c r="G43" s="40"/>
      <c r="H43" s="15"/>
      <c r="I43" s="17"/>
      <c r="J43" s="10"/>
      <c r="L43" s="5"/>
      <c r="M43" s="39" t="str">
        <f t="shared" si="2"/>
        <v/>
      </c>
      <c r="N43" s="5"/>
      <c r="O43" s="39" t="str">
        <f t="shared" si="3"/>
        <v/>
      </c>
      <c r="P43" s="5"/>
      <c r="Q43" s="39" t="str">
        <f t="shared" si="4"/>
        <v/>
      </c>
      <c r="U43" s="4" t="str">
        <f t="shared" si="5"/>
        <v>||</v>
      </c>
      <c r="V43" s="3" t="str">
        <f t="shared" si="6"/>
        <v>||</v>
      </c>
      <c r="W43" s="3" t="str">
        <f t="shared" si="7"/>
        <v>ZZZZZ</v>
      </c>
    </row>
    <row r="44" spans="1:23">
      <c r="A44" s="6"/>
      <c r="C44" s="34" t="str">
        <f t="shared" si="1"/>
        <v>ZZZZZ</v>
      </c>
      <c r="D44" s="5"/>
      <c r="E44" s="39" t="str">
        <f t="shared" si="0"/>
        <v/>
      </c>
      <c r="F44" s="5"/>
      <c r="G44" s="40"/>
      <c r="H44" s="14"/>
      <c r="I44" s="17"/>
      <c r="J44" s="10"/>
      <c r="L44" s="5"/>
      <c r="M44" s="39" t="str">
        <f t="shared" si="2"/>
        <v/>
      </c>
      <c r="N44" s="5"/>
      <c r="O44" s="39" t="str">
        <f t="shared" si="3"/>
        <v/>
      </c>
      <c r="P44" s="5"/>
      <c r="Q44" s="39" t="str">
        <f t="shared" si="4"/>
        <v/>
      </c>
      <c r="U44" s="4" t="str">
        <f t="shared" si="5"/>
        <v>||</v>
      </c>
      <c r="V44" s="3" t="str">
        <f t="shared" si="6"/>
        <v>||</v>
      </c>
      <c r="W44" s="3" t="str">
        <f t="shared" si="7"/>
        <v>ZZZZZ</v>
      </c>
    </row>
    <row r="45" spans="1:23">
      <c r="A45" s="6"/>
      <c r="C45" s="34" t="str">
        <f t="shared" si="1"/>
        <v>ZZZZZ</v>
      </c>
      <c r="D45" s="5"/>
      <c r="E45" s="39" t="str">
        <f t="shared" si="0"/>
        <v/>
      </c>
      <c r="F45" s="5"/>
      <c r="G45" s="40"/>
      <c r="H45" s="14"/>
      <c r="I45" s="17"/>
      <c r="J45" s="10"/>
      <c r="L45" s="5"/>
      <c r="M45" s="39" t="str">
        <f t="shared" si="2"/>
        <v/>
      </c>
      <c r="N45" s="5"/>
      <c r="O45" s="39" t="str">
        <f t="shared" si="3"/>
        <v/>
      </c>
      <c r="P45" s="5"/>
      <c r="Q45" s="39" t="str">
        <f t="shared" si="4"/>
        <v/>
      </c>
      <c r="U45" s="4" t="str">
        <f t="shared" si="5"/>
        <v>||</v>
      </c>
      <c r="V45" s="3" t="str">
        <f t="shared" si="6"/>
        <v>||</v>
      </c>
      <c r="W45" s="3" t="str">
        <f t="shared" si="7"/>
        <v>ZZZZZ</v>
      </c>
    </row>
    <row r="46" spans="1:23">
      <c r="A46" s="6"/>
      <c r="C46" s="34" t="str">
        <f t="shared" si="1"/>
        <v>ZZZZZ</v>
      </c>
      <c r="D46" s="5"/>
      <c r="E46" s="39" t="str">
        <f t="shared" si="0"/>
        <v/>
      </c>
      <c r="F46" s="5"/>
      <c r="G46" s="40"/>
      <c r="H46" s="14"/>
      <c r="I46" s="17"/>
      <c r="J46" s="10"/>
      <c r="L46" s="5"/>
      <c r="M46" s="39" t="str">
        <f t="shared" si="2"/>
        <v/>
      </c>
      <c r="N46" s="5"/>
      <c r="O46" s="39" t="str">
        <f t="shared" si="3"/>
        <v/>
      </c>
      <c r="P46" s="5"/>
      <c r="Q46" s="39" t="str">
        <f t="shared" si="4"/>
        <v/>
      </c>
      <c r="U46" s="4" t="str">
        <f t="shared" si="5"/>
        <v>||</v>
      </c>
      <c r="V46" s="3" t="str">
        <f t="shared" si="6"/>
        <v>||</v>
      </c>
      <c r="W46" s="3" t="str">
        <f t="shared" si="7"/>
        <v>ZZZZZ</v>
      </c>
    </row>
    <row r="47" spans="1:23">
      <c r="A47" s="6"/>
      <c r="C47" s="34" t="str">
        <f t="shared" si="1"/>
        <v>ZZZZZ</v>
      </c>
      <c r="D47" s="5"/>
      <c r="E47" s="39" t="str">
        <f t="shared" si="0"/>
        <v/>
      </c>
      <c r="F47" s="5"/>
      <c r="G47" s="40"/>
      <c r="H47" s="14"/>
      <c r="I47" s="17"/>
      <c r="J47" s="10"/>
      <c r="L47" s="5"/>
      <c r="M47" s="39" t="str">
        <f t="shared" si="2"/>
        <v/>
      </c>
      <c r="N47" s="5"/>
      <c r="O47" s="39" t="str">
        <f t="shared" si="3"/>
        <v/>
      </c>
      <c r="P47" s="5"/>
      <c r="Q47" s="39" t="str">
        <f t="shared" si="4"/>
        <v/>
      </c>
      <c r="U47" s="4" t="str">
        <f t="shared" si="5"/>
        <v>||</v>
      </c>
      <c r="V47" s="3" t="str">
        <f t="shared" si="6"/>
        <v>||</v>
      </c>
      <c r="W47" s="3" t="str">
        <f t="shared" si="7"/>
        <v>ZZZZZ</v>
      </c>
    </row>
    <row r="48" spans="1:23">
      <c r="A48" s="6"/>
      <c r="C48" s="34" t="str">
        <f t="shared" si="1"/>
        <v>ZZZZZ</v>
      </c>
      <c r="D48" s="5"/>
      <c r="E48" s="39" t="str">
        <f t="shared" si="0"/>
        <v/>
      </c>
      <c r="F48" s="5"/>
      <c r="G48" s="40"/>
      <c r="H48" s="15"/>
      <c r="I48" s="17"/>
      <c r="J48" s="10"/>
      <c r="L48" s="5"/>
      <c r="M48" s="39" t="str">
        <f t="shared" si="2"/>
        <v/>
      </c>
      <c r="N48" s="5"/>
      <c r="O48" s="39" t="str">
        <f t="shared" si="3"/>
        <v/>
      </c>
      <c r="P48" s="5"/>
      <c r="Q48" s="39" t="str">
        <f t="shared" si="4"/>
        <v/>
      </c>
      <c r="U48" s="4" t="str">
        <f t="shared" si="5"/>
        <v>||</v>
      </c>
      <c r="V48" s="3" t="str">
        <f t="shared" si="6"/>
        <v>||</v>
      </c>
      <c r="W48" s="3" t="str">
        <f t="shared" si="7"/>
        <v>ZZZZZ</v>
      </c>
    </row>
    <row r="49" spans="1:23">
      <c r="A49" s="6"/>
      <c r="C49" s="34" t="str">
        <f t="shared" si="1"/>
        <v>ZZZZZ</v>
      </c>
      <c r="D49" s="5"/>
      <c r="E49" s="39" t="str">
        <f t="shared" si="0"/>
        <v/>
      </c>
      <c r="F49" s="5"/>
      <c r="G49" s="40"/>
      <c r="H49" s="14"/>
      <c r="I49" s="17"/>
      <c r="J49" s="10"/>
      <c r="L49" s="5"/>
      <c r="M49" s="39" t="str">
        <f t="shared" si="2"/>
        <v/>
      </c>
      <c r="N49" s="5"/>
      <c r="O49" s="39" t="str">
        <f t="shared" si="3"/>
        <v/>
      </c>
      <c r="P49" s="5"/>
      <c r="Q49" s="39" t="str">
        <f t="shared" si="4"/>
        <v/>
      </c>
      <c r="U49" s="4" t="str">
        <f t="shared" si="5"/>
        <v>||</v>
      </c>
      <c r="V49" s="3" t="str">
        <f t="shared" si="6"/>
        <v>||</v>
      </c>
      <c r="W49" s="3" t="str">
        <f t="shared" si="7"/>
        <v>ZZZZZ</v>
      </c>
    </row>
    <row r="50" spans="1:23">
      <c r="A50" s="6"/>
      <c r="C50" s="34" t="str">
        <f t="shared" si="1"/>
        <v>ZZZZZ</v>
      </c>
      <c r="D50" s="5"/>
      <c r="E50" s="39" t="str">
        <f t="shared" si="0"/>
        <v/>
      </c>
      <c r="F50" s="5"/>
      <c r="G50" s="40"/>
      <c r="H50" s="14"/>
      <c r="I50" s="17"/>
      <c r="J50" s="10"/>
      <c r="L50" s="5"/>
      <c r="M50" s="39" t="str">
        <f t="shared" si="2"/>
        <v/>
      </c>
      <c r="N50" s="5"/>
      <c r="O50" s="39" t="str">
        <f t="shared" si="3"/>
        <v/>
      </c>
      <c r="P50" s="5"/>
      <c r="Q50" s="39" t="str">
        <f t="shared" si="4"/>
        <v/>
      </c>
      <c r="U50" s="4" t="str">
        <f t="shared" si="5"/>
        <v>||</v>
      </c>
      <c r="V50" s="3" t="str">
        <f t="shared" si="6"/>
        <v>||</v>
      </c>
      <c r="W50" s="3" t="str">
        <f t="shared" si="7"/>
        <v>ZZZZZ</v>
      </c>
    </row>
    <row r="51" spans="1:23">
      <c r="A51" s="6"/>
      <c r="C51" s="34" t="str">
        <f t="shared" si="1"/>
        <v>ZZZZZ</v>
      </c>
      <c r="D51" s="5"/>
      <c r="E51" s="39" t="str">
        <f t="shared" si="0"/>
        <v/>
      </c>
      <c r="F51" s="5"/>
      <c r="G51" s="40"/>
      <c r="H51" s="14"/>
      <c r="I51" s="17"/>
      <c r="J51" s="10"/>
      <c r="L51" s="5"/>
      <c r="M51" s="39" t="str">
        <f t="shared" si="2"/>
        <v/>
      </c>
      <c r="N51" s="5"/>
      <c r="O51" s="39" t="str">
        <f t="shared" si="3"/>
        <v/>
      </c>
      <c r="P51" s="5"/>
      <c r="Q51" s="39" t="str">
        <f t="shared" si="4"/>
        <v/>
      </c>
      <c r="U51" s="4" t="str">
        <f t="shared" si="5"/>
        <v>||</v>
      </c>
      <c r="V51" s="3" t="str">
        <f t="shared" si="6"/>
        <v>||</v>
      </c>
      <c r="W51" s="3" t="str">
        <f t="shared" si="7"/>
        <v>ZZZZZ</v>
      </c>
    </row>
    <row r="52" spans="1:23">
      <c r="A52" s="6"/>
      <c r="C52" s="34" t="str">
        <f t="shared" si="1"/>
        <v>ZZZZZ</v>
      </c>
      <c r="D52" s="5"/>
      <c r="E52" s="39" t="str">
        <f t="shared" si="0"/>
        <v/>
      </c>
      <c r="F52" s="5"/>
      <c r="G52" s="40"/>
      <c r="H52" s="14"/>
      <c r="I52" s="17"/>
      <c r="J52" s="10"/>
      <c r="L52" s="5"/>
      <c r="M52" s="39" t="str">
        <f t="shared" si="2"/>
        <v/>
      </c>
      <c r="N52" s="5"/>
      <c r="O52" s="39" t="str">
        <f t="shared" si="3"/>
        <v/>
      </c>
      <c r="P52" s="5"/>
      <c r="Q52" s="39" t="str">
        <f t="shared" si="4"/>
        <v/>
      </c>
      <c r="U52" s="4" t="str">
        <f t="shared" si="5"/>
        <v>||</v>
      </c>
      <c r="V52" s="3" t="str">
        <f t="shared" si="6"/>
        <v>||</v>
      </c>
      <c r="W52" s="3" t="str">
        <f t="shared" si="7"/>
        <v>ZZZZZ</v>
      </c>
    </row>
    <row r="53" spans="1:23">
      <c r="A53" s="6"/>
      <c r="C53" s="34" t="str">
        <f t="shared" si="1"/>
        <v>ZZZZZ</v>
      </c>
      <c r="D53" s="5"/>
      <c r="E53" s="39" t="str">
        <f t="shared" si="0"/>
        <v/>
      </c>
      <c r="F53" s="5"/>
      <c r="G53" s="40"/>
      <c r="H53" s="15"/>
      <c r="I53" s="17"/>
      <c r="J53" s="10"/>
      <c r="L53" s="5"/>
      <c r="M53" s="39" t="str">
        <f t="shared" si="2"/>
        <v/>
      </c>
      <c r="N53" s="5"/>
      <c r="O53" s="39" t="str">
        <f t="shared" si="3"/>
        <v/>
      </c>
      <c r="P53" s="5"/>
      <c r="Q53" s="39" t="str">
        <f t="shared" si="4"/>
        <v/>
      </c>
      <c r="U53" s="4" t="str">
        <f t="shared" si="5"/>
        <v>||</v>
      </c>
      <c r="V53" s="3" t="str">
        <f t="shared" si="6"/>
        <v>||</v>
      </c>
      <c r="W53" s="3" t="str">
        <f t="shared" si="7"/>
        <v>ZZZZZ</v>
      </c>
    </row>
    <row r="54" spans="1:23">
      <c r="A54" s="6"/>
      <c r="C54" s="34" t="str">
        <f t="shared" si="1"/>
        <v>ZZZZZ</v>
      </c>
      <c r="D54" s="5"/>
      <c r="E54" s="39" t="str">
        <f t="shared" si="0"/>
        <v/>
      </c>
      <c r="F54" s="5"/>
      <c r="G54" s="40"/>
      <c r="H54" s="14"/>
      <c r="I54" s="17"/>
      <c r="J54" s="10"/>
      <c r="L54" s="5"/>
      <c r="M54" s="39" t="str">
        <f t="shared" si="2"/>
        <v/>
      </c>
      <c r="N54" s="5"/>
      <c r="O54" s="39" t="str">
        <f t="shared" si="3"/>
        <v/>
      </c>
      <c r="P54" s="5"/>
      <c r="Q54" s="39" t="str">
        <f t="shared" si="4"/>
        <v/>
      </c>
      <c r="U54" s="4" t="str">
        <f t="shared" si="5"/>
        <v>||</v>
      </c>
      <c r="V54" s="3" t="str">
        <f t="shared" si="6"/>
        <v>||</v>
      </c>
      <c r="W54" s="3" t="str">
        <f t="shared" si="7"/>
        <v>ZZZZZ</v>
      </c>
    </row>
    <row r="55" spans="1:23">
      <c r="A55" s="6"/>
      <c r="C55" s="34" t="str">
        <f t="shared" si="1"/>
        <v>ZZZZZ</v>
      </c>
      <c r="D55" s="5"/>
      <c r="E55" s="39" t="str">
        <f t="shared" si="0"/>
        <v/>
      </c>
      <c r="F55" s="5"/>
      <c r="G55" s="40"/>
      <c r="H55" s="14"/>
      <c r="I55" s="17"/>
      <c r="J55" s="10"/>
      <c r="L55" s="5"/>
      <c r="M55" s="39" t="str">
        <f t="shared" si="2"/>
        <v/>
      </c>
      <c r="N55" s="5"/>
      <c r="O55" s="39" t="str">
        <f t="shared" si="3"/>
        <v/>
      </c>
      <c r="P55" s="5"/>
      <c r="Q55" s="39" t="str">
        <f t="shared" si="4"/>
        <v/>
      </c>
      <c r="U55" s="4" t="str">
        <f t="shared" si="5"/>
        <v>||</v>
      </c>
      <c r="V55" s="3" t="str">
        <f t="shared" si="6"/>
        <v>||</v>
      </c>
      <c r="W55" s="3" t="str">
        <f t="shared" si="7"/>
        <v>ZZZZZ</v>
      </c>
    </row>
    <row r="56" spans="1:23">
      <c r="A56" s="6"/>
      <c r="C56" s="34" t="str">
        <f t="shared" si="1"/>
        <v>ZZZZZ</v>
      </c>
      <c r="D56" s="5"/>
      <c r="E56" s="39" t="str">
        <f t="shared" si="0"/>
        <v/>
      </c>
      <c r="F56" s="5"/>
      <c r="G56" s="40"/>
      <c r="H56" s="15"/>
      <c r="I56" s="17"/>
      <c r="J56" s="10"/>
      <c r="L56" s="5"/>
      <c r="M56" s="39" t="str">
        <f t="shared" si="2"/>
        <v/>
      </c>
      <c r="N56" s="5"/>
      <c r="O56" s="39" t="str">
        <f t="shared" si="3"/>
        <v/>
      </c>
      <c r="P56" s="5"/>
      <c r="Q56" s="39" t="str">
        <f t="shared" si="4"/>
        <v/>
      </c>
      <c r="U56" s="4" t="str">
        <f t="shared" si="5"/>
        <v>||</v>
      </c>
      <c r="V56" s="3" t="str">
        <f t="shared" si="6"/>
        <v>||</v>
      </c>
      <c r="W56" s="3" t="str">
        <f t="shared" si="7"/>
        <v>ZZZZZ</v>
      </c>
    </row>
    <row r="57" spans="1:23">
      <c r="A57" s="6"/>
      <c r="C57" s="34" t="str">
        <f t="shared" si="1"/>
        <v>ZZZZZ</v>
      </c>
      <c r="D57" s="5"/>
      <c r="E57" s="39" t="str">
        <f t="shared" si="0"/>
        <v/>
      </c>
      <c r="F57" s="5"/>
      <c r="G57" s="40"/>
      <c r="H57" s="15"/>
      <c r="I57" s="17"/>
      <c r="J57" s="10"/>
      <c r="L57" s="5"/>
      <c r="M57" s="39" t="str">
        <f t="shared" si="2"/>
        <v/>
      </c>
      <c r="N57" s="5"/>
      <c r="O57" s="39" t="str">
        <f t="shared" si="3"/>
        <v/>
      </c>
      <c r="P57" s="5"/>
      <c r="Q57" s="39" t="str">
        <f t="shared" si="4"/>
        <v/>
      </c>
      <c r="U57" s="4" t="str">
        <f t="shared" si="5"/>
        <v>||</v>
      </c>
      <c r="V57" s="3" t="str">
        <f t="shared" si="6"/>
        <v>||</v>
      </c>
      <c r="W57" s="3" t="str">
        <f t="shared" si="7"/>
        <v>ZZZZZ</v>
      </c>
    </row>
    <row r="58" spans="1:23">
      <c r="A58" s="6"/>
      <c r="C58" s="34" t="str">
        <f t="shared" si="1"/>
        <v>ZZZZZ</v>
      </c>
      <c r="D58" s="5"/>
      <c r="E58" s="39" t="str">
        <f t="shared" si="0"/>
        <v/>
      </c>
      <c r="F58" s="5"/>
      <c r="G58" s="40"/>
      <c r="H58" s="14"/>
      <c r="I58" s="17"/>
      <c r="J58" s="10"/>
      <c r="L58" s="5"/>
      <c r="M58" s="39" t="str">
        <f t="shared" si="2"/>
        <v/>
      </c>
      <c r="N58" s="5"/>
      <c r="O58" s="39" t="str">
        <f t="shared" si="3"/>
        <v/>
      </c>
      <c r="P58" s="5"/>
      <c r="Q58" s="39" t="str">
        <f t="shared" si="4"/>
        <v/>
      </c>
      <c r="U58" s="4" t="str">
        <f t="shared" si="5"/>
        <v>||</v>
      </c>
      <c r="V58" s="3" t="str">
        <f t="shared" si="6"/>
        <v>||</v>
      </c>
      <c r="W58" s="3" t="str">
        <f t="shared" si="7"/>
        <v>ZZZZZ</v>
      </c>
    </row>
    <row r="59" spans="1:23">
      <c r="A59" s="6"/>
      <c r="C59" s="34" t="str">
        <f t="shared" si="1"/>
        <v>ZZZZZ</v>
      </c>
      <c r="D59" s="5"/>
      <c r="E59" s="39" t="str">
        <f t="shared" si="0"/>
        <v/>
      </c>
      <c r="F59" s="5"/>
      <c r="G59" s="40"/>
      <c r="H59" s="14"/>
      <c r="I59" s="17"/>
      <c r="J59" s="10"/>
      <c r="L59" s="5"/>
      <c r="M59" s="39" t="str">
        <f t="shared" si="2"/>
        <v/>
      </c>
      <c r="N59" s="5"/>
      <c r="O59" s="39" t="str">
        <f t="shared" si="3"/>
        <v/>
      </c>
      <c r="P59" s="5"/>
      <c r="Q59" s="39" t="str">
        <f t="shared" si="4"/>
        <v/>
      </c>
      <c r="U59" s="4" t="str">
        <f t="shared" si="5"/>
        <v>||</v>
      </c>
      <c r="V59" s="3" t="str">
        <f t="shared" si="6"/>
        <v>||</v>
      </c>
      <c r="W59" s="3" t="str">
        <f t="shared" si="7"/>
        <v>ZZZZZ</v>
      </c>
    </row>
    <row r="60" spans="1:23">
      <c r="A60" s="19"/>
      <c r="C60" s="34" t="str">
        <f t="shared" si="1"/>
        <v>ZZZZZ</v>
      </c>
      <c r="D60" s="2"/>
      <c r="E60" s="39" t="str">
        <f t="shared" si="0"/>
        <v/>
      </c>
      <c r="F60" s="5"/>
      <c r="G60" s="40"/>
      <c r="H60" s="10"/>
      <c r="I60" s="17"/>
      <c r="J60" s="11"/>
      <c r="L60" s="2"/>
      <c r="M60" s="39" t="str">
        <f t="shared" si="2"/>
        <v/>
      </c>
      <c r="N60" s="5"/>
      <c r="O60" s="39" t="str">
        <f t="shared" si="3"/>
        <v/>
      </c>
      <c r="P60" s="5"/>
      <c r="Q60" s="39" t="str">
        <f t="shared" si="4"/>
        <v/>
      </c>
      <c r="U60" s="4" t="str">
        <f t="shared" si="5"/>
        <v>||</v>
      </c>
      <c r="V60" s="3" t="str">
        <f t="shared" si="6"/>
        <v>||</v>
      </c>
      <c r="W60" s="3" t="str">
        <f t="shared" si="7"/>
        <v>ZZZZZ</v>
      </c>
    </row>
    <row r="61" spans="1:23">
      <c r="A61" s="6"/>
      <c r="C61" s="34" t="str">
        <f t="shared" si="1"/>
        <v>ZZZZZ</v>
      </c>
      <c r="D61" s="5"/>
      <c r="E61" s="39" t="str">
        <f t="shared" si="0"/>
        <v/>
      </c>
      <c r="F61" s="5"/>
      <c r="G61" s="40"/>
      <c r="H61" s="15"/>
      <c r="I61" s="17"/>
      <c r="J61" s="10"/>
      <c r="L61" s="5"/>
      <c r="M61" s="39" t="str">
        <f t="shared" si="2"/>
        <v/>
      </c>
      <c r="N61" s="5"/>
      <c r="O61" s="39" t="str">
        <f t="shared" si="3"/>
        <v/>
      </c>
      <c r="P61" s="5"/>
      <c r="Q61" s="39" t="str">
        <f t="shared" si="4"/>
        <v/>
      </c>
      <c r="U61" s="4" t="str">
        <f t="shared" si="5"/>
        <v>||</v>
      </c>
      <c r="V61" s="3" t="str">
        <f t="shared" si="6"/>
        <v>||</v>
      </c>
      <c r="W61" s="3" t="str">
        <f t="shared" si="7"/>
        <v>ZZZZZ</v>
      </c>
    </row>
    <row r="62" spans="1:23">
      <c r="A62" s="6"/>
      <c r="C62" s="34" t="str">
        <f t="shared" si="1"/>
        <v>ZZZZZ</v>
      </c>
      <c r="D62" s="5"/>
      <c r="E62" s="39" t="str">
        <f t="shared" si="0"/>
        <v/>
      </c>
      <c r="F62" s="5"/>
      <c r="G62" s="40"/>
      <c r="H62" s="14"/>
      <c r="I62" s="17"/>
      <c r="J62" s="10"/>
      <c r="L62" s="5"/>
      <c r="M62" s="39" t="str">
        <f t="shared" si="2"/>
        <v/>
      </c>
      <c r="N62" s="5"/>
      <c r="O62" s="39" t="str">
        <f t="shared" si="3"/>
        <v/>
      </c>
      <c r="P62" s="5"/>
      <c r="Q62" s="39" t="str">
        <f t="shared" si="4"/>
        <v/>
      </c>
      <c r="U62" s="4" t="str">
        <f t="shared" si="5"/>
        <v>||</v>
      </c>
      <c r="V62" s="3" t="str">
        <f t="shared" si="6"/>
        <v>||</v>
      </c>
      <c r="W62" s="3" t="str">
        <f t="shared" si="7"/>
        <v>ZZZZZ</v>
      </c>
    </row>
    <row r="63" spans="1:23">
      <c r="A63" s="6"/>
      <c r="C63" s="34" t="str">
        <f t="shared" si="1"/>
        <v>ZZZZZ</v>
      </c>
      <c r="D63" s="5"/>
      <c r="E63" s="39" t="str">
        <f t="shared" si="0"/>
        <v/>
      </c>
      <c r="F63" s="5"/>
      <c r="G63" s="40"/>
      <c r="H63" s="14"/>
      <c r="I63" s="17"/>
      <c r="J63" s="10"/>
      <c r="L63" s="5"/>
      <c r="M63" s="39" t="str">
        <f t="shared" si="2"/>
        <v/>
      </c>
      <c r="N63" s="5"/>
      <c r="O63" s="39" t="str">
        <f t="shared" si="3"/>
        <v/>
      </c>
      <c r="P63" s="5"/>
      <c r="Q63" s="39" t="str">
        <f t="shared" si="4"/>
        <v/>
      </c>
      <c r="U63" s="4" t="str">
        <f t="shared" si="5"/>
        <v>||</v>
      </c>
      <c r="V63" s="3" t="str">
        <f t="shared" si="6"/>
        <v>||</v>
      </c>
      <c r="W63" s="3" t="str">
        <f t="shared" si="7"/>
        <v>ZZZZZ</v>
      </c>
    </row>
    <row r="64" spans="1:23">
      <c r="A64" s="6"/>
      <c r="C64" s="34" t="str">
        <f t="shared" si="1"/>
        <v>ZZZZZ</v>
      </c>
      <c r="D64" s="5"/>
      <c r="E64" s="39" t="str">
        <f t="shared" si="0"/>
        <v/>
      </c>
      <c r="F64" s="5"/>
      <c r="G64" s="40"/>
      <c r="H64" s="14"/>
      <c r="I64" s="17"/>
      <c r="J64" s="10"/>
      <c r="L64" s="5"/>
      <c r="M64" s="39" t="str">
        <f t="shared" si="2"/>
        <v/>
      </c>
      <c r="N64" s="5"/>
      <c r="O64" s="39" t="str">
        <f t="shared" si="3"/>
        <v/>
      </c>
      <c r="P64" s="5"/>
      <c r="Q64" s="39" t="str">
        <f t="shared" si="4"/>
        <v/>
      </c>
      <c r="U64" s="4" t="str">
        <f t="shared" si="5"/>
        <v>||</v>
      </c>
      <c r="V64" s="3" t="str">
        <f t="shared" si="6"/>
        <v>||</v>
      </c>
      <c r="W64" s="3" t="str">
        <f t="shared" si="7"/>
        <v>ZZZZZ</v>
      </c>
    </row>
    <row r="65" spans="1:23">
      <c r="A65" s="6"/>
      <c r="C65" s="34" t="str">
        <f t="shared" si="1"/>
        <v>ZZZZZ</v>
      </c>
      <c r="D65" s="5"/>
      <c r="E65" s="39" t="str">
        <f t="shared" si="0"/>
        <v/>
      </c>
      <c r="F65" s="5"/>
      <c r="G65" s="40"/>
      <c r="H65" s="15"/>
      <c r="I65" s="17"/>
      <c r="J65" s="10"/>
      <c r="L65" s="5"/>
      <c r="M65" s="39" t="str">
        <f t="shared" si="2"/>
        <v/>
      </c>
      <c r="N65" s="5"/>
      <c r="O65" s="39" t="str">
        <f t="shared" si="3"/>
        <v/>
      </c>
      <c r="P65" s="5"/>
      <c r="Q65" s="39" t="str">
        <f t="shared" si="4"/>
        <v/>
      </c>
      <c r="U65" s="4" t="str">
        <f t="shared" si="5"/>
        <v>||</v>
      </c>
      <c r="V65" s="3" t="str">
        <f t="shared" si="6"/>
        <v>||</v>
      </c>
      <c r="W65" s="3" t="str">
        <f t="shared" si="7"/>
        <v>ZZZZZ</v>
      </c>
    </row>
    <row r="66" spans="1:23">
      <c r="A66" s="6"/>
      <c r="C66" s="34" t="str">
        <f t="shared" si="1"/>
        <v>ZZZZZ</v>
      </c>
      <c r="D66" s="5"/>
      <c r="E66" s="39" t="str">
        <f t="shared" si="0"/>
        <v/>
      </c>
      <c r="F66" s="5"/>
      <c r="G66" s="40"/>
      <c r="H66" s="14"/>
      <c r="I66" s="17"/>
      <c r="J66" s="10"/>
      <c r="L66" s="5"/>
      <c r="M66" s="39" t="str">
        <f t="shared" si="2"/>
        <v/>
      </c>
      <c r="N66" s="5"/>
      <c r="O66" s="39" t="str">
        <f t="shared" si="3"/>
        <v/>
      </c>
      <c r="P66" s="5"/>
      <c r="Q66" s="39" t="str">
        <f t="shared" si="4"/>
        <v/>
      </c>
      <c r="U66" s="4" t="str">
        <f t="shared" si="5"/>
        <v>||</v>
      </c>
      <c r="V66" s="3" t="str">
        <f t="shared" si="6"/>
        <v>||</v>
      </c>
      <c r="W66" s="3" t="str">
        <f t="shared" si="7"/>
        <v>ZZZZZ</v>
      </c>
    </row>
    <row r="67" spans="1:23">
      <c r="A67" s="6"/>
      <c r="C67" s="34" t="str">
        <f t="shared" si="1"/>
        <v>ZZZZZ</v>
      </c>
      <c r="D67" s="5"/>
      <c r="E67" s="39" t="str">
        <f t="shared" ref="E67:E100" si="8">SUBSTITUTE(SUBSTITUTE(SUBSTITUTE(F_OutputASCII(D67),"-","")," ",""),"'","")</f>
        <v/>
      </c>
      <c r="F67" s="5"/>
      <c r="G67" s="40"/>
      <c r="H67" s="15"/>
      <c r="I67" s="17"/>
      <c r="J67" s="10"/>
      <c r="L67" s="5"/>
      <c r="M67" s="39" t="str">
        <f t="shared" si="2"/>
        <v/>
      </c>
      <c r="N67" s="5"/>
      <c r="O67" s="39" t="str">
        <f t="shared" si="3"/>
        <v/>
      </c>
      <c r="P67" s="5"/>
      <c r="Q67" s="39" t="str">
        <f t="shared" si="4"/>
        <v/>
      </c>
      <c r="U67" s="4" t="str">
        <f t="shared" si="5"/>
        <v>||</v>
      </c>
      <c r="V67" s="3" t="str">
        <f t="shared" si="6"/>
        <v>||</v>
      </c>
      <c r="W67" s="3" t="str">
        <f t="shared" si="7"/>
        <v>ZZZZZ</v>
      </c>
    </row>
    <row r="68" spans="1:23">
      <c r="A68" s="6"/>
      <c r="C68" s="34" t="str">
        <f t="shared" si="1"/>
        <v>ZZZZZ</v>
      </c>
      <c r="D68" s="5"/>
      <c r="E68" s="39" t="str">
        <f t="shared" si="8"/>
        <v/>
      </c>
      <c r="F68" s="5"/>
      <c r="G68" s="40"/>
      <c r="H68" s="15"/>
      <c r="I68" s="17"/>
      <c r="J68" s="10"/>
      <c r="L68" s="5"/>
      <c r="M68" s="39" t="str">
        <f t="shared" si="2"/>
        <v/>
      </c>
      <c r="N68" s="5"/>
      <c r="O68" s="39" t="str">
        <f t="shared" si="3"/>
        <v/>
      </c>
      <c r="P68" s="5"/>
      <c r="Q68" s="39" t="str">
        <f t="shared" si="4"/>
        <v/>
      </c>
      <c r="U68" s="4" t="str">
        <f t="shared" si="5"/>
        <v>||</v>
      </c>
      <c r="V68" s="3" t="str">
        <f t="shared" si="6"/>
        <v>||</v>
      </c>
      <c r="W68" s="3" t="str">
        <f t="shared" si="7"/>
        <v>ZZZZZ</v>
      </c>
    </row>
    <row r="69" spans="1:23">
      <c r="A69" s="6"/>
      <c r="C69" s="34" t="str">
        <f t="shared" ref="C69:C100" si="9">SUBSTITUTE(SUBSTITUTE(W69,"-","")," ","")</f>
        <v>ZZZZZ</v>
      </c>
      <c r="D69" s="5"/>
      <c r="E69" s="39" t="str">
        <f t="shared" si="8"/>
        <v/>
      </c>
      <c r="F69" s="5"/>
      <c r="G69" s="40"/>
      <c r="H69" s="14"/>
      <c r="I69" s="17"/>
      <c r="J69" s="10"/>
      <c r="L69" s="5"/>
      <c r="M69" s="39" t="str">
        <f t="shared" ref="M69:M100" si="10">SUBSTITUTE(SUBSTITUTE(SUBSTITUTE(F_OutputASCII(L69),"-","")," ",""),"'","")</f>
        <v/>
      </c>
      <c r="N69" s="5"/>
      <c r="O69" s="39" t="str">
        <f t="shared" ref="O69:O100" si="11">SUBSTITUTE(SUBSTITUTE(SUBSTITUTE(F_OutputASCII(N69),"-","")," ",""),"'","")</f>
        <v/>
      </c>
      <c r="P69" s="5"/>
      <c r="Q69" s="39" t="str">
        <f t="shared" ref="Q69:Q100" si="12">SUBSTITUTE(SUBSTITUTE(P69,"-","")," ","")</f>
        <v/>
      </c>
      <c r="U69" s="4" t="str">
        <f t="shared" ref="U69:U100" si="13">CONCATENATE("|",B69,"|")</f>
        <v>||</v>
      </c>
      <c r="V69" s="3" t="str">
        <f t="shared" ref="V69:V100" si="14">CONCATENATE("|",F_OutputASCII(B69),"|")</f>
        <v>||</v>
      </c>
      <c r="W69" s="3" t="str">
        <f t="shared" ref="W69:W100" si="15">IF(SUBSTITUTE(MID(V69,2,LEN(V69)-2),"'","")&lt;&gt;"",SUBSTITUTE(MID(V69,2,LEN(V69)-2),"'",""),"ZZZZZ")</f>
        <v>ZZZZZ</v>
      </c>
    </row>
    <row r="70" spans="1:23">
      <c r="A70" s="6"/>
      <c r="C70" s="34" t="str">
        <f t="shared" si="9"/>
        <v>ZZZZZ</v>
      </c>
      <c r="D70" s="5"/>
      <c r="E70" s="39" t="str">
        <f t="shared" si="8"/>
        <v/>
      </c>
      <c r="F70" s="5"/>
      <c r="G70" s="40"/>
      <c r="H70" s="15"/>
      <c r="I70" s="17"/>
      <c r="J70" s="10"/>
      <c r="L70" s="5"/>
      <c r="M70" s="39" t="str">
        <f t="shared" si="10"/>
        <v/>
      </c>
      <c r="N70" s="5"/>
      <c r="O70" s="39" t="str">
        <f t="shared" si="11"/>
        <v/>
      </c>
      <c r="P70" s="5"/>
      <c r="Q70" s="39" t="str">
        <f t="shared" si="12"/>
        <v/>
      </c>
      <c r="U70" s="4" t="str">
        <f t="shared" si="13"/>
        <v>||</v>
      </c>
      <c r="V70" s="3" t="str">
        <f t="shared" si="14"/>
        <v>||</v>
      </c>
      <c r="W70" s="3" t="str">
        <f t="shared" si="15"/>
        <v>ZZZZZ</v>
      </c>
    </row>
    <row r="71" spans="1:23">
      <c r="A71" s="6"/>
      <c r="C71" s="34" t="str">
        <f t="shared" si="9"/>
        <v>ZZZZZ</v>
      </c>
      <c r="D71" s="5"/>
      <c r="E71" s="39" t="str">
        <f t="shared" si="8"/>
        <v/>
      </c>
      <c r="F71" s="5"/>
      <c r="G71" s="40"/>
      <c r="H71" s="14"/>
      <c r="I71" s="17"/>
      <c r="J71" s="10"/>
      <c r="L71" s="5"/>
      <c r="M71" s="39" t="str">
        <f t="shared" si="10"/>
        <v/>
      </c>
      <c r="N71" s="5"/>
      <c r="O71" s="39" t="str">
        <f t="shared" si="11"/>
        <v/>
      </c>
      <c r="P71" s="5"/>
      <c r="Q71" s="39" t="str">
        <f t="shared" si="12"/>
        <v/>
      </c>
      <c r="U71" s="4" t="str">
        <f t="shared" si="13"/>
        <v>||</v>
      </c>
      <c r="V71" s="3" t="str">
        <f t="shared" si="14"/>
        <v>||</v>
      </c>
      <c r="W71" s="3" t="str">
        <f t="shared" si="15"/>
        <v>ZZZZZ</v>
      </c>
    </row>
    <row r="72" spans="1:23">
      <c r="A72" s="6"/>
      <c r="C72" s="34" t="str">
        <f t="shared" si="9"/>
        <v>ZZZZZ</v>
      </c>
      <c r="D72" s="5"/>
      <c r="E72" s="39" t="str">
        <f t="shared" si="8"/>
        <v/>
      </c>
      <c r="F72" s="5"/>
      <c r="G72" s="40"/>
      <c r="H72" s="15"/>
      <c r="I72" s="17"/>
      <c r="J72" s="10"/>
      <c r="L72" s="5"/>
      <c r="M72" s="39" t="str">
        <f t="shared" si="10"/>
        <v/>
      </c>
      <c r="N72" s="5"/>
      <c r="O72" s="39" t="str">
        <f t="shared" si="11"/>
        <v/>
      </c>
      <c r="P72" s="5"/>
      <c r="Q72" s="39" t="str">
        <f t="shared" si="12"/>
        <v/>
      </c>
      <c r="U72" s="4" t="str">
        <f t="shared" si="13"/>
        <v>||</v>
      </c>
      <c r="V72" s="3" t="str">
        <f t="shared" si="14"/>
        <v>||</v>
      </c>
      <c r="W72" s="3" t="str">
        <f t="shared" si="15"/>
        <v>ZZZZZ</v>
      </c>
    </row>
    <row r="73" spans="1:23">
      <c r="A73" s="6"/>
      <c r="C73" s="34" t="str">
        <f t="shared" si="9"/>
        <v>ZZZZZ</v>
      </c>
      <c r="D73" s="5"/>
      <c r="E73" s="39" t="str">
        <f t="shared" si="8"/>
        <v/>
      </c>
      <c r="F73" s="5"/>
      <c r="G73" s="40"/>
      <c r="H73" s="14"/>
      <c r="I73" s="17"/>
      <c r="J73" s="10"/>
      <c r="L73" s="5"/>
      <c r="M73" s="39" t="str">
        <f t="shared" si="10"/>
        <v/>
      </c>
      <c r="N73" s="5"/>
      <c r="O73" s="39" t="str">
        <f t="shared" si="11"/>
        <v/>
      </c>
      <c r="P73" s="5"/>
      <c r="Q73" s="39" t="str">
        <f t="shared" si="12"/>
        <v/>
      </c>
      <c r="U73" s="4" t="str">
        <f t="shared" si="13"/>
        <v>||</v>
      </c>
      <c r="V73" s="3" t="str">
        <f t="shared" si="14"/>
        <v>||</v>
      </c>
      <c r="W73" s="3" t="str">
        <f t="shared" si="15"/>
        <v>ZZZZZ</v>
      </c>
    </row>
    <row r="74" spans="1:23">
      <c r="A74" s="6"/>
      <c r="C74" s="34" t="str">
        <f t="shared" si="9"/>
        <v>ZZZZZ</v>
      </c>
      <c r="D74" s="5"/>
      <c r="E74" s="39" t="str">
        <f t="shared" si="8"/>
        <v/>
      </c>
      <c r="F74" s="5"/>
      <c r="G74" s="40"/>
      <c r="H74" s="14"/>
      <c r="I74" s="17"/>
      <c r="J74" s="10"/>
      <c r="L74" s="5"/>
      <c r="M74" s="39" t="str">
        <f t="shared" si="10"/>
        <v/>
      </c>
      <c r="N74" s="5"/>
      <c r="O74" s="39" t="str">
        <f t="shared" si="11"/>
        <v/>
      </c>
      <c r="P74" s="5"/>
      <c r="Q74" s="39" t="str">
        <f t="shared" si="12"/>
        <v/>
      </c>
      <c r="U74" s="4" t="str">
        <f t="shared" si="13"/>
        <v>||</v>
      </c>
      <c r="V74" s="3" t="str">
        <f t="shared" si="14"/>
        <v>||</v>
      </c>
      <c r="W74" s="3" t="str">
        <f t="shared" si="15"/>
        <v>ZZZZZ</v>
      </c>
    </row>
    <row r="75" spans="1:23">
      <c r="A75" s="6"/>
      <c r="C75" s="34" t="str">
        <f t="shared" si="9"/>
        <v>ZZZZZ</v>
      </c>
      <c r="D75" s="5"/>
      <c r="E75" s="39" t="str">
        <f t="shared" si="8"/>
        <v/>
      </c>
      <c r="F75" s="5"/>
      <c r="G75" s="40"/>
      <c r="H75" s="14"/>
      <c r="I75" s="17"/>
      <c r="J75" s="10"/>
      <c r="L75" s="5"/>
      <c r="M75" s="39" t="str">
        <f t="shared" si="10"/>
        <v/>
      </c>
      <c r="N75" s="5"/>
      <c r="O75" s="39" t="str">
        <f t="shared" si="11"/>
        <v/>
      </c>
      <c r="P75" s="5"/>
      <c r="Q75" s="39" t="str">
        <f t="shared" si="12"/>
        <v/>
      </c>
      <c r="U75" s="4" t="str">
        <f t="shared" si="13"/>
        <v>||</v>
      </c>
      <c r="V75" s="3" t="str">
        <f t="shared" si="14"/>
        <v>||</v>
      </c>
      <c r="W75" s="3" t="str">
        <f t="shared" si="15"/>
        <v>ZZZZZ</v>
      </c>
    </row>
    <row r="76" spans="1:23">
      <c r="A76" s="6"/>
      <c r="C76" s="34" t="str">
        <f t="shared" si="9"/>
        <v>ZZZZZ</v>
      </c>
      <c r="D76" s="5"/>
      <c r="E76" s="39" t="str">
        <f t="shared" si="8"/>
        <v/>
      </c>
      <c r="F76" s="5"/>
      <c r="G76" s="40"/>
      <c r="H76" s="14"/>
      <c r="I76" s="17"/>
      <c r="J76" s="10"/>
      <c r="L76" s="5"/>
      <c r="M76" s="39" t="str">
        <f t="shared" si="10"/>
        <v/>
      </c>
      <c r="N76" s="5"/>
      <c r="O76" s="39" t="str">
        <f t="shared" si="11"/>
        <v/>
      </c>
      <c r="P76" s="5"/>
      <c r="Q76" s="39" t="str">
        <f t="shared" si="12"/>
        <v/>
      </c>
      <c r="U76" s="4" t="str">
        <f t="shared" si="13"/>
        <v>||</v>
      </c>
      <c r="V76" s="3" t="str">
        <f t="shared" si="14"/>
        <v>||</v>
      </c>
      <c r="W76" s="3" t="str">
        <f t="shared" si="15"/>
        <v>ZZZZZ</v>
      </c>
    </row>
    <row r="77" spans="1:23">
      <c r="A77" s="6"/>
      <c r="C77" s="34" t="str">
        <f t="shared" si="9"/>
        <v>ZZZZZ</v>
      </c>
      <c r="D77" s="5"/>
      <c r="E77" s="39" t="str">
        <f t="shared" si="8"/>
        <v/>
      </c>
      <c r="F77" s="5"/>
      <c r="G77" s="40"/>
      <c r="H77" s="15"/>
      <c r="I77" s="17"/>
      <c r="J77" s="10"/>
      <c r="L77" s="5"/>
      <c r="M77" s="39" t="str">
        <f t="shared" si="10"/>
        <v/>
      </c>
      <c r="N77" s="5"/>
      <c r="O77" s="39" t="str">
        <f t="shared" si="11"/>
        <v/>
      </c>
      <c r="P77" s="5"/>
      <c r="Q77" s="39" t="str">
        <f t="shared" si="12"/>
        <v/>
      </c>
      <c r="U77" s="4" t="str">
        <f t="shared" si="13"/>
        <v>||</v>
      </c>
      <c r="V77" s="3" t="str">
        <f t="shared" si="14"/>
        <v>||</v>
      </c>
      <c r="W77" s="3" t="str">
        <f t="shared" si="15"/>
        <v>ZZZZZ</v>
      </c>
    </row>
    <row r="78" spans="1:23">
      <c r="A78" s="6"/>
      <c r="C78" s="34" t="str">
        <f t="shared" si="9"/>
        <v>ZZZZZ</v>
      </c>
      <c r="D78" s="5"/>
      <c r="E78" s="39" t="str">
        <f t="shared" si="8"/>
        <v/>
      </c>
      <c r="F78" s="5"/>
      <c r="G78" s="40"/>
      <c r="H78" s="14"/>
      <c r="I78" s="17"/>
      <c r="J78" s="10"/>
      <c r="L78" s="5"/>
      <c r="M78" s="39" t="str">
        <f t="shared" si="10"/>
        <v/>
      </c>
      <c r="N78" s="5"/>
      <c r="O78" s="39" t="str">
        <f t="shared" si="11"/>
        <v/>
      </c>
      <c r="P78" s="5"/>
      <c r="Q78" s="39" t="str">
        <f t="shared" si="12"/>
        <v/>
      </c>
      <c r="U78" s="4" t="str">
        <f t="shared" si="13"/>
        <v>||</v>
      </c>
      <c r="V78" s="3" t="str">
        <f t="shared" si="14"/>
        <v>||</v>
      </c>
      <c r="W78" s="3" t="str">
        <f t="shared" si="15"/>
        <v>ZZZZZ</v>
      </c>
    </row>
    <row r="79" spans="1:23">
      <c r="A79" s="6"/>
      <c r="C79" s="34" t="str">
        <f t="shared" si="9"/>
        <v>ZZZZZ</v>
      </c>
      <c r="D79" s="5"/>
      <c r="E79" s="39" t="str">
        <f t="shared" si="8"/>
        <v/>
      </c>
      <c r="F79" s="5"/>
      <c r="G79" s="40"/>
      <c r="H79" s="15"/>
      <c r="I79" s="17"/>
      <c r="J79" s="10"/>
      <c r="L79" s="5"/>
      <c r="M79" s="39" t="str">
        <f t="shared" si="10"/>
        <v/>
      </c>
      <c r="N79" s="5"/>
      <c r="O79" s="39" t="str">
        <f t="shared" si="11"/>
        <v/>
      </c>
      <c r="P79" s="5"/>
      <c r="Q79" s="39" t="str">
        <f t="shared" si="12"/>
        <v/>
      </c>
      <c r="U79" s="4" t="str">
        <f t="shared" si="13"/>
        <v>||</v>
      </c>
      <c r="V79" s="3" t="str">
        <f t="shared" si="14"/>
        <v>||</v>
      </c>
      <c r="W79" s="3" t="str">
        <f t="shared" si="15"/>
        <v>ZZZZZ</v>
      </c>
    </row>
    <row r="80" spans="1:23">
      <c r="A80" s="6"/>
      <c r="C80" s="34" t="str">
        <f t="shared" si="9"/>
        <v>ZZZZZ</v>
      </c>
      <c r="D80" s="5"/>
      <c r="E80" s="39" t="str">
        <f t="shared" si="8"/>
        <v/>
      </c>
      <c r="F80" s="5"/>
      <c r="G80" s="40"/>
      <c r="H80" s="14"/>
      <c r="I80" s="17"/>
      <c r="J80" s="10"/>
      <c r="L80" s="5"/>
      <c r="M80" s="39" t="str">
        <f t="shared" si="10"/>
        <v/>
      </c>
      <c r="N80" s="5"/>
      <c r="O80" s="39" t="str">
        <f t="shared" si="11"/>
        <v/>
      </c>
      <c r="P80" s="5"/>
      <c r="Q80" s="39" t="str">
        <f t="shared" si="12"/>
        <v/>
      </c>
      <c r="U80" s="4" t="str">
        <f t="shared" si="13"/>
        <v>||</v>
      </c>
      <c r="V80" s="3" t="str">
        <f t="shared" si="14"/>
        <v>||</v>
      </c>
      <c r="W80" s="3" t="str">
        <f t="shared" si="15"/>
        <v>ZZZZZ</v>
      </c>
    </row>
    <row r="81" spans="1:23">
      <c r="A81" s="6"/>
      <c r="C81" s="34" t="str">
        <f t="shared" si="9"/>
        <v>ZZZZZ</v>
      </c>
      <c r="D81" s="5"/>
      <c r="E81" s="39" t="str">
        <f t="shared" si="8"/>
        <v/>
      </c>
      <c r="F81" s="5"/>
      <c r="G81" s="40"/>
      <c r="H81" s="15"/>
      <c r="I81" s="17"/>
      <c r="J81" s="10"/>
      <c r="L81" s="5"/>
      <c r="M81" s="39" t="str">
        <f t="shared" si="10"/>
        <v/>
      </c>
      <c r="N81" s="5"/>
      <c r="O81" s="39" t="str">
        <f t="shared" si="11"/>
        <v/>
      </c>
      <c r="P81" s="5"/>
      <c r="Q81" s="39" t="str">
        <f t="shared" si="12"/>
        <v/>
      </c>
      <c r="U81" s="4" t="str">
        <f t="shared" si="13"/>
        <v>||</v>
      </c>
      <c r="V81" s="3" t="str">
        <f t="shared" si="14"/>
        <v>||</v>
      </c>
      <c r="W81" s="3" t="str">
        <f t="shared" si="15"/>
        <v>ZZZZZ</v>
      </c>
    </row>
    <row r="82" spans="1:23">
      <c r="A82" s="6"/>
      <c r="C82" s="34" t="str">
        <f t="shared" si="9"/>
        <v>ZZZZZ</v>
      </c>
      <c r="D82" s="5"/>
      <c r="E82" s="39" t="str">
        <f t="shared" si="8"/>
        <v/>
      </c>
      <c r="F82" s="5"/>
      <c r="G82" s="40"/>
      <c r="H82" s="15"/>
      <c r="I82" s="17"/>
      <c r="J82" s="10"/>
      <c r="L82" s="5"/>
      <c r="M82" s="39" t="str">
        <f t="shared" si="10"/>
        <v/>
      </c>
      <c r="N82" s="5"/>
      <c r="O82" s="39" t="str">
        <f t="shared" si="11"/>
        <v/>
      </c>
      <c r="P82" s="5"/>
      <c r="Q82" s="39" t="str">
        <f t="shared" si="12"/>
        <v/>
      </c>
      <c r="U82" s="4" t="str">
        <f t="shared" si="13"/>
        <v>||</v>
      </c>
      <c r="V82" s="3" t="str">
        <f t="shared" si="14"/>
        <v>||</v>
      </c>
      <c r="W82" s="3" t="str">
        <f t="shared" si="15"/>
        <v>ZZZZZ</v>
      </c>
    </row>
    <row r="83" spans="1:23">
      <c r="A83" s="6"/>
      <c r="C83" s="34" t="str">
        <f t="shared" si="9"/>
        <v>ZZZZZ</v>
      </c>
      <c r="D83" s="5"/>
      <c r="E83" s="39" t="str">
        <f t="shared" si="8"/>
        <v/>
      </c>
      <c r="F83" s="5"/>
      <c r="G83" s="40"/>
      <c r="H83" s="15"/>
      <c r="I83" s="17"/>
      <c r="J83" s="10"/>
      <c r="L83" s="5"/>
      <c r="M83" s="39" t="str">
        <f t="shared" si="10"/>
        <v/>
      </c>
      <c r="N83" s="5"/>
      <c r="O83" s="39" t="str">
        <f t="shared" si="11"/>
        <v/>
      </c>
      <c r="P83" s="5"/>
      <c r="Q83" s="39" t="str">
        <f t="shared" si="12"/>
        <v/>
      </c>
      <c r="U83" s="4" t="str">
        <f t="shared" si="13"/>
        <v>||</v>
      </c>
      <c r="V83" s="3" t="str">
        <f t="shared" si="14"/>
        <v>||</v>
      </c>
      <c r="W83" s="3" t="str">
        <f t="shared" si="15"/>
        <v>ZZZZZ</v>
      </c>
    </row>
    <row r="84" spans="1:23">
      <c r="A84" s="6"/>
      <c r="C84" s="34" t="str">
        <f t="shared" si="9"/>
        <v>ZZZZZ</v>
      </c>
      <c r="D84" s="5"/>
      <c r="E84" s="39" t="str">
        <f t="shared" si="8"/>
        <v/>
      </c>
      <c r="F84" s="5"/>
      <c r="G84" s="40"/>
      <c r="H84" s="14"/>
      <c r="I84" s="17"/>
      <c r="J84" s="10"/>
      <c r="L84" s="5"/>
      <c r="M84" s="39" t="str">
        <f t="shared" si="10"/>
        <v/>
      </c>
      <c r="N84" s="5"/>
      <c r="O84" s="39" t="str">
        <f t="shared" si="11"/>
        <v/>
      </c>
      <c r="P84" s="5"/>
      <c r="Q84" s="39" t="str">
        <f t="shared" si="12"/>
        <v/>
      </c>
      <c r="U84" s="4" t="str">
        <f t="shared" si="13"/>
        <v>||</v>
      </c>
      <c r="V84" s="3" t="str">
        <f t="shared" si="14"/>
        <v>||</v>
      </c>
      <c r="W84" s="3" t="str">
        <f t="shared" si="15"/>
        <v>ZZZZZ</v>
      </c>
    </row>
    <row r="85" spans="1:23">
      <c r="A85" s="6"/>
      <c r="C85" s="34" t="str">
        <f t="shared" si="9"/>
        <v>ZZZZZ</v>
      </c>
      <c r="D85" s="5"/>
      <c r="E85" s="39" t="str">
        <f t="shared" si="8"/>
        <v/>
      </c>
      <c r="F85" s="5"/>
      <c r="G85" s="40"/>
      <c r="H85" s="15"/>
      <c r="I85" s="17"/>
      <c r="J85" s="10"/>
      <c r="L85" s="5"/>
      <c r="M85" s="39" t="str">
        <f t="shared" si="10"/>
        <v/>
      </c>
      <c r="N85" s="5"/>
      <c r="O85" s="39" t="str">
        <f t="shared" si="11"/>
        <v/>
      </c>
      <c r="P85" s="5"/>
      <c r="Q85" s="39" t="str">
        <f t="shared" si="12"/>
        <v/>
      </c>
      <c r="U85" s="4" t="str">
        <f t="shared" si="13"/>
        <v>||</v>
      </c>
      <c r="V85" s="3" t="str">
        <f t="shared" si="14"/>
        <v>||</v>
      </c>
      <c r="W85" s="3" t="str">
        <f t="shared" si="15"/>
        <v>ZZZZZ</v>
      </c>
    </row>
    <row r="86" spans="1:23">
      <c r="A86" s="6"/>
      <c r="C86" s="34" t="str">
        <f t="shared" si="9"/>
        <v>ZZZZZ</v>
      </c>
      <c r="D86" s="5"/>
      <c r="E86" s="39" t="str">
        <f t="shared" si="8"/>
        <v/>
      </c>
      <c r="F86" s="5"/>
      <c r="G86" s="40"/>
      <c r="H86" s="14"/>
      <c r="I86" s="17"/>
      <c r="J86" s="10"/>
      <c r="L86" s="5"/>
      <c r="M86" s="39" t="str">
        <f t="shared" si="10"/>
        <v/>
      </c>
      <c r="N86" s="5"/>
      <c r="O86" s="39" t="str">
        <f t="shared" si="11"/>
        <v/>
      </c>
      <c r="P86" s="5"/>
      <c r="Q86" s="39" t="str">
        <f t="shared" si="12"/>
        <v/>
      </c>
      <c r="U86" s="4" t="str">
        <f t="shared" si="13"/>
        <v>||</v>
      </c>
      <c r="V86" s="3" t="str">
        <f t="shared" si="14"/>
        <v>||</v>
      </c>
      <c r="W86" s="3" t="str">
        <f t="shared" si="15"/>
        <v>ZZZZZ</v>
      </c>
    </row>
    <row r="87" spans="1:23">
      <c r="A87" s="6"/>
      <c r="C87" s="34" t="str">
        <f t="shared" si="9"/>
        <v>ZZZZZ</v>
      </c>
      <c r="D87" s="5"/>
      <c r="E87" s="39" t="str">
        <f t="shared" si="8"/>
        <v/>
      </c>
      <c r="F87" s="5"/>
      <c r="G87" s="40"/>
      <c r="H87" s="15"/>
      <c r="I87" s="17"/>
      <c r="J87" s="10"/>
      <c r="L87" s="5"/>
      <c r="M87" s="39" t="str">
        <f t="shared" si="10"/>
        <v/>
      </c>
      <c r="N87" s="5"/>
      <c r="O87" s="39" t="str">
        <f t="shared" si="11"/>
        <v/>
      </c>
      <c r="P87" s="5"/>
      <c r="Q87" s="39" t="str">
        <f t="shared" si="12"/>
        <v/>
      </c>
      <c r="U87" s="4" t="str">
        <f t="shared" si="13"/>
        <v>||</v>
      </c>
      <c r="V87" s="3" t="str">
        <f t="shared" si="14"/>
        <v>||</v>
      </c>
      <c r="W87" s="3" t="str">
        <f t="shared" si="15"/>
        <v>ZZZZZ</v>
      </c>
    </row>
    <row r="88" spans="1:23">
      <c r="A88" s="6"/>
      <c r="C88" s="34" t="str">
        <f t="shared" si="9"/>
        <v>ZZZZZ</v>
      </c>
      <c r="D88" s="5"/>
      <c r="E88" s="39" t="str">
        <f t="shared" si="8"/>
        <v/>
      </c>
      <c r="F88" s="5"/>
      <c r="G88" s="40"/>
      <c r="H88" s="14"/>
      <c r="I88" s="17"/>
      <c r="J88" s="10"/>
      <c r="L88" s="5"/>
      <c r="M88" s="39" t="str">
        <f t="shared" si="10"/>
        <v/>
      </c>
      <c r="N88" s="5"/>
      <c r="O88" s="39" t="str">
        <f t="shared" si="11"/>
        <v/>
      </c>
      <c r="P88" s="5"/>
      <c r="Q88" s="39" t="str">
        <f t="shared" si="12"/>
        <v/>
      </c>
      <c r="U88" s="4" t="str">
        <f t="shared" si="13"/>
        <v>||</v>
      </c>
      <c r="V88" s="3" t="str">
        <f t="shared" si="14"/>
        <v>||</v>
      </c>
      <c r="W88" s="3" t="str">
        <f t="shared" si="15"/>
        <v>ZZZZZ</v>
      </c>
    </row>
    <row r="89" spans="1:23">
      <c r="A89" s="6"/>
      <c r="C89" s="34" t="str">
        <f t="shared" si="9"/>
        <v>ZZZZZ</v>
      </c>
      <c r="D89" s="5"/>
      <c r="E89" s="39" t="str">
        <f t="shared" si="8"/>
        <v/>
      </c>
      <c r="F89" s="5"/>
      <c r="G89" s="40"/>
      <c r="H89" s="15"/>
      <c r="I89" s="17"/>
      <c r="J89" s="10"/>
      <c r="L89" s="5"/>
      <c r="M89" s="39" t="str">
        <f t="shared" si="10"/>
        <v/>
      </c>
      <c r="N89" s="5"/>
      <c r="O89" s="39" t="str">
        <f t="shared" si="11"/>
        <v/>
      </c>
      <c r="P89" s="5"/>
      <c r="Q89" s="39" t="str">
        <f t="shared" si="12"/>
        <v/>
      </c>
      <c r="U89" s="4" t="str">
        <f t="shared" si="13"/>
        <v>||</v>
      </c>
      <c r="V89" s="3" t="str">
        <f t="shared" si="14"/>
        <v>||</v>
      </c>
      <c r="W89" s="3" t="str">
        <f t="shared" si="15"/>
        <v>ZZZZZ</v>
      </c>
    </row>
    <row r="90" spans="1:23">
      <c r="A90" s="6"/>
      <c r="C90" s="34" t="str">
        <f t="shared" si="9"/>
        <v>ZZZZZ</v>
      </c>
      <c r="D90" s="5"/>
      <c r="E90" s="39" t="str">
        <f t="shared" si="8"/>
        <v/>
      </c>
      <c r="F90" s="5"/>
      <c r="G90" s="40"/>
      <c r="H90" s="15"/>
      <c r="I90" s="17"/>
      <c r="J90" s="10"/>
      <c r="L90" s="5"/>
      <c r="M90" s="39" t="str">
        <f t="shared" si="10"/>
        <v/>
      </c>
      <c r="N90" s="5"/>
      <c r="O90" s="39" t="str">
        <f t="shared" si="11"/>
        <v/>
      </c>
      <c r="P90" s="5"/>
      <c r="Q90" s="39" t="str">
        <f t="shared" si="12"/>
        <v/>
      </c>
      <c r="U90" s="4" t="str">
        <f t="shared" si="13"/>
        <v>||</v>
      </c>
      <c r="V90" s="3" t="str">
        <f t="shared" si="14"/>
        <v>||</v>
      </c>
      <c r="W90" s="3" t="str">
        <f t="shared" si="15"/>
        <v>ZZZZZ</v>
      </c>
    </row>
    <row r="91" spans="1:23">
      <c r="A91" s="6"/>
      <c r="C91" s="34" t="str">
        <f t="shared" si="9"/>
        <v>ZZZZZ</v>
      </c>
      <c r="D91" s="5"/>
      <c r="E91" s="39" t="str">
        <f t="shared" si="8"/>
        <v/>
      </c>
      <c r="F91" s="5"/>
      <c r="G91" s="40"/>
      <c r="H91" s="15"/>
      <c r="I91" s="17"/>
      <c r="J91" s="10"/>
      <c r="L91" s="5"/>
      <c r="M91" s="39" t="str">
        <f t="shared" si="10"/>
        <v/>
      </c>
      <c r="N91" s="5"/>
      <c r="O91" s="39" t="str">
        <f t="shared" si="11"/>
        <v/>
      </c>
      <c r="P91" s="5"/>
      <c r="Q91" s="39" t="str">
        <f t="shared" si="12"/>
        <v/>
      </c>
      <c r="U91" s="4" t="str">
        <f t="shared" si="13"/>
        <v>||</v>
      </c>
      <c r="V91" s="3" t="str">
        <f t="shared" si="14"/>
        <v>||</v>
      </c>
      <c r="W91" s="3" t="str">
        <f t="shared" si="15"/>
        <v>ZZZZZ</v>
      </c>
    </row>
    <row r="92" spans="1:23">
      <c r="A92" s="6"/>
      <c r="C92" s="34" t="str">
        <f t="shared" si="9"/>
        <v>ZZZZZ</v>
      </c>
      <c r="D92" s="5"/>
      <c r="E92" s="39" t="str">
        <f t="shared" si="8"/>
        <v/>
      </c>
      <c r="F92" s="5"/>
      <c r="G92" s="40"/>
      <c r="H92" s="14"/>
      <c r="I92" s="17"/>
      <c r="J92" s="10"/>
      <c r="L92" s="5"/>
      <c r="M92" s="39" t="str">
        <f t="shared" si="10"/>
        <v/>
      </c>
      <c r="N92" s="5"/>
      <c r="O92" s="39" t="str">
        <f t="shared" si="11"/>
        <v/>
      </c>
      <c r="P92" s="5"/>
      <c r="Q92" s="39" t="str">
        <f t="shared" si="12"/>
        <v/>
      </c>
      <c r="U92" s="4" t="str">
        <f t="shared" si="13"/>
        <v>||</v>
      </c>
      <c r="V92" s="3" t="str">
        <f t="shared" si="14"/>
        <v>||</v>
      </c>
      <c r="W92" s="3" t="str">
        <f t="shared" si="15"/>
        <v>ZZZZZ</v>
      </c>
    </row>
    <row r="93" spans="1:23">
      <c r="A93" s="6"/>
      <c r="C93" s="34" t="str">
        <f t="shared" si="9"/>
        <v>ZZZZZ</v>
      </c>
      <c r="D93" s="5"/>
      <c r="E93" s="39" t="str">
        <f t="shared" si="8"/>
        <v/>
      </c>
      <c r="F93" s="5"/>
      <c r="G93" s="40"/>
      <c r="H93" s="14"/>
      <c r="I93" s="17"/>
      <c r="J93" s="10"/>
      <c r="L93" s="5"/>
      <c r="M93" s="39" t="str">
        <f t="shared" si="10"/>
        <v/>
      </c>
      <c r="N93" s="5"/>
      <c r="O93" s="39" t="str">
        <f t="shared" si="11"/>
        <v/>
      </c>
      <c r="P93" s="5"/>
      <c r="Q93" s="39" t="str">
        <f t="shared" si="12"/>
        <v/>
      </c>
      <c r="U93" s="4" t="str">
        <f t="shared" si="13"/>
        <v>||</v>
      </c>
      <c r="V93" s="3" t="str">
        <f t="shared" si="14"/>
        <v>||</v>
      </c>
      <c r="W93" s="3" t="str">
        <f t="shared" si="15"/>
        <v>ZZZZZ</v>
      </c>
    </row>
    <row r="94" spans="1:23">
      <c r="A94" s="6"/>
      <c r="C94" s="34" t="str">
        <f t="shared" si="9"/>
        <v>ZZZZZ</v>
      </c>
      <c r="D94" s="5"/>
      <c r="E94" s="39" t="str">
        <f t="shared" si="8"/>
        <v/>
      </c>
      <c r="F94" s="5"/>
      <c r="G94" s="40"/>
      <c r="H94" s="14"/>
      <c r="I94" s="17"/>
      <c r="J94" s="10"/>
      <c r="L94" s="5"/>
      <c r="M94" s="39" t="str">
        <f t="shared" si="10"/>
        <v/>
      </c>
      <c r="N94" s="5"/>
      <c r="O94" s="39" t="str">
        <f t="shared" si="11"/>
        <v/>
      </c>
      <c r="P94" s="5"/>
      <c r="Q94" s="39" t="str">
        <f t="shared" si="12"/>
        <v/>
      </c>
      <c r="U94" s="4" t="str">
        <f t="shared" si="13"/>
        <v>||</v>
      </c>
      <c r="V94" s="3" t="str">
        <f t="shared" si="14"/>
        <v>||</v>
      </c>
      <c r="W94" s="3" t="str">
        <f t="shared" si="15"/>
        <v>ZZZZZ</v>
      </c>
    </row>
    <row r="95" spans="1:23">
      <c r="A95" s="6"/>
      <c r="C95" s="34" t="str">
        <f t="shared" si="9"/>
        <v>ZZZZZ</v>
      </c>
      <c r="D95" s="5"/>
      <c r="E95" s="39" t="str">
        <f t="shared" si="8"/>
        <v/>
      </c>
      <c r="F95" s="5"/>
      <c r="G95" s="40"/>
      <c r="H95" s="15"/>
      <c r="I95" s="17"/>
      <c r="J95" s="10"/>
      <c r="L95" s="5"/>
      <c r="M95" s="39" t="str">
        <f t="shared" si="10"/>
        <v/>
      </c>
      <c r="N95" s="5"/>
      <c r="O95" s="39" t="str">
        <f t="shared" si="11"/>
        <v/>
      </c>
      <c r="P95" s="5"/>
      <c r="Q95" s="39" t="str">
        <f t="shared" si="12"/>
        <v/>
      </c>
      <c r="U95" s="4" t="str">
        <f t="shared" si="13"/>
        <v>||</v>
      </c>
      <c r="V95" s="3" t="str">
        <f t="shared" si="14"/>
        <v>||</v>
      </c>
      <c r="W95" s="3" t="str">
        <f t="shared" si="15"/>
        <v>ZZZZZ</v>
      </c>
    </row>
    <row r="96" spans="1:23">
      <c r="A96" s="6"/>
      <c r="C96" s="34" t="str">
        <f t="shared" si="9"/>
        <v>ZZZZZ</v>
      </c>
      <c r="D96" s="5"/>
      <c r="E96" s="39" t="str">
        <f t="shared" si="8"/>
        <v/>
      </c>
      <c r="F96" s="5"/>
      <c r="G96" s="40"/>
      <c r="H96" s="15"/>
      <c r="I96" s="17"/>
      <c r="J96" s="10"/>
      <c r="L96" s="5"/>
      <c r="M96" s="39" t="str">
        <f t="shared" si="10"/>
        <v/>
      </c>
      <c r="N96" s="5"/>
      <c r="O96" s="39" t="str">
        <f t="shared" si="11"/>
        <v/>
      </c>
      <c r="P96" s="5"/>
      <c r="Q96" s="39" t="str">
        <f t="shared" si="12"/>
        <v/>
      </c>
      <c r="U96" s="4" t="str">
        <f t="shared" si="13"/>
        <v>||</v>
      </c>
      <c r="V96" s="3" t="str">
        <f t="shared" si="14"/>
        <v>||</v>
      </c>
      <c r="W96" s="3" t="str">
        <f t="shared" si="15"/>
        <v>ZZZZZ</v>
      </c>
    </row>
    <row r="97" spans="1:23">
      <c r="A97" s="6"/>
      <c r="C97" s="34" t="str">
        <f t="shared" si="9"/>
        <v>ZZZZZ</v>
      </c>
      <c r="D97" s="5"/>
      <c r="E97" s="39" t="str">
        <f t="shared" si="8"/>
        <v/>
      </c>
      <c r="F97" s="5"/>
      <c r="G97" s="40"/>
      <c r="H97" s="15"/>
      <c r="I97" s="17"/>
      <c r="J97" s="10"/>
      <c r="L97" s="5"/>
      <c r="M97" s="39" t="str">
        <f t="shared" si="10"/>
        <v/>
      </c>
      <c r="N97" s="5"/>
      <c r="O97" s="39" t="str">
        <f t="shared" si="11"/>
        <v/>
      </c>
      <c r="P97" s="5"/>
      <c r="Q97" s="39" t="str">
        <f t="shared" si="12"/>
        <v/>
      </c>
      <c r="U97" s="4" t="str">
        <f t="shared" si="13"/>
        <v>||</v>
      </c>
      <c r="V97" s="3" t="str">
        <f t="shared" si="14"/>
        <v>||</v>
      </c>
      <c r="W97" s="3" t="str">
        <f t="shared" si="15"/>
        <v>ZZZZZ</v>
      </c>
    </row>
    <row r="98" spans="1:23">
      <c r="A98" s="6"/>
      <c r="C98" s="34" t="str">
        <f t="shared" si="9"/>
        <v>ZZZZZ</v>
      </c>
      <c r="D98" s="5"/>
      <c r="E98" s="39" t="str">
        <f t="shared" si="8"/>
        <v/>
      </c>
      <c r="F98" s="5"/>
      <c r="G98" s="40"/>
      <c r="H98" s="15"/>
      <c r="I98" s="17"/>
      <c r="J98" s="10"/>
      <c r="L98" s="5"/>
      <c r="M98" s="39" t="str">
        <f t="shared" si="10"/>
        <v/>
      </c>
      <c r="N98" s="5"/>
      <c r="O98" s="39" t="str">
        <f t="shared" si="11"/>
        <v/>
      </c>
      <c r="P98" s="5"/>
      <c r="Q98" s="39" t="str">
        <f t="shared" si="12"/>
        <v/>
      </c>
      <c r="U98" s="4" t="str">
        <f t="shared" si="13"/>
        <v>||</v>
      </c>
      <c r="V98" s="3" t="str">
        <f t="shared" si="14"/>
        <v>||</v>
      </c>
      <c r="W98" s="3" t="str">
        <f t="shared" si="15"/>
        <v>ZZZZZ</v>
      </c>
    </row>
    <row r="99" spans="1:23">
      <c r="A99" s="6"/>
      <c r="C99" s="34" t="str">
        <f t="shared" si="9"/>
        <v>ZZZZZ</v>
      </c>
      <c r="D99" s="5"/>
      <c r="E99" s="39" t="str">
        <f t="shared" si="8"/>
        <v/>
      </c>
      <c r="F99" s="5"/>
      <c r="G99" s="40"/>
      <c r="H99" s="15"/>
      <c r="I99" s="17"/>
      <c r="J99" s="10"/>
      <c r="L99" s="5"/>
      <c r="M99" s="39" t="str">
        <f t="shared" si="10"/>
        <v/>
      </c>
      <c r="N99" s="5"/>
      <c r="O99" s="39" t="str">
        <f t="shared" si="11"/>
        <v/>
      </c>
      <c r="P99" s="5"/>
      <c r="Q99" s="39" t="str">
        <f t="shared" si="12"/>
        <v/>
      </c>
      <c r="U99" s="4" t="str">
        <f t="shared" si="13"/>
        <v>||</v>
      </c>
      <c r="V99" s="3" t="str">
        <f t="shared" si="14"/>
        <v>||</v>
      </c>
      <c r="W99" s="3" t="str">
        <f t="shared" si="15"/>
        <v>ZZZZZ</v>
      </c>
    </row>
    <row r="100" spans="1:23">
      <c r="A100" s="6"/>
      <c r="C100" s="34" t="str">
        <f t="shared" si="9"/>
        <v>ZZZZZ</v>
      </c>
      <c r="D100" s="5"/>
      <c r="E100" s="39" t="str">
        <f t="shared" si="8"/>
        <v/>
      </c>
      <c r="F100" s="5"/>
      <c r="G100" s="40"/>
      <c r="H100" s="14"/>
      <c r="I100" s="17"/>
      <c r="J100" s="10"/>
      <c r="L100" s="5"/>
      <c r="M100" s="39" t="str">
        <f t="shared" si="10"/>
        <v/>
      </c>
      <c r="N100" s="5"/>
      <c r="O100" s="39" t="str">
        <f t="shared" si="11"/>
        <v/>
      </c>
      <c r="P100" s="5"/>
      <c r="Q100" s="39" t="str">
        <f t="shared" si="12"/>
        <v/>
      </c>
      <c r="U100" s="4" t="str">
        <f t="shared" si="13"/>
        <v>||</v>
      </c>
      <c r="V100" s="3" t="str">
        <f t="shared" si="14"/>
        <v>||</v>
      </c>
      <c r="W100" s="3" t="str">
        <f t="shared" si="15"/>
        <v>ZZZZZ</v>
      </c>
    </row>
    <row r="101" spans="1:23">
      <c r="A101" s="6"/>
      <c r="C101" s="35"/>
      <c r="D101" s="5"/>
      <c r="E101" s="39"/>
      <c r="F101" s="5"/>
      <c r="G101" s="40"/>
      <c r="H101" s="14"/>
      <c r="I101" s="17"/>
      <c r="J101" s="10"/>
      <c r="L101" s="5"/>
      <c r="M101" s="39"/>
      <c r="N101" s="5"/>
      <c r="O101" s="39"/>
      <c r="P101" s="5"/>
      <c r="Q101" s="39"/>
      <c r="V101" s="3"/>
      <c r="W101" s="3"/>
    </row>
    <row r="102" spans="1:23">
      <c r="A102" s="6"/>
      <c r="C102" s="35"/>
      <c r="D102" s="5"/>
      <c r="E102" s="39"/>
      <c r="F102" s="5"/>
      <c r="G102" s="40"/>
      <c r="H102" s="15"/>
      <c r="I102" s="17"/>
      <c r="J102" s="10"/>
      <c r="L102" s="5"/>
      <c r="M102" s="39"/>
      <c r="N102" s="5"/>
      <c r="O102" s="39"/>
      <c r="P102" s="5"/>
      <c r="Q102" s="39"/>
      <c r="V102" s="3"/>
      <c r="W102" s="3"/>
    </row>
    <row r="103" spans="1:23">
      <c r="A103" s="6"/>
      <c r="C103" s="35"/>
      <c r="D103" s="5"/>
      <c r="E103" s="39"/>
      <c r="F103" s="5"/>
      <c r="G103" s="40"/>
      <c r="H103" s="14"/>
      <c r="I103" s="17"/>
      <c r="J103" s="10"/>
      <c r="L103" s="5"/>
      <c r="M103" s="39"/>
      <c r="N103" s="5"/>
      <c r="O103" s="39"/>
      <c r="P103" s="5"/>
      <c r="Q103" s="39"/>
      <c r="V103" s="3"/>
      <c r="W103" s="3"/>
    </row>
    <row r="104" spans="1:23">
      <c r="A104" s="6"/>
      <c r="C104" s="35"/>
      <c r="D104" s="5"/>
      <c r="E104" s="39"/>
      <c r="F104" s="5"/>
      <c r="G104" s="40"/>
      <c r="H104" s="14"/>
      <c r="I104" s="17"/>
      <c r="J104" s="10"/>
      <c r="L104" s="5"/>
      <c r="M104" s="39"/>
      <c r="N104" s="5"/>
      <c r="O104" s="39"/>
      <c r="P104" s="5"/>
      <c r="Q104" s="39"/>
      <c r="V104" s="3"/>
      <c r="W104" s="3"/>
    </row>
    <row r="105" spans="1:23">
      <c r="A105" s="6"/>
      <c r="C105" s="35"/>
      <c r="D105" s="5"/>
      <c r="E105" s="39"/>
      <c r="F105" s="5"/>
      <c r="G105" s="40"/>
      <c r="H105" s="15"/>
      <c r="I105" s="17"/>
      <c r="J105" s="10"/>
      <c r="L105" s="5"/>
      <c r="M105" s="39"/>
      <c r="N105" s="5"/>
      <c r="O105" s="39"/>
      <c r="P105" s="5"/>
      <c r="Q105" s="39"/>
      <c r="V105" s="3"/>
      <c r="W105" s="3"/>
    </row>
    <row r="106" spans="1:23">
      <c r="A106" s="6"/>
      <c r="C106" s="35"/>
      <c r="D106" s="5"/>
      <c r="E106" s="39"/>
      <c r="F106" s="5"/>
      <c r="G106" s="40"/>
      <c r="H106" s="14"/>
      <c r="I106" s="17"/>
      <c r="J106" s="10"/>
      <c r="L106" s="5"/>
      <c r="M106" s="39"/>
      <c r="N106" s="5"/>
      <c r="O106" s="39"/>
      <c r="P106" s="5"/>
      <c r="Q106" s="39"/>
      <c r="V106" s="3"/>
      <c r="W106" s="3"/>
    </row>
    <row r="107" spans="1:23">
      <c r="A107" s="6"/>
      <c r="C107" s="35"/>
      <c r="D107" s="5"/>
      <c r="E107" s="39"/>
      <c r="F107" s="5"/>
      <c r="G107" s="40"/>
      <c r="H107" s="15"/>
      <c r="I107" s="17"/>
      <c r="J107" s="10"/>
      <c r="L107" s="5"/>
      <c r="M107" s="39"/>
      <c r="N107" s="5"/>
      <c r="O107" s="39"/>
      <c r="P107" s="5"/>
      <c r="Q107" s="39"/>
      <c r="V107" s="3"/>
      <c r="W107" s="3"/>
    </row>
    <row r="108" spans="1:23">
      <c r="A108" s="6"/>
      <c r="C108" s="35"/>
      <c r="D108" s="5"/>
      <c r="E108" s="39"/>
      <c r="F108" s="5"/>
      <c r="G108" s="40"/>
      <c r="H108" s="14"/>
      <c r="I108" s="17"/>
      <c r="J108" s="10"/>
      <c r="L108" s="5"/>
      <c r="M108" s="39"/>
      <c r="N108" s="5"/>
      <c r="O108" s="39"/>
      <c r="P108" s="5"/>
      <c r="Q108" s="39"/>
      <c r="V108" s="3"/>
      <c r="W108" s="3"/>
    </row>
    <row r="109" spans="1:23">
      <c r="A109" s="6"/>
      <c r="C109" s="35"/>
      <c r="D109" s="5"/>
      <c r="E109" s="39"/>
      <c r="F109" s="5"/>
      <c r="G109" s="40"/>
      <c r="H109" s="14"/>
      <c r="I109" s="17"/>
      <c r="J109" s="10"/>
      <c r="L109" s="5"/>
      <c r="M109" s="39"/>
      <c r="N109" s="5"/>
      <c r="O109" s="39"/>
      <c r="P109" s="5"/>
      <c r="Q109" s="39"/>
      <c r="V109" s="3"/>
      <c r="W109" s="3"/>
    </row>
    <row r="110" spans="1:23">
      <c r="A110" s="6"/>
      <c r="C110" s="35"/>
      <c r="D110" s="5"/>
      <c r="E110" s="39"/>
      <c r="F110" s="5"/>
      <c r="G110" s="40"/>
      <c r="H110" s="15"/>
      <c r="I110" s="17"/>
      <c r="J110" s="10"/>
      <c r="L110" s="5"/>
      <c r="M110" s="39"/>
      <c r="N110" s="5"/>
      <c r="O110" s="39"/>
      <c r="P110" s="5"/>
      <c r="Q110" s="39"/>
      <c r="V110" s="3"/>
      <c r="W110" s="3"/>
    </row>
    <row r="111" spans="1:23">
      <c r="A111" s="6"/>
      <c r="C111" s="35"/>
      <c r="D111" s="5"/>
      <c r="E111" s="39"/>
      <c r="F111" s="5"/>
      <c r="G111" s="40"/>
      <c r="H111" s="15"/>
      <c r="I111" s="17"/>
      <c r="J111" s="10"/>
      <c r="L111" s="5"/>
      <c r="M111" s="39"/>
      <c r="N111" s="5"/>
      <c r="O111" s="39"/>
      <c r="P111" s="5"/>
      <c r="Q111" s="39"/>
      <c r="V111" s="3"/>
      <c r="W111" s="3"/>
    </row>
    <row r="112" spans="1:23">
      <c r="A112" s="6"/>
      <c r="C112" s="35"/>
      <c r="D112" s="5"/>
      <c r="E112" s="39"/>
      <c r="F112" s="5"/>
      <c r="G112" s="40"/>
      <c r="H112" s="14"/>
      <c r="I112" s="17"/>
      <c r="J112" s="10"/>
      <c r="L112" s="5"/>
      <c r="M112" s="39"/>
      <c r="N112" s="5"/>
      <c r="O112" s="39"/>
      <c r="P112" s="5"/>
      <c r="Q112" s="39"/>
      <c r="S112" s="29"/>
      <c r="V112" s="3"/>
      <c r="W112" s="3"/>
    </row>
    <row r="113" spans="1:23">
      <c r="A113" s="19"/>
      <c r="C113" s="35"/>
      <c r="D113" s="2"/>
      <c r="E113" s="39"/>
      <c r="F113" s="5"/>
      <c r="G113" s="40"/>
      <c r="H113" s="10"/>
      <c r="I113" s="17"/>
      <c r="J113" s="11"/>
      <c r="L113" s="2"/>
      <c r="M113" s="39"/>
      <c r="N113" s="2"/>
      <c r="O113" s="39"/>
      <c r="P113" s="2"/>
      <c r="Q113" s="39"/>
      <c r="T113" s="38"/>
      <c r="V113" s="3"/>
      <c r="W113" s="3"/>
    </row>
    <row r="114" spans="1:23">
      <c r="A114" s="6"/>
      <c r="C114" s="35"/>
      <c r="D114" s="5"/>
      <c r="E114" s="39"/>
      <c r="F114" s="5"/>
      <c r="G114" s="40"/>
      <c r="H114" s="15"/>
      <c r="I114" s="17"/>
      <c r="J114" s="10"/>
      <c r="L114" s="5"/>
      <c r="M114" s="39"/>
      <c r="N114" s="5"/>
      <c r="O114" s="39"/>
      <c r="P114" s="5"/>
      <c r="Q114" s="39"/>
      <c r="V114" s="3"/>
      <c r="W114" s="3"/>
    </row>
    <row r="115" spans="1:23">
      <c r="A115" s="6"/>
      <c r="C115" s="35"/>
      <c r="D115" s="5"/>
      <c r="E115" s="39"/>
      <c r="F115" s="5"/>
      <c r="G115" s="40"/>
      <c r="H115" s="14"/>
      <c r="I115" s="17"/>
      <c r="J115" s="10"/>
      <c r="L115" s="5"/>
      <c r="M115" s="39"/>
      <c r="N115" s="5"/>
      <c r="O115" s="39"/>
      <c r="P115" s="5"/>
      <c r="Q115" s="39"/>
      <c r="V115" s="3"/>
      <c r="W115" s="3"/>
    </row>
    <row r="116" spans="1:23">
      <c r="A116" s="6"/>
      <c r="C116" s="35"/>
      <c r="D116" s="5"/>
      <c r="E116" s="39"/>
      <c r="F116" s="5"/>
      <c r="G116" s="40"/>
      <c r="H116" s="15"/>
      <c r="I116" s="17"/>
      <c r="J116" s="10"/>
      <c r="L116" s="5"/>
      <c r="M116" s="39"/>
      <c r="N116" s="5"/>
      <c r="O116" s="39"/>
      <c r="P116" s="5"/>
      <c r="Q116" s="39"/>
      <c r="V116" s="3"/>
      <c r="W116" s="3"/>
    </row>
    <row r="117" spans="1:23">
      <c r="A117" s="6"/>
      <c r="C117" s="35"/>
      <c r="D117" s="5"/>
      <c r="E117" s="39"/>
      <c r="F117" s="5"/>
      <c r="G117" s="40"/>
      <c r="H117" s="14"/>
      <c r="I117" s="17"/>
      <c r="J117" s="10"/>
      <c r="L117" s="5"/>
      <c r="M117" s="39"/>
      <c r="N117" s="5"/>
      <c r="O117" s="39"/>
      <c r="P117" s="5"/>
      <c r="Q117" s="39"/>
      <c r="V117" s="3"/>
      <c r="W117" s="3"/>
    </row>
    <row r="118" spans="1:23">
      <c r="A118" s="6"/>
      <c r="C118" s="35"/>
      <c r="D118" s="5"/>
      <c r="E118" s="39"/>
      <c r="F118" s="5"/>
      <c r="G118" s="40"/>
      <c r="H118" s="14"/>
      <c r="I118" s="17"/>
      <c r="J118" s="10"/>
      <c r="L118" s="5"/>
      <c r="M118" s="39"/>
      <c r="N118" s="5"/>
      <c r="O118" s="39"/>
      <c r="P118" s="5"/>
      <c r="Q118" s="39"/>
      <c r="V118" s="3"/>
      <c r="W118" s="3"/>
    </row>
    <row r="119" spans="1:23">
      <c r="A119" s="6"/>
      <c r="C119" s="35"/>
      <c r="D119" s="5"/>
      <c r="E119" s="39"/>
      <c r="F119" s="5"/>
      <c r="G119" s="40"/>
      <c r="H119" s="14"/>
      <c r="I119" s="17"/>
      <c r="J119" s="10"/>
      <c r="L119" s="5"/>
      <c r="M119" s="39"/>
      <c r="N119" s="5"/>
      <c r="O119" s="39"/>
      <c r="P119" s="5"/>
      <c r="Q119" s="39"/>
      <c r="V119" s="3"/>
      <c r="W119" s="3"/>
    </row>
    <row r="120" spans="1:23">
      <c r="A120" s="6"/>
      <c r="C120" s="35"/>
      <c r="D120" s="5"/>
      <c r="E120" s="39"/>
      <c r="F120" s="5"/>
      <c r="G120" s="40"/>
      <c r="H120" s="14"/>
      <c r="I120" s="17"/>
      <c r="J120" s="10"/>
      <c r="L120" s="5"/>
      <c r="M120" s="39"/>
      <c r="N120" s="5"/>
      <c r="O120" s="39"/>
      <c r="P120" s="5"/>
      <c r="Q120" s="39"/>
      <c r="V120" s="3"/>
      <c r="W120" s="3"/>
    </row>
    <row r="121" spans="1:23">
      <c r="A121" s="6"/>
      <c r="C121" s="35"/>
      <c r="D121" s="5"/>
      <c r="E121" s="39"/>
      <c r="F121" s="5"/>
      <c r="G121" s="40"/>
      <c r="H121" s="14"/>
      <c r="I121" s="17"/>
      <c r="J121" s="10"/>
      <c r="L121" s="5"/>
      <c r="M121" s="39"/>
      <c r="N121" s="5"/>
      <c r="O121" s="39"/>
      <c r="P121" s="5"/>
      <c r="Q121" s="39"/>
      <c r="V121" s="3"/>
      <c r="W121" s="3"/>
    </row>
    <row r="122" spans="1:23">
      <c r="A122" s="6"/>
      <c r="C122" s="35"/>
      <c r="D122" s="5"/>
      <c r="E122" s="39"/>
      <c r="F122" s="5"/>
      <c r="G122" s="40"/>
      <c r="H122" s="15"/>
      <c r="I122" s="17"/>
      <c r="J122" s="10"/>
      <c r="L122" s="5"/>
      <c r="M122" s="39"/>
      <c r="N122" s="5"/>
      <c r="O122" s="39"/>
      <c r="P122" s="5"/>
      <c r="Q122" s="39"/>
      <c r="V122" s="3"/>
      <c r="W122" s="3"/>
    </row>
    <row r="123" spans="1:23">
      <c r="A123" s="6"/>
      <c r="C123" s="35"/>
      <c r="D123" s="5"/>
      <c r="E123" s="39"/>
      <c r="F123" s="5"/>
      <c r="G123" s="40"/>
      <c r="H123" s="14"/>
      <c r="I123" s="17"/>
      <c r="J123" s="10"/>
      <c r="L123" s="5"/>
      <c r="M123" s="39"/>
      <c r="N123" s="5"/>
      <c r="O123" s="39"/>
      <c r="P123" s="5"/>
      <c r="Q123" s="39"/>
      <c r="V123" s="3"/>
      <c r="W123" s="3"/>
    </row>
    <row r="124" spans="1:23">
      <c r="A124" s="6"/>
      <c r="C124" s="35"/>
      <c r="D124" s="5"/>
      <c r="E124" s="39"/>
      <c r="F124" s="5"/>
      <c r="G124" s="40"/>
      <c r="H124" s="14"/>
      <c r="I124" s="17"/>
      <c r="J124" s="10"/>
      <c r="L124" s="5"/>
      <c r="M124" s="39"/>
      <c r="N124" s="5"/>
      <c r="O124" s="39"/>
      <c r="P124" s="5"/>
      <c r="Q124" s="39"/>
      <c r="V124" s="3"/>
      <c r="W124" s="3"/>
    </row>
    <row r="125" spans="1:23">
      <c r="C125" s="35"/>
      <c r="D125" s="5"/>
      <c r="E125" s="39"/>
      <c r="G125" s="40"/>
      <c r="L125" s="5"/>
      <c r="M125" s="39"/>
      <c r="N125" s="5"/>
      <c r="O125" s="39"/>
      <c r="P125" s="5"/>
      <c r="Q125" s="39"/>
      <c r="R125" s="29"/>
      <c r="V125" s="3"/>
      <c r="W125" s="3"/>
    </row>
    <row r="126" spans="1:23">
      <c r="A126" s="6"/>
      <c r="C126" s="35"/>
      <c r="D126" s="5"/>
      <c r="E126" s="39"/>
      <c r="F126" s="5"/>
      <c r="G126" s="40"/>
      <c r="H126" s="15"/>
      <c r="I126" s="17"/>
      <c r="J126" s="10"/>
      <c r="L126" s="5"/>
      <c r="M126" s="39"/>
      <c r="N126" s="5"/>
      <c r="O126" s="39"/>
      <c r="P126" s="5"/>
      <c r="Q126" s="39"/>
      <c r="V126" s="3"/>
      <c r="W126" s="3"/>
    </row>
    <row r="127" spans="1:23">
      <c r="A127" s="6"/>
      <c r="C127" s="35"/>
      <c r="D127" s="5"/>
      <c r="E127" s="39"/>
      <c r="F127" s="5"/>
      <c r="G127" s="40"/>
      <c r="H127" s="14"/>
      <c r="I127" s="17"/>
      <c r="J127" s="10"/>
      <c r="L127" s="5"/>
      <c r="M127" s="39"/>
      <c r="N127" s="5"/>
      <c r="O127" s="39"/>
      <c r="P127" s="5"/>
      <c r="Q127" s="39"/>
      <c r="V127" s="3"/>
      <c r="W127" s="3"/>
    </row>
    <row r="128" spans="1:23">
      <c r="A128" s="6"/>
      <c r="C128" s="35"/>
      <c r="D128" s="5"/>
      <c r="E128" s="39"/>
      <c r="F128" s="5"/>
      <c r="G128" s="40"/>
      <c r="H128" s="15"/>
      <c r="I128" s="17"/>
      <c r="J128" s="10"/>
      <c r="L128" s="5"/>
      <c r="M128" s="39"/>
      <c r="N128" s="5"/>
      <c r="O128" s="39"/>
      <c r="P128" s="5"/>
      <c r="Q128" s="39"/>
      <c r="V128" s="3"/>
      <c r="W128" s="3"/>
    </row>
    <row r="129" spans="1:23">
      <c r="A129" s="6"/>
      <c r="C129" s="35"/>
      <c r="D129" s="5"/>
      <c r="E129" s="39"/>
      <c r="F129" s="5"/>
      <c r="G129" s="40"/>
      <c r="H129" s="14"/>
      <c r="I129" s="17"/>
      <c r="J129" s="10"/>
      <c r="L129" s="5"/>
      <c r="M129" s="39"/>
      <c r="N129" s="5"/>
      <c r="O129" s="39"/>
      <c r="P129" s="5"/>
      <c r="Q129" s="39"/>
      <c r="V129" s="3"/>
      <c r="W129" s="3"/>
    </row>
    <row r="130" spans="1:23">
      <c r="A130" s="6"/>
      <c r="C130" s="35"/>
      <c r="D130" s="5"/>
      <c r="E130" s="39"/>
      <c r="F130" s="5"/>
      <c r="G130" s="40"/>
      <c r="H130" s="14"/>
      <c r="I130" s="17"/>
      <c r="J130" s="10"/>
      <c r="L130" s="5"/>
      <c r="M130" s="39"/>
      <c r="N130" s="5"/>
      <c r="O130" s="39"/>
      <c r="P130" s="5"/>
      <c r="Q130" s="39"/>
      <c r="V130" s="3"/>
      <c r="W130" s="3"/>
    </row>
    <row r="131" spans="1:23">
      <c r="A131" s="6"/>
      <c r="C131" s="35"/>
      <c r="D131" s="5"/>
      <c r="E131" s="39"/>
      <c r="F131" s="5"/>
      <c r="G131" s="40"/>
      <c r="H131" s="15"/>
      <c r="I131" s="17"/>
      <c r="J131" s="10"/>
      <c r="L131" s="5"/>
      <c r="M131" s="39"/>
      <c r="N131" s="5"/>
      <c r="O131" s="39"/>
      <c r="P131" s="5"/>
      <c r="Q131" s="39"/>
      <c r="V131" s="3"/>
      <c r="W131" s="3"/>
    </row>
    <row r="132" spans="1:23">
      <c r="A132" s="6"/>
      <c r="C132" s="35"/>
      <c r="D132" s="5"/>
      <c r="E132" s="39"/>
      <c r="F132" s="5"/>
      <c r="G132" s="40"/>
      <c r="H132" s="14"/>
      <c r="I132" s="17"/>
      <c r="J132" s="10"/>
      <c r="L132" s="5"/>
      <c r="M132" s="39"/>
      <c r="N132" s="5"/>
      <c r="O132" s="39"/>
      <c r="P132" s="5"/>
      <c r="Q132" s="39"/>
      <c r="V132" s="3"/>
      <c r="W132" s="3"/>
    </row>
    <row r="133" spans="1:23">
      <c r="A133" s="6"/>
      <c r="C133" s="35"/>
      <c r="D133" s="5"/>
      <c r="E133" s="39"/>
      <c r="F133" s="5"/>
      <c r="G133" s="40"/>
      <c r="H133" s="15"/>
      <c r="I133" s="17"/>
      <c r="J133" s="10"/>
      <c r="L133" s="5"/>
      <c r="M133" s="39"/>
      <c r="N133" s="5"/>
      <c r="O133" s="39"/>
      <c r="P133" s="5"/>
      <c r="Q133" s="39"/>
      <c r="V133" s="3"/>
      <c r="W133" s="3"/>
    </row>
    <row r="134" spans="1:23">
      <c r="A134" s="6"/>
      <c r="C134" s="35"/>
      <c r="D134" s="5"/>
      <c r="E134" s="39"/>
      <c r="F134" s="5"/>
      <c r="G134" s="40"/>
      <c r="H134" s="15"/>
      <c r="I134" s="17"/>
      <c r="J134" s="10"/>
      <c r="L134" s="5"/>
      <c r="M134" s="39"/>
      <c r="N134" s="5"/>
      <c r="O134" s="39"/>
      <c r="P134" s="5"/>
      <c r="Q134" s="39"/>
      <c r="V134" s="3"/>
      <c r="W134" s="3"/>
    </row>
    <row r="135" spans="1:23">
      <c r="A135" s="6"/>
      <c r="C135" s="35"/>
      <c r="D135" s="5"/>
      <c r="E135" s="39"/>
      <c r="F135" s="5"/>
      <c r="G135" s="40"/>
      <c r="H135" s="14"/>
      <c r="I135" s="17"/>
      <c r="J135" s="10"/>
      <c r="L135" s="5"/>
      <c r="M135" s="39"/>
      <c r="N135" s="5"/>
      <c r="O135" s="39"/>
      <c r="P135" s="5"/>
      <c r="Q135" s="39"/>
      <c r="V135" s="3"/>
      <c r="W135" s="3"/>
    </row>
    <row r="136" spans="1:23">
      <c r="A136" s="6"/>
      <c r="C136" s="35"/>
      <c r="D136" s="5"/>
      <c r="E136" s="39"/>
      <c r="F136" s="5"/>
      <c r="G136" s="40"/>
      <c r="H136" s="14"/>
      <c r="I136" s="17"/>
      <c r="J136" s="10"/>
      <c r="L136" s="5"/>
      <c r="M136" s="39"/>
      <c r="N136" s="5"/>
      <c r="O136" s="39"/>
      <c r="P136" s="5"/>
      <c r="Q136" s="39"/>
      <c r="V136" s="3"/>
      <c r="W136" s="3"/>
    </row>
    <row r="137" spans="1:23">
      <c r="A137" s="6"/>
      <c r="C137" s="35"/>
      <c r="D137" s="5"/>
      <c r="E137" s="39"/>
      <c r="F137" s="5"/>
      <c r="G137" s="40"/>
      <c r="H137" s="14"/>
      <c r="I137" s="17"/>
      <c r="J137" s="10"/>
      <c r="L137" s="5"/>
      <c r="M137" s="39"/>
      <c r="N137" s="5"/>
      <c r="O137" s="39"/>
      <c r="P137" s="5"/>
      <c r="Q137" s="39"/>
      <c r="V137" s="3"/>
      <c r="W137" s="3"/>
    </row>
    <row r="138" spans="1:23">
      <c r="A138" s="6"/>
      <c r="C138" s="35"/>
      <c r="D138" s="5"/>
      <c r="E138" s="39"/>
      <c r="F138" s="5"/>
      <c r="G138" s="40"/>
      <c r="H138" s="14"/>
      <c r="I138" s="17"/>
      <c r="J138" s="10"/>
      <c r="L138" s="5"/>
      <c r="M138" s="39"/>
      <c r="N138" s="5"/>
      <c r="O138" s="39"/>
      <c r="P138" s="5"/>
      <c r="Q138" s="39"/>
      <c r="V138" s="3"/>
      <c r="W138" s="3"/>
    </row>
    <row r="139" spans="1:23">
      <c r="A139" s="6"/>
      <c r="C139" s="35"/>
      <c r="D139" s="5"/>
      <c r="E139" s="39"/>
      <c r="F139" s="5"/>
      <c r="G139" s="40"/>
      <c r="H139" s="14"/>
      <c r="I139" s="17"/>
      <c r="J139" s="10"/>
      <c r="L139" s="5"/>
      <c r="M139" s="39"/>
      <c r="N139" s="5"/>
      <c r="O139" s="39"/>
      <c r="P139" s="5"/>
      <c r="Q139" s="39"/>
      <c r="V139" s="3"/>
      <c r="W139" s="3"/>
    </row>
    <row r="140" spans="1:23">
      <c r="A140" s="6"/>
      <c r="C140" s="35"/>
      <c r="D140" s="5"/>
      <c r="E140" s="39"/>
      <c r="F140" s="5"/>
      <c r="G140" s="40"/>
      <c r="H140" s="14"/>
      <c r="I140" s="17"/>
      <c r="J140" s="10"/>
      <c r="L140" s="5"/>
      <c r="M140" s="39"/>
      <c r="N140" s="5"/>
      <c r="O140" s="39"/>
      <c r="P140" s="5"/>
      <c r="Q140" s="39"/>
      <c r="V140" s="3"/>
      <c r="W140" s="3"/>
    </row>
    <row r="141" spans="1:23">
      <c r="A141" s="6"/>
      <c r="C141" s="35"/>
      <c r="D141" s="5"/>
      <c r="E141" s="39"/>
      <c r="F141" s="5"/>
      <c r="G141" s="40"/>
      <c r="H141" s="14"/>
      <c r="I141" s="17"/>
      <c r="J141" s="10"/>
      <c r="L141" s="5"/>
      <c r="M141" s="39"/>
      <c r="N141" s="5"/>
      <c r="O141" s="39"/>
      <c r="P141" s="5"/>
      <c r="Q141" s="39"/>
      <c r="V141" s="3"/>
      <c r="W141" s="3"/>
    </row>
    <row r="142" spans="1:23">
      <c r="A142" s="6"/>
      <c r="C142" s="35"/>
      <c r="D142" s="5"/>
      <c r="E142" s="39"/>
      <c r="F142" s="5"/>
      <c r="G142" s="40"/>
      <c r="H142" s="14"/>
      <c r="I142" s="17"/>
      <c r="J142" s="10"/>
      <c r="L142" s="5"/>
      <c r="M142" s="39"/>
      <c r="N142" s="5"/>
      <c r="O142" s="39"/>
      <c r="P142" s="5"/>
      <c r="Q142" s="39"/>
      <c r="V142" s="3"/>
      <c r="W142" s="3"/>
    </row>
    <row r="143" spans="1:23">
      <c r="A143" s="6"/>
      <c r="C143" s="35"/>
      <c r="D143" s="5"/>
      <c r="E143" s="39"/>
      <c r="F143" s="5"/>
      <c r="G143" s="40"/>
      <c r="H143" s="15"/>
      <c r="I143" s="17"/>
      <c r="J143" s="10"/>
      <c r="L143" s="5"/>
      <c r="M143" s="39"/>
      <c r="N143" s="5"/>
      <c r="O143" s="39"/>
      <c r="P143" s="5"/>
      <c r="Q143" s="39"/>
      <c r="V143" s="3"/>
      <c r="W143" s="3"/>
    </row>
    <row r="144" spans="1:23">
      <c r="A144" s="6"/>
      <c r="C144" s="35"/>
      <c r="D144" s="5"/>
      <c r="E144" s="39"/>
      <c r="F144" s="5"/>
      <c r="G144" s="40"/>
      <c r="H144" s="14"/>
      <c r="I144" s="17"/>
      <c r="J144" s="10"/>
      <c r="L144" s="5"/>
      <c r="M144" s="39"/>
      <c r="N144" s="5"/>
      <c r="O144" s="39"/>
      <c r="P144" s="5"/>
      <c r="Q144" s="39"/>
      <c r="V144" s="3"/>
      <c r="W144" s="3"/>
    </row>
    <row r="145" spans="1:23">
      <c r="A145" s="6"/>
      <c r="C145" s="35"/>
      <c r="D145" s="5"/>
      <c r="E145" s="39"/>
      <c r="F145" s="5"/>
      <c r="G145" s="40"/>
      <c r="H145" s="14"/>
      <c r="I145" s="17"/>
      <c r="J145" s="10"/>
      <c r="L145" s="5"/>
      <c r="M145" s="39"/>
      <c r="N145" s="5"/>
      <c r="O145" s="39"/>
      <c r="P145" s="5"/>
      <c r="Q145" s="39"/>
      <c r="V145" s="3"/>
      <c r="W145" s="3"/>
    </row>
    <row r="146" spans="1:23">
      <c r="A146" s="6"/>
      <c r="C146" s="35"/>
      <c r="D146" s="5"/>
      <c r="E146" s="39"/>
      <c r="F146" s="5"/>
      <c r="G146" s="40"/>
      <c r="H146" s="15"/>
      <c r="I146" s="17"/>
      <c r="J146" s="10"/>
      <c r="L146" s="5"/>
      <c r="M146" s="39"/>
      <c r="N146" s="5"/>
      <c r="O146" s="39"/>
      <c r="P146" s="5"/>
      <c r="Q146" s="39"/>
      <c r="V146" s="3"/>
      <c r="W146" s="3"/>
    </row>
    <row r="147" spans="1:23">
      <c r="A147" s="6"/>
      <c r="C147" s="35"/>
      <c r="D147" s="5"/>
      <c r="E147" s="39"/>
      <c r="F147" s="5"/>
      <c r="G147" s="40"/>
      <c r="H147" s="15"/>
      <c r="I147" s="17"/>
      <c r="J147" s="10"/>
      <c r="L147" s="5"/>
      <c r="M147" s="39"/>
      <c r="N147" s="5"/>
      <c r="O147" s="39"/>
      <c r="P147" s="5"/>
      <c r="Q147" s="39"/>
      <c r="V147" s="3"/>
      <c r="W147" s="3"/>
    </row>
    <row r="148" spans="1:23">
      <c r="A148" s="19"/>
      <c r="C148" s="35"/>
      <c r="D148" s="2"/>
      <c r="E148" s="39"/>
      <c r="F148" s="5"/>
      <c r="G148" s="40"/>
      <c r="H148" s="10"/>
      <c r="I148" s="17"/>
      <c r="J148" s="11"/>
      <c r="L148" s="2"/>
      <c r="M148" s="39"/>
      <c r="N148" s="2"/>
      <c r="O148" s="39"/>
      <c r="P148" s="2"/>
      <c r="Q148" s="39"/>
      <c r="T148" s="38"/>
      <c r="V148" s="3"/>
      <c r="W148" s="3"/>
    </row>
    <row r="149" spans="1:23">
      <c r="A149" s="6"/>
      <c r="C149" s="35"/>
      <c r="D149" s="5"/>
      <c r="E149" s="39"/>
      <c r="F149" s="5"/>
      <c r="G149" s="40"/>
      <c r="H149" s="15"/>
      <c r="I149" s="17"/>
      <c r="J149" s="10"/>
      <c r="L149" s="5"/>
      <c r="M149" s="39"/>
      <c r="N149" s="5"/>
      <c r="O149" s="39"/>
      <c r="P149" s="5"/>
      <c r="Q149" s="39"/>
      <c r="V149" s="3"/>
      <c r="W149" s="3"/>
    </row>
    <row r="150" spans="1:23">
      <c r="A150" s="6"/>
      <c r="C150" s="35"/>
      <c r="D150" s="5"/>
      <c r="E150" s="39"/>
      <c r="F150" s="5"/>
      <c r="G150" s="40"/>
      <c r="H150" s="14"/>
      <c r="I150" s="17"/>
      <c r="J150" s="10"/>
      <c r="L150" s="5"/>
      <c r="M150" s="39"/>
      <c r="N150" s="5"/>
      <c r="O150" s="39"/>
      <c r="P150" s="5"/>
      <c r="Q150" s="39"/>
      <c r="V150" s="3"/>
      <c r="W150" s="3"/>
    </row>
    <row r="151" spans="1:23">
      <c r="A151" s="6"/>
      <c r="C151" s="35"/>
      <c r="D151" s="5"/>
      <c r="E151" s="39"/>
      <c r="F151" s="5"/>
      <c r="G151" s="40"/>
      <c r="H151" s="15"/>
      <c r="I151" s="17"/>
      <c r="J151" s="10"/>
      <c r="L151" s="5"/>
      <c r="M151" s="39"/>
      <c r="N151" s="5"/>
      <c r="O151" s="39"/>
      <c r="P151" s="5"/>
      <c r="Q151" s="39"/>
      <c r="V151" s="3"/>
      <c r="W151" s="3"/>
    </row>
    <row r="152" spans="1:23">
      <c r="A152" s="6"/>
      <c r="C152" s="35"/>
      <c r="D152" s="5"/>
      <c r="E152" s="39"/>
      <c r="F152" s="5"/>
      <c r="G152" s="40"/>
      <c r="H152" s="14"/>
      <c r="I152" s="17"/>
      <c r="J152" s="10"/>
      <c r="L152" s="5"/>
      <c r="M152" s="39"/>
      <c r="N152" s="5"/>
      <c r="O152" s="39"/>
      <c r="P152" s="5"/>
      <c r="Q152" s="39"/>
      <c r="V152" s="3"/>
      <c r="W152" s="3"/>
    </row>
    <row r="153" spans="1:23">
      <c r="A153" s="6"/>
      <c r="C153" s="35"/>
      <c r="D153" s="5"/>
      <c r="E153" s="39"/>
      <c r="F153" s="5"/>
      <c r="G153" s="40"/>
      <c r="H153" s="14"/>
      <c r="I153" s="17"/>
      <c r="J153" s="10"/>
      <c r="L153" s="5"/>
      <c r="M153" s="39"/>
      <c r="N153" s="5"/>
      <c r="O153" s="39"/>
      <c r="P153" s="5"/>
      <c r="Q153" s="39"/>
      <c r="V153" s="3"/>
      <c r="W153" s="3"/>
    </row>
    <row r="154" spans="1:23">
      <c r="A154" s="6"/>
      <c r="C154" s="35"/>
      <c r="D154" s="5"/>
      <c r="E154" s="39"/>
      <c r="F154" s="5"/>
      <c r="G154" s="40"/>
      <c r="H154" s="15"/>
      <c r="I154" s="17"/>
      <c r="J154" s="10"/>
      <c r="L154" s="5"/>
      <c r="M154" s="39"/>
      <c r="N154" s="5"/>
      <c r="O154" s="39"/>
      <c r="P154" s="5"/>
      <c r="Q154" s="39"/>
      <c r="V154" s="3"/>
      <c r="W154" s="3"/>
    </row>
    <row r="155" spans="1:23">
      <c r="A155" s="6"/>
      <c r="C155" s="35"/>
      <c r="D155" s="5"/>
      <c r="E155" s="39"/>
      <c r="F155" s="5"/>
      <c r="G155" s="40"/>
      <c r="H155" s="15"/>
      <c r="I155" s="17"/>
      <c r="J155" s="10"/>
      <c r="L155" s="5"/>
      <c r="M155" s="39"/>
      <c r="N155" s="5"/>
      <c r="O155" s="39"/>
      <c r="P155" s="5"/>
      <c r="Q155" s="39"/>
      <c r="V155" s="3"/>
      <c r="W155" s="3"/>
    </row>
    <row r="156" spans="1:23">
      <c r="A156" s="6"/>
      <c r="C156" s="35"/>
      <c r="D156" s="5"/>
      <c r="E156" s="39"/>
      <c r="F156" s="5"/>
      <c r="G156" s="40"/>
      <c r="H156" s="15"/>
      <c r="I156" s="17"/>
      <c r="J156" s="10"/>
      <c r="L156" s="5"/>
      <c r="M156" s="39"/>
      <c r="N156" s="5"/>
      <c r="O156" s="39"/>
      <c r="P156" s="5"/>
      <c r="Q156" s="39"/>
      <c r="V156" s="3"/>
      <c r="W156" s="3"/>
    </row>
    <row r="157" spans="1:23">
      <c r="A157" s="6"/>
      <c r="C157" s="35"/>
      <c r="D157" s="5"/>
      <c r="E157" s="39"/>
      <c r="F157" s="5"/>
      <c r="G157" s="40"/>
      <c r="H157" s="15"/>
      <c r="I157" s="17"/>
      <c r="J157" s="10"/>
      <c r="L157" s="5"/>
      <c r="M157" s="39"/>
      <c r="N157" s="5"/>
      <c r="O157" s="39"/>
      <c r="P157" s="5"/>
      <c r="Q157" s="39"/>
      <c r="V157" s="3"/>
      <c r="W157" s="3"/>
    </row>
    <row r="158" spans="1:23">
      <c r="A158" s="6"/>
      <c r="C158" s="35"/>
      <c r="D158" s="5"/>
      <c r="E158" s="39"/>
      <c r="F158" s="5"/>
      <c r="G158" s="40"/>
      <c r="H158" s="14"/>
      <c r="I158" s="17"/>
      <c r="J158" s="10"/>
      <c r="L158" s="5"/>
      <c r="M158" s="39"/>
      <c r="N158" s="5"/>
      <c r="O158" s="39"/>
      <c r="P158" s="5"/>
      <c r="Q158" s="39"/>
      <c r="V158" s="3"/>
      <c r="W158" s="3"/>
    </row>
    <row r="159" spans="1:23">
      <c r="A159" s="6"/>
      <c r="C159" s="35"/>
      <c r="D159" s="5"/>
      <c r="E159" s="39"/>
      <c r="F159" s="5"/>
      <c r="G159" s="40"/>
      <c r="H159" s="15"/>
      <c r="I159" s="17"/>
      <c r="J159" s="10"/>
      <c r="L159" s="5"/>
      <c r="M159" s="39"/>
      <c r="N159" s="5"/>
      <c r="O159" s="39"/>
      <c r="P159" s="5"/>
      <c r="Q159" s="39"/>
      <c r="V159" s="3"/>
      <c r="W159" s="3"/>
    </row>
    <row r="160" spans="1:23">
      <c r="A160" s="6"/>
      <c r="C160" s="35"/>
      <c r="D160" s="5"/>
      <c r="E160" s="39"/>
      <c r="F160" s="5"/>
      <c r="G160" s="40"/>
      <c r="H160" s="14"/>
      <c r="I160" s="17"/>
      <c r="J160" s="10"/>
      <c r="L160" s="5"/>
      <c r="M160" s="39"/>
      <c r="N160" s="5"/>
      <c r="O160" s="39"/>
      <c r="P160" s="5"/>
      <c r="Q160" s="39"/>
      <c r="V160" s="3"/>
      <c r="W160" s="3"/>
    </row>
    <row r="161" spans="1:23">
      <c r="A161" s="6"/>
      <c r="C161" s="35"/>
      <c r="D161" s="5"/>
      <c r="E161" s="39"/>
      <c r="F161" s="5"/>
      <c r="G161" s="40"/>
      <c r="H161" s="15"/>
      <c r="I161" s="17"/>
      <c r="J161" s="10"/>
      <c r="L161" s="5"/>
      <c r="M161" s="39"/>
      <c r="N161" s="5"/>
      <c r="O161" s="39"/>
      <c r="P161" s="5"/>
      <c r="Q161" s="39"/>
      <c r="V161" s="3"/>
      <c r="W161" s="3"/>
    </row>
    <row r="162" spans="1:23">
      <c r="A162" s="6"/>
      <c r="C162" s="35"/>
      <c r="D162" s="5"/>
      <c r="E162" s="39"/>
      <c r="F162" s="5"/>
      <c r="G162" s="40"/>
      <c r="H162" s="15"/>
      <c r="I162" s="17"/>
      <c r="J162" s="10"/>
      <c r="L162" s="5"/>
      <c r="M162" s="39"/>
      <c r="N162" s="5"/>
      <c r="O162" s="39"/>
      <c r="P162" s="5"/>
      <c r="Q162" s="39"/>
      <c r="V162" s="3"/>
      <c r="W162" s="3"/>
    </row>
    <row r="163" spans="1:23">
      <c r="A163" s="6"/>
      <c r="C163" s="35"/>
      <c r="D163" s="5"/>
      <c r="E163" s="39"/>
      <c r="F163" s="5"/>
      <c r="G163" s="40"/>
      <c r="H163" s="15"/>
      <c r="I163" s="17"/>
      <c r="J163" s="10"/>
      <c r="L163" s="5"/>
      <c r="M163" s="39"/>
      <c r="N163" s="5"/>
      <c r="O163" s="39"/>
      <c r="P163" s="5"/>
      <c r="Q163" s="39"/>
      <c r="V163" s="3"/>
      <c r="W163" s="3"/>
    </row>
    <row r="164" spans="1:23">
      <c r="A164" s="6"/>
      <c r="C164" s="35"/>
      <c r="D164" s="5"/>
      <c r="E164" s="39"/>
      <c r="F164" s="5"/>
      <c r="G164" s="40"/>
      <c r="H164" s="14"/>
      <c r="I164" s="17"/>
      <c r="J164" s="10"/>
      <c r="L164" s="5"/>
      <c r="M164" s="39"/>
      <c r="N164" s="5"/>
      <c r="O164" s="39"/>
      <c r="P164" s="5"/>
      <c r="Q164" s="39"/>
      <c r="V164" s="3"/>
      <c r="W164" s="3"/>
    </row>
    <row r="165" spans="1:23">
      <c r="A165" s="6"/>
      <c r="C165" s="35"/>
      <c r="D165" s="5"/>
      <c r="E165" s="39"/>
      <c r="F165" s="5"/>
      <c r="G165" s="40"/>
      <c r="H165" s="15"/>
      <c r="I165" s="17"/>
      <c r="J165" s="10"/>
      <c r="L165" s="5"/>
      <c r="M165" s="39"/>
      <c r="N165" s="5"/>
      <c r="O165" s="39"/>
      <c r="P165" s="5"/>
      <c r="Q165" s="39"/>
      <c r="V165" s="3"/>
      <c r="W165" s="3"/>
    </row>
    <row r="166" spans="1:23">
      <c r="A166" s="6"/>
      <c r="C166" s="35"/>
      <c r="D166" s="5"/>
      <c r="E166" s="39"/>
      <c r="F166" s="5"/>
      <c r="G166" s="40"/>
      <c r="H166" s="15"/>
      <c r="I166" s="17"/>
      <c r="J166" s="10"/>
      <c r="L166" s="5"/>
      <c r="M166" s="39"/>
      <c r="N166" s="5"/>
      <c r="O166" s="39"/>
      <c r="P166" s="5"/>
      <c r="Q166" s="39"/>
      <c r="V166" s="3"/>
      <c r="W166" s="3"/>
    </row>
    <row r="167" spans="1:23">
      <c r="A167" s="6"/>
      <c r="C167" s="35"/>
      <c r="D167" s="5"/>
      <c r="E167" s="39"/>
      <c r="F167" s="5"/>
      <c r="G167" s="40"/>
      <c r="H167" s="14"/>
      <c r="I167" s="17"/>
      <c r="J167" s="10"/>
      <c r="L167" s="5"/>
      <c r="M167" s="39"/>
      <c r="N167" s="5"/>
      <c r="O167" s="39"/>
      <c r="P167" s="5"/>
      <c r="Q167" s="39"/>
      <c r="S167" s="29"/>
      <c r="V167" s="3"/>
      <c r="W167" s="3"/>
    </row>
    <row r="168" spans="1:23">
      <c r="A168" s="6"/>
      <c r="C168" s="35"/>
      <c r="D168" s="5"/>
      <c r="E168" s="39"/>
      <c r="F168" s="5"/>
      <c r="G168" s="40"/>
      <c r="H168" s="14"/>
      <c r="I168" s="17"/>
      <c r="J168" s="10"/>
      <c r="L168" s="5"/>
      <c r="M168" s="39"/>
      <c r="N168" s="5"/>
      <c r="O168" s="39"/>
      <c r="P168" s="5"/>
      <c r="Q168" s="39"/>
      <c r="V168" s="3"/>
      <c r="W168" s="3"/>
    </row>
    <row r="169" spans="1:23">
      <c r="A169" s="6"/>
      <c r="C169" s="35"/>
      <c r="D169" s="5"/>
      <c r="E169" s="39"/>
      <c r="F169" s="5"/>
      <c r="G169" s="40"/>
      <c r="H169" s="14"/>
      <c r="I169" s="17"/>
      <c r="J169" s="10"/>
      <c r="L169" s="5"/>
      <c r="M169" s="39"/>
      <c r="N169" s="5"/>
      <c r="O169" s="39"/>
      <c r="P169" s="5"/>
      <c r="Q169" s="39"/>
      <c r="V169" s="3"/>
      <c r="W169" s="3"/>
    </row>
    <row r="170" spans="1:23">
      <c r="A170" s="6"/>
      <c r="C170" s="35"/>
      <c r="D170" s="5"/>
      <c r="E170" s="39"/>
      <c r="F170" s="5"/>
      <c r="G170" s="40"/>
      <c r="H170" s="15"/>
      <c r="I170" s="17"/>
      <c r="J170" s="10"/>
      <c r="L170" s="5"/>
      <c r="M170" s="39"/>
      <c r="N170" s="5"/>
      <c r="O170" s="39"/>
      <c r="P170" s="5"/>
      <c r="Q170" s="39"/>
      <c r="V170" s="3"/>
      <c r="W170" s="3"/>
    </row>
    <row r="171" spans="1:23">
      <c r="A171" s="6"/>
      <c r="C171" s="35"/>
      <c r="D171" s="5"/>
      <c r="E171" s="39"/>
      <c r="F171" s="5"/>
      <c r="G171" s="40"/>
      <c r="H171" s="15"/>
      <c r="I171" s="17"/>
      <c r="J171" s="10"/>
      <c r="L171" s="5"/>
      <c r="M171" s="39"/>
      <c r="N171" s="5"/>
      <c r="O171" s="39"/>
      <c r="P171" s="5"/>
      <c r="Q171" s="39"/>
      <c r="V171" s="3"/>
      <c r="W171" s="3"/>
    </row>
    <row r="172" spans="1:23">
      <c r="A172" s="6"/>
      <c r="C172" s="35"/>
      <c r="D172" s="5"/>
      <c r="E172" s="39"/>
      <c r="F172" s="5"/>
      <c r="G172" s="40"/>
      <c r="H172" s="15"/>
      <c r="I172" s="17"/>
      <c r="J172" s="10"/>
      <c r="L172" s="5"/>
      <c r="M172" s="39"/>
      <c r="N172" s="5"/>
      <c r="O172" s="39"/>
      <c r="P172" s="5"/>
      <c r="Q172" s="39"/>
      <c r="V172" s="3"/>
      <c r="W172" s="3"/>
    </row>
    <row r="173" spans="1:23">
      <c r="A173" s="6"/>
      <c r="C173" s="35"/>
      <c r="D173" s="5"/>
      <c r="E173" s="39"/>
      <c r="F173" s="5"/>
      <c r="G173" s="40"/>
      <c r="H173" s="14"/>
      <c r="I173" s="17"/>
      <c r="J173" s="10"/>
      <c r="L173" s="5"/>
      <c r="M173" s="39"/>
      <c r="N173" s="5"/>
      <c r="O173" s="39"/>
      <c r="P173" s="5"/>
      <c r="Q173" s="39"/>
      <c r="V173" s="3"/>
      <c r="W173" s="3"/>
    </row>
    <row r="174" spans="1:23">
      <c r="A174" s="6"/>
      <c r="C174" s="35"/>
      <c r="D174" s="5"/>
      <c r="E174" s="39"/>
      <c r="F174" s="5"/>
      <c r="G174" s="40"/>
      <c r="H174" s="15"/>
      <c r="I174" s="17"/>
      <c r="J174" s="10"/>
      <c r="L174" s="5"/>
      <c r="M174" s="39"/>
      <c r="N174" s="5"/>
      <c r="O174" s="39"/>
      <c r="P174" s="5"/>
      <c r="Q174" s="39"/>
      <c r="V174" s="3"/>
      <c r="W174" s="3"/>
    </row>
    <row r="175" spans="1:23">
      <c r="A175" s="6"/>
      <c r="C175" s="35"/>
      <c r="D175" s="5"/>
      <c r="E175" s="39"/>
      <c r="F175" s="5"/>
      <c r="G175" s="40"/>
      <c r="H175" s="15"/>
      <c r="I175" s="17"/>
      <c r="J175" s="10"/>
      <c r="L175" s="5"/>
      <c r="M175" s="39"/>
      <c r="N175" s="5"/>
      <c r="O175" s="39"/>
      <c r="P175" s="5"/>
      <c r="Q175" s="39"/>
      <c r="V175" s="3"/>
      <c r="W175" s="3"/>
    </row>
    <row r="176" spans="1:23">
      <c r="A176" s="6"/>
      <c r="C176" s="35"/>
      <c r="D176" s="5"/>
      <c r="E176" s="39"/>
      <c r="F176" s="5"/>
      <c r="G176" s="40"/>
      <c r="H176" s="15"/>
      <c r="I176" s="17"/>
      <c r="J176" s="10"/>
      <c r="L176" s="5"/>
      <c r="M176" s="39"/>
      <c r="N176" s="5"/>
      <c r="O176" s="39"/>
      <c r="P176" s="5"/>
      <c r="Q176" s="39"/>
      <c r="V176" s="3"/>
      <c r="W176" s="3"/>
    </row>
    <row r="177" spans="1:23">
      <c r="A177" s="6"/>
      <c r="C177" s="35"/>
      <c r="D177" s="5"/>
      <c r="E177" s="39"/>
      <c r="F177" s="5"/>
      <c r="G177" s="40"/>
      <c r="H177" s="15"/>
      <c r="I177" s="17"/>
      <c r="J177" s="10"/>
      <c r="L177" s="5"/>
      <c r="M177" s="39"/>
      <c r="N177" s="5"/>
      <c r="O177" s="39"/>
      <c r="P177" s="5"/>
      <c r="Q177" s="39"/>
      <c r="V177" s="3"/>
      <c r="W177" s="3"/>
    </row>
    <row r="178" spans="1:23">
      <c r="A178" s="6"/>
      <c r="C178" s="35"/>
      <c r="D178" s="5"/>
      <c r="E178" s="39"/>
      <c r="F178" s="5"/>
      <c r="G178" s="40"/>
      <c r="H178" s="15"/>
      <c r="I178" s="17"/>
      <c r="J178" s="10"/>
      <c r="L178" s="5"/>
      <c r="M178" s="39"/>
      <c r="N178" s="5"/>
      <c r="O178" s="39"/>
      <c r="P178" s="5"/>
      <c r="Q178" s="39"/>
      <c r="V178" s="3"/>
      <c r="W178" s="3"/>
    </row>
    <row r="179" spans="1:23">
      <c r="A179" s="6"/>
      <c r="C179" s="35"/>
      <c r="D179" s="5"/>
      <c r="E179" s="39"/>
      <c r="F179" s="5"/>
      <c r="G179" s="40"/>
      <c r="H179" s="14"/>
      <c r="I179" s="17"/>
      <c r="J179" s="10"/>
      <c r="L179" s="5"/>
      <c r="M179" s="39"/>
      <c r="N179" s="5"/>
      <c r="O179" s="39"/>
      <c r="P179" s="5"/>
      <c r="Q179" s="39"/>
      <c r="V179" s="3"/>
      <c r="W179" s="3"/>
    </row>
    <row r="180" spans="1:23">
      <c r="A180" s="6"/>
      <c r="C180" s="35"/>
      <c r="D180" s="5"/>
      <c r="E180" s="39"/>
      <c r="F180" s="5"/>
      <c r="G180" s="40"/>
      <c r="H180" s="15"/>
      <c r="I180" s="17"/>
      <c r="J180" s="10"/>
      <c r="L180" s="5"/>
      <c r="M180" s="39"/>
      <c r="N180" s="5"/>
      <c r="O180" s="39"/>
      <c r="P180" s="5"/>
      <c r="Q180" s="39"/>
      <c r="V180" s="3"/>
      <c r="W180" s="3"/>
    </row>
    <row r="181" spans="1:23">
      <c r="A181" s="6"/>
      <c r="C181" s="35"/>
      <c r="D181" s="5"/>
      <c r="E181" s="39"/>
      <c r="F181" s="5"/>
      <c r="G181" s="40"/>
      <c r="H181" s="14"/>
      <c r="I181" s="17"/>
      <c r="J181" s="10"/>
      <c r="L181" s="5"/>
      <c r="M181" s="39"/>
      <c r="N181" s="5"/>
      <c r="O181" s="39"/>
      <c r="P181" s="5"/>
      <c r="Q181" s="39"/>
      <c r="V181" s="3"/>
      <c r="W181" s="3"/>
    </row>
    <row r="182" spans="1:23">
      <c r="A182" s="6"/>
      <c r="C182" s="35"/>
      <c r="D182" s="5"/>
      <c r="E182" s="39"/>
      <c r="F182" s="5"/>
      <c r="G182" s="40"/>
      <c r="H182" s="14"/>
      <c r="I182" s="17"/>
      <c r="J182" s="10"/>
      <c r="L182" s="5"/>
      <c r="M182" s="39"/>
      <c r="N182" s="5"/>
      <c r="O182" s="39"/>
      <c r="P182" s="5"/>
      <c r="Q182" s="39"/>
      <c r="V182" s="3"/>
      <c r="W182" s="3"/>
    </row>
    <row r="183" spans="1:23">
      <c r="A183" s="6"/>
      <c r="C183" s="35"/>
      <c r="D183" s="5"/>
      <c r="E183" s="39"/>
      <c r="F183" s="5"/>
      <c r="G183" s="40"/>
      <c r="H183" s="14"/>
      <c r="I183" s="17"/>
      <c r="J183" s="10"/>
      <c r="L183" s="5"/>
      <c r="M183" s="39"/>
      <c r="N183" s="5"/>
      <c r="O183" s="39"/>
      <c r="P183" s="5"/>
      <c r="Q183" s="39"/>
      <c r="V183" s="3"/>
      <c r="W183" s="3"/>
    </row>
    <row r="184" spans="1:23">
      <c r="A184" s="6"/>
      <c r="C184" s="35"/>
      <c r="D184" s="5"/>
      <c r="E184" s="39"/>
      <c r="F184" s="5"/>
      <c r="G184" s="40"/>
      <c r="H184" s="14"/>
      <c r="I184" s="17"/>
      <c r="J184" s="10"/>
      <c r="L184" s="5"/>
      <c r="M184" s="39"/>
      <c r="N184" s="5"/>
      <c r="O184" s="39"/>
      <c r="P184" s="5"/>
      <c r="Q184" s="39"/>
      <c r="V184" s="3"/>
      <c r="W184" s="3"/>
    </row>
    <row r="185" spans="1:23">
      <c r="A185" s="6"/>
      <c r="C185" s="35"/>
      <c r="D185" s="5"/>
      <c r="E185" s="39"/>
      <c r="F185" s="5"/>
      <c r="G185" s="40"/>
      <c r="H185" s="15"/>
      <c r="I185" s="17"/>
      <c r="J185" s="10"/>
      <c r="L185" s="5"/>
      <c r="M185" s="39"/>
      <c r="N185" s="5"/>
      <c r="O185" s="39"/>
      <c r="P185" s="5"/>
      <c r="Q185" s="39"/>
      <c r="V185" s="3"/>
      <c r="W185" s="3"/>
    </row>
    <row r="186" spans="1:23">
      <c r="A186" s="6"/>
      <c r="C186" s="35"/>
      <c r="D186" s="5"/>
      <c r="E186" s="39"/>
      <c r="F186" s="5"/>
      <c r="G186" s="40"/>
      <c r="H186" s="14"/>
      <c r="I186" s="17"/>
      <c r="J186" s="10"/>
      <c r="L186" s="5"/>
      <c r="M186" s="39"/>
      <c r="N186" s="5"/>
      <c r="O186" s="39"/>
      <c r="P186" s="5"/>
      <c r="Q186" s="39"/>
      <c r="V186" s="3"/>
      <c r="W186" s="3"/>
    </row>
    <row r="187" spans="1:23">
      <c r="A187" s="6"/>
      <c r="C187" s="35"/>
      <c r="D187" s="5"/>
      <c r="E187" s="39"/>
      <c r="F187" s="5"/>
      <c r="G187" s="40"/>
      <c r="H187" s="14"/>
      <c r="I187" s="17"/>
      <c r="J187" s="10"/>
      <c r="L187" s="5"/>
      <c r="M187" s="39"/>
      <c r="N187" s="5"/>
      <c r="O187" s="39"/>
      <c r="P187" s="5"/>
      <c r="Q187" s="39"/>
      <c r="V187" s="3"/>
      <c r="W187" s="3"/>
    </row>
    <row r="188" spans="1:23">
      <c r="A188" s="6"/>
      <c r="C188" s="35"/>
      <c r="D188" s="5"/>
      <c r="E188" s="39"/>
      <c r="F188" s="5"/>
      <c r="G188" s="40"/>
      <c r="H188" s="15"/>
      <c r="I188" s="17"/>
      <c r="J188" s="10"/>
      <c r="L188" s="5"/>
      <c r="M188" s="39"/>
      <c r="N188" s="5"/>
      <c r="O188" s="39"/>
      <c r="P188" s="5"/>
      <c r="Q188" s="39"/>
      <c r="V188" s="3"/>
      <c r="W188" s="3"/>
    </row>
    <row r="189" spans="1:23">
      <c r="A189" s="6"/>
      <c r="C189" s="35"/>
      <c r="D189" s="5"/>
      <c r="E189" s="39"/>
      <c r="F189" s="5"/>
      <c r="G189" s="40"/>
      <c r="H189" s="15"/>
      <c r="I189" s="17"/>
      <c r="J189" s="10"/>
      <c r="L189" s="5"/>
      <c r="M189" s="39"/>
      <c r="N189" s="5"/>
      <c r="O189" s="39"/>
      <c r="P189" s="5"/>
      <c r="Q189" s="39"/>
      <c r="V189" s="3"/>
      <c r="W189" s="3"/>
    </row>
    <row r="190" spans="1:23">
      <c r="A190" s="6"/>
      <c r="C190" s="35"/>
      <c r="D190" s="5"/>
      <c r="E190" s="39"/>
      <c r="F190" s="5"/>
      <c r="G190" s="40"/>
      <c r="H190" s="14"/>
      <c r="I190" s="17"/>
      <c r="J190" s="10"/>
      <c r="L190" s="5"/>
      <c r="M190" s="39"/>
      <c r="N190" s="5"/>
      <c r="O190" s="39"/>
      <c r="P190" s="5"/>
      <c r="Q190" s="39"/>
      <c r="V190" s="3"/>
      <c r="W190" s="3"/>
    </row>
    <row r="191" spans="1:23">
      <c r="A191" s="6"/>
      <c r="C191" s="35"/>
      <c r="D191" s="5"/>
      <c r="E191" s="39"/>
      <c r="F191" s="5"/>
      <c r="G191" s="40"/>
      <c r="H191" s="15"/>
      <c r="I191" s="17"/>
      <c r="J191" s="10"/>
      <c r="L191" s="5"/>
      <c r="M191" s="39"/>
      <c r="N191" s="5"/>
      <c r="O191" s="39"/>
      <c r="P191" s="5"/>
      <c r="Q191" s="39"/>
      <c r="V191" s="3"/>
      <c r="W191" s="3"/>
    </row>
    <row r="192" spans="1:23">
      <c r="A192" s="6"/>
      <c r="C192" s="35"/>
      <c r="D192" s="5"/>
      <c r="E192" s="39"/>
      <c r="F192" s="5"/>
      <c r="G192" s="40"/>
      <c r="H192" s="15"/>
      <c r="I192" s="17"/>
      <c r="J192" s="10"/>
      <c r="L192" s="5"/>
      <c r="M192" s="39"/>
      <c r="N192" s="5"/>
      <c r="O192" s="39"/>
      <c r="P192" s="5"/>
      <c r="Q192" s="39"/>
      <c r="V192" s="3"/>
      <c r="W192" s="3"/>
    </row>
    <row r="193" spans="1:23">
      <c r="A193" s="6"/>
      <c r="C193" s="35"/>
      <c r="D193" s="5"/>
      <c r="E193" s="39"/>
      <c r="F193" s="5"/>
      <c r="G193" s="40"/>
      <c r="H193" s="15"/>
      <c r="I193" s="17"/>
      <c r="J193" s="10"/>
      <c r="L193" s="5"/>
      <c r="M193" s="39"/>
      <c r="N193" s="5"/>
      <c r="O193" s="39"/>
      <c r="P193" s="5"/>
      <c r="Q193" s="39"/>
      <c r="V193" s="3"/>
      <c r="W193" s="3"/>
    </row>
    <row r="194" spans="1:23">
      <c r="A194" s="6"/>
      <c r="C194" s="35"/>
      <c r="D194" s="5"/>
      <c r="E194" s="39"/>
      <c r="F194" s="5"/>
      <c r="G194" s="40"/>
      <c r="H194" s="15"/>
      <c r="I194" s="17"/>
      <c r="J194" s="10"/>
      <c r="L194" s="5"/>
      <c r="M194" s="39"/>
      <c r="N194" s="5"/>
      <c r="O194" s="39"/>
      <c r="P194" s="5"/>
      <c r="Q194" s="39"/>
      <c r="V194" s="3"/>
      <c r="W194" s="3"/>
    </row>
    <row r="195" spans="1:23">
      <c r="A195" s="6"/>
      <c r="C195" s="35"/>
      <c r="D195" s="5"/>
      <c r="E195" s="39"/>
      <c r="F195" s="5"/>
      <c r="G195" s="40"/>
      <c r="H195" s="15"/>
      <c r="I195" s="17"/>
      <c r="J195" s="10"/>
      <c r="L195" s="5"/>
      <c r="M195" s="39"/>
      <c r="N195" s="5"/>
      <c r="O195" s="39"/>
      <c r="P195" s="5"/>
      <c r="Q195" s="39"/>
      <c r="V195" s="3"/>
      <c r="W195" s="3"/>
    </row>
    <row r="196" spans="1:23" s="5" customFormat="1">
      <c r="A196" s="6"/>
      <c r="B196" s="33"/>
      <c r="C196" s="35"/>
      <c r="E196" s="39"/>
      <c r="G196" s="40"/>
      <c r="H196" s="15"/>
      <c r="I196" s="17"/>
      <c r="J196" s="10"/>
      <c r="K196" s="1"/>
      <c r="M196" s="39"/>
      <c r="O196" s="39"/>
      <c r="Q196" s="39"/>
      <c r="R196" s="28"/>
      <c r="S196" s="28"/>
      <c r="T196" s="28"/>
      <c r="U196" s="4"/>
      <c r="V196" s="3"/>
      <c r="W196" s="3"/>
    </row>
    <row r="197" spans="1:23" s="5" customFormat="1">
      <c r="A197" s="6"/>
      <c r="B197" s="33"/>
      <c r="C197" s="35"/>
      <c r="E197" s="39"/>
      <c r="G197" s="40"/>
      <c r="H197" s="14"/>
      <c r="I197" s="17"/>
      <c r="J197" s="10"/>
      <c r="M197" s="39"/>
      <c r="O197" s="39"/>
      <c r="Q197" s="39"/>
      <c r="R197" s="28"/>
      <c r="S197" s="28"/>
      <c r="T197" s="28"/>
      <c r="U197" s="4"/>
      <c r="V197" s="3"/>
      <c r="W197" s="3"/>
    </row>
    <row r="198" spans="1:23" s="5" customFormat="1">
      <c r="A198" s="6"/>
      <c r="B198" s="33"/>
      <c r="C198" s="35"/>
      <c r="E198" s="39"/>
      <c r="G198" s="40"/>
      <c r="H198" s="14"/>
      <c r="I198" s="17"/>
      <c r="J198" s="10"/>
      <c r="M198" s="39"/>
      <c r="O198" s="39"/>
      <c r="Q198" s="39"/>
      <c r="R198" s="28"/>
      <c r="S198" s="28"/>
      <c r="T198" s="28"/>
      <c r="U198" s="4"/>
      <c r="V198" s="3"/>
      <c r="W198" s="3"/>
    </row>
    <row r="199" spans="1:23" s="5" customFormat="1">
      <c r="A199" s="6"/>
      <c r="B199" s="33"/>
      <c r="C199" s="35"/>
      <c r="E199" s="39"/>
      <c r="G199" s="40"/>
      <c r="H199" s="15"/>
      <c r="I199" s="17"/>
      <c r="J199" s="10"/>
      <c r="M199" s="39"/>
      <c r="O199" s="39"/>
      <c r="Q199" s="39"/>
      <c r="R199" s="28"/>
      <c r="S199" s="28"/>
      <c r="T199" s="28"/>
      <c r="U199" s="4"/>
      <c r="V199" s="3"/>
      <c r="W199" s="3"/>
    </row>
    <row r="200" spans="1:23" s="5" customFormat="1">
      <c r="A200" s="6"/>
      <c r="B200" s="33"/>
      <c r="C200" s="35"/>
      <c r="E200" s="39"/>
      <c r="G200" s="40"/>
      <c r="H200" s="15"/>
      <c r="I200" s="17"/>
      <c r="J200" s="10"/>
      <c r="M200" s="39"/>
      <c r="O200" s="39"/>
      <c r="Q200" s="39"/>
      <c r="R200" s="28"/>
      <c r="S200" s="28"/>
      <c r="T200" s="28"/>
      <c r="U200" s="4"/>
      <c r="V200" s="3"/>
      <c r="W200" s="3"/>
    </row>
    <row r="201" spans="1:23" s="5" customFormat="1">
      <c r="A201" s="6"/>
      <c r="B201" s="33"/>
      <c r="C201" s="35"/>
      <c r="E201" s="39"/>
      <c r="G201" s="40"/>
      <c r="H201" s="15"/>
      <c r="I201" s="17"/>
      <c r="J201" s="10"/>
      <c r="M201" s="39"/>
      <c r="O201" s="39"/>
      <c r="Q201" s="39"/>
      <c r="R201" s="28"/>
      <c r="S201" s="28"/>
      <c r="T201" s="28"/>
      <c r="U201" s="4"/>
      <c r="V201" s="3"/>
      <c r="W201" s="3"/>
    </row>
    <row r="202" spans="1:23" s="5" customFormat="1">
      <c r="A202" s="6"/>
      <c r="B202" s="33"/>
      <c r="C202" s="35"/>
      <c r="E202" s="39"/>
      <c r="G202" s="40"/>
      <c r="H202" s="15"/>
      <c r="I202" s="17"/>
      <c r="J202" s="10"/>
      <c r="M202" s="39"/>
      <c r="O202" s="39"/>
      <c r="Q202" s="39"/>
      <c r="R202" s="28"/>
      <c r="S202" s="28"/>
      <c r="T202" s="28"/>
      <c r="U202" s="4"/>
      <c r="V202" s="3"/>
      <c r="W202" s="3"/>
    </row>
    <row r="203" spans="1:23" s="5" customFormat="1">
      <c r="A203" s="6"/>
      <c r="B203" s="33"/>
      <c r="C203" s="35"/>
      <c r="E203" s="39"/>
      <c r="G203" s="40"/>
      <c r="H203" s="15"/>
      <c r="I203" s="17"/>
      <c r="J203" s="10"/>
      <c r="M203" s="39"/>
      <c r="O203" s="39"/>
      <c r="Q203" s="39"/>
      <c r="R203" s="28"/>
      <c r="S203" s="28"/>
      <c r="T203" s="28"/>
      <c r="U203" s="4"/>
      <c r="V203" s="3"/>
      <c r="W203" s="3"/>
    </row>
    <row r="204" spans="1:23" s="5" customFormat="1">
      <c r="A204" s="6"/>
      <c r="B204" s="33"/>
      <c r="C204" s="35"/>
      <c r="E204" s="39"/>
      <c r="G204" s="40"/>
      <c r="H204" s="14"/>
      <c r="I204" s="17"/>
      <c r="J204" s="10"/>
      <c r="M204" s="39"/>
      <c r="O204" s="39"/>
      <c r="Q204" s="39"/>
      <c r="R204" s="28"/>
      <c r="S204" s="28"/>
      <c r="T204" s="28"/>
      <c r="U204" s="4"/>
      <c r="V204" s="3"/>
      <c r="W204" s="3"/>
    </row>
    <row r="205" spans="1:23" s="5" customFormat="1">
      <c r="A205" s="6"/>
      <c r="B205" s="33"/>
      <c r="C205" s="35"/>
      <c r="E205" s="39"/>
      <c r="G205" s="40"/>
      <c r="H205" s="15"/>
      <c r="I205" s="17"/>
      <c r="J205" s="10"/>
      <c r="M205" s="39"/>
      <c r="O205" s="39"/>
      <c r="Q205" s="39"/>
      <c r="R205" s="28"/>
      <c r="S205" s="28"/>
      <c r="T205" s="28"/>
      <c r="U205" s="4"/>
      <c r="V205" s="3"/>
      <c r="W205" s="3"/>
    </row>
    <row r="206" spans="1:23" s="5" customFormat="1">
      <c r="A206" s="6"/>
      <c r="B206" s="33"/>
      <c r="C206" s="35"/>
      <c r="E206" s="39"/>
      <c r="G206" s="40"/>
      <c r="H206" s="15"/>
      <c r="I206" s="17"/>
      <c r="J206" s="10"/>
      <c r="M206" s="39"/>
      <c r="O206" s="39"/>
      <c r="Q206" s="39"/>
      <c r="R206" s="28"/>
      <c r="S206" s="28"/>
      <c r="T206" s="28"/>
      <c r="U206" s="4"/>
      <c r="V206" s="3"/>
      <c r="W206" s="3"/>
    </row>
    <row r="207" spans="1:23" s="5" customFormat="1">
      <c r="A207" s="6"/>
      <c r="B207" s="33"/>
      <c r="C207" s="35"/>
      <c r="E207" s="39"/>
      <c r="G207" s="40"/>
      <c r="H207" s="15"/>
      <c r="I207" s="17"/>
      <c r="J207" s="10"/>
      <c r="M207" s="39"/>
      <c r="O207" s="39"/>
      <c r="Q207" s="39"/>
      <c r="R207" s="28"/>
      <c r="S207" s="28"/>
      <c r="T207" s="28"/>
      <c r="U207" s="4"/>
      <c r="V207" s="3"/>
      <c r="W207" s="3"/>
    </row>
    <row r="208" spans="1:23" s="5" customFormat="1">
      <c r="A208" s="6"/>
      <c r="B208" s="33"/>
      <c r="C208" s="35"/>
      <c r="E208" s="39"/>
      <c r="G208" s="40"/>
      <c r="H208" s="15"/>
      <c r="I208" s="17"/>
      <c r="J208" s="10"/>
      <c r="M208" s="39"/>
      <c r="O208" s="39"/>
      <c r="Q208" s="39"/>
      <c r="R208" s="28"/>
      <c r="S208" s="28"/>
      <c r="T208" s="28"/>
      <c r="U208" s="4"/>
      <c r="V208" s="3"/>
      <c r="W208" s="3"/>
    </row>
    <row r="209" spans="1:23" s="5" customFormat="1">
      <c r="A209" s="6"/>
      <c r="B209" s="33"/>
      <c r="C209" s="35"/>
      <c r="E209" s="39"/>
      <c r="G209" s="40"/>
      <c r="H209" s="15"/>
      <c r="I209" s="17"/>
      <c r="J209" s="10"/>
      <c r="M209" s="39"/>
      <c r="O209" s="39"/>
      <c r="Q209" s="39"/>
      <c r="R209" s="28"/>
      <c r="S209" s="28"/>
      <c r="T209" s="28"/>
      <c r="U209" s="4"/>
      <c r="V209" s="3"/>
      <c r="W209" s="3"/>
    </row>
    <row r="210" spans="1:23" s="5" customFormat="1">
      <c r="A210" s="6"/>
      <c r="B210" s="33"/>
      <c r="C210" s="35"/>
      <c r="E210" s="39"/>
      <c r="G210" s="40"/>
      <c r="H210" s="14"/>
      <c r="I210" s="17"/>
      <c r="J210" s="10"/>
      <c r="M210" s="39"/>
      <c r="O210" s="39"/>
      <c r="Q210" s="39"/>
      <c r="R210" s="28"/>
      <c r="S210" s="28"/>
      <c r="T210" s="28"/>
      <c r="U210" s="4"/>
      <c r="V210" s="3"/>
      <c r="W210" s="3"/>
    </row>
    <row r="211" spans="1:23" s="5" customFormat="1">
      <c r="A211" s="6"/>
      <c r="B211" s="33"/>
      <c r="C211" s="35"/>
      <c r="E211" s="39"/>
      <c r="G211" s="40"/>
      <c r="H211" s="14"/>
      <c r="I211" s="17"/>
      <c r="J211" s="10"/>
      <c r="M211" s="39"/>
      <c r="O211" s="39"/>
      <c r="Q211" s="39"/>
      <c r="R211" s="28"/>
      <c r="S211" s="28"/>
      <c r="T211" s="28"/>
      <c r="U211" s="4"/>
      <c r="V211" s="3"/>
      <c r="W211" s="3"/>
    </row>
    <row r="212" spans="1:23" s="5" customFormat="1">
      <c r="A212" s="6"/>
      <c r="B212" s="33"/>
      <c r="C212" s="35"/>
      <c r="E212" s="39"/>
      <c r="G212" s="40"/>
      <c r="H212" s="14"/>
      <c r="I212" s="17"/>
      <c r="J212" s="10"/>
      <c r="M212" s="39"/>
      <c r="O212" s="39"/>
      <c r="Q212" s="39"/>
      <c r="R212" s="28"/>
      <c r="S212" s="28"/>
      <c r="T212" s="28"/>
      <c r="U212" s="4"/>
      <c r="V212" s="3"/>
      <c r="W212" s="3"/>
    </row>
    <row r="213" spans="1:23" s="5" customFormat="1">
      <c r="A213" s="6"/>
      <c r="B213" s="33"/>
      <c r="C213" s="35"/>
      <c r="E213" s="39"/>
      <c r="G213" s="40"/>
      <c r="H213" s="15"/>
      <c r="I213" s="17"/>
      <c r="J213" s="10"/>
      <c r="M213" s="39"/>
      <c r="O213" s="39"/>
      <c r="Q213" s="39"/>
      <c r="R213" s="28"/>
      <c r="S213" s="28"/>
      <c r="T213" s="28"/>
      <c r="U213" s="4"/>
      <c r="V213" s="3"/>
      <c r="W213" s="3"/>
    </row>
    <row r="214" spans="1:23" s="5" customFormat="1">
      <c r="A214" s="6"/>
      <c r="B214" s="33"/>
      <c r="C214" s="35"/>
      <c r="E214" s="39"/>
      <c r="G214" s="40"/>
      <c r="H214" s="15"/>
      <c r="I214" s="17"/>
      <c r="J214" s="10"/>
      <c r="M214" s="39"/>
      <c r="O214" s="39"/>
      <c r="Q214" s="39"/>
      <c r="R214" s="28"/>
      <c r="S214" s="28"/>
      <c r="T214" s="28"/>
      <c r="U214" s="4"/>
      <c r="V214" s="3"/>
      <c r="W214" s="3"/>
    </row>
    <row r="215" spans="1:23" s="5" customFormat="1">
      <c r="A215" s="6"/>
      <c r="B215" s="33"/>
      <c r="C215" s="35"/>
      <c r="E215" s="39"/>
      <c r="G215" s="40"/>
      <c r="H215" s="14"/>
      <c r="I215" s="17"/>
      <c r="J215" s="10"/>
      <c r="M215" s="39"/>
      <c r="O215" s="39"/>
      <c r="Q215" s="39"/>
      <c r="R215" s="28"/>
      <c r="S215" s="28"/>
      <c r="T215" s="28"/>
      <c r="U215" s="4"/>
      <c r="V215" s="3"/>
      <c r="W215" s="3"/>
    </row>
    <row r="216" spans="1:23" s="5" customFormat="1">
      <c r="A216" s="6"/>
      <c r="B216" s="33"/>
      <c r="C216" s="35"/>
      <c r="E216" s="39"/>
      <c r="G216" s="40"/>
      <c r="H216" s="14"/>
      <c r="I216" s="17"/>
      <c r="J216" s="10"/>
      <c r="M216" s="39"/>
      <c r="O216" s="39"/>
      <c r="Q216" s="39"/>
      <c r="R216" s="28"/>
      <c r="S216" s="28"/>
      <c r="T216" s="28"/>
      <c r="U216" s="4"/>
      <c r="V216" s="3"/>
      <c r="W216" s="3"/>
    </row>
    <row r="217" spans="1:23" s="5" customFormat="1">
      <c r="A217" s="6"/>
      <c r="B217" s="33"/>
      <c r="C217" s="35"/>
      <c r="E217" s="39"/>
      <c r="G217" s="40"/>
      <c r="H217" s="15"/>
      <c r="I217" s="17"/>
      <c r="J217" s="10"/>
      <c r="M217" s="39"/>
      <c r="O217" s="39"/>
      <c r="Q217" s="39"/>
      <c r="R217" s="28"/>
      <c r="S217" s="28"/>
      <c r="T217" s="28"/>
      <c r="U217" s="4"/>
      <c r="V217" s="3"/>
      <c r="W217" s="3"/>
    </row>
    <row r="218" spans="1:23" s="5" customFormat="1">
      <c r="A218" s="6"/>
      <c r="B218" s="33"/>
      <c r="C218" s="35"/>
      <c r="E218" s="39"/>
      <c r="G218" s="40"/>
      <c r="H218" s="14"/>
      <c r="I218" s="17"/>
      <c r="J218" s="10"/>
      <c r="M218" s="39"/>
      <c r="O218" s="39"/>
      <c r="Q218" s="39"/>
      <c r="R218" s="28"/>
      <c r="S218" s="28"/>
      <c r="T218" s="28"/>
      <c r="U218" s="4"/>
      <c r="V218" s="3"/>
      <c r="W218" s="3"/>
    </row>
    <row r="219" spans="1:23" s="5" customFormat="1">
      <c r="A219" s="6"/>
      <c r="B219" s="33"/>
      <c r="C219" s="35"/>
      <c r="E219" s="39"/>
      <c r="G219" s="40"/>
      <c r="H219" s="15"/>
      <c r="I219" s="17"/>
      <c r="J219" s="10"/>
      <c r="M219" s="39"/>
      <c r="O219" s="39"/>
      <c r="Q219" s="39"/>
      <c r="R219" s="28"/>
      <c r="S219" s="28"/>
      <c r="T219" s="28"/>
      <c r="U219" s="4"/>
      <c r="V219" s="3"/>
      <c r="W219" s="3"/>
    </row>
    <row r="220" spans="1:23" s="5" customFormat="1">
      <c r="A220" s="6"/>
      <c r="B220" s="33"/>
      <c r="C220" s="35"/>
      <c r="E220" s="39"/>
      <c r="G220" s="40"/>
      <c r="H220" s="15"/>
      <c r="I220" s="17"/>
      <c r="J220" s="10"/>
      <c r="M220" s="39"/>
      <c r="O220" s="39"/>
      <c r="Q220" s="39"/>
      <c r="R220" s="28"/>
      <c r="S220" s="28"/>
      <c r="T220" s="28"/>
      <c r="U220" s="4"/>
      <c r="V220" s="3"/>
      <c r="W220" s="3"/>
    </row>
    <row r="221" spans="1:23" s="5" customFormat="1">
      <c r="A221" s="6"/>
      <c r="B221" s="33"/>
      <c r="C221" s="35"/>
      <c r="E221" s="39"/>
      <c r="G221" s="40"/>
      <c r="H221" s="15"/>
      <c r="I221" s="17"/>
      <c r="J221" s="10"/>
      <c r="M221" s="39"/>
      <c r="O221" s="39"/>
      <c r="Q221" s="39"/>
      <c r="R221" s="28"/>
      <c r="S221" s="28"/>
      <c r="T221" s="28"/>
      <c r="U221" s="4"/>
      <c r="V221" s="3"/>
      <c r="W221" s="3"/>
    </row>
    <row r="222" spans="1:23" s="5" customFormat="1">
      <c r="A222" s="6"/>
      <c r="B222" s="33"/>
      <c r="C222" s="35"/>
      <c r="E222" s="39"/>
      <c r="G222" s="40"/>
      <c r="H222" s="15"/>
      <c r="I222" s="17"/>
      <c r="J222" s="10"/>
      <c r="M222" s="39"/>
      <c r="O222" s="39"/>
      <c r="Q222" s="39"/>
      <c r="R222" s="28"/>
      <c r="S222" s="28"/>
      <c r="T222" s="28"/>
      <c r="U222" s="4"/>
      <c r="V222" s="3"/>
      <c r="W222" s="3"/>
    </row>
    <row r="223" spans="1:23" s="5" customFormat="1">
      <c r="A223" s="6"/>
      <c r="B223" s="33"/>
      <c r="C223" s="35"/>
      <c r="E223" s="39"/>
      <c r="G223" s="40"/>
      <c r="H223" s="14"/>
      <c r="I223" s="17"/>
      <c r="J223" s="10"/>
      <c r="M223" s="39"/>
      <c r="O223" s="39"/>
      <c r="Q223" s="39"/>
      <c r="R223" s="28"/>
      <c r="S223" s="28"/>
      <c r="T223" s="28"/>
      <c r="U223" s="4"/>
      <c r="V223" s="3"/>
      <c r="W223" s="3"/>
    </row>
    <row r="224" spans="1:23" s="5" customFormat="1">
      <c r="A224" s="6"/>
      <c r="B224" s="33"/>
      <c r="C224" s="35"/>
      <c r="E224" s="39"/>
      <c r="G224" s="40"/>
      <c r="H224" s="14"/>
      <c r="I224" s="17"/>
      <c r="J224" s="10"/>
      <c r="M224" s="39"/>
      <c r="O224" s="39"/>
      <c r="Q224" s="39"/>
      <c r="R224" s="28"/>
      <c r="S224" s="28"/>
      <c r="T224" s="28"/>
      <c r="U224" s="4"/>
      <c r="V224" s="3"/>
      <c r="W224" s="3"/>
    </row>
    <row r="225" spans="1:23" s="5" customFormat="1">
      <c r="A225" s="6"/>
      <c r="B225" s="33"/>
      <c r="C225" s="35"/>
      <c r="E225" s="39"/>
      <c r="G225" s="40"/>
      <c r="H225" s="15"/>
      <c r="I225" s="17"/>
      <c r="J225" s="10"/>
      <c r="M225" s="39"/>
      <c r="O225" s="39"/>
      <c r="Q225" s="39"/>
      <c r="R225" s="28"/>
      <c r="S225" s="28"/>
      <c r="T225" s="28"/>
      <c r="U225" s="4"/>
      <c r="V225" s="3"/>
      <c r="W225" s="3"/>
    </row>
    <row r="226" spans="1:23" s="5" customFormat="1">
      <c r="A226" s="6"/>
      <c r="B226" s="33"/>
      <c r="C226" s="35"/>
      <c r="E226" s="39"/>
      <c r="G226" s="40"/>
      <c r="H226" s="15"/>
      <c r="I226" s="17"/>
      <c r="J226" s="10"/>
      <c r="M226" s="39"/>
      <c r="O226" s="39"/>
      <c r="Q226" s="39"/>
      <c r="R226" s="28"/>
      <c r="S226" s="28"/>
      <c r="T226" s="28"/>
      <c r="U226" s="4"/>
      <c r="V226" s="3"/>
      <c r="W226" s="3"/>
    </row>
    <row r="227" spans="1:23" s="5" customFormat="1">
      <c r="A227" s="6"/>
      <c r="B227" s="33"/>
      <c r="C227" s="35"/>
      <c r="E227" s="39"/>
      <c r="G227" s="40"/>
      <c r="H227" s="15"/>
      <c r="I227" s="17"/>
      <c r="J227" s="10"/>
      <c r="M227" s="39"/>
      <c r="O227" s="39"/>
      <c r="Q227" s="39"/>
      <c r="R227" s="28"/>
      <c r="S227" s="28"/>
      <c r="T227" s="28"/>
      <c r="U227" s="4"/>
      <c r="V227" s="3"/>
      <c r="W227" s="3"/>
    </row>
    <row r="228" spans="1:23" s="5" customFormat="1">
      <c r="A228" s="6"/>
      <c r="B228" s="33"/>
      <c r="C228" s="35"/>
      <c r="E228" s="39"/>
      <c r="G228" s="40"/>
      <c r="H228" s="14"/>
      <c r="I228" s="17"/>
      <c r="J228" s="10"/>
      <c r="M228" s="39"/>
      <c r="O228" s="39"/>
      <c r="Q228" s="39"/>
      <c r="R228" s="28"/>
      <c r="S228" s="28"/>
      <c r="T228" s="28"/>
      <c r="U228" s="4"/>
      <c r="V228" s="3"/>
      <c r="W228" s="3"/>
    </row>
    <row r="229" spans="1:23" s="5" customFormat="1">
      <c r="A229" s="6"/>
      <c r="B229" s="33"/>
      <c r="C229" s="35"/>
      <c r="E229" s="39"/>
      <c r="G229" s="40"/>
      <c r="H229" s="14"/>
      <c r="I229" s="17"/>
      <c r="J229" s="10"/>
      <c r="M229" s="39"/>
      <c r="O229" s="39"/>
      <c r="Q229" s="39"/>
      <c r="R229" s="28"/>
      <c r="S229" s="28"/>
      <c r="T229" s="28"/>
      <c r="U229" s="4"/>
      <c r="V229" s="3"/>
      <c r="W229" s="3"/>
    </row>
    <row r="230" spans="1:23" s="5" customFormat="1">
      <c r="A230" s="6"/>
      <c r="B230" s="33"/>
      <c r="C230" s="35"/>
      <c r="E230" s="39"/>
      <c r="G230" s="40"/>
      <c r="H230" s="15"/>
      <c r="I230" s="17"/>
      <c r="J230" s="10"/>
      <c r="M230" s="39"/>
      <c r="O230" s="39"/>
      <c r="Q230" s="39"/>
      <c r="R230" s="28"/>
      <c r="S230" s="28"/>
      <c r="T230" s="28"/>
      <c r="U230" s="4"/>
      <c r="V230" s="3"/>
      <c r="W230" s="3"/>
    </row>
    <row r="231" spans="1:23" s="5" customFormat="1">
      <c r="A231" s="6"/>
      <c r="B231" s="33"/>
      <c r="C231" s="35"/>
      <c r="E231" s="39"/>
      <c r="G231" s="40"/>
      <c r="H231" s="15"/>
      <c r="I231" s="17"/>
      <c r="J231" s="10"/>
      <c r="M231" s="39"/>
      <c r="O231" s="39"/>
      <c r="Q231" s="39"/>
      <c r="R231" s="28"/>
      <c r="S231" s="28"/>
      <c r="T231" s="28"/>
      <c r="U231" s="4"/>
      <c r="V231" s="3"/>
      <c r="W231" s="3"/>
    </row>
    <row r="232" spans="1:23" s="5" customFormat="1">
      <c r="A232" s="6"/>
      <c r="B232" s="33"/>
      <c r="C232" s="35"/>
      <c r="E232" s="39"/>
      <c r="G232" s="40"/>
      <c r="H232" s="14"/>
      <c r="I232" s="17"/>
      <c r="J232" s="10"/>
      <c r="M232" s="39"/>
      <c r="O232" s="39"/>
      <c r="Q232" s="39"/>
      <c r="R232" s="28"/>
      <c r="S232" s="28"/>
      <c r="T232" s="28"/>
      <c r="U232" s="4"/>
      <c r="V232" s="3"/>
      <c r="W232" s="3"/>
    </row>
    <row r="233" spans="1:23" s="5" customFormat="1">
      <c r="A233" s="6"/>
      <c r="B233" s="33"/>
      <c r="C233" s="35"/>
      <c r="E233" s="39"/>
      <c r="G233" s="40"/>
      <c r="H233" s="15"/>
      <c r="I233" s="17"/>
      <c r="J233" s="10"/>
      <c r="M233" s="39"/>
      <c r="O233" s="39"/>
      <c r="Q233" s="39"/>
      <c r="R233" s="28"/>
      <c r="S233" s="28"/>
      <c r="T233" s="28"/>
      <c r="U233" s="4"/>
      <c r="V233" s="3"/>
      <c r="W233" s="3"/>
    </row>
    <row r="234" spans="1:23" s="5" customFormat="1">
      <c r="A234" s="6"/>
      <c r="B234" s="33"/>
      <c r="C234" s="35"/>
      <c r="E234" s="39"/>
      <c r="G234" s="40"/>
      <c r="H234" s="15"/>
      <c r="I234" s="17"/>
      <c r="J234" s="10"/>
      <c r="M234" s="39"/>
      <c r="O234" s="39"/>
      <c r="Q234" s="39"/>
      <c r="R234" s="28"/>
      <c r="S234" s="28"/>
      <c r="T234" s="28"/>
      <c r="U234" s="4"/>
      <c r="V234" s="3"/>
      <c r="W234" s="3"/>
    </row>
    <row r="235" spans="1:23" s="5" customFormat="1">
      <c r="A235" s="6"/>
      <c r="B235" s="33"/>
      <c r="C235" s="35"/>
      <c r="E235" s="39"/>
      <c r="G235" s="40"/>
      <c r="H235" s="15"/>
      <c r="I235" s="17"/>
      <c r="J235" s="10"/>
      <c r="M235" s="39"/>
      <c r="O235" s="39"/>
      <c r="Q235" s="39"/>
      <c r="R235" s="28"/>
      <c r="S235" s="28"/>
      <c r="T235" s="28"/>
      <c r="U235" s="4"/>
      <c r="V235" s="3"/>
      <c r="W235" s="3"/>
    </row>
    <row r="236" spans="1:23" s="5" customFormat="1">
      <c r="A236" s="6"/>
      <c r="B236" s="33"/>
      <c r="C236" s="35"/>
      <c r="E236" s="39"/>
      <c r="G236" s="40"/>
      <c r="H236" s="14"/>
      <c r="I236" s="17"/>
      <c r="J236" s="10"/>
      <c r="M236" s="39"/>
      <c r="O236" s="39"/>
      <c r="Q236" s="39"/>
      <c r="R236" s="28"/>
      <c r="S236" s="28"/>
      <c r="T236" s="28"/>
      <c r="U236" s="4"/>
      <c r="V236" s="3"/>
      <c r="W236" s="3"/>
    </row>
    <row r="237" spans="1:23" s="5" customFormat="1">
      <c r="A237" s="6"/>
      <c r="B237" s="33"/>
      <c r="C237" s="35"/>
      <c r="E237" s="39"/>
      <c r="G237" s="40"/>
      <c r="H237" s="15"/>
      <c r="I237" s="17"/>
      <c r="J237" s="10"/>
      <c r="M237" s="39"/>
      <c r="O237" s="39"/>
      <c r="Q237" s="39"/>
      <c r="R237" s="28"/>
      <c r="S237" s="28"/>
      <c r="T237" s="28"/>
      <c r="U237" s="4"/>
      <c r="V237" s="3"/>
      <c r="W237" s="3"/>
    </row>
    <row r="238" spans="1:23" s="5" customFormat="1">
      <c r="A238" s="6"/>
      <c r="B238" s="33"/>
      <c r="C238" s="35"/>
      <c r="E238" s="39"/>
      <c r="G238" s="40"/>
      <c r="H238" s="14"/>
      <c r="I238" s="17"/>
      <c r="J238" s="10"/>
      <c r="M238" s="39"/>
      <c r="O238" s="39"/>
      <c r="Q238" s="39"/>
      <c r="R238" s="28"/>
      <c r="S238" s="28"/>
      <c r="T238" s="28"/>
      <c r="U238" s="4"/>
      <c r="V238" s="3"/>
      <c r="W238" s="3"/>
    </row>
    <row r="239" spans="1:23" s="5" customFormat="1">
      <c r="A239" s="6"/>
      <c r="B239" s="33"/>
      <c r="C239" s="35"/>
      <c r="E239" s="39"/>
      <c r="G239" s="40"/>
      <c r="H239" s="15"/>
      <c r="I239" s="17"/>
      <c r="J239" s="10"/>
      <c r="M239" s="39"/>
      <c r="O239" s="39"/>
      <c r="Q239" s="39"/>
      <c r="R239" s="28"/>
      <c r="S239" s="28"/>
      <c r="T239" s="28"/>
      <c r="U239" s="4"/>
      <c r="V239" s="3"/>
      <c r="W239" s="3"/>
    </row>
    <row r="240" spans="1:23" s="5" customFormat="1">
      <c r="A240" s="6"/>
      <c r="B240" s="33"/>
      <c r="C240" s="35"/>
      <c r="E240" s="39"/>
      <c r="G240" s="40"/>
      <c r="H240" s="14"/>
      <c r="I240" s="17"/>
      <c r="J240" s="10"/>
      <c r="M240" s="39"/>
      <c r="O240" s="39"/>
      <c r="Q240" s="39"/>
      <c r="R240" s="28"/>
      <c r="S240" s="28"/>
      <c r="T240" s="28"/>
      <c r="U240" s="4"/>
      <c r="V240" s="3"/>
      <c r="W240" s="3"/>
    </row>
    <row r="241" spans="1:23" s="5" customFormat="1">
      <c r="A241" s="6"/>
      <c r="B241" s="33"/>
      <c r="C241" s="35"/>
      <c r="E241" s="39"/>
      <c r="G241" s="40"/>
      <c r="H241" s="15"/>
      <c r="I241" s="17"/>
      <c r="J241" s="10"/>
      <c r="M241" s="39"/>
      <c r="O241" s="39"/>
      <c r="Q241" s="39"/>
      <c r="R241" s="28"/>
      <c r="S241" s="28"/>
      <c r="T241" s="28"/>
      <c r="U241" s="4"/>
      <c r="V241" s="3"/>
      <c r="W241" s="3"/>
    </row>
    <row r="242" spans="1:23" s="5" customFormat="1">
      <c r="A242" s="6"/>
      <c r="B242" s="33"/>
      <c r="C242" s="35"/>
      <c r="E242" s="39"/>
      <c r="G242" s="40"/>
      <c r="H242" s="14"/>
      <c r="I242" s="17"/>
      <c r="J242" s="10"/>
      <c r="M242" s="39"/>
      <c r="O242" s="39"/>
      <c r="Q242" s="39"/>
      <c r="R242" s="28"/>
      <c r="S242" s="28"/>
      <c r="T242" s="28"/>
      <c r="U242" s="4"/>
      <c r="V242" s="3"/>
      <c r="W242" s="3"/>
    </row>
    <row r="243" spans="1:23" s="5" customFormat="1">
      <c r="A243" s="6"/>
      <c r="B243" s="33"/>
      <c r="C243" s="35"/>
      <c r="E243" s="39"/>
      <c r="G243" s="40"/>
      <c r="H243" s="15"/>
      <c r="I243" s="17"/>
      <c r="J243" s="10"/>
      <c r="M243" s="39"/>
      <c r="O243" s="39"/>
      <c r="Q243" s="39"/>
      <c r="R243" s="28"/>
      <c r="S243" s="28"/>
      <c r="T243" s="28"/>
      <c r="U243" s="4"/>
      <c r="V243" s="3"/>
      <c r="W243" s="3"/>
    </row>
    <row r="244" spans="1:23" s="5" customFormat="1">
      <c r="A244" s="6"/>
      <c r="B244" s="33"/>
      <c r="C244" s="35"/>
      <c r="E244" s="39"/>
      <c r="G244" s="40"/>
      <c r="H244" s="15"/>
      <c r="I244" s="17"/>
      <c r="J244" s="10"/>
      <c r="M244" s="39"/>
      <c r="O244" s="39"/>
      <c r="Q244" s="39"/>
      <c r="R244" s="28"/>
      <c r="S244" s="28"/>
      <c r="T244" s="28"/>
      <c r="U244" s="4"/>
      <c r="V244" s="3"/>
      <c r="W244" s="3"/>
    </row>
    <row r="245" spans="1:23" s="5" customFormat="1">
      <c r="A245" s="6"/>
      <c r="B245" s="33"/>
      <c r="C245" s="35"/>
      <c r="E245" s="39"/>
      <c r="G245" s="40"/>
      <c r="H245" s="15"/>
      <c r="I245" s="17"/>
      <c r="J245" s="10"/>
      <c r="M245" s="39"/>
      <c r="O245" s="39"/>
      <c r="Q245" s="39"/>
      <c r="R245" s="28"/>
      <c r="S245" s="28"/>
      <c r="T245" s="28"/>
      <c r="U245" s="4"/>
      <c r="V245" s="3"/>
      <c r="W245" s="3"/>
    </row>
    <row r="246" spans="1:23" s="5" customFormat="1">
      <c r="A246" s="6"/>
      <c r="B246" s="33"/>
      <c r="C246" s="35"/>
      <c r="E246" s="39"/>
      <c r="G246" s="40"/>
      <c r="H246" s="15"/>
      <c r="I246" s="17"/>
      <c r="J246" s="10"/>
      <c r="M246" s="39"/>
      <c r="O246" s="39"/>
      <c r="Q246" s="39"/>
      <c r="R246" s="28"/>
      <c r="S246" s="28"/>
      <c r="T246" s="28"/>
      <c r="U246" s="4"/>
      <c r="V246" s="3"/>
      <c r="W246" s="3"/>
    </row>
    <row r="247" spans="1:23" s="5" customFormat="1">
      <c r="A247" s="6"/>
      <c r="B247" s="33"/>
      <c r="C247" s="35"/>
      <c r="E247" s="39"/>
      <c r="G247" s="40"/>
      <c r="H247" s="15"/>
      <c r="I247" s="17"/>
      <c r="J247" s="10"/>
      <c r="M247" s="39"/>
      <c r="O247" s="39"/>
      <c r="Q247" s="39"/>
      <c r="R247" s="28"/>
      <c r="S247" s="28"/>
      <c r="T247" s="28"/>
      <c r="U247" s="4"/>
      <c r="V247" s="3"/>
      <c r="W247" s="3"/>
    </row>
    <row r="248" spans="1:23" s="5" customFormat="1">
      <c r="A248" s="6"/>
      <c r="B248" s="33"/>
      <c r="C248" s="35"/>
      <c r="E248" s="39"/>
      <c r="G248" s="40"/>
      <c r="H248" s="14"/>
      <c r="I248" s="17"/>
      <c r="J248" s="10"/>
      <c r="M248" s="39"/>
      <c r="O248" s="39"/>
      <c r="Q248" s="39"/>
      <c r="R248" s="28"/>
      <c r="S248" s="28"/>
      <c r="T248" s="28"/>
      <c r="U248" s="4"/>
      <c r="V248" s="3"/>
      <c r="W248" s="3"/>
    </row>
    <row r="249" spans="1:23" s="5" customFormat="1">
      <c r="A249" s="6"/>
      <c r="B249" s="33"/>
      <c r="C249" s="35"/>
      <c r="E249" s="39"/>
      <c r="G249" s="40"/>
      <c r="H249" s="15"/>
      <c r="I249" s="17"/>
      <c r="J249" s="10"/>
      <c r="M249" s="39"/>
      <c r="O249" s="39"/>
      <c r="Q249" s="39"/>
      <c r="R249" s="28"/>
      <c r="S249" s="28"/>
      <c r="T249" s="28"/>
      <c r="U249" s="4"/>
      <c r="V249" s="3"/>
      <c r="W249" s="3"/>
    </row>
    <row r="250" spans="1:23" s="5" customFormat="1">
      <c r="A250" s="6"/>
      <c r="B250" s="33"/>
      <c r="C250" s="35"/>
      <c r="E250" s="39"/>
      <c r="G250" s="40"/>
      <c r="H250" s="15"/>
      <c r="I250" s="17"/>
      <c r="J250" s="10"/>
      <c r="M250" s="39"/>
      <c r="O250" s="39"/>
      <c r="Q250" s="39"/>
      <c r="R250" s="28"/>
      <c r="S250" s="28"/>
      <c r="T250" s="28"/>
      <c r="U250" s="4"/>
      <c r="V250" s="3"/>
      <c r="W250" s="3"/>
    </row>
    <row r="251" spans="1:23" s="5" customFormat="1">
      <c r="A251" s="6"/>
      <c r="B251" s="33"/>
      <c r="C251" s="35"/>
      <c r="E251" s="39"/>
      <c r="G251" s="40"/>
      <c r="H251" s="15"/>
      <c r="I251" s="17"/>
      <c r="J251" s="10"/>
      <c r="M251" s="39"/>
      <c r="O251" s="39"/>
      <c r="Q251" s="39"/>
      <c r="R251" s="28"/>
      <c r="S251" s="28"/>
      <c r="T251" s="28"/>
      <c r="U251" s="4"/>
      <c r="V251" s="3"/>
      <c r="W251" s="3"/>
    </row>
    <row r="252" spans="1:23" s="5" customFormat="1">
      <c r="A252" s="6"/>
      <c r="B252" s="33"/>
      <c r="C252" s="35"/>
      <c r="E252" s="39"/>
      <c r="G252" s="40"/>
      <c r="H252" s="15"/>
      <c r="I252" s="17"/>
      <c r="J252" s="10"/>
      <c r="M252" s="39"/>
      <c r="O252" s="39"/>
      <c r="Q252" s="39"/>
      <c r="R252" s="28"/>
      <c r="S252" s="28"/>
      <c r="T252" s="28"/>
      <c r="U252" s="4"/>
      <c r="V252" s="3"/>
      <c r="W252" s="3"/>
    </row>
    <row r="253" spans="1:23" s="5" customFormat="1">
      <c r="A253" s="6"/>
      <c r="B253" s="33"/>
      <c r="C253" s="35"/>
      <c r="E253" s="39"/>
      <c r="G253" s="40"/>
      <c r="H253" s="15"/>
      <c r="I253" s="17"/>
      <c r="J253" s="10"/>
      <c r="M253" s="39"/>
      <c r="O253" s="39"/>
      <c r="Q253" s="39"/>
      <c r="R253" s="28"/>
      <c r="S253" s="28"/>
      <c r="T253" s="28"/>
      <c r="U253" s="4"/>
      <c r="V253" s="3"/>
      <c r="W253" s="3"/>
    </row>
    <row r="254" spans="1:23" s="5" customFormat="1">
      <c r="A254" s="6"/>
      <c r="B254" s="33"/>
      <c r="C254" s="35"/>
      <c r="E254" s="39"/>
      <c r="G254" s="40"/>
      <c r="H254" s="15"/>
      <c r="I254" s="17"/>
      <c r="J254" s="10"/>
      <c r="M254" s="39"/>
      <c r="O254" s="39"/>
      <c r="Q254" s="39"/>
      <c r="R254" s="28"/>
      <c r="S254" s="28"/>
      <c r="T254" s="28"/>
      <c r="U254" s="4"/>
      <c r="V254" s="3"/>
      <c r="W254" s="3"/>
    </row>
    <row r="255" spans="1:23" s="5" customFormat="1">
      <c r="A255" s="6"/>
      <c r="B255" s="33"/>
      <c r="C255" s="35"/>
      <c r="E255" s="39"/>
      <c r="G255" s="40"/>
      <c r="H255" s="15"/>
      <c r="I255" s="17"/>
      <c r="J255" s="10"/>
      <c r="M255" s="39"/>
      <c r="O255" s="39"/>
      <c r="Q255" s="39"/>
      <c r="R255" s="28"/>
      <c r="S255" s="28"/>
      <c r="T255" s="28"/>
      <c r="U255" s="4"/>
      <c r="V255" s="3"/>
      <c r="W255" s="3"/>
    </row>
    <row r="256" spans="1:23" s="5" customFormat="1">
      <c r="A256" s="6"/>
      <c r="B256" s="33"/>
      <c r="C256" s="35"/>
      <c r="E256" s="39"/>
      <c r="G256" s="40"/>
      <c r="H256" s="14"/>
      <c r="I256" s="17"/>
      <c r="J256" s="10"/>
      <c r="M256" s="39"/>
      <c r="O256" s="39"/>
      <c r="Q256" s="39"/>
      <c r="R256" s="28"/>
      <c r="S256" s="28"/>
      <c r="T256" s="28"/>
      <c r="U256" s="4"/>
      <c r="V256" s="3"/>
      <c r="W256" s="3"/>
    </row>
    <row r="257" spans="1:23" s="5" customFormat="1">
      <c r="A257" s="6"/>
      <c r="B257" s="33"/>
      <c r="C257" s="35"/>
      <c r="E257" s="39"/>
      <c r="G257" s="40"/>
      <c r="H257" s="15"/>
      <c r="I257" s="17"/>
      <c r="J257" s="10"/>
      <c r="M257" s="39"/>
      <c r="O257" s="39"/>
      <c r="Q257" s="39"/>
      <c r="R257" s="28"/>
      <c r="S257" s="28"/>
      <c r="T257" s="28"/>
      <c r="U257" s="4"/>
      <c r="V257" s="3"/>
      <c r="W257" s="3"/>
    </row>
    <row r="258" spans="1:23" s="5" customFormat="1">
      <c r="A258" s="6"/>
      <c r="B258" s="33"/>
      <c r="C258" s="35"/>
      <c r="E258" s="39"/>
      <c r="G258" s="40"/>
      <c r="H258" s="15"/>
      <c r="I258" s="17"/>
      <c r="J258" s="10"/>
      <c r="M258" s="39"/>
      <c r="O258" s="39"/>
      <c r="Q258" s="39"/>
      <c r="R258" s="28"/>
      <c r="S258" s="28"/>
      <c r="T258" s="28"/>
      <c r="U258" s="4"/>
      <c r="V258" s="3"/>
      <c r="W258" s="3"/>
    </row>
    <row r="259" spans="1:23" s="5" customFormat="1">
      <c r="A259" s="6"/>
      <c r="B259" s="33"/>
      <c r="C259" s="35"/>
      <c r="E259" s="39"/>
      <c r="G259" s="40"/>
      <c r="H259" s="15"/>
      <c r="I259" s="17"/>
      <c r="J259" s="10"/>
      <c r="M259" s="39"/>
      <c r="O259" s="39"/>
      <c r="Q259" s="39"/>
      <c r="R259" s="28"/>
      <c r="S259" s="28"/>
      <c r="T259" s="28"/>
      <c r="U259" s="4"/>
      <c r="V259" s="3"/>
      <c r="W259" s="3"/>
    </row>
    <row r="260" spans="1:23" s="5" customFormat="1">
      <c r="A260" s="6"/>
      <c r="B260" s="33"/>
      <c r="C260" s="35"/>
      <c r="E260" s="39"/>
      <c r="G260" s="40"/>
      <c r="H260" s="15"/>
      <c r="I260" s="17"/>
      <c r="J260" s="10"/>
      <c r="M260" s="39"/>
      <c r="O260" s="39"/>
      <c r="Q260" s="39"/>
      <c r="R260" s="28"/>
      <c r="S260" s="28"/>
      <c r="T260" s="28"/>
      <c r="U260" s="4"/>
      <c r="V260" s="3"/>
      <c r="W260" s="3"/>
    </row>
    <row r="261" spans="1:23" s="5" customFormat="1">
      <c r="A261" s="6"/>
      <c r="B261" s="33"/>
      <c r="C261" s="35"/>
      <c r="E261" s="39"/>
      <c r="G261" s="40"/>
      <c r="H261" s="14"/>
      <c r="I261" s="17"/>
      <c r="J261" s="10"/>
      <c r="M261" s="39"/>
      <c r="O261" s="39"/>
      <c r="Q261" s="39"/>
      <c r="R261" s="28"/>
      <c r="S261" s="29"/>
      <c r="T261" s="28"/>
      <c r="U261" s="4"/>
      <c r="V261" s="3"/>
      <c r="W261" s="3"/>
    </row>
    <row r="262" spans="1:23" s="5" customFormat="1">
      <c r="A262" s="6"/>
      <c r="B262" s="33"/>
      <c r="C262" s="35"/>
      <c r="E262" s="39"/>
      <c r="G262" s="40"/>
      <c r="H262" s="15"/>
      <c r="I262" s="17"/>
      <c r="J262" s="10"/>
      <c r="M262" s="39"/>
      <c r="O262" s="39"/>
      <c r="Q262" s="39"/>
      <c r="R262" s="28"/>
      <c r="S262" s="28"/>
      <c r="T262" s="28"/>
      <c r="U262" s="4"/>
      <c r="V262" s="3"/>
      <c r="W262" s="3"/>
    </row>
    <row r="263" spans="1:23" s="5" customFormat="1">
      <c r="A263" s="6"/>
      <c r="B263" s="33"/>
      <c r="C263" s="35"/>
      <c r="E263" s="39"/>
      <c r="G263" s="40"/>
      <c r="H263" s="14"/>
      <c r="I263" s="17"/>
      <c r="J263" s="10"/>
      <c r="M263" s="39"/>
      <c r="O263" s="39"/>
      <c r="Q263" s="39"/>
      <c r="R263" s="28"/>
      <c r="S263" s="29"/>
      <c r="T263" s="28"/>
      <c r="U263" s="4"/>
      <c r="V263" s="3"/>
      <c r="W263" s="3"/>
    </row>
    <row r="264" spans="1:23" s="5" customFormat="1">
      <c r="A264" s="6"/>
      <c r="B264" s="33"/>
      <c r="C264" s="35"/>
      <c r="E264" s="39"/>
      <c r="G264" s="40"/>
      <c r="H264" s="14"/>
      <c r="I264" s="17"/>
      <c r="J264" s="10"/>
      <c r="M264" s="39"/>
      <c r="O264" s="39"/>
      <c r="Q264" s="39"/>
      <c r="R264" s="28"/>
      <c r="S264" s="28"/>
      <c r="T264" s="28"/>
      <c r="U264" s="4"/>
      <c r="V264" s="3"/>
      <c r="W264" s="3"/>
    </row>
    <row r="265" spans="1:23" s="5" customFormat="1">
      <c r="A265" s="6"/>
      <c r="B265" s="33"/>
      <c r="C265" s="35"/>
      <c r="E265" s="39"/>
      <c r="G265" s="40"/>
      <c r="H265" s="15"/>
      <c r="I265" s="17"/>
      <c r="J265" s="10"/>
      <c r="M265" s="39"/>
      <c r="O265" s="39"/>
      <c r="Q265" s="39"/>
      <c r="R265" s="28"/>
      <c r="S265" s="28"/>
      <c r="T265" s="28"/>
      <c r="U265" s="4"/>
      <c r="V265" s="3"/>
      <c r="W265" s="3"/>
    </row>
    <row r="266" spans="1:23" s="5" customFormat="1">
      <c r="A266" s="6"/>
      <c r="B266" s="33"/>
      <c r="C266" s="35"/>
      <c r="E266" s="39"/>
      <c r="G266" s="40"/>
      <c r="H266" s="15"/>
      <c r="I266" s="17"/>
      <c r="J266" s="10"/>
      <c r="M266" s="39"/>
      <c r="O266" s="39"/>
      <c r="Q266" s="39"/>
      <c r="R266" s="28"/>
      <c r="S266" s="28"/>
      <c r="T266" s="28"/>
      <c r="U266" s="4"/>
      <c r="V266" s="3"/>
      <c r="W266" s="3"/>
    </row>
    <row r="267" spans="1:23" s="5" customFormat="1">
      <c r="A267" s="6"/>
      <c r="B267" s="33"/>
      <c r="C267" s="35"/>
      <c r="E267" s="39"/>
      <c r="G267" s="40"/>
      <c r="H267" s="15"/>
      <c r="I267" s="17"/>
      <c r="J267" s="10"/>
      <c r="M267" s="39"/>
      <c r="O267" s="39"/>
      <c r="Q267" s="39"/>
      <c r="R267" s="28"/>
      <c r="S267" s="28"/>
      <c r="T267" s="28"/>
      <c r="U267" s="4"/>
      <c r="V267" s="3"/>
      <c r="W267" s="3"/>
    </row>
    <row r="268" spans="1:23" s="5" customFormat="1">
      <c r="A268" s="6"/>
      <c r="B268" s="33"/>
      <c r="C268" s="35"/>
      <c r="E268" s="39"/>
      <c r="G268" s="40"/>
      <c r="H268" s="15"/>
      <c r="I268" s="17"/>
      <c r="J268" s="10"/>
      <c r="M268" s="39"/>
      <c r="O268" s="39"/>
      <c r="Q268" s="39"/>
      <c r="R268" s="28"/>
      <c r="S268" s="28"/>
      <c r="T268" s="28"/>
      <c r="U268" s="4"/>
      <c r="V268" s="3"/>
      <c r="W268" s="3"/>
    </row>
    <row r="269" spans="1:23" s="5" customFormat="1">
      <c r="A269" s="6"/>
      <c r="B269" s="33"/>
      <c r="C269" s="35"/>
      <c r="E269" s="39"/>
      <c r="G269" s="40"/>
      <c r="H269" s="15"/>
      <c r="I269" s="17"/>
      <c r="J269" s="10"/>
      <c r="M269" s="39"/>
      <c r="O269" s="39"/>
      <c r="Q269" s="39"/>
      <c r="R269" s="28"/>
      <c r="S269" s="28"/>
      <c r="T269" s="28"/>
      <c r="U269" s="4"/>
      <c r="V269" s="3"/>
      <c r="W269" s="3"/>
    </row>
    <row r="270" spans="1:23" s="5" customFormat="1">
      <c r="A270" s="6"/>
      <c r="B270" s="33"/>
      <c r="C270" s="35"/>
      <c r="E270" s="39"/>
      <c r="G270" s="40"/>
      <c r="H270" s="15"/>
      <c r="I270" s="17"/>
      <c r="J270" s="10"/>
      <c r="M270" s="39"/>
      <c r="O270" s="39"/>
      <c r="Q270" s="39"/>
      <c r="R270" s="28"/>
      <c r="S270" s="28"/>
      <c r="T270" s="28"/>
      <c r="U270" s="4"/>
      <c r="V270" s="3"/>
      <c r="W270" s="3"/>
    </row>
    <row r="271" spans="1:23" s="5" customFormat="1">
      <c r="A271" s="6"/>
      <c r="B271" s="33"/>
      <c r="C271" s="35"/>
      <c r="E271" s="39"/>
      <c r="G271" s="40"/>
      <c r="H271" s="14"/>
      <c r="I271" s="17"/>
      <c r="J271" s="10"/>
      <c r="M271" s="39"/>
      <c r="O271" s="39"/>
      <c r="Q271" s="39"/>
      <c r="R271" s="28"/>
      <c r="S271" s="28"/>
      <c r="T271" s="28"/>
      <c r="U271" s="4"/>
      <c r="V271" s="3"/>
      <c r="W271" s="3"/>
    </row>
    <row r="272" spans="1:23" s="5" customFormat="1">
      <c r="A272" s="6"/>
      <c r="B272" s="33"/>
      <c r="C272" s="35"/>
      <c r="E272" s="39"/>
      <c r="G272" s="40"/>
      <c r="H272" s="15"/>
      <c r="I272" s="17"/>
      <c r="J272" s="10"/>
      <c r="M272" s="39"/>
      <c r="O272" s="39"/>
      <c r="Q272" s="39"/>
      <c r="R272" s="28"/>
      <c r="S272" s="28"/>
      <c r="T272" s="28"/>
      <c r="U272" s="4"/>
      <c r="V272" s="3"/>
      <c r="W272" s="3"/>
    </row>
    <row r="273" spans="1:23" s="5" customFormat="1">
      <c r="A273" s="6"/>
      <c r="B273" s="33"/>
      <c r="C273" s="35"/>
      <c r="E273" s="39"/>
      <c r="G273" s="40"/>
      <c r="H273" s="15"/>
      <c r="I273" s="17"/>
      <c r="J273" s="10"/>
      <c r="M273" s="39"/>
      <c r="O273" s="39"/>
      <c r="Q273" s="39"/>
      <c r="R273" s="28"/>
      <c r="S273" s="28"/>
      <c r="T273" s="28"/>
      <c r="U273" s="4"/>
      <c r="V273" s="3"/>
      <c r="W273" s="3"/>
    </row>
    <row r="274" spans="1:23" s="5" customFormat="1">
      <c r="A274" s="6"/>
      <c r="B274" s="33"/>
      <c r="C274" s="35"/>
      <c r="E274" s="39"/>
      <c r="G274" s="40"/>
      <c r="H274" s="15"/>
      <c r="I274" s="17"/>
      <c r="J274" s="10"/>
      <c r="M274" s="39"/>
      <c r="O274" s="39"/>
      <c r="Q274" s="39"/>
      <c r="R274" s="28"/>
      <c r="S274" s="28"/>
      <c r="T274" s="28"/>
      <c r="U274" s="4"/>
      <c r="V274" s="3"/>
      <c r="W274" s="3"/>
    </row>
    <row r="275" spans="1:23" s="5" customFormat="1">
      <c r="A275" s="6"/>
      <c r="B275" s="33"/>
      <c r="C275" s="35"/>
      <c r="E275" s="39"/>
      <c r="G275" s="40"/>
      <c r="H275" s="15"/>
      <c r="I275" s="17"/>
      <c r="J275" s="10"/>
      <c r="M275" s="39"/>
      <c r="O275" s="39"/>
      <c r="Q275" s="39"/>
      <c r="R275" s="28"/>
      <c r="S275" s="28"/>
      <c r="T275" s="28"/>
      <c r="U275" s="4"/>
      <c r="V275" s="3"/>
      <c r="W275" s="3"/>
    </row>
    <row r="276" spans="1:23" s="5" customFormat="1">
      <c r="A276" s="6"/>
      <c r="B276" s="33"/>
      <c r="C276" s="35"/>
      <c r="E276" s="39"/>
      <c r="G276" s="40"/>
      <c r="H276" s="15"/>
      <c r="I276" s="17"/>
      <c r="J276" s="10"/>
      <c r="M276" s="39"/>
      <c r="O276" s="39"/>
      <c r="Q276" s="39"/>
      <c r="R276" s="28"/>
      <c r="S276" s="28"/>
      <c r="T276" s="28"/>
      <c r="U276" s="4"/>
      <c r="V276" s="3"/>
      <c r="W276" s="3"/>
    </row>
    <row r="277" spans="1:23" s="5" customFormat="1">
      <c r="A277" s="6"/>
      <c r="B277" s="33"/>
      <c r="C277" s="35"/>
      <c r="E277" s="39"/>
      <c r="G277" s="40"/>
      <c r="H277" s="15"/>
      <c r="I277" s="17"/>
      <c r="J277" s="10"/>
      <c r="M277" s="39"/>
      <c r="O277" s="39"/>
      <c r="Q277" s="39"/>
      <c r="R277" s="28"/>
      <c r="S277" s="28"/>
      <c r="T277" s="28"/>
      <c r="U277" s="4"/>
      <c r="V277" s="3"/>
      <c r="W277" s="3"/>
    </row>
    <row r="278" spans="1:23" s="5" customFormat="1">
      <c r="A278" s="6"/>
      <c r="B278" s="33"/>
      <c r="C278" s="35"/>
      <c r="E278" s="39"/>
      <c r="G278" s="40"/>
      <c r="H278" s="15"/>
      <c r="I278" s="17"/>
      <c r="J278" s="10"/>
      <c r="M278" s="39"/>
      <c r="O278" s="39"/>
      <c r="Q278" s="39"/>
      <c r="R278" s="28"/>
      <c r="S278" s="28"/>
      <c r="T278" s="28"/>
      <c r="U278" s="4"/>
      <c r="V278" s="3"/>
      <c r="W278" s="3"/>
    </row>
    <row r="279" spans="1:23" s="5" customFormat="1">
      <c r="A279" s="6"/>
      <c r="B279" s="33"/>
      <c r="C279" s="35"/>
      <c r="E279" s="39"/>
      <c r="G279" s="40"/>
      <c r="H279" s="15"/>
      <c r="I279" s="17"/>
      <c r="J279" s="10"/>
      <c r="M279" s="39"/>
      <c r="O279" s="39"/>
      <c r="Q279" s="39"/>
      <c r="R279" s="28"/>
      <c r="S279" s="28"/>
      <c r="T279" s="28"/>
      <c r="U279" s="4"/>
      <c r="V279" s="3"/>
      <c r="W279" s="3"/>
    </row>
    <row r="280" spans="1:23" s="5" customFormat="1">
      <c r="A280" s="6"/>
      <c r="B280" s="33"/>
      <c r="C280" s="35"/>
      <c r="E280" s="39"/>
      <c r="G280" s="40"/>
      <c r="H280" s="15"/>
      <c r="I280" s="17"/>
      <c r="J280" s="10"/>
      <c r="M280" s="39"/>
      <c r="O280" s="39"/>
      <c r="Q280" s="39"/>
      <c r="R280" s="28"/>
      <c r="S280" s="28"/>
      <c r="T280" s="28"/>
      <c r="U280" s="4"/>
      <c r="V280" s="3"/>
      <c r="W280" s="3"/>
    </row>
    <row r="281" spans="1:23" s="5" customFormat="1">
      <c r="A281" s="6"/>
      <c r="B281" s="33"/>
      <c r="C281" s="35"/>
      <c r="E281" s="39"/>
      <c r="G281" s="40"/>
      <c r="H281" s="15"/>
      <c r="I281" s="17"/>
      <c r="J281" s="10"/>
      <c r="M281" s="39"/>
      <c r="O281" s="39"/>
      <c r="Q281" s="39"/>
      <c r="R281" s="28"/>
      <c r="S281" s="28"/>
      <c r="T281" s="28"/>
      <c r="U281" s="4"/>
      <c r="V281" s="3"/>
      <c r="W281" s="3"/>
    </row>
    <row r="282" spans="1:23" s="5" customFormat="1">
      <c r="A282" s="6"/>
      <c r="B282" s="33"/>
      <c r="C282" s="35"/>
      <c r="E282" s="39"/>
      <c r="G282" s="40"/>
      <c r="H282" s="15"/>
      <c r="I282" s="17"/>
      <c r="J282" s="10"/>
      <c r="M282" s="39"/>
      <c r="O282" s="39"/>
      <c r="Q282" s="39"/>
      <c r="R282" s="28"/>
      <c r="S282" s="28"/>
      <c r="T282" s="28"/>
      <c r="U282" s="4"/>
      <c r="V282" s="3"/>
      <c r="W282" s="3"/>
    </row>
    <row r="283" spans="1:23" s="5" customFormat="1">
      <c r="A283" s="6"/>
      <c r="B283" s="33"/>
      <c r="C283" s="35"/>
      <c r="E283" s="39"/>
      <c r="G283" s="40"/>
      <c r="H283" s="15"/>
      <c r="I283" s="17"/>
      <c r="J283" s="10"/>
      <c r="M283" s="39"/>
      <c r="O283" s="39"/>
      <c r="Q283" s="39"/>
      <c r="R283" s="28"/>
      <c r="S283" s="28"/>
      <c r="T283" s="28"/>
      <c r="U283" s="4"/>
      <c r="V283" s="3"/>
      <c r="W283" s="3"/>
    </row>
    <row r="284" spans="1:23" s="5" customFormat="1">
      <c r="A284" s="6"/>
      <c r="B284" s="33"/>
      <c r="C284" s="35"/>
      <c r="E284" s="39"/>
      <c r="G284" s="40"/>
      <c r="H284" s="15"/>
      <c r="I284" s="17"/>
      <c r="J284" s="10"/>
      <c r="M284" s="39"/>
      <c r="O284" s="39"/>
      <c r="Q284" s="39"/>
      <c r="R284" s="28"/>
      <c r="S284" s="28"/>
      <c r="T284" s="28"/>
      <c r="U284" s="4"/>
      <c r="V284" s="3"/>
      <c r="W284" s="3"/>
    </row>
    <row r="285" spans="1:23" s="5" customFormat="1">
      <c r="A285" s="6"/>
      <c r="B285" s="33"/>
      <c r="C285" s="35"/>
      <c r="E285" s="39"/>
      <c r="G285" s="40"/>
      <c r="H285" s="15"/>
      <c r="I285" s="17"/>
      <c r="J285" s="10"/>
      <c r="M285" s="39"/>
      <c r="O285" s="39"/>
      <c r="Q285" s="39"/>
      <c r="R285" s="28"/>
      <c r="S285" s="28"/>
      <c r="T285" s="28"/>
      <c r="U285" s="4"/>
      <c r="V285" s="3"/>
      <c r="W285" s="3"/>
    </row>
    <row r="286" spans="1:23" s="5" customFormat="1">
      <c r="A286" s="6"/>
      <c r="B286" s="33"/>
      <c r="C286" s="35"/>
      <c r="E286" s="39"/>
      <c r="G286" s="40"/>
      <c r="H286" s="15"/>
      <c r="I286" s="17"/>
      <c r="J286" s="10"/>
      <c r="M286" s="39"/>
      <c r="O286" s="39"/>
      <c r="Q286" s="39"/>
      <c r="R286" s="28"/>
      <c r="S286" s="28"/>
      <c r="T286" s="28"/>
      <c r="U286" s="4"/>
      <c r="V286" s="3"/>
      <c r="W286" s="3"/>
    </row>
    <row r="287" spans="1:23" s="5" customFormat="1">
      <c r="A287" s="6"/>
      <c r="B287" s="33"/>
      <c r="C287" s="35"/>
      <c r="E287" s="39"/>
      <c r="G287" s="40"/>
      <c r="H287" s="14"/>
      <c r="I287" s="17"/>
      <c r="J287" s="10"/>
      <c r="M287" s="39"/>
      <c r="O287" s="39"/>
      <c r="Q287" s="39"/>
      <c r="R287" s="28"/>
      <c r="S287" s="28"/>
      <c r="T287" s="28"/>
      <c r="U287" s="4"/>
      <c r="V287" s="3"/>
      <c r="W287" s="3"/>
    </row>
    <row r="288" spans="1:23" s="5" customFormat="1">
      <c r="A288" s="6"/>
      <c r="B288" s="33"/>
      <c r="C288" s="35"/>
      <c r="E288" s="39"/>
      <c r="G288" s="40"/>
      <c r="H288" s="15"/>
      <c r="I288" s="17"/>
      <c r="J288" s="10"/>
      <c r="M288" s="39"/>
      <c r="O288" s="39"/>
      <c r="Q288" s="39"/>
      <c r="R288" s="28"/>
      <c r="S288" s="28"/>
      <c r="T288" s="28"/>
      <c r="U288" s="4"/>
      <c r="V288" s="3"/>
      <c r="W288" s="3"/>
    </row>
    <row r="289" spans="1:23" s="5" customFormat="1">
      <c r="A289" s="6"/>
      <c r="B289" s="33"/>
      <c r="C289" s="35"/>
      <c r="E289" s="39"/>
      <c r="G289" s="40"/>
      <c r="H289" s="15"/>
      <c r="I289" s="17"/>
      <c r="J289" s="10"/>
      <c r="M289" s="39"/>
      <c r="O289" s="39"/>
      <c r="Q289" s="39"/>
      <c r="R289" s="28"/>
      <c r="S289" s="28"/>
      <c r="T289" s="28"/>
      <c r="U289" s="4"/>
      <c r="V289" s="3"/>
      <c r="W289" s="3"/>
    </row>
    <row r="290" spans="1:23" s="5" customFormat="1">
      <c r="A290" s="6"/>
      <c r="B290" s="33"/>
      <c r="C290" s="35"/>
      <c r="E290" s="39"/>
      <c r="G290" s="40"/>
      <c r="H290" s="14"/>
      <c r="I290" s="17"/>
      <c r="J290" s="10"/>
      <c r="M290" s="39"/>
      <c r="O290" s="39"/>
      <c r="Q290" s="39"/>
      <c r="R290" s="28"/>
      <c r="S290" s="28"/>
      <c r="T290" s="28"/>
      <c r="U290" s="4"/>
      <c r="V290" s="3"/>
      <c r="W290" s="3"/>
    </row>
    <row r="291" spans="1:23" s="5" customFormat="1">
      <c r="A291" s="6"/>
      <c r="B291" s="33"/>
      <c r="C291" s="35"/>
      <c r="E291" s="39"/>
      <c r="G291" s="40"/>
      <c r="H291" s="15"/>
      <c r="I291" s="17"/>
      <c r="J291" s="10"/>
      <c r="M291" s="39"/>
      <c r="O291" s="39"/>
      <c r="Q291" s="39"/>
      <c r="R291" s="28"/>
      <c r="S291" s="28"/>
      <c r="T291" s="28"/>
      <c r="U291" s="4"/>
      <c r="V291" s="3"/>
      <c r="W291" s="3"/>
    </row>
    <row r="292" spans="1:23" s="5" customFormat="1">
      <c r="A292" s="6"/>
      <c r="B292" s="33"/>
      <c r="C292" s="35"/>
      <c r="E292" s="39"/>
      <c r="G292" s="40"/>
      <c r="H292" s="15"/>
      <c r="I292" s="17"/>
      <c r="J292" s="10"/>
      <c r="M292" s="39"/>
      <c r="O292" s="39"/>
      <c r="Q292" s="39"/>
      <c r="R292" s="28"/>
      <c r="S292" s="28"/>
      <c r="T292" s="28"/>
      <c r="U292" s="4"/>
      <c r="V292" s="3"/>
      <c r="W292" s="3"/>
    </row>
    <row r="293" spans="1:23" s="5" customFormat="1">
      <c r="A293" s="6"/>
      <c r="B293" s="33"/>
      <c r="C293" s="35"/>
      <c r="E293" s="39"/>
      <c r="G293" s="40"/>
      <c r="H293" s="15"/>
      <c r="I293" s="17"/>
      <c r="J293" s="10"/>
      <c r="M293" s="39"/>
      <c r="O293" s="39"/>
      <c r="Q293" s="39"/>
      <c r="R293" s="28"/>
      <c r="S293" s="28"/>
      <c r="T293" s="28"/>
      <c r="U293" s="4"/>
      <c r="V293" s="3"/>
      <c r="W293" s="3"/>
    </row>
    <row r="294" spans="1:23" s="5" customFormat="1">
      <c r="A294" s="6"/>
      <c r="B294" s="33"/>
      <c r="C294" s="35"/>
      <c r="E294" s="39"/>
      <c r="G294" s="40"/>
      <c r="H294" s="15"/>
      <c r="I294" s="17"/>
      <c r="J294" s="10"/>
      <c r="M294" s="39"/>
      <c r="O294" s="39"/>
      <c r="Q294" s="39"/>
      <c r="R294" s="28"/>
      <c r="S294" s="28"/>
      <c r="T294" s="28"/>
      <c r="U294" s="4"/>
      <c r="V294" s="3"/>
      <c r="W294" s="3"/>
    </row>
    <row r="295" spans="1:23" s="5" customFormat="1">
      <c r="A295" s="6"/>
      <c r="B295" s="33"/>
      <c r="C295" s="35"/>
      <c r="E295" s="39"/>
      <c r="G295" s="40"/>
      <c r="H295" s="14"/>
      <c r="I295" s="17"/>
      <c r="J295" s="10"/>
      <c r="M295" s="39"/>
      <c r="O295" s="39"/>
      <c r="Q295" s="39"/>
      <c r="R295" s="28"/>
      <c r="S295" s="28"/>
      <c r="T295" s="28"/>
      <c r="U295" s="4"/>
      <c r="V295" s="3"/>
      <c r="W295" s="3"/>
    </row>
    <row r="296" spans="1:23" s="5" customFormat="1">
      <c r="A296" s="6"/>
      <c r="B296" s="33"/>
      <c r="C296" s="35"/>
      <c r="E296" s="39"/>
      <c r="G296" s="40"/>
      <c r="H296" s="15"/>
      <c r="I296" s="17"/>
      <c r="J296" s="10"/>
      <c r="M296" s="39"/>
      <c r="O296" s="39"/>
      <c r="Q296" s="39"/>
      <c r="R296" s="28"/>
      <c r="S296" s="28"/>
      <c r="T296" s="28"/>
      <c r="U296" s="4"/>
      <c r="V296" s="3"/>
      <c r="W296" s="3"/>
    </row>
    <row r="297" spans="1:23" s="5" customFormat="1">
      <c r="A297" s="6"/>
      <c r="B297" s="33"/>
      <c r="C297" s="35"/>
      <c r="E297" s="39"/>
      <c r="G297" s="40"/>
      <c r="H297" s="15"/>
      <c r="I297" s="17"/>
      <c r="J297" s="10"/>
      <c r="M297" s="39"/>
      <c r="O297" s="39"/>
      <c r="Q297" s="39"/>
      <c r="R297" s="28"/>
      <c r="S297" s="28"/>
      <c r="T297" s="28"/>
      <c r="U297" s="4"/>
      <c r="V297" s="3"/>
      <c r="W297" s="3"/>
    </row>
    <row r="298" spans="1:23" s="5" customFormat="1">
      <c r="A298" s="6"/>
      <c r="B298" s="33"/>
      <c r="C298" s="35"/>
      <c r="E298" s="39"/>
      <c r="G298" s="40"/>
      <c r="H298" s="15"/>
      <c r="I298" s="17"/>
      <c r="J298" s="10"/>
      <c r="M298" s="39"/>
      <c r="O298" s="39"/>
      <c r="Q298" s="39"/>
      <c r="R298" s="28"/>
      <c r="S298" s="28"/>
      <c r="T298" s="28"/>
      <c r="U298" s="4"/>
      <c r="V298" s="3"/>
      <c r="W298" s="3"/>
    </row>
    <row r="299" spans="1:23" s="5" customFormat="1">
      <c r="A299" s="6"/>
      <c r="B299" s="33"/>
      <c r="C299" s="35"/>
      <c r="E299" s="39"/>
      <c r="G299" s="40"/>
      <c r="H299" s="15"/>
      <c r="I299" s="17"/>
      <c r="J299" s="10"/>
      <c r="M299" s="39"/>
      <c r="O299" s="39"/>
      <c r="Q299" s="39"/>
      <c r="R299" s="28"/>
      <c r="S299" s="28"/>
      <c r="T299" s="28"/>
      <c r="U299" s="4"/>
      <c r="V299" s="3"/>
      <c r="W299" s="3"/>
    </row>
    <row r="300" spans="1:23" s="5" customFormat="1">
      <c r="A300" s="6"/>
      <c r="B300" s="33"/>
      <c r="C300" s="35"/>
      <c r="E300" s="39"/>
      <c r="G300" s="40"/>
      <c r="H300" s="15"/>
      <c r="I300" s="17"/>
      <c r="J300" s="10"/>
      <c r="M300" s="39"/>
      <c r="O300" s="39"/>
      <c r="Q300" s="39"/>
      <c r="R300" s="28"/>
      <c r="S300" s="28"/>
      <c r="T300" s="28"/>
      <c r="U300" s="4"/>
      <c r="V300" s="3"/>
      <c r="W300" s="3"/>
    </row>
    <row r="301" spans="1:23" s="5" customFormat="1">
      <c r="A301" s="6"/>
      <c r="B301" s="33"/>
      <c r="C301" s="35"/>
      <c r="E301" s="39"/>
      <c r="G301" s="40"/>
      <c r="H301" s="15"/>
      <c r="I301" s="17"/>
      <c r="J301" s="10"/>
      <c r="M301" s="39"/>
      <c r="O301" s="39"/>
      <c r="Q301" s="39"/>
      <c r="R301" s="28"/>
      <c r="S301" s="28"/>
      <c r="T301" s="28"/>
      <c r="U301" s="4"/>
      <c r="V301" s="3"/>
      <c r="W301" s="3"/>
    </row>
    <row r="302" spans="1:23" s="5" customFormat="1">
      <c r="A302" s="6"/>
      <c r="B302" s="33"/>
      <c r="C302" s="35"/>
      <c r="E302" s="39"/>
      <c r="G302" s="40"/>
      <c r="H302" s="15"/>
      <c r="I302" s="17"/>
      <c r="J302" s="10"/>
      <c r="M302" s="39"/>
      <c r="O302" s="39"/>
      <c r="Q302" s="39"/>
      <c r="R302" s="28"/>
      <c r="S302" s="28"/>
      <c r="T302" s="28"/>
      <c r="U302" s="4"/>
      <c r="V302" s="3"/>
      <c r="W302" s="3"/>
    </row>
    <row r="303" spans="1:23" s="5" customFormat="1">
      <c r="A303" s="6"/>
      <c r="B303" s="33"/>
      <c r="C303" s="35"/>
      <c r="E303" s="39"/>
      <c r="G303" s="40"/>
      <c r="H303" s="15"/>
      <c r="I303" s="17"/>
      <c r="J303" s="10"/>
      <c r="M303" s="39"/>
      <c r="O303" s="39"/>
      <c r="Q303" s="39"/>
      <c r="R303" s="28"/>
      <c r="S303" s="28"/>
      <c r="T303" s="28"/>
      <c r="U303" s="4"/>
      <c r="V303" s="3"/>
      <c r="W303" s="3"/>
    </row>
    <row r="304" spans="1:23" s="5" customFormat="1">
      <c r="A304" s="6"/>
      <c r="B304" s="33"/>
      <c r="C304" s="35"/>
      <c r="E304" s="39"/>
      <c r="G304" s="40"/>
      <c r="H304" s="15"/>
      <c r="I304" s="17"/>
      <c r="J304" s="10"/>
      <c r="M304" s="39"/>
      <c r="O304" s="39"/>
      <c r="Q304" s="39"/>
      <c r="R304" s="28"/>
      <c r="S304" s="28"/>
      <c r="T304" s="28"/>
      <c r="U304" s="4"/>
      <c r="V304" s="3"/>
      <c r="W304" s="3"/>
    </row>
    <row r="305" spans="1:23" s="5" customFormat="1">
      <c r="A305" s="6"/>
      <c r="B305" s="33"/>
      <c r="C305" s="35"/>
      <c r="E305" s="39"/>
      <c r="G305" s="40"/>
      <c r="H305" s="15"/>
      <c r="I305" s="17"/>
      <c r="J305" s="10"/>
      <c r="M305" s="39"/>
      <c r="O305" s="39"/>
      <c r="Q305" s="39"/>
      <c r="R305" s="28"/>
      <c r="S305" s="28"/>
      <c r="T305" s="28"/>
      <c r="U305" s="4"/>
      <c r="V305" s="3"/>
      <c r="W305" s="3"/>
    </row>
    <row r="306" spans="1:23" s="5" customFormat="1">
      <c r="A306" s="6"/>
      <c r="B306" s="33"/>
      <c r="C306" s="35"/>
      <c r="E306" s="39"/>
      <c r="G306" s="40"/>
      <c r="H306" s="14"/>
      <c r="I306" s="17"/>
      <c r="J306" s="10"/>
      <c r="M306" s="39"/>
      <c r="O306" s="39"/>
      <c r="Q306" s="39"/>
      <c r="R306" s="28"/>
      <c r="S306" s="28"/>
      <c r="T306" s="28"/>
      <c r="U306" s="4"/>
      <c r="V306" s="3"/>
      <c r="W306" s="3"/>
    </row>
    <row r="307" spans="1:23" s="5" customFormat="1">
      <c r="A307" s="6"/>
      <c r="B307" s="33"/>
      <c r="C307" s="35"/>
      <c r="E307" s="39"/>
      <c r="G307" s="40"/>
      <c r="H307" s="15"/>
      <c r="I307" s="17"/>
      <c r="J307" s="10"/>
      <c r="M307" s="39"/>
      <c r="O307" s="39"/>
      <c r="Q307" s="39"/>
      <c r="R307" s="28"/>
      <c r="S307" s="28"/>
      <c r="T307" s="28"/>
      <c r="U307" s="4"/>
      <c r="V307" s="3"/>
      <c r="W307" s="3"/>
    </row>
    <row r="308" spans="1:23" s="5" customFormat="1">
      <c r="A308" s="6"/>
      <c r="B308" s="33"/>
      <c r="C308" s="35"/>
      <c r="E308" s="39"/>
      <c r="G308" s="40"/>
      <c r="H308" s="15"/>
      <c r="I308" s="17"/>
      <c r="J308" s="10"/>
      <c r="M308" s="39"/>
      <c r="O308" s="39"/>
      <c r="Q308" s="39"/>
      <c r="R308" s="28"/>
      <c r="S308" s="28"/>
      <c r="T308" s="28"/>
      <c r="U308" s="4"/>
      <c r="V308" s="3"/>
      <c r="W308" s="3"/>
    </row>
    <row r="309" spans="1:23" s="5" customFormat="1">
      <c r="A309" s="6"/>
      <c r="B309" s="33"/>
      <c r="C309" s="35"/>
      <c r="E309" s="39"/>
      <c r="G309" s="40"/>
      <c r="H309" s="15"/>
      <c r="I309" s="17"/>
      <c r="J309" s="10"/>
      <c r="M309" s="39"/>
      <c r="O309" s="39"/>
      <c r="Q309" s="39"/>
      <c r="R309" s="28"/>
      <c r="S309" s="28"/>
      <c r="T309" s="28"/>
      <c r="U309" s="4"/>
      <c r="V309" s="3"/>
      <c r="W309" s="3"/>
    </row>
    <row r="310" spans="1:23" s="5" customFormat="1">
      <c r="A310" s="6"/>
      <c r="B310" s="33"/>
      <c r="C310" s="35"/>
      <c r="E310" s="39"/>
      <c r="G310" s="40"/>
      <c r="H310" s="15"/>
      <c r="I310" s="17"/>
      <c r="J310" s="10"/>
      <c r="M310" s="39"/>
      <c r="O310" s="39"/>
      <c r="Q310" s="39"/>
      <c r="R310" s="28"/>
      <c r="S310" s="28"/>
      <c r="T310" s="28"/>
      <c r="U310" s="4"/>
      <c r="V310" s="3"/>
      <c r="W310" s="3"/>
    </row>
    <row r="311" spans="1:23" s="5" customFormat="1">
      <c r="A311" s="6"/>
      <c r="B311" s="33"/>
      <c r="C311" s="35"/>
      <c r="E311" s="39"/>
      <c r="G311" s="40"/>
      <c r="H311" s="14"/>
      <c r="I311" s="17"/>
      <c r="J311" s="10"/>
      <c r="M311" s="39"/>
      <c r="O311" s="39"/>
      <c r="Q311" s="39"/>
      <c r="R311" s="28"/>
      <c r="S311" s="28"/>
      <c r="T311" s="28"/>
      <c r="U311" s="4"/>
      <c r="V311" s="3"/>
      <c r="W311" s="3"/>
    </row>
    <row r="312" spans="1:23" s="5" customFormat="1">
      <c r="A312" s="6"/>
      <c r="B312" s="33"/>
      <c r="C312" s="35"/>
      <c r="E312" s="39"/>
      <c r="G312" s="40"/>
      <c r="H312" s="15"/>
      <c r="I312" s="17"/>
      <c r="J312" s="10"/>
      <c r="M312" s="39"/>
      <c r="O312" s="39"/>
      <c r="Q312" s="39"/>
      <c r="R312" s="28"/>
      <c r="S312" s="28"/>
      <c r="T312" s="28"/>
      <c r="U312" s="4"/>
      <c r="V312" s="3"/>
      <c r="W312" s="3"/>
    </row>
    <row r="313" spans="1:23" s="5" customFormat="1">
      <c r="A313" s="6"/>
      <c r="B313" s="33"/>
      <c r="C313" s="35"/>
      <c r="E313" s="39"/>
      <c r="G313" s="40"/>
      <c r="H313" s="15"/>
      <c r="I313" s="17"/>
      <c r="J313" s="10"/>
      <c r="M313" s="39"/>
      <c r="O313" s="39"/>
      <c r="Q313" s="39"/>
      <c r="R313" s="28"/>
      <c r="S313" s="28"/>
      <c r="T313" s="28"/>
      <c r="U313" s="4"/>
      <c r="V313" s="3"/>
      <c r="W313" s="3"/>
    </row>
    <row r="314" spans="1:23" s="5" customFormat="1">
      <c r="A314" s="6"/>
      <c r="B314" s="33"/>
      <c r="C314" s="35"/>
      <c r="E314" s="39"/>
      <c r="G314" s="40"/>
      <c r="H314" s="15"/>
      <c r="I314" s="17"/>
      <c r="J314" s="10"/>
      <c r="M314" s="39"/>
      <c r="O314" s="39"/>
      <c r="Q314" s="39"/>
      <c r="R314" s="28"/>
      <c r="S314" s="28"/>
      <c r="T314" s="28"/>
      <c r="U314" s="4"/>
      <c r="V314" s="3"/>
      <c r="W314" s="3"/>
    </row>
    <row r="315" spans="1:23" s="5" customFormat="1">
      <c r="A315" s="6"/>
      <c r="B315" s="33"/>
      <c r="C315" s="35"/>
      <c r="E315" s="39"/>
      <c r="G315" s="40"/>
      <c r="H315" s="15"/>
      <c r="I315" s="17"/>
      <c r="J315" s="10"/>
      <c r="M315" s="39"/>
      <c r="O315" s="39"/>
      <c r="Q315" s="39"/>
      <c r="R315" s="28"/>
      <c r="S315" s="28"/>
      <c r="T315" s="28"/>
      <c r="U315" s="4"/>
      <c r="V315" s="3"/>
      <c r="W315" s="3"/>
    </row>
    <row r="316" spans="1:23" s="5" customFormat="1">
      <c r="A316" s="6"/>
      <c r="B316" s="33"/>
      <c r="C316" s="35"/>
      <c r="E316" s="39"/>
      <c r="G316" s="40"/>
      <c r="H316" s="14"/>
      <c r="I316" s="17"/>
      <c r="J316" s="10"/>
      <c r="M316" s="39"/>
      <c r="O316" s="39"/>
      <c r="Q316" s="39"/>
      <c r="R316" s="28"/>
      <c r="S316" s="28"/>
      <c r="T316" s="28"/>
      <c r="U316" s="4"/>
      <c r="V316" s="3"/>
      <c r="W316" s="3"/>
    </row>
    <row r="317" spans="1:23" s="5" customFormat="1">
      <c r="A317" s="6"/>
      <c r="B317" s="33"/>
      <c r="C317" s="35"/>
      <c r="E317" s="39"/>
      <c r="G317" s="40"/>
      <c r="H317" s="15"/>
      <c r="I317" s="17"/>
      <c r="J317" s="10"/>
      <c r="M317" s="39"/>
      <c r="O317" s="39"/>
      <c r="Q317" s="39"/>
      <c r="R317" s="28"/>
      <c r="S317" s="28"/>
      <c r="T317" s="28"/>
      <c r="U317" s="4"/>
      <c r="V317" s="3"/>
      <c r="W317" s="3"/>
    </row>
    <row r="318" spans="1:23" s="5" customFormat="1">
      <c r="A318" s="6"/>
      <c r="B318" s="33"/>
      <c r="C318" s="35"/>
      <c r="E318" s="39"/>
      <c r="G318" s="40"/>
      <c r="H318" s="15"/>
      <c r="I318" s="17"/>
      <c r="J318" s="10"/>
      <c r="M318" s="39"/>
      <c r="O318" s="39"/>
      <c r="Q318" s="39"/>
      <c r="R318" s="28"/>
      <c r="S318" s="28"/>
      <c r="T318" s="28"/>
      <c r="U318" s="4"/>
      <c r="V318" s="3"/>
      <c r="W318" s="3"/>
    </row>
    <row r="319" spans="1:23" s="5" customFormat="1">
      <c r="A319" s="6"/>
      <c r="B319" s="33"/>
      <c r="C319" s="35"/>
      <c r="E319" s="39"/>
      <c r="G319" s="40"/>
      <c r="H319" s="15"/>
      <c r="I319" s="17"/>
      <c r="J319" s="10"/>
      <c r="M319" s="39"/>
      <c r="O319" s="39"/>
      <c r="Q319" s="39"/>
      <c r="R319" s="28"/>
      <c r="S319" s="28"/>
      <c r="T319" s="28"/>
      <c r="U319" s="4"/>
      <c r="V319" s="3"/>
      <c r="W319" s="3"/>
    </row>
    <row r="320" spans="1:23" s="5" customFormat="1">
      <c r="A320" s="6"/>
      <c r="B320" s="33"/>
      <c r="C320" s="35"/>
      <c r="E320" s="39"/>
      <c r="G320" s="40"/>
      <c r="H320" s="15"/>
      <c r="I320" s="17"/>
      <c r="J320" s="10"/>
      <c r="M320" s="39"/>
      <c r="O320" s="39"/>
      <c r="Q320" s="39"/>
      <c r="R320" s="28"/>
      <c r="S320" s="28"/>
      <c r="T320" s="28"/>
      <c r="U320" s="4"/>
      <c r="V320" s="3"/>
      <c r="W320" s="3"/>
    </row>
    <row r="321" spans="1:23" s="5" customFormat="1">
      <c r="A321" s="6"/>
      <c r="B321" s="33"/>
      <c r="C321" s="35"/>
      <c r="E321" s="39"/>
      <c r="G321" s="40"/>
      <c r="H321" s="15"/>
      <c r="I321" s="17"/>
      <c r="J321" s="10"/>
      <c r="M321" s="39"/>
      <c r="O321" s="39"/>
      <c r="Q321" s="39"/>
      <c r="R321" s="28"/>
      <c r="S321" s="28"/>
      <c r="T321" s="28"/>
      <c r="U321" s="4"/>
      <c r="V321" s="3"/>
      <c r="W321" s="3"/>
    </row>
    <row r="322" spans="1:23" s="5" customFormat="1">
      <c r="A322" s="6"/>
      <c r="B322" s="33"/>
      <c r="C322" s="35"/>
      <c r="E322" s="39"/>
      <c r="G322" s="40"/>
      <c r="H322" s="15"/>
      <c r="I322" s="17"/>
      <c r="J322" s="10"/>
      <c r="M322" s="39"/>
      <c r="O322" s="39"/>
      <c r="Q322" s="39"/>
      <c r="R322" s="28"/>
      <c r="S322" s="28"/>
      <c r="T322" s="28"/>
      <c r="U322" s="4"/>
      <c r="V322" s="3"/>
      <c r="W322" s="3"/>
    </row>
    <row r="323" spans="1:23" s="5" customFormat="1">
      <c r="A323" s="6"/>
      <c r="B323" s="33"/>
      <c r="C323" s="35"/>
      <c r="E323" s="39"/>
      <c r="G323" s="40"/>
      <c r="H323" s="15"/>
      <c r="I323" s="17"/>
      <c r="J323" s="10"/>
      <c r="M323" s="39"/>
      <c r="O323" s="39"/>
      <c r="Q323" s="39"/>
      <c r="R323" s="28"/>
      <c r="S323" s="28"/>
      <c r="T323" s="28"/>
      <c r="U323" s="4"/>
      <c r="V323" s="3"/>
      <c r="W323" s="3"/>
    </row>
    <row r="324" spans="1:23" s="5" customFormat="1">
      <c r="A324" s="6"/>
      <c r="B324" s="33"/>
      <c r="C324" s="35"/>
      <c r="E324" s="39"/>
      <c r="G324" s="40"/>
      <c r="H324" s="15"/>
      <c r="I324" s="17"/>
      <c r="J324" s="10"/>
      <c r="M324" s="39"/>
      <c r="O324" s="39"/>
      <c r="Q324" s="39"/>
      <c r="R324" s="28"/>
      <c r="S324" s="28"/>
      <c r="T324" s="28"/>
      <c r="U324" s="4"/>
      <c r="V324" s="3"/>
      <c r="W324" s="3"/>
    </row>
    <row r="325" spans="1:23" s="5" customFormat="1">
      <c r="A325" s="6"/>
      <c r="B325" s="33"/>
      <c r="C325" s="35"/>
      <c r="E325" s="39"/>
      <c r="G325" s="40"/>
      <c r="H325" s="15"/>
      <c r="I325" s="17"/>
      <c r="J325" s="10"/>
      <c r="M325" s="39"/>
      <c r="O325" s="39"/>
      <c r="Q325" s="39"/>
      <c r="R325" s="28"/>
      <c r="S325" s="28"/>
      <c r="T325" s="28"/>
      <c r="U325" s="4"/>
      <c r="V325" s="3"/>
      <c r="W325" s="3"/>
    </row>
    <row r="326" spans="1:23" s="5" customFormat="1">
      <c r="A326" s="6"/>
      <c r="B326" s="33"/>
      <c r="C326" s="35"/>
      <c r="E326" s="39"/>
      <c r="G326" s="40"/>
      <c r="H326" s="15"/>
      <c r="I326" s="17"/>
      <c r="J326" s="10"/>
      <c r="M326" s="39"/>
      <c r="O326" s="39"/>
      <c r="Q326" s="39"/>
      <c r="R326" s="28"/>
      <c r="S326" s="28"/>
      <c r="T326" s="28"/>
      <c r="U326" s="4"/>
      <c r="V326" s="3"/>
      <c r="W326" s="3"/>
    </row>
    <row r="327" spans="1:23" s="5" customFormat="1">
      <c r="A327" s="6"/>
      <c r="B327" s="33"/>
      <c r="C327" s="35"/>
      <c r="E327" s="39"/>
      <c r="G327" s="40"/>
      <c r="H327" s="15"/>
      <c r="I327" s="17"/>
      <c r="J327" s="10"/>
      <c r="M327" s="39"/>
      <c r="O327" s="39"/>
      <c r="Q327" s="39"/>
      <c r="R327" s="28"/>
      <c r="S327" s="28"/>
      <c r="T327" s="28"/>
      <c r="U327" s="4"/>
      <c r="V327" s="3"/>
      <c r="W327" s="3"/>
    </row>
    <row r="328" spans="1:23" s="5" customFormat="1">
      <c r="A328" s="6"/>
      <c r="B328" s="33"/>
      <c r="C328" s="35"/>
      <c r="E328" s="39"/>
      <c r="G328" s="40"/>
      <c r="H328" s="15"/>
      <c r="I328" s="17"/>
      <c r="J328" s="10"/>
      <c r="M328" s="39"/>
      <c r="O328" s="39"/>
      <c r="Q328" s="39"/>
      <c r="R328" s="28"/>
      <c r="S328" s="28"/>
      <c r="T328" s="28"/>
      <c r="U328" s="4"/>
      <c r="V328" s="3"/>
      <c r="W328" s="3"/>
    </row>
    <row r="329" spans="1:23" s="5" customFormat="1">
      <c r="A329" s="6"/>
      <c r="B329" s="33"/>
      <c r="C329" s="35"/>
      <c r="E329" s="39"/>
      <c r="G329" s="40"/>
      <c r="H329" s="15"/>
      <c r="I329" s="17"/>
      <c r="J329" s="10"/>
      <c r="M329" s="39"/>
      <c r="O329" s="39"/>
      <c r="Q329" s="39"/>
      <c r="R329" s="28"/>
      <c r="S329" s="28"/>
      <c r="T329" s="28"/>
      <c r="U329" s="4"/>
      <c r="V329" s="3"/>
      <c r="W329" s="3"/>
    </row>
    <row r="330" spans="1:23" s="5" customFormat="1">
      <c r="A330" s="6"/>
      <c r="B330" s="33"/>
      <c r="C330" s="35"/>
      <c r="E330" s="39"/>
      <c r="G330" s="40"/>
      <c r="H330" s="15"/>
      <c r="I330" s="17"/>
      <c r="J330" s="10"/>
      <c r="M330" s="39"/>
      <c r="O330" s="39"/>
      <c r="Q330" s="39"/>
      <c r="R330" s="28"/>
      <c r="S330" s="28"/>
      <c r="T330" s="28"/>
      <c r="U330" s="4"/>
      <c r="V330" s="3"/>
      <c r="W330" s="3"/>
    </row>
    <row r="331" spans="1:23" s="5" customFormat="1">
      <c r="A331" s="6"/>
      <c r="B331" s="33"/>
      <c r="C331" s="35"/>
      <c r="E331" s="39"/>
      <c r="G331" s="40"/>
      <c r="H331" s="15"/>
      <c r="I331" s="17"/>
      <c r="J331" s="10"/>
      <c r="M331" s="39"/>
      <c r="O331" s="39"/>
      <c r="Q331" s="39"/>
      <c r="R331" s="28"/>
      <c r="S331" s="28"/>
      <c r="T331" s="28"/>
      <c r="U331" s="4"/>
      <c r="V331" s="3"/>
      <c r="W331" s="3"/>
    </row>
    <row r="332" spans="1:23" s="5" customFormat="1">
      <c r="A332" s="6"/>
      <c r="B332" s="33"/>
      <c r="C332" s="35"/>
      <c r="E332" s="39"/>
      <c r="G332" s="40"/>
      <c r="H332" s="15"/>
      <c r="I332" s="17"/>
      <c r="J332" s="10"/>
      <c r="M332" s="39"/>
      <c r="O332" s="39"/>
      <c r="Q332" s="39"/>
      <c r="R332" s="28"/>
      <c r="S332" s="28"/>
      <c r="T332" s="28"/>
      <c r="U332" s="4"/>
      <c r="V332" s="3"/>
      <c r="W332" s="3"/>
    </row>
    <row r="333" spans="1:23" s="5" customFormat="1">
      <c r="A333" s="6"/>
      <c r="B333" s="33"/>
      <c r="C333" s="35"/>
      <c r="E333" s="39"/>
      <c r="G333" s="40"/>
      <c r="H333" s="15"/>
      <c r="I333" s="17"/>
      <c r="J333" s="10"/>
      <c r="M333" s="39"/>
      <c r="O333" s="39"/>
      <c r="Q333" s="39"/>
      <c r="R333" s="28"/>
      <c r="S333" s="28"/>
      <c r="T333" s="28"/>
      <c r="U333" s="4"/>
      <c r="V333" s="3"/>
      <c r="W333" s="3"/>
    </row>
    <row r="334" spans="1:23" s="5" customFormat="1">
      <c r="A334" s="6"/>
      <c r="B334" s="33"/>
      <c r="C334" s="35"/>
      <c r="E334" s="39"/>
      <c r="G334" s="40"/>
      <c r="H334" s="15"/>
      <c r="I334" s="17"/>
      <c r="J334" s="10"/>
      <c r="M334" s="39"/>
      <c r="O334" s="39"/>
      <c r="Q334" s="39"/>
      <c r="R334" s="28"/>
      <c r="S334" s="28"/>
      <c r="T334" s="28"/>
      <c r="U334" s="4"/>
      <c r="V334" s="3"/>
      <c r="W334" s="3"/>
    </row>
    <row r="335" spans="1:23" s="5" customFormat="1">
      <c r="A335" s="6"/>
      <c r="B335" s="33"/>
      <c r="C335" s="35"/>
      <c r="E335" s="39"/>
      <c r="G335" s="40"/>
      <c r="H335" s="14"/>
      <c r="I335" s="17"/>
      <c r="J335" s="10"/>
      <c r="M335" s="39"/>
      <c r="O335" s="39"/>
      <c r="Q335" s="39"/>
      <c r="R335" s="28"/>
      <c r="S335" s="28"/>
      <c r="T335" s="28"/>
      <c r="U335" s="4"/>
      <c r="V335" s="3"/>
      <c r="W335" s="3"/>
    </row>
    <row r="336" spans="1:23" s="5" customFormat="1">
      <c r="A336" s="6"/>
      <c r="B336" s="33"/>
      <c r="C336" s="35"/>
      <c r="E336" s="39"/>
      <c r="G336" s="40"/>
      <c r="H336" s="15"/>
      <c r="I336" s="17"/>
      <c r="J336" s="10"/>
      <c r="M336" s="39"/>
      <c r="O336" s="39"/>
      <c r="Q336" s="39"/>
      <c r="R336" s="28"/>
      <c r="S336" s="28"/>
      <c r="T336" s="28"/>
      <c r="U336" s="4"/>
      <c r="V336" s="3"/>
      <c r="W336" s="3"/>
    </row>
    <row r="337" spans="1:23" s="5" customFormat="1">
      <c r="A337" s="6"/>
      <c r="B337" s="33"/>
      <c r="C337" s="35"/>
      <c r="E337" s="39"/>
      <c r="G337" s="40"/>
      <c r="H337" s="15"/>
      <c r="I337" s="17"/>
      <c r="J337" s="10"/>
      <c r="M337" s="39"/>
      <c r="O337" s="39"/>
      <c r="Q337" s="39"/>
      <c r="R337" s="28"/>
      <c r="S337" s="28"/>
      <c r="T337" s="28"/>
      <c r="U337" s="4"/>
      <c r="V337" s="3"/>
      <c r="W337" s="3"/>
    </row>
    <row r="338" spans="1:23" s="5" customFormat="1">
      <c r="A338" s="6"/>
      <c r="B338" s="33"/>
      <c r="C338" s="35"/>
      <c r="E338" s="39"/>
      <c r="G338" s="40"/>
      <c r="H338" s="15"/>
      <c r="I338" s="17"/>
      <c r="J338" s="10"/>
      <c r="M338" s="39"/>
      <c r="O338" s="39"/>
      <c r="Q338" s="39"/>
      <c r="R338" s="28"/>
      <c r="S338" s="28"/>
      <c r="T338" s="28"/>
      <c r="U338" s="4"/>
      <c r="V338" s="3"/>
      <c r="W338" s="3"/>
    </row>
    <row r="339" spans="1:23" s="5" customFormat="1">
      <c r="A339" s="6"/>
      <c r="B339" s="33"/>
      <c r="C339" s="35"/>
      <c r="E339" s="39"/>
      <c r="G339" s="40"/>
      <c r="H339" s="15"/>
      <c r="I339" s="17"/>
      <c r="J339" s="10"/>
      <c r="M339" s="39"/>
      <c r="O339" s="39"/>
      <c r="Q339" s="39"/>
      <c r="R339" s="28"/>
      <c r="S339" s="28"/>
      <c r="T339" s="28"/>
      <c r="U339" s="4"/>
      <c r="V339" s="3"/>
      <c r="W339" s="3"/>
    </row>
    <row r="340" spans="1:23" s="5" customFormat="1">
      <c r="A340" s="6"/>
      <c r="B340" s="33"/>
      <c r="C340" s="35"/>
      <c r="E340" s="39"/>
      <c r="G340" s="40"/>
      <c r="H340" s="15"/>
      <c r="I340" s="17"/>
      <c r="J340" s="10"/>
      <c r="M340" s="39"/>
      <c r="O340" s="39"/>
      <c r="Q340" s="39"/>
      <c r="R340" s="28"/>
      <c r="S340" s="28"/>
      <c r="T340" s="28"/>
      <c r="U340" s="4"/>
      <c r="V340" s="3"/>
      <c r="W340" s="3"/>
    </row>
    <row r="341" spans="1:23" s="5" customFormat="1">
      <c r="A341" s="6"/>
      <c r="B341" s="33"/>
      <c r="C341" s="35"/>
      <c r="E341" s="39"/>
      <c r="G341" s="40"/>
      <c r="H341" s="15"/>
      <c r="I341" s="17"/>
      <c r="J341" s="10"/>
      <c r="M341" s="39"/>
      <c r="O341" s="39"/>
      <c r="Q341" s="39"/>
      <c r="R341" s="28"/>
      <c r="S341" s="28"/>
      <c r="T341" s="28"/>
      <c r="U341" s="4"/>
      <c r="V341" s="3"/>
      <c r="W341" s="3"/>
    </row>
    <row r="342" spans="1:23" s="5" customFormat="1">
      <c r="A342" s="6"/>
      <c r="B342" s="33"/>
      <c r="C342" s="35"/>
      <c r="E342" s="39"/>
      <c r="G342" s="40"/>
      <c r="H342" s="15"/>
      <c r="I342" s="17"/>
      <c r="J342" s="10"/>
      <c r="M342" s="39"/>
      <c r="O342" s="39"/>
      <c r="Q342" s="39"/>
      <c r="R342" s="28"/>
      <c r="S342" s="28"/>
      <c r="T342" s="28"/>
      <c r="U342" s="4"/>
      <c r="V342" s="3"/>
      <c r="W342" s="3"/>
    </row>
    <row r="343" spans="1:23" s="5" customFormat="1">
      <c r="A343" s="6"/>
      <c r="B343" s="33"/>
      <c r="C343" s="35"/>
      <c r="E343" s="39"/>
      <c r="G343" s="40"/>
      <c r="H343" s="15"/>
      <c r="I343" s="17"/>
      <c r="J343" s="10"/>
      <c r="M343" s="39"/>
      <c r="O343" s="39"/>
      <c r="Q343" s="39"/>
      <c r="R343" s="28"/>
      <c r="S343" s="28"/>
      <c r="T343" s="28"/>
      <c r="U343" s="4"/>
      <c r="V343" s="3"/>
      <c r="W343" s="3"/>
    </row>
    <row r="344" spans="1:23" s="5" customFormat="1">
      <c r="A344" s="6"/>
      <c r="B344" s="33"/>
      <c r="C344" s="35"/>
      <c r="E344" s="39"/>
      <c r="G344" s="40"/>
      <c r="H344" s="15"/>
      <c r="I344" s="17"/>
      <c r="J344" s="10"/>
      <c r="M344" s="39"/>
      <c r="O344" s="39"/>
      <c r="Q344" s="39"/>
      <c r="R344" s="28"/>
      <c r="S344" s="28"/>
      <c r="T344" s="28"/>
      <c r="U344" s="4"/>
      <c r="V344" s="3"/>
      <c r="W344" s="3"/>
    </row>
    <row r="345" spans="1:23" s="5" customFormat="1">
      <c r="A345" s="6"/>
      <c r="B345" s="33"/>
      <c r="C345" s="35"/>
      <c r="E345" s="39"/>
      <c r="G345" s="40"/>
      <c r="H345" s="15"/>
      <c r="I345" s="17"/>
      <c r="J345" s="10"/>
      <c r="M345" s="39"/>
      <c r="O345" s="39"/>
      <c r="Q345" s="39"/>
      <c r="R345" s="28"/>
      <c r="S345" s="28"/>
      <c r="T345" s="28"/>
      <c r="U345" s="4"/>
      <c r="V345" s="3"/>
      <c r="W345" s="3"/>
    </row>
    <row r="346" spans="1:23" s="5" customFormat="1">
      <c r="A346" s="6"/>
      <c r="B346" s="33"/>
      <c r="C346" s="35"/>
      <c r="E346" s="39"/>
      <c r="G346" s="40"/>
      <c r="H346" s="15"/>
      <c r="I346" s="17"/>
      <c r="J346" s="10"/>
      <c r="M346" s="39"/>
      <c r="O346" s="39"/>
      <c r="Q346" s="39"/>
      <c r="R346" s="28"/>
      <c r="S346" s="28"/>
      <c r="T346" s="28"/>
      <c r="U346" s="4"/>
      <c r="V346" s="3"/>
      <c r="W346" s="3"/>
    </row>
    <row r="347" spans="1:23" s="5" customFormat="1">
      <c r="A347" s="6"/>
      <c r="B347" s="33"/>
      <c r="C347" s="35"/>
      <c r="E347" s="39"/>
      <c r="G347" s="40"/>
      <c r="H347" s="15"/>
      <c r="I347" s="17"/>
      <c r="J347" s="10"/>
      <c r="M347" s="39"/>
      <c r="O347" s="39"/>
      <c r="Q347" s="39"/>
      <c r="R347" s="28"/>
      <c r="S347" s="28"/>
      <c r="T347" s="28"/>
      <c r="U347" s="4"/>
      <c r="V347" s="3"/>
      <c r="W347" s="3"/>
    </row>
    <row r="348" spans="1:23" s="5" customFormat="1">
      <c r="A348" s="6"/>
      <c r="B348" s="33"/>
      <c r="C348" s="35"/>
      <c r="E348" s="39"/>
      <c r="G348" s="40"/>
      <c r="H348" s="15"/>
      <c r="I348" s="17"/>
      <c r="J348" s="10"/>
      <c r="M348" s="39"/>
      <c r="O348" s="39"/>
      <c r="Q348" s="39"/>
      <c r="R348" s="28"/>
      <c r="S348" s="28"/>
      <c r="T348" s="28"/>
      <c r="U348" s="4"/>
      <c r="V348" s="3"/>
      <c r="W348" s="3"/>
    </row>
    <row r="349" spans="1:23" s="5" customFormat="1">
      <c r="A349" s="6"/>
      <c r="B349" s="33"/>
      <c r="C349" s="35"/>
      <c r="E349" s="39"/>
      <c r="G349" s="40"/>
      <c r="H349" s="14"/>
      <c r="I349" s="17"/>
      <c r="J349" s="10"/>
      <c r="M349" s="39"/>
      <c r="O349" s="39"/>
      <c r="Q349" s="39"/>
      <c r="R349" s="28"/>
      <c r="S349" s="28"/>
      <c r="T349" s="28"/>
      <c r="U349" s="4"/>
      <c r="V349" s="3"/>
      <c r="W349" s="3"/>
    </row>
    <row r="350" spans="1:23" s="5" customFormat="1">
      <c r="A350" s="6"/>
      <c r="B350" s="33"/>
      <c r="C350" s="35"/>
      <c r="E350" s="39"/>
      <c r="G350" s="40"/>
      <c r="H350" s="14"/>
      <c r="I350" s="17"/>
      <c r="J350" s="10"/>
      <c r="M350" s="39"/>
      <c r="O350" s="39"/>
      <c r="Q350" s="39"/>
      <c r="R350" s="28"/>
      <c r="S350" s="28"/>
      <c r="T350" s="28"/>
      <c r="U350" s="4"/>
      <c r="V350" s="3"/>
      <c r="W350" s="3"/>
    </row>
    <row r="351" spans="1:23" s="5" customFormat="1">
      <c r="A351" s="20"/>
      <c r="B351" s="33"/>
      <c r="C351" s="35"/>
      <c r="D351" s="1"/>
      <c r="E351" s="39"/>
      <c r="F351" s="1"/>
      <c r="G351" s="40"/>
      <c r="H351" s="12"/>
      <c r="I351" s="9"/>
      <c r="J351" s="12"/>
      <c r="L351" s="1"/>
      <c r="M351" s="39"/>
      <c r="N351" s="1"/>
      <c r="O351" s="39"/>
      <c r="P351" s="1"/>
      <c r="Q351" s="39"/>
      <c r="R351" s="28"/>
      <c r="S351" s="28"/>
      <c r="T351" s="28"/>
      <c r="U351" s="4"/>
      <c r="V351" s="3"/>
      <c r="W351" s="3"/>
    </row>
    <row r="352" spans="1:23" s="5" customFormat="1">
      <c r="A352" s="6"/>
      <c r="B352" s="33"/>
      <c r="C352" s="35"/>
      <c r="E352" s="39"/>
      <c r="G352" s="40"/>
      <c r="H352" s="14"/>
      <c r="I352" s="17"/>
      <c r="J352" s="10"/>
      <c r="M352" s="39"/>
      <c r="O352" s="39"/>
      <c r="Q352" s="39"/>
      <c r="R352" s="28"/>
      <c r="S352" s="28"/>
      <c r="T352" s="28"/>
      <c r="U352" s="4"/>
      <c r="V352" s="3"/>
      <c r="W352" s="3"/>
    </row>
    <row r="353" spans="1:23" s="5" customFormat="1">
      <c r="A353" s="6"/>
      <c r="B353" s="33"/>
      <c r="C353" s="35"/>
      <c r="E353" s="39"/>
      <c r="G353" s="40"/>
      <c r="H353" s="14"/>
      <c r="I353" s="17"/>
      <c r="J353" s="10"/>
      <c r="M353" s="39"/>
      <c r="O353" s="39"/>
      <c r="Q353" s="39"/>
      <c r="R353" s="28"/>
      <c r="S353" s="28"/>
      <c r="T353" s="28"/>
      <c r="U353" s="4"/>
      <c r="V353" s="3"/>
      <c r="W353" s="3"/>
    </row>
    <row r="354" spans="1:23" s="5" customFormat="1">
      <c r="A354" s="6"/>
      <c r="B354" s="33"/>
      <c r="C354" s="35"/>
      <c r="E354" s="39"/>
      <c r="G354" s="40"/>
      <c r="H354" s="14"/>
      <c r="I354" s="17"/>
      <c r="J354" s="10"/>
      <c r="M354" s="39"/>
      <c r="O354" s="39"/>
      <c r="Q354" s="39"/>
      <c r="R354" s="28"/>
      <c r="S354" s="28"/>
      <c r="T354" s="28"/>
      <c r="U354" s="4"/>
      <c r="V354" s="3"/>
      <c r="W354" s="3"/>
    </row>
    <row r="355" spans="1:23" s="5" customFormat="1">
      <c r="A355" s="6"/>
      <c r="B355" s="33"/>
      <c r="C355" s="35"/>
      <c r="E355" s="39"/>
      <c r="G355" s="40"/>
      <c r="H355" s="14"/>
      <c r="I355" s="17"/>
      <c r="J355" s="10"/>
      <c r="M355" s="39"/>
      <c r="O355" s="39"/>
      <c r="Q355" s="39"/>
      <c r="R355" s="28"/>
      <c r="S355" s="28"/>
      <c r="T355" s="28"/>
      <c r="U355" s="4"/>
      <c r="V355" s="3"/>
      <c r="W355" s="3"/>
    </row>
    <row r="356" spans="1:23" s="5" customFormat="1">
      <c r="A356" s="6"/>
      <c r="B356" s="33"/>
      <c r="C356" s="35"/>
      <c r="E356" s="39"/>
      <c r="G356" s="40"/>
      <c r="H356" s="14"/>
      <c r="I356" s="17"/>
      <c r="J356" s="10"/>
      <c r="M356" s="39"/>
      <c r="O356" s="39"/>
      <c r="Q356" s="39"/>
      <c r="R356" s="28"/>
      <c r="S356" s="28"/>
      <c r="T356" s="28"/>
      <c r="U356" s="4"/>
      <c r="V356" s="3"/>
      <c r="W356" s="3"/>
    </row>
    <row r="357" spans="1:23" s="5" customFormat="1">
      <c r="A357" s="6"/>
      <c r="B357" s="33"/>
      <c r="C357" s="35"/>
      <c r="E357" s="39"/>
      <c r="G357" s="40"/>
      <c r="H357" s="14"/>
      <c r="I357" s="17"/>
      <c r="J357" s="10"/>
      <c r="M357" s="39"/>
      <c r="O357" s="39"/>
      <c r="Q357" s="39"/>
      <c r="R357" s="28"/>
      <c r="S357" s="28"/>
      <c r="T357" s="28"/>
      <c r="U357" s="4"/>
      <c r="V357" s="3"/>
      <c r="W357" s="3"/>
    </row>
    <row r="358" spans="1:23" s="5" customFormat="1">
      <c r="A358" s="6"/>
      <c r="B358" s="33"/>
      <c r="C358" s="35"/>
      <c r="E358" s="39"/>
      <c r="G358" s="40"/>
      <c r="H358" s="15"/>
      <c r="I358" s="17"/>
      <c r="J358" s="10"/>
      <c r="M358" s="39"/>
      <c r="O358" s="39"/>
      <c r="Q358" s="39"/>
      <c r="R358" s="28"/>
      <c r="S358" s="28"/>
      <c r="T358" s="28"/>
      <c r="U358" s="4"/>
      <c r="V358" s="3"/>
      <c r="W358" s="3"/>
    </row>
    <row r="359" spans="1:23" s="5" customFormat="1">
      <c r="A359" s="6"/>
      <c r="B359" s="33"/>
      <c r="C359" s="35"/>
      <c r="E359" s="39"/>
      <c r="G359" s="40"/>
      <c r="H359" s="14"/>
      <c r="I359" s="17"/>
      <c r="J359" s="10"/>
      <c r="M359" s="39"/>
      <c r="O359" s="39"/>
      <c r="Q359" s="39"/>
      <c r="R359" s="28"/>
      <c r="S359" s="28"/>
      <c r="T359" s="28"/>
      <c r="U359" s="4"/>
      <c r="V359" s="3"/>
      <c r="W359" s="3"/>
    </row>
    <row r="360" spans="1:23" s="5" customFormat="1">
      <c r="A360" s="6"/>
      <c r="B360" s="33"/>
      <c r="C360" s="35"/>
      <c r="E360" s="39"/>
      <c r="G360" s="40"/>
      <c r="H360" s="14"/>
      <c r="I360" s="17"/>
      <c r="J360" s="10"/>
      <c r="M360" s="39"/>
      <c r="O360" s="39"/>
      <c r="Q360" s="39"/>
      <c r="R360" s="28"/>
      <c r="S360" s="28"/>
      <c r="T360" s="28"/>
      <c r="U360" s="4"/>
      <c r="V360" s="3"/>
      <c r="W360" s="3"/>
    </row>
    <row r="361" spans="1:23" s="5" customFormat="1">
      <c r="A361" s="6"/>
      <c r="B361" s="33"/>
      <c r="C361" s="35"/>
      <c r="E361" s="39"/>
      <c r="G361" s="40"/>
      <c r="H361" s="15"/>
      <c r="I361" s="17"/>
      <c r="J361" s="10"/>
      <c r="M361" s="39"/>
      <c r="O361" s="39"/>
      <c r="Q361" s="39"/>
      <c r="R361" s="28"/>
      <c r="S361" s="28"/>
      <c r="T361" s="28"/>
      <c r="U361" s="4"/>
      <c r="V361" s="3"/>
      <c r="W361" s="3"/>
    </row>
    <row r="362" spans="1:23" s="5" customFormat="1">
      <c r="A362" s="6"/>
      <c r="B362" s="33"/>
      <c r="C362" s="35"/>
      <c r="E362" s="39"/>
      <c r="G362" s="40"/>
      <c r="H362" s="15"/>
      <c r="I362" s="17"/>
      <c r="J362" s="10"/>
      <c r="M362" s="39"/>
      <c r="O362" s="39"/>
      <c r="Q362" s="39"/>
      <c r="R362" s="28"/>
      <c r="S362" s="28"/>
      <c r="T362" s="28"/>
      <c r="U362" s="4"/>
      <c r="V362" s="3"/>
      <c r="W362" s="3"/>
    </row>
    <row r="363" spans="1:23" s="5" customFormat="1">
      <c r="A363" s="6"/>
      <c r="B363" s="33"/>
      <c r="C363" s="35"/>
      <c r="E363" s="39"/>
      <c r="G363" s="40"/>
      <c r="H363" s="14"/>
      <c r="I363" s="17"/>
      <c r="J363" s="10"/>
      <c r="M363" s="39"/>
      <c r="O363" s="39"/>
      <c r="Q363" s="39"/>
      <c r="R363" s="28"/>
      <c r="S363" s="28"/>
      <c r="T363" s="28"/>
      <c r="U363" s="4"/>
      <c r="V363" s="3"/>
      <c r="W363" s="3"/>
    </row>
    <row r="364" spans="1:23" s="5" customFormat="1">
      <c r="A364" s="6"/>
      <c r="B364" s="33"/>
      <c r="C364" s="35"/>
      <c r="E364" s="39"/>
      <c r="G364" s="40"/>
      <c r="H364" s="15"/>
      <c r="I364" s="17"/>
      <c r="J364" s="10"/>
      <c r="M364" s="39"/>
      <c r="O364" s="39"/>
      <c r="Q364" s="39"/>
      <c r="R364" s="28"/>
      <c r="S364" s="28"/>
      <c r="T364" s="28"/>
      <c r="U364" s="4"/>
      <c r="V364" s="3"/>
      <c r="W364" s="3"/>
    </row>
    <row r="365" spans="1:23" s="5" customFormat="1">
      <c r="A365" s="6"/>
      <c r="B365" s="33"/>
      <c r="C365" s="35"/>
      <c r="E365" s="39"/>
      <c r="G365" s="40"/>
      <c r="H365" s="15"/>
      <c r="I365" s="17"/>
      <c r="J365" s="10"/>
      <c r="M365" s="39"/>
      <c r="O365" s="39"/>
      <c r="Q365" s="39"/>
      <c r="R365" s="28"/>
      <c r="S365" s="28"/>
      <c r="T365" s="28"/>
      <c r="U365" s="4"/>
      <c r="V365" s="3"/>
      <c r="W365" s="3"/>
    </row>
    <row r="366" spans="1:23" s="5" customFormat="1">
      <c r="A366" s="6"/>
      <c r="B366" s="33"/>
      <c r="C366" s="35"/>
      <c r="E366" s="39"/>
      <c r="G366" s="40"/>
      <c r="H366" s="14"/>
      <c r="I366" s="17"/>
      <c r="J366" s="10"/>
      <c r="M366" s="39"/>
      <c r="O366" s="39"/>
      <c r="Q366" s="39"/>
      <c r="R366" s="28"/>
      <c r="S366" s="28"/>
      <c r="T366" s="28"/>
      <c r="U366" s="4"/>
      <c r="V366" s="3"/>
      <c r="W366" s="3"/>
    </row>
    <row r="367" spans="1:23" s="5" customFormat="1">
      <c r="A367" s="6"/>
      <c r="B367" s="33"/>
      <c r="C367" s="35"/>
      <c r="E367" s="39"/>
      <c r="G367" s="40"/>
      <c r="H367" s="14"/>
      <c r="I367" s="17"/>
      <c r="J367" s="10"/>
      <c r="M367" s="39"/>
      <c r="O367" s="39"/>
      <c r="Q367" s="39"/>
      <c r="R367" s="28"/>
      <c r="S367" s="28"/>
      <c r="T367" s="28"/>
      <c r="U367" s="4"/>
      <c r="V367" s="3"/>
      <c r="W367" s="3"/>
    </row>
    <row r="368" spans="1:23" s="5" customFormat="1">
      <c r="A368" s="6"/>
      <c r="B368" s="33"/>
      <c r="C368" s="35"/>
      <c r="E368" s="39"/>
      <c r="G368" s="40"/>
      <c r="H368" s="14"/>
      <c r="I368" s="17"/>
      <c r="J368" s="10"/>
      <c r="M368" s="39"/>
      <c r="O368" s="39"/>
      <c r="Q368" s="39"/>
      <c r="R368" s="28"/>
      <c r="S368" s="28"/>
      <c r="T368" s="28"/>
      <c r="U368" s="4"/>
      <c r="V368" s="3"/>
      <c r="W368" s="3"/>
    </row>
    <row r="369" spans="1:23" s="5" customFormat="1">
      <c r="A369" s="6"/>
      <c r="B369" s="33"/>
      <c r="C369" s="35"/>
      <c r="E369" s="39"/>
      <c r="G369" s="40"/>
      <c r="H369" s="15"/>
      <c r="I369" s="17"/>
      <c r="J369" s="10"/>
      <c r="M369" s="39"/>
      <c r="O369" s="39"/>
      <c r="Q369" s="39"/>
      <c r="R369" s="28"/>
      <c r="S369" s="28"/>
      <c r="T369" s="28"/>
      <c r="U369" s="4"/>
      <c r="V369" s="3"/>
      <c r="W369" s="3"/>
    </row>
    <row r="370" spans="1:23" s="5" customFormat="1">
      <c r="A370" s="6"/>
      <c r="B370" s="33"/>
      <c r="C370" s="35"/>
      <c r="E370" s="39"/>
      <c r="G370" s="40"/>
      <c r="H370" s="14"/>
      <c r="I370" s="17"/>
      <c r="J370" s="10"/>
      <c r="M370" s="39"/>
      <c r="O370" s="39"/>
      <c r="Q370" s="39"/>
      <c r="R370" s="28"/>
      <c r="S370" s="28"/>
      <c r="T370" s="28"/>
      <c r="U370" s="4"/>
      <c r="V370" s="3"/>
      <c r="W370" s="3"/>
    </row>
    <row r="371" spans="1:23" s="5" customFormat="1">
      <c r="A371" s="6"/>
      <c r="B371" s="33"/>
      <c r="C371" s="35"/>
      <c r="E371" s="39"/>
      <c r="G371" s="40"/>
      <c r="H371" s="14"/>
      <c r="I371" s="17"/>
      <c r="J371" s="10"/>
      <c r="M371" s="39"/>
      <c r="O371" s="39"/>
      <c r="Q371" s="39"/>
      <c r="R371" s="28"/>
      <c r="S371" s="28"/>
      <c r="T371" s="28"/>
      <c r="U371" s="4"/>
      <c r="V371" s="3"/>
      <c r="W371" s="3"/>
    </row>
    <row r="372" spans="1:23" s="5" customFormat="1">
      <c r="A372" s="6"/>
      <c r="B372" s="33"/>
      <c r="C372" s="35"/>
      <c r="E372" s="39"/>
      <c r="G372" s="40"/>
      <c r="H372" s="15"/>
      <c r="I372" s="17"/>
      <c r="J372" s="10"/>
      <c r="M372" s="39"/>
      <c r="O372" s="39"/>
      <c r="Q372" s="39"/>
      <c r="R372" s="28"/>
      <c r="S372" s="28"/>
      <c r="T372" s="28"/>
      <c r="U372" s="4"/>
      <c r="V372" s="3"/>
      <c r="W372" s="3"/>
    </row>
    <row r="373" spans="1:23" s="5" customFormat="1">
      <c r="A373" s="6"/>
      <c r="B373" s="33"/>
      <c r="C373" s="35"/>
      <c r="E373" s="39"/>
      <c r="G373" s="40"/>
      <c r="H373" s="15"/>
      <c r="I373" s="17"/>
      <c r="J373" s="10"/>
      <c r="M373" s="39"/>
      <c r="O373" s="39"/>
      <c r="Q373" s="39"/>
      <c r="R373" s="28"/>
      <c r="S373" s="28"/>
      <c r="T373" s="28"/>
      <c r="U373" s="4"/>
      <c r="V373" s="3"/>
      <c r="W373" s="3"/>
    </row>
    <row r="374" spans="1:23" s="5" customFormat="1">
      <c r="A374" s="6"/>
      <c r="B374" s="33"/>
      <c r="C374" s="35"/>
      <c r="E374" s="39"/>
      <c r="G374" s="40"/>
      <c r="H374" s="14"/>
      <c r="I374" s="17"/>
      <c r="J374" s="10"/>
      <c r="M374" s="39"/>
      <c r="O374" s="39"/>
      <c r="Q374" s="39"/>
      <c r="R374" s="28"/>
      <c r="S374" s="28"/>
      <c r="T374" s="28"/>
      <c r="U374" s="4"/>
      <c r="V374" s="3"/>
      <c r="W374" s="3"/>
    </row>
    <row r="375" spans="1:23" s="5" customFormat="1">
      <c r="A375" s="6"/>
      <c r="B375" s="33"/>
      <c r="C375" s="35"/>
      <c r="E375" s="39"/>
      <c r="G375" s="40"/>
      <c r="H375" s="14"/>
      <c r="I375" s="17"/>
      <c r="J375" s="10"/>
      <c r="M375" s="39"/>
      <c r="O375" s="39"/>
      <c r="Q375" s="39"/>
      <c r="R375" s="28"/>
      <c r="S375" s="28"/>
      <c r="T375" s="28"/>
      <c r="U375" s="4"/>
      <c r="V375" s="3"/>
      <c r="W375" s="3"/>
    </row>
    <row r="376" spans="1:23" s="5" customFormat="1">
      <c r="A376" s="6"/>
      <c r="B376" s="33"/>
      <c r="C376" s="35"/>
      <c r="E376" s="39"/>
      <c r="G376" s="40"/>
      <c r="H376" s="14"/>
      <c r="I376" s="17"/>
      <c r="J376" s="10"/>
      <c r="M376" s="39"/>
      <c r="O376" s="39"/>
      <c r="Q376" s="39"/>
      <c r="R376" s="28"/>
      <c r="S376" s="28"/>
      <c r="T376" s="28"/>
      <c r="U376" s="4"/>
      <c r="V376" s="3"/>
      <c r="W376" s="3"/>
    </row>
    <row r="377" spans="1:23" s="5" customFormat="1">
      <c r="A377" s="6"/>
      <c r="B377" s="33"/>
      <c r="C377" s="35"/>
      <c r="E377" s="39"/>
      <c r="G377" s="40"/>
      <c r="H377" s="15"/>
      <c r="I377" s="17"/>
      <c r="J377" s="10"/>
      <c r="M377" s="39"/>
      <c r="O377" s="39"/>
      <c r="Q377" s="39"/>
      <c r="R377" s="28"/>
      <c r="S377" s="28"/>
      <c r="T377" s="28"/>
      <c r="U377" s="4"/>
      <c r="V377" s="3"/>
      <c r="W377" s="3"/>
    </row>
    <row r="378" spans="1:23" s="5" customFormat="1">
      <c r="A378" s="6"/>
      <c r="B378" s="33"/>
      <c r="C378" s="35"/>
      <c r="E378" s="39"/>
      <c r="G378" s="40"/>
      <c r="H378" s="15"/>
      <c r="I378" s="17"/>
      <c r="J378" s="10"/>
      <c r="M378" s="39"/>
      <c r="O378" s="39"/>
      <c r="Q378" s="39"/>
      <c r="R378" s="28"/>
      <c r="S378" s="28"/>
      <c r="T378" s="28"/>
      <c r="U378" s="4"/>
      <c r="V378" s="3"/>
      <c r="W378" s="3"/>
    </row>
    <row r="379" spans="1:23" s="5" customFormat="1">
      <c r="A379" s="6"/>
      <c r="B379" s="33"/>
      <c r="C379" s="35"/>
      <c r="E379" s="39"/>
      <c r="G379" s="40"/>
      <c r="H379" s="14"/>
      <c r="I379" s="17"/>
      <c r="J379" s="10"/>
      <c r="M379" s="39"/>
      <c r="O379" s="39"/>
      <c r="Q379" s="39"/>
      <c r="R379" s="28"/>
      <c r="S379" s="28"/>
      <c r="T379" s="28"/>
      <c r="U379" s="4"/>
      <c r="V379" s="3"/>
      <c r="W379" s="3"/>
    </row>
    <row r="380" spans="1:23" s="5" customFormat="1">
      <c r="A380" s="6"/>
      <c r="B380" s="33"/>
      <c r="C380" s="35"/>
      <c r="E380" s="39"/>
      <c r="G380" s="40"/>
      <c r="H380" s="15"/>
      <c r="I380" s="17"/>
      <c r="J380" s="10"/>
      <c r="M380" s="39"/>
      <c r="O380" s="39"/>
      <c r="Q380" s="39"/>
      <c r="R380" s="28"/>
      <c r="S380" s="28"/>
      <c r="T380" s="28"/>
      <c r="U380" s="4"/>
      <c r="V380" s="3"/>
      <c r="W380" s="3"/>
    </row>
    <row r="381" spans="1:23" s="5" customFormat="1">
      <c r="A381" s="6"/>
      <c r="B381" s="33"/>
      <c r="C381" s="35"/>
      <c r="E381" s="39"/>
      <c r="G381" s="40"/>
      <c r="H381" s="13"/>
      <c r="I381" s="17"/>
      <c r="J381" s="10"/>
      <c r="M381" s="39"/>
      <c r="O381" s="39"/>
      <c r="Q381" s="39"/>
      <c r="R381" s="28"/>
      <c r="S381" s="28"/>
      <c r="T381" s="28"/>
      <c r="U381" s="4"/>
      <c r="V381" s="3"/>
      <c r="W381" s="3"/>
    </row>
    <row r="382" spans="1:23" s="5" customFormat="1">
      <c r="A382" s="6"/>
      <c r="B382" s="33"/>
      <c r="C382" s="35"/>
      <c r="E382" s="39"/>
      <c r="G382" s="40"/>
      <c r="H382" s="14"/>
      <c r="I382" s="17"/>
      <c r="J382" s="10"/>
      <c r="M382" s="39"/>
      <c r="O382" s="39"/>
      <c r="Q382" s="39"/>
      <c r="R382" s="28"/>
      <c r="S382" s="28"/>
      <c r="T382" s="28"/>
      <c r="U382" s="4"/>
      <c r="V382" s="3"/>
      <c r="W382" s="3"/>
    </row>
    <row r="383" spans="1:23" s="5" customFormat="1">
      <c r="A383" s="6"/>
      <c r="B383" s="33"/>
      <c r="C383" s="35"/>
      <c r="E383" s="39"/>
      <c r="G383" s="40"/>
      <c r="H383" s="15"/>
      <c r="I383" s="17"/>
      <c r="J383" s="10"/>
      <c r="M383" s="39"/>
      <c r="O383" s="39"/>
      <c r="Q383" s="39"/>
      <c r="R383" s="28"/>
      <c r="S383" s="28"/>
      <c r="T383" s="28"/>
      <c r="U383" s="4"/>
      <c r="V383" s="3"/>
      <c r="W383" s="3"/>
    </row>
    <row r="384" spans="1:23" s="5" customFormat="1">
      <c r="A384" s="6"/>
      <c r="B384" s="33"/>
      <c r="C384" s="35"/>
      <c r="E384" s="39"/>
      <c r="G384" s="40"/>
      <c r="H384" s="14"/>
      <c r="I384" s="17"/>
      <c r="J384" s="10"/>
      <c r="M384" s="39"/>
      <c r="O384" s="39"/>
      <c r="Q384" s="39"/>
      <c r="R384" s="28"/>
      <c r="S384" s="29"/>
      <c r="T384" s="28"/>
      <c r="U384" s="4"/>
      <c r="V384" s="3"/>
      <c r="W384" s="3"/>
    </row>
    <row r="385" spans="1:23" s="5" customFormat="1">
      <c r="A385" s="6"/>
      <c r="B385" s="33"/>
      <c r="C385" s="35"/>
      <c r="E385" s="39"/>
      <c r="G385" s="40"/>
      <c r="H385" s="15"/>
      <c r="I385" s="17"/>
      <c r="J385" s="10"/>
      <c r="M385" s="39"/>
      <c r="O385" s="39"/>
      <c r="Q385" s="39"/>
      <c r="R385" s="28"/>
      <c r="S385" s="28"/>
      <c r="T385" s="28"/>
      <c r="U385" s="4"/>
      <c r="V385" s="3"/>
      <c r="W385" s="3"/>
    </row>
    <row r="386" spans="1:23" s="5" customFormat="1">
      <c r="A386" s="6"/>
      <c r="B386" s="33"/>
      <c r="C386" s="35"/>
      <c r="E386" s="39"/>
      <c r="G386" s="40"/>
      <c r="H386" s="15"/>
      <c r="I386" s="17"/>
      <c r="J386" s="10"/>
      <c r="M386" s="39"/>
      <c r="O386" s="39"/>
      <c r="Q386" s="39"/>
      <c r="R386" s="28"/>
      <c r="S386" s="28"/>
      <c r="T386" s="28"/>
      <c r="U386" s="4"/>
      <c r="V386" s="3"/>
      <c r="W386" s="3"/>
    </row>
    <row r="387" spans="1:23" s="5" customFormat="1">
      <c r="A387" s="6"/>
      <c r="B387" s="33"/>
      <c r="C387" s="35"/>
      <c r="E387" s="39"/>
      <c r="G387" s="40"/>
      <c r="H387" s="14"/>
      <c r="I387" s="17"/>
      <c r="J387" s="10"/>
      <c r="M387" s="39"/>
      <c r="O387" s="39"/>
      <c r="Q387" s="39"/>
      <c r="R387" s="28"/>
      <c r="S387" s="28"/>
      <c r="T387" s="28"/>
      <c r="U387" s="4"/>
      <c r="V387" s="3"/>
      <c r="W387" s="3"/>
    </row>
    <row r="388" spans="1:23" s="5" customFormat="1">
      <c r="A388" s="20"/>
      <c r="B388" s="33"/>
      <c r="C388" s="35"/>
      <c r="E388" s="39"/>
      <c r="F388" s="1"/>
      <c r="G388" s="40"/>
      <c r="H388" s="12"/>
      <c r="I388" s="9"/>
      <c r="J388" s="12"/>
      <c r="M388" s="39"/>
      <c r="O388" s="39"/>
      <c r="Q388" s="39"/>
      <c r="R388" s="29"/>
      <c r="S388" s="28"/>
      <c r="T388" s="28"/>
      <c r="U388" s="4"/>
      <c r="V388" s="3"/>
      <c r="W388" s="3"/>
    </row>
    <row r="389" spans="1:23" s="5" customFormat="1">
      <c r="A389" s="6"/>
      <c r="B389" s="33"/>
      <c r="C389" s="35"/>
      <c r="E389" s="39"/>
      <c r="G389" s="40"/>
      <c r="H389" s="15"/>
      <c r="I389" s="17"/>
      <c r="J389" s="10"/>
      <c r="M389" s="39"/>
      <c r="O389" s="39"/>
      <c r="Q389" s="39"/>
      <c r="R389" s="28"/>
      <c r="S389" s="28"/>
      <c r="T389" s="28"/>
      <c r="U389" s="4"/>
      <c r="V389" s="3"/>
      <c r="W389" s="3"/>
    </row>
    <row r="390" spans="1:23" s="5" customFormat="1">
      <c r="A390" s="6"/>
      <c r="B390" s="33"/>
      <c r="C390" s="35"/>
      <c r="E390" s="39"/>
      <c r="G390" s="40"/>
      <c r="H390" s="15"/>
      <c r="I390" s="17"/>
      <c r="J390" s="10"/>
      <c r="M390" s="39"/>
      <c r="O390" s="39"/>
      <c r="Q390" s="39"/>
      <c r="R390" s="28"/>
      <c r="S390" s="28"/>
      <c r="T390" s="28"/>
      <c r="U390" s="4"/>
      <c r="V390" s="3"/>
      <c r="W390" s="3"/>
    </row>
    <row r="391" spans="1:23" s="5" customFormat="1">
      <c r="A391" s="6"/>
      <c r="B391" s="33"/>
      <c r="C391" s="35"/>
      <c r="E391" s="39"/>
      <c r="G391" s="40"/>
      <c r="H391" s="14"/>
      <c r="I391" s="17"/>
      <c r="J391" s="10"/>
      <c r="M391" s="39"/>
      <c r="O391" s="39"/>
      <c r="Q391" s="39"/>
      <c r="R391" s="28"/>
      <c r="S391" s="28"/>
      <c r="T391" s="28"/>
      <c r="U391" s="4"/>
      <c r="V391" s="3"/>
      <c r="W391" s="3"/>
    </row>
    <row r="392" spans="1:23" s="5" customFormat="1">
      <c r="A392" s="6"/>
      <c r="B392" s="33"/>
      <c r="C392" s="35"/>
      <c r="E392" s="39"/>
      <c r="G392" s="40"/>
      <c r="H392" s="14"/>
      <c r="I392" s="17"/>
      <c r="J392" s="10"/>
      <c r="M392" s="39"/>
      <c r="O392" s="39"/>
      <c r="Q392" s="39"/>
      <c r="R392" s="28"/>
      <c r="S392" s="28"/>
      <c r="T392" s="28"/>
      <c r="U392" s="4"/>
      <c r="V392" s="3"/>
      <c r="W392" s="3"/>
    </row>
    <row r="393" spans="1:23" s="5" customFormat="1">
      <c r="A393" s="6"/>
      <c r="B393" s="33"/>
      <c r="C393" s="35"/>
      <c r="E393" s="39"/>
      <c r="G393" s="40"/>
      <c r="H393" s="15"/>
      <c r="I393" s="17"/>
      <c r="J393" s="10"/>
      <c r="M393" s="39"/>
      <c r="O393" s="39"/>
      <c r="Q393" s="39"/>
      <c r="R393" s="28"/>
      <c r="S393" s="28"/>
      <c r="T393" s="28"/>
      <c r="U393" s="4"/>
      <c r="V393" s="3"/>
      <c r="W393" s="3"/>
    </row>
    <row r="394" spans="1:23" s="5" customFormat="1">
      <c r="A394" s="6"/>
      <c r="B394" s="33"/>
      <c r="C394" s="35"/>
      <c r="E394" s="39"/>
      <c r="G394" s="40"/>
      <c r="H394" s="14"/>
      <c r="I394" s="17"/>
      <c r="J394" s="10"/>
      <c r="M394" s="39"/>
      <c r="O394" s="39"/>
      <c r="Q394" s="39"/>
      <c r="R394" s="28"/>
      <c r="S394" s="28"/>
      <c r="T394" s="28"/>
      <c r="U394" s="4"/>
      <c r="V394" s="3"/>
      <c r="W394" s="3"/>
    </row>
    <row r="395" spans="1:23" s="5" customFormat="1">
      <c r="A395" s="6"/>
      <c r="B395" s="33"/>
      <c r="C395" s="35"/>
      <c r="E395" s="39"/>
      <c r="G395" s="40"/>
      <c r="H395" s="15"/>
      <c r="I395" s="17"/>
      <c r="J395" s="10"/>
      <c r="M395" s="39"/>
      <c r="O395" s="39"/>
      <c r="Q395" s="39"/>
      <c r="R395" s="28"/>
      <c r="S395" s="28"/>
      <c r="T395" s="28"/>
      <c r="U395" s="4"/>
      <c r="V395" s="3"/>
      <c r="W395" s="3"/>
    </row>
    <row r="396" spans="1:23" s="5" customFormat="1">
      <c r="A396" s="6"/>
      <c r="B396" s="33"/>
      <c r="C396" s="35"/>
      <c r="E396" s="39"/>
      <c r="G396" s="40"/>
      <c r="H396" s="15"/>
      <c r="I396" s="17"/>
      <c r="J396" s="10"/>
      <c r="M396" s="39"/>
      <c r="O396" s="39"/>
      <c r="Q396" s="39"/>
      <c r="R396" s="28"/>
      <c r="S396" s="28"/>
      <c r="T396" s="28"/>
      <c r="U396" s="4"/>
      <c r="V396" s="3"/>
      <c r="W396" s="3"/>
    </row>
    <row r="397" spans="1:23" s="5" customFormat="1">
      <c r="A397" s="6"/>
      <c r="B397" s="33"/>
      <c r="C397" s="35"/>
      <c r="E397" s="39"/>
      <c r="G397" s="40"/>
      <c r="H397" s="15"/>
      <c r="I397" s="17"/>
      <c r="J397" s="10"/>
      <c r="M397" s="39"/>
      <c r="O397" s="39"/>
      <c r="Q397" s="39"/>
      <c r="R397" s="28"/>
      <c r="S397" s="28"/>
      <c r="T397" s="28"/>
      <c r="U397" s="4"/>
      <c r="V397" s="3"/>
      <c r="W397" s="3"/>
    </row>
    <row r="398" spans="1:23" s="5" customFormat="1">
      <c r="A398" s="6"/>
      <c r="B398" s="33"/>
      <c r="C398" s="35"/>
      <c r="E398" s="39"/>
      <c r="G398" s="40"/>
      <c r="H398" s="15"/>
      <c r="I398" s="17"/>
      <c r="J398" s="10"/>
      <c r="M398" s="39"/>
      <c r="O398" s="39"/>
      <c r="Q398" s="39"/>
      <c r="R398" s="28"/>
      <c r="S398" s="28"/>
      <c r="T398" s="28"/>
      <c r="U398" s="4"/>
      <c r="V398" s="3"/>
      <c r="W398" s="3"/>
    </row>
    <row r="399" spans="1:23" s="5" customFormat="1">
      <c r="A399" s="6"/>
      <c r="B399" s="33"/>
      <c r="C399" s="35"/>
      <c r="E399" s="39"/>
      <c r="G399" s="40"/>
      <c r="H399" s="15"/>
      <c r="I399" s="17"/>
      <c r="J399" s="10"/>
      <c r="M399" s="39"/>
      <c r="O399" s="39"/>
      <c r="Q399" s="39"/>
      <c r="R399" s="28"/>
      <c r="S399" s="28"/>
      <c r="T399" s="28"/>
      <c r="U399" s="4"/>
      <c r="V399" s="3"/>
      <c r="W399" s="3"/>
    </row>
    <row r="400" spans="1:23" s="5" customFormat="1">
      <c r="A400" s="6"/>
      <c r="B400" s="33"/>
      <c r="C400" s="35"/>
      <c r="E400" s="39"/>
      <c r="G400" s="40"/>
      <c r="H400" s="15"/>
      <c r="I400" s="17"/>
      <c r="J400" s="10"/>
      <c r="M400" s="39"/>
      <c r="O400" s="39"/>
      <c r="Q400" s="39"/>
      <c r="R400" s="28"/>
      <c r="S400" s="28"/>
      <c r="T400" s="28"/>
      <c r="U400" s="4"/>
      <c r="V400" s="3"/>
      <c r="W400" s="3"/>
    </row>
    <row r="401" spans="1:23" s="5" customFormat="1">
      <c r="A401" s="6"/>
      <c r="B401" s="33"/>
      <c r="C401" s="35"/>
      <c r="E401" s="39"/>
      <c r="G401" s="40"/>
      <c r="H401" s="14"/>
      <c r="I401" s="17"/>
      <c r="J401" s="10"/>
      <c r="M401" s="39"/>
      <c r="O401" s="39"/>
      <c r="Q401" s="39"/>
      <c r="R401" s="28"/>
      <c r="S401" s="28"/>
      <c r="T401" s="28"/>
      <c r="U401" s="4"/>
      <c r="V401" s="3"/>
      <c r="W401" s="3"/>
    </row>
    <row r="402" spans="1:23" s="5" customFormat="1">
      <c r="A402" s="6"/>
      <c r="B402" s="33"/>
      <c r="C402" s="35"/>
      <c r="E402" s="39"/>
      <c r="G402" s="40"/>
      <c r="H402" s="15"/>
      <c r="I402" s="17"/>
      <c r="J402" s="10"/>
      <c r="M402" s="39"/>
      <c r="O402" s="39"/>
      <c r="Q402" s="39"/>
      <c r="R402" s="28"/>
      <c r="S402" s="28"/>
      <c r="T402" s="28"/>
      <c r="U402" s="4"/>
      <c r="V402" s="3"/>
      <c r="W402" s="3"/>
    </row>
    <row r="403" spans="1:23" s="5" customFormat="1">
      <c r="A403" s="6"/>
      <c r="B403" s="33"/>
      <c r="C403" s="35"/>
      <c r="E403" s="39"/>
      <c r="G403" s="40"/>
      <c r="H403" s="15"/>
      <c r="I403" s="17"/>
      <c r="J403" s="10"/>
      <c r="M403" s="39"/>
      <c r="O403" s="39"/>
      <c r="Q403" s="39"/>
      <c r="R403" s="28"/>
      <c r="S403" s="28"/>
      <c r="T403" s="28"/>
      <c r="U403" s="4"/>
      <c r="V403" s="3"/>
      <c r="W403" s="3"/>
    </row>
    <row r="404" spans="1:23" s="5" customFormat="1">
      <c r="A404" s="6"/>
      <c r="B404" s="33"/>
      <c r="C404" s="35"/>
      <c r="E404" s="39"/>
      <c r="G404" s="40"/>
      <c r="H404" s="14"/>
      <c r="I404" s="17"/>
      <c r="J404" s="10"/>
      <c r="M404" s="39"/>
      <c r="O404" s="39"/>
      <c r="Q404" s="39"/>
      <c r="R404" s="28"/>
      <c r="S404" s="28"/>
      <c r="T404" s="28"/>
      <c r="U404" s="4"/>
      <c r="V404" s="3"/>
      <c r="W404" s="3"/>
    </row>
    <row r="405" spans="1:23" s="5" customFormat="1">
      <c r="A405" s="6"/>
      <c r="B405" s="33"/>
      <c r="C405" s="35"/>
      <c r="E405" s="39"/>
      <c r="G405" s="40"/>
      <c r="H405" s="14"/>
      <c r="I405" s="17"/>
      <c r="J405" s="10"/>
      <c r="M405" s="39"/>
      <c r="O405" s="39"/>
      <c r="Q405" s="39"/>
      <c r="R405" s="28"/>
      <c r="S405" s="28"/>
      <c r="T405" s="28"/>
      <c r="U405" s="4"/>
      <c r="V405" s="3"/>
      <c r="W405" s="3"/>
    </row>
    <row r="406" spans="1:23" s="5" customFormat="1">
      <c r="A406" s="6"/>
      <c r="B406" s="33"/>
      <c r="C406" s="35"/>
      <c r="E406" s="39"/>
      <c r="G406" s="40"/>
      <c r="H406" s="14"/>
      <c r="I406" s="17"/>
      <c r="J406" s="10"/>
      <c r="M406" s="39"/>
      <c r="O406" s="39"/>
      <c r="Q406" s="39"/>
      <c r="R406" s="28"/>
      <c r="S406" s="28"/>
      <c r="T406" s="28"/>
      <c r="U406" s="4"/>
      <c r="V406" s="3"/>
      <c r="W406" s="3"/>
    </row>
    <row r="407" spans="1:23" s="5" customFormat="1">
      <c r="A407" s="6"/>
      <c r="B407" s="33"/>
      <c r="C407" s="35"/>
      <c r="E407" s="39"/>
      <c r="G407" s="40"/>
      <c r="H407" s="14"/>
      <c r="I407" s="17"/>
      <c r="J407" s="10"/>
      <c r="M407" s="39"/>
      <c r="O407" s="39"/>
      <c r="Q407" s="39"/>
      <c r="R407" s="28"/>
      <c r="S407" s="28"/>
      <c r="T407" s="28"/>
      <c r="U407" s="4"/>
      <c r="V407" s="3"/>
      <c r="W407" s="3"/>
    </row>
    <row r="408" spans="1:23" s="5" customFormat="1">
      <c r="A408" s="6"/>
      <c r="B408" s="33"/>
      <c r="C408" s="35"/>
      <c r="E408" s="39"/>
      <c r="G408" s="40"/>
      <c r="H408" s="14"/>
      <c r="I408" s="17"/>
      <c r="J408" s="10"/>
      <c r="M408" s="39"/>
      <c r="O408" s="39"/>
      <c r="Q408" s="39"/>
      <c r="R408" s="28"/>
      <c r="S408" s="28"/>
      <c r="T408" s="28"/>
      <c r="U408" s="4"/>
      <c r="V408" s="3"/>
      <c r="W408" s="3"/>
    </row>
    <row r="409" spans="1:23" s="5" customFormat="1">
      <c r="A409" s="6"/>
      <c r="B409" s="33"/>
      <c r="C409" s="35"/>
      <c r="E409" s="39"/>
      <c r="G409" s="40"/>
      <c r="H409" s="15"/>
      <c r="I409" s="17"/>
      <c r="J409" s="10"/>
      <c r="M409" s="39"/>
      <c r="O409" s="39"/>
      <c r="Q409" s="39"/>
      <c r="R409" s="28"/>
      <c r="S409" s="28"/>
      <c r="T409" s="28"/>
      <c r="U409" s="4"/>
      <c r="V409" s="3"/>
      <c r="W409" s="3"/>
    </row>
    <row r="410" spans="1:23" s="5" customFormat="1">
      <c r="A410" s="6"/>
      <c r="B410" s="33"/>
      <c r="C410" s="35"/>
      <c r="E410" s="39"/>
      <c r="G410" s="40"/>
      <c r="H410" s="15"/>
      <c r="I410" s="17"/>
      <c r="J410" s="10"/>
      <c r="M410" s="39"/>
      <c r="O410" s="39"/>
      <c r="Q410" s="39"/>
      <c r="R410" s="28"/>
      <c r="S410" s="28"/>
      <c r="T410" s="28"/>
      <c r="U410" s="4"/>
      <c r="V410" s="3"/>
      <c r="W410" s="3"/>
    </row>
    <row r="411" spans="1:23" s="5" customFormat="1">
      <c r="A411" s="6"/>
      <c r="B411" s="33"/>
      <c r="C411" s="35"/>
      <c r="E411" s="39"/>
      <c r="G411" s="40"/>
      <c r="H411" s="14"/>
      <c r="I411" s="17"/>
      <c r="J411" s="10"/>
      <c r="M411" s="39"/>
      <c r="O411" s="39"/>
      <c r="Q411" s="39"/>
      <c r="R411" s="28"/>
      <c r="S411" s="28"/>
      <c r="T411" s="28"/>
      <c r="U411" s="4"/>
      <c r="V411" s="3"/>
      <c r="W411" s="3"/>
    </row>
    <row r="412" spans="1:23" s="5" customFormat="1">
      <c r="A412" s="6"/>
      <c r="B412" s="33"/>
      <c r="C412" s="35"/>
      <c r="E412" s="39"/>
      <c r="G412" s="40"/>
      <c r="H412" s="15"/>
      <c r="I412" s="17"/>
      <c r="J412" s="10"/>
      <c r="M412" s="39"/>
      <c r="O412" s="39"/>
      <c r="Q412" s="39"/>
      <c r="R412" s="28"/>
      <c r="S412" s="28"/>
      <c r="T412" s="28"/>
      <c r="U412" s="4"/>
      <c r="V412" s="3"/>
      <c r="W412" s="3"/>
    </row>
    <row r="413" spans="1:23" s="5" customFormat="1">
      <c r="A413" s="6"/>
      <c r="B413" s="33"/>
      <c r="C413" s="35"/>
      <c r="E413" s="39"/>
      <c r="G413" s="40"/>
      <c r="H413" s="15"/>
      <c r="I413" s="17"/>
      <c r="J413" s="10"/>
      <c r="M413" s="39"/>
      <c r="O413" s="39"/>
      <c r="Q413" s="39"/>
      <c r="R413" s="28"/>
      <c r="S413" s="28"/>
      <c r="T413" s="28"/>
      <c r="U413" s="4"/>
      <c r="V413" s="3"/>
      <c r="W413" s="3"/>
    </row>
    <row r="414" spans="1:23" s="5" customFormat="1">
      <c r="A414" s="6"/>
      <c r="B414" s="33"/>
      <c r="C414" s="35"/>
      <c r="E414" s="39"/>
      <c r="G414" s="40"/>
      <c r="H414" s="15"/>
      <c r="I414" s="17"/>
      <c r="J414" s="10"/>
      <c r="M414" s="39"/>
      <c r="O414" s="39"/>
      <c r="Q414" s="39"/>
      <c r="R414" s="28"/>
      <c r="S414" s="28"/>
      <c r="T414" s="28"/>
      <c r="U414" s="4"/>
      <c r="V414" s="3"/>
      <c r="W414" s="3"/>
    </row>
    <row r="415" spans="1:23" s="5" customFormat="1">
      <c r="A415" s="6"/>
      <c r="B415" s="33"/>
      <c r="C415" s="35"/>
      <c r="E415" s="39"/>
      <c r="G415" s="40"/>
      <c r="H415" s="14"/>
      <c r="I415" s="17"/>
      <c r="J415" s="10"/>
      <c r="M415" s="39"/>
      <c r="O415" s="39"/>
      <c r="Q415" s="39"/>
      <c r="R415" s="28"/>
      <c r="S415" s="28"/>
      <c r="T415" s="28"/>
      <c r="U415" s="4"/>
      <c r="V415" s="3"/>
      <c r="W415" s="3"/>
    </row>
    <row r="416" spans="1:23" s="5" customFormat="1">
      <c r="A416" s="6"/>
      <c r="B416" s="33"/>
      <c r="C416" s="35"/>
      <c r="E416" s="39"/>
      <c r="G416" s="40"/>
      <c r="H416" s="14"/>
      <c r="I416" s="17"/>
      <c r="J416" s="10"/>
      <c r="M416" s="39"/>
      <c r="O416" s="39"/>
      <c r="Q416" s="39"/>
      <c r="R416" s="28"/>
      <c r="S416" s="28"/>
      <c r="T416" s="28"/>
      <c r="U416" s="4"/>
      <c r="V416" s="3"/>
      <c r="W416" s="3"/>
    </row>
    <row r="417" spans="1:23" s="5" customFormat="1">
      <c r="A417" s="6"/>
      <c r="B417" s="33"/>
      <c r="C417" s="35"/>
      <c r="E417" s="39"/>
      <c r="G417" s="40"/>
      <c r="H417" s="14"/>
      <c r="I417" s="17"/>
      <c r="J417" s="10"/>
      <c r="M417" s="39"/>
      <c r="O417" s="39"/>
      <c r="Q417" s="39"/>
      <c r="R417" s="28"/>
      <c r="S417" s="28"/>
      <c r="T417" s="28"/>
      <c r="U417" s="4"/>
      <c r="V417" s="3"/>
      <c r="W417" s="3"/>
    </row>
    <row r="418" spans="1:23" s="5" customFormat="1">
      <c r="A418" s="6"/>
      <c r="B418" s="33"/>
      <c r="C418" s="35"/>
      <c r="E418" s="39"/>
      <c r="G418" s="40"/>
      <c r="H418" s="14"/>
      <c r="I418" s="17"/>
      <c r="J418" s="10"/>
      <c r="M418" s="39"/>
      <c r="O418" s="39"/>
      <c r="Q418" s="39"/>
      <c r="R418" s="28"/>
      <c r="S418" s="28"/>
      <c r="T418" s="28"/>
      <c r="U418" s="4"/>
      <c r="V418" s="3"/>
      <c r="W418" s="3"/>
    </row>
    <row r="419" spans="1:23" s="5" customFormat="1">
      <c r="A419" s="6"/>
      <c r="B419" s="33"/>
      <c r="C419" s="35"/>
      <c r="E419" s="39"/>
      <c r="G419" s="40"/>
      <c r="H419" s="14"/>
      <c r="I419" s="17"/>
      <c r="J419" s="10"/>
      <c r="M419" s="39"/>
      <c r="O419" s="39"/>
      <c r="Q419" s="39"/>
      <c r="R419" s="28"/>
      <c r="S419" s="28"/>
      <c r="T419" s="28"/>
      <c r="U419" s="4"/>
      <c r="V419" s="3"/>
      <c r="W419" s="3"/>
    </row>
    <row r="420" spans="1:23" s="5" customFormat="1">
      <c r="A420" s="6"/>
      <c r="B420" s="33"/>
      <c r="C420" s="35"/>
      <c r="E420" s="39"/>
      <c r="G420" s="40"/>
      <c r="H420" s="14"/>
      <c r="I420" s="17"/>
      <c r="J420" s="10"/>
      <c r="M420" s="39"/>
      <c r="O420" s="39"/>
      <c r="Q420" s="39"/>
      <c r="R420" s="28"/>
      <c r="S420" s="28"/>
      <c r="T420" s="28"/>
      <c r="U420" s="4"/>
      <c r="V420" s="3"/>
      <c r="W420" s="3"/>
    </row>
    <row r="421" spans="1:23" s="5" customFormat="1">
      <c r="A421" s="6"/>
      <c r="B421" s="33"/>
      <c r="C421" s="35"/>
      <c r="E421" s="39"/>
      <c r="G421" s="40"/>
      <c r="H421" s="15"/>
      <c r="I421" s="17"/>
      <c r="J421" s="10"/>
      <c r="M421" s="39"/>
      <c r="O421" s="39"/>
      <c r="Q421" s="39"/>
      <c r="R421" s="28"/>
      <c r="S421" s="28"/>
      <c r="T421" s="28"/>
      <c r="U421" s="4"/>
      <c r="V421" s="3"/>
      <c r="W421" s="3"/>
    </row>
    <row r="422" spans="1:23" s="5" customFormat="1">
      <c r="A422" s="6"/>
      <c r="B422" s="33"/>
      <c r="C422" s="35"/>
      <c r="E422" s="39"/>
      <c r="G422" s="40"/>
      <c r="H422" s="15"/>
      <c r="I422" s="17"/>
      <c r="J422" s="10"/>
      <c r="M422" s="39"/>
      <c r="O422" s="39"/>
      <c r="Q422" s="39"/>
      <c r="R422" s="28"/>
      <c r="S422" s="28"/>
      <c r="T422" s="28"/>
      <c r="U422" s="4"/>
      <c r="V422" s="3"/>
      <c r="W422" s="3"/>
    </row>
    <row r="423" spans="1:23" s="5" customFormat="1">
      <c r="A423" s="6"/>
      <c r="B423" s="33"/>
      <c r="C423" s="35"/>
      <c r="E423" s="39"/>
      <c r="G423" s="40"/>
      <c r="H423" s="15"/>
      <c r="I423" s="17"/>
      <c r="J423" s="10"/>
      <c r="M423" s="39"/>
      <c r="O423" s="39"/>
      <c r="Q423" s="39"/>
      <c r="R423" s="28"/>
      <c r="S423" s="28"/>
      <c r="T423" s="28"/>
      <c r="U423" s="4"/>
      <c r="V423" s="3"/>
      <c r="W423" s="3"/>
    </row>
    <row r="424" spans="1:23" s="5" customFormat="1">
      <c r="A424" s="6"/>
      <c r="B424" s="33"/>
      <c r="C424" s="35"/>
      <c r="E424" s="39"/>
      <c r="G424" s="40"/>
      <c r="H424" s="15"/>
      <c r="I424" s="17"/>
      <c r="J424" s="10"/>
      <c r="M424" s="39"/>
      <c r="O424" s="39"/>
      <c r="Q424" s="39"/>
      <c r="R424" s="28"/>
      <c r="S424" s="28"/>
      <c r="T424" s="28"/>
      <c r="U424" s="4"/>
      <c r="V424" s="3"/>
      <c r="W424" s="3"/>
    </row>
    <row r="425" spans="1:23" s="5" customFormat="1">
      <c r="A425" s="6"/>
      <c r="B425" s="33"/>
      <c r="C425" s="35"/>
      <c r="E425" s="39"/>
      <c r="G425" s="40"/>
      <c r="H425" s="15"/>
      <c r="I425" s="17"/>
      <c r="J425" s="10"/>
      <c r="M425" s="39"/>
      <c r="O425" s="39"/>
      <c r="Q425" s="39"/>
      <c r="R425" s="28"/>
      <c r="S425" s="28"/>
      <c r="T425" s="28"/>
      <c r="U425" s="4"/>
      <c r="V425" s="3"/>
      <c r="W425" s="3"/>
    </row>
    <row r="426" spans="1:23" s="5" customFormat="1">
      <c r="A426" s="6"/>
      <c r="B426" s="33"/>
      <c r="C426" s="35"/>
      <c r="E426" s="39"/>
      <c r="G426" s="40"/>
      <c r="H426" s="15"/>
      <c r="I426" s="17"/>
      <c r="J426" s="10"/>
      <c r="M426" s="39"/>
      <c r="O426" s="39"/>
      <c r="Q426" s="39"/>
      <c r="R426" s="28"/>
      <c r="S426" s="28"/>
      <c r="T426" s="28"/>
      <c r="U426" s="4"/>
      <c r="V426" s="3"/>
      <c r="W426" s="3"/>
    </row>
    <row r="427" spans="1:23" s="5" customFormat="1">
      <c r="A427" s="6"/>
      <c r="B427" s="33"/>
      <c r="C427" s="35"/>
      <c r="E427" s="39"/>
      <c r="G427" s="40"/>
      <c r="H427" s="15"/>
      <c r="I427" s="17"/>
      <c r="J427" s="10"/>
      <c r="M427" s="39"/>
      <c r="O427" s="39"/>
      <c r="Q427" s="39"/>
      <c r="R427" s="28"/>
      <c r="S427" s="28"/>
      <c r="T427" s="28"/>
      <c r="U427" s="4"/>
      <c r="V427" s="3"/>
      <c r="W427" s="3"/>
    </row>
    <row r="428" spans="1:23" s="5" customFormat="1">
      <c r="A428" s="6"/>
      <c r="B428" s="33"/>
      <c r="C428" s="35"/>
      <c r="E428" s="39"/>
      <c r="G428" s="40"/>
      <c r="H428" s="15"/>
      <c r="I428" s="17"/>
      <c r="J428" s="10"/>
      <c r="M428" s="39"/>
      <c r="O428" s="39"/>
      <c r="Q428" s="39"/>
      <c r="R428" s="28"/>
      <c r="S428" s="28"/>
      <c r="T428" s="28"/>
      <c r="U428" s="4"/>
      <c r="V428" s="3"/>
      <c r="W428" s="3"/>
    </row>
    <row r="429" spans="1:23" s="5" customFormat="1">
      <c r="A429" s="6"/>
      <c r="B429" s="33"/>
      <c r="C429" s="35"/>
      <c r="E429" s="39"/>
      <c r="G429" s="40"/>
      <c r="H429" s="15"/>
      <c r="I429" s="17"/>
      <c r="J429" s="10"/>
      <c r="M429" s="39"/>
      <c r="O429" s="39"/>
      <c r="Q429" s="39"/>
      <c r="R429" s="28"/>
      <c r="S429" s="28"/>
      <c r="T429" s="28"/>
      <c r="U429" s="4"/>
      <c r="V429" s="3"/>
      <c r="W429" s="3"/>
    </row>
    <row r="430" spans="1:23" s="5" customFormat="1">
      <c r="A430" s="6"/>
      <c r="B430" s="33"/>
      <c r="C430" s="35"/>
      <c r="E430" s="39"/>
      <c r="G430" s="40"/>
      <c r="H430" s="15"/>
      <c r="I430" s="17"/>
      <c r="J430" s="10"/>
      <c r="M430" s="39"/>
      <c r="O430" s="39"/>
      <c r="Q430" s="39"/>
      <c r="R430" s="28"/>
      <c r="S430" s="28"/>
      <c r="T430" s="28"/>
      <c r="U430" s="4"/>
      <c r="V430" s="3"/>
      <c r="W430" s="3"/>
    </row>
    <row r="431" spans="1:23" s="5" customFormat="1">
      <c r="A431" s="6"/>
      <c r="B431" s="33"/>
      <c r="C431" s="35"/>
      <c r="E431" s="39"/>
      <c r="G431" s="40"/>
      <c r="H431" s="15"/>
      <c r="I431" s="17"/>
      <c r="J431" s="10"/>
      <c r="M431" s="39"/>
      <c r="O431" s="39"/>
      <c r="Q431" s="39"/>
      <c r="R431" s="28"/>
      <c r="S431" s="28"/>
      <c r="T431" s="28"/>
      <c r="U431" s="4"/>
      <c r="V431" s="3"/>
      <c r="W431" s="3"/>
    </row>
    <row r="432" spans="1:23" s="5" customFormat="1">
      <c r="A432" s="6"/>
      <c r="B432" s="33"/>
      <c r="C432" s="35"/>
      <c r="E432" s="39"/>
      <c r="G432" s="40"/>
      <c r="H432" s="15"/>
      <c r="I432" s="17"/>
      <c r="J432" s="10"/>
      <c r="M432" s="39"/>
      <c r="O432" s="39"/>
      <c r="Q432" s="39"/>
      <c r="R432" s="28"/>
      <c r="S432" s="28"/>
      <c r="T432" s="28"/>
      <c r="U432" s="4"/>
      <c r="V432" s="3"/>
      <c r="W432" s="3"/>
    </row>
    <row r="433" spans="1:23" s="5" customFormat="1">
      <c r="A433" s="6"/>
      <c r="B433" s="33"/>
      <c r="C433" s="35"/>
      <c r="E433" s="39"/>
      <c r="G433" s="40"/>
      <c r="H433" s="15"/>
      <c r="I433" s="17"/>
      <c r="J433" s="10"/>
      <c r="M433" s="39"/>
      <c r="O433" s="39"/>
      <c r="Q433" s="39"/>
      <c r="R433" s="28"/>
      <c r="S433" s="28"/>
      <c r="T433" s="28"/>
      <c r="U433" s="4"/>
      <c r="V433" s="3"/>
      <c r="W433" s="3"/>
    </row>
    <row r="434" spans="1:23" s="5" customFormat="1">
      <c r="A434" s="6"/>
      <c r="B434" s="33"/>
      <c r="C434" s="35"/>
      <c r="E434" s="39"/>
      <c r="G434" s="40"/>
      <c r="H434" s="15"/>
      <c r="I434" s="17"/>
      <c r="J434" s="10"/>
      <c r="M434" s="39"/>
      <c r="O434" s="39"/>
      <c r="Q434" s="39"/>
      <c r="R434" s="28"/>
      <c r="S434" s="28"/>
      <c r="T434" s="28"/>
      <c r="U434" s="4"/>
      <c r="V434" s="3"/>
      <c r="W434" s="3"/>
    </row>
    <row r="435" spans="1:23" s="5" customFormat="1">
      <c r="A435" s="6"/>
      <c r="B435" s="33"/>
      <c r="C435" s="35"/>
      <c r="E435" s="39"/>
      <c r="G435" s="40"/>
      <c r="H435" s="15"/>
      <c r="I435" s="17"/>
      <c r="J435" s="10"/>
      <c r="M435" s="39"/>
      <c r="O435" s="39"/>
      <c r="Q435" s="39"/>
      <c r="R435" s="28"/>
      <c r="S435" s="28"/>
      <c r="T435" s="28"/>
      <c r="U435" s="4"/>
      <c r="V435" s="3"/>
      <c r="W435" s="3"/>
    </row>
    <row r="436" spans="1:23" s="5" customFormat="1">
      <c r="A436" s="6"/>
      <c r="B436" s="33"/>
      <c r="C436" s="35"/>
      <c r="E436" s="39"/>
      <c r="G436" s="40"/>
      <c r="H436" s="15"/>
      <c r="I436" s="17"/>
      <c r="J436" s="10"/>
      <c r="M436" s="39"/>
      <c r="O436" s="39"/>
      <c r="Q436" s="39"/>
      <c r="R436" s="28"/>
      <c r="S436" s="28"/>
      <c r="T436" s="28"/>
      <c r="U436" s="4"/>
      <c r="V436" s="3"/>
      <c r="W436" s="3"/>
    </row>
    <row r="437" spans="1:23" s="5" customFormat="1">
      <c r="A437" s="6"/>
      <c r="B437" s="33"/>
      <c r="C437" s="35"/>
      <c r="E437" s="39"/>
      <c r="G437" s="40"/>
      <c r="H437" s="15"/>
      <c r="I437" s="17"/>
      <c r="J437" s="10"/>
      <c r="M437" s="39"/>
      <c r="O437" s="39"/>
      <c r="Q437" s="39"/>
      <c r="R437" s="28"/>
      <c r="S437" s="28"/>
      <c r="T437" s="28"/>
      <c r="U437" s="4"/>
      <c r="V437" s="3"/>
      <c r="W437" s="3"/>
    </row>
    <row r="438" spans="1:23" s="5" customFormat="1">
      <c r="A438" s="6"/>
      <c r="B438" s="33"/>
      <c r="C438" s="35"/>
      <c r="E438" s="39"/>
      <c r="G438" s="40"/>
      <c r="H438" s="15"/>
      <c r="I438" s="17"/>
      <c r="J438" s="10"/>
      <c r="M438" s="39"/>
      <c r="O438" s="39"/>
      <c r="Q438" s="39"/>
      <c r="R438" s="28"/>
      <c r="S438" s="28"/>
      <c r="T438" s="28"/>
      <c r="U438" s="4"/>
      <c r="V438" s="3"/>
      <c r="W438" s="3"/>
    </row>
    <row r="439" spans="1:23" s="5" customFormat="1">
      <c r="A439" s="6"/>
      <c r="B439" s="33"/>
      <c r="C439" s="35"/>
      <c r="E439" s="39"/>
      <c r="G439" s="40"/>
      <c r="H439" s="15"/>
      <c r="I439" s="17"/>
      <c r="J439" s="10"/>
      <c r="M439" s="39"/>
      <c r="O439" s="39"/>
      <c r="Q439" s="39"/>
      <c r="R439" s="28"/>
      <c r="S439" s="28"/>
      <c r="T439" s="28"/>
      <c r="U439" s="4"/>
      <c r="V439" s="3"/>
      <c r="W439" s="3"/>
    </row>
    <row r="440" spans="1:23" s="5" customFormat="1">
      <c r="A440" s="6"/>
      <c r="B440" s="33"/>
      <c r="C440" s="35"/>
      <c r="E440" s="39"/>
      <c r="G440" s="40"/>
      <c r="H440" s="14"/>
      <c r="I440" s="17"/>
      <c r="J440" s="10"/>
      <c r="M440" s="39"/>
      <c r="O440" s="39"/>
      <c r="Q440" s="39"/>
      <c r="R440" s="28"/>
      <c r="S440" s="28"/>
      <c r="T440" s="28"/>
      <c r="U440" s="4"/>
      <c r="V440" s="3"/>
      <c r="W440" s="3"/>
    </row>
    <row r="441" spans="1:23" s="5" customFormat="1">
      <c r="A441" s="6"/>
      <c r="B441" s="33"/>
      <c r="C441" s="35"/>
      <c r="E441" s="39"/>
      <c r="G441" s="40"/>
      <c r="H441" s="15"/>
      <c r="I441" s="17"/>
      <c r="J441" s="10"/>
      <c r="M441" s="39"/>
      <c r="O441" s="39"/>
      <c r="Q441" s="39"/>
      <c r="R441" s="28"/>
      <c r="S441" s="28"/>
      <c r="T441" s="28"/>
      <c r="U441" s="4"/>
      <c r="V441" s="3"/>
      <c r="W441" s="3"/>
    </row>
    <row r="442" spans="1:23" s="5" customFormat="1">
      <c r="A442" s="6"/>
      <c r="B442" s="33"/>
      <c r="C442" s="35"/>
      <c r="E442" s="39"/>
      <c r="G442" s="40"/>
      <c r="H442" s="15"/>
      <c r="I442" s="17"/>
      <c r="J442" s="10"/>
      <c r="M442" s="39"/>
      <c r="O442" s="39"/>
      <c r="Q442" s="39"/>
      <c r="R442" s="28"/>
      <c r="S442" s="28"/>
      <c r="T442" s="28"/>
      <c r="U442" s="4"/>
      <c r="V442" s="3"/>
      <c r="W442" s="3"/>
    </row>
    <row r="443" spans="1:23" s="5" customFormat="1">
      <c r="A443" s="6"/>
      <c r="B443" s="33"/>
      <c r="C443" s="35"/>
      <c r="E443" s="39"/>
      <c r="G443" s="40"/>
      <c r="H443" s="14"/>
      <c r="I443" s="17"/>
      <c r="J443" s="10"/>
      <c r="M443" s="39"/>
      <c r="O443" s="39"/>
      <c r="Q443" s="39"/>
      <c r="R443" s="28"/>
      <c r="S443" s="28"/>
      <c r="T443" s="28"/>
      <c r="U443" s="4"/>
      <c r="V443" s="3"/>
      <c r="W443" s="3"/>
    </row>
    <row r="444" spans="1:23" s="5" customFormat="1">
      <c r="A444" s="6"/>
      <c r="B444" s="33"/>
      <c r="C444" s="35"/>
      <c r="E444" s="39"/>
      <c r="G444" s="40"/>
      <c r="H444" s="14"/>
      <c r="I444" s="17"/>
      <c r="J444" s="10"/>
      <c r="M444" s="39"/>
      <c r="O444" s="39"/>
      <c r="Q444" s="39"/>
      <c r="R444" s="28"/>
      <c r="S444" s="28"/>
      <c r="T444" s="28"/>
      <c r="U444" s="4"/>
      <c r="V444" s="3"/>
      <c r="W444" s="3"/>
    </row>
    <row r="445" spans="1:23" s="5" customFormat="1">
      <c r="A445" s="6"/>
      <c r="B445" s="33"/>
      <c r="C445" s="35"/>
      <c r="E445" s="39"/>
      <c r="G445" s="40"/>
      <c r="H445" s="14"/>
      <c r="I445" s="17"/>
      <c r="J445" s="10"/>
      <c r="M445" s="39"/>
      <c r="O445" s="39"/>
      <c r="Q445" s="39"/>
      <c r="R445" s="28"/>
      <c r="S445" s="28"/>
      <c r="T445" s="28"/>
      <c r="U445" s="4"/>
      <c r="V445" s="3"/>
      <c r="W445" s="3"/>
    </row>
    <row r="446" spans="1:23" s="5" customFormat="1">
      <c r="A446" s="6"/>
      <c r="B446" s="33"/>
      <c r="C446" s="35"/>
      <c r="E446" s="39"/>
      <c r="G446" s="40"/>
      <c r="H446" s="14"/>
      <c r="I446" s="17"/>
      <c r="J446" s="10"/>
      <c r="M446" s="39"/>
      <c r="O446" s="39"/>
      <c r="Q446" s="39"/>
      <c r="R446" s="28"/>
      <c r="S446" s="29"/>
      <c r="T446" s="28"/>
      <c r="U446" s="4"/>
      <c r="V446" s="3"/>
      <c r="W446" s="3"/>
    </row>
    <row r="447" spans="1:23" s="5" customFormat="1">
      <c r="A447" s="6"/>
      <c r="B447" s="33"/>
      <c r="C447" s="35"/>
      <c r="E447" s="39"/>
      <c r="G447" s="40"/>
      <c r="H447" s="14"/>
      <c r="I447" s="17"/>
      <c r="J447" s="10"/>
      <c r="M447" s="39"/>
      <c r="O447" s="39"/>
      <c r="Q447" s="39"/>
      <c r="R447" s="28"/>
      <c r="S447" s="28"/>
      <c r="T447" s="28"/>
      <c r="U447" s="4"/>
      <c r="V447" s="3"/>
      <c r="W447" s="3"/>
    </row>
    <row r="448" spans="1:23" s="5" customFormat="1">
      <c r="A448" s="6"/>
      <c r="B448" s="33"/>
      <c r="C448" s="35"/>
      <c r="E448" s="39"/>
      <c r="G448" s="40"/>
      <c r="H448" s="14"/>
      <c r="I448" s="17"/>
      <c r="J448" s="10"/>
      <c r="M448" s="39"/>
      <c r="O448" s="39"/>
      <c r="Q448" s="39"/>
      <c r="R448" s="28"/>
      <c r="S448" s="28"/>
      <c r="T448" s="28"/>
      <c r="U448" s="4"/>
      <c r="V448" s="3"/>
      <c r="W448" s="3"/>
    </row>
    <row r="449" spans="1:23" s="5" customFormat="1">
      <c r="A449" s="6"/>
      <c r="B449" s="33"/>
      <c r="C449" s="35"/>
      <c r="E449" s="39"/>
      <c r="G449" s="40"/>
      <c r="H449" s="15"/>
      <c r="I449" s="17"/>
      <c r="J449" s="10"/>
      <c r="M449" s="39"/>
      <c r="O449" s="39"/>
      <c r="Q449" s="39"/>
      <c r="R449" s="28"/>
      <c r="S449" s="28"/>
      <c r="T449" s="28"/>
      <c r="U449" s="4"/>
      <c r="V449" s="3"/>
      <c r="W449" s="3"/>
    </row>
    <row r="450" spans="1:23" s="5" customFormat="1">
      <c r="A450" s="6"/>
      <c r="B450" s="33"/>
      <c r="C450" s="35"/>
      <c r="E450" s="39"/>
      <c r="G450" s="40"/>
      <c r="H450" s="15"/>
      <c r="I450" s="17"/>
      <c r="J450" s="10"/>
      <c r="M450" s="39"/>
      <c r="O450" s="39"/>
      <c r="Q450" s="39"/>
      <c r="R450" s="28"/>
      <c r="S450" s="28"/>
      <c r="T450" s="28"/>
      <c r="U450" s="4"/>
      <c r="V450" s="3"/>
      <c r="W450" s="3"/>
    </row>
    <row r="451" spans="1:23" s="5" customFormat="1">
      <c r="A451" s="6"/>
      <c r="B451" s="33"/>
      <c r="C451" s="35"/>
      <c r="E451" s="39"/>
      <c r="G451" s="40"/>
      <c r="H451" s="15"/>
      <c r="I451" s="17"/>
      <c r="J451" s="10"/>
      <c r="M451" s="39"/>
      <c r="O451" s="39"/>
      <c r="Q451" s="39"/>
      <c r="R451" s="28"/>
      <c r="S451" s="28"/>
      <c r="T451" s="28"/>
      <c r="U451" s="4"/>
      <c r="V451" s="3"/>
      <c r="W451" s="3"/>
    </row>
    <row r="452" spans="1:23" s="5" customFormat="1">
      <c r="A452" s="6"/>
      <c r="B452" s="33"/>
      <c r="C452" s="35"/>
      <c r="E452" s="39"/>
      <c r="G452" s="40"/>
      <c r="H452" s="14"/>
      <c r="I452" s="17"/>
      <c r="J452" s="10"/>
      <c r="M452" s="39"/>
      <c r="O452" s="39"/>
      <c r="Q452" s="39"/>
      <c r="R452" s="28"/>
      <c r="S452" s="28"/>
      <c r="T452" s="28"/>
      <c r="U452" s="4"/>
      <c r="V452" s="3"/>
      <c r="W452" s="3"/>
    </row>
    <row r="453" spans="1:23" s="5" customFormat="1">
      <c r="A453" s="6"/>
      <c r="B453" s="33"/>
      <c r="C453" s="35"/>
      <c r="E453" s="39"/>
      <c r="G453" s="40"/>
      <c r="H453" s="15"/>
      <c r="I453" s="17"/>
      <c r="J453" s="10"/>
      <c r="M453" s="39"/>
      <c r="O453" s="39"/>
      <c r="Q453" s="39"/>
      <c r="R453" s="28"/>
      <c r="S453" s="28"/>
      <c r="T453" s="28"/>
      <c r="U453" s="4"/>
      <c r="V453" s="3"/>
      <c r="W453" s="3"/>
    </row>
    <row r="454" spans="1:23" s="5" customFormat="1">
      <c r="A454" s="6"/>
      <c r="B454" s="33"/>
      <c r="C454" s="35"/>
      <c r="E454" s="39"/>
      <c r="G454" s="40"/>
      <c r="H454" s="15"/>
      <c r="I454" s="17"/>
      <c r="J454" s="10"/>
      <c r="M454" s="39"/>
      <c r="O454" s="39"/>
      <c r="Q454" s="39"/>
      <c r="R454" s="28"/>
      <c r="S454" s="28"/>
      <c r="T454" s="28"/>
      <c r="U454" s="4"/>
      <c r="V454" s="3"/>
      <c r="W454" s="3"/>
    </row>
    <row r="455" spans="1:23" s="5" customFormat="1">
      <c r="A455" s="6"/>
      <c r="B455" s="33"/>
      <c r="C455" s="35"/>
      <c r="E455" s="39"/>
      <c r="G455" s="40"/>
      <c r="H455" s="15"/>
      <c r="I455" s="17"/>
      <c r="J455" s="10"/>
      <c r="M455" s="39"/>
      <c r="O455" s="39"/>
      <c r="Q455" s="39"/>
      <c r="R455" s="28"/>
      <c r="S455" s="28"/>
      <c r="T455" s="28"/>
      <c r="U455" s="4"/>
      <c r="V455" s="3"/>
      <c r="W455" s="3"/>
    </row>
    <row r="456" spans="1:23" s="5" customFormat="1">
      <c r="A456" s="6"/>
      <c r="B456" s="33"/>
      <c r="C456" s="35"/>
      <c r="E456" s="39"/>
      <c r="G456" s="40"/>
      <c r="H456" s="15"/>
      <c r="I456" s="17"/>
      <c r="J456" s="10"/>
      <c r="M456" s="39"/>
      <c r="O456" s="39"/>
      <c r="Q456" s="39"/>
      <c r="R456" s="28"/>
      <c r="S456" s="28"/>
      <c r="T456" s="28"/>
      <c r="U456" s="4"/>
      <c r="V456" s="3"/>
      <c r="W456" s="3"/>
    </row>
    <row r="457" spans="1:23" s="5" customFormat="1">
      <c r="A457" s="6"/>
      <c r="B457" s="33"/>
      <c r="C457" s="35"/>
      <c r="E457" s="39"/>
      <c r="G457" s="40"/>
      <c r="H457" s="15"/>
      <c r="I457" s="17"/>
      <c r="J457" s="10"/>
      <c r="M457" s="39"/>
      <c r="O457" s="39"/>
      <c r="Q457" s="39"/>
      <c r="R457" s="28"/>
      <c r="S457" s="28"/>
      <c r="T457" s="28"/>
      <c r="U457" s="4"/>
      <c r="V457" s="3"/>
      <c r="W457" s="3"/>
    </row>
    <row r="458" spans="1:23" s="5" customFormat="1">
      <c r="A458" s="6"/>
      <c r="B458" s="33"/>
      <c r="C458" s="35"/>
      <c r="E458" s="39"/>
      <c r="G458" s="40"/>
      <c r="H458" s="15"/>
      <c r="I458" s="17"/>
      <c r="J458" s="10"/>
      <c r="M458" s="39"/>
      <c r="O458" s="39"/>
      <c r="Q458" s="39"/>
      <c r="R458" s="28"/>
      <c r="S458" s="28"/>
      <c r="T458" s="28"/>
      <c r="U458" s="4"/>
      <c r="V458" s="3"/>
      <c r="W458" s="3"/>
    </row>
    <row r="459" spans="1:23" s="5" customFormat="1">
      <c r="A459" s="6"/>
      <c r="B459" s="33"/>
      <c r="C459" s="35"/>
      <c r="E459" s="39"/>
      <c r="G459" s="40"/>
      <c r="H459" s="14"/>
      <c r="I459" s="17"/>
      <c r="J459" s="10"/>
      <c r="M459" s="39"/>
      <c r="O459" s="39"/>
      <c r="Q459" s="39"/>
      <c r="R459" s="28"/>
      <c r="S459" s="28"/>
      <c r="T459" s="28"/>
      <c r="U459" s="4"/>
      <c r="V459" s="3"/>
      <c r="W459" s="3"/>
    </row>
    <row r="460" spans="1:23" s="5" customFormat="1">
      <c r="A460" s="6"/>
      <c r="B460" s="33"/>
      <c r="C460" s="35"/>
      <c r="E460" s="39"/>
      <c r="G460" s="40"/>
      <c r="H460" s="15"/>
      <c r="I460" s="17"/>
      <c r="J460" s="10"/>
      <c r="M460" s="39"/>
      <c r="O460" s="39"/>
      <c r="Q460" s="39"/>
      <c r="R460" s="28"/>
      <c r="S460" s="28"/>
      <c r="T460" s="28"/>
      <c r="U460" s="4"/>
      <c r="V460" s="3"/>
      <c r="W460" s="3"/>
    </row>
    <row r="461" spans="1:23" s="5" customFormat="1">
      <c r="A461" s="6"/>
      <c r="B461" s="33"/>
      <c r="C461" s="35"/>
      <c r="E461" s="39"/>
      <c r="G461" s="40"/>
      <c r="H461" s="14"/>
      <c r="I461" s="17"/>
      <c r="J461" s="10"/>
      <c r="M461" s="39"/>
      <c r="O461" s="39"/>
      <c r="Q461" s="39"/>
      <c r="R461" s="28"/>
      <c r="S461" s="28"/>
      <c r="T461" s="28"/>
      <c r="U461" s="4"/>
      <c r="V461" s="3"/>
      <c r="W461" s="3"/>
    </row>
    <row r="462" spans="1:23" s="5" customFormat="1">
      <c r="A462" s="6"/>
      <c r="B462" s="33"/>
      <c r="C462" s="35"/>
      <c r="E462" s="39"/>
      <c r="G462" s="40"/>
      <c r="H462" s="15"/>
      <c r="I462" s="17"/>
      <c r="J462" s="10"/>
      <c r="M462" s="39"/>
      <c r="O462" s="39"/>
      <c r="Q462" s="39"/>
      <c r="R462" s="28"/>
      <c r="S462" s="28"/>
      <c r="T462" s="28"/>
      <c r="U462" s="4"/>
      <c r="V462" s="3"/>
      <c r="W462" s="3"/>
    </row>
    <row r="463" spans="1:23" s="5" customFormat="1">
      <c r="A463" s="6"/>
      <c r="B463" s="33"/>
      <c r="C463" s="35"/>
      <c r="E463" s="39"/>
      <c r="G463" s="40"/>
      <c r="H463" s="14"/>
      <c r="I463" s="17"/>
      <c r="J463" s="10"/>
      <c r="M463" s="39"/>
      <c r="O463" s="39"/>
      <c r="Q463" s="39"/>
      <c r="R463" s="28"/>
      <c r="S463" s="28"/>
      <c r="T463" s="28"/>
      <c r="U463" s="4"/>
      <c r="V463" s="3"/>
      <c r="W463" s="3"/>
    </row>
    <row r="464" spans="1:23" s="5" customFormat="1">
      <c r="A464" s="6"/>
      <c r="B464" s="33"/>
      <c r="C464" s="35"/>
      <c r="E464" s="39"/>
      <c r="G464" s="40"/>
      <c r="H464" s="15"/>
      <c r="I464" s="17"/>
      <c r="J464" s="10"/>
      <c r="M464" s="39"/>
      <c r="O464" s="39"/>
      <c r="Q464" s="39"/>
      <c r="R464" s="28"/>
      <c r="S464" s="28"/>
      <c r="T464" s="28"/>
      <c r="U464" s="4"/>
      <c r="V464" s="3"/>
      <c r="W464" s="3"/>
    </row>
    <row r="465" spans="1:23" s="5" customFormat="1">
      <c r="A465" s="6"/>
      <c r="B465" s="33"/>
      <c r="C465" s="35"/>
      <c r="E465" s="39"/>
      <c r="G465" s="40"/>
      <c r="H465" s="15"/>
      <c r="I465" s="17"/>
      <c r="J465" s="10"/>
      <c r="M465" s="39"/>
      <c r="O465" s="39"/>
      <c r="Q465" s="39"/>
      <c r="R465" s="28"/>
      <c r="S465" s="28"/>
      <c r="T465" s="28"/>
      <c r="U465" s="4"/>
      <c r="V465" s="3"/>
      <c r="W465" s="3"/>
    </row>
    <row r="466" spans="1:23" s="5" customFormat="1">
      <c r="A466" s="6"/>
      <c r="B466" s="33"/>
      <c r="C466" s="35"/>
      <c r="E466" s="39"/>
      <c r="G466" s="40"/>
      <c r="H466" s="15"/>
      <c r="I466" s="17"/>
      <c r="J466" s="10"/>
      <c r="M466" s="39"/>
      <c r="O466" s="39"/>
      <c r="Q466" s="39"/>
      <c r="R466" s="28"/>
      <c r="S466" s="28"/>
      <c r="T466" s="28"/>
      <c r="U466" s="4"/>
      <c r="V466" s="3"/>
      <c r="W466" s="3"/>
    </row>
    <row r="467" spans="1:23" s="5" customFormat="1">
      <c r="A467" s="6"/>
      <c r="B467" s="33"/>
      <c r="C467" s="35"/>
      <c r="E467" s="39"/>
      <c r="G467" s="40"/>
      <c r="H467" s="15"/>
      <c r="I467" s="17"/>
      <c r="J467" s="10"/>
      <c r="M467" s="39"/>
      <c r="O467" s="39"/>
      <c r="Q467" s="39"/>
      <c r="R467" s="28"/>
      <c r="S467" s="28"/>
      <c r="T467" s="28"/>
      <c r="U467" s="4"/>
      <c r="V467" s="3"/>
      <c r="W467" s="3"/>
    </row>
    <row r="468" spans="1:23" s="5" customFormat="1">
      <c r="A468" s="6"/>
      <c r="B468" s="33"/>
      <c r="C468" s="35"/>
      <c r="E468" s="39"/>
      <c r="G468" s="40"/>
      <c r="H468" s="15"/>
      <c r="I468" s="17"/>
      <c r="J468" s="10"/>
      <c r="M468" s="39"/>
      <c r="O468" s="39"/>
      <c r="Q468" s="39"/>
      <c r="R468" s="28"/>
      <c r="S468" s="28"/>
      <c r="T468" s="28"/>
      <c r="U468" s="4"/>
      <c r="V468" s="3"/>
      <c r="W468" s="3"/>
    </row>
    <row r="469" spans="1:23" s="5" customFormat="1">
      <c r="A469" s="6"/>
      <c r="B469" s="33"/>
      <c r="C469" s="35"/>
      <c r="E469" s="39"/>
      <c r="G469" s="40"/>
      <c r="H469" s="15"/>
      <c r="I469" s="17"/>
      <c r="J469" s="10"/>
      <c r="M469" s="39"/>
      <c r="O469" s="39"/>
      <c r="Q469" s="39"/>
      <c r="R469" s="28"/>
      <c r="S469" s="28"/>
      <c r="T469" s="28"/>
      <c r="U469" s="4"/>
      <c r="V469" s="3"/>
      <c r="W469" s="3"/>
    </row>
    <row r="470" spans="1:23" s="5" customFormat="1">
      <c r="A470" s="6"/>
      <c r="B470" s="33"/>
      <c r="C470" s="35"/>
      <c r="E470" s="39"/>
      <c r="G470" s="40"/>
      <c r="H470" s="15"/>
      <c r="I470" s="17"/>
      <c r="J470" s="10"/>
      <c r="M470" s="39"/>
      <c r="O470" s="39"/>
      <c r="Q470" s="39"/>
      <c r="R470" s="28"/>
      <c r="S470" s="28"/>
      <c r="T470" s="28"/>
      <c r="U470" s="4"/>
      <c r="V470" s="3"/>
      <c r="W470" s="3"/>
    </row>
    <row r="471" spans="1:23" s="5" customFormat="1">
      <c r="A471" s="6"/>
      <c r="B471" s="33"/>
      <c r="C471" s="35"/>
      <c r="E471" s="39"/>
      <c r="G471" s="40"/>
      <c r="H471" s="15"/>
      <c r="I471" s="17"/>
      <c r="J471" s="10"/>
      <c r="M471" s="39"/>
      <c r="O471" s="39"/>
      <c r="Q471" s="39"/>
      <c r="R471" s="28"/>
      <c r="S471" s="28"/>
      <c r="T471" s="28"/>
      <c r="U471" s="4"/>
      <c r="V471" s="3"/>
      <c r="W471" s="3"/>
    </row>
    <row r="472" spans="1:23" s="5" customFormat="1">
      <c r="A472" s="6"/>
      <c r="B472" s="33"/>
      <c r="C472" s="35"/>
      <c r="E472" s="39"/>
      <c r="G472" s="40"/>
      <c r="H472" s="15"/>
      <c r="I472" s="17"/>
      <c r="J472" s="10"/>
      <c r="M472" s="39"/>
      <c r="O472" s="39"/>
      <c r="Q472" s="39"/>
      <c r="R472" s="28"/>
      <c r="S472" s="28"/>
      <c r="T472" s="28"/>
      <c r="U472" s="4"/>
      <c r="V472" s="3"/>
      <c r="W472" s="3"/>
    </row>
    <row r="473" spans="1:23" s="5" customFormat="1">
      <c r="A473" s="6"/>
      <c r="B473" s="33"/>
      <c r="C473" s="35"/>
      <c r="E473" s="39"/>
      <c r="G473" s="40"/>
      <c r="H473" s="15"/>
      <c r="I473" s="17"/>
      <c r="J473" s="10"/>
      <c r="M473" s="39"/>
      <c r="O473" s="39"/>
      <c r="Q473" s="39"/>
      <c r="R473" s="28"/>
      <c r="S473" s="28"/>
      <c r="T473" s="28"/>
      <c r="U473" s="4"/>
      <c r="V473" s="3"/>
      <c r="W473" s="3"/>
    </row>
    <row r="474" spans="1:23" s="5" customFormat="1">
      <c r="A474" s="6"/>
      <c r="B474" s="33"/>
      <c r="C474" s="35"/>
      <c r="E474" s="39"/>
      <c r="G474" s="40"/>
      <c r="H474" s="15"/>
      <c r="I474" s="17"/>
      <c r="J474" s="10"/>
      <c r="M474" s="39"/>
      <c r="O474" s="39"/>
      <c r="Q474" s="39"/>
      <c r="R474" s="28"/>
      <c r="S474" s="28"/>
      <c r="T474" s="28"/>
      <c r="U474" s="4"/>
      <c r="V474" s="3"/>
      <c r="W474" s="3"/>
    </row>
    <row r="475" spans="1:23" s="5" customFormat="1">
      <c r="A475" s="6"/>
      <c r="B475" s="33"/>
      <c r="C475" s="35"/>
      <c r="E475" s="39"/>
      <c r="G475" s="40"/>
      <c r="H475" s="15"/>
      <c r="I475" s="17"/>
      <c r="J475" s="10"/>
      <c r="M475" s="39"/>
      <c r="O475" s="39"/>
      <c r="Q475" s="39"/>
      <c r="R475" s="28"/>
      <c r="S475" s="28"/>
      <c r="T475" s="28"/>
      <c r="U475" s="4"/>
      <c r="V475" s="3"/>
      <c r="W475" s="3"/>
    </row>
    <row r="476" spans="1:23" s="5" customFormat="1">
      <c r="A476" s="6"/>
      <c r="B476" s="33"/>
      <c r="C476" s="35"/>
      <c r="E476" s="39"/>
      <c r="G476" s="40"/>
      <c r="H476" s="15"/>
      <c r="I476" s="17"/>
      <c r="J476" s="10"/>
      <c r="M476" s="39"/>
      <c r="O476" s="39"/>
      <c r="Q476" s="39"/>
      <c r="R476" s="28"/>
      <c r="S476" s="28"/>
      <c r="T476" s="28"/>
      <c r="U476" s="4"/>
      <c r="V476" s="3"/>
      <c r="W476" s="3"/>
    </row>
    <row r="477" spans="1:23" s="5" customFormat="1">
      <c r="A477" s="6"/>
      <c r="B477" s="33"/>
      <c r="C477" s="35"/>
      <c r="E477" s="39"/>
      <c r="G477" s="40"/>
      <c r="H477" s="15"/>
      <c r="I477" s="17"/>
      <c r="J477" s="10"/>
      <c r="M477" s="39"/>
      <c r="O477" s="39"/>
      <c r="Q477" s="39"/>
      <c r="R477" s="28"/>
      <c r="S477" s="28"/>
      <c r="T477" s="28"/>
      <c r="U477" s="4"/>
      <c r="V477" s="3"/>
      <c r="W477" s="3"/>
    </row>
    <row r="478" spans="1:23" s="5" customFormat="1">
      <c r="A478" s="6"/>
      <c r="B478" s="33"/>
      <c r="C478" s="35"/>
      <c r="E478" s="39"/>
      <c r="G478" s="40"/>
      <c r="H478" s="15"/>
      <c r="I478" s="17"/>
      <c r="J478" s="10"/>
      <c r="M478" s="39"/>
      <c r="O478" s="39"/>
      <c r="Q478" s="39"/>
      <c r="R478" s="28"/>
      <c r="S478" s="28"/>
      <c r="T478" s="28"/>
      <c r="U478" s="4"/>
      <c r="V478" s="3"/>
      <c r="W478" s="3"/>
    </row>
    <row r="479" spans="1:23" s="5" customFormat="1">
      <c r="A479" s="6"/>
      <c r="B479" s="33"/>
      <c r="C479" s="35"/>
      <c r="E479" s="39"/>
      <c r="G479" s="40"/>
      <c r="H479" s="15"/>
      <c r="I479" s="17"/>
      <c r="J479" s="10"/>
      <c r="M479" s="39"/>
      <c r="O479" s="39"/>
      <c r="Q479" s="39"/>
      <c r="R479" s="28"/>
      <c r="S479" s="28"/>
      <c r="T479" s="28"/>
      <c r="U479" s="4"/>
      <c r="V479" s="3"/>
      <c r="W479" s="3"/>
    </row>
    <row r="480" spans="1:23" s="5" customFormat="1">
      <c r="A480" s="6"/>
      <c r="B480" s="33"/>
      <c r="C480" s="35"/>
      <c r="E480" s="39"/>
      <c r="G480" s="40"/>
      <c r="H480" s="15"/>
      <c r="I480" s="17"/>
      <c r="J480" s="10"/>
      <c r="M480" s="39"/>
      <c r="O480" s="39"/>
      <c r="Q480" s="39"/>
      <c r="R480" s="28"/>
      <c r="S480" s="28"/>
      <c r="T480" s="28"/>
      <c r="U480" s="4"/>
      <c r="V480" s="3"/>
      <c r="W480" s="3"/>
    </row>
    <row r="481" spans="1:23" s="5" customFormat="1">
      <c r="A481" s="6"/>
      <c r="B481" s="33"/>
      <c r="C481" s="35"/>
      <c r="E481" s="39"/>
      <c r="G481" s="40"/>
      <c r="H481" s="15"/>
      <c r="I481" s="17"/>
      <c r="J481" s="10"/>
      <c r="M481" s="39"/>
      <c r="O481" s="39"/>
      <c r="Q481" s="39"/>
      <c r="R481" s="28"/>
      <c r="S481" s="28"/>
      <c r="T481" s="28"/>
      <c r="U481" s="4"/>
      <c r="V481" s="3"/>
      <c r="W481" s="3"/>
    </row>
    <row r="482" spans="1:23" s="5" customFormat="1">
      <c r="A482" s="6"/>
      <c r="B482" s="33"/>
      <c r="C482" s="35"/>
      <c r="E482" s="39"/>
      <c r="G482" s="40"/>
      <c r="H482" s="15"/>
      <c r="I482" s="17"/>
      <c r="J482" s="10"/>
      <c r="M482" s="39"/>
      <c r="O482" s="39"/>
      <c r="Q482" s="39"/>
      <c r="R482" s="28"/>
      <c r="S482" s="28"/>
      <c r="T482" s="28"/>
      <c r="U482" s="4"/>
      <c r="V482" s="3"/>
      <c r="W482" s="3"/>
    </row>
    <row r="483" spans="1:23" s="5" customFormat="1">
      <c r="A483" s="6"/>
      <c r="B483" s="33"/>
      <c r="C483" s="35"/>
      <c r="E483" s="39"/>
      <c r="G483" s="40"/>
      <c r="H483" s="15"/>
      <c r="I483" s="17"/>
      <c r="J483" s="10"/>
      <c r="M483" s="39"/>
      <c r="O483" s="39"/>
      <c r="Q483" s="39"/>
      <c r="R483" s="28"/>
      <c r="S483" s="28"/>
      <c r="T483" s="28"/>
      <c r="U483" s="4"/>
      <c r="V483" s="3"/>
      <c r="W483" s="3"/>
    </row>
    <row r="484" spans="1:23" s="5" customFormat="1">
      <c r="A484" s="6"/>
      <c r="B484" s="33"/>
      <c r="C484" s="35"/>
      <c r="E484" s="39"/>
      <c r="G484" s="40"/>
      <c r="H484" s="15"/>
      <c r="I484" s="17"/>
      <c r="J484" s="10"/>
      <c r="M484" s="39"/>
      <c r="O484" s="39"/>
      <c r="Q484" s="39"/>
      <c r="R484" s="28"/>
      <c r="S484" s="28"/>
      <c r="T484" s="28"/>
      <c r="U484" s="4"/>
      <c r="V484" s="3"/>
      <c r="W484" s="3"/>
    </row>
    <row r="485" spans="1:23" s="5" customFormat="1">
      <c r="A485" s="6"/>
      <c r="B485" s="33"/>
      <c r="C485" s="35"/>
      <c r="E485" s="39"/>
      <c r="G485" s="40"/>
      <c r="H485" s="15"/>
      <c r="I485" s="17"/>
      <c r="J485" s="10"/>
      <c r="M485" s="39"/>
      <c r="O485" s="39"/>
      <c r="Q485" s="39"/>
      <c r="R485" s="28"/>
      <c r="S485" s="28"/>
      <c r="T485" s="28"/>
      <c r="U485" s="4"/>
      <c r="V485" s="3"/>
      <c r="W485" s="3"/>
    </row>
    <row r="486" spans="1:23" s="5" customFormat="1">
      <c r="A486" s="6"/>
      <c r="B486" s="33"/>
      <c r="C486" s="35"/>
      <c r="E486" s="39"/>
      <c r="G486" s="40"/>
      <c r="H486" s="15"/>
      <c r="I486" s="17"/>
      <c r="J486" s="10"/>
      <c r="M486" s="39"/>
      <c r="O486" s="39"/>
      <c r="Q486" s="39"/>
      <c r="R486" s="28"/>
      <c r="S486" s="28"/>
      <c r="T486" s="28"/>
      <c r="U486" s="4"/>
      <c r="V486" s="3"/>
      <c r="W486" s="3"/>
    </row>
    <row r="487" spans="1:23" s="5" customFormat="1">
      <c r="A487" s="6"/>
      <c r="B487" s="33"/>
      <c r="C487" s="35"/>
      <c r="E487" s="39"/>
      <c r="G487" s="40"/>
      <c r="H487" s="15"/>
      <c r="I487" s="17"/>
      <c r="J487" s="10"/>
      <c r="M487" s="39"/>
      <c r="O487" s="39"/>
      <c r="Q487" s="39"/>
      <c r="R487" s="28"/>
      <c r="S487" s="28"/>
      <c r="T487" s="28"/>
      <c r="U487" s="4"/>
      <c r="V487" s="3"/>
      <c r="W487" s="3"/>
    </row>
    <row r="488" spans="1:23" s="5" customFormat="1">
      <c r="A488" s="6"/>
      <c r="B488" s="33"/>
      <c r="C488" s="35"/>
      <c r="E488" s="39"/>
      <c r="G488" s="40"/>
      <c r="H488" s="15"/>
      <c r="I488" s="17"/>
      <c r="J488" s="10"/>
      <c r="M488" s="39"/>
      <c r="O488" s="39"/>
      <c r="Q488" s="39"/>
      <c r="R488" s="28"/>
      <c r="S488" s="28"/>
      <c r="T488" s="28"/>
      <c r="U488" s="4"/>
      <c r="V488" s="3"/>
      <c r="W488" s="3"/>
    </row>
    <row r="489" spans="1:23" s="5" customFormat="1">
      <c r="A489" s="6"/>
      <c r="B489" s="33"/>
      <c r="C489" s="35"/>
      <c r="E489" s="39"/>
      <c r="G489" s="40"/>
      <c r="H489" s="15"/>
      <c r="I489" s="17"/>
      <c r="J489" s="10"/>
      <c r="M489" s="39"/>
      <c r="O489" s="39"/>
      <c r="Q489" s="39"/>
      <c r="R489" s="28"/>
      <c r="S489" s="28"/>
      <c r="T489" s="28"/>
      <c r="U489" s="4"/>
      <c r="V489" s="3"/>
      <c r="W489" s="3"/>
    </row>
    <row r="490" spans="1:23" s="5" customFormat="1">
      <c r="A490" s="6"/>
      <c r="B490" s="33"/>
      <c r="C490" s="35"/>
      <c r="E490" s="39"/>
      <c r="G490" s="40"/>
      <c r="H490" s="15"/>
      <c r="I490" s="17"/>
      <c r="J490" s="10"/>
      <c r="M490" s="39"/>
      <c r="O490" s="39"/>
      <c r="Q490" s="39"/>
      <c r="R490" s="28"/>
      <c r="S490" s="28"/>
      <c r="T490" s="28"/>
      <c r="U490" s="4"/>
      <c r="V490" s="3"/>
      <c r="W490" s="3"/>
    </row>
    <row r="491" spans="1:23" s="5" customFormat="1">
      <c r="A491" s="6"/>
      <c r="B491" s="33"/>
      <c r="C491" s="35"/>
      <c r="E491" s="39"/>
      <c r="G491" s="40"/>
      <c r="H491" s="15"/>
      <c r="I491" s="17"/>
      <c r="J491" s="10"/>
      <c r="M491" s="39"/>
      <c r="O491" s="39"/>
      <c r="Q491" s="39"/>
      <c r="R491" s="28"/>
      <c r="S491" s="28"/>
      <c r="T491" s="28"/>
      <c r="U491" s="4"/>
      <c r="V491" s="3"/>
      <c r="W491" s="3"/>
    </row>
    <row r="492" spans="1:23" s="5" customFormat="1">
      <c r="A492" s="6"/>
      <c r="B492" s="33"/>
      <c r="C492" s="35"/>
      <c r="E492" s="39"/>
      <c r="G492" s="40"/>
      <c r="H492" s="15"/>
      <c r="I492" s="17"/>
      <c r="J492" s="10"/>
      <c r="M492" s="39"/>
      <c r="O492" s="39"/>
      <c r="Q492" s="39"/>
      <c r="R492" s="28"/>
      <c r="S492" s="28"/>
      <c r="T492" s="28"/>
      <c r="U492" s="4"/>
      <c r="V492" s="3"/>
      <c r="W492" s="3"/>
    </row>
    <row r="493" spans="1:23" s="5" customFormat="1">
      <c r="A493" s="6"/>
      <c r="B493" s="33"/>
      <c r="C493" s="35"/>
      <c r="E493" s="39"/>
      <c r="G493" s="40"/>
      <c r="H493" s="15"/>
      <c r="I493" s="17"/>
      <c r="J493" s="10"/>
      <c r="M493" s="39"/>
      <c r="O493" s="39"/>
      <c r="Q493" s="39"/>
      <c r="R493" s="28"/>
      <c r="S493" s="28"/>
      <c r="T493" s="28"/>
      <c r="U493" s="4"/>
      <c r="V493" s="3"/>
      <c r="W493" s="3"/>
    </row>
    <row r="494" spans="1:23" s="5" customFormat="1">
      <c r="A494" s="6"/>
      <c r="B494" s="33"/>
      <c r="C494" s="35"/>
      <c r="E494" s="39"/>
      <c r="G494" s="40"/>
      <c r="H494" s="15"/>
      <c r="I494" s="17"/>
      <c r="J494" s="10"/>
      <c r="M494" s="39"/>
      <c r="O494" s="39"/>
      <c r="Q494" s="39"/>
      <c r="R494" s="28"/>
      <c r="S494" s="28"/>
      <c r="T494" s="28"/>
      <c r="U494" s="4"/>
      <c r="V494" s="3"/>
      <c r="W494" s="3"/>
    </row>
    <row r="495" spans="1:23" s="5" customFormat="1">
      <c r="A495" s="6"/>
      <c r="B495" s="33"/>
      <c r="C495" s="35"/>
      <c r="E495" s="39"/>
      <c r="G495" s="40"/>
      <c r="H495" s="15"/>
      <c r="I495" s="17"/>
      <c r="J495" s="10"/>
      <c r="M495" s="39"/>
      <c r="O495" s="39"/>
      <c r="Q495" s="39"/>
      <c r="R495" s="28"/>
      <c r="S495" s="28"/>
      <c r="T495" s="28"/>
      <c r="U495" s="4"/>
      <c r="V495" s="3"/>
      <c r="W495" s="3"/>
    </row>
    <row r="496" spans="1:23" s="5" customFormat="1">
      <c r="A496" s="6"/>
      <c r="B496" s="33"/>
      <c r="C496" s="35"/>
      <c r="E496" s="39"/>
      <c r="G496" s="40"/>
      <c r="H496" s="15"/>
      <c r="I496" s="17"/>
      <c r="J496" s="10"/>
      <c r="M496" s="39"/>
      <c r="O496" s="39"/>
      <c r="Q496" s="39"/>
      <c r="R496" s="28"/>
      <c r="S496" s="28"/>
      <c r="T496" s="28"/>
      <c r="U496" s="4"/>
      <c r="V496" s="3"/>
      <c r="W496" s="3"/>
    </row>
    <row r="497" spans="1:23" s="5" customFormat="1">
      <c r="A497" s="6"/>
      <c r="B497" s="33"/>
      <c r="C497" s="35"/>
      <c r="E497" s="39"/>
      <c r="G497" s="40"/>
      <c r="H497" s="15"/>
      <c r="I497" s="17"/>
      <c r="J497" s="10"/>
      <c r="M497" s="39"/>
      <c r="O497" s="39"/>
      <c r="Q497" s="39"/>
      <c r="R497" s="28"/>
      <c r="S497" s="28"/>
      <c r="T497" s="28"/>
      <c r="U497" s="4"/>
      <c r="V497" s="3"/>
      <c r="W497" s="3"/>
    </row>
    <row r="498" spans="1:23" s="5" customFormat="1">
      <c r="A498" s="6"/>
      <c r="B498" s="33"/>
      <c r="C498" s="35"/>
      <c r="E498" s="39"/>
      <c r="G498" s="40"/>
      <c r="H498" s="15"/>
      <c r="I498" s="17"/>
      <c r="J498" s="10"/>
      <c r="M498" s="39"/>
      <c r="O498" s="39"/>
      <c r="Q498" s="39"/>
      <c r="R498" s="28"/>
      <c r="S498" s="28"/>
      <c r="T498" s="28"/>
      <c r="U498" s="4"/>
      <c r="V498" s="3"/>
      <c r="W498" s="3"/>
    </row>
    <row r="499" spans="1:23" s="5" customFormat="1">
      <c r="A499" s="6"/>
      <c r="B499" s="33"/>
      <c r="C499" s="35"/>
      <c r="E499" s="39"/>
      <c r="G499" s="40"/>
      <c r="H499" s="15"/>
      <c r="I499" s="17"/>
      <c r="J499" s="10"/>
      <c r="M499" s="39"/>
      <c r="O499" s="39"/>
      <c r="Q499" s="39"/>
      <c r="R499" s="28"/>
      <c r="S499" s="28"/>
      <c r="T499" s="28"/>
      <c r="U499" s="4"/>
      <c r="V499" s="3"/>
      <c r="W499" s="3"/>
    </row>
    <row r="500" spans="1:23" s="5" customFormat="1">
      <c r="A500" s="6"/>
      <c r="B500" s="33"/>
      <c r="C500" s="35"/>
      <c r="E500" s="39"/>
      <c r="G500" s="40"/>
      <c r="H500" s="15"/>
      <c r="I500" s="17"/>
      <c r="J500" s="10"/>
      <c r="M500" s="39"/>
      <c r="O500" s="39"/>
      <c r="Q500" s="39"/>
      <c r="R500" s="28"/>
      <c r="S500" s="28"/>
      <c r="T500" s="28"/>
      <c r="U500" s="4"/>
      <c r="V500" s="3"/>
      <c r="W500" s="3"/>
    </row>
    <row r="501" spans="1:23" s="5" customFormat="1">
      <c r="A501" s="6"/>
      <c r="B501" s="33"/>
      <c r="C501" s="35"/>
      <c r="E501" s="39"/>
      <c r="G501" s="40"/>
      <c r="H501" s="15"/>
      <c r="I501" s="17"/>
      <c r="J501" s="10"/>
      <c r="M501" s="39"/>
      <c r="O501" s="39"/>
      <c r="Q501" s="39"/>
      <c r="R501" s="28"/>
      <c r="S501" s="28"/>
      <c r="T501" s="28"/>
      <c r="U501" s="4"/>
      <c r="V501" s="3"/>
      <c r="W501" s="3"/>
    </row>
    <row r="502" spans="1:23" s="5" customFormat="1">
      <c r="A502" s="6"/>
      <c r="B502" s="33"/>
      <c r="C502" s="35"/>
      <c r="E502" s="39"/>
      <c r="G502" s="40"/>
      <c r="H502" s="15"/>
      <c r="I502" s="17"/>
      <c r="J502" s="10"/>
      <c r="M502" s="39"/>
      <c r="O502" s="39"/>
      <c r="Q502" s="39"/>
      <c r="R502" s="28"/>
      <c r="S502" s="28"/>
      <c r="T502" s="28"/>
      <c r="U502" s="4"/>
      <c r="V502" s="3"/>
      <c r="W502" s="3"/>
    </row>
    <row r="503" spans="1:23" s="5" customFormat="1">
      <c r="A503" s="6"/>
      <c r="B503" s="33"/>
      <c r="C503" s="35"/>
      <c r="E503" s="39"/>
      <c r="G503" s="40"/>
      <c r="H503" s="15"/>
      <c r="I503" s="17"/>
      <c r="J503" s="10"/>
      <c r="M503" s="39"/>
      <c r="O503" s="39"/>
      <c r="Q503" s="39"/>
      <c r="R503" s="28"/>
      <c r="S503" s="28"/>
      <c r="T503" s="28"/>
      <c r="U503" s="4"/>
      <c r="V503" s="3"/>
      <c r="W503" s="3"/>
    </row>
    <row r="504" spans="1:23" s="5" customFormat="1">
      <c r="A504" s="6"/>
      <c r="B504" s="33"/>
      <c r="C504" s="35"/>
      <c r="E504" s="39"/>
      <c r="G504" s="40"/>
      <c r="H504" s="15"/>
      <c r="I504" s="17"/>
      <c r="J504" s="10"/>
      <c r="M504" s="39"/>
      <c r="O504" s="39"/>
      <c r="Q504" s="39"/>
      <c r="R504" s="28"/>
      <c r="S504" s="28"/>
      <c r="T504" s="28"/>
      <c r="U504" s="4"/>
      <c r="V504" s="3"/>
      <c r="W504" s="3"/>
    </row>
    <row r="505" spans="1:23" s="5" customFormat="1">
      <c r="A505" s="6"/>
      <c r="B505" s="33"/>
      <c r="C505" s="35"/>
      <c r="E505" s="39"/>
      <c r="G505" s="40"/>
      <c r="H505" s="15"/>
      <c r="I505" s="17"/>
      <c r="J505" s="10"/>
      <c r="M505" s="39"/>
      <c r="O505" s="39"/>
      <c r="Q505" s="39"/>
      <c r="R505" s="28"/>
      <c r="S505" s="28"/>
      <c r="T505" s="28"/>
      <c r="U505" s="4"/>
      <c r="V505" s="3"/>
      <c r="W505" s="3"/>
    </row>
    <row r="506" spans="1:23" s="5" customFormat="1">
      <c r="A506" s="6"/>
      <c r="B506" s="33"/>
      <c r="C506" s="35"/>
      <c r="E506" s="39"/>
      <c r="G506" s="40"/>
      <c r="H506" s="15"/>
      <c r="I506" s="17"/>
      <c r="J506" s="10"/>
      <c r="M506" s="39"/>
      <c r="O506" s="39"/>
      <c r="Q506" s="39"/>
      <c r="R506" s="28"/>
      <c r="S506" s="28"/>
      <c r="T506" s="28"/>
      <c r="U506" s="4"/>
      <c r="V506" s="3"/>
      <c r="W506" s="3"/>
    </row>
    <row r="507" spans="1:23" s="5" customFormat="1">
      <c r="A507" s="6"/>
      <c r="B507" s="33"/>
      <c r="C507" s="35"/>
      <c r="E507" s="39"/>
      <c r="G507" s="40"/>
      <c r="H507" s="15"/>
      <c r="I507" s="17"/>
      <c r="J507" s="10"/>
      <c r="M507" s="39"/>
      <c r="O507" s="39"/>
      <c r="Q507" s="39"/>
      <c r="R507" s="28"/>
      <c r="S507" s="28"/>
      <c r="T507" s="28"/>
      <c r="U507" s="4"/>
      <c r="V507" s="3"/>
      <c r="W507" s="3"/>
    </row>
    <row r="508" spans="1:23" s="5" customFormat="1">
      <c r="A508" s="6"/>
      <c r="B508" s="33"/>
      <c r="C508" s="35"/>
      <c r="E508" s="39"/>
      <c r="G508" s="40"/>
      <c r="H508" s="15"/>
      <c r="I508" s="17"/>
      <c r="J508" s="10"/>
      <c r="M508" s="39"/>
      <c r="O508" s="39"/>
      <c r="Q508" s="39"/>
      <c r="R508" s="28"/>
      <c r="S508" s="28"/>
      <c r="T508" s="28"/>
      <c r="U508" s="4"/>
      <c r="V508" s="3"/>
      <c r="W508" s="3"/>
    </row>
    <row r="509" spans="1:23" s="5" customFormat="1">
      <c r="A509" s="6"/>
      <c r="B509" s="33"/>
      <c r="C509" s="35"/>
      <c r="E509" s="39"/>
      <c r="G509" s="40"/>
      <c r="H509" s="15"/>
      <c r="I509" s="17"/>
      <c r="J509" s="10"/>
      <c r="M509" s="39"/>
      <c r="O509" s="39"/>
      <c r="Q509" s="39"/>
      <c r="R509" s="28"/>
      <c r="S509" s="28"/>
      <c r="T509" s="28"/>
      <c r="U509" s="4"/>
      <c r="V509" s="3"/>
      <c r="W509" s="3"/>
    </row>
    <row r="510" spans="1:23" s="5" customFormat="1">
      <c r="A510" s="6"/>
      <c r="B510" s="33"/>
      <c r="C510" s="35"/>
      <c r="E510" s="39"/>
      <c r="G510" s="40"/>
      <c r="H510" s="14"/>
      <c r="I510" s="17"/>
      <c r="J510" s="10"/>
      <c r="M510" s="39"/>
      <c r="O510" s="39"/>
      <c r="Q510" s="39"/>
      <c r="R510" s="28"/>
      <c r="S510" s="28"/>
      <c r="T510" s="28"/>
      <c r="U510" s="4"/>
      <c r="V510" s="3"/>
      <c r="W510" s="3"/>
    </row>
    <row r="511" spans="1:23" s="5" customFormat="1">
      <c r="A511" s="6"/>
      <c r="B511" s="33"/>
      <c r="C511" s="35"/>
      <c r="E511" s="39"/>
      <c r="G511" s="40"/>
      <c r="H511" s="15"/>
      <c r="I511" s="17"/>
      <c r="J511" s="10"/>
      <c r="M511" s="39"/>
      <c r="O511" s="39"/>
      <c r="Q511" s="39"/>
      <c r="R511" s="28"/>
      <c r="S511" s="28"/>
      <c r="T511" s="28"/>
      <c r="U511" s="4"/>
      <c r="V511" s="3"/>
      <c r="W511" s="3"/>
    </row>
    <row r="512" spans="1:23" s="5" customFormat="1">
      <c r="A512" s="6"/>
      <c r="B512" s="33"/>
      <c r="C512" s="35"/>
      <c r="E512" s="39"/>
      <c r="G512" s="40"/>
      <c r="H512" s="14"/>
      <c r="I512" s="17"/>
      <c r="J512" s="10"/>
      <c r="M512" s="39"/>
      <c r="O512" s="39"/>
      <c r="Q512" s="39"/>
      <c r="R512" s="28"/>
      <c r="S512" s="28"/>
      <c r="T512" s="28"/>
      <c r="U512" s="4"/>
      <c r="V512" s="3"/>
      <c r="W512" s="3"/>
    </row>
    <row r="513" spans="1:23" s="5" customFormat="1">
      <c r="A513" s="6"/>
      <c r="B513" s="33"/>
      <c r="C513" s="35"/>
      <c r="E513" s="39"/>
      <c r="G513" s="40"/>
      <c r="H513" s="15"/>
      <c r="I513" s="17"/>
      <c r="J513" s="10"/>
      <c r="M513" s="39"/>
      <c r="O513" s="39"/>
      <c r="Q513" s="39"/>
      <c r="R513" s="28"/>
      <c r="S513" s="28"/>
      <c r="T513" s="28"/>
      <c r="U513" s="4"/>
      <c r="V513" s="3"/>
      <c r="W513" s="3"/>
    </row>
    <row r="514" spans="1:23" s="5" customFormat="1">
      <c r="A514" s="6"/>
      <c r="B514" s="33"/>
      <c r="C514" s="35"/>
      <c r="E514" s="39"/>
      <c r="G514" s="40"/>
      <c r="H514" s="14"/>
      <c r="I514" s="17"/>
      <c r="J514" s="10"/>
      <c r="M514" s="39"/>
      <c r="O514" s="39"/>
      <c r="Q514" s="39"/>
      <c r="R514" s="28"/>
      <c r="S514" s="28"/>
      <c r="T514" s="28"/>
      <c r="U514" s="4"/>
      <c r="V514" s="3"/>
      <c r="W514" s="3"/>
    </row>
    <row r="515" spans="1:23" s="5" customFormat="1">
      <c r="A515" s="6"/>
      <c r="B515" s="33"/>
      <c r="C515" s="35"/>
      <c r="E515" s="39"/>
      <c r="G515" s="40"/>
      <c r="H515" s="15"/>
      <c r="I515" s="17"/>
      <c r="J515" s="10"/>
      <c r="M515" s="39"/>
      <c r="O515" s="39"/>
      <c r="Q515" s="39"/>
      <c r="R515" s="28"/>
      <c r="S515" s="28"/>
      <c r="T515" s="28"/>
      <c r="U515" s="4"/>
      <c r="V515" s="3"/>
      <c r="W515" s="3"/>
    </row>
    <row r="516" spans="1:23" s="5" customFormat="1">
      <c r="A516" s="6"/>
      <c r="B516" s="33"/>
      <c r="C516" s="35"/>
      <c r="E516" s="39"/>
      <c r="G516" s="40"/>
      <c r="H516" s="15"/>
      <c r="I516" s="17"/>
      <c r="J516" s="10"/>
      <c r="M516" s="39"/>
      <c r="O516" s="39"/>
      <c r="Q516" s="39"/>
      <c r="R516" s="28"/>
      <c r="S516" s="28"/>
      <c r="T516" s="28"/>
      <c r="U516" s="4"/>
      <c r="V516" s="3"/>
      <c r="W516" s="3"/>
    </row>
    <row r="517" spans="1:23" s="5" customFormat="1">
      <c r="A517" s="6"/>
      <c r="B517" s="33"/>
      <c r="C517" s="35"/>
      <c r="E517" s="39"/>
      <c r="G517" s="40"/>
      <c r="H517" s="15"/>
      <c r="I517" s="17"/>
      <c r="J517" s="10"/>
      <c r="M517" s="39"/>
      <c r="O517" s="39"/>
      <c r="Q517" s="39"/>
      <c r="R517" s="28"/>
      <c r="S517" s="28"/>
      <c r="T517" s="28"/>
      <c r="U517" s="4"/>
      <c r="V517" s="3"/>
      <c r="W517" s="3"/>
    </row>
    <row r="518" spans="1:23" s="5" customFormat="1">
      <c r="A518" s="6"/>
      <c r="B518" s="33"/>
      <c r="C518" s="35"/>
      <c r="E518" s="39"/>
      <c r="G518" s="40"/>
      <c r="H518" s="15"/>
      <c r="I518" s="17"/>
      <c r="J518" s="10"/>
      <c r="M518" s="39"/>
      <c r="O518" s="39"/>
      <c r="Q518" s="39"/>
      <c r="R518" s="28"/>
      <c r="S518" s="28"/>
      <c r="T518" s="28"/>
      <c r="U518" s="4"/>
      <c r="V518" s="3"/>
      <c r="W518" s="3"/>
    </row>
    <row r="519" spans="1:23" s="5" customFormat="1">
      <c r="A519" s="6"/>
      <c r="B519" s="33"/>
      <c r="C519" s="35"/>
      <c r="E519" s="39"/>
      <c r="G519" s="40"/>
      <c r="H519" s="15"/>
      <c r="I519" s="17"/>
      <c r="J519" s="10"/>
      <c r="M519" s="39"/>
      <c r="O519" s="39"/>
      <c r="Q519" s="39"/>
      <c r="R519" s="28"/>
      <c r="S519" s="28"/>
      <c r="T519" s="28"/>
      <c r="U519" s="4"/>
      <c r="V519" s="3"/>
      <c r="W519" s="3"/>
    </row>
    <row r="520" spans="1:23" s="5" customFormat="1">
      <c r="A520" s="6"/>
      <c r="B520" s="33"/>
      <c r="C520" s="35"/>
      <c r="E520" s="39"/>
      <c r="G520" s="40"/>
      <c r="H520" s="15"/>
      <c r="I520" s="17"/>
      <c r="J520" s="10"/>
      <c r="M520" s="39"/>
      <c r="O520" s="39"/>
      <c r="Q520" s="39"/>
      <c r="R520" s="28"/>
      <c r="S520" s="28"/>
      <c r="T520" s="28"/>
      <c r="U520" s="4"/>
      <c r="V520" s="3"/>
      <c r="W520" s="3"/>
    </row>
    <row r="521" spans="1:23" s="5" customFormat="1">
      <c r="A521" s="6"/>
      <c r="B521" s="33"/>
      <c r="C521" s="35"/>
      <c r="E521" s="39"/>
      <c r="G521" s="40"/>
      <c r="H521" s="15"/>
      <c r="I521" s="17"/>
      <c r="J521" s="10"/>
      <c r="M521" s="39"/>
      <c r="O521" s="39"/>
      <c r="Q521" s="39"/>
      <c r="R521" s="28"/>
      <c r="S521" s="28"/>
      <c r="T521" s="28"/>
      <c r="U521" s="4"/>
      <c r="V521" s="3"/>
      <c r="W521" s="3"/>
    </row>
    <row r="522" spans="1:23" s="5" customFormat="1">
      <c r="A522" s="6"/>
      <c r="B522" s="33"/>
      <c r="C522" s="35"/>
      <c r="E522" s="39"/>
      <c r="G522" s="40"/>
      <c r="H522" s="15"/>
      <c r="I522" s="17"/>
      <c r="J522" s="10"/>
      <c r="M522" s="39"/>
      <c r="O522" s="39"/>
      <c r="Q522" s="39"/>
      <c r="R522" s="28"/>
      <c r="S522" s="28"/>
      <c r="T522" s="28"/>
      <c r="U522" s="4"/>
      <c r="V522" s="3"/>
      <c r="W522" s="3"/>
    </row>
    <row r="523" spans="1:23" s="5" customFormat="1">
      <c r="A523" s="6"/>
      <c r="B523" s="33"/>
      <c r="C523" s="35"/>
      <c r="E523" s="39"/>
      <c r="G523" s="40"/>
      <c r="H523" s="15"/>
      <c r="I523" s="17"/>
      <c r="J523" s="10"/>
      <c r="M523" s="39"/>
      <c r="O523" s="39"/>
      <c r="Q523" s="39"/>
      <c r="R523" s="28"/>
      <c r="S523" s="28"/>
      <c r="T523" s="28"/>
      <c r="U523" s="4"/>
      <c r="V523" s="3"/>
      <c r="W523" s="3"/>
    </row>
    <row r="524" spans="1:23" s="5" customFormat="1">
      <c r="A524" s="6"/>
      <c r="B524" s="33"/>
      <c r="C524" s="35"/>
      <c r="E524" s="39"/>
      <c r="G524" s="40"/>
      <c r="H524" s="15"/>
      <c r="I524" s="17"/>
      <c r="J524" s="10"/>
      <c r="M524" s="39"/>
      <c r="O524" s="39"/>
      <c r="Q524" s="39"/>
      <c r="R524" s="28"/>
      <c r="S524" s="28"/>
      <c r="T524" s="28"/>
      <c r="U524" s="4"/>
      <c r="V524" s="3"/>
      <c r="W524" s="3"/>
    </row>
    <row r="525" spans="1:23" s="5" customFormat="1">
      <c r="A525" s="6"/>
      <c r="B525" s="33"/>
      <c r="C525" s="35"/>
      <c r="E525" s="39"/>
      <c r="G525" s="40"/>
      <c r="H525" s="15"/>
      <c r="I525" s="17"/>
      <c r="J525" s="10"/>
      <c r="M525" s="39"/>
      <c r="O525" s="39"/>
      <c r="Q525" s="39"/>
      <c r="R525" s="28"/>
      <c r="S525" s="28"/>
      <c r="T525" s="28"/>
      <c r="U525" s="4"/>
      <c r="V525" s="3"/>
      <c r="W525" s="3"/>
    </row>
    <row r="526" spans="1:23" s="5" customFormat="1">
      <c r="A526" s="6"/>
      <c r="B526" s="33"/>
      <c r="C526" s="35"/>
      <c r="E526" s="39"/>
      <c r="G526" s="40"/>
      <c r="H526" s="15"/>
      <c r="I526" s="17"/>
      <c r="J526" s="10"/>
      <c r="M526" s="39"/>
      <c r="O526" s="39"/>
      <c r="Q526" s="39"/>
      <c r="R526" s="28"/>
      <c r="S526" s="28"/>
      <c r="T526" s="28"/>
      <c r="U526" s="4"/>
      <c r="V526" s="3"/>
      <c r="W526" s="3"/>
    </row>
    <row r="527" spans="1:23" s="5" customFormat="1">
      <c r="A527" s="6"/>
      <c r="B527" s="33"/>
      <c r="C527" s="35"/>
      <c r="E527" s="39"/>
      <c r="G527" s="40"/>
      <c r="H527" s="15"/>
      <c r="I527" s="17"/>
      <c r="J527" s="10"/>
      <c r="M527" s="39"/>
      <c r="O527" s="39"/>
      <c r="Q527" s="39"/>
      <c r="R527" s="28"/>
      <c r="S527" s="28"/>
      <c r="T527" s="28"/>
      <c r="U527" s="4"/>
      <c r="V527" s="3"/>
      <c r="W527" s="3"/>
    </row>
    <row r="528" spans="1:23" s="5" customFormat="1">
      <c r="A528" s="6"/>
      <c r="B528" s="33"/>
      <c r="C528" s="35"/>
      <c r="E528" s="39"/>
      <c r="G528" s="40"/>
      <c r="H528" s="15"/>
      <c r="I528" s="17"/>
      <c r="J528" s="10"/>
      <c r="M528" s="39"/>
      <c r="O528" s="39"/>
      <c r="Q528" s="39"/>
      <c r="R528" s="28"/>
      <c r="S528" s="28"/>
      <c r="T528" s="28"/>
      <c r="U528" s="4"/>
      <c r="V528" s="3"/>
      <c r="W528" s="3"/>
    </row>
    <row r="529" spans="1:23" s="5" customFormat="1">
      <c r="A529" s="6"/>
      <c r="B529" s="33"/>
      <c r="C529" s="35"/>
      <c r="E529" s="39"/>
      <c r="G529" s="40"/>
      <c r="H529" s="15"/>
      <c r="I529" s="17"/>
      <c r="J529" s="10"/>
      <c r="M529" s="39"/>
      <c r="O529" s="39"/>
      <c r="Q529" s="39"/>
      <c r="R529" s="28"/>
      <c r="S529" s="28"/>
      <c r="T529" s="28"/>
      <c r="U529" s="4"/>
      <c r="V529" s="3"/>
      <c r="W529" s="3"/>
    </row>
    <row r="530" spans="1:23" s="5" customFormat="1">
      <c r="A530" s="6"/>
      <c r="B530" s="33"/>
      <c r="C530" s="35"/>
      <c r="E530" s="39"/>
      <c r="G530" s="40"/>
      <c r="H530" s="15"/>
      <c r="I530" s="17"/>
      <c r="J530" s="10"/>
      <c r="M530" s="39"/>
      <c r="O530" s="39"/>
      <c r="Q530" s="39"/>
      <c r="R530" s="28"/>
      <c r="S530" s="28"/>
      <c r="T530" s="28"/>
      <c r="U530" s="4"/>
      <c r="V530" s="3"/>
      <c r="W530" s="3"/>
    </row>
    <row r="531" spans="1:23" s="5" customFormat="1">
      <c r="A531" s="6"/>
      <c r="B531" s="33"/>
      <c r="C531" s="35"/>
      <c r="E531" s="39"/>
      <c r="G531" s="40"/>
      <c r="H531" s="14"/>
      <c r="I531" s="17"/>
      <c r="J531" s="10"/>
      <c r="M531" s="39"/>
      <c r="O531" s="39"/>
      <c r="Q531" s="39"/>
      <c r="R531" s="28"/>
      <c r="S531" s="28"/>
      <c r="T531" s="28"/>
      <c r="U531" s="4"/>
      <c r="V531" s="3"/>
      <c r="W531" s="3"/>
    </row>
    <row r="532" spans="1:23" s="5" customFormat="1">
      <c r="A532" s="6"/>
      <c r="B532" s="33"/>
      <c r="C532" s="35"/>
      <c r="E532" s="39"/>
      <c r="G532" s="40"/>
      <c r="H532" s="15"/>
      <c r="I532" s="17"/>
      <c r="J532" s="10"/>
      <c r="M532" s="39"/>
      <c r="O532" s="39"/>
      <c r="Q532" s="39"/>
      <c r="R532" s="28"/>
      <c r="S532" s="28"/>
      <c r="T532" s="28"/>
      <c r="U532" s="4"/>
      <c r="V532" s="3"/>
      <c r="W532" s="3"/>
    </row>
    <row r="533" spans="1:23" s="5" customFormat="1">
      <c r="A533" s="6"/>
      <c r="B533" s="33"/>
      <c r="C533" s="35"/>
      <c r="E533" s="39"/>
      <c r="G533" s="40"/>
      <c r="H533" s="14"/>
      <c r="I533" s="17"/>
      <c r="J533" s="10"/>
      <c r="M533" s="39"/>
      <c r="O533" s="39"/>
      <c r="Q533" s="39"/>
      <c r="R533" s="28"/>
      <c r="S533" s="28"/>
      <c r="T533" s="28"/>
      <c r="U533" s="4"/>
      <c r="V533" s="3"/>
      <c r="W533" s="3"/>
    </row>
    <row r="534" spans="1:23" s="5" customFormat="1">
      <c r="A534" s="6"/>
      <c r="B534" s="33"/>
      <c r="C534" s="35"/>
      <c r="E534" s="39"/>
      <c r="G534" s="40"/>
      <c r="H534" s="15"/>
      <c r="I534" s="17"/>
      <c r="J534" s="10"/>
      <c r="M534" s="39"/>
      <c r="O534" s="39"/>
      <c r="Q534" s="39"/>
      <c r="R534" s="28"/>
      <c r="S534" s="28"/>
      <c r="T534" s="28"/>
      <c r="U534" s="4"/>
      <c r="V534" s="3"/>
      <c r="W534" s="3"/>
    </row>
    <row r="535" spans="1:23" s="5" customFormat="1">
      <c r="A535" s="6"/>
      <c r="B535" s="33"/>
      <c r="C535" s="35"/>
      <c r="E535" s="39"/>
      <c r="G535" s="40"/>
      <c r="H535" s="15"/>
      <c r="I535" s="17"/>
      <c r="J535" s="10"/>
      <c r="M535" s="39"/>
      <c r="O535" s="39"/>
      <c r="Q535" s="39"/>
      <c r="R535" s="28"/>
      <c r="S535" s="28"/>
      <c r="T535" s="28"/>
      <c r="U535" s="4"/>
      <c r="V535" s="3"/>
      <c r="W535" s="3"/>
    </row>
    <row r="536" spans="1:23" s="5" customFormat="1">
      <c r="A536" s="6"/>
      <c r="B536" s="33"/>
      <c r="C536" s="35"/>
      <c r="E536" s="39"/>
      <c r="G536" s="40"/>
      <c r="H536" s="14"/>
      <c r="I536" s="17"/>
      <c r="J536" s="10"/>
      <c r="M536" s="39"/>
      <c r="O536" s="39"/>
      <c r="Q536" s="39"/>
      <c r="R536" s="28"/>
      <c r="S536" s="28"/>
      <c r="T536" s="28"/>
      <c r="U536" s="4"/>
      <c r="V536" s="3"/>
      <c r="W536" s="3"/>
    </row>
    <row r="537" spans="1:23" s="5" customFormat="1">
      <c r="A537" s="6"/>
      <c r="B537" s="33"/>
      <c r="C537" s="35"/>
      <c r="E537" s="39"/>
      <c r="G537" s="40"/>
      <c r="H537" s="15"/>
      <c r="I537" s="17"/>
      <c r="J537" s="10"/>
      <c r="M537" s="39"/>
      <c r="O537" s="39"/>
      <c r="Q537" s="39"/>
      <c r="R537" s="28"/>
      <c r="S537" s="28"/>
      <c r="T537" s="28"/>
      <c r="U537" s="4"/>
      <c r="V537" s="3"/>
      <c r="W537" s="3"/>
    </row>
    <row r="538" spans="1:23" s="5" customFormat="1">
      <c r="A538" s="6"/>
      <c r="B538" s="33"/>
      <c r="C538" s="35"/>
      <c r="E538" s="39"/>
      <c r="G538" s="40"/>
      <c r="H538" s="15"/>
      <c r="I538" s="17"/>
      <c r="J538" s="10"/>
      <c r="M538" s="39"/>
      <c r="O538" s="39"/>
      <c r="Q538" s="39"/>
      <c r="R538" s="28"/>
      <c r="S538" s="28"/>
      <c r="T538" s="28"/>
      <c r="U538" s="4"/>
      <c r="V538" s="3"/>
      <c r="W538" s="3"/>
    </row>
    <row r="539" spans="1:23" s="5" customFormat="1">
      <c r="A539" s="6"/>
      <c r="B539" s="33"/>
      <c r="C539" s="35"/>
      <c r="E539" s="39"/>
      <c r="G539" s="40"/>
      <c r="H539" s="14"/>
      <c r="I539" s="17"/>
      <c r="J539" s="10"/>
      <c r="M539" s="39"/>
      <c r="O539" s="39"/>
      <c r="Q539" s="39"/>
      <c r="R539" s="28"/>
      <c r="S539" s="28"/>
      <c r="T539" s="28"/>
      <c r="U539" s="4"/>
      <c r="V539" s="3"/>
      <c r="W539" s="3"/>
    </row>
    <row r="540" spans="1:23" s="5" customFormat="1">
      <c r="A540" s="6"/>
      <c r="B540" s="33"/>
      <c r="C540" s="35"/>
      <c r="E540" s="39"/>
      <c r="G540" s="40"/>
      <c r="H540" s="14"/>
      <c r="I540" s="17"/>
      <c r="J540" s="10"/>
      <c r="M540" s="39"/>
      <c r="O540" s="39"/>
      <c r="Q540" s="39"/>
      <c r="R540" s="28"/>
      <c r="S540" s="28"/>
      <c r="T540" s="28"/>
      <c r="U540" s="4"/>
      <c r="V540" s="3"/>
      <c r="W540" s="3"/>
    </row>
    <row r="541" spans="1:23" s="5" customFormat="1">
      <c r="A541" s="6"/>
      <c r="B541" s="33"/>
      <c r="C541" s="35"/>
      <c r="E541" s="39"/>
      <c r="G541" s="40"/>
      <c r="H541" s="15"/>
      <c r="I541" s="17"/>
      <c r="J541" s="10"/>
      <c r="M541" s="39"/>
      <c r="O541" s="39"/>
      <c r="Q541" s="39"/>
      <c r="R541" s="28"/>
      <c r="S541" s="28"/>
      <c r="T541" s="28"/>
      <c r="U541" s="4"/>
      <c r="V541" s="3"/>
      <c r="W541" s="3"/>
    </row>
    <row r="542" spans="1:23" s="5" customFormat="1">
      <c r="A542" s="6"/>
      <c r="B542" s="33"/>
      <c r="C542" s="35"/>
      <c r="E542" s="39"/>
      <c r="G542" s="40"/>
      <c r="H542" s="14"/>
      <c r="I542" s="17"/>
      <c r="J542" s="10"/>
      <c r="M542" s="39"/>
      <c r="O542" s="39"/>
      <c r="Q542" s="39"/>
      <c r="R542" s="28"/>
      <c r="S542" s="28"/>
      <c r="T542" s="28"/>
      <c r="U542" s="4"/>
      <c r="V542" s="3"/>
      <c r="W542" s="3"/>
    </row>
    <row r="543" spans="1:23" s="5" customFormat="1">
      <c r="A543" s="6"/>
      <c r="B543" s="33"/>
      <c r="C543" s="35"/>
      <c r="E543" s="39"/>
      <c r="G543" s="40"/>
      <c r="H543" s="14"/>
      <c r="I543" s="17"/>
      <c r="J543" s="10"/>
      <c r="M543" s="39"/>
      <c r="O543" s="39"/>
      <c r="Q543" s="39"/>
      <c r="R543" s="28"/>
      <c r="S543" s="28"/>
      <c r="T543" s="28"/>
      <c r="U543" s="4"/>
      <c r="V543" s="3"/>
      <c r="W543" s="3"/>
    </row>
    <row r="544" spans="1:23" s="5" customFormat="1">
      <c r="A544" s="6"/>
      <c r="B544" s="33"/>
      <c r="C544" s="35"/>
      <c r="E544" s="39"/>
      <c r="G544" s="40"/>
      <c r="H544" s="14"/>
      <c r="I544" s="17"/>
      <c r="J544" s="10"/>
      <c r="M544" s="39"/>
      <c r="O544" s="39"/>
      <c r="Q544" s="39"/>
      <c r="R544" s="28"/>
      <c r="S544" s="28"/>
      <c r="T544" s="28"/>
      <c r="U544" s="4"/>
      <c r="V544" s="3"/>
      <c r="W544" s="3"/>
    </row>
    <row r="545" spans="1:23" s="5" customFormat="1">
      <c r="A545" s="6"/>
      <c r="B545" s="33"/>
      <c r="C545" s="35"/>
      <c r="E545" s="39"/>
      <c r="G545" s="40"/>
      <c r="H545" s="15"/>
      <c r="I545" s="17"/>
      <c r="J545" s="10"/>
      <c r="M545" s="39"/>
      <c r="O545" s="39"/>
      <c r="Q545" s="39"/>
      <c r="R545" s="28"/>
      <c r="S545" s="28"/>
      <c r="T545" s="28"/>
      <c r="U545" s="4"/>
      <c r="V545" s="3"/>
      <c r="W545" s="3"/>
    </row>
    <row r="546" spans="1:23" s="5" customFormat="1">
      <c r="A546" s="6"/>
      <c r="B546" s="33"/>
      <c r="C546" s="35"/>
      <c r="E546" s="39"/>
      <c r="F546" s="1"/>
      <c r="G546" s="40"/>
      <c r="H546" s="14"/>
      <c r="I546" s="9"/>
      <c r="J546" s="10"/>
      <c r="M546" s="39"/>
      <c r="O546" s="39"/>
      <c r="Q546" s="39"/>
      <c r="R546" s="28"/>
      <c r="S546" s="28"/>
      <c r="T546" s="28"/>
      <c r="U546" s="4"/>
      <c r="V546" s="3"/>
      <c r="W546" s="3"/>
    </row>
    <row r="547" spans="1:23" s="5" customFormat="1">
      <c r="A547" s="6"/>
      <c r="B547" s="33"/>
      <c r="C547" s="35"/>
      <c r="E547" s="39"/>
      <c r="G547" s="40"/>
      <c r="H547" s="14"/>
      <c r="I547" s="17"/>
      <c r="J547" s="10"/>
      <c r="M547" s="39"/>
      <c r="O547" s="39"/>
      <c r="Q547" s="39"/>
      <c r="R547" s="28"/>
      <c r="S547" s="28"/>
      <c r="T547" s="28"/>
      <c r="U547" s="4"/>
      <c r="V547" s="3"/>
      <c r="W547" s="3"/>
    </row>
    <row r="548" spans="1:23" s="5" customFormat="1">
      <c r="A548" s="6"/>
      <c r="B548" s="33"/>
      <c r="C548" s="35"/>
      <c r="E548" s="39"/>
      <c r="G548" s="40"/>
      <c r="H548" s="15"/>
      <c r="I548" s="17"/>
      <c r="J548" s="10"/>
      <c r="M548" s="39"/>
      <c r="O548" s="39"/>
      <c r="Q548" s="39"/>
      <c r="R548" s="28"/>
      <c r="S548" s="28"/>
      <c r="T548" s="28"/>
      <c r="U548" s="4"/>
      <c r="V548" s="3"/>
      <c r="W548" s="3"/>
    </row>
    <row r="549" spans="1:23" s="5" customFormat="1">
      <c r="A549" s="6"/>
      <c r="B549" s="33"/>
      <c r="C549" s="35"/>
      <c r="E549" s="39"/>
      <c r="G549" s="40"/>
      <c r="H549" s="15"/>
      <c r="I549" s="17"/>
      <c r="J549" s="10"/>
      <c r="M549" s="39"/>
      <c r="O549" s="39"/>
      <c r="Q549" s="39"/>
      <c r="R549" s="28"/>
      <c r="S549" s="28"/>
      <c r="T549" s="28"/>
      <c r="U549" s="4"/>
      <c r="V549" s="3"/>
      <c r="W549" s="3"/>
    </row>
    <row r="550" spans="1:23" s="5" customFormat="1">
      <c r="A550" s="6"/>
      <c r="B550" s="33"/>
      <c r="C550" s="35"/>
      <c r="E550" s="39"/>
      <c r="G550" s="40"/>
      <c r="H550" s="14"/>
      <c r="I550" s="17"/>
      <c r="J550" s="10"/>
      <c r="M550" s="39"/>
      <c r="O550" s="39"/>
      <c r="Q550" s="39"/>
      <c r="R550" s="28"/>
      <c r="S550" s="28"/>
      <c r="T550" s="28"/>
      <c r="U550" s="4"/>
      <c r="V550" s="3"/>
      <c r="W550" s="3"/>
    </row>
    <row r="551" spans="1:23" s="5" customFormat="1">
      <c r="A551" s="6"/>
      <c r="B551" s="33"/>
      <c r="C551" s="35"/>
      <c r="E551" s="39"/>
      <c r="G551" s="40"/>
      <c r="H551" s="15"/>
      <c r="I551" s="17"/>
      <c r="J551" s="10"/>
      <c r="M551" s="39"/>
      <c r="O551" s="39"/>
      <c r="Q551" s="39"/>
      <c r="R551" s="28"/>
      <c r="S551" s="28"/>
      <c r="T551" s="28"/>
      <c r="U551" s="4"/>
      <c r="V551" s="3"/>
      <c r="W551" s="3"/>
    </row>
    <row r="552" spans="1:23" s="5" customFormat="1">
      <c r="A552" s="6"/>
      <c r="B552" s="33"/>
      <c r="C552" s="35"/>
      <c r="E552" s="39"/>
      <c r="G552" s="40"/>
      <c r="H552" s="15"/>
      <c r="I552" s="17"/>
      <c r="J552" s="10"/>
      <c r="M552" s="39"/>
      <c r="O552" s="39"/>
      <c r="Q552" s="39"/>
      <c r="R552" s="28"/>
      <c r="S552" s="28"/>
      <c r="T552" s="28"/>
      <c r="U552" s="4"/>
      <c r="V552" s="3"/>
      <c r="W552" s="3"/>
    </row>
    <row r="553" spans="1:23" s="5" customFormat="1">
      <c r="A553" s="6"/>
      <c r="B553" s="33"/>
      <c r="C553" s="35"/>
      <c r="E553" s="39"/>
      <c r="G553" s="40"/>
      <c r="H553" s="14"/>
      <c r="I553" s="17"/>
      <c r="J553" s="10"/>
      <c r="M553" s="39"/>
      <c r="O553" s="39"/>
      <c r="Q553" s="39"/>
      <c r="R553" s="28"/>
      <c r="S553" s="28"/>
      <c r="T553" s="28"/>
      <c r="U553" s="4"/>
      <c r="V553" s="3"/>
      <c r="W553" s="3"/>
    </row>
    <row r="554" spans="1:23" s="5" customFormat="1">
      <c r="A554" s="6"/>
      <c r="B554" s="33"/>
      <c r="C554" s="35"/>
      <c r="E554" s="39"/>
      <c r="G554" s="40"/>
      <c r="H554" s="15"/>
      <c r="I554" s="17"/>
      <c r="J554" s="10"/>
      <c r="M554" s="39"/>
      <c r="O554" s="39"/>
      <c r="Q554" s="39"/>
      <c r="R554" s="28"/>
      <c r="S554" s="28"/>
      <c r="T554" s="28"/>
      <c r="U554" s="4"/>
      <c r="V554" s="3"/>
      <c r="W554" s="3"/>
    </row>
    <row r="555" spans="1:23" s="5" customFormat="1">
      <c r="A555" s="6"/>
      <c r="B555" s="33"/>
      <c r="C555" s="35"/>
      <c r="E555" s="39"/>
      <c r="G555" s="40"/>
      <c r="H555" s="15"/>
      <c r="I555" s="17"/>
      <c r="J555" s="10"/>
      <c r="M555" s="39"/>
      <c r="O555" s="39"/>
      <c r="Q555" s="39"/>
      <c r="R555" s="28"/>
      <c r="S555" s="28"/>
      <c r="T555" s="28"/>
      <c r="U555" s="4"/>
      <c r="V555" s="3"/>
      <c r="W555" s="3"/>
    </row>
    <row r="556" spans="1:23" s="5" customFormat="1">
      <c r="A556" s="6"/>
      <c r="B556" s="33"/>
      <c r="C556" s="35"/>
      <c r="E556" s="39"/>
      <c r="G556" s="40"/>
      <c r="H556" s="15"/>
      <c r="I556" s="17"/>
      <c r="J556" s="10"/>
      <c r="M556" s="39"/>
      <c r="O556" s="39"/>
      <c r="Q556" s="39"/>
      <c r="R556" s="28"/>
      <c r="S556" s="28"/>
      <c r="T556" s="28"/>
      <c r="U556" s="4"/>
      <c r="V556" s="3"/>
      <c r="W556" s="3"/>
    </row>
    <row r="557" spans="1:23" s="5" customFormat="1">
      <c r="A557" s="6"/>
      <c r="B557" s="33"/>
      <c r="C557" s="35"/>
      <c r="E557" s="39"/>
      <c r="G557" s="40"/>
      <c r="H557" s="15"/>
      <c r="I557" s="17"/>
      <c r="J557" s="10"/>
      <c r="M557" s="39"/>
      <c r="O557" s="39"/>
      <c r="Q557" s="39"/>
      <c r="R557" s="28"/>
      <c r="S557" s="28"/>
      <c r="T557" s="28"/>
      <c r="U557" s="4"/>
      <c r="V557" s="3"/>
      <c r="W557" s="3"/>
    </row>
    <row r="558" spans="1:23" s="5" customFormat="1">
      <c r="A558" s="6"/>
      <c r="B558" s="33"/>
      <c r="C558" s="35"/>
      <c r="E558" s="39"/>
      <c r="G558" s="40"/>
      <c r="H558" s="14"/>
      <c r="I558" s="17"/>
      <c r="J558" s="10"/>
      <c r="M558" s="39"/>
      <c r="O558" s="39"/>
      <c r="Q558" s="39"/>
      <c r="R558" s="28"/>
      <c r="S558" s="28"/>
      <c r="T558" s="28"/>
      <c r="U558" s="4"/>
      <c r="V558" s="3"/>
      <c r="W558" s="3"/>
    </row>
    <row r="559" spans="1:23" s="5" customFormat="1">
      <c r="A559" s="6"/>
      <c r="B559" s="33"/>
      <c r="C559" s="35"/>
      <c r="E559" s="39"/>
      <c r="G559" s="40"/>
      <c r="H559" s="15"/>
      <c r="I559" s="17"/>
      <c r="J559" s="10"/>
      <c r="M559" s="39"/>
      <c r="O559" s="39"/>
      <c r="Q559" s="39"/>
      <c r="R559" s="28"/>
      <c r="S559" s="28"/>
      <c r="T559" s="28"/>
      <c r="U559" s="4"/>
      <c r="V559" s="3"/>
      <c r="W559" s="3"/>
    </row>
    <row r="560" spans="1:23" s="5" customFormat="1">
      <c r="A560" s="6"/>
      <c r="B560" s="33"/>
      <c r="C560" s="35"/>
      <c r="E560" s="39"/>
      <c r="G560" s="40"/>
      <c r="H560" s="14"/>
      <c r="I560" s="17"/>
      <c r="J560" s="10"/>
      <c r="M560" s="39"/>
      <c r="O560" s="39"/>
      <c r="Q560" s="39"/>
      <c r="R560" s="28"/>
      <c r="S560" s="28"/>
      <c r="T560" s="28"/>
      <c r="U560" s="4"/>
      <c r="V560" s="3"/>
      <c r="W560" s="3"/>
    </row>
    <row r="561" spans="1:23" s="5" customFormat="1">
      <c r="A561" s="6"/>
      <c r="B561" s="33"/>
      <c r="C561" s="35"/>
      <c r="E561" s="39"/>
      <c r="G561" s="40"/>
      <c r="H561" s="15"/>
      <c r="I561" s="17"/>
      <c r="J561" s="10"/>
      <c r="M561" s="39"/>
      <c r="O561" s="39"/>
      <c r="Q561" s="39"/>
      <c r="R561" s="28"/>
      <c r="S561" s="28"/>
      <c r="T561" s="28"/>
      <c r="U561" s="4"/>
      <c r="V561" s="3"/>
      <c r="W561" s="3"/>
    </row>
    <row r="562" spans="1:23" s="5" customFormat="1">
      <c r="A562" s="6"/>
      <c r="B562" s="33"/>
      <c r="C562" s="35"/>
      <c r="E562" s="39"/>
      <c r="G562" s="40"/>
      <c r="H562" s="15"/>
      <c r="I562" s="17"/>
      <c r="J562" s="10"/>
      <c r="M562" s="39"/>
      <c r="O562" s="39"/>
      <c r="Q562" s="39"/>
      <c r="R562" s="28"/>
      <c r="S562" s="28"/>
      <c r="T562" s="28"/>
      <c r="U562" s="4"/>
      <c r="V562" s="3"/>
      <c r="W562" s="3"/>
    </row>
    <row r="563" spans="1:23" s="5" customFormat="1">
      <c r="A563" s="19"/>
      <c r="B563" s="33"/>
      <c r="C563" s="35"/>
      <c r="D563" s="2"/>
      <c r="E563" s="39"/>
      <c r="G563" s="40"/>
      <c r="H563" s="10"/>
      <c r="I563" s="17"/>
      <c r="J563" s="11"/>
      <c r="L563" s="2"/>
      <c r="M563" s="39"/>
      <c r="N563" s="2"/>
      <c r="O563" s="39"/>
      <c r="P563" s="2"/>
      <c r="Q563" s="39"/>
      <c r="R563" s="28"/>
      <c r="S563" s="28"/>
      <c r="T563" s="38"/>
      <c r="U563" s="4"/>
      <c r="V563" s="3"/>
      <c r="W563" s="3"/>
    </row>
    <row r="564" spans="1:23" s="5" customFormat="1">
      <c r="A564" s="20"/>
      <c r="B564" s="33"/>
      <c r="C564" s="35"/>
      <c r="D564" s="1"/>
      <c r="E564" s="39"/>
      <c r="F564" s="1"/>
      <c r="G564" s="40"/>
      <c r="H564" s="12"/>
      <c r="I564" s="9"/>
      <c r="J564" s="11"/>
      <c r="L564" s="1"/>
      <c r="M564" s="39"/>
      <c r="N564" s="1"/>
      <c r="O564" s="39"/>
      <c r="P564" s="1"/>
      <c r="Q564" s="39"/>
      <c r="R564" s="28"/>
      <c r="S564" s="28"/>
      <c r="T564" s="28"/>
      <c r="U564" s="4"/>
      <c r="V564" s="3"/>
      <c r="W564" s="3"/>
    </row>
    <row r="565" spans="1:23" s="5" customFormat="1">
      <c r="A565" s="6"/>
      <c r="B565" s="33"/>
      <c r="C565" s="35"/>
      <c r="E565" s="39"/>
      <c r="G565" s="40"/>
      <c r="H565" s="14"/>
      <c r="I565" s="17"/>
      <c r="J565" s="10"/>
      <c r="M565" s="39"/>
      <c r="O565" s="39"/>
      <c r="Q565" s="39"/>
      <c r="R565" s="28"/>
      <c r="S565" s="28"/>
      <c r="T565" s="28"/>
      <c r="U565" s="4"/>
      <c r="V565" s="3"/>
      <c r="W565" s="3"/>
    </row>
    <row r="566" spans="1:23" s="5" customFormat="1">
      <c r="A566" s="6"/>
      <c r="B566" s="33"/>
      <c r="C566" s="35"/>
      <c r="E566" s="39"/>
      <c r="G566" s="40"/>
      <c r="H566" s="14"/>
      <c r="I566" s="17"/>
      <c r="J566" s="10"/>
      <c r="M566" s="39"/>
      <c r="O566" s="39"/>
      <c r="Q566" s="39"/>
      <c r="R566" s="28"/>
      <c r="S566" s="28"/>
      <c r="T566" s="28"/>
      <c r="U566" s="4"/>
      <c r="V566" s="3"/>
      <c r="W566" s="3"/>
    </row>
    <row r="567" spans="1:23" s="5" customFormat="1">
      <c r="A567" s="6"/>
      <c r="B567" s="33"/>
      <c r="C567" s="35"/>
      <c r="E567" s="39"/>
      <c r="G567" s="40"/>
      <c r="H567" s="15"/>
      <c r="I567" s="17"/>
      <c r="J567" s="10"/>
      <c r="M567" s="39"/>
      <c r="O567" s="39"/>
      <c r="Q567" s="39"/>
      <c r="R567" s="28"/>
      <c r="S567" s="28"/>
      <c r="T567" s="28"/>
      <c r="U567" s="4"/>
      <c r="V567" s="3"/>
      <c r="W567" s="3"/>
    </row>
    <row r="568" spans="1:23" s="5" customFormat="1">
      <c r="A568" s="6"/>
      <c r="B568" s="33"/>
      <c r="C568" s="35"/>
      <c r="E568" s="39"/>
      <c r="G568" s="40"/>
      <c r="H568" s="15"/>
      <c r="I568" s="17"/>
      <c r="J568" s="10"/>
      <c r="M568" s="39"/>
      <c r="O568" s="39"/>
      <c r="Q568" s="39"/>
      <c r="R568" s="28"/>
      <c r="S568" s="28"/>
      <c r="T568" s="28"/>
      <c r="U568" s="4"/>
      <c r="V568" s="3"/>
      <c r="W568" s="3"/>
    </row>
    <row r="569" spans="1:23" s="5" customFormat="1">
      <c r="A569" s="6"/>
      <c r="B569" s="33"/>
      <c r="C569" s="35"/>
      <c r="E569" s="39"/>
      <c r="G569" s="40"/>
      <c r="H569" s="14"/>
      <c r="I569" s="17"/>
      <c r="J569" s="10"/>
      <c r="M569" s="39"/>
      <c r="O569" s="39"/>
      <c r="Q569" s="39"/>
      <c r="R569" s="28"/>
      <c r="S569" s="28"/>
      <c r="T569" s="28"/>
      <c r="U569" s="4"/>
      <c r="V569" s="3"/>
      <c r="W569" s="3"/>
    </row>
    <row r="570" spans="1:23" s="5" customFormat="1">
      <c r="A570" s="6"/>
      <c r="B570" s="33"/>
      <c r="C570" s="35"/>
      <c r="E570" s="39"/>
      <c r="G570" s="40"/>
      <c r="H570" s="15"/>
      <c r="I570" s="17"/>
      <c r="J570" s="10"/>
      <c r="M570" s="39"/>
      <c r="O570" s="39"/>
      <c r="Q570" s="39"/>
      <c r="R570" s="28"/>
      <c r="S570" s="28"/>
      <c r="T570" s="28"/>
      <c r="U570" s="4"/>
      <c r="V570" s="3"/>
      <c r="W570" s="3"/>
    </row>
    <row r="571" spans="1:23" s="5" customFormat="1">
      <c r="A571" s="6"/>
      <c r="B571" s="33"/>
      <c r="C571" s="35"/>
      <c r="E571" s="39"/>
      <c r="G571" s="40"/>
      <c r="H571" s="15"/>
      <c r="I571" s="17"/>
      <c r="J571" s="10"/>
      <c r="M571" s="39"/>
      <c r="O571" s="39"/>
      <c r="Q571" s="39"/>
      <c r="R571" s="28"/>
      <c r="S571" s="28"/>
      <c r="T571" s="28"/>
      <c r="U571" s="4"/>
      <c r="V571" s="3"/>
      <c r="W571" s="3"/>
    </row>
    <row r="572" spans="1:23" s="5" customFormat="1">
      <c r="A572" s="6"/>
      <c r="B572" s="33"/>
      <c r="C572" s="35"/>
      <c r="E572" s="39"/>
      <c r="G572" s="40"/>
      <c r="H572" s="15"/>
      <c r="I572" s="17"/>
      <c r="J572" s="10"/>
      <c r="M572" s="39"/>
      <c r="O572" s="39"/>
      <c r="Q572" s="39"/>
      <c r="R572" s="28"/>
      <c r="S572" s="28"/>
      <c r="T572" s="28"/>
      <c r="U572" s="4"/>
      <c r="V572" s="3"/>
      <c r="W572" s="3"/>
    </row>
    <row r="573" spans="1:23" s="5" customFormat="1">
      <c r="A573" s="6"/>
      <c r="B573" s="33"/>
      <c r="C573" s="35"/>
      <c r="E573" s="39"/>
      <c r="G573" s="40"/>
      <c r="H573" s="15"/>
      <c r="I573" s="17"/>
      <c r="J573" s="10"/>
      <c r="M573" s="39"/>
      <c r="O573" s="39"/>
      <c r="Q573" s="39"/>
      <c r="R573" s="28"/>
      <c r="S573" s="28"/>
      <c r="T573" s="28"/>
      <c r="U573" s="4"/>
      <c r="V573" s="3"/>
      <c r="W573" s="3"/>
    </row>
    <row r="574" spans="1:23" s="5" customFormat="1">
      <c r="A574" s="6"/>
      <c r="B574" s="33"/>
      <c r="C574" s="35"/>
      <c r="E574" s="39"/>
      <c r="G574" s="40"/>
      <c r="H574" s="15"/>
      <c r="I574" s="17"/>
      <c r="J574" s="10"/>
      <c r="M574" s="39"/>
      <c r="O574" s="39"/>
      <c r="Q574" s="39"/>
      <c r="R574" s="28"/>
      <c r="S574" s="28"/>
      <c r="T574" s="28"/>
      <c r="U574" s="4"/>
      <c r="V574" s="3"/>
      <c r="W574" s="3"/>
    </row>
    <row r="575" spans="1:23" s="5" customFormat="1">
      <c r="A575" s="6"/>
      <c r="B575" s="33"/>
      <c r="C575" s="35"/>
      <c r="E575" s="39"/>
      <c r="G575" s="40"/>
      <c r="H575" s="15"/>
      <c r="I575" s="17"/>
      <c r="J575" s="10"/>
      <c r="M575" s="39"/>
      <c r="O575" s="39"/>
      <c r="Q575" s="39"/>
      <c r="R575" s="28"/>
      <c r="S575" s="28"/>
      <c r="T575" s="28"/>
      <c r="U575" s="4"/>
      <c r="V575" s="3"/>
      <c r="W575" s="3"/>
    </row>
    <row r="576" spans="1:23" s="5" customFormat="1">
      <c r="A576" s="6"/>
      <c r="B576" s="33"/>
      <c r="C576" s="35"/>
      <c r="E576" s="39"/>
      <c r="G576" s="40"/>
      <c r="H576" s="14"/>
      <c r="I576" s="17"/>
      <c r="J576" s="10"/>
      <c r="M576" s="39"/>
      <c r="O576" s="39"/>
      <c r="Q576" s="39"/>
      <c r="R576" s="28"/>
      <c r="S576" s="28"/>
      <c r="T576" s="28"/>
      <c r="U576" s="4"/>
      <c r="V576" s="3"/>
      <c r="W576" s="3"/>
    </row>
    <row r="577" spans="1:23" s="5" customFormat="1">
      <c r="A577" s="6"/>
      <c r="B577" s="33"/>
      <c r="C577" s="35"/>
      <c r="E577" s="39"/>
      <c r="G577" s="40"/>
      <c r="H577" s="15"/>
      <c r="I577" s="17"/>
      <c r="J577" s="10"/>
      <c r="M577" s="39"/>
      <c r="O577" s="39"/>
      <c r="Q577" s="39"/>
      <c r="R577" s="28"/>
      <c r="S577" s="28"/>
      <c r="T577" s="28"/>
      <c r="U577" s="4"/>
      <c r="V577" s="3"/>
      <c r="W577" s="3"/>
    </row>
    <row r="578" spans="1:23" s="5" customFormat="1">
      <c r="A578" s="6"/>
      <c r="B578" s="33"/>
      <c r="C578" s="35"/>
      <c r="E578" s="39"/>
      <c r="G578" s="40"/>
      <c r="H578" s="15"/>
      <c r="I578" s="17"/>
      <c r="J578" s="10"/>
      <c r="M578" s="39"/>
      <c r="O578" s="39"/>
      <c r="Q578" s="39"/>
      <c r="R578" s="28"/>
      <c r="S578" s="28"/>
      <c r="T578" s="28"/>
      <c r="U578" s="4"/>
      <c r="V578" s="3"/>
      <c r="W578" s="3"/>
    </row>
    <row r="579" spans="1:23" s="5" customFormat="1">
      <c r="A579" s="6"/>
      <c r="B579" s="33"/>
      <c r="C579" s="35"/>
      <c r="E579" s="39"/>
      <c r="G579" s="40"/>
      <c r="H579" s="15"/>
      <c r="I579" s="17"/>
      <c r="J579" s="10"/>
      <c r="M579" s="39"/>
      <c r="O579" s="39"/>
      <c r="Q579" s="39"/>
      <c r="R579" s="28"/>
      <c r="S579" s="28"/>
      <c r="T579" s="28"/>
      <c r="U579" s="4"/>
      <c r="V579" s="3"/>
      <c r="W579" s="3"/>
    </row>
    <row r="580" spans="1:23" s="5" customFormat="1">
      <c r="A580" s="6"/>
      <c r="B580" s="33"/>
      <c r="C580" s="35"/>
      <c r="E580" s="39"/>
      <c r="G580" s="40"/>
      <c r="H580" s="15"/>
      <c r="I580" s="17"/>
      <c r="J580" s="10"/>
      <c r="M580" s="39"/>
      <c r="O580" s="39"/>
      <c r="Q580" s="39"/>
      <c r="R580" s="28"/>
      <c r="S580" s="28"/>
      <c r="T580" s="28"/>
      <c r="U580" s="4"/>
      <c r="V580" s="3"/>
      <c r="W580" s="3"/>
    </row>
    <row r="581" spans="1:23" s="5" customFormat="1">
      <c r="A581" s="6"/>
      <c r="B581" s="33"/>
      <c r="C581" s="35"/>
      <c r="E581" s="39"/>
      <c r="G581" s="40"/>
      <c r="H581" s="14"/>
      <c r="I581" s="17"/>
      <c r="J581" s="10"/>
      <c r="M581" s="39"/>
      <c r="O581" s="39"/>
      <c r="Q581" s="39"/>
      <c r="R581" s="28"/>
      <c r="S581" s="28"/>
      <c r="T581" s="28"/>
      <c r="U581" s="4"/>
      <c r="V581" s="3"/>
      <c r="W581" s="3"/>
    </row>
    <row r="582" spans="1:23" s="5" customFormat="1">
      <c r="A582" s="6"/>
      <c r="B582" s="33"/>
      <c r="C582" s="35"/>
      <c r="E582" s="39"/>
      <c r="G582" s="40"/>
      <c r="H582" s="15"/>
      <c r="I582" s="17"/>
      <c r="J582" s="10"/>
      <c r="M582" s="39"/>
      <c r="O582" s="39"/>
      <c r="Q582" s="39"/>
      <c r="R582" s="28"/>
      <c r="S582" s="28"/>
      <c r="T582" s="28"/>
      <c r="U582" s="4"/>
      <c r="V582" s="3"/>
      <c r="W582" s="3"/>
    </row>
    <row r="583" spans="1:23" s="5" customFormat="1">
      <c r="A583" s="6"/>
      <c r="B583" s="33"/>
      <c r="C583" s="35"/>
      <c r="E583" s="39"/>
      <c r="G583" s="40"/>
      <c r="H583" s="14"/>
      <c r="I583" s="17"/>
      <c r="J583" s="10"/>
      <c r="M583" s="39"/>
      <c r="O583" s="39"/>
      <c r="Q583" s="39"/>
      <c r="R583" s="28"/>
      <c r="S583" s="28"/>
      <c r="T583" s="28"/>
      <c r="U583" s="4"/>
      <c r="V583" s="3"/>
      <c r="W583" s="3"/>
    </row>
    <row r="584" spans="1:23" s="5" customFormat="1">
      <c r="A584" s="6"/>
      <c r="B584" s="33"/>
      <c r="C584" s="35"/>
      <c r="E584" s="39"/>
      <c r="G584" s="40"/>
      <c r="H584" s="15"/>
      <c r="I584" s="17"/>
      <c r="J584" s="10"/>
      <c r="M584" s="39"/>
      <c r="O584" s="39"/>
      <c r="Q584" s="39"/>
      <c r="R584" s="28"/>
      <c r="S584" s="28"/>
      <c r="T584" s="28"/>
      <c r="U584" s="4"/>
      <c r="V584" s="3"/>
      <c r="W584" s="3"/>
    </row>
    <row r="585" spans="1:23" s="5" customFormat="1">
      <c r="A585" s="6"/>
      <c r="B585" s="33"/>
      <c r="C585" s="35"/>
      <c r="E585" s="39"/>
      <c r="G585" s="40"/>
      <c r="H585" s="14"/>
      <c r="I585" s="17"/>
      <c r="J585" s="10"/>
      <c r="M585" s="39"/>
      <c r="O585" s="39"/>
      <c r="Q585" s="39"/>
      <c r="R585" s="28"/>
      <c r="S585" s="28"/>
      <c r="T585" s="28"/>
      <c r="U585" s="4"/>
      <c r="V585" s="3"/>
      <c r="W585" s="3"/>
    </row>
    <row r="586" spans="1:23" s="5" customFormat="1">
      <c r="A586" s="6"/>
      <c r="B586" s="33"/>
      <c r="C586" s="35"/>
      <c r="E586" s="39"/>
      <c r="G586" s="40"/>
      <c r="H586" s="15"/>
      <c r="I586" s="17"/>
      <c r="J586" s="10"/>
      <c r="M586" s="39"/>
      <c r="O586" s="39"/>
      <c r="Q586" s="39"/>
      <c r="R586" s="28"/>
      <c r="S586" s="28"/>
      <c r="T586" s="28"/>
      <c r="U586" s="4"/>
      <c r="V586" s="3"/>
      <c r="W586" s="3"/>
    </row>
    <row r="587" spans="1:23" s="5" customFormat="1">
      <c r="A587" s="6"/>
      <c r="B587" s="33"/>
      <c r="C587" s="35"/>
      <c r="E587" s="39"/>
      <c r="G587" s="40"/>
      <c r="H587" s="15"/>
      <c r="I587" s="17"/>
      <c r="J587" s="10"/>
      <c r="M587" s="39"/>
      <c r="O587" s="39"/>
      <c r="Q587" s="39"/>
      <c r="R587" s="28"/>
      <c r="S587" s="28"/>
      <c r="T587" s="28"/>
      <c r="U587" s="4"/>
      <c r="V587" s="3"/>
      <c r="W587" s="3"/>
    </row>
    <row r="588" spans="1:23" s="5" customFormat="1">
      <c r="A588" s="6"/>
      <c r="B588" s="33"/>
      <c r="C588" s="35"/>
      <c r="E588" s="39"/>
      <c r="G588" s="40"/>
      <c r="H588" s="14"/>
      <c r="I588" s="17"/>
      <c r="J588" s="10"/>
      <c r="M588" s="39"/>
      <c r="O588" s="39"/>
      <c r="Q588" s="39"/>
      <c r="R588" s="28"/>
      <c r="S588" s="28"/>
      <c r="T588" s="28"/>
      <c r="U588" s="4"/>
      <c r="V588" s="3"/>
      <c r="W588" s="3"/>
    </row>
    <row r="589" spans="1:23" s="5" customFormat="1">
      <c r="A589" s="6"/>
      <c r="B589" s="33"/>
      <c r="C589" s="35"/>
      <c r="E589" s="39"/>
      <c r="G589" s="40"/>
      <c r="H589" s="14"/>
      <c r="I589" s="17"/>
      <c r="J589" s="10"/>
      <c r="M589" s="39"/>
      <c r="O589" s="39"/>
      <c r="Q589" s="39"/>
      <c r="R589" s="28"/>
      <c r="S589" s="28"/>
      <c r="T589" s="28"/>
      <c r="U589" s="4"/>
      <c r="V589" s="3"/>
      <c r="W589" s="3"/>
    </row>
    <row r="590" spans="1:23" s="5" customFormat="1">
      <c r="A590" s="6"/>
      <c r="B590" s="33"/>
      <c r="C590" s="35"/>
      <c r="E590" s="39"/>
      <c r="G590" s="40"/>
      <c r="H590" s="14"/>
      <c r="I590" s="17"/>
      <c r="J590" s="10"/>
      <c r="M590" s="39"/>
      <c r="O590" s="39"/>
      <c r="Q590" s="39"/>
      <c r="R590" s="28"/>
      <c r="S590" s="28"/>
      <c r="T590" s="28"/>
      <c r="U590" s="4"/>
      <c r="V590" s="3"/>
      <c r="W590" s="3"/>
    </row>
    <row r="591" spans="1:23" s="5" customFormat="1">
      <c r="A591" s="6"/>
      <c r="B591" s="33"/>
      <c r="C591" s="35"/>
      <c r="E591" s="39"/>
      <c r="G591" s="40"/>
      <c r="H591" s="15"/>
      <c r="I591" s="17"/>
      <c r="J591" s="10"/>
      <c r="M591" s="39"/>
      <c r="O591" s="39"/>
      <c r="Q591" s="39"/>
      <c r="R591" s="28"/>
      <c r="S591" s="28"/>
      <c r="T591" s="28"/>
      <c r="U591" s="4"/>
      <c r="V591" s="3"/>
      <c r="W591" s="3"/>
    </row>
    <row r="592" spans="1:23" s="5" customFormat="1">
      <c r="A592" s="6"/>
      <c r="B592" s="33"/>
      <c r="C592" s="35"/>
      <c r="E592" s="39"/>
      <c r="G592" s="40"/>
      <c r="H592" s="15"/>
      <c r="I592" s="17"/>
      <c r="J592" s="10"/>
      <c r="M592" s="39"/>
      <c r="O592" s="39"/>
      <c r="Q592" s="39"/>
      <c r="R592" s="28"/>
      <c r="S592" s="28"/>
      <c r="T592" s="28"/>
      <c r="U592" s="4"/>
      <c r="V592" s="3"/>
      <c r="W592" s="3"/>
    </row>
    <row r="593" spans="1:23" s="5" customFormat="1">
      <c r="A593" s="6"/>
      <c r="B593" s="33"/>
      <c r="C593" s="35"/>
      <c r="E593" s="39"/>
      <c r="G593" s="40"/>
      <c r="H593" s="14"/>
      <c r="I593" s="17"/>
      <c r="J593" s="10"/>
      <c r="M593" s="39"/>
      <c r="O593" s="39"/>
      <c r="Q593" s="39"/>
      <c r="R593" s="28"/>
      <c r="S593" s="28"/>
      <c r="T593" s="28"/>
      <c r="U593" s="4"/>
      <c r="V593" s="3"/>
      <c r="W593" s="3"/>
    </row>
    <row r="594" spans="1:23" s="5" customFormat="1">
      <c r="A594" s="6"/>
      <c r="B594" s="33"/>
      <c r="C594" s="35"/>
      <c r="E594" s="39"/>
      <c r="G594" s="40"/>
      <c r="H594" s="14"/>
      <c r="I594" s="17"/>
      <c r="J594" s="10"/>
      <c r="M594" s="39"/>
      <c r="O594" s="39"/>
      <c r="Q594" s="39"/>
      <c r="R594" s="28"/>
      <c r="S594" s="28"/>
      <c r="T594" s="28"/>
      <c r="U594" s="4"/>
      <c r="V594" s="3"/>
      <c r="W594" s="3"/>
    </row>
    <row r="595" spans="1:23" s="5" customFormat="1">
      <c r="A595" s="20"/>
      <c r="B595" s="33"/>
      <c r="C595" s="35"/>
      <c r="E595" s="39"/>
      <c r="F595" s="1"/>
      <c r="G595" s="40"/>
      <c r="H595" s="12"/>
      <c r="I595" s="9"/>
      <c r="J595" s="12"/>
      <c r="M595" s="39"/>
      <c r="O595" s="39"/>
      <c r="Q595" s="39"/>
      <c r="R595" s="29"/>
      <c r="S595" s="28"/>
      <c r="T595" s="28"/>
      <c r="U595" s="4"/>
      <c r="V595" s="3"/>
      <c r="W595" s="3"/>
    </row>
    <row r="596" spans="1:23" s="5" customFormat="1">
      <c r="A596" s="6"/>
      <c r="B596" s="33"/>
      <c r="C596" s="35"/>
      <c r="E596" s="39"/>
      <c r="G596" s="40"/>
      <c r="H596" s="14"/>
      <c r="I596" s="17"/>
      <c r="J596" s="10"/>
      <c r="M596" s="39"/>
      <c r="O596" s="39"/>
      <c r="Q596" s="39"/>
      <c r="R596" s="28"/>
      <c r="S596" s="28"/>
      <c r="T596" s="28"/>
      <c r="U596" s="4"/>
      <c r="V596" s="3"/>
      <c r="W596" s="3"/>
    </row>
    <row r="597" spans="1:23" s="5" customFormat="1">
      <c r="A597" s="6"/>
      <c r="B597" s="33"/>
      <c r="C597" s="35"/>
      <c r="E597" s="39"/>
      <c r="G597" s="40"/>
      <c r="H597" s="14"/>
      <c r="I597" s="17"/>
      <c r="J597" s="10"/>
      <c r="M597" s="39"/>
      <c r="O597" s="39"/>
      <c r="Q597" s="39"/>
      <c r="R597" s="28"/>
      <c r="S597" s="28"/>
      <c r="T597" s="28"/>
      <c r="U597" s="4"/>
      <c r="V597" s="3"/>
      <c r="W597" s="3"/>
    </row>
    <row r="598" spans="1:23" s="5" customFormat="1">
      <c r="A598" s="6"/>
      <c r="B598" s="33"/>
      <c r="C598" s="35"/>
      <c r="E598" s="39"/>
      <c r="G598" s="40"/>
      <c r="H598" s="14"/>
      <c r="I598" s="17"/>
      <c r="J598" s="10"/>
      <c r="M598" s="39"/>
      <c r="O598" s="39"/>
      <c r="Q598" s="39"/>
      <c r="R598" s="28"/>
      <c r="S598" s="28"/>
      <c r="T598" s="28"/>
      <c r="U598" s="4"/>
      <c r="V598" s="3"/>
      <c r="W598" s="3"/>
    </row>
    <row r="599" spans="1:23" s="5" customFormat="1">
      <c r="A599" s="6"/>
      <c r="B599" s="33"/>
      <c r="C599" s="35"/>
      <c r="E599" s="39"/>
      <c r="G599" s="40"/>
      <c r="H599" s="14"/>
      <c r="I599" s="17"/>
      <c r="J599" s="10"/>
      <c r="M599" s="39"/>
      <c r="O599" s="39"/>
      <c r="Q599" s="39"/>
      <c r="R599" s="28"/>
      <c r="S599" s="28"/>
      <c r="T599" s="28"/>
      <c r="U599" s="4"/>
      <c r="V599" s="3"/>
      <c r="W599" s="3"/>
    </row>
    <row r="600" spans="1:23" s="5" customFormat="1">
      <c r="A600" s="6"/>
      <c r="B600" s="33"/>
      <c r="C600" s="35"/>
      <c r="E600" s="39"/>
      <c r="G600" s="40"/>
      <c r="H600" s="15"/>
      <c r="I600" s="17"/>
      <c r="J600" s="10"/>
      <c r="M600" s="39"/>
      <c r="O600" s="39"/>
      <c r="Q600" s="39"/>
      <c r="R600" s="28"/>
      <c r="S600" s="28"/>
      <c r="T600" s="28"/>
      <c r="U600" s="4"/>
      <c r="V600" s="3"/>
      <c r="W600" s="3"/>
    </row>
    <row r="601" spans="1:23" s="5" customFormat="1">
      <c r="A601" s="6"/>
      <c r="B601" s="33"/>
      <c r="C601" s="35"/>
      <c r="E601" s="39"/>
      <c r="G601" s="40"/>
      <c r="H601" s="14"/>
      <c r="I601" s="17"/>
      <c r="J601" s="10"/>
      <c r="M601" s="39"/>
      <c r="O601" s="39"/>
      <c r="Q601" s="39"/>
      <c r="R601" s="28"/>
      <c r="S601" s="28"/>
      <c r="T601" s="28"/>
      <c r="U601" s="4"/>
      <c r="V601" s="3"/>
      <c r="W601" s="3"/>
    </row>
    <row r="602" spans="1:23" s="5" customFormat="1">
      <c r="A602" s="6"/>
      <c r="B602" s="33"/>
      <c r="C602" s="35"/>
      <c r="E602" s="39"/>
      <c r="G602" s="40"/>
      <c r="H602" s="15"/>
      <c r="I602" s="17"/>
      <c r="J602" s="10"/>
      <c r="M602" s="39"/>
      <c r="O602" s="39"/>
      <c r="Q602" s="39"/>
      <c r="R602" s="28"/>
      <c r="S602" s="28"/>
      <c r="T602" s="28"/>
      <c r="U602" s="4"/>
      <c r="V602" s="3"/>
      <c r="W602" s="3"/>
    </row>
    <row r="603" spans="1:23" s="5" customFormat="1">
      <c r="A603" s="6"/>
      <c r="B603" s="33"/>
      <c r="C603" s="35"/>
      <c r="E603" s="39"/>
      <c r="G603" s="40"/>
      <c r="H603" s="14"/>
      <c r="I603" s="17"/>
      <c r="J603" s="10"/>
      <c r="M603" s="39"/>
      <c r="O603" s="39"/>
      <c r="Q603" s="39"/>
      <c r="R603" s="28"/>
      <c r="S603" s="28"/>
      <c r="T603" s="28"/>
      <c r="U603" s="4"/>
      <c r="V603" s="3"/>
      <c r="W603" s="3"/>
    </row>
    <row r="604" spans="1:23" s="5" customFormat="1">
      <c r="A604" s="6"/>
      <c r="B604" s="33"/>
      <c r="C604" s="35"/>
      <c r="E604" s="39"/>
      <c r="G604" s="40"/>
      <c r="H604" s="14"/>
      <c r="I604" s="17"/>
      <c r="J604" s="10"/>
      <c r="M604" s="39"/>
      <c r="O604" s="39"/>
      <c r="Q604" s="39"/>
      <c r="R604" s="28"/>
      <c r="S604" s="28"/>
      <c r="T604" s="28"/>
      <c r="U604" s="4"/>
      <c r="V604" s="3"/>
      <c r="W604" s="3"/>
    </row>
    <row r="605" spans="1:23" s="5" customFormat="1">
      <c r="A605" s="20"/>
      <c r="B605" s="33"/>
      <c r="C605" s="35"/>
      <c r="E605" s="39"/>
      <c r="F605" s="1"/>
      <c r="G605" s="40"/>
      <c r="H605" s="12"/>
      <c r="I605" s="9"/>
      <c r="J605" s="12"/>
      <c r="M605" s="39"/>
      <c r="O605" s="39"/>
      <c r="Q605" s="39"/>
      <c r="R605" s="29"/>
      <c r="S605" s="28"/>
      <c r="T605" s="28"/>
      <c r="U605" s="4"/>
      <c r="V605" s="3"/>
      <c r="W605" s="3"/>
    </row>
    <row r="606" spans="1:23" s="5" customFormat="1">
      <c r="A606" s="6"/>
      <c r="B606" s="33"/>
      <c r="C606" s="35"/>
      <c r="E606" s="39"/>
      <c r="G606" s="40"/>
      <c r="H606" s="15"/>
      <c r="I606" s="17"/>
      <c r="J606" s="10"/>
      <c r="M606" s="39"/>
      <c r="O606" s="39"/>
      <c r="Q606" s="39"/>
      <c r="R606" s="28"/>
      <c r="S606" s="28"/>
      <c r="T606" s="28"/>
      <c r="U606" s="4"/>
      <c r="V606" s="3"/>
      <c r="W606" s="3"/>
    </row>
    <row r="607" spans="1:23" s="5" customFormat="1">
      <c r="A607" s="6"/>
      <c r="B607" s="33"/>
      <c r="C607" s="35"/>
      <c r="E607" s="39"/>
      <c r="G607" s="40"/>
      <c r="H607" s="14"/>
      <c r="I607" s="17"/>
      <c r="J607" s="10"/>
      <c r="M607" s="39"/>
      <c r="O607" s="39"/>
      <c r="Q607" s="39"/>
      <c r="R607" s="28"/>
      <c r="S607" s="28"/>
      <c r="T607" s="28"/>
      <c r="U607" s="4"/>
      <c r="V607" s="3"/>
      <c r="W607" s="3"/>
    </row>
    <row r="608" spans="1:23" s="5" customFormat="1">
      <c r="A608" s="6"/>
      <c r="B608" s="33"/>
      <c r="C608" s="35"/>
      <c r="E608" s="39"/>
      <c r="G608" s="40"/>
      <c r="H608" s="14"/>
      <c r="I608" s="17"/>
      <c r="J608" s="10"/>
      <c r="M608" s="39"/>
      <c r="O608" s="39"/>
      <c r="Q608" s="39"/>
      <c r="R608" s="28"/>
      <c r="S608" s="28"/>
      <c r="T608" s="28"/>
      <c r="U608" s="4"/>
      <c r="V608" s="3"/>
      <c r="W608" s="3"/>
    </row>
    <row r="609" spans="1:23" s="5" customFormat="1">
      <c r="A609" s="6"/>
      <c r="B609" s="33"/>
      <c r="C609" s="35"/>
      <c r="E609" s="39"/>
      <c r="G609" s="40"/>
      <c r="H609" s="15"/>
      <c r="I609" s="17"/>
      <c r="J609" s="10"/>
      <c r="M609" s="39"/>
      <c r="O609" s="39"/>
      <c r="Q609" s="39"/>
      <c r="R609" s="28"/>
      <c r="S609" s="28"/>
      <c r="T609" s="28"/>
      <c r="U609" s="4"/>
      <c r="V609" s="3"/>
      <c r="W609" s="3"/>
    </row>
    <row r="610" spans="1:23" s="5" customFormat="1">
      <c r="A610" s="6"/>
      <c r="B610" s="33"/>
      <c r="C610" s="35"/>
      <c r="E610" s="39"/>
      <c r="G610" s="40"/>
      <c r="H610" s="14"/>
      <c r="I610" s="17"/>
      <c r="J610" s="10"/>
      <c r="M610" s="39"/>
      <c r="O610" s="39"/>
      <c r="Q610" s="39"/>
      <c r="R610" s="28"/>
      <c r="S610" s="28"/>
      <c r="T610" s="28"/>
      <c r="U610" s="4"/>
      <c r="V610" s="3"/>
      <c r="W610" s="3"/>
    </row>
    <row r="611" spans="1:23" s="5" customFormat="1">
      <c r="A611" s="6"/>
      <c r="B611" s="33"/>
      <c r="C611" s="35"/>
      <c r="E611" s="39"/>
      <c r="G611" s="40"/>
      <c r="H611" s="14"/>
      <c r="I611" s="17"/>
      <c r="J611" s="10"/>
      <c r="M611" s="39"/>
      <c r="O611" s="39"/>
      <c r="Q611" s="39"/>
      <c r="R611" s="28"/>
      <c r="S611" s="28"/>
      <c r="T611" s="28"/>
      <c r="U611" s="4"/>
      <c r="V611" s="3"/>
      <c r="W611" s="3"/>
    </row>
    <row r="612" spans="1:23" s="5" customFormat="1">
      <c r="A612" s="6"/>
      <c r="B612" s="33"/>
      <c r="C612" s="35"/>
      <c r="E612" s="39"/>
      <c r="G612" s="40"/>
      <c r="H612" s="15"/>
      <c r="I612" s="17"/>
      <c r="J612" s="10"/>
      <c r="M612" s="39"/>
      <c r="O612" s="39"/>
      <c r="Q612" s="39"/>
      <c r="R612" s="28"/>
      <c r="S612" s="28"/>
      <c r="T612" s="28"/>
      <c r="U612" s="4"/>
      <c r="V612" s="3"/>
      <c r="W612" s="3"/>
    </row>
    <row r="613" spans="1:23" s="5" customFormat="1">
      <c r="A613" s="6"/>
      <c r="B613" s="33"/>
      <c r="C613" s="35"/>
      <c r="E613" s="39"/>
      <c r="G613" s="40"/>
      <c r="H613" s="14"/>
      <c r="I613" s="17"/>
      <c r="J613" s="10"/>
      <c r="M613" s="39"/>
      <c r="O613" s="39"/>
      <c r="Q613" s="39"/>
      <c r="R613" s="28"/>
      <c r="S613" s="28"/>
      <c r="T613" s="28"/>
      <c r="U613" s="4"/>
      <c r="V613" s="3"/>
      <c r="W613" s="3"/>
    </row>
    <row r="614" spans="1:23" s="5" customFormat="1">
      <c r="A614" s="6"/>
      <c r="B614" s="33"/>
      <c r="C614" s="35"/>
      <c r="E614" s="39"/>
      <c r="G614" s="40"/>
      <c r="H614" s="15"/>
      <c r="I614" s="17"/>
      <c r="J614" s="10"/>
      <c r="M614" s="39"/>
      <c r="O614" s="39"/>
      <c r="Q614" s="39"/>
      <c r="R614" s="28"/>
      <c r="S614" s="28"/>
      <c r="T614" s="28"/>
      <c r="U614" s="4"/>
      <c r="V614" s="3"/>
      <c r="W614" s="3"/>
    </row>
    <row r="615" spans="1:23" s="5" customFormat="1">
      <c r="A615" s="6"/>
      <c r="B615" s="33"/>
      <c r="C615" s="35"/>
      <c r="E615" s="39"/>
      <c r="G615" s="40"/>
      <c r="H615" s="14"/>
      <c r="I615" s="17"/>
      <c r="J615" s="10"/>
      <c r="M615" s="39"/>
      <c r="O615" s="39"/>
      <c r="Q615" s="39"/>
      <c r="R615" s="28"/>
      <c r="S615" s="28"/>
      <c r="T615" s="28"/>
      <c r="U615" s="4"/>
      <c r="V615" s="3"/>
      <c r="W615" s="3"/>
    </row>
    <row r="616" spans="1:23" s="5" customFormat="1">
      <c r="A616" s="6"/>
      <c r="B616" s="33"/>
      <c r="C616" s="35"/>
      <c r="E616" s="39"/>
      <c r="G616" s="40"/>
      <c r="H616" s="15"/>
      <c r="I616" s="17"/>
      <c r="J616" s="10"/>
      <c r="M616" s="39"/>
      <c r="O616" s="39"/>
      <c r="Q616" s="39"/>
      <c r="R616" s="28"/>
      <c r="S616" s="28"/>
      <c r="T616" s="28"/>
      <c r="U616" s="4"/>
      <c r="V616" s="3"/>
      <c r="W616" s="3"/>
    </row>
    <row r="617" spans="1:23" s="5" customFormat="1">
      <c r="A617" s="6"/>
      <c r="B617" s="33"/>
      <c r="C617" s="35"/>
      <c r="E617" s="39"/>
      <c r="G617" s="40"/>
      <c r="H617" s="14"/>
      <c r="I617" s="17"/>
      <c r="J617" s="10"/>
      <c r="M617" s="39"/>
      <c r="O617" s="39"/>
      <c r="Q617" s="39"/>
      <c r="R617" s="28"/>
      <c r="S617" s="28"/>
      <c r="T617" s="28"/>
      <c r="U617" s="4"/>
      <c r="V617" s="3"/>
      <c r="W617" s="3"/>
    </row>
    <row r="618" spans="1:23" s="5" customFormat="1">
      <c r="A618" s="6"/>
      <c r="B618" s="33"/>
      <c r="C618" s="35"/>
      <c r="E618" s="39"/>
      <c r="G618" s="40"/>
      <c r="H618" s="15"/>
      <c r="I618" s="17"/>
      <c r="J618" s="10"/>
      <c r="M618" s="39"/>
      <c r="O618" s="39"/>
      <c r="Q618" s="39"/>
      <c r="R618" s="28"/>
      <c r="S618" s="28"/>
      <c r="T618" s="28"/>
      <c r="U618" s="4"/>
      <c r="V618" s="3"/>
      <c r="W618" s="3"/>
    </row>
    <row r="619" spans="1:23" s="5" customFormat="1">
      <c r="A619" s="6"/>
      <c r="B619" s="33"/>
      <c r="C619" s="35"/>
      <c r="E619" s="39"/>
      <c r="G619" s="40"/>
      <c r="H619" s="14"/>
      <c r="I619" s="17"/>
      <c r="J619" s="10"/>
      <c r="M619" s="39"/>
      <c r="O619" s="39"/>
      <c r="Q619" s="39"/>
      <c r="R619" s="28"/>
      <c r="S619" s="28"/>
      <c r="T619" s="28"/>
      <c r="U619" s="4"/>
      <c r="V619" s="3"/>
      <c r="W619" s="3"/>
    </row>
    <row r="620" spans="1:23" s="5" customFormat="1">
      <c r="A620" s="6"/>
      <c r="B620" s="33"/>
      <c r="C620" s="35"/>
      <c r="E620" s="39"/>
      <c r="G620" s="40"/>
      <c r="H620" s="15"/>
      <c r="I620" s="17"/>
      <c r="J620" s="10"/>
      <c r="M620" s="39"/>
      <c r="O620" s="39"/>
      <c r="Q620" s="39"/>
      <c r="R620" s="28"/>
      <c r="S620" s="28"/>
      <c r="T620" s="28"/>
      <c r="U620" s="4"/>
      <c r="V620" s="3"/>
      <c r="W620" s="3"/>
    </row>
    <row r="621" spans="1:23" s="5" customFormat="1">
      <c r="A621" s="6"/>
      <c r="B621" s="33"/>
      <c r="C621" s="35"/>
      <c r="E621" s="39"/>
      <c r="G621" s="40"/>
      <c r="H621" s="15"/>
      <c r="I621" s="17"/>
      <c r="J621" s="10"/>
      <c r="M621" s="39"/>
      <c r="O621" s="39"/>
      <c r="Q621" s="39"/>
      <c r="R621" s="28"/>
      <c r="S621" s="28"/>
      <c r="T621" s="28"/>
      <c r="U621" s="4"/>
      <c r="V621" s="3"/>
      <c r="W621" s="3"/>
    </row>
    <row r="622" spans="1:23" s="5" customFormat="1">
      <c r="A622" s="6"/>
      <c r="B622" s="33"/>
      <c r="C622" s="35"/>
      <c r="E622" s="39"/>
      <c r="G622" s="40"/>
      <c r="H622" s="14"/>
      <c r="I622" s="17"/>
      <c r="J622" s="10"/>
      <c r="M622" s="39"/>
      <c r="O622" s="39"/>
      <c r="Q622" s="39"/>
      <c r="R622" s="28"/>
      <c r="S622" s="28"/>
      <c r="T622" s="28"/>
      <c r="U622" s="4"/>
      <c r="V622" s="3"/>
      <c r="W622" s="3"/>
    </row>
    <row r="623" spans="1:23" s="5" customFormat="1">
      <c r="A623" s="6"/>
      <c r="B623" s="33"/>
      <c r="C623" s="35"/>
      <c r="E623" s="39"/>
      <c r="G623" s="40"/>
      <c r="H623" s="15"/>
      <c r="I623" s="17"/>
      <c r="J623" s="10"/>
      <c r="M623" s="39"/>
      <c r="O623" s="39"/>
      <c r="Q623" s="39"/>
      <c r="R623" s="28"/>
      <c r="S623" s="28"/>
      <c r="T623" s="28"/>
      <c r="U623" s="4"/>
      <c r="V623" s="3"/>
      <c r="W623" s="3"/>
    </row>
    <row r="624" spans="1:23" s="5" customFormat="1">
      <c r="A624" s="6"/>
      <c r="B624" s="33"/>
      <c r="C624" s="35"/>
      <c r="E624" s="39"/>
      <c r="G624" s="40"/>
      <c r="H624" s="14"/>
      <c r="I624" s="17"/>
      <c r="J624" s="10"/>
      <c r="M624" s="39"/>
      <c r="O624" s="39"/>
      <c r="Q624" s="39"/>
      <c r="R624" s="28"/>
      <c r="S624" s="28"/>
      <c r="T624" s="28"/>
      <c r="U624" s="4"/>
      <c r="V624" s="3"/>
      <c r="W624" s="3"/>
    </row>
    <row r="625" spans="1:23" s="5" customFormat="1">
      <c r="A625" s="6"/>
      <c r="B625" s="33"/>
      <c r="C625" s="35"/>
      <c r="E625" s="39"/>
      <c r="G625" s="40"/>
      <c r="H625" s="14"/>
      <c r="I625" s="17"/>
      <c r="J625" s="10"/>
      <c r="M625" s="39"/>
      <c r="O625" s="39"/>
      <c r="Q625" s="39"/>
      <c r="R625" s="28"/>
      <c r="S625" s="28"/>
      <c r="T625" s="28"/>
      <c r="U625" s="4"/>
      <c r="V625" s="3"/>
      <c r="W625" s="3"/>
    </row>
    <row r="626" spans="1:23" s="5" customFormat="1">
      <c r="A626" s="6"/>
      <c r="B626" s="33"/>
      <c r="C626" s="35"/>
      <c r="E626" s="39"/>
      <c r="G626" s="40"/>
      <c r="H626" s="15"/>
      <c r="I626" s="17"/>
      <c r="J626" s="10"/>
      <c r="M626" s="39"/>
      <c r="O626" s="39"/>
      <c r="Q626" s="39"/>
      <c r="R626" s="28"/>
      <c r="S626" s="28"/>
      <c r="T626" s="28"/>
      <c r="U626" s="4"/>
      <c r="V626" s="3"/>
      <c r="W626" s="3"/>
    </row>
    <row r="627" spans="1:23" s="5" customFormat="1">
      <c r="A627" s="6"/>
      <c r="B627" s="33"/>
      <c r="C627" s="35"/>
      <c r="E627" s="39"/>
      <c r="G627" s="40"/>
      <c r="H627" s="15"/>
      <c r="I627" s="17"/>
      <c r="J627" s="10"/>
      <c r="M627" s="39"/>
      <c r="O627" s="39"/>
      <c r="Q627" s="39"/>
      <c r="R627" s="28"/>
      <c r="S627" s="28"/>
      <c r="T627" s="28"/>
      <c r="U627" s="4"/>
      <c r="V627" s="3"/>
      <c r="W627" s="3"/>
    </row>
    <row r="628" spans="1:23" s="5" customFormat="1">
      <c r="A628" s="6"/>
      <c r="B628" s="33"/>
      <c r="C628" s="35"/>
      <c r="E628" s="39"/>
      <c r="G628" s="40"/>
      <c r="H628" s="15"/>
      <c r="I628" s="17"/>
      <c r="J628" s="10"/>
      <c r="M628" s="39"/>
      <c r="O628" s="39"/>
      <c r="Q628" s="39"/>
      <c r="R628" s="28"/>
      <c r="S628" s="28"/>
      <c r="T628" s="28"/>
      <c r="U628" s="4"/>
      <c r="V628" s="3"/>
      <c r="W628" s="3"/>
    </row>
    <row r="629" spans="1:23" s="5" customFormat="1">
      <c r="A629" s="6"/>
      <c r="B629" s="33"/>
      <c r="C629" s="35"/>
      <c r="E629" s="39"/>
      <c r="G629" s="40"/>
      <c r="H629" s="15"/>
      <c r="I629" s="17"/>
      <c r="J629" s="10"/>
      <c r="M629" s="39"/>
      <c r="O629" s="39"/>
      <c r="Q629" s="39"/>
      <c r="R629" s="28"/>
      <c r="S629" s="28"/>
      <c r="T629" s="28"/>
      <c r="U629" s="4"/>
      <c r="V629" s="3"/>
      <c r="W629" s="3"/>
    </row>
    <row r="630" spans="1:23" s="5" customFormat="1">
      <c r="A630" s="6"/>
      <c r="B630" s="33"/>
      <c r="C630" s="35"/>
      <c r="E630" s="39"/>
      <c r="G630" s="40"/>
      <c r="H630" s="15"/>
      <c r="I630" s="17"/>
      <c r="J630" s="10"/>
      <c r="M630" s="39"/>
      <c r="O630" s="39"/>
      <c r="Q630" s="39"/>
      <c r="R630" s="28"/>
      <c r="S630" s="28"/>
      <c r="T630" s="28"/>
      <c r="U630" s="4"/>
      <c r="V630" s="3"/>
      <c r="W630" s="3"/>
    </row>
    <row r="631" spans="1:23" s="5" customFormat="1">
      <c r="A631" s="6"/>
      <c r="B631" s="33"/>
      <c r="C631" s="35"/>
      <c r="E631" s="39"/>
      <c r="G631" s="40"/>
      <c r="H631" s="15"/>
      <c r="I631" s="17"/>
      <c r="J631" s="10"/>
      <c r="M631" s="39"/>
      <c r="O631" s="39"/>
      <c r="Q631" s="39"/>
      <c r="R631" s="28"/>
      <c r="S631" s="28"/>
      <c r="T631" s="28"/>
      <c r="U631" s="4"/>
      <c r="V631" s="3"/>
      <c r="W631" s="3"/>
    </row>
    <row r="632" spans="1:23" s="5" customFormat="1">
      <c r="A632" s="6"/>
      <c r="B632" s="33"/>
      <c r="C632" s="35"/>
      <c r="E632" s="39"/>
      <c r="G632" s="40"/>
      <c r="H632" s="14"/>
      <c r="I632" s="17"/>
      <c r="J632" s="10"/>
      <c r="M632" s="39"/>
      <c r="O632" s="39"/>
      <c r="Q632" s="39"/>
      <c r="R632" s="28"/>
      <c r="S632" s="28"/>
      <c r="T632" s="28"/>
      <c r="U632" s="4"/>
      <c r="V632" s="3"/>
      <c r="W632" s="3"/>
    </row>
    <row r="633" spans="1:23" s="5" customFormat="1">
      <c r="A633" s="6"/>
      <c r="B633" s="33"/>
      <c r="C633" s="35"/>
      <c r="E633" s="39"/>
      <c r="G633" s="40"/>
      <c r="H633" s="14"/>
      <c r="I633" s="17"/>
      <c r="J633" s="10"/>
      <c r="M633" s="39"/>
      <c r="O633" s="39"/>
      <c r="Q633" s="39"/>
      <c r="R633" s="28"/>
      <c r="S633" s="28"/>
      <c r="T633" s="28"/>
      <c r="U633" s="4"/>
      <c r="V633" s="3"/>
      <c r="W633" s="3"/>
    </row>
    <row r="634" spans="1:23" s="5" customFormat="1">
      <c r="A634" s="6"/>
      <c r="B634" s="33"/>
      <c r="C634" s="35"/>
      <c r="E634" s="39"/>
      <c r="G634" s="40"/>
      <c r="H634" s="15"/>
      <c r="I634" s="17"/>
      <c r="J634" s="10"/>
      <c r="M634" s="39"/>
      <c r="O634" s="39"/>
      <c r="Q634" s="39"/>
      <c r="R634" s="28"/>
      <c r="S634" s="28"/>
      <c r="T634" s="28"/>
      <c r="U634" s="4"/>
      <c r="V634" s="3"/>
      <c r="W634" s="3"/>
    </row>
    <row r="635" spans="1:23" s="5" customFormat="1">
      <c r="A635" s="6"/>
      <c r="B635" s="33"/>
      <c r="C635" s="35"/>
      <c r="E635" s="39"/>
      <c r="G635" s="40"/>
      <c r="H635" s="14"/>
      <c r="I635" s="17"/>
      <c r="J635" s="10"/>
      <c r="M635" s="39"/>
      <c r="O635" s="39"/>
      <c r="Q635" s="39"/>
      <c r="R635" s="28"/>
      <c r="S635" s="28"/>
      <c r="T635" s="28"/>
      <c r="U635" s="4"/>
      <c r="V635" s="3"/>
      <c r="W635" s="3"/>
    </row>
    <row r="636" spans="1:23" s="5" customFormat="1">
      <c r="A636" s="6"/>
      <c r="B636" s="33"/>
      <c r="C636" s="35"/>
      <c r="E636" s="39"/>
      <c r="G636" s="40"/>
      <c r="H636" s="14"/>
      <c r="I636" s="17"/>
      <c r="J636" s="10"/>
      <c r="M636" s="39"/>
      <c r="O636" s="39"/>
      <c r="Q636" s="39"/>
      <c r="R636" s="28"/>
      <c r="S636" s="28"/>
      <c r="T636" s="28"/>
      <c r="U636" s="4"/>
      <c r="V636" s="3"/>
      <c r="W636" s="3"/>
    </row>
    <row r="637" spans="1:23" s="5" customFormat="1">
      <c r="A637" s="6"/>
      <c r="B637" s="33"/>
      <c r="C637" s="35"/>
      <c r="E637" s="39"/>
      <c r="G637" s="40"/>
      <c r="H637" s="15"/>
      <c r="I637" s="17"/>
      <c r="J637" s="10"/>
      <c r="M637" s="39"/>
      <c r="O637" s="39"/>
      <c r="Q637" s="39"/>
      <c r="R637" s="28"/>
      <c r="S637" s="28"/>
      <c r="T637" s="28"/>
      <c r="U637" s="4"/>
      <c r="V637" s="3"/>
      <c r="W637" s="3"/>
    </row>
    <row r="638" spans="1:23" s="5" customFormat="1">
      <c r="A638" s="6"/>
      <c r="B638" s="33"/>
      <c r="C638" s="35"/>
      <c r="E638" s="39"/>
      <c r="G638" s="40"/>
      <c r="H638" s="15"/>
      <c r="I638" s="17"/>
      <c r="J638" s="10"/>
      <c r="M638" s="39"/>
      <c r="O638" s="39"/>
      <c r="Q638" s="39"/>
      <c r="R638" s="28"/>
      <c r="S638" s="28"/>
      <c r="T638" s="28"/>
      <c r="U638" s="4"/>
      <c r="V638" s="3"/>
      <c r="W638" s="3"/>
    </row>
    <row r="639" spans="1:23" s="5" customFormat="1">
      <c r="A639" s="6"/>
      <c r="B639" s="33"/>
      <c r="C639" s="35"/>
      <c r="E639" s="39"/>
      <c r="G639" s="40"/>
      <c r="H639" s="15"/>
      <c r="I639" s="17"/>
      <c r="J639" s="10"/>
      <c r="M639" s="39"/>
      <c r="O639" s="39"/>
      <c r="Q639" s="39"/>
      <c r="R639" s="28"/>
      <c r="S639" s="28"/>
      <c r="T639" s="28"/>
      <c r="U639" s="4"/>
      <c r="V639" s="3"/>
      <c r="W639" s="3"/>
    </row>
    <row r="640" spans="1:23" s="5" customFormat="1">
      <c r="A640" s="6"/>
      <c r="B640" s="33"/>
      <c r="C640" s="35"/>
      <c r="E640" s="39"/>
      <c r="G640" s="40"/>
      <c r="H640" s="16"/>
      <c r="I640" s="17"/>
      <c r="J640" s="10"/>
      <c r="M640" s="39"/>
      <c r="O640" s="39"/>
      <c r="Q640" s="39"/>
      <c r="R640" s="28"/>
      <c r="S640" s="28"/>
      <c r="T640" s="28"/>
      <c r="U640" s="4"/>
      <c r="V640" s="3"/>
      <c r="W640" s="3"/>
    </row>
    <row r="641" spans="1:23" s="5" customFormat="1">
      <c r="A641" s="6"/>
      <c r="B641" s="33"/>
      <c r="C641" s="35"/>
      <c r="E641" s="39"/>
      <c r="G641" s="40"/>
      <c r="H641" s="15"/>
      <c r="I641" s="17"/>
      <c r="J641" s="10"/>
      <c r="M641" s="39"/>
      <c r="O641" s="39"/>
      <c r="Q641" s="39"/>
      <c r="R641" s="28"/>
      <c r="S641" s="28"/>
      <c r="T641" s="28"/>
      <c r="U641" s="4"/>
      <c r="V641" s="3"/>
      <c r="W641" s="3"/>
    </row>
    <row r="642" spans="1:23" s="5" customFormat="1">
      <c r="A642" s="6"/>
      <c r="B642" s="33"/>
      <c r="C642" s="35"/>
      <c r="E642" s="39"/>
      <c r="G642" s="40"/>
      <c r="H642" s="15"/>
      <c r="I642" s="17"/>
      <c r="J642" s="10"/>
      <c r="M642" s="39"/>
      <c r="O642" s="39"/>
      <c r="Q642" s="39"/>
      <c r="R642" s="28"/>
      <c r="S642" s="28"/>
      <c r="T642" s="28"/>
      <c r="U642" s="4"/>
      <c r="V642" s="3"/>
      <c r="W642" s="3"/>
    </row>
    <row r="643" spans="1:23" s="5" customFormat="1">
      <c r="A643" s="6"/>
      <c r="B643" s="33"/>
      <c r="C643" s="35"/>
      <c r="E643" s="39"/>
      <c r="G643" s="40"/>
      <c r="H643" s="15"/>
      <c r="I643" s="17"/>
      <c r="J643" s="10"/>
      <c r="M643" s="39"/>
      <c r="O643" s="39"/>
      <c r="Q643" s="39"/>
      <c r="R643" s="28"/>
      <c r="S643" s="28"/>
      <c r="T643" s="28"/>
      <c r="U643" s="4"/>
      <c r="V643" s="3"/>
      <c r="W643" s="3"/>
    </row>
    <row r="644" spans="1:23" s="5" customFormat="1">
      <c r="A644" s="6"/>
      <c r="B644" s="33"/>
      <c r="C644" s="35"/>
      <c r="E644" s="39"/>
      <c r="G644" s="40"/>
      <c r="H644" s="15"/>
      <c r="I644" s="17"/>
      <c r="J644" s="10"/>
      <c r="M644" s="39"/>
      <c r="O644" s="39"/>
      <c r="Q644" s="39"/>
      <c r="R644" s="28"/>
      <c r="S644" s="28"/>
      <c r="T644" s="28"/>
      <c r="U644" s="4"/>
      <c r="V644" s="3"/>
      <c r="W644" s="3"/>
    </row>
    <row r="645" spans="1:23" s="5" customFormat="1">
      <c r="A645" s="6"/>
      <c r="B645" s="33"/>
      <c r="C645" s="35"/>
      <c r="E645" s="39"/>
      <c r="G645" s="40"/>
      <c r="H645" s="15"/>
      <c r="I645" s="17"/>
      <c r="J645" s="10"/>
      <c r="M645" s="39"/>
      <c r="O645" s="39"/>
      <c r="Q645" s="39"/>
      <c r="R645" s="28"/>
      <c r="S645" s="28"/>
      <c r="T645" s="28"/>
      <c r="U645" s="4"/>
      <c r="V645" s="3"/>
      <c r="W645" s="3"/>
    </row>
    <row r="646" spans="1:23" s="5" customFormat="1">
      <c r="A646" s="6"/>
      <c r="B646" s="33"/>
      <c r="C646" s="35"/>
      <c r="E646" s="39"/>
      <c r="G646" s="40"/>
      <c r="H646" s="15"/>
      <c r="I646" s="17"/>
      <c r="J646" s="10"/>
      <c r="M646" s="39"/>
      <c r="O646" s="39"/>
      <c r="Q646" s="39"/>
      <c r="R646" s="28"/>
      <c r="S646" s="28"/>
      <c r="T646" s="28"/>
      <c r="U646" s="4"/>
      <c r="V646" s="3"/>
      <c r="W646" s="3"/>
    </row>
    <row r="647" spans="1:23" s="5" customFormat="1">
      <c r="A647" s="6"/>
      <c r="B647" s="33"/>
      <c r="C647" s="35"/>
      <c r="E647" s="39"/>
      <c r="G647" s="40"/>
      <c r="H647" s="15"/>
      <c r="I647" s="17"/>
      <c r="J647" s="10"/>
      <c r="M647" s="39"/>
      <c r="O647" s="39"/>
      <c r="Q647" s="39"/>
      <c r="R647" s="28"/>
      <c r="S647" s="28"/>
      <c r="T647" s="28"/>
      <c r="U647" s="4"/>
      <c r="V647" s="3"/>
      <c r="W647" s="3"/>
    </row>
    <row r="648" spans="1:23" s="5" customFormat="1">
      <c r="A648" s="6"/>
      <c r="B648" s="33"/>
      <c r="C648" s="35"/>
      <c r="E648" s="39"/>
      <c r="G648" s="40"/>
      <c r="H648" s="15"/>
      <c r="I648" s="17"/>
      <c r="J648" s="10"/>
      <c r="M648" s="39"/>
      <c r="O648" s="39"/>
      <c r="Q648" s="39"/>
      <c r="R648" s="28"/>
      <c r="S648" s="28"/>
      <c r="T648" s="28"/>
      <c r="U648" s="4"/>
      <c r="V648" s="3"/>
      <c r="W648" s="3"/>
    </row>
    <row r="649" spans="1:23" s="5" customFormat="1">
      <c r="A649" s="6"/>
      <c r="B649" s="33"/>
      <c r="C649" s="35"/>
      <c r="E649" s="39"/>
      <c r="G649" s="40"/>
      <c r="H649" s="15"/>
      <c r="I649" s="17"/>
      <c r="J649" s="10"/>
      <c r="M649" s="39"/>
      <c r="O649" s="39"/>
      <c r="Q649" s="39"/>
      <c r="R649" s="28"/>
      <c r="S649" s="28"/>
      <c r="T649" s="28"/>
      <c r="U649" s="4"/>
      <c r="V649" s="3"/>
      <c r="W649" s="3"/>
    </row>
    <row r="650" spans="1:23" s="5" customFormat="1">
      <c r="A650" s="6"/>
      <c r="B650" s="33"/>
      <c r="C650" s="35"/>
      <c r="E650" s="39"/>
      <c r="G650" s="40"/>
      <c r="H650" s="15"/>
      <c r="I650" s="17"/>
      <c r="J650" s="10"/>
      <c r="M650" s="39"/>
      <c r="O650" s="39"/>
      <c r="Q650" s="39"/>
      <c r="R650" s="28"/>
      <c r="S650" s="28"/>
      <c r="T650" s="28"/>
      <c r="U650" s="4"/>
      <c r="V650" s="3"/>
      <c r="W650" s="3"/>
    </row>
    <row r="651" spans="1:23" s="5" customFormat="1">
      <c r="A651" s="6"/>
      <c r="B651" s="33"/>
      <c r="C651" s="35"/>
      <c r="E651" s="39"/>
      <c r="G651" s="40"/>
      <c r="H651" s="15"/>
      <c r="I651" s="17"/>
      <c r="J651" s="10"/>
      <c r="M651" s="39"/>
      <c r="O651" s="39"/>
      <c r="Q651" s="39"/>
      <c r="R651" s="28"/>
      <c r="S651" s="28"/>
      <c r="T651" s="28"/>
      <c r="U651" s="4"/>
      <c r="V651" s="3"/>
      <c r="W651" s="3"/>
    </row>
    <row r="652" spans="1:23" s="5" customFormat="1">
      <c r="A652" s="6"/>
      <c r="B652" s="33"/>
      <c r="C652" s="35"/>
      <c r="E652" s="39"/>
      <c r="G652" s="40"/>
      <c r="H652" s="15"/>
      <c r="I652" s="17"/>
      <c r="J652" s="10"/>
      <c r="M652" s="39"/>
      <c r="O652" s="39"/>
      <c r="Q652" s="39"/>
      <c r="R652" s="28"/>
      <c r="S652" s="28"/>
      <c r="T652" s="28"/>
      <c r="U652" s="4"/>
      <c r="V652" s="3"/>
      <c r="W652" s="3"/>
    </row>
    <row r="653" spans="1:23" s="5" customFormat="1">
      <c r="A653" s="6"/>
      <c r="B653" s="33"/>
      <c r="C653" s="35"/>
      <c r="E653" s="39"/>
      <c r="G653" s="40"/>
      <c r="H653" s="15"/>
      <c r="I653" s="17"/>
      <c r="J653" s="10"/>
      <c r="M653" s="39"/>
      <c r="O653" s="39"/>
      <c r="Q653" s="39"/>
      <c r="R653" s="28"/>
      <c r="S653" s="28"/>
      <c r="T653" s="28"/>
      <c r="U653" s="4"/>
      <c r="V653" s="3"/>
      <c r="W653" s="3"/>
    </row>
    <row r="654" spans="1:23" s="5" customFormat="1">
      <c r="A654" s="6"/>
      <c r="B654" s="33"/>
      <c r="C654" s="35"/>
      <c r="E654" s="39"/>
      <c r="G654" s="40"/>
      <c r="H654" s="15"/>
      <c r="I654" s="17"/>
      <c r="J654" s="10"/>
      <c r="M654" s="39"/>
      <c r="O654" s="39"/>
      <c r="Q654" s="39"/>
      <c r="R654" s="28"/>
      <c r="S654" s="28"/>
      <c r="T654" s="28"/>
      <c r="U654" s="4"/>
      <c r="V654" s="3"/>
      <c r="W654" s="3"/>
    </row>
    <row r="655" spans="1:23" s="5" customFormat="1">
      <c r="A655" s="6"/>
      <c r="B655" s="33"/>
      <c r="C655" s="35"/>
      <c r="E655" s="39"/>
      <c r="G655" s="40"/>
      <c r="H655" s="15"/>
      <c r="I655" s="17"/>
      <c r="J655" s="10"/>
      <c r="M655" s="39"/>
      <c r="O655" s="39"/>
      <c r="Q655" s="39"/>
      <c r="R655" s="28"/>
      <c r="S655" s="28"/>
      <c r="T655" s="28"/>
      <c r="U655" s="4"/>
      <c r="V655" s="3"/>
      <c r="W655" s="3"/>
    </row>
    <row r="656" spans="1:23" s="5" customFormat="1">
      <c r="A656" s="6"/>
      <c r="B656" s="33"/>
      <c r="C656" s="35"/>
      <c r="E656" s="39"/>
      <c r="G656" s="40"/>
      <c r="H656" s="15"/>
      <c r="I656" s="17"/>
      <c r="J656" s="10"/>
      <c r="M656" s="39"/>
      <c r="O656" s="39"/>
      <c r="Q656" s="39"/>
      <c r="R656" s="28"/>
      <c r="S656" s="28"/>
      <c r="T656" s="28"/>
      <c r="U656" s="4"/>
      <c r="V656" s="3"/>
      <c r="W656" s="3"/>
    </row>
    <row r="657" spans="1:23" s="5" customFormat="1">
      <c r="A657" s="6"/>
      <c r="B657" s="33"/>
      <c r="C657" s="35"/>
      <c r="E657" s="39"/>
      <c r="G657" s="40"/>
      <c r="H657" s="14"/>
      <c r="I657" s="17"/>
      <c r="J657" s="10"/>
      <c r="M657" s="39"/>
      <c r="O657" s="39"/>
      <c r="Q657" s="39"/>
      <c r="R657" s="28"/>
      <c r="S657" s="28"/>
      <c r="T657" s="28"/>
      <c r="U657" s="4"/>
      <c r="V657" s="3"/>
      <c r="W657" s="3"/>
    </row>
    <row r="658" spans="1:23" s="5" customFormat="1">
      <c r="A658" s="7"/>
      <c r="B658" s="33"/>
      <c r="C658" s="35"/>
      <c r="E658" s="39"/>
      <c r="G658" s="40"/>
      <c r="H658" s="14"/>
      <c r="I658" s="17"/>
      <c r="J658" s="10"/>
      <c r="M658" s="39"/>
      <c r="O658" s="39"/>
      <c r="Q658" s="39"/>
      <c r="R658" s="28"/>
      <c r="S658" s="28"/>
      <c r="T658" s="28"/>
      <c r="U658" s="4"/>
      <c r="V658" s="3"/>
      <c r="W658" s="3"/>
    </row>
    <row r="659" spans="1:23" s="5" customFormat="1">
      <c r="A659" s="6"/>
      <c r="B659" s="33"/>
      <c r="C659" s="35"/>
      <c r="E659" s="39"/>
      <c r="G659" s="40"/>
      <c r="H659" s="14"/>
      <c r="I659" s="17"/>
      <c r="J659" s="10"/>
      <c r="M659" s="39"/>
      <c r="O659" s="39"/>
      <c r="Q659" s="39"/>
      <c r="R659" s="28"/>
      <c r="S659" s="28"/>
      <c r="T659" s="28"/>
      <c r="U659" s="4"/>
      <c r="V659" s="3"/>
      <c r="W659" s="3"/>
    </row>
    <row r="660" spans="1:23" s="5" customFormat="1">
      <c r="A660" s="6"/>
      <c r="B660" s="33"/>
      <c r="C660" s="35"/>
      <c r="E660" s="39"/>
      <c r="G660" s="40"/>
      <c r="H660" s="15"/>
      <c r="I660" s="17"/>
      <c r="J660" s="10"/>
      <c r="M660" s="39"/>
      <c r="O660" s="39"/>
      <c r="Q660" s="39"/>
      <c r="R660" s="28"/>
      <c r="S660" s="28"/>
      <c r="T660" s="28"/>
      <c r="U660" s="4"/>
      <c r="V660" s="3"/>
      <c r="W660" s="3"/>
    </row>
    <row r="661" spans="1:23" s="5" customFormat="1">
      <c r="A661" s="6"/>
      <c r="B661" s="33"/>
      <c r="C661" s="35"/>
      <c r="E661" s="39"/>
      <c r="G661" s="40"/>
      <c r="H661" s="14"/>
      <c r="I661" s="17"/>
      <c r="J661" s="10"/>
      <c r="M661" s="39"/>
      <c r="O661" s="39"/>
      <c r="Q661" s="39"/>
      <c r="R661" s="28"/>
      <c r="S661" s="28"/>
      <c r="T661" s="28"/>
      <c r="U661" s="4"/>
      <c r="V661" s="3"/>
      <c r="W661" s="3"/>
    </row>
    <row r="662" spans="1:23" s="5" customFormat="1">
      <c r="A662" s="6"/>
      <c r="B662" s="33"/>
      <c r="C662" s="35"/>
      <c r="E662" s="39"/>
      <c r="G662" s="40"/>
      <c r="H662" s="14"/>
      <c r="I662" s="17"/>
      <c r="J662" s="10"/>
      <c r="M662" s="39"/>
      <c r="O662" s="39"/>
      <c r="Q662" s="39"/>
      <c r="R662" s="28"/>
      <c r="S662" s="28"/>
      <c r="T662" s="28"/>
      <c r="U662" s="4"/>
      <c r="V662" s="3"/>
      <c r="W662" s="3"/>
    </row>
    <row r="663" spans="1:23" s="5" customFormat="1">
      <c r="A663" s="6"/>
      <c r="B663" s="33"/>
      <c r="C663" s="35"/>
      <c r="E663" s="39"/>
      <c r="G663" s="40"/>
      <c r="H663" s="15"/>
      <c r="I663" s="17"/>
      <c r="J663" s="10"/>
      <c r="M663" s="39"/>
      <c r="O663" s="39"/>
      <c r="Q663" s="39"/>
      <c r="R663" s="28"/>
      <c r="S663" s="28"/>
      <c r="T663" s="28"/>
      <c r="U663" s="4"/>
      <c r="V663" s="3"/>
      <c r="W663" s="3"/>
    </row>
    <row r="664" spans="1:23" s="5" customFormat="1">
      <c r="A664" s="6"/>
      <c r="B664" s="33"/>
      <c r="C664" s="35"/>
      <c r="E664" s="39"/>
      <c r="G664" s="40"/>
      <c r="H664" s="15"/>
      <c r="I664" s="17"/>
      <c r="J664" s="10"/>
      <c r="M664" s="39"/>
      <c r="O664" s="39"/>
      <c r="Q664" s="39"/>
      <c r="R664" s="28"/>
      <c r="S664" s="28"/>
      <c r="T664" s="28"/>
      <c r="U664" s="4"/>
      <c r="V664" s="3"/>
      <c r="W664" s="3"/>
    </row>
    <row r="665" spans="1:23" s="5" customFormat="1">
      <c r="A665" s="6"/>
      <c r="B665" s="33"/>
      <c r="C665" s="35"/>
      <c r="E665" s="39"/>
      <c r="G665" s="40"/>
      <c r="H665" s="15"/>
      <c r="I665" s="17"/>
      <c r="J665" s="10"/>
      <c r="M665" s="39"/>
      <c r="O665" s="39"/>
      <c r="Q665" s="39"/>
      <c r="R665" s="28"/>
      <c r="S665" s="28"/>
      <c r="T665" s="28"/>
      <c r="U665" s="4"/>
      <c r="V665" s="3"/>
      <c r="W665" s="3"/>
    </row>
    <row r="666" spans="1:23" s="5" customFormat="1">
      <c r="A666" s="6"/>
      <c r="B666" s="33"/>
      <c r="C666" s="35"/>
      <c r="E666" s="39"/>
      <c r="G666" s="40"/>
      <c r="H666" s="15"/>
      <c r="I666" s="17"/>
      <c r="J666" s="10"/>
      <c r="M666" s="39"/>
      <c r="O666" s="39"/>
      <c r="Q666" s="39"/>
      <c r="R666" s="28"/>
      <c r="S666" s="28"/>
      <c r="T666" s="28"/>
      <c r="U666" s="4"/>
      <c r="V666" s="3"/>
      <c r="W666" s="3"/>
    </row>
    <row r="667" spans="1:23" s="5" customFormat="1">
      <c r="A667" s="6"/>
      <c r="B667" s="33"/>
      <c r="C667" s="35"/>
      <c r="E667" s="39"/>
      <c r="G667" s="40"/>
      <c r="H667" s="15"/>
      <c r="I667" s="17"/>
      <c r="J667" s="10"/>
      <c r="M667" s="39"/>
      <c r="O667" s="39"/>
      <c r="Q667" s="39"/>
      <c r="R667" s="28"/>
      <c r="S667" s="28"/>
      <c r="T667" s="28"/>
      <c r="U667" s="4"/>
      <c r="V667" s="3"/>
      <c r="W667" s="3"/>
    </row>
    <row r="668" spans="1:23" s="5" customFormat="1">
      <c r="A668" s="6"/>
      <c r="B668" s="33"/>
      <c r="C668" s="35"/>
      <c r="E668" s="39"/>
      <c r="G668" s="40"/>
      <c r="H668" s="15"/>
      <c r="I668" s="17"/>
      <c r="J668" s="10"/>
      <c r="M668" s="39"/>
      <c r="O668" s="39"/>
      <c r="Q668" s="39"/>
      <c r="R668" s="28"/>
      <c r="S668" s="28"/>
      <c r="T668" s="28"/>
      <c r="U668" s="4"/>
      <c r="V668" s="3"/>
      <c r="W668" s="3"/>
    </row>
    <row r="669" spans="1:23" s="5" customFormat="1">
      <c r="A669" s="6"/>
      <c r="B669" s="33"/>
      <c r="C669" s="35"/>
      <c r="E669" s="39"/>
      <c r="G669" s="40"/>
      <c r="H669" s="15"/>
      <c r="I669" s="17"/>
      <c r="J669" s="10"/>
      <c r="M669" s="39"/>
      <c r="O669" s="39"/>
      <c r="Q669" s="39"/>
      <c r="R669" s="28"/>
      <c r="S669" s="28"/>
      <c r="T669" s="28"/>
      <c r="U669" s="4"/>
      <c r="V669" s="3"/>
      <c r="W669" s="3"/>
    </row>
    <row r="670" spans="1:23" s="5" customFormat="1">
      <c r="A670" s="6"/>
      <c r="B670" s="33"/>
      <c r="C670" s="35"/>
      <c r="E670" s="39"/>
      <c r="G670" s="40"/>
      <c r="H670" s="15"/>
      <c r="I670" s="17"/>
      <c r="J670" s="10"/>
      <c r="M670" s="39"/>
      <c r="O670" s="39"/>
      <c r="Q670" s="39"/>
      <c r="R670" s="28"/>
      <c r="S670" s="28"/>
      <c r="T670" s="28"/>
      <c r="U670" s="4"/>
      <c r="V670" s="3"/>
      <c r="W670" s="3"/>
    </row>
    <row r="671" spans="1:23" s="5" customFormat="1">
      <c r="A671" s="6"/>
      <c r="B671" s="33"/>
      <c r="C671" s="35"/>
      <c r="E671" s="39"/>
      <c r="G671" s="40"/>
      <c r="H671" s="14"/>
      <c r="I671" s="17"/>
      <c r="J671" s="10"/>
      <c r="M671" s="39"/>
      <c r="O671" s="39"/>
      <c r="Q671" s="39"/>
      <c r="R671" s="28"/>
      <c r="S671" s="28"/>
      <c r="T671" s="28"/>
      <c r="U671" s="4"/>
      <c r="V671" s="3"/>
      <c r="W671" s="3"/>
    </row>
    <row r="672" spans="1:23" s="5" customFormat="1">
      <c r="A672" s="6"/>
      <c r="B672" s="33"/>
      <c r="C672" s="35"/>
      <c r="E672" s="39"/>
      <c r="G672" s="40"/>
      <c r="H672" s="15"/>
      <c r="I672" s="17"/>
      <c r="J672" s="10"/>
      <c r="M672" s="39"/>
      <c r="O672" s="39"/>
      <c r="Q672" s="39"/>
      <c r="R672" s="28"/>
      <c r="S672" s="28"/>
      <c r="T672" s="28"/>
      <c r="U672" s="4"/>
      <c r="V672" s="3"/>
      <c r="W672" s="3"/>
    </row>
    <row r="673" spans="1:23" s="5" customFormat="1">
      <c r="A673" s="6"/>
      <c r="B673" s="33"/>
      <c r="C673" s="35"/>
      <c r="E673" s="39"/>
      <c r="G673" s="40"/>
      <c r="H673" s="15"/>
      <c r="I673" s="17"/>
      <c r="J673" s="10"/>
      <c r="M673" s="39"/>
      <c r="O673" s="39"/>
      <c r="Q673" s="39"/>
      <c r="R673" s="28"/>
      <c r="S673" s="28"/>
      <c r="T673" s="28"/>
      <c r="U673" s="4"/>
      <c r="V673" s="3"/>
      <c r="W673" s="3"/>
    </row>
    <row r="674" spans="1:23" s="5" customFormat="1">
      <c r="A674" s="6"/>
      <c r="B674" s="33"/>
      <c r="C674" s="35"/>
      <c r="E674" s="39"/>
      <c r="G674" s="40"/>
      <c r="H674" s="15"/>
      <c r="I674" s="17"/>
      <c r="J674" s="10"/>
      <c r="M674" s="39"/>
      <c r="O674" s="39"/>
      <c r="Q674" s="39"/>
      <c r="R674" s="28"/>
      <c r="S674" s="28"/>
      <c r="T674" s="28"/>
      <c r="U674" s="4"/>
      <c r="V674" s="3"/>
      <c r="W674" s="3"/>
    </row>
    <row r="675" spans="1:23" s="5" customFormat="1">
      <c r="A675" s="6"/>
      <c r="B675" s="33"/>
      <c r="C675" s="35"/>
      <c r="E675" s="39"/>
      <c r="G675" s="40"/>
      <c r="H675" s="14"/>
      <c r="I675" s="17"/>
      <c r="J675" s="10"/>
      <c r="M675" s="39"/>
      <c r="O675" s="39"/>
      <c r="Q675" s="39"/>
      <c r="R675" s="28"/>
      <c r="S675" s="28"/>
      <c r="T675" s="28"/>
      <c r="U675" s="4"/>
      <c r="V675" s="3"/>
      <c r="W675" s="3"/>
    </row>
    <row r="676" spans="1:23" s="5" customFormat="1">
      <c r="A676" s="6"/>
      <c r="B676" s="33"/>
      <c r="C676" s="35"/>
      <c r="E676" s="39"/>
      <c r="G676" s="40"/>
      <c r="H676" s="15"/>
      <c r="I676" s="17"/>
      <c r="J676" s="10"/>
      <c r="M676" s="39"/>
      <c r="O676" s="39"/>
      <c r="Q676" s="39"/>
      <c r="R676" s="28"/>
      <c r="S676" s="28"/>
      <c r="T676" s="28"/>
      <c r="U676" s="4"/>
      <c r="V676" s="3"/>
      <c r="W676" s="3"/>
    </row>
    <row r="677" spans="1:23" s="5" customFormat="1">
      <c r="A677" s="6"/>
      <c r="B677" s="33"/>
      <c r="C677" s="35"/>
      <c r="E677" s="39"/>
      <c r="G677" s="40"/>
      <c r="H677" s="15"/>
      <c r="I677" s="17"/>
      <c r="J677" s="10"/>
      <c r="M677" s="39"/>
      <c r="O677" s="39"/>
      <c r="Q677" s="39"/>
      <c r="R677" s="28"/>
      <c r="S677" s="28"/>
      <c r="T677" s="28"/>
      <c r="U677" s="4"/>
      <c r="V677" s="3"/>
      <c r="W677" s="3"/>
    </row>
    <row r="678" spans="1:23" s="5" customFormat="1">
      <c r="A678" s="20"/>
      <c r="B678" s="33"/>
      <c r="C678" s="35"/>
      <c r="E678" s="39"/>
      <c r="F678" s="1"/>
      <c r="G678" s="40"/>
      <c r="H678" s="12"/>
      <c r="I678" s="9"/>
      <c r="J678" s="12"/>
      <c r="M678" s="39"/>
      <c r="O678" s="39"/>
      <c r="Q678" s="39"/>
      <c r="R678" s="29"/>
      <c r="S678" s="28"/>
      <c r="T678" s="28"/>
      <c r="U678" s="4"/>
      <c r="V678" s="3"/>
      <c r="W678" s="3"/>
    </row>
    <row r="679" spans="1:23" s="5" customFormat="1">
      <c r="A679" s="6"/>
      <c r="B679" s="33"/>
      <c r="C679" s="35"/>
      <c r="E679" s="39"/>
      <c r="G679" s="40"/>
      <c r="H679" s="15"/>
      <c r="I679" s="17"/>
      <c r="J679" s="10"/>
      <c r="M679" s="39"/>
      <c r="O679" s="39"/>
      <c r="Q679" s="39"/>
      <c r="R679" s="28"/>
      <c r="S679" s="28"/>
      <c r="T679" s="28"/>
      <c r="U679" s="4"/>
      <c r="V679" s="3"/>
      <c r="W679" s="3"/>
    </row>
    <row r="680" spans="1:23" s="5" customFormat="1">
      <c r="A680" s="6"/>
      <c r="B680" s="33"/>
      <c r="C680" s="35"/>
      <c r="E680" s="39"/>
      <c r="G680" s="40"/>
      <c r="H680" s="15"/>
      <c r="I680" s="17"/>
      <c r="J680" s="10"/>
      <c r="M680" s="39"/>
      <c r="O680" s="39"/>
      <c r="Q680" s="39"/>
      <c r="R680" s="28"/>
      <c r="S680" s="28"/>
      <c r="T680" s="28"/>
      <c r="U680" s="4"/>
      <c r="V680" s="3"/>
      <c r="W680" s="3"/>
    </row>
    <row r="681" spans="1:23" s="5" customFormat="1">
      <c r="A681" s="6"/>
      <c r="B681" s="33"/>
      <c r="C681" s="35"/>
      <c r="E681" s="39"/>
      <c r="G681" s="40"/>
      <c r="H681" s="15"/>
      <c r="I681" s="17"/>
      <c r="J681" s="10"/>
      <c r="M681" s="39"/>
      <c r="O681" s="39"/>
      <c r="Q681" s="39"/>
      <c r="R681" s="28"/>
      <c r="S681" s="28"/>
      <c r="T681" s="28"/>
      <c r="U681" s="4"/>
      <c r="V681" s="3"/>
      <c r="W681" s="3"/>
    </row>
    <row r="682" spans="1:23" s="5" customFormat="1">
      <c r="A682" s="6"/>
      <c r="B682" s="33"/>
      <c r="C682" s="35"/>
      <c r="E682" s="39"/>
      <c r="G682" s="40"/>
      <c r="H682" s="15"/>
      <c r="I682" s="17"/>
      <c r="J682" s="10"/>
      <c r="M682" s="39"/>
      <c r="O682" s="39"/>
      <c r="Q682" s="39"/>
      <c r="R682" s="28"/>
      <c r="S682" s="28"/>
      <c r="T682" s="28"/>
      <c r="U682" s="4"/>
      <c r="V682" s="3"/>
      <c r="W682" s="3"/>
    </row>
    <row r="683" spans="1:23" s="5" customFormat="1">
      <c r="A683" s="6"/>
      <c r="B683" s="33"/>
      <c r="C683" s="35"/>
      <c r="E683" s="39"/>
      <c r="G683" s="40"/>
      <c r="H683" s="15"/>
      <c r="I683" s="17"/>
      <c r="J683" s="10"/>
      <c r="M683" s="39"/>
      <c r="O683" s="39"/>
      <c r="Q683" s="39"/>
      <c r="R683" s="28"/>
      <c r="S683" s="28"/>
      <c r="T683" s="28"/>
      <c r="U683" s="4"/>
      <c r="V683" s="3"/>
      <c r="W683" s="3"/>
    </row>
    <row r="684" spans="1:23" s="5" customFormat="1">
      <c r="A684" s="6"/>
      <c r="B684" s="33"/>
      <c r="C684" s="35"/>
      <c r="E684" s="39"/>
      <c r="G684" s="40"/>
      <c r="H684" s="15"/>
      <c r="I684" s="17"/>
      <c r="J684" s="10"/>
      <c r="M684" s="39"/>
      <c r="O684" s="39"/>
      <c r="Q684" s="39"/>
      <c r="R684" s="28"/>
      <c r="S684" s="28"/>
      <c r="T684" s="28"/>
      <c r="U684" s="4"/>
      <c r="V684" s="3"/>
      <c r="W684" s="3"/>
    </row>
    <row r="685" spans="1:23" s="5" customFormat="1">
      <c r="A685" s="6"/>
      <c r="B685" s="33"/>
      <c r="C685" s="35"/>
      <c r="E685" s="39"/>
      <c r="G685" s="40"/>
      <c r="H685" s="15"/>
      <c r="I685" s="17"/>
      <c r="J685" s="10"/>
      <c r="M685" s="39"/>
      <c r="O685" s="39"/>
      <c r="Q685" s="39"/>
      <c r="R685" s="28"/>
      <c r="S685" s="28"/>
      <c r="T685" s="28"/>
      <c r="U685" s="4"/>
      <c r="V685" s="3"/>
      <c r="W685" s="3"/>
    </row>
    <row r="686" spans="1:23" s="5" customFormat="1">
      <c r="A686" s="6"/>
      <c r="B686" s="33"/>
      <c r="C686" s="35"/>
      <c r="E686" s="39"/>
      <c r="G686" s="40"/>
      <c r="H686" s="15"/>
      <c r="I686" s="17"/>
      <c r="J686" s="10"/>
      <c r="M686" s="39"/>
      <c r="O686" s="39"/>
      <c r="Q686" s="39"/>
      <c r="R686" s="28"/>
      <c r="S686" s="28"/>
      <c r="T686" s="28"/>
      <c r="U686" s="4"/>
      <c r="V686" s="3"/>
      <c r="W686" s="3"/>
    </row>
    <row r="687" spans="1:23" s="5" customFormat="1">
      <c r="A687" s="6"/>
      <c r="B687" s="33"/>
      <c r="C687" s="35"/>
      <c r="E687" s="39"/>
      <c r="G687" s="40"/>
      <c r="H687" s="15"/>
      <c r="I687" s="17"/>
      <c r="J687" s="10"/>
      <c r="M687" s="39"/>
      <c r="O687" s="39"/>
      <c r="Q687" s="39"/>
      <c r="R687" s="28"/>
      <c r="S687" s="28"/>
      <c r="T687" s="28"/>
      <c r="U687" s="4"/>
      <c r="V687" s="3"/>
      <c r="W687" s="3"/>
    </row>
    <row r="688" spans="1:23" s="5" customFormat="1">
      <c r="A688" s="6"/>
      <c r="B688" s="33"/>
      <c r="C688" s="35"/>
      <c r="E688" s="39"/>
      <c r="G688" s="40"/>
      <c r="H688" s="14"/>
      <c r="I688" s="17"/>
      <c r="J688" s="10"/>
      <c r="M688" s="39"/>
      <c r="O688" s="39"/>
      <c r="Q688" s="39"/>
      <c r="R688" s="28"/>
      <c r="S688" s="28"/>
      <c r="T688" s="28"/>
      <c r="U688" s="4"/>
      <c r="V688" s="3"/>
      <c r="W688" s="3"/>
    </row>
    <row r="689" spans="1:23" s="5" customFormat="1">
      <c r="A689" s="6"/>
      <c r="B689" s="33"/>
      <c r="C689" s="35"/>
      <c r="E689" s="39"/>
      <c r="G689" s="40"/>
      <c r="H689" s="15"/>
      <c r="I689" s="17"/>
      <c r="J689" s="10"/>
      <c r="M689" s="39"/>
      <c r="O689" s="39"/>
      <c r="Q689" s="39"/>
      <c r="R689" s="28"/>
      <c r="S689" s="28"/>
      <c r="T689" s="28"/>
      <c r="U689" s="4"/>
      <c r="V689" s="3"/>
      <c r="W689" s="3"/>
    </row>
    <row r="690" spans="1:23" s="5" customFormat="1">
      <c r="A690" s="6"/>
      <c r="B690" s="33"/>
      <c r="C690" s="35"/>
      <c r="E690" s="39"/>
      <c r="G690" s="40"/>
      <c r="H690" s="15"/>
      <c r="I690" s="17"/>
      <c r="J690" s="10"/>
      <c r="M690" s="39"/>
      <c r="O690" s="39"/>
      <c r="Q690" s="39"/>
      <c r="R690" s="28"/>
      <c r="S690" s="28"/>
      <c r="T690" s="28"/>
      <c r="U690" s="4"/>
      <c r="V690" s="3"/>
      <c r="W690" s="3"/>
    </row>
    <row r="691" spans="1:23" s="5" customFormat="1">
      <c r="A691" s="6"/>
      <c r="B691" s="33"/>
      <c r="C691" s="35"/>
      <c r="E691" s="39"/>
      <c r="G691" s="40"/>
      <c r="H691" s="14"/>
      <c r="I691" s="17"/>
      <c r="J691" s="10"/>
      <c r="M691" s="39"/>
      <c r="O691" s="39"/>
      <c r="Q691" s="39"/>
      <c r="R691" s="28"/>
      <c r="S691" s="28"/>
      <c r="T691" s="28"/>
      <c r="U691" s="4"/>
      <c r="V691" s="3"/>
      <c r="W691" s="3"/>
    </row>
    <row r="692" spans="1:23" s="5" customFormat="1">
      <c r="A692" s="6"/>
      <c r="B692" s="33"/>
      <c r="C692" s="35"/>
      <c r="E692" s="39"/>
      <c r="G692" s="40"/>
      <c r="H692" s="15"/>
      <c r="I692" s="17"/>
      <c r="J692" s="10"/>
      <c r="M692" s="39"/>
      <c r="O692" s="39"/>
      <c r="Q692" s="39"/>
      <c r="R692" s="28"/>
      <c r="S692" s="28"/>
      <c r="T692" s="28"/>
      <c r="U692" s="4"/>
      <c r="V692" s="3"/>
      <c r="W692" s="3"/>
    </row>
    <row r="693" spans="1:23" s="5" customFormat="1">
      <c r="A693" s="6"/>
      <c r="B693" s="33"/>
      <c r="C693" s="35"/>
      <c r="E693" s="39"/>
      <c r="G693" s="40"/>
      <c r="H693" s="15"/>
      <c r="I693" s="17"/>
      <c r="J693" s="10"/>
      <c r="M693" s="39"/>
      <c r="O693" s="39"/>
      <c r="Q693" s="39"/>
      <c r="R693" s="28"/>
      <c r="S693" s="28"/>
      <c r="T693" s="28"/>
      <c r="U693" s="4"/>
      <c r="V693" s="3"/>
      <c r="W693" s="3"/>
    </row>
    <row r="694" spans="1:23" s="5" customFormat="1">
      <c r="A694" s="6"/>
      <c r="B694" s="33"/>
      <c r="C694" s="35"/>
      <c r="E694" s="39"/>
      <c r="G694" s="40"/>
      <c r="H694" s="15"/>
      <c r="I694" s="17"/>
      <c r="J694" s="10"/>
      <c r="M694" s="39"/>
      <c r="O694" s="39"/>
      <c r="Q694" s="39"/>
      <c r="R694" s="28"/>
      <c r="S694" s="28"/>
      <c r="T694" s="28"/>
      <c r="U694" s="4"/>
      <c r="V694" s="3"/>
      <c r="W694" s="3"/>
    </row>
    <row r="695" spans="1:23" s="5" customFormat="1">
      <c r="A695" s="6"/>
      <c r="B695" s="33"/>
      <c r="C695" s="35"/>
      <c r="E695" s="39"/>
      <c r="G695" s="40"/>
      <c r="H695" s="15"/>
      <c r="I695" s="17"/>
      <c r="J695" s="10"/>
      <c r="M695" s="39"/>
      <c r="O695" s="39"/>
      <c r="Q695" s="39"/>
      <c r="R695" s="28"/>
      <c r="S695" s="28"/>
      <c r="T695" s="28"/>
      <c r="U695" s="4"/>
      <c r="V695" s="3"/>
      <c r="W695" s="3"/>
    </row>
    <row r="696" spans="1:23" s="5" customFormat="1">
      <c r="A696" s="6"/>
      <c r="B696" s="33"/>
      <c r="C696" s="35"/>
      <c r="E696" s="39"/>
      <c r="G696" s="40"/>
      <c r="H696" s="15"/>
      <c r="I696" s="17"/>
      <c r="J696" s="10"/>
      <c r="M696" s="39"/>
      <c r="O696" s="39"/>
      <c r="Q696" s="39"/>
      <c r="R696" s="28"/>
      <c r="S696" s="28"/>
      <c r="T696" s="28"/>
      <c r="U696" s="4"/>
      <c r="V696" s="3"/>
      <c r="W696" s="3"/>
    </row>
    <row r="697" spans="1:23" s="5" customFormat="1">
      <c r="A697" s="6"/>
      <c r="B697" s="33"/>
      <c r="C697" s="35"/>
      <c r="E697" s="39"/>
      <c r="G697" s="40"/>
      <c r="H697" s="15"/>
      <c r="I697" s="17"/>
      <c r="J697" s="10"/>
      <c r="M697" s="39"/>
      <c r="O697" s="39"/>
      <c r="Q697" s="39"/>
      <c r="R697" s="28"/>
      <c r="S697" s="28"/>
      <c r="T697" s="28"/>
      <c r="U697" s="4"/>
      <c r="V697" s="3"/>
      <c r="W697" s="3"/>
    </row>
    <row r="698" spans="1:23" s="5" customFormat="1">
      <c r="A698" s="6"/>
      <c r="B698" s="33"/>
      <c r="C698" s="35"/>
      <c r="E698" s="39"/>
      <c r="G698" s="40"/>
      <c r="H698" s="14"/>
      <c r="I698" s="17"/>
      <c r="J698" s="10"/>
      <c r="M698" s="39"/>
      <c r="O698" s="39"/>
      <c r="Q698" s="39"/>
      <c r="R698" s="28"/>
      <c r="S698" s="28"/>
      <c r="T698" s="28"/>
      <c r="U698" s="4"/>
      <c r="V698" s="3"/>
      <c r="W698" s="3"/>
    </row>
    <row r="699" spans="1:23" s="5" customFormat="1">
      <c r="A699" s="6"/>
      <c r="B699" s="33"/>
      <c r="C699" s="35"/>
      <c r="E699" s="39"/>
      <c r="G699" s="40"/>
      <c r="H699" s="15"/>
      <c r="I699" s="17"/>
      <c r="J699" s="10"/>
      <c r="M699" s="39"/>
      <c r="O699" s="39"/>
      <c r="Q699" s="39"/>
      <c r="R699" s="28"/>
      <c r="S699" s="28"/>
      <c r="T699" s="28"/>
      <c r="U699" s="4"/>
      <c r="V699" s="3"/>
      <c r="W699" s="3"/>
    </row>
    <row r="700" spans="1:23" s="5" customFormat="1">
      <c r="A700" s="6"/>
      <c r="B700" s="33"/>
      <c r="C700" s="35"/>
      <c r="E700" s="39"/>
      <c r="G700" s="40"/>
      <c r="H700" s="15"/>
      <c r="I700" s="17"/>
      <c r="J700" s="10"/>
      <c r="M700" s="39"/>
      <c r="O700" s="39"/>
      <c r="Q700" s="39"/>
      <c r="R700" s="28"/>
      <c r="S700" s="28"/>
      <c r="T700" s="28"/>
      <c r="U700" s="4"/>
      <c r="V700" s="3"/>
      <c r="W700" s="3"/>
    </row>
    <row r="701" spans="1:23" s="5" customFormat="1">
      <c r="A701" s="6"/>
      <c r="B701" s="33"/>
      <c r="C701" s="35"/>
      <c r="E701" s="39"/>
      <c r="G701" s="40"/>
      <c r="H701" s="15"/>
      <c r="I701" s="17"/>
      <c r="J701" s="10"/>
      <c r="M701" s="39"/>
      <c r="O701" s="39"/>
      <c r="Q701" s="39"/>
      <c r="R701" s="28"/>
      <c r="S701" s="28"/>
      <c r="T701" s="28"/>
      <c r="U701" s="4"/>
      <c r="V701" s="3"/>
      <c r="W701" s="3"/>
    </row>
    <row r="702" spans="1:23" s="5" customFormat="1">
      <c r="A702" s="6"/>
      <c r="B702" s="33"/>
      <c r="C702" s="35"/>
      <c r="E702" s="39"/>
      <c r="G702" s="40"/>
      <c r="H702" s="15"/>
      <c r="I702" s="17"/>
      <c r="J702" s="10"/>
      <c r="M702" s="39"/>
      <c r="O702" s="39"/>
      <c r="Q702" s="39"/>
      <c r="R702" s="28"/>
      <c r="S702" s="28"/>
      <c r="T702" s="28"/>
      <c r="U702" s="4"/>
      <c r="V702" s="3"/>
      <c r="W702" s="3"/>
    </row>
    <row r="703" spans="1:23" s="5" customFormat="1">
      <c r="A703" s="6"/>
      <c r="B703" s="33"/>
      <c r="C703" s="35"/>
      <c r="E703" s="39"/>
      <c r="G703" s="40"/>
      <c r="H703" s="15"/>
      <c r="I703" s="17"/>
      <c r="J703" s="10"/>
      <c r="M703" s="39"/>
      <c r="O703" s="39"/>
      <c r="Q703" s="39"/>
      <c r="R703" s="28"/>
      <c r="S703" s="28"/>
      <c r="T703" s="28"/>
      <c r="U703" s="4"/>
      <c r="V703" s="3"/>
      <c r="W703" s="3"/>
    </row>
    <row r="704" spans="1:23" s="5" customFormat="1">
      <c r="A704" s="6"/>
      <c r="B704" s="33"/>
      <c r="C704" s="35"/>
      <c r="E704" s="39"/>
      <c r="G704" s="40"/>
      <c r="H704" s="15"/>
      <c r="I704" s="17"/>
      <c r="J704" s="10"/>
      <c r="M704" s="39"/>
      <c r="O704" s="39"/>
      <c r="Q704" s="39"/>
      <c r="R704" s="28"/>
      <c r="S704" s="28"/>
      <c r="T704" s="28"/>
      <c r="U704" s="4"/>
      <c r="V704" s="3"/>
      <c r="W704" s="3"/>
    </row>
    <row r="705" spans="1:23" s="5" customFormat="1">
      <c r="A705" s="6"/>
      <c r="B705" s="33"/>
      <c r="C705" s="35"/>
      <c r="E705" s="39"/>
      <c r="G705" s="40"/>
      <c r="H705" s="15"/>
      <c r="I705" s="17"/>
      <c r="J705" s="10"/>
      <c r="M705" s="39"/>
      <c r="O705" s="39"/>
      <c r="Q705" s="39"/>
      <c r="R705" s="28"/>
      <c r="S705" s="28"/>
      <c r="T705" s="28"/>
      <c r="U705" s="4"/>
      <c r="V705" s="3"/>
      <c r="W705" s="3"/>
    </row>
    <row r="706" spans="1:23" s="5" customFormat="1">
      <c r="A706" s="6"/>
      <c r="B706" s="33"/>
      <c r="C706" s="35"/>
      <c r="E706" s="39"/>
      <c r="G706" s="40"/>
      <c r="H706" s="15"/>
      <c r="I706" s="17"/>
      <c r="J706" s="10"/>
      <c r="M706" s="39"/>
      <c r="O706" s="39"/>
      <c r="Q706" s="39"/>
      <c r="R706" s="28"/>
      <c r="S706" s="28"/>
      <c r="T706" s="28"/>
      <c r="U706" s="4"/>
      <c r="V706" s="3"/>
      <c r="W706" s="3"/>
    </row>
    <row r="707" spans="1:23" s="5" customFormat="1">
      <c r="A707" s="6"/>
      <c r="B707" s="33"/>
      <c r="C707" s="35"/>
      <c r="E707" s="39"/>
      <c r="G707" s="40"/>
      <c r="H707" s="15"/>
      <c r="I707" s="17"/>
      <c r="J707" s="10"/>
      <c r="M707" s="39"/>
      <c r="O707" s="39"/>
      <c r="Q707" s="39"/>
      <c r="R707" s="28"/>
      <c r="S707" s="28"/>
      <c r="T707" s="28"/>
      <c r="U707" s="4"/>
      <c r="V707" s="3"/>
      <c r="W707" s="3"/>
    </row>
    <row r="708" spans="1:23" s="5" customFormat="1">
      <c r="A708" s="6"/>
      <c r="B708" s="33"/>
      <c r="C708" s="35"/>
      <c r="E708" s="39"/>
      <c r="G708" s="40"/>
      <c r="H708" s="15"/>
      <c r="I708" s="17"/>
      <c r="J708" s="10"/>
      <c r="M708" s="39"/>
      <c r="O708" s="39"/>
      <c r="Q708" s="39"/>
      <c r="R708" s="28"/>
      <c r="S708" s="28"/>
      <c r="T708" s="28"/>
      <c r="U708" s="4"/>
      <c r="V708" s="3"/>
      <c r="W708" s="3"/>
    </row>
    <row r="709" spans="1:23" s="5" customFormat="1">
      <c r="A709" s="6"/>
      <c r="B709" s="33"/>
      <c r="C709" s="35"/>
      <c r="E709" s="39"/>
      <c r="G709" s="40"/>
      <c r="H709" s="15"/>
      <c r="I709" s="17"/>
      <c r="J709" s="10"/>
      <c r="M709" s="39"/>
      <c r="O709" s="39"/>
      <c r="Q709" s="39"/>
      <c r="R709" s="28"/>
      <c r="S709" s="28"/>
      <c r="T709" s="28"/>
      <c r="U709" s="4"/>
      <c r="V709" s="3"/>
      <c r="W709" s="3"/>
    </row>
    <row r="710" spans="1:23" s="5" customFormat="1">
      <c r="A710" s="6"/>
      <c r="B710" s="33"/>
      <c r="C710" s="35"/>
      <c r="E710" s="39"/>
      <c r="G710" s="40"/>
      <c r="H710" s="15"/>
      <c r="I710" s="17"/>
      <c r="J710" s="10"/>
      <c r="M710" s="39"/>
      <c r="O710" s="39"/>
      <c r="Q710" s="39"/>
      <c r="R710" s="28"/>
      <c r="S710" s="28"/>
      <c r="T710" s="28"/>
      <c r="U710" s="4"/>
      <c r="V710" s="3"/>
      <c r="W710" s="3"/>
    </row>
    <row r="711" spans="1:23" s="5" customFormat="1">
      <c r="A711" s="6"/>
      <c r="B711" s="33"/>
      <c r="C711" s="35"/>
      <c r="E711" s="39"/>
      <c r="G711" s="40"/>
      <c r="H711" s="15"/>
      <c r="I711" s="17"/>
      <c r="J711" s="10"/>
      <c r="M711" s="39"/>
      <c r="O711" s="39"/>
      <c r="Q711" s="39"/>
      <c r="R711" s="28"/>
      <c r="S711" s="28"/>
      <c r="T711" s="28"/>
      <c r="U711" s="4"/>
      <c r="V711" s="3"/>
      <c r="W711" s="3"/>
    </row>
    <row r="712" spans="1:23" s="5" customFormat="1">
      <c r="A712" s="6"/>
      <c r="B712" s="33"/>
      <c r="C712" s="35"/>
      <c r="E712" s="39"/>
      <c r="G712" s="40"/>
      <c r="H712" s="15"/>
      <c r="I712" s="17"/>
      <c r="J712" s="10"/>
      <c r="M712" s="39"/>
      <c r="O712" s="39"/>
      <c r="Q712" s="39"/>
      <c r="R712" s="28"/>
      <c r="S712" s="28"/>
      <c r="T712" s="28"/>
      <c r="U712" s="4"/>
      <c r="V712" s="3"/>
      <c r="W712" s="3"/>
    </row>
    <row r="713" spans="1:23" s="5" customFormat="1">
      <c r="A713" s="6"/>
      <c r="B713" s="33"/>
      <c r="C713" s="35"/>
      <c r="E713" s="39"/>
      <c r="G713" s="40"/>
      <c r="H713" s="15"/>
      <c r="I713" s="17"/>
      <c r="J713" s="10"/>
      <c r="M713" s="39"/>
      <c r="O713" s="39"/>
      <c r="Q713" s="39"/>
      <c r="R713" s="28"/>
      <c r="S713" s="28"/>
      <c r="T713" s="28"/>
      <c r="U713" s="4"/>
      <c r="V713" s="3"/>
      <c r="W713" s="3"/>
    </row>
    <row r="714" spans="1:23" s="5" customFormat="1">
      <c r="A714" s="6"/>
      <c r="B714" s="33"/>
      <c r="C714" s="35"/>
      <c r="E714" s="39"/>
      <c r="G714" s="40"/>
      <c r="H714" s="15"/>
      <c r="I714" s="17"/>
      <c r="J714" s="10"/>
      <c r="M714" s="39"/>
      <c r="O714" s="39"/>
      <c r="Q714" s="39"/>
      <c r="R714" s="28"/>
      <c r="S714" s="28"/>
      <c r="T714" s="28"/>
      <c r="U714" s="4"/>
      <c r="V714" s="3"/>
      <c r="W714" s="3"/>
    </row>
    <row r="715" spans="1:23" s="5" customFormat="1">
      <c r="A715" s="6"/>
      <c r="B715" s="33"/>
      <c r="C715" s="35"/>
      <c r="E715" s="39"/>
      <c r="G715" s="40"/>
      <c r="H715" s="14"/>
      <c r="I715" s="17"/>
      <c r="J715" s="10"/>
      <c r="M715" s="39"/>
      <c r="O715" s="39"/>
      <c r="Q715" s="39"/>
      <c r="R715" s="28"/>
      <c r="S715" s="28"/>
      <c r="T715" s="28"/>
      <c r="U715" s="4"/>
      <c r="V715" s="3"/>
      <c r="W715" s="3"/>
    </row>
    <row r="716" spans="1:23" s="5" customFormat="1">
      <c r="A716" s="6"/>
      <c r="B716" s="33"/>
      <c r="C716" s="35"/>
      <c r="E716" s="39"/>
      <c r="G716" s="40"/>
      <c r="H716" s="14"/>
      <c r="I716" s="17"/>
      <c r="J716" s="10"/>
      <c r="M716" s="39"/>
      <c r="O716" s="39"/>
      <c r="Q716" s="39"/>
      <c r="R716" s="28"/>
      <c r="S716" s="28"/>
      <c r="T716" s="28"/>
      <c r="U716" s="4"/>
      <c r="V716" s="3"/>
      <c r="W716" s="3"/>
    </row>
    <row r="717" spans="1:23" s="5" customFormat="1">
      <c r="A717" s="6"/>
      <c r="B717" s="33"/>
      <c r="C717" s="35"/>
      <c r="E717" s="39"/>
      <c r="G717" s="40"/>
      <c r="H717" s="15"/>
      <c r="I717" s="17"/>
      <c r="J717" s="10"/>
      <c r="M717" s="39"/>
      <c r="O717" s="39"/>
      <c r="Q717" s="39"/>
      <c r="R717" s="28"/>
      <c r="S717" s="28"/>
      <c r="T717" s="28"/>
      <c r="U717" s="4"/>
      <c r="V717" s="3"/>
      <c r="W717" s="3"/>
    </row>
    <row r="718" spans="1:23" s="5" customFormat="1">
      <c r="A718" s="6"/>
      <c r="B718" s="33"/>
      <c r="C718" s="35"/>
      <c r="E718" s="39"/>
      <c r="G718" s="40"/>
      <c r="H718" s="15"/>
      <c r="I718" s="17"/>
      <c r="J718" s="10"/>
      <c r="M718" s="39"/>
      <c r="O718" s="39"/>
      <c r="Q718" s="39"/>
      <c r="R718" s="28"/>
      <c r="S718" s="28"/>
      <c r="T718" s="28"/>
      <c r="U718" s="4"/>
      <c r="V718" s="3"/>
      <c r="W718" s="3"/>
    </row>
    <row r="719" spans="1:23" s="5" customFormat="1">
      <c r="A719" s="6"/>
      <c r="B719" s="33"/>
      <c r="C719" s="35"/>
      <c r="E719" s="39"/>
      <c r="G719" s="40"/>
      <c r="H719" s="14"/>
      <c r="I719" s="17"/>
      <c r="J719" s="10"/>
      <c r="M719" s="39"/>
      <c r="O719" s="39"/>
      <c r="Q719" s="39"/>
      <c r="R719" s="28"/>
      <c r="S719" s="28"/>
      <c r="T719" s="28"/>
      <c r="U719" s="4"/>
      <c r="V719" s="3"/>
      <c r="W719" s="3"/>
    </row>
    <row r="720" spans="1:23" s="5" customFormat="1">
      <c r="A720" s="6"/>
      <c r="B720" s="33"/>
      <c r="C720" s="35"/>
      <c r="E720" s="39"/>
      <c r="G720" s="40"/>
      <c r="H720" s="14"/>
      <c r="I720" s="17"/>
      <c r="J720" s="10"/>
      <c r="M720" s="39"/>
      <c r="O720" s="39"/>
      <c r="Q720" s="39"/>
      <c r="R720" s="28"/>
      <c r="S720" s="28"/>
      <c r="T720" s="28"/>
      <c r="U720" s="4"/>
      <c r="V720" s="3"/>
      <c r="W720" s="3"/>
    </row>
    <row r="721" spans="1:23" s="5" customFormat="1">
      <c r="A721" s="6"/>
      <c r="B721" s="33"/>
      <c r="C721" s="35"/>
      <c r="E721" s="39"/>
      <c r="G721" s="40"/>
      <c r="H721" s="15"/>
      <c r="I721" s="17"/>
      <c r="J721" s="10"/>
      <c r="M721" s="39"/>
      <c r="O721" s="39"/>
      <c r="Q721" s="39"/>
      <c r="R721" s="28"/>
      <c r="S721" s="28"/>
      <c r="T721" s="28"/>
      <c r="U721" s="4"/>
      <c r="V721" s="3"/>
      <c r="W721" s="3"/>
    </row>
    <row r="722" spans="1:23" s="5" customFormat="1">
      <c r="A722" s="6"/>
      <c r="B722" s="33"/>
      <c r="C722" s="35"/>
      <c r="E722" s="39"/>
      <c r="G722" s="40"/>
      <c r="H722" s="15"/>
      <c r="I722" s="17"/>
      <c r="J722" s="10"/>
      <c r="M722" s="39"/>
      <c r="O722" s="39"/>
      <c r="Q722" s="39"/>
      <c r="R722" s="28"/>
      <c r="S722" s="28"/>
      <c r="T722" s="28"/>
      <c r="U722" s="4"/>
      <c r="V722" s="3"/>
      <c r="W722" s="3"/>
    </row>
    <row r="723" spans="1:23" s="5" customFormat="1">
      <c r="A723" s="6"/>
      <c r="B723" s="33"/>
      <c r="C723" s="35"/>
      <c r="E723" s="39"/>
      <c r="G723" s="40"/>
      <c r="H723" s="15"/>
      <c r="I723" s="17"/>
      <c r="J723" s="10"/>
      <c r="M723" s="39"/>
      <c r="O723" s="39"/>
      <c r="Q723" s="39"/>
      <c r="R723" s="28"/>
      <c r="S723" s="28"/>
      <c r="T723" s="28"/>
      <c r="U723" s="4"/>
      <c r="V723" s="3"/>
      <c r="W723" s="3"/>
    </row>
    <row r="724" spans="1:23" s="5" customFormat="1">
      <c r="A724" s="6"/>
      <c r="B724" s="33"/>
      <c r="C724" s="35"/>
      <c r="E724" s="39"/>
      <c r="G724" s="40"/>
      <c r="H724" s="15"/>
      <c r="I724" s="17"/>
      <c r="J724" s="10"/>
      <c r="M724" s="39"/>
      <c r="O724" s="39"/>
      <c r="Q724" s="39"/>
      <c r="R724" s="28"/>
      <c r="S724" s="28"/>
      <c r="T724" s="28"/>
      <c r="U724" s="4"/>
      <c r="V724" s="3"/>
      <c r="W724" s="3"/>
    </row>
    <row r="725" spans="1:23" s="5" customFormat="1">
      <c r="A725" s="6"/>
      <c r="B725" s="33"/>
      <c r="C725" s="35"/>
      <c r="E725" s="39"/>
      <c r="G725" s="40"/>
      <c r="H725" s="15"/>
      <c r="I725" s="17"/>
      <c r="J725" s="10"/>
      <c r="M725" s="39"/>
      <c r="O725" s="39"/>
      <c r="Q725" s="39"/>
      <c r="R725" s="28"/>
      <c r="S725" s="28"/>
      <c r="T725" s="28"/>
      <c r="U725" s="4"/>
      <c r="V725" s="3"/>
      <c r="W725" s="3"/>
    </row>
    <row r="726" spans="1:23" s="5" customFormat="1">
      <c r="A726" s="6"/>
      <c r="B726" s="33"/>
      <c r="C726" s="35"/>
      <c r="E726" s="39"/>
      <c r="G726" s="40"/>
      <c r="H726" s="14"/>
      <c r="I726" s="17"/>
      <c r="J726" s="10"/>
      <c r="M726" s="39"/>
      <c r="O726" s="39"/>
      <c r="Q726" s="39"/>
      <c r="R726" s="28"/>
      <c r="S726" s="28"/>
      <c r="T726" s="28"/>
      <c r="U726" s="4"/>
      <c r="V726" s="3"/>
      <c r="W726" s="3"/>
    </row>
    <row r="727" spans="1:23" s="5" customFormat="1">
      <c r="A727" s="6"/>
      <c r="B727" s="33"/>
      <c r="C727" s="35"/>
      <c r="E727" s="39"/>
      <c r="G727" s="40"/>
      <c r="H727" s="14"/>
      <c r="I727" s="17"/>
      <c r="J727" s="10"/>
      <c r="M727" s="39"/>
      <c r="O727" s="39"/>
      <c r="Q727" s="39"/>
      <c r="R727" s="28"/>
      <c r="S727" s="28"/>
      <c r="T727" s="28"/>
      <c r="U727" s="4"/>
      <c r="V727" s="3"/>
      <c r="W727" s="3"/>
    </row>
    <row r="728" spans="1:23" s="5" customFormat="1">
      <c r="A728" s="6"/>
      <c r="B728" s="33"/>
      <c r="C728" s="35"/>
      <c r="E728" s="39"/>
      <c r="G728" s="40"/>
      <c r="H728" s="15"/>
      <c r="I728" s="17"/>
      <c r="J728" s="10"/>
      <c r="M728" s="39"/>
      <c r="O728" s="39"/>
      <c r="Q728" s="39"/>
      <c r="R728" s="28"/>
      <c r="S728" s="28"/>
      <c r="T728" s="28"/>
      <c r="U728" s="4"/>
      <c r="V728" s="3"/>
      <c r="W728" s="3"/>
    </row>
    <row r="729" spans="1:23" s="5" customFormat="1">
      <c r="A729" s="6"/>
      <c r="B729" s="33"/>
      <c r="C729" s="35"/>
      <c r="E729" s="39"/>
      <c r="G729" s="40"/>
      <c r="H729" s="15"/>
      <c r="I729" s="17"/>
      <c r="J729" s="10"/>
      <c r="M729" s="39"/>
      <c r="O729" s="39"/>
      <c r="Q729" s="39"/>
      <c r="R729" s="28"/>
      <c r="S729" s="28"/>
      <c r="T729" s="28"/>
      <c r="U729" s="4"/>
      <c r="V729" s="3"/>
      <c r="W729" s="3"/>
    </row>
    <row r="730" spans="1:23" s="5" customFormat="1">
      <c r="A730" s="6"/>
      <c r="B730" s="33"/>
      <c r="C730" s="35"/>
      <c r="E730" s="39"/>
      <c r="G730" s="40"/>
      <c r="H730" s="15"/>
      <c r="I730" s="17"/>
      <c r="J730" s="10"/>
      <c r="M730" s="39"/>
      <c r="O730" s="39"/>
      <c r="Q730" s="39"/>
      <c r="R730" s="28"/>
      <c r="S730" s="28"/>
      <c r="T730" s="28"/>
      <c r="U730" s="4"/>
      <c r="V730" s="3"/>
      <c r="W730" s="3"/>
    </row>
    <row r="731" spans="1:23" s="5" customFormat="1">
      <c r="A731" s="6"/>
      <c r="B731" s="33"/>
      <c r="C731" s="35"/>
      <c r="E731" s="39"/>
      <c r="G731" s="40"/>
      <c r="H731" s="14"/>
      <c r="I731" s="17"/>
      <c r="J731" s="10"/>
      <c r="M731" s="39"/>
      <c r="O731" s="39"/>
      <c r="Q731" s="39"/>
      <c r="R731" s="28"/>
      <c r="S731" s="28"/>
      <c r="T731" s="28"/>
      <c r="U731" s="4"/>
      <c r="V731" s="3"/>
      <c r="W731" s="3"/>
    </row>
    <row r="732" spans="1:23" s="5" customFormat="1">
      <c r="A732" s="6"/>
      <c r="B732" s="33"/>
      <c r="C732" s="35"/>
      <c r="E732" s="39"/>
      <c r="G732" s="40"/>
      <c r="H732" s="14"/>
      <c r="I732" s="17"/>
      <c r="J732" s="10"/>
      <c r="M732" s="39"/>
      <c r="O732" s="39"/>
      <c r="Q732" s="39"/>
      <c r="R732" s="28"/>
      <c r="S732" s="28"/>
      <c r="T732" s="28"/>
      <c r="U732" s="4"/>
      <c r="V732" s="3"/>
      <c r="W732" s="3"/>
    </row>
    <row r="733" spans="1:23" s="5" customFormat="1">
      <c r="A733" s="6"/>
      <c r="B733" s="33"/>
      <c r="C733" s="35"/>
      <c r="E733" s="39"/>
      <c r="G733" s="40"/>
      <c r="H733" s="15"/>
      <c r="I733" s="17"/>
      <c r="J733" s="10"/>
      <c r="M733" s="39"/>
      <c r="O733" s="39"/>
      <c r="Q733" s="39"/>
      <c r="R733" s="28"/>
      <c r="S733" s="28"/>
      <c r="T733" s="28"/>
      <c r="U733" s="4"/>
      <c r="V733" s="3"/>
      <c r="W733" s="3"/>
    </row>
    <row r="734" spans="1:23" s="5" customFormat="1">
      <c r="A734" s="6"/>
      <c r="B734" s="33"/>
      <c r="C734" s="35"/>
      <c r="E734" s="39"/>
      <c r="G734" s="40"/>
      <c r="H734" s="15"/>
      <c r="I734" s="17"/>
      <c r="J734" s="10"/>
      <c r="M734" s="39"/>
      <c r="O734" s="39"/>
      <c r="Q734" s="39"/>
      <c r="R734" s="28"/>
      <c r="S734" s="28"/>
      <c r="T734" s="28"/>
      <c r="U734" s="4"/>
      <c r="V734" s="3"/>
      <c r="W734" s="3"/>
    </row>
    <row r="735" spans="1:23" s="5" customFormat="1">
      <c r="A735" s="6"/>
      <c r="B735" s="33"/>
      <c r="C735" s="35"/>
      <c r="E735" s="39"/>
      <c r="G735" s="40"/>
      <c r="H735" s="14"/>
      <c r="I735" s="17"/>
      <c r="J735" s="10"/>
      <c r="M735" s="39"/>
      <c r="O735" s="39"/>
      <c r="Q735" s="39"/>
      <c r="R735" s="28"/>
      <c r="S735" s="28"/>
      <c r="T735" s="28"/>
      <c r="U735" s="4"/>
      <c r="V735" s="3"/>
      <c r="W735" s="3"/>
    </row>
    <row r="736" spans="1:23" s="5" customFormat="1">
      <c r="A736" s="6"/>
      <c r="B736" s="33"/>
      <c r="C736" s="35"/>
      <c r="E736" s="39"/>
      <c r="G736" s="40"/>
      <c r="H736" s="15"/>
      <c r="I736" s="17"/>
      <c r="J736" s="10"/>
      <c r="M736" s="39"/>
      <c r="O736" s="39"/>
      <c r="Q736" s="39"/>
      <c r="R736" s="28"/>
      <c r="S736" s="28"/>
      <c r="T736" s="28"/>
      <c r="U736" s="4"/>
      <c r="V736" s="3"/>
      <c r="W736" s="3"/>
    </row>
    <row r="737" spans="1:23" s="5" customFormat="1">
      <c r="A737" s="6"/>
      <c r="B737" s="33"/>
      <c r="C737" s="35"/>
      <c r="E737" s="39"/>
      <c r="G737" s="40"/>
      <c r="H737" s="15"/>
      <c r="I737" s="17"/>
      <c r="J737" s="10"/>
      <c r="M737" s="39"/>
      <c r="O737" s="39"/>
      <c r="Q737" s="39"/>
      <c r="R737" s="28"/>
      <c r="S737" s="28"/>
      <c r="T737" s="28"/>
      <c r="U737" s="4"/>
      <c r="V737" s="3"/>
      <c r="W737" s="3"/>
    </row>
    <row r="738" spans="1:23" s="5" customFormat="1">
      <c r="A738" s="6"/>
      <c r="B738" s="33"/>
      <c r="C738" s="35"/>
      <c r="E738" s="39"/>
      <c r="G738" s="40"/>
      <c r="H738" s="14"/>
      <c r="I738" s="17"/>
      <c r="J738" s="10"/>
      <c r="M738" s="39"/>
      <c r="O738" s="39"/>
      <c r="Q738" s="39"/>
      <c r="R738" s="28"/>
      <c r="S738" s="28"/>
      <c r="T738" s="28"/>
      <c r="U738" s="4"/>
      <c r="V738" s="3"/>
      <c r="W738" s="3"/>
    </row>
    <row r="739" spans="1:23" s="5" customFormat="1">
      <c r="A739" s="6"/>
      <c r="B739" s="33"/>
      <c r="C739" s="35"/>
      <c r="E739" s="39"/>
      <c r="G739" s="40"/>
      <c r="H739" s="14"/>
      <c r="I739" s="17"/>
      <c r="J739" s="10"/>
      <c r="M739" s="39"/>
      <c r="O739" s="39"/>
      <c r="Q739" s="39"/>
      <c r="R739" s="28"/>
      <c r="S739" s="28"/>
      <c r="T739" s="28"/>
      <c r="U739" s="4"/>
      <c r="V739" s="3"/>
      <c r="W739" s="3"/>
    </row>
    <row r="740" spans="1:23" s="5" customFormat="1">
      <c r="A740" s="6"/>
      <c r="B740" s="33"/>
      <c r="C740" s="35"/>
      <c r="E740" s="39"/>
      <c r="G740" s="40"/>
      <c r="H740" s="14"/>
      <c r="I740" s="17"/>
      <c r="J740" s="10"/>
      <c r="M740" s="39"/>
      <c r="O740" s="39"/>
      <c r="Q740" s="39"/>
      <c r="R740" s="28"/>
      <c r="S740" s="28"/>
      <c r="T740" s="28"/>
      <c r="U740" s="4"/>
      <c r="V740" s="3"/>
      <c r="W740" s="3"/>
    </row>
    <row r="741" spans="1:23" s="5" customFormat="1">
      <c r="A741" s="6"/>
      <c r="B741" s="33"/>
      <c r="C741" s="35"/>
      <c r="E741" s="39"/>
      <c r="G741" s="40"/>
      <c r="H741" s="14"/>
      <c r="I741" s="17"/>
      <c r="J741" s="10"/>
      <c r="M741" s="39"/>
      <c r="O741" s="39"/>
      <c r="Q741" s="39"/>
      <c r="R741" s="28"/>
      <c r="S741" s="28"/>
      <c r="T741" s="28"/>
      <c r="U741" s="4"/>
      <c r="V741" s="3"/>
      <c r="W741" s="3"/>
    </row>
    <row r="742" spans="1:23" s="5" customFormat="1">
      <c r="A742" s="6"/>
      <c r="B742" s="33"/>
      <c r="C742" s="35"/>
      <c r="E742" s="39"/>
      <c r="G742" s="40"/>
      <c r="H742" s="15"/>
      <c r="I742" s="17"/>
      <c r="J742" s="10"/>
      <c r="M742" s="39"/>
      <c r="O742" s="39"/>
      <c r="Q742" s="39"/>
      <c r="R742" s="28"/>
      <c r="S742" s="28"/>
      <c r="T742" s="28"/>
      <c r="U742" s="4"/>
      <c r="V742" s="3"/>
      <c r="W742" s="3"/>
    </row>
    <row r="743" spans="1:23" s="5" customFormat="1">
      <c r="A743" s="6"/>
      <c r="B743" s="33"/>
      <c r="C743" s="35"/>
      <c r="E743" s="39"/>
      <c r="G743" s="40"/>
      <c r="H743" s="14"/>
      <c r="I743" s="17"/>
      <c r="J743" s="10"/>
      <c r="M743" s="39"/>
      <c r="O743" s="39"/>
      <c r="Q743" s="39"/>
      <c r="R743" s="28"/>
      <c r="S743" s="28"/>
      <c r="T743" s="28"/>
      <c r="U743" s="4"/>
      <c r="V743" s="3"/>
      <c r="W743" s="3"/>
    </row>
    <row r="744" spans="1:23" s="5" customFormat="1">
      <c r="A744" s="6"/>
      <c r="B744" s="33"/>
      <c r="C744" s="35"/>
      <c r="E744" s="39"/>
      <c r="G744" s="40"/>
      <c r="H744" s="15"/>
      <c r="I744" s="17"/>
      <c r="J744" s="10"/>
      <c r="M744" s="39"/>
      <c r="O744" s="39"/>
      <c r="Q744" s="39"/>
      <c r="R744" s="28"/>
      <c r="S744" s="28"/>
      <c r="T744" s="28"/>
      <c r="U744" s="4"/>
      <c r="V744" s="3"/>
      <c r="W744" s="3"/>
    </row>
    <row r="745" spans="1:23" s="5" customFormat="1">
      <c r="A745" s="6"/>
      <c r="B745" s="33"/>
      <c r="C745" s="35"/>
      <c r="E745" s="39"/>
      <c r="G745" s="40"/>
      <c r="H745" s="15"/>
      <c r="I745" s="17"/>
      <c r="J745" s="10"/>
      <c r="M745" s="39"/>
      <c r="O745" s="39"/>
      <c r="Q745" s="39"/>
      <c r="R745" s="28"/>
      <c r="S745" s="28"/>
      <c r="T745" s="28"/>
      <c r="U745" s="4"/>
      <c r="V745" s="3"/>
      <c r="W745" s="3"/>
    </row>
    <row r="746" spans="1:23" s="5" customFormat="1">
      <c r="A746" s="6"/>
      <c r="B746" s="33"/>
      <c r="C746" s="35"/>
      <c r="E746" s="39"/>
      <c r="G746" s="40"/>
      <c r="H746" s="15"/>
      <c r="I746" s="17"/>
      <c r="J746" s="10"/>
      <c r="M746" s="39"/>
      <c r="O746" s="39"/>
      <c r="Q746" s="39"/>
      <c r="R746" s="28"/>
      <c r="S746" s="28"/>
      <c r="T746" s="28"/>
      <c r="U746" s="4"/>
      <c r="V746" s="3"/>
      <c r="W746" s="3"/>
    </row>
    <row r="747" spans="1:23" s="5" customFormat="1">
      <c r="A747" s="6"/>
      <c r="B747" s="33"/>
      <c r="C747" s="35"/>
      <c r="E747" s="39"/>
      <c r="G747" s="40"/>
      <c r="H747" s="15"/>
      <c r="I747" s="17"/>
      <c r="J747" s="10"/>
      <c r="M747" s="39"/>
      <c r="O747" s="39"/>
      <c r="Q747" s="39"/>
      <c r="R747" s="28"/>
      <c r="S747" s="28"/>
      <c r="T747" s="28"/>
      <c r="U747" s="4"/>
      <c r="V747" s="3"/>
      <c r="W747" s="3"/>
    </row>
    <row r="748" spans="1:23" s="5" customFormat="1">
      <c r="A748" s="6"/>
      <c r="B748" s="33"/>
      <c r="C748" s="35"/>
      <c r="E748" s="39"/>
      <c r="G748" s="40"/>
      <c r="H748" s="14"/>
      <c r="I748" s="17"/>
      <c r="J748" s="10"/>
      <c r="M748" s="39"/>
      <c r="O748" s="39"/>
      <c r="Q748" s="39"/>
      <c r="R748" s="28"/>
      <c r="S748" s="28"/>
      <c r="T748" s="28"/>
      <c r="U748" s="4"/>
      <c r="V748" s="3"/>
      <c r="W748" s="3"/>
    </row>
    <row r="749" spans="1:23" s="5" customFormat="1">
      <c r="A749" s="6"/>
      <c r="B749" s="33"/>
      <c r="C749" s="35"/>
      <c r="E749" s="39"/>
      <c r="G749" s="40"/>
      <c r="H749" s="15"/>
      <c r="I749" s="17"/>
      <c r="J749" s="10"/>
      <c r="M749" s="39"/>
      <c r="O749" s="39"/>
      <c r="Q749" s="39"/>
      <c r="R749" s="28"/>
      <c r="S749" s="28"/>
      <c r="T749" s="28"/>
      <c r="U749" s="4"/>
      <c r="V749" s="3"/>
      <c r="W749" s="3"/>
    </row>
    <row r="750" spans="1:23" s="5" customFormat="1">
      <c r="A750" s="6"/>
      <c r="B750" s="33"/>
      <c r="C750" s="35"/>
      <c r="E750" s="39"/>
      <c r="G750" s="40"/>
      <c r="H750" s="15"/>
      <c r="I750" s="17"/>
      <c r="J750" s="10"/>
      <c r="M750" s="39"/>
      <c r="O750" s="39"/>
      <c r="Q750" s="39"/>
      <c r="R750" s="28"/>
      <c r="S750" s="28"/>
      <c r="T750" s="28"/>
      <c r="U750" s="4"/>
      <c r="V750" s="3"/>
      <c r="W750" s="3"/>
    </row>
    <row r="751" spans="1:23" s="5" customFormat="1">
      <c r="A751" s="6"/>
      <c r="B751" s="33"/>
      <c r="C751" s="35"/>
      <c r="E751" s="39"/>
      <c r="G751" s="40"/>
      <c r="H751" s="15"/>
      <c r="I751" s="17"/>
      <c r="J751" s="10"/>
      <c r="M751" s="39"/>
      <c r="O751" s="39"/>
      <c r="Q751" s="39"/>
      <c r="R751" s="28"/>
      <c r="S751" s="28"/>
      <c r="T751" s="28"/>
      <c r="U751" s="4"/>
      <c r="V751" s="3"/>
      <c r="W751" s="3"/>
    </row>
    <row r="752" spans="1:23" s="5" customFormat="1">
      <c r="A752" s="6"/>
      <c r="B752" s="33"/>
      <c r="C752" s="35"/>
      <c r="E752" s="39"/>
      <c r="G752" s="40"/>
      <c r="H752" s="14"/>
      <c r="I752" s="17"/>
      <c r="J752" s="10"/>
      <c r="M752" s="39"/>
      <c r="O752" s="39"/>
      <c r="Q752" s="39"/>
      <c r="R752" s="28"/>
      <c r="S752" s="28"/>
      <c r="T752" s="28"/>
      <c r="U752" s="4"/>
      <c r="V752" s="3"/>
      <c r="W752" s="3"/>
    </row>
    <row r="753" spans="1:23" s="5" customFormat="1">
      <c r="A753" s="6"/>
      <c r="B753" s="33"/>
      <c r="C753" s="35"/>
      <c r="E753" s="39"/>
      <c r="G753" s="40"/>
      <c r="H753" s="14"/>
      <c r="I753" s="17"/>
      <c r="J753" s="10"/>
      <c r="M753" s="39"/>
      <c r="O753" s="39"/>
      <c r="Q753" s="39"/>
      <c r="R753" s="28"/>
      <c r="S753" s="29"/>
      <c r="T753" s="28"/>
      <c r="U753" s="4"/>
      <c r="V753" s="3"/>
      <c r="W753" s="3"/>
    </row>
    <row r="754" spans="1:23" s="5" customFormat="1">
      <c r="A754" s="6"/>
      <c r="B754" s="33"/>
      <c r="C754" s="35"/>
      <c r="E754" s="39"/>
      <c r="G754" s="40"/>
      <c r="H754" s="14"/>
      <c r="I754" s="17"/>
      <c r="J754" s="10"/>
      <c r="M754" s="39"/>
      <c r="O754" s="39"/>
      <c r="Q754" s="39"/>
      <c r="R754" s="28"/>
      <c r="S754" s="28"/>
      <c r="T754" s="28"/>
      <c r="U754" s="4"/>
      <c r="V754" s="3"/>
      <c r="W754" s="3"/>
    </row>
    <row r="755" spans="1:23" s="5" customFormat="1">
      <c r="A755" s="6"/>
      <c r="B755" s="33"/>
      <c r="C755" s="35"/>
      <c r="E755" s="39"/>
      <c r="G755" s="40"/>
      <c r="H755" s="15"/>
      <c r="I755" s="17"/>
      <c r="J755" s="10"/>
      <c r="M755" s="39"/>
      <c r="O755" s="39"/>
      <c r="Q755" s="39"/>
      <c r="R755" s="28"/>
      <c r="S755" s="28"/>
      <c r="T755" s="28"/>
      <c r="U755" s="4"/>
      <c r="V755" s="3"/>
      <c r="W755" s="3"/>
    </row>
    <row r="756" spans="1:23" s="5" customFormat="1">
      <c r="A756" s="6"/>
      <c r="B756" s="33"/>
      <c r="C756" s="35"/>
      <c r="E756" s="39"/>
      <c r="G756" s="40"/>
      <c r="H756" s="14"/>
      <c r="I756" s="17"/>
      <c r="J756" s="10"/>
      <c r="M756" s="39"/>
      <c r="O756" s="39"/>
      <c r="Q756" s="39"/>
      <c r="R756" s="28"/>
      <c r="S756" s="28"/>
      <c r="T756" s="28"/>
      <c r="U756" s="4"/>
      <c r="V756" s="3"/>
      <c r="W756" s="3"/>
    </row>
    <row r="757" spans="1:23" s="5" customFormat="1">
      <c r="A757" s="6"/>
      <c r="B757" s="33"/>
      <c r="C757" s="35"/>
      <c r="E757" s="39"/>
      <c r="G757" s="40"/>
      <c r="H757" s="15"/>
      <c r="I757" s="17"/>
      <c r="J757" s="10"/>
      <c r="M757" s="39"/>
      <c r="O757" s="39"/>
      <c r="Q757" s="39"/>
      <c r="R757" s="28"/>
      <c r="S757" s="28"/>
      <c r="T757" s="28"/>
      <c r="U757" s="4"/>
      <c r="V757" s="3"/>
      <c r="W757" s="3"/>
    </row>
    <row r="758" spans="1:23" s="5" customFormat="1">
      <c r="A758" s="6"/>
      <c r="B758" s="33"/>
      <c r="C758" s="35"/>
      <c r="E758" s="39"/>
      <c r="G758" s="40"/>
      <c r="H758" s="15"/>
      <c r="I758" s="17"/>
      <c r="J758" s="10"/>
      <c r="M758" s="39"/>
      <c r="O758" s="39"/>
      <c r="Q758" s="39"/>
      <c r="R758" s="28"/>
      <c r="S758" s="28"/>
      <c r="T758" s="28"/>
      <c r="U758" s="4"/>
      <c r="V758" s="3"/>
      <c r="W758" s="3"/>
    </row>
    <row r="759" spans="1:23" s="5" customFormat="1">
      <c r="A759" s="6"/>
      <c r="B759" s="33"/>
      <c r="C759" s="35"/>
      <c r="E759" s="39"/>
      <c r="G759" s="40"/>
      <c r="H759" s="14"/>
      <c r="I759" s="17"/>
      <c r="J759" s="10"/>
      <c r="M759" s="39"/>
      <c r="O759" s="39"/>
      <c r="Q759" s="39"/>
      <c r="R759" s="28"/>
      <c r="S759" s="29"/>
      <c r="T759" s="28"/>
      <c r="U759" s="4"/>
      <c r="V759" s="3"/>
      <c r="W759" s="3"/>
    </row>
    <row r="760" spans="1:23" s="5" customFormat="1">
      <c r="A760" s="6"/>
      <c r="B760" s="33"/>
      <c r="C760" s="35"/>
      <c r="E760" s="39"/>
      <c r="G760" s="40"/>
      <c r="H760" s="15"/>
      <c r="I760" s="17"/>
      <c r="J760" s="10"/>
      <c r="M760" s="39"/>
      <c r="O760" s="39"/>
      <c r="Q760" s="39"/>
      <c r="R760" s="28"/>
      <c r="S760" s="28"/>
      <c r="T760" s="28"/>
      <c r="U760" s="4"/>
      <c r="V760" s="3"/>
      <c r="W760" s="3"/>
    </row>
    <row r="761" spans="1:23" s="5" customFormat="1">
      <c r="A761" s="6"/>
      <c r="B761" s="33"/>
      <c r="C761" s="35"/>
      <c r="E761" s="39"/>
      <c r="G761" s="40"/>
      <c r="H761" s="15"/>
      <c r="I761" s="17"/>
      <c r="J761" s="10"/>
      <c r="M761" s="39"/>
      <c r="O761" s="39"/>
      <c r="Q761" s="39"/>
      <c r="R761" s="28"/>
      <c r="S761" s="28"/>
      <c r="T761" s="28"/>
      <c r="U761" s="4"/>
      <c r="V761" s="3"/>
      <c r="W761" s="3"/>
    </row>
    <row r="762" spans="1:23" s="5" customFormat="1">
      <c r="A762" s="6"/>
      <c r="B762" s="33"/>
      <c r="C762" s="35"/>
      <c r="E762" s="39"/>
      <c r="G762" s="40"/>
      <c r="H762" s="15"/>
      <c r="I762" s="17"/>
      <c r="J762" s="10"/>
      <c r="M762" s="39"/>
      <c r="O762" s="39"/>
      <c r="Q762" s="39"/>
      <c r="R762" s="28"/>
      <c r="S762" s="28"/>
      <c r="T762" s="28"/>
      <c r="U762" s="4"/>
      <c r="V762" s="3"/>
      <c r="W762" s="3"/>
    </row>
    <row r="763" spans="1:23" s="5" customFormat="1">
      <c r="A763" s="6"/>
      <c r="B763" s="33"/>
      <c r="C763" s="35"/>
      <c r="E763" s="39"/>
      <c r="G763" s="40"/>
      <c r="H763" s="15"/>
      <c r="I763" s="17"/>
      <c r="J763" s="10"/>
      <c r="M763" s="39"/>
      <c r="O763" s="39"/>
      <c r="Q763" s="39"/>
      <c r="R763" s="28"/>
      <c r="S763" s="28"/>
      <c r="T763" s="28"/>
      <c r="U763" s="4"/>
      <c r="V763" s="3"/>
      <c r="W763" s="3"/>
    </row>
    <row r="764" spans="1:23" s="5" customFormat="1">
      <c r="A764" s="6"/>
      <c r="B764" s="33"/>
      <c r="C764" s="35"/>
      <c r="E764" s="39"/>
      <c r="G764" s="40"/>
      <c r="H764" s="15"/>
      <c r="I764" s="17"/>
      <c r="J764" s="10"/>
      <c r="M764" s="39"/>
      <c r="O764" s="39"/>
      <c r="Q764" s="39"/>
      <c r="R764" s="28"/>
      <c r="S764" s="28"/>
      <c r="T764" s="28"/>
      <c r="U764" s="4"/>
      <c r="V764" s="3"/>
      <c r="W764" s="3"/>
    </row>
    <row r="765" spans="1:23" s="5" customFormat="1">
      <c r="A765" s="6"/>
      <c r="B765" s="33"/>
      <c r="C765" s="35"/>
      <c r="E765" s="39"/>
      <c r="G765" s="40"/>
      <c r="H765" s="14"/>
      <c r="I765" s="17"/>
      <c r="J765" s="10"/>
      <c r="M765" s="39"/>
      <c r="O765" s="39"/>
      <c r="Q765" s="39"/>
      <c r="R765" s="28"/>
      <c r="S765" s="28"/>
      <c r="T765" s="28"/>
      <c r="U765" s="4"/>
      <c r="V765" s="3"/>
      <c r="W765" s="3"/>
    </row>
    <row r="766" spans="1:23" s="5" customFormat="1">
      <c r="A766" s="6"/>
      <c r="B766" s="33"/>
      <c r="C766" s="35"/>
      <c r="E766" s="39"/>
      <c r="G766" s="40"/>
      <c r="H766" s="15"/>
      <c r="I766" s="17"/>
      <c r="J766" s="10"/>
      <c r="M766" s="39"/>
      <c r="O766" s="39"/>
      <c r="Q766" s="39"/>
      <c r="R766" s="28"/>
      <c r="S766" s="28"/>
      <c r="T766" s="28"/>
      <c r="U766" s="4"/>
      <c r="V766" s="3"/>
      <c r="W766" s="3"/>
    </row>
    <row r="767" spans="1:23" s="5" customFormat="1">
      <c r="A767" s="6"/>
      <c r="B767" s="33"/>
      <c r="C767" s="35"/>
      <c r="E767" s="39"/>
      <c r="G767" s="40"/>
      <c r="H767" s="15"/>
      <c r="I767" s="17"/>
      <c r="J767" s="10"/>
      <c r="M767" s="39"/>
      <c r="O767" s="39"/>
      <c r="Q767" s="39"/>
      <c r="R767" s="28"/>
      <c r="S767" s="28"/>
      <c r="T767" s="28"/>
      <c r="U767" s="4"/>
      <c r="V767" s="3"/>
      <c r="W767" s="3"/>
    </row>
    <row r="768" spans="1:23" s="5" customFormat="1">
      <c r="A768" s="6"/>
      <c r="B768" s="33"/>
      <c r="C768" s="35"/>
      <c r="E768" s="39"/>
      <c r="G768" s="40"/>
      <c r="H768" s="15"/>
      <c r="I768" s="17"/>
      <c r="J768" s="10"/>
      <c r="M768" s="39"/>
      <c r="O768" s="39"/>
      <c r="Q768" s="39"/>
      <c r="R768" s="28"/>
      <c r="S768" s="28"/>
      <c r="T768" s="28"/>
      <c r="U768" s="4"/>
      <c r="V768" s="3"/>
      <c r="W768" s="3"/>
    </row>
    <row r="769" spans="1:23" s="5" customFormat="1">
      <c r="A769" s="6"/>
      <c r="B769" s="33"/>
      <c r="C769" s="35"/>
      <c r="E769" s="39"/>
      <c r="G769" s="40"/>
      <c r="H769" s="15"/>
      <c r="I769" s="17"/>
      <c r="J769" s="10"/>
      <c r="M769" s="39"/>
      <c r="O769" s="39"/>
      <c r="Q769" s="39"/>
      <c r="R769" s="28"/>
      <c r="S769" s="28"/>
      <c r="T769" s="28"/>
      <c r="U769" s="4"/>
      <c r="V769" s="3"/>
      <c r="W769" s="3"/>
    </row>
    <row r="770" spans="1:23" s="5" customFormat="1">
      <c r="A770" s="6"/>
      <c r="B770" s="33"/>
      <c r="C770" s="35"/>
      <c r="E770" s="39"/>
      <c r="G770" s="40"/>
      <c r="H770" s="14"/>
      <c r="I770" s="17"/>
      <c r="J770" s="10"/>
      <c r="M770" s="39"/>
      <c r="O770" s="39"/>
      <c r="Q770" s="39"/>
      <c r="R770" s="28"/>
      <c r="S770" s="28"/>
      <c r="T770" s="28"/>
      <c r="U770" s="4"/>
      <c r="V770" s="3"/>
      <c r="W770" s="3"/>
    </row>
    <row r="771" spans="1:23" s="5" customFormat="1">
      <c r="A771" s="6"/>
      <c r="B771" s="33"/>
      <c r="C771" s="35"/>
      <c r="E771" s="39"/>
      <c r="G771" s="40"/>
      <c r="H771" s="14"/>
      <c r="I771" s="17"/>
      <c r="J771" s="10"/>
      <c r="M771" s="39"/>
      <c r="O771" s="39"/>
      <c r="Q771" s="39"/>
      <c r="R771" s="28"/>
      <c r="S771" s="28"/>
      <c r="T771" s="28"/>
      <c r="U771" s="4"/>
      <c r="V771" s="3"/>
      <c r="W771" s="3"/>
    </row>
    <row r="772" spans="1:23" s="5" customFormat="1">
      <c r="A772" s="6"/>
      <c r="B772" s="33"/>
      <c r="C772" s="35"/>
      <c r="E772" s="39"/>
      <c r="G772" s="40"/>
      <c r="H772" s="14"/>
      <c r="I772" s="17"/>
      <c r="J772" s="10"/>
      <c r="M772" s="39"/>
      <c r="O772" s="39"/>
      <c r="Q772" s="39"/>
      <c r="R772" s="28"/>
      <c r="S772" s="28"/>
      <c r="T772" s="28"/>
      <c r="U772" s="4"/>
      <c r="V772" s="3"/>
      <c r="W772" s="3"/>
    </row>
    <row r="773" spans="1:23" s="5" customFormat="1">
      <c r="A773" s="6"/>
      <c r="B773" s="33"/>
      <c r="C773" s="35"/>
      <c r="E773" s="39"/>
      <c r="G773" s="40"/>
      <c r="H773" s="15"/>
      <c r="I773" s="17"/>
      <c r="J773" s="10"/>
      <c r="M773" s="39"/>
      <c r="O773" s="39"/>
      <c r="Q773" s="39"/>
      <c r="R773" s="28"/>
      <c r="S773" s="28"/>
      <c r="T773" s="28"/>
      <c r="U773" s="4"/>
      <c r="V773" s="3"/>
      <c r="W773" s="3"/>
    </row>
    <row r="774" spans="1:23" s="5" customFormat="1">
      <c r="A774" s="6"/>
      <c r="B774" s="33"/>
      <c r="C774" s="35"/>
      <c r="E774" s="39"/>
      <c r="G774" s="40"/>
      <c r="H774" s="14"/>
      <c r="I774" s="17"/>
      <c r="J774" s="10"/>
      <c r="M774" s="39"/>
      <c r="O774" s="39"/>
      <c r="Q774" s="39"/>
      <c r="R774" s="28"/>
      <c r="S774" s="28"/>
      <c r="T774" s="28"/>
      <c r="U774" s="4"/>
      <c r="V774" s="3"/>
      <c r="W774" s="3"/>
    </row>
    <row r="775" spans="1:23" s="5" customFormat="1">
      <c r="A775" s="6"/>
      <c r="B775" s="33"/>
      <c r="C775" s="35"/>
      <c r="E775" s="39"/>
      <c r="G775" s="40"/>
      <c r="H775" s="14"/>
      <c r="I775" s="17"/>
      <c r="J775" s="10"/>
      <c r="M775" s="39"/>
      <c r="O775" s="39"/>
      <c r="Q775" s="39"/>
      <c r="R775" s="28"/>
      <c r="S775" s="28"/>
      <c r="T775" s="28"/>
      <c r="U775" s="4"/>
      <c r="V775" s="3"/>
      <c r="W775" s="3"/>
    </row>
    <row r="776" spans="1:23" s="5" customFormat="1">
      <c r="A776" s="6"/>
      <c r="B776" s="33"/>
      <c r="C776" s="35"/>
      <c r="E776" s="39"/>
      <c r="G776" s="40"/>
      <c r="H776" s="15"/>
      <c r="I776" s="17"/>
      <c r="J776" s="10"/>
      <c r="M776" s="39"/>
      <c r="O776" s="39"/>
      <c r="Q776" s="39"/>
      <c r="R776" s="28"/>
      <c r="S776" s="28"/>
      <c r="T776" s="28"/>
      <c r="U776" s="4"/>
      <c r="V776" s="3"/>
      <c r="W776" s="3"/>
    </row>
    <row r="777" spans="1:23" s="5" customFormat="1">
      <c r="A777" s="6"/>
      <c r="B777" s="33"/>
      <c r="C777" s="35"/>
      <c r="E777" s="39"/>
      <c r="G777" s="40"/>
      <c r="H777" s="14"/>
      <c r="I777" s="17"/>
      <c r="J777" s="10"/>
      <c r="M777" s="39"/>
      <c r="O777" s="39"/>
      <c r="Q777" s="39"/>
      <c r="R777" s="28"/>
      <c r="S777" s="28"/>
      <c r="T777" s="28"/>
      <c r="U777" s="4"/>
      <c r="V777" s="3"/>
      <c r="W777" s="3"/>
    </row>
    <row r="778" spans="1:23" s="5" customFormat="1">
      <c r="A778" s="6"/>
      <c r="B778" s="33"/>
      <c r="C778" s="35"/>
      <c r="E778" s="39"/>
      <c r="G778" s="40"/>
      <c r="H778" s="15"/>
      <c r="I778" s="17"/>
      <c r="J778" s="10"/>
      <c r="M778" s="39"/>
      <c r="O778" s="39"/>
      <c r="Q778" s="39"/>
      <c r="R778" s="28"/>
      <c r="S778" s="28"/>
      <c r="T778" s="28"/>
      <c r="U778" s="4"/>
      <c r="V778" s="3"/>
      <c r="W778" s="3"/>
    </row>
    <row r="779" spans="1:23" s="5" customFormat="1">
      <c r="A779" s="6"/>
      <c r="B779" s="33"/>
      <c r="C779" s="35"/>
      <c r="E779" s="39"/>
      <c r="G779" s="40"/>
      <c r="H779" s="14"/>
      <c r="I779" s="17"/>
      <c r="J779" s="10"/>
      <c r="M779" s="39"/>
      <c r="O779" s="39"/>
      <c r="Q779" s="39"/>
      <c r="R779" s="28"/>
      <c r="S779" s="28"/>
      <c r="T779" s="28"/>
      <c r="U779" s="4"/>
      <c r="V779" s="3"/>
      <c r="W779" s="3"/>
    </row>
    <row r="780" spans="1:23" s="5" customFormat="1">
      <c r="A780" s="6"/>
      <c r="B780" s="33"/>
      <c r="C780" s="35"/>
      <c r="E780" s="39"/>
      <c r="G780" s="40"/>
      <c r="H780" s="15"/>
      <c r="I780" s="17"/>
      <c r="J780" s="10"/>
      <c r="M780" s="39"/>
      <c r="O780" s="39"/>
      <c r="Q780" s="39"/>
      <c r="R780" s="28"/>
      <c r="S780" s="28"/>
      <c r="T780" s="28"/>
      <c r="U780" s="4"/>
      <c r="V780" s="3"/>
      <c r="W780" s="3"/>
    </row>
    <row r="781" spans="1:23" s="5" customFormat="1">
      <c r="A781" s="6"/>
      <c r="B781" s="33"/>
      <c r="C781" s="35"/>
      <c r="E781" s="39"/>
      <c r="G781" s="40"/>
      <c r="H781" s="15"/>
      <c r="I781" s="17"/>
      <c r="J781" s="10"/>
      <c r="M781" s="39"/>
      <c r="O781" s="39"/>
      <c r="Q781" s="39"/>
      <c r="R781" s="28"/>
      <c r="S781" s="28"/>
      <c r="T781" s="28"/>
      <c r="U781" s="4"/>
      <c r="V781" s="3"/>
      <c r="W781" s="3"/>
    </row>
    <row r="782" spans="1:23" s="5" customFormat="1">
      <c r="A782" s="6"/>
      <c r="B782" s="33"/>
      <c r="C782" s="35"/>
      <c r="E782" s="39"/>
      <c r="G782" s="40"/>
      <c r="H782" s="15"/>
      <c r="I782" s="17"/>
      <c r="J782" s="10"/>
      <c r="M782" s="39"/>
      <c r="O782" s="39"/>
      <c r="Q782" s="39"/>
      <c r="R782" s="28"/>
      <c r="S782" s="28"/>
      <c r="T782" s="28"/>
      <c r="U782" s="4"/>
      <c r="V782" s="3"/>
      <c r="W782" s="3"/>
    </row>
    <row r="783" spans="1:23" s="5" customFormat="1">
      <c r="A783" s="6"/>
      <c r="B783" s="33"/>
      <c r="C783" s="35"/>
      <c r="E783" s="39"/>
      <c r="G783" s="40"/>
      <c r="H783" s="14"/>
      <c r="I783" s="17"/>
      <c r="J783" s="10"/>
      <c r="M783" s="39"/>
      <c r="O783" s="39"/>
      <c r="Q783" s="39"/>
      <c r="R783" s="28"/>
      <c r="S783" s="28"/>
      <c r="T783" s="28"/>
      <c r="U783" s="4"/>
      <c r="V783" s="3"/>
      <c r="W783" s="3"/>
    </row>
    <row r="784" spans="1:23" s="5" customFormat="1">
      <c r="A784" s="6"/>
      <c r="B784" s="33"/>
      <c r="C784" s="35"/>
      <c r="E784" s="39"/>
      <c r="G784" s="40"/>
      <c r="H784" s="14"/>
      <c r="I784" s="17"/>
      <c r="J784" s="10"/>
      <c r="M784" s="39"/>
      <c r="O784" s="39"/>
      <c r="Q784" s="39"/>
      <c r="R784" s="28"/>
      <c r="S784" s="28"/>
      <c r="T784" s="28"/>
      <c r="U784" s="4"/>
      <c r="V784" s="3"/>
      <c r="W784" s="3"/>
    </row>
    <row r="785" spans="1:23" s="5" customFormat="1">
      <c r="A785" s="20"/>
      <c r="B785" s="33"/>
      <c r="C785" s="35"/>
      <c r="E785" s="39"/>
      <c r="F785" s="1"/>
      <c r="G785" s="40"/>
      <c r="H785" s="12"/>
      <c r="I785" s="9"/>
      <c r="J785" s="12"/>
      <c r="M785" s="39"/>
      <c r="O785" s="39"/>
      <c r="Q785" s="39"/>
      <c r="R785" s="29"/>
      <c r="S785" s="28"/>
      <c r="T785" s="28"/>
      <c r="U785" s="4"/>
      <c r="V785" s="3"/>
      <c r="W785" s="3"/>
    </row>
    <row r="786" spans="1:23" s="5" customFormat="1">
      <c r="A786" s="6"/>
      <c r="B786" s="33"/>
      <c r="C786" s="35"/>
      <c r="E786" s="39"/>
      <c r="G786" s="40"/>
      <c r="H786" s="15"/>
      <c r="I786" s="17"/>
      <c r="J786" s="10"/>
      <c r="M786" s="39"/>
      <c r="O786" s="39"/>
      <c r="Q786" s="39"/>
      <c r="R786" s="28"/>
      <c r="S786" s="28"/>
      <c r="T786" s="28"/>
      <c r="U786" s="4"/>
      <c r="V786" s="3"/>
      <c r="W786" s="3"/>
    </row>
    <row r="787" spans="1:23" s="5" customFormat="1">
      <c r="A787" s="6"/>
      <c r="B787" s="33"/>
      <c r="C787" s="35"/>
      <c r="E787" s="39"/>
      <c r="G787" s="40"/>
      <c r="H787" s="15"/>
      <c r="I787" s="17"/>
      <c r="J787" s="10"/>
      <c r="M787" s="39"/>
      <c r="O787" s="39"/>
      <c r="Q787" s="39"/>
      <c r="R787" s="28"/>
      <c r="S787" s="28"/>
      <c r="T787" s="28"/>
      <c r="U787" s="4"/>
      <c r="V787" s="3"/>
      <c r="W787" s="3"/>
    </row>
    <row r="788" spans="1:23" s="5" customFormat="1">
      <c r="A788" s="6"/>
      <c r="B788" s="33"/>
      <c r="C788" s="35"/>
      <c r="E788" s="39"/>
      <c r="G788" s="40"/>
      <c r="H788" s="15"/>
      <c r="I788" s="17"/>
      <c r="J788" s="10"/>
      <c r="M788" s="39"/>
      <c r="O788" s="39"/>
      <c r="Q788" s="39"/>
      <c r="R788" s="28"/>
      <c r="S788" s="28"/>
      <c r="T788" s="28"/>
      <c r="U788" s="4"/>
      <c r="V788" s="3"/>
      <c r="W788" s="3"/>
    </row>
    <row r="789" spans="1:23" s="5" customFormat="1">
      <c r="A789" s="6"/>
      <c r="B789" s="33"/>
      <c r="C789" s="35"/>
      <c r="E789" s="39"/>
      <c r="G789" s="40"/>
      <c r="H789" s="14"/>
      <c r="I789" s="17"/>
      <c r="J789" s="10"/>
      <c r="M789" s="39"/>
      <c r="O789" s="39"/>
      <c r="Q789" s="39"/>
      <c r="R789" s="28"/>
      <c r="S789" s="29"/>
      <c r="T789" s="28"/>
      <c r="U789" s="4"/>
      <c r="V789" s="3"/>
      <c r="W789" s="3"/>
    </row>
    <row r="790" spans="1:23" s="5" customFormat="1">
      <c r="A790" s="20"/>
      <c r="B790" s="33"/>
      <c r="C790" s="35"/>
      <c r="D790" s="1"/>
      <c r="E790" s="39"/>
      <c r="F790" s="1"/>
      <c r="G790" s="40"/>
      <c r="H790" s="12"/>
      <c r="I790" s="9"/>
      <c r="J790" s="12"/>
      <c r="L790" s="1"/>
      <c r="M790" s="39"/>
      <c r="N790" s="1"/>
      <c r="O790" s="39"/>
      <c r="P790" s="1"/>
      <c r="Q790" s="39"/>
      <c r="R790" s="28"/>
      <c r="S790" s="29"/>
      <c r="T790" s="28"/>
      <c r="U790" s="4"/>
      <c r="V790" s="3"/>
      <c r="W790" s="3"/>
    </row>
    <row r="791" spans="1:23" s="5" customFormat="1">
      <c r="A791" s="6"/>
      <c r="B791" s="33"/>
      <c r="C791" s="35"/>
      <c r="E791" s="39"/>
      <c r="G791" s="40"/>
      <c r="H791" s="14"/>
      <c r="I791" s="17"/>
      <c r="J791" s="10"/>
      <c r="M791" s="39"/>
      <c r="O791" s="39"/>
      <c r="Q791" s="39"/>
      <c r="R791" s="28"/>
      <c r="S791" s="28"/>
      <c r="T791" s="28"/>
      <c r="U791" s="4"/>
      <c r="V791" s="3"/>
      <c r="W791" s="3"/>
    </row>
    <row r="792" spans="1:23" s="5" customFormat="1">
      <c r="A792" s="6"/>
      <c r="B792" s="33"/>
      <c r="C792" s="35"/>
      <c r="E792" s="39"/>
      <c r="G792" s="40"/>
      <c r="H792" s="15"/>
      <c r="I792" s="17"/>
      <c r="J792" s="10"/>
      <c r="K792" s="1"/>
      <c r="M792" s="39"/>
      <c r="O792" s="39"/>
      <c r="Q792" s="39"/>
      <c r="R792" s="29"/>
      <c r="S792" s="29"/>
      <c r="T792" s="28"/>
      <c r="U792" s="4"/>
      <c r="V792" s="3"/>
      <c r="W792" s="3"/>
    </row>
    <row r="793" spans="1:23" s="5" customFormat="1">
      <c r="A793" s="6"/>
      <c r="B793" s="33"/>
      <c r="C793" s="35"/>
      <c r="E793" s="39"/>
      <c r="G793" s="40"/>
      <c r="H793" s="15"/>
      <c r="I793" s="17"/>
      <c r="J793" s="10"/>
      <c r="M793" s="39"/>
      <c r="O793" s="39"/>
      <c r="Q793" s="39"/>
      <c r="R793" s="28"/>
      <c r="S793" s="28"/>
      <c r="T793" s="28"/>
      <c r="U793" s="4"/>
      <c r="V793" s="3"/>
      <c r="W793" s="3"/>
    </row>
    <row r="794" spans="1:23" s="5" customFormat="1">
      <c r="A794" s="6"/>
      <c r="B794" s="33"/>
      <c r="C794" s="35"/>
      <c r="E794" s="39"/>
      <c r="G794" s="40"/>
      <c r="H794" s="14"/>
      <c r="I794" s="17"/>
      <c r="J794" s="10"/>
      <c r="M794" s="39"/>
      <c r="O794" s="39"/>
      <c r="Q794" s="39"/>
      <c r="R794" s="28"/>
      <c r="S794" s="28"/>
      <c r="T794" s="28"/>
      <c r="U794" s="4"/>
      <c r="V794" s="3"/>
      <c r="W794" s="3"/>
    </row>
    <row r="795" spans="1:23" s="5" customFormat="1">
      <c r="A795" s="6"/>
      <c r="B795" s="33"/>
      <c r="C795" s="35"/>
      <c r="E795" s="39"/>
      <c r="G795" s="40"/>
      <c r="H795" s="15"/>
      <c r="I795" s="17"/>
      <c r="J795" s="10"/>
      <c r="M795" s="39"/>
      <c r="O795" s="39"/>
      <c r="Q795" s="39"/>
      <c r="R795" s="28"/>
      <c r="S795" s="28"/>
      <c r="T795" s="28"/>
      <c r="U795" s="4"/>
      <c r="V795" s="3"/>
      <c r="W795" s="3"/>
    </row>
    <row r="796" spans="1:23" s="5" customFormat="1">
      <c r="A796" s="6"/>
      <c r="B796" s="33"/>
      <c r="C796" s="35"/>
      <c r="E796" s="39"/>
      <c r="G796" s="40"/>
      <c r="H796" s="15"/>
      <c r="I796" s="17"/>
      <c r="J796" s="10"/>
      <c r="M796" s="39"/>
      <c r="O796" s="39"/>
      <c r="Q796" s="39"/>
      <c r="R796" s="28"/>
      <c r="S796" s="28"/>
      <c r="T796" s="28"/>
      <c r="U796" s="4"/>
      <c r="V796" s="3"/>
      <c r="W796" s="3"/>
    </row>
    <row r="797" spans="1:23" s="5" customFormat="1">
      <c r="A797" s="6"/>
      <c r="B797" s="33"/>
      <c r="C797" s="35"/>
      <c r="E797" s="39"/>
      <c r="G797" s="40"/>
      <c r="H797" s="15"/>
      <c r="I797" s="17"/>
      <c r="J797" s="10"/>
      <c r="M797" s="39"/>
      <c r="O797" s="39"/>
      <c r="Q797" s="39"/>
      <c r="R797" s="28"/>
      <c r="S797" s="28"/>
      <c r="T797" s="28"/>
      <c r="U797" s="4"/>
      <c r="V797" s="3"/>
      <c r="W797" s="3"/>
    </row>
    <row r="798" spans="1:23" s="5" customFormat="1">
      <c r="A798" s="6"/>
      <c r="B798" s="33"/>
      <c r="C798" s="35"/>
      <c r="E798" s="39"/>
      <c r="G798" s="40"/>
      <c r="H798" s="15"/>
      <c r="I798" s="17"/>
      <c r="J798" s="10"/>
      <c r="M798" s="39"/>
      <c r="O798" s="39"/>
      <c r="Q798" s="39"/>
      <c r="R798" s="28"/>
      <c r="S798" s="28"/>
      <c r="T798" s="28"/>
      <c r="U798" s="4"/>
      <c r="V798" s="3"/>
      <c r="W798" s="3"/>
    </row>
    <row r="799" spans="1:23" s="5" customFormat="1">
      <c r="A799" s="6"/>
      <c r="B799" s="33"/>
      <c r="C799" s="35"/>
      <c r="E799" s="39"/>
      <c r="G799" s="40"/>
      <c r="H799" s="14"/>
      <c r="I799" s="17"/>
      <c r="J799" s="10"/>
      <c r="M799" s="39"/>
      <c r="O799" s="39"/>
      <c r="Q799" s="39"/>
      <c r="R799" s="28"/>
      <c r="S799" s="28"/>
      <c r="T799" s="28"/>
      <c r="U799" s="4"/>
      <c r="V799" s="3"/>
      <c r="W799" s="3"/>
    </row>
    <row r="800" spans="1:23" s="5" customFormat="1">
      <c r="A800" s="6"/>
      <c r="B800" s="33"/>
      <c r="C800" s="35"/>
      <c r="E800" s="39"/>
      <c r="G800" s="40"/>
      <c r="H800" s="14"/>
      <c r="I800" s="17"/>
      <c r="J800" s="10"/>
      <c r="M800" s="39"/>
      <c r="O800" s="39"/>
      <c r="Q800" s="39"/>
      <c r="R800" s="28"/>
      <c r="S800" s="28"/>
      <c r="T800" s="28"/>
      <c r="U800" s="4"/>
      <c r="V800" s="3"/>
      <c r="W800" s="3"/>
    </row>
    <row r="801" spans="1:24" s="5" customFormat="1">
      <c r="A801" s="6"/>
      <c r="B801" s="33"/>
      <c r="C801" s="35"/>
      <c r="E801" s="39"/>
      <c r="G801" s="40"/>
      <c r="H801" s="14"/>
      <c r="I801" s="17"/>
      <c r="J801" s="10"/>
      <c r="M801" s="39"/>
      <c r="O801" s="39"/>
      <c r="Q801" s="39"/>
      <c r="R801" s="28"/>
      <c r="S801" s="28"/>
      <c r="T801" s="28"/>
      <c r="U801" s="4"/>
      <c r="V801" s="3"/>
      <c r="W801" s="3"/>
    </row>
    <row r="802" spans="1:24" s="5" customFormat="1">
      <c r="A802" s="6"/>
      <c r="B802" s="33"/>
      <c r="C802" s="35"/>
      <c r="E802" s="39"/>
      <c r="G802" s="40"/>
      <c r="H802" s="14"/>
      <c r="I802" s="17"/>
      <c r="J802" s="10"/>
      <c r="M802" s="39"/>
      <c r="O802" s="39"/>
      <c r="Q802" s="39"/>
      <c r="R802" s="28"/>
      <c r="S802" s="29"/>
      <c r="T802" s="28"/>
      <c r="U802" s="4"/>
      <c r="V802" s="3"/>
      <c r="W802" s="3"/>
    </row>
    <row r="803" spans="1:24" s="5" customFormat="1">
      <c r="A803" s="6"/>
      <c r="B803" s="33"/>
      <c r="C803" s="35"/>
      <c r="E803" s="39"/>
      <c r="G803" s="40"/>
      <c r="H803" s="15"/>
      <c r="I803" s="17"/>
      <c r="J803" s="10"/>
      <c r="M803" s="39"/>
      <c r="O803" s="39"/>
      <c r="Q803" s="39"/>
      <c r="R803" s="28"/>
      <c r="S803" s="28"/>
      <c r="T803" s="28"/>
      <c r="U803" s="4"/>
      <c r="V803" s="3"/>
      <c r="W803" s="3"/>
    </row>
    <row r="804" spans="1:24" s="5" customFormat="1">
      <c r="A804" s="6"/>
      <c r="B804" s="33"/>
      <c r="C804" s="35"/>
      <c r="E804" s="39"/>
      <c r="G804" s="40"/>
      <c r="H804" s="15"/>
      <c r="I804" s="17"/>
      <c r="J804" s="10"/>
      <c r="M804" s="39"/>
      <c r="O804" s="39"/>
      <c r="Q804" s="39"/>
      <c r="R804" s="28"/>
      <c r="S804" s="28"/>
      <c r="T804" s="28"/>
      <c r="U804" s="4"/>
      <c r="V804" s="3"/>
      <c r="W804" s="3"/>
    </row>
    <row r="805" spans="1:24" s="5" customFormat="1">
      <c r="A805" s="6"/>
      <c r="B805" s="33"/>
      <c r="C805" s="35"/>
      <c r="E805" s="39"/>
      <c r="G805" s="40"/>
      <c r="H805" s="15"/>
      <c r="I805" s="17"/>
      <c r="J805" s="10"/>
      <c r="M805" s="39"/>
      <c r="O805" s="39"/>
      <c r="Q805" s="39"/>
      <c r="R805" s="28"/>
      <c r="S805" s="28"/>
      <c r="T805" s="28"/>
      <c r="U805" s="4"/>
      <c r="V805" s="3"/>
      <c r="W805" s="3"/>
    </row>
    <row r="806" spans="1:24" s="5" customFormat="1">
      <c r="A806" s="6"/>
      <c r="B806" s="33"/>
      <c r="C806" s="35"/>
      <c r="E806" s="39"/>
      <c r="G806" s="40"/>
      <c r="H806" s="15"/>
      <c r="I806" s="17"/>
      <c r="J806" s="10"/>
      <c r="M806" s="39"/>
      <c r="O806" s="39"/>
      <c r="Q806" s="39"/>
      <c r="R806" s="28"/>
      <c r="S806" s="28"/>
      <c r="T806" s="28"/>
      <c r="U806" s="4"/>
      <c r="V806" s="3"/>
      <c r="W806" s="3"/>
    </row>
    <row r="807" spans="1:24" s="5" customFormat="1">
      <c r="A807" s="6"/>
      <c r="B807" s="33"/>
      <c r="C807" s="35"/>
      <c r="E807" s="39"/>
      <c r="G807" s="40"/>
      <c r="H807" s="15"/>
      <c r="I807" s="17"/>
      <c r="J807" s="10"/>
      <c r="M807" s="39"/>
      <c r="O807" s="39"/>
      <c r="Q807" s="39"/>
      <c r="R807" s="28"/>
      <c r="S807" s="28"/>
      <c r="T807" s="28"/>
      <c r="U807" s="4"/>
      <c r="V807" s="3"/>
      <c r="W807" s="3"/>
    </row>
    <row r="808" spans="1:24" s="5" customFormat="1">
      <c r="A808" s="6"/>
      <c r="B808" s="33"/>
      <c r="C808" s="35"/>
      <c r="E808" s="39"/>
      <c r="G808" s="40"/>
      <c r="H808" s="15"/>
      <c r="I808" s="17"/>
      <c r="J808" s="10"/>
      <c r="M808" s="39"/>
      <c r="O808" s="39"/>
      <c r="Q808" s="39"/>
      <c r="R808" s="28"/>
      <c r="S808" s="28"/>
      <c r="T808" s="28"/>
      <c r="U808" s="4"/>
      <c r="V808" s="3"/>
      <c r="W808" s="3"/>
    </row>
    <row r="809" spans="1:24" s="5" customFormat="1">
      <c r="A809" s="6"/>
      <c r="B809" s="33"/>
      <c r="C809" s="35"/>
      <c r="E809" s="39"/>
      <c r="G809" s="40"/>
      <c r="H809" s="15"/>
      <c r="I809" s="17"/>
      <c r="J809" s="10"/>
      <c r="M809" s="39"/>
      <c r="O809" s="39"/>
      <c r="Q809" s="39"/>
      <c r="R809" s="28"/>
      <c r="S809" s="28"/>
      <c r="T809" s="28"/>
      <c r="U809" s="4"/>
      <c r="V809" s="3"/>
      <c r="W809" s="3"/>
    </row>
    <row r="810" spans="1:24" s="5" customFormat="1">
      <c r="A810" s="6"/>
      <c r="B810" s="33"/>
      <c r="C810" s="35"/>
      <c r="E810" s="39"/>
      <c r="G810" s="40"/>
      <c r="H810" s="15"/>
      <c r="I810" s="17"/>
      <c r="J810" s="10"/>
      <c r="M810" s="39"/>
      <c r="O810" s="39"/>
      <c r="Q810" s="39"/>
      <c r="R810" s="28"/>
      <c r="S810" s="28"/>
      <c r="T810" s="28"/>
      <c r="U810" s="4"/>
      <c r="V810" s="3"/>
      <c r="W810" s="3"/>
    </row>
    <row r="811" spans="1:24" s="5" customFormat="1">
      <c r="A811" s="6"/>
      <c r="B811" s="33"/>
      <c r="C811" s="35"/>
      <c r="E811" s="39"/>
      <c r="G811" s="40"/>
      <c r="H811" s="14"/>
      <c r="I811" s="17"/>
      <c r="J811" s="10"/>
      <c r="M811" s="39"/>
      <c r="O811" s="39"/>
      <c r="Q811" s="39"/>
      <c r="R811" s="28"/>
      <c r="S811" s="28"/>
      <c r="T811" s="28"/>
      <c r="U811" s="4"/>
      <c r="V811" s="3"/>
      <c r="W811" s="3"/>
    </row>
    <row r="812" spans="1:24" s="5" customFormat="1">
      <c r="A812" s="6"/>
      <c r="B812" s="33"/>
      <c r="C812" s="35"/>
      <c r="E812" s="39"/>
      <c r="G812" s="40"/>
      <c r="H812" s="14"/>
      <c r="I812" s="17"/>
      <c r="J812" s="10"/>
      <c r="M812" s="39"/>
      <c r="O812" s="39"/>
      <c r="Q812" s="39"/>
      <c r="R812" s="28"/>
      <c r="S812" s="28"/>
      <c r="T812" s="28"/>
      <c r="U812" s="4"/>
      <c r="V812" s="3"/>
      <c r="W812" s="3"/>
      <c r="X812" s="1"/>
    </row>
    <row r="813" spans="1:24" s="5" customFormat="1">
      <c r="A813" s="6"/>
      <c r="B813" s="33"/>
      <c r="C813" s="35"/>
      <c r="E813" s="39"/>
      <c r="G813" s="40"/>
      <c r="H813" s="14"/>
      <c r="I813" s="17"/>
      <c r="J813" s="10"/>
      <c r="M813" s="39"/>
      <c r="O813" s="39"/>
      <c r="Q813" s="39"/>
      <c r="R813" s="28"/>
      <c r="S813" s="29"/>
      <c r="T813" s="28"/>
      <c r="U813" s="4"/>
      <c r="V813" s="3"/>
      <c r="W813" s="3"/>
    </row>
    <row r="814" spans="1:24" s="5" customFormat="1">
      <c r="A814" s="6"/>
      <c r="B814" s="33"/>
      <c r="C814" s="35"/>
      <c r="E814" s="39"/>
      <c r="G814" s="40"/>
      <c r="H814" s="15"/>
      <c r="I814" s="17"/>
      <c r="J814" s="10"/>
      <c r="K814" s="1"/>
      <c r="M814" s="39"/>
      <c r="O814" s="39"/>
      <c r="Q814" s="39"/>
      <c r="R814" s="29"/>
      <c r="S814" s="29"/>
      <c r="T814" s="28"/>
      <c r="U814" s="4"/>
      <c r="V814" s="3"/>
      <c r="W814" s="3"/>
    </row>
    <row r="815" spans="1:24" s="5" customFormat="1">
      <c r="A815" s="6"/>
      <c r="B815" s="33"/>
      <c r="C815" s="35"/>
      <c r="E815" s="39"/>
      <c r="G815" s="40"/>
      <c r="H815" s="15"/>
      <c r="I815" s="17"/>
      <c r="J815" s="10"/>
      <c r="M815" s="39"/>
      <c r="O815" s="39"/>
      <c r="Q815" s="39"/>
      <c r="R815" s="28"/>
      <c r="S815" s="28"/>
      <c r="T815" s="28"/>
      <c r="U815" s="4"/>
      <c r="V815" s="3"/>
      <c r="W815" s="3"/>
    </row>
    <row r="816" spans="1:24" s="5" customFormat="1">
      <c r="A816" s="6"/>
      <c r="B816" s="33"/>
      <c r="C816" s="35"/>
      <c r="E816" s="39"/>
      <c r="G816" s="40"/>
      <c r="H816" s="15"/>
      <c r="I816" s="17"/>
      <c r="J816" s="10"/>
      <c r="M816" s="39"/>
      <c r="O816" s="39"/>
      <c r="Q816" s="39"/>
      <c r="R816" s="28"/>
      <c r="S816" s="28"/>
      <c r="T816" s="28"/>
      <c r="U816" s="4"/>
      <c r="V816" s="3"/>
      <c r="W816" s="3"/>
    </row>
    <row r="817" spans="1:23" s="5" customFormat="1">
      <c r="A817" s="6"/>
      <c r="B817" s="33"/>
      <c r="C817" s="35"/>
      <c r="E817" s="39"/>
      <c r="G817" s="40"/>
      <c r="H817" s="15"/>
      <c r="I817" s="17"/>
      <c r="J817" s="10"/>
      <c r="M817" s="39"/>
      <c r="O817" s="39"/>
      <c r="Q817" s="39"/>
      <c r="R817" s="28"/>
      <c r="S817" s="28"/>
      <c r="T817" s="28"/>
      <c r="U817" s="4"/>
      <c r="V817" s="3"/>
      <c r="W817" s="3"/>
    </row>
    <row r="818" spans="1:23" s="5" customFormat="1">
      <c r="A818" s="8"/>
      <c r="B818" s="33"/>
      <c r="C818" s="35"/>
      <c r="E818" s="39"/>
      <c r="G818" s="40"/>
      <c r="H818" s="14"/>
      <c r="I818" s="17"/>
      <c r="J818" s="10"/>
      <c r="M818" s="39"/>
      <c r="O818" s="39"/>
      <c r="Q818" s="39"/>
      <c r="R818" s="28"/>
      <c r="S818" s="28"/>
      <c r="T818" s="28"/>
      <c r="U818" s="4"/>
      <c r="V818" s="3"/>
      <c r="W818" s="3"/>
    </row>
    <row r="819" spans="1:23" s="5" customFormat="1">
      <c r="A819" s="6"/>
      <c r="B819" s="33"/>
      <c r="C819" s="35"/>
      <c r="E819" s="39"/>
      <c r="G819" s="40"/>
      <c r="H819" s="14"/>
      <c r="I819" s="17"/>
      <c r="J819" s="10"/>
      <c r="M819" s="39"/>
      <c r="O819" s="39"/>
      <c r="Q819" s="39"/>
      <c r="R819" s="28"/>
      <c r="S819" s="28"/>
      <c r="T819" s="28"/>
      <c r="U819" s="4"/>
      <c r="V819" s="3"/>
      <c r="W819" s="3"/>
    </row>
    <row r="820" spans="1:23" s="5" customFormat="1">
      <c r="A820" s="6"/>
      <c r="B820" s="33"/>
      <c r="C820" s="35"/>
      <c r="E820" s="39"/>
      <c r="G820" s="40"/>
      <c r="H820" s="14"/>
      <c r="I820" s="17"/>
      <c r="J820" s="10"/>
      <c r="M820" s="39"/>
      <c r="O820" s="39"/>
      <c r="Q820" s="39"/>
      <c r="R820" s="28"/>
      <c r="S820" s="28"/>
      <c r="T820" s="28"/>
      <c r="U820" s="4"/>
      <c r="V820" s="3"/>
      <c r="W820" s="3"/>
    </row>
    <row r="821" spans="1:23" s="5" customFormat="1">
      <c r="A821" s="6"/>
      <c r="B821" s="33"/>
      <c r="C821" s="35"/>
      <c r="E821" s="39"/>
      <c r="G821" s="40"/>
      <c r="H821" s="15"/>
      <c r="I821" s="17"/>
      <c r="J821" s="10"/>
      <c r="M821" s="39"/>
      <c r="O821" s="39"/>
      <c r="Q821" s="39"/>
      <c r="R821" s="28"/>
      <c r="S821" s="28"/>
      <c r="T821" s="28"/>
      <c r="U821" s="4"/>
      <c r="V821" s="3"/>
      <c r="W821" s="3"/>
    </row>
    <row r="822" spans="1:23" s="5" customFormat="1">
      <c r="A822" s="6"/>
      <c r="B822" s="33"/>
      <c r="C822" s="35"/>
      <c r="E822" s="39"/>
      <c r="G822" s="40"/>
      <c r="H822" s="14"/>
      <c r="I822" s="17"/>
      <c r="J822" s="10"/>
      <c r="M822" s="39"/>
      <c r="O822" s="39"/>
      <c r="Q822" s="39"/>
      <c r="R822" s="28"/>
      <c r="S822" s="28"/>
      <c r="T822" s="28"/>
      <c r="U822" s="4"/>
      <c r="V822" s="3"/>
      <c r="W822" s="3"/>
    </row>
    <row r="823" spans="1:23" s="5" customFormat="1">
      <c r="A823" s="6"/>
      <c r="B823" s="33"/>
      <c r="C823" s="35"/>
      <c r="E823" s="39"/>
      <c r="G823" s="40"/>
      <c r="H823" s="15"/>
      <c r="I823" s="17"/>
      <c r="J823" s="10"/>
      <c r="M823" s="39"/>
      <c r="O823" s="39"/>
      <c r="Q823" s="39"/>
      <c r="R823" s="28"/>
      <c r="S823" s="28"/>
      <c r="T823" s="28"/>
      <c r="U823" s="4"/>
      <c r="V823" s="3"/>
      <c r="W823" s="3"/>
    </row>
    <row r="824" spans="1:23" s="5" customFormat="1">
      <c r="A824" s="6"/>
      <c r="B824" s="33"/>
      <c r="C824" s="35"/>
      <c r="E824" s="39"/>
      <c r="G824" s="40"/>
      <c r="H824" s="15"/>
      <c r="I824" s="17"/>
      <c r="J824" s="10"/>
      <c r="M824" s="39"/>
      <c r="O824" s="39"/>
      <c r="Q824" s="39"/>
      <c r="R824" s="28"/>
      <c r="S824" s="28"/>
      <c r="T824" s="28"/>
      <c r="U824" s="4"/>
      <c r="V824" s="3"/>
      <c r="W824" s="3"/>
    </row>
    <row r="825" spans="1:23" s="5" customFormat="1">
      <c r="A825" s="6"/>
      <c r="B825" s="33"/>
      <c r="C825" s="35"/>
      <c r="E825" s="39"/>
      <c r="G825" s="40"/>
      <c r="H825" s="15"/>
      <c r="I825" s="17"/>
      <c r="J825" s="10"/>
      <c r="M825" s="39"/>
      <c r="O825" s="39"/>
      <c r="Q825" s="39"/>
      <c r="R825" s="28"/>
      <c r="S825" s="28"/>
      <c r="T825" s="28"/>
      <c r="U825" s="4"/>
      <c r="V825" s="3"/>
      <c r="W825" s="3"/>
    </row>
    <row r="826" spans="1:23" s="5" customFormat="1">
      <c r="A826" s="6"/>
      <c r="B826" s="33"/>
      <c r="C826" s="35"/>
      <c r="E826" s="39"/>
      <c r="G826" s="40"/>
      <c r="H826" s="15"/>
      <c r="I826" s="17"/>
      <c r="J826" s="10"/>
      <c r="M826" s="39"/>
      <c r="O826" s="39"/>
      <c r="Q826" s="39"/>
      <c r="R826" s="28"/>
      <c r="S826" s="28"/>
      <c r="T826" s="28"/>
      <c r="U826" s="4"/>
      <c r="V826" s="3"/>
      <c r="W826" s="3"/>
    </row>
    <row r="827" spans="1:23" s="5" customFormat="1">
      <c r="A827" s="6"/>
      <c r="B827" s="33"/>
      <c r="C827" s="35"/>
      <c r="E827" s="39"/>
      <c r="G827" s="40"/>
      <c r="H827" s="15"/>
      <c r="I827" s="17"/>
      <c r="J827" s="10"/>
      <c r="M827" s="39"/>
      <c r="O827" s="39"/>
      <c r="Q827" s="39"/>
      <c r="R827" s="28"/>
      <c r="S827" s="28"/>
      <c r="T827" s="28"/>
      <c r="U827" s="4"/>
      <c r="V827" s="3"/>
      <c r="W827" s="3"/>
    </row>
    <row r="828" spans="1:23" s="5" customFormat="1">
      <c r="A828" s="6"/>
      <c r="B828" s="33"/>
      <c r="C828" s="35"/>
      <c r="E828" s="39"/>
      <c r="G828" s="40"/>
      <c r="H828" s="15"/>
      <c r="I828" s="17"/>
      <c r="J828" s="10"/>
      <c r="M828" s="39"/>
      <c r="O828" s="39"/>
      <c r="Q828" s="39"/>
      <c r="R828" s="28"/>
      <c r="S828" s="28"/>
      <c r="T828" s="28"/>
      <c r="U828" s="4"/>
      <c r="V828" s="3"/>
      <c r="W828" s="3"/>
    </row>
    <row r="829" spans="1:23" s="5" customFormat="1">
      <c r="A829" s="6"/>
      <c r="B829" s="33"/>
      <c r="C829" s="35"/>
      <c r="E829" s="39"/>
      <c r="G829" s="40"/>
      <c r="H829" s="15"/>
      <c r="I829" s="17"/>
      <c r="J829" s="10"/>
      <c r="M829" s="39"/>
      <c r="O829" s="39"/>
      <c r="Q829" s="39"/>
      <c r="R829" s="28"/>
      <c r="S829" s="28"/>
      <c r="T829" s="28"/>
      <c r="U829" s="4"/>
      <c r="V829" s="3"/>
      <c r="W829" s="3"/>
    </row>
    <row r="830" spans="1:23" s="5" customFormat="1">
      <c r="A830" s="6"/>
      <c r="B830" s="33"/>
      <c r="C830" s="35"/>
      <c r="E830" s="39"/>
      <c r="G830" s="40"/>
      <c r="H830" s="15"/>
      <c r="I830" s="17"/>
      <c r="J830" s="10"/>
      <c r="M830" s="39"/>
      <c r="O830" s="39"/>
      <c r="Q830" s="39"/>
      <c r="R830" s="28"/>
      <c r="S830" s="28"/>
      <c r="T830" s="28"/>
      <c r="U830" s="4"/>
      <c r="V830" s="3"/>
      <c r="W830" s="3"/>
    </row>
    <row r="831" spans="1:23" s="5" customFormat="1">
      <c r="A831" s="6"/>
      <c r="B831" s="33"/>
      <c r="C831" s="35"/>
      <c r="E831" s="39"/>
      <c r="G831" s="40"/>
      <c r="H831" s="14"/>
      <c r="I831" s="17"/>
      <c r="J831" s="10"/>
      <c r="M831" s="39"/>
      <c r="O831" s="39"/>
      <c r="Q831" s="39"/>
      <c r="R831" s="28"/>
      <c r="S831" s="28"/>
      <c r="T831" s="28"/>
      <c r="U831" s="4"/>
      <c r="V831" s="3"/>
      <c r="W831" s="3"/>
    </row>
    <row r="832" spans="1:23" s="5" customFormat="1">
      <c r="A832" s="6"/>
      <c r="B832" s="33"/>
      <c r="C832" s="35"/>
      <c r="E832" s="39"/>
      <c r="G832" s="40"/>
      <c r="H832" s="14"/>
      <c r="I832" s="17"/>
      <c r="J832" s="10"/>
      <c r="M832" s="39"/>
      <c r="O832" s="39"/>
      <c r="Q832" s="39"/>
      <c r="R832" s="28"/>
      <c r="S832" s="28"/>
      <c r="T832" s="28"/>
      <c r="U832" s="4"/>
      <c r="V832" s="3"/>
      <c r="W832" s="3"/>
    </row>
    <row r="833" spans="1:23" s="5" customFormat="1">
      <c r="A833" s="6"/>
      <c r="B833" s="33"/>
      <c r="C833" s="35"/>
      <c r="E833" s="39"/>
      <c r="G833" s="40"/>
      <c r="H833" s="15"/>
      <c r="I833" s="17"/>
      <c r="J833" s="10"/>
      <c r="M833" s="39"/>
      <c r="O833" s="39"/>
      <c r="Q833" s="39"/>
      <c r="R833" s="28"/>
      <c r="S833" s="28"/>
      <c r="T833" s="28"/>
      <c r="U833" s="4"/>
      <c r="V833" s="3"/>
      <c r="W833" s="3"/>
    </row>
    <row r="834" spans="1:23" s="5" customFormat="1">
      <c r="A834" s="6"/>
      <c r="B834" s="33"/>
      <c r="C834" s="35"/>
      <c r="E834" s="39"/>
      <c r="G834" s="40"/>
      <c r="H834" s="15"/>
      <c r="I834" s="17"/>
      <c r="J834" s="10"/>
      <c r="M834" s="39"/>
      <c r="O834" s="39"/>
      <c r="Q834" s="39"/>
      <c r="R834" s="28"/>
      <c r="S834" s="28"/>
      <c r="T834" s="28"/>
      <c r="U834" s="4"/>
      <c r="V834" s="3"/>
      <c r="W834" s="3"/>
    </row>
    <row r="835" spans="1:23" s="5" customFormat="1">
      <c r="A835" s="6"/>
      <c r="B835" s="33"/>
      <c r="C835" s="35"/>
      <c r="E835" s="39"/>
      <c r="G835" s="40"/>
      <c r="H835" s="14"/>
      <c r="I835" s="17"/>
      <c r="J835" s="10"/>
      <c r="M835" s="39"/>
      <c r="O835" s="39"/>
      <c r="Q835" s="39"/>
      <c r="R835" s="28"/>
      <c r="S835" s="28"/>
      <c r="T835" s="28"/>
      <c r="U835" s="4"/>
      <c r="V835" s="3"/>
      <c r="W835" s="3"/>
    </row>
    <row r="836" spans="1:23" s="5" customFormat="1">
      <c r="A836" s="6"/>
      <c r="B836" s="33"/>
      <c r="C836" s="35"/>
      <c r="E836" s="39"/>
      <c r="G836" s="40"/>
      <c r="H836" s="14"/>
      <c r="I836" s="17"/>
      <c r="J836" s="10"/>
      <c r="M836" s="39"/>
      <c r="O836" s="39"/>
      <c r="Q836" s="39"/>
      <c r="R836" s="28"/>
      <c r="S836" s="28"/>
      <c r="T836" s="28"/>
      <c r="U836" s="4"/>
      <c r="V836" s="3"/>
      <c r="W836" s="3"/>
    </row>
    <row r="837" spans="1:23" s="5" customFormat="1">
      <c r="A837" s="6"/>
      <c r="B837" s="33"/>
      <c r="C837" s="35"/>
      <c r="E837" s="39"/>
      <c r="G837" s="40"/>
      <c r="H837" s="15"/>
      <c r="I837" s="17"/>
      <c r="J837" s="10"/>
      <c r="M837" s="39"/>
      <c r="O837" s="39"/>
      <c r="Q837" s="39"/>
      <c r="R837" s="28"/>
      <c r="S837" s="28"/>
      <c r="T837" s="28"/>
      <c r="U837" s="4"/>
      <c r="V837" s="3"/>
      <c r="W837" s="3"/>
    </row>
    <row r="838" spans="1:23" s="5" customFormat="1">
      <c r="A838" s="6"/>
      <c r="B838" s="33"/>
      <c r="C838" s="35"/>
      <c r="E838" s="39"/>
      <c r="G838" s="40"/>
      <c r="H838" s="14"/>
      <c r="I838" s="17"/>
      <c r="J838" s="10"/>
      <c r="M838" s="39"/>
      <c r="O838" s="39"/>
      <c r="Q838" s="39"/>
      <c r="R838" s="28"/>
      <c r="S838" s="28"/>
      <c r="T838" s="28"/>
      <c r="U838" s="4"/>
      <c r="V838" s="3"/>
      <c r="W838" s="3"/>
    </row>
    <row r="839" spans="1:23" s="5" customFormat="1">
      <c r="A839" s="6"/>
      <c r="B839" s="33"/>
      <c r="C839" s="35"/>
      <c r="E839" s="39"/>
      <c r="G839" s="40"/>
      <c r="H839" s="15"/>
      <c r="I839" s="17"/>
      <c r="J839" s="10"/>
      <c r="M839" s="39"/>
      <c r="O839" s="39"/>
      <c r="Q839" s="39"/>
      <c r="R839" s="28"/>
      <c r="S839" s="28"/>
      <c r="T839" s="28"/>
      <c r="U839" s="4"/>
      <c r="V839" s="3"/>
      <c r="W839" s="3"/>
    </row>
    <row r="840" spans="1:23" s="5" customFormat="1">
      <c r="A840" s="6"/>
      <c r="B840" s="33"/>
      <c r="C840" s="35"/>
      <c r="E840" s="39"/>
      <c r="G840" s="40"/>
      <c r="H840" s="14"/>
      <c r="I840" s="17"/>
      <c r="J840" s="10"/>
      <c r="M840" s="39"/>
      <c r="O840" s="39"/>
      <c r="Q840" s="39"/>
      <c r="R840" s="28"/>
      <c r="S840" s="28"/>
      <c r="T840" s="28"/>
      <c r="U840" s="4"/>
      <c r="V840" s="3"/>
      <c r="W840" s="3"/>
    </row>
    <row r="841" spans="1:23" s="5" customFormat="1">
      <c r="A841" s="6"/>
      <c r="B841" s="33"/>
      <c r="C841" s="35"/>
      <c r="E841" s="39"/>
      <c r="G841" s="40"/>
      <c r="H841" s="15"/>
      <c r="I841" s="17"/>
      <c r="J841" s="10"/>
      <c r="M841" s="39"/>
      <c r="O841" s="39"/>
      <c r="Q841" s="39"/>
      <c r="R841" s="28"/>
      <c r="S841" s="28"/>
      <c r="T841" s="28"/>
      <c r="U841" s="4"/>
      <c r="V841" s="3"/>
      <c r="W841" s="3"/>
    </row>
    <row r="842" spans="1:23" s="5" customFormat="1">
      <c r="A842" s="6"/>
      <c r="B842" s="33"/>
      <c r="C842" s="35"/>
      <c r="E842" s="39"/>
      <c r="G842" s="40"/>
      <c r="H842" s="15"/>
      <c r="I842" s="17"/>
      <c r="J842" s="10"/>
      <c r="M842" s="39"/>
      <c r="O842" s="39"/>
      <c r="Q842" s="39"/>
      <c r="R842" s="28"/>
      <c r="S842" s="28"/>
      <c r="T842" s="28"/>
      <c r="U842" s="4"/>
      <c r="V842" s="3"/>
      <c r="W842" s="3"/>
    </row>
    <row r="843" spans="1:23" s="5" customFormat="1">
      <c r="A843" s="6"/>
      <c r="B843" s="33"/>
      <c r="C843" s="35"/>
      <c r="E843" s="39"/>
      <c r="G843" s="40"/>
      <c r="H843" s="15"/>
      <c r="I843" s="17"/>
      <c r="J843" s="10"/>
      <c r="M843" s="39"/>
      <c r="O843" s="39"/>
      <c r="Q843" s="39"/>
      <c r="R843" s="28"/>
      <c r="S843" s="28"/>
      <c r="T843" s="28"/>
      <c r="U843" s="4"/>
      <c r="V843" s="3"/>
      <c r="W843" s="3"/>
    </row>
    <row r="844" spans="1:23" s="5" customFormat="1">
      <c r="A844" s="6"/>
      <c r="B844" s="33"/>
      <c r="C844" s="35"/>
      <c r="E844" s="39"/>
      <c r="G844" s="40"/>
      <c r="H844" s="14"/>
      <c r="I844" s="17"/>
      <c r="J844" s="10"/>
      <c r="M844" s="39"/>
      <c r="O844" s="39"/>
      <c r="Q844" s="39"/>
      <c r="R844" s="28"/>
      <c r="S844" s="28"/>
      <c r="T844" s="28"/>
      <c r="U844" s="4"/>
      <c r="V844" s="3"/>
      <c r="W844" s="3"/>
    </row>
    <row r="845" spans="1:23" s="5" customFormat="1">
      <c r="A845" s="6"/>
      <c r="B845" s="33"/>
      <c r="C845" s="35"/>
      <c r="E845" s="39"/>
      <c r="G845" s="40"/>
      <c r="H845" s="14"/>
      <c r="I845" s="17"/>
      <c r="J845" s="10"/>
      <c r="M845" s="39"/>
      <c r="O845" s="39"/>
      <c r="Q845" s="39"/>
      <c r="R845" s="28"/>
      <c r="S845" s="28"/>
      <c r="T845" s="28"/>
      <c r="U845" s="4"/>
      <c r="V845" s="3"/>
      <c r="W845" s="3"/>
    </row>
    <row r="846" spans="1:23" s="5" customFormat="1">
      <c r="A846" s="6"/>
      <c r="B846" s="33"/>
      <c r="C846" s="35"/>
      <c r="E846" s="39"/>
      <c r="G846" s="40"/>
      <c r="H846" s="14"/>
      <c r="I846" s="17"/>
      <c r="J846" s="10"/>
      <c r="M846" s="39"/>
      <c r="O846" s="39"/>
      <c r="Q846" s="39"/>
      <c r="R846" s="28"/>
      <c r="S846" s="28"/>
      <c r="T846" s="28"/>
      <c r="U846" s="4"/>
      <c r="V846" s="3"/>
      <c r="W846" s="3"/>
    </row>
    <row r="847" spans="1:23" s="5" customFormat="1">
      <c r="A847" s="6"/>
      <c r="B847" s="33"/>
      <c r="C847" s="35"/>
      <c r="E847" s="39"/>
      <c r="G847" s="40"/>
      <c r="H847" s="14"/>
      <c r="I847" s="17"/>
      <c r="J847" s="10"/>
      <c r="M847" s="39"/>
      <c r="O847" s="39"/>
      <c r="Q847" s="39"/>
      <c r="R847" s="28"/>
      <c r="S847" s="28"/>
      <c r="T847" s="28"/>
      <c r="U847" s="4"/>
      <c r="V847" s="3"/>
      <c r="W847" s="3"/>
    </row>
    <row r="848" spans="1:23" s="5" customFormat="1">
      <c r="A848" s="6"/>
      <c r="B848" s="33"/>
      <c r="C848" s="35"/>
      <c r="E848" s="39"/>
      <c r="G848" s="40"/>
      <c r="H848" s="14"/>
      <c r="I848" s="17"/>
      <c r="J848" s="10"/>
      <c r="M848" s="39"/>
      <c r="O848" s="39"/>
      <c r="Q848" s="39"/>
      <c r="R848" s="28"/>
      <c r="S848" s="28"/>
      <c r="T848" s="28"/>
      <c r="U848" s="4"/>
      <c r="V848" s="3"/>
      <c r="W848" s="3"/>
    </row>
    <row r="849" spans="1:23" s="5" customFormat="1">
      <c r="A849" s="6"/>
      <c r="B849" s="33"/>
      <c r="C849" s="35"/>
      <c r="E849" s="39"/>
      <c r="G849" s="40"/>
      <c r="H849" s="14"/>
      <c r="I849" s="17"/>
      <c r="J849" s="10"/>
      <c r="M849" s="39"/>
      <c r="O849" s="39"/>
      <c r="Q849" s="39"/>
      <c r="R849" s="28"/>
      <c r="S849" s="28"/>
      <c r="T849" s="28"/>
      <c r="U849" s="4"/>
      <c r="V849" s="3"/>
      <c r="W849" s="3"/>
    </row>
    <row r="850" spans="1:23" s="5" customFormat="1">
      <c r="A850" s="6"/>
      <c r="B850" s="33"/>
      <c r="C850" s="35"/>
      <c r="E850" s="39"/>
      <c r="G850" s="40"/>
      <c r="H850" s="14"/>
      <c r="I850" s="17"/>
      <c r="J850" s="10"/>
      <c r="M850" s="39"/>
      <c r="O850" s="39"/>
      <c r="Q850" s="39"/>
      <c r="R850" s="28"/>
      <c r="S850" s="28"/>
      <c r="T850" s="28"/>
      <c r="U850" s="4"/>
      <c r="V850" s="3"/>
      <c r="W850" s="3"/>
    </row>
    <row r="851" spans="1:23" s="5" customFormat="1">
      <c r="A851" s="6"/>
      <c r="B851" s="33"/>
      <c r="C851" s="35"/>
      <c r="E851" s="39"/>
      <c r="G851" s="40"/>
      <c r="H851" s="15"/>
      <c r="I851" s="17"/>
      <c r="J851" s="10"/>
      <c r="M851" s="39"/>
      <c r="O851" s="39"/>
      <c r="Q851" s="39"/>
      <c r="R851" s="28"/>
      <c r="S851" s="28"/>
      <c r="T851" s="28"/>
      <c r="U851" s="4"/>
      <c r="V851" s="3"/>
      <c r="W851" s="3"/>
    </row>
    <row r="852" spans="1:23" s="5" customFormat="1">
      <c r="A852" s="6"/>
      <c r="B852" s="33"/>
      <c r="C852" s="35"/>
      <c r="E852" s="39"/>
      <c r="G852" s="40"/>
      <c r="H852" s="14"/>
      <c r="I852" s="17"/>
      <c r="J852" s="10"/>
      <c r="M852" s="39"/>
      <c r="O852" s="39"/>
      <c r="Q852" s="39"/>
      <c r="R852" s="28"/>
      <c r="S852" s="28"/>
      <c r="T852" s="28"/>
      <c r="U852" s="4"/>
      <c r="V852" s="3"/>
      <c r="W852" s="3"/>
    </row>
    <row r="853" spans="1:23" s="5" customFormat="1">
      <c r="A853" s="6"/>
      <c r="B853" s="33"/>
      <c r="C853" s="35"/>
      <c r="E853" s="39"/>
      <c r="G853" s="40"/>
      <c r="H853" s="14"/>
      <c r="I853" s="17"/>
      <c r="J853" s="10"/>
      <c r="M853" s="39"/>
      <c r="O853" s="39"/>
      <c r="Q853" s="39"/>
      <c r="R853" s="28"/>
      <c r="S853" s="28"/>
      <c r="T853" s="28"/>
      <c r="U853" s="4"/>
      <c r="V853" s="3"/>
      <c r="W853" s="3"/>
    </row>
    <row r="854" spans="1:23" s="5" customFormat="1">
      <c r="A854" s="20"/>
      <c r="B854" s="33"/>
      <c r="C854" s="35"/>
      <c r="D854" s="1"/>
      <c r="E854" s="39"/>
      <c r="F854" s="1"/>
      <c r="G854" s="40"/>
      <c r="H854" s="12"/>
      <c r="I854" s="9"/>
      <c r="J854" s="12"/>
      <c r="L854" s="1"/>
      <c r="M854" s="39"/>
      <c r="N854" s="1"/>
      <c r="O854" s="39"/>
      <c r="P854" s="1"/>
      <c r="Q854" s="39"/>
      <c r="R854" s="28"/>
      <c r="S854" s="28"/>
      <c r="T854" s="28"/>
      <c r="U854" s="4"/>
      <c r="V854" s="3"/>
      <c r="W854" s="3"/>
    </row>
    <row r="855" spans="1:23" s="5" customFormat="1">
      <c r="A855" s="20"/>
      <c r="B855" s="33"/>
      <c r="C855" s="35"/>
      <c r="D855" s="1"/>
      <c r="E855" s="39"/>
      <c r="F855" s="1"/>
      <c r="G855" s="40"/>
      <c r="H855" s="12"/>
      <c r="I855" s="9"/>
      <c r="J855" s="12"/>
      <c r="L855" s="1"/>
      <c r="M855" s="39"/>
      <c r="N855" s="1"/>
      <c r="O855" s="39"/>
      <c r="P855" s="1"/>
      <c r="Q855" s="39"/>
      <c r="R855" s="28"/>
      <c r="S855" s="28"/>
      <c r="T855" s="28"/>
      <c r="U855" s="4"/>
      <c r="V855" s="3"/>
      <c r="W855" s="3"/>
    </row>
    <row r="856" spans="1:23" s="5" customFormat="1">
      <c r="A856" s="20"/>
      <c r="B856" s="33"/>
      <c r="C856" s="35"/>
      <c r="D856" s="1"/>
      <c r="E856" s="39"/>
      <c r="F856" s="1"/>
      <c r="G856" s="40"/>
      <c r="H856" s="12"/>
      <c r="I856" s="9"/>
      <c r="J856" s="12"/>
      <c r="L856" s="1"/>
      <c r="M856" s="39"/>
      <c r="N856" s="1"/>
      <c r="O856" s="39"/>
      <c r="P856" s="1"/>
      <c r="Q856" s="39"/>
      <c r="R856" s="28"/>
      <c r="S856" s="28"/>
      <c r="T856" s="28"/>
      <c r="U856" s="4"/>
      <c r="V856" s="3"/>
      <c r="W856" s="3"/>
    </row>
    <row r="857" spans="1:23" s="5" customFormat="1">
      <c r="A857" s="20"/>
      <c r="B857" s="33"/>
      <c r="C857" s="35"/>
      <c r="D857" s="1"/>
      <c r="E857" s="39"/>
      <c r="F857" s="1"/>
      <c r="G857" s="40"/>
      <c r="H857" s="12"/>
      <c r="I857" s="9"/>
      <c r="J857" s="12"/>
      <c r="L857" s="1"/>
      <c r="M857" s="39"/>
      <c r="N857" s="1"/>
      <c r="O857" s="39"/>
      <c r="P857" s="1"/>
      <c r="Q857" s="39"/>
      <c r="R857" s="28"/>
      <c r="S857" s="28"/>
      <c r="T857" s="28"/>
      <c r="U857" s="4"/>
      <c r="V857" s="3"/>
      <c r="W857" s="3"/>
    </row>
    <row r="858" spans="1:23" s="5" customFormat="1">
      <c r="A858" s="6"/>
      <c r="B858" s="33"/>
      <c r="C858" s="35"/>
      <c r="E858" s="39"/>
      <c r="G858" s="40"/>
      <c r="H858" s="14"/>
      <c r="I858" s="17"/>
      <c r="J858" s="10"/>
      <c r="M858" s="39"/>
      <c r="O858" s="39"/>
      <c r="Q858" s="39"/>
      <c r="R858" s="28"/>
      <c r="S858" s="28"/>
      <c r="T858" s="28"/>
      <c r="U858" s="4"/>
      <c r="V858" s="3"/>
      <c r="W858" s="3"/>
    </row>
    <row r="859" spans="1:23" s="5" customFormat="1">
      <c r="A859" s="6"/>
      <c r="B859" s="33"/>
      <c r="C859" s="35"/>
      <c r="E859" s="39"/>
      <c r="G859" s="40"/>
      <c r="H859" s="15"/>
      <c r="I859" s="17"/>
      <c r="J859" s="10"/>
      <c r="M859" s="39"/>
      <c r="O859" s="39"/>
      <c r="Q859" s="39"/>
      <c r="R859" s="28"/>
      <c r="S859" s="28"/>
      <c r="T859" s="28"/>
      <c r="U859" s="4"/>
      <c r="V859" s="3"/>
      <c r="W859" s="3"/>
    </row>
    <row r="860" spans="1:23" s="5" customFormat="1">
      <c r="A860" s="6"/>
      <c r="B860" s="33"/>
      <c r="C860" s="35"/>
      <c r="E860" s="39"/>
      <c r="G860" s="40"/>
      <c r="H860" s="15"/>
      <c r="I860" s="17"/>
      <c r="J860" s="10"/>
      <c r="M860" s="39"/>
      <c r="O860" s="39"/>
      <c r="Q860" s="39"/>
      <c r="R860" s="28"/>
      <c r="S860" s="28"/>
      <c r="T860" s="28"/>
      <c r="U860" s="4"/>
      <c r="V860" s="3"/>
      <c r="W860" s="3"/>
    </row>
    <row r="861" spans="1:23" s="5" customFormat="1">
      <c r="A861" s="6"/>
      <c r="B861" s="33"/>
      <c r="C861" s="35"/>
      <c r="E861" s="39"/>
      <c r="G861" s="40"/>
      <c r="H861" s="14"/>
      <c r="I861" s="17"/>
      <c r="J861" s="10"/>
      <c r="M861" s="39"/>
      <c r="O861" s="39"/>
      <c r="Q861" s="39"/>
      <c r="R861" s="28"/>
      <c r="S861" s="28"/>
      <c r="T861" s="28"/>
      <c r="U861" s="4"/>
      <c r="V861" s="3"/>
      <c r="W861" s="3"/>
    </row>
    <row r="862" spans="1:23" s="5" customFormat="1">
      <c r="A862" s="6"/>
      <c r="B862" s="33"/>
      <c r="C862" s="35"/>
      <c r="E862" s="39"/>
      <c r="G862" s="40"/>
      <c r="H862" s="14"/>
      <c r="I862" s="17"/>
      <c r="J862" s="10"/>
      <c r="M862" s="39"/>
      <c r="O862" s="39"/>
      <c r="Q862" s="39"/>
      <c r="R862" s="28"/>
      <c r="S862" s="28"/>
      <c r="T862" s="28"/>
      <c r="U862" s="4"/>
      <c r="V862" s="3"/>
      <c r="W862" s="3"/>
    </row>
    <row r="863" spans="1:23" s="5" customFormat="1">
      <c r="A863" s="6"/>
      <c r="B863" s="33"/>
      <c r="C863" s="35"/>
      <c r="E863" s="39"/>
      <c r="G863" s="40"/>
      <c r="H863" s="15"/>
      <c r="I863" s="17"/>
      <c r="J863" s="10"/>
      <c r="M863" s="39"/>
      <c r="O863" s="39"/>
      <c r="Q863" s="39"/>
      <c r="R863" s="28"/>
      <c r="S863" s="28"/>
      <c r="T863" s="28"/>
      <c r="U863" s="4"/>
      <c r="V863" s="3"/>
      <c r="W863" s="3"/>
    </row>
    <row r="864" spans="1:23" s="5" customFormat="1">
      <c r="A864" s="6"/>
      <c r="B864" s="33"/>
      <c r="C864" s="35"/>
      <c r="E864" s="39"/>
      <c r="G864" s="40"/>
      <c r="H864" s="15"/>
      <c r="I864" s="17"/>
      <c r="J864" s="10"/>
      <c r="M864" s="39"/>
      <c r="O864" s="39"/>
      <c r="Q864" s="39"/>
      <c r="R864" s="28"/>
      <c r="S864" s="28"/>
      <c r="T864" s="28"/>
      <c r="U864" s="4"/>
      <c r="V864" s="3"/>
      <c r="W864" s="3"/>
    </row>
    <row r="865" spans="1:23" s="5" customFormat="1">
      <c r="A865" s="6"/>
      <c r="B865" s="33"/>
      <c r="C865" s="35"/>
      <c r="E865" s="39"/>
      <c r="G865" s="40"/>
      <c r="H865" s="14"/>
      <c r="I865" s="17"/>
      <c r="J865" s="10"/>
      <c r="M865" s="39"/>
      <c r="O865" s="39"/>
      <c r="Q865" s="39"/>
      <c r="R865" s="28"/>
      <c r="S865" s="28"/>
      <c r="T865" s="28"/>
      <c r="U865" s="4"/>
      <c r="V865" s="3"/>
      <c r="W865" s="3"/>
    </row>
    <row r="866" spans="1:23" s="5" customFormat="1">
      <c r="A866" s="6"/>
      <c r="B866" s="33"/>
      <c r="C866" s="35"/>
      <c r="E866" s="39"/>
      <c r="G866" s="40"/>
      <c r="H866" s="14"/>
      <c r="I866" s="17"/>
      <c r="J866" s="10"/>
      <c r="M866" s="39"/>
      <c r="O866" s="39"/>
      <c r="Q866" s="39"/>
      <c r="R866" s="28"/>
      <c r="S866" s="28"/>
      <c r="T866" s="28"/>
      <c r="U866" s="4"/>
      <c r="V866" s="3"/>
      <c r="W866" s="3"/>
    </row>
    <row r="867" spans="1:23" s="5" customFormat="1">
      <c r="A867" s="6"/>
      <c r="B867" s="33"/>
      <c r="C867" s="35"/>
      <c r="E867" s="39"/>
      <c r="G867" s="40"/>
      <c r="H867" s="14"/>
      <c r="I867" s="17"/>
      <c r="J867" s="10"/>
      <c r="M867" s="39"/>
      <c r="O867" s="39"/>
      <c r="Q867" s="39"/>
      <c r="R867" s="28"/>
      <c r="S867" s="28"/>
      <c r="T867" s="28"/>
      <c r="U867" s="4"/>
      <c r="V867" s="3"/>
      <c r="W867" s="3"/>
    </row>
    <row r="868" spans="1:23" s="5" customFormat="1">
      <c r="A868" s="6"/>
      <c r="B868" s="33"/>
      <c r="C868" s="35"/>
      <c r="E868" s="39"/>
      <c r="G868" s="40"/>
      <c r="H868" s="14"/>
      <c r="I868" s="17"/>
      <c r="J868" s="10"/>
      <c r="M868" s="39"/>
      <c r="O868" s="39"/>
      <c r="Q868" s="39"/>
      <c r="R868" s="28"/>
      <c r="S868" s="28"/>
      <c r="T868" s="28"/>
      <c r="U868" s="4"/>
      <c r="V868" s="3"/>
      <c r="W868" s="3"/>
    </row>
    <row r="869" spans="1:23" s="5" customFormat="1">
      <c r="A869" s="6"/>
      <c r="B869" s="33"/>
      <c r="C869" s="35"/>
      <c r="E869" s="39"/>
      <c r="G869" s="40"/>
      <c r="H869" s="15"/>
      <c r="I869" s="17"/>
      <c r="J869" s="10"/>
      <c r="M869" s="39"/>
      <c r="O869" s="39"/>
      <c r="Q869" s="39"/>
      <c r="R869" s="28"/>
      <c r="S869" s="28"/>
      <c r="T869" s="28"/>
      <c r="U869" s="4"/>
      <c r="V869" s="3"/>
      <c r="W869" s="3"/>
    </row>
    <row r="870" spans="1:23" s="5" customFormat="1">
      <c r="A870" s="6"/>
      <c r="B870" s="33"/>
      <c r="C870" s="35"/>
      <c r="E870" s="39"/>
      <c r="G870" s="40"/>
      <c r="H870" s="14"/>
      <c r="I870" s="17"/>
      <c r="J870" s="10"/>
      <c r="M870" s="39"/>
      <c r="O870" s="39"/>
      <c r="Q870" s="39"/>
      <c r="R870" s="28"/>
      <c r="S870" s="28"/>
      <c r="T870" s="28"/>
      <c r="U870" s="4"/>
      <c r="V870" s="3"/>
      <c r="W870" s="3"/>
    </row>
    <row r="871" spans="1:23" s="5" customFormat="1">
      <c r="A871" s="6"/>
      <c r="B871" s="33"/>
      <c r="C871" s="35"/>
      <c r="E871" s="39"/>
      <c r="G871" s="40"/>
      <c r="H871" s="14"/>
      <c r="I871" s="17"/>
      <c r="J871" s="10"/>
      <c r="M871" s="39"/>
      <c r="O871" s="39"/>
      <c r="Q871" s="39"/>
      <c r="R871" s="28"/>
      <c r="S871" s="28"/>
      <c r="T871" s="28"/>
      <c r="U871" s="4"/>
      <c r="V871" s="3"/>
      <c r="W871" s="3"/>
    </row>
    <row r="872" spans="1:23" s="5" customFormat="1">
      <c r="A872" s="6"/>
      <c r="B872" s="33"/>
      <c r="C872" s="35"/>
      <c r="E872" s="39"/>
      <c r="G872" s="40"/>
      <c r="H872" s="14"/>
      <c r="I872" s="17"/>
      <c r="J872" s="10"/>
      <c r="M872" s="39"/>
      <c r="O872" s="39"/>
      <c r="Q872" s="39"/>
      <c r="R872" s="28"/>
      <c r="S872" s="28"/>
      <c r="T872" s="28"/>
      <c r="U872" s="4"/>
      <c r="V872" s="3"/>
      <c r="W872" s="3"/>
    </row>
    <row r="873" spans="1:23" s="5" customFormat="1">
      <c r="A873" s="6"/>
      <c r="B873" s="33"/>
      <c r="C873" s="35"/>
      <c r="E873" s="39"/>
      <c r="G873" s="40"/>
      <c r="H873" s="15"/>
      <c r="I873" s="17"/>
      <c r="J873" s="10"/>
      <c r="M873" s="39"/>
      <c r="O873" s="39"/>
      <c r="Q873" s="39"/>
      <c r="R873" s="28"/>
      <c r="S873" s="28"/>
      <c r="T873" s="28"/>
      <c r="U873" s="4"/>
      <c r="V873" s="3"/>
      <c r="W873" s="3"/>
    </row>
    <row r="874" spans="1:23" s="5" customFormat="1">
      <c r="A874" s="6"/>
      <c r="B874" s="33"/>
      <c r="C874" s="35"/>
      <c r="E874" s="39"/>
      <c r="G874" s="40"/>
      <c r="H874" s="15"/>
      <c r="I874" s="17"/>
      <c r="J874" s="10"/>
      <c r="M874" s="39"/>
      <c r="O874" s="39"/>
      <c r="Q874" s="39"/>
      <c r="R874" s="28"/>
      <c r="S874" s="28"/>
      <c r="T874" s="28"/>
      <c r="U874" s="4"/>
      <c r="V874" s="3"/>
      <c r="W874" s="3"/>
    </row>
    <row r="875" spans="1:23" s="5" customFormat="1">
      <c r="A875" s="6"/>
      <c r="B875" s="33"/>
      <c r="C875" s="35"/>
      <c r="E875" s="39"/>
      <c r="G875" s="40"/>
      <c r="H875" s="15"/>
      <c r="I875" s="17"/>
      <c r="J875" s="10"/>
      <c r="M875" s="39"/>
      <c r="O875" s="39"/>
      <c r="Q875" s="39"/>
      <c r="R875" s="28"/>
      <c r="S875" s="28"/>
      <c r="T875" s="28"/>
      <c r="U875" s="4"/>
      <c r="V875" s="3"/>
      <c r="W875" s="3"/>
    </row>
    <row r="876" spans="1:23" s="5" customFormat="1">
      <c r="A876" s="6"/>
      <c r="B876" s="33"/>
      <c r="C876" s="35"/>
      <c r="E876" s="39"/>
      <c r="G876" s="40"/>
      <c r="H876" s="15"/>
      <c r="I876" s="17"/>
      <c r="J876" s="10"/>
      <c r="M876" s="39"/>
      <c r="O876" s="39"/>
      <c r="Q876" s="39"/>
      <c r="R876" s="28"/>
      <c r="S876" s="28"/>
      <c r="T876" s="28"/>
      <c r="U876" s="4"/>
      <c r="V876" s="3"/>
      <c r="W876" s="3"/>
    </row>
    <row r="877" spans="1:23" s="5" customFormat="1">
      <c r="A877" s="6"/>
      <c r="B877" s="33"/>
      <c r="C877" s="35"/>
      <c r="E877" s="39"/>
      <c r="G877" s="40"/>
      <c r="H877" s="15"/>
      <c r="I877" s="17"/>
      <c r="J877" s="10"/>
      <c r="M877" s="39"/>
      <c r="O877" s="39"/>
      <c r="Q877" s="39"/>
      <c r="R877" s="28"/>
      <c r="S877" s="28"/>
      <c r="T877" s="28"/>
      <c r="U877" s="4"/>
      <c r="V877" s="3"/>
      <c r="W877" s="3"/>
    </row>
    <row r="878" spans="1:23" s="5" customFormat="1">
      <c r="A878" s="6"/>
      <c r="B878" s="33"/>
      <c r="C878" s="35"/>
      <c r="E878" s="39"/>
      <c r="G878" s="40"/>
      <c r="H878" s="14"/>
      <c r="I878" s="17"/>
      <c r="J878" s="10"/>
      <c r="M878" s="39"/>
      <c r="O878" s="39"/>
      <c r="Q878" s="39"/>
      <c r="R878" s="28"/>
      <c r="S878" s="28"/>
      <c r="T878" s="28"/>
      <c r="U878" s="4"/>
      <c r="V878" s="3"/>
      <c r="W878" s="3"/>
    </row>
    <row r="879" spans="1:23" s="5" customFormat="1">
      <c r="A879" s="6"/>
      <c r="B879" s="33"/>
      <c r="C879" s="35"/>
      <c r="E879" s="39"/>
      <c r="G879" s="40"/>
      <c r="H879" s="15"/>
      <c r="I879" s="17"/>
      <c r="J879" s="10"/>
      <c r="M879" s="39"/>
      <c r="O879" s="39"/>
      <c r="Q879" s="39"/>
      <c r="R879" s="28"/>
      <c r="S879" s="28"/>
      <c r="T879" s="28"/>
      <c r="U879" s="4"/>
      <c r="V879" s="3"/>
      <c r="W879" s="3"/>
    </row>
    <row r="880" spans="1:23" s="5" customFormat="1">
      <c r="A880" s="6"/>
      <c r="B880" s="33"/>
      <c r="C880" s="35"/>
      <c r="E880" s="39"/>
      <c r="G880" s="40"/>
      <c r="H880" s="14"/>
      <c r="I880" s="17"/>
      <c r="J880" s="10"/>
      <c r="M880" s="39"/>
      <c r="O880" s="39"/>
      <c r="Q880" s="39"/>
      <c r="R880" s="28"/>
      <c r="S880" s="28"/>
      <c r="T880" s="28"/>
      <c r="U880" s="4"/>
      <c r="V880" s="3"/>
      <c r="W880" s="3"/>
    </row>
    <row r="881" spans="1:23" s="5" customFormat="1">
      <c r="A881" s="6"/>
      <c r="B881" s="33"/>
      <c r="C881" s="35"/>
      <c r="E881" s="39"/>
      <c r="G881" s="40"/>
      <c r="H881" s="15"/>
      <c r="I881" s="17"/>
      <c r="J881" s="10"/>
      <c r="M881" s="39"/>
      <c r="O881" s="39"/>
      <c r="Q881" s="39"/>
      <c r="R881" s="28"/>
      <c r="S881" s="28"/>
      <c r="T881" s="28"/>
      <c r="U881" s="4"/>
      <c r="V881" s="3"/>
      <c r="W881" s="3"/>
    </row>
    <row r="882" spans="1:23" s="5" customFormat="1">
      <c r="A882" s="6"/>
      <c r="B882" s="33"/>
      <c r="C882" s="35"/>
      <c r="E882" s="39"/>
      <c r="G882" s="40"/>
      <c r="H882" s="14"/>
      <c r="I882" s="17"/>
      <c r="J882" s="10"/>
      <c r="M882" s="39"/>
      <c r="O882" s="39"/>
      <c r="Q882" s="39"/>
      <c r="R882" s="28"/>
      <c r="S882" s="28"/>
      <c r="T882" s="28"/>
      <c r="U882" s="4"/>
      <c r="V882" s="3"/>
      <c r="W882" s="3"/>
    </row>
    <row r="883" spans="1:23" s="5" customFormat="1">
      <c r="A883" s="6"/>
      <c r="B883" s="33"/>
      <c r="C883" s="35"/>
      <c r="E883" s="39"/>
      <c r="G883" s="40"/>
      <c r="H883" s="15"/>
      <c r="I883" s="17"/>
      <c r="J883" s="10"/>
      <c r="M883" s="39"/>
      <c r="O883" s="39"/>
      <c r="Q883" s="39"/>
      <c r="R883" s="28"/>
      <c r="S883" s="28"/>
      <c r="T883" s="28"/>
      <c r="U883" s="4"/>
      <c r="V883" s="3"/>
      <c r="W883" s="3"/>
    </row>
    <row r="884" spans="1:23" s="5" customFormat="1">
      <c r="A884" s="6"/>
      <c r="B884" s="33"/>
      <c r="C884" s="35"/>
      <c r="E884" s="39"/>
      <c r="G884" s="40"/>
      <c r="H884" s="15"/>
      <c r="I884" s="17"/>
      <c r="J884" s="10"/>
      <c r="M884" s="39"/>
      <c r="O884" s="39"/>
      <c r="Q884" s="39"/>
      <c r="R884" s="28"/>
      <c r="S884" s="28"/>
      <c r="T884" s="28"/>
      <c r="U884" s="4"/>
      <c r="V884" s="3"/>
      <c r="W884" s="3"/>
    </row>
    <row r="885" spans="1:23" s="5" customFormat="1">
      <c r="A885" s="6"/>
      <c r="B885" s="33"/>
      <c r="C885" s="35"/>
      <c r="E885" s="39"/>
      <c r="G885" s="40"/>
      <c r="H885" s="14"/>
      <c r="I885" s="17"/>
      <c r="J885" s="10"/>
      <c r="M885" s="39"/>
      <c r="O885" s="39"/>
      <c r="Q885" s="39"/>
      <c r="R885" s="28"/>
      <c r="S885" s="28"/>
      <c r="T885" s="28"/>
      <c r="U885" s="4"/>
      <c r="V885" s="3"/>
      <c r="W885" s="3"/>
    </row>
    <row r="886" spans="1:23" s="5" customFormat="1">
      <c r="A886" s="6"/>
      <c r="B886" s="33"/>
      <c r="C886" s="35"/>
      <c r="E886" s="39"/>
      <c r="G886" s="40"/>
      <c r="H886" s="15"/>
      <c r="I886" s="17"/>
      <c r="J886" s="10"/>
      <c r="M886" s="39"/>
      <c r="O886" s="39"/>
      <c r="Q886" s="39"/>
      <c r="R886" s="28"/>
      <c r="S886" s="28"/>
      <c r="T886" s="28"/>
      <c r="U886" s="4"/>
      <c r="V886" s="3"/>
      <c r="W886" s="3"/>
    </row>
    <row r="887" spans="1:23" s="5" customFormat="1">
      <c r="A887" s="6"/>
      <c r="B887" s="33"/>
      <c r="C887" s="35"/>
      <c r="E887" s="39"/>
      <c r="G887" s="40"/>
      <c r="H887" s="15"/>
      <c r="I887" s="17"/>
      <c r="J887" s="10"/>
      <c r="M887" s="39"/>
      <c r="O887" s="39"/>
      <c r="Q887" s="39"/>
      <c r="R887" s="28"/>
      <c r="S887" s="28"/>
      <c r="T887" s="28"/>
      <c r="U887" s="4"/>
      <c r="V887" s="3"/>
      <c r="W887" s="3"/>
    </row>
    <row r="888" spans="1:23" s="5" customFormat="1">
      <c r="A888" s="6"/>
      <c r="B888" s="33"/>
      <c r="C888" s="35"/>
      <c r="E888" s="39"/>
      <c r="G888" s="40"/>
      <c r="H888" s="14"/>
      <c r="I888" s="17"/>
      <c r="J888" s="10"/>
      <c r="M888" s="39"/>
      <c r="O888" s="39"/>
      <c r="Q888" s="39"/>
      <c r="R888" s="28"/>
      <c r="S888" s="28"/>
      <c r="T888" s="28"/>
      <c r="U888" s="4"/>
      <c r="V888" s="3"/>
      <c r="W888" s="3"/>
    </row>
    <row r="889" spans="1:23" s="5" customFormat="1">
      <c r="A889" s="6"/>
      <c r="B889" s="33"/>
      <c r="C889" s="35"/>
      <c r="E889" s="39"/>
      <c r="G889" s="40"/>
      <c r="H889" s="15"/>
      <c r="I889" s="17"/>
      <c r="J889" s="10"/>
      <c r="M889" s="39"/>
      <c r="O889" s="39"/>
      <c r="Q889" s="39"/>
      <c r="R889" s="28"/>
      <c r="S889" s="28"/>
      <c r="T889" s="28"/>
      <c r="U889" s="4"/>
      <c r="V889" s="3"/>
      <c r="W889" s="3"/>
    </row>
    <row r="890" spans="1:23" s="5" customFormat="1">
      <c r="A890" s="6"/>
      <c r="B890" s="33"/>
      <c r="C890" s="35"/>
      <c r="E890" s="39"/>
      <c r="G890" s="40"/>
      <c r="H890" s="15"/>
      <c r="I890" s="17"/>
      <c r="J890" s="10"/>
      <c r="M890" s="39"/>
      <c r="O890" s="39"/>
      <c r="Q890" s="39"/>
      <c r="R890" s="28"/>
      <c r="S890" s="28"/>
      <c r="T890" s="28"/>
      <c r="U890" s="4"/>
      <c r="V890" s="3"/>
      <c r="W890" s="3"/>
    </row>
    <row r="891" spans="1:23" s="5" customFormat="1">
      <c r="A891" s="6"/>
      <c r="B891" s="33"/>
      <c r="C891" s="35"/>
      <c r="E891" s="39"/>
      <c r="G891" s="40"/>
      <c r="H891" s="14"/>
      <c r="I891" s="17"/>
      <c r="J891" s="10"/>
      <c r="M891" s="39"/>
      <c r="O891" s="39"/>
      <c r="Q891" s="39"/>
      <c r="R891" s="28"/>
      <c r="S891" s="28"/>
      <c r="T891" s="28"/>
      <c r="U891" s="4"/>
      <c r="V891" s="3"/>
      <c r="W891" s="3"/>
    </row>
    <row r="892" spans="1:23" s="5" customFormat="1">
      <c r="A892" s="6"/>
      <c r="B892" s="33"/>
      <c r="C892" s="35"/>
      <c r="E892" s="39"/>
      <c r="G892" s="40"/>
      <c r="H892" s="15"/>
      <c r="I892" s="17"/>
      <c r="J892" s="10"/>
      <c r="M892" s="39"/>
      <c r="O892" s="39"/>
      <c r="Q892" s="39"/>
      <c r="R892" s="28"/>
      <c r="S892" s="28"/>
      <c r="T892" s="28"/>
      <c r="U892" s="4"/>
      <c r="V892" s="3"/>
      <c r="W892" s="3"/>
    </row>
    <row r="893" spans="1:23" s="5" customFormat="1">
      <c r="A893" s="6"/>
      <c r="B893" s="33"/>
      <c r="C893" s="35"/>
      <c r="E893" s="39"/>
      <c r="G893" s="40"/>
      <c r="H893" s="15"/>
      <c r="I893" s="17"/>
      <c r="J893" s="10"/>
      <c r="M893" s="39"/>
      <c r="O893" s="39"/>
      <c r="Q893" s="39"/>
      <c r="R893" s="28"/>
      <c r="S893" s="28"/>
      <c r="T893" s="28"/>
      <c r="U893" s="4"/>
      <c r="V893" s="3"/>
      <c r="W893" s="3"/>
    </row>
    <row r="894" spans="1:23" s="5" customFormat="1">
      <c r="A894" s="6"/>
      <c r="B894" s="33"/>
      <c r="C894" s="35"/>
      <c r="E894" s="39"/>
      <c r="G894" s="40"/>
      <c r="H894" s="14"/>
      <c r="I894" s="17"/>
      <c r="J894" s="10"/>
      <c r="M894" s="39"/>
      <c r="O894" s="39"/>
      <c r="Q894" s="39"/>
      <c r="R894" s="28"/>
      <c r="S894" s="28"/>
      <c r="T894" s="28"/>
      <c r="U894" s="4"/>
      <c r="V894" s="3"/>
      <c r="W894" s="3"/>
    </row>
    <row r="895" spans="1:23" s="5" customFormat="1">
      <c r="A895" s="6"/>
      <c r="B895" s="33"/>
      <c r="C895" s="35"/>
      <c r="E895" s="39"/>
      <c r="G895" s="40"/>
      <c r="H895" s="14"/>
      <c r="I895" s="17"/>
      <c r="J895" s="10"/>
      <c r="M895" s="39"/>
      <c r="O895" s="39"/>
      <c r="Q895" s="39"/>
      <c r="R895" s="28"/>
      <c r="S895" s="28"/>
      <c r="T895" s="28"/>
      <c r="U895" s="4"/>
      <c r="V895" s="3"/>
      <c r="W895" s="3"/>
    </row>
    <row r="896" spans="1:23" s="5" customFormat="1">
      <c r="A896" s="6"/>
      <c r="B896" s="33"/>
      <c r="C896" s="35"/>
      <c r="E896" s="39"/>
      <c r="G896" s="40"/>
      <c r="H896" s="15"/>
      <c r="I896" s="17"/>
      <c r="J896" s="10"/>
      <c r="M896" s="39"/>
      <c r="O896" s="39"/>
      <c r="Q896" s="39"/>
      <c r="R896" s="28"/>
      <c r="S896" s="28"/>
      <c r="T896" s="28"/>
      <c r="U896" s="4"/>
      <c r="V896" s="3"/>
      <c r="W896" s="3"/>
    </row>
    <row r="897" spans="1:23" s="5" customFormat="1">
      <c r="A897" s="6"/>
      <c r="B897" s="33"/>
      <c r="C897" s="35"/>
      <c r="E897" s="39"/>
      <c r="G897" s="40"/>
      <c r="H897" s="15"/>
      <c r="I897" s="17"/>
      <c r="J897" s="10"/>
      <c r="M897" s="39"/>
      <c r="O897" s="39"/>
      <c r="Q897" s="39"/>
      <c r="R897" s="28"/>
      <c r="S897" s="28"/>
      <c r="T897" s="28"/>
      <c r="U897" s="4"/>
      <c r="V897" s="3"/>
      <c r="W897" s="3"/>
    </row>
    <row r="898" spans="1:23" s="5" customFormat="1">
      <c r="A898" s="6"/>
      <c r="B898" s="33"/>
      <c r="C898" s="35"/>
      <c r="E898" s="39"/>
      <c r="G898" s="40"/>
      <c r="H898" s="15"/>
      <c r="I898" s="17"/>
      <c r="J898" s="10"/>
      <c r="M898" s="39"/>
      <c r="O898" s="39"/>
      <c r="Q898" s="39"/>
      <c r="R898" s="28"/>
      <c r="S898" s="28"/>
      <c r="T898" s="28"/>
      <c r="U898" s="4"/>
      <c r="V898" s="3"/>
      <c r="W898" s="3"/>
    </row>
    <row r="899" spans="1:23" s="5" customFormat="1">
      <c r="A899" s="6"/>
      <c r="B899" s="33"/>
      <c r="C899" s="35"/>
      <c r="E899" s="39"/>
      <c r="G899" s="40"/>
      <c r="H899" s="15"/>
      <c r="I899" s="17"/>
      <c r="J899" s="10"/>
      <c r="M899" s="39"/>
      <c r="O899" s="39"/>
      <c r="Q899" s="39"/>
      <c r="R899" s="28"/>
      <c r="S899" s="28"/>
      <c r="T899" s="28"/>
      <c r="U899" s="4"/>
      <c r="V899" s="3"/>
      <c r="W899" s="3"/>
    </row>
    <row r="900" spans="1:23" s="5" customFormat="1">
      <c r="A900" s="6"/>
      <c r="B900" s="33"/>
      <c r="C900" s="35"/>
      <c r="E900" s="39"/>
      <c r="G900" s="40"/>
      <c r="H900" s="14"/>
      <c r="I900" s="17"/>
      <c r="J900" s="10"/>
      <c r="M900" s="39"/>
      <c r="O900" s="39"/>
      <c r="Q900" s="39"/>
      <c r="R900" s="28"/>
      <c r="S900" s="28"/>
      <c r="T900" s="28"/>
      <c r="U900" s="4"/>
      <c r="V900" s="3"/>
      <c r="W900" s="3"/>
    </row>
    <row r="901" spans="1:23" s="5" customFormat="1">
      <c r="A901" s="6"/>
      <c r="B901" s="33"/>
      <c r="C901" s="35"/>
      <c r="E901" s="39"/>
      <c r="G901" s="40"/>
      <c r="H901" s="14"/>
      <c r="I901" s="17"/>
      <c r="J901" s="10"/>
      <c r="M901" s="39"/>
      <c r="O901" s="39"/>
      <c r="Q901" s="39"/>
      <c r="R901" s="28"/>
      <c r="S901" s="28"/>
      <c r="T901" s="28"/>
      <c r="U901" s="4"/>
      <c r="V901" s="3"/>
      <c r="W901" s="3"/>
    </row>
    <row r="902" spans="1:23" s="5" customFormat="1">
      <c r="A902" s="6"/>
      <c r="B902" s="33"/>
      <c r="C902" s="35"/>
      <c r="E902" s="39"/>
      <c r="G902" s="40"/>
      <c r="H902" s="15"/>
      <c r="I902" s="17"/>
      <c r="J902" s="10"/>
      <c r="M902" s="39"/>
      <c r="O902" s="39"/>
      <c r="Q902" s="39"/>
      <c r="R902" s="28"/>
      <c r="S902" s="28"/>
      <c r="T902" s="28"/>
      <c r="U902" s="4"/>
      <c r="V902" s="3"/>
      <c r="W902" s="3"/>
    </row>
    <row r="903" spans="1:23" s="5" customFormat="1">
      <c r="A903" s="6"/>
      <c r="B903" s="33"/>
      <c r="C903" s="35"/>
      <c r="E903" s="39"/>
      <c r="G903" s="40"/>
      <c r="H903" s="15"/>
      <c r="I903" s="17"/>
      <c r="J903" s="10"/>
      <c r="M903" s="39"/>
      <c r="O903" s="39"/>
      <c r="Q903" s="39"/>
      <c r="R903" s="28"/>
      <c r="S903" s="28"/>
      <c r="T903" s="28"/>
      <c r="U903" s="4"/>
      <c r="V903" s="3"/>
      <c r="W903" s="3"/>
    </row>
    <row r="904" spans="1:23" s="5" customFormat="1">
      <c r="A904" s="6"/>
      <c r="B904" s="33"/>
      <c r="C904" s="35"/>
      <c r="E904" s="39"/>
      <c r="G904" s="40"/>
      <c r="H904" s="15"/>
      <c r="I904" s="17"/>
      <c r="J904" s="10"/>
      <c r="M904" s="39"/>
      <c r="O904" s="39"/>
      <c r="Q904" s="39"/>
      <c r="R904" s="28"/>
      <c r="S904" s="28"/>
      <c r="T904" s="28"/>
      <c r="U904" s="4"/>
      <c r="V904" s="3"/>
      <c r="W904" s="3"/>
    </row>
    <row r="905" spans="1:23" s="5" customFormat="1">
      <c r="A905" s="6"/>
      <c r="B905" s="33"/>
      <c r="C905" s="35"/>
      <c r="E905" s="39"/>
      <c r="G905" s="40"/>
      <c r="H905" s="15"/>
      <c r="I905" s="17"/>
      <c r="J905" s="10"/>
      <c r="M905" s="39"/>
      <c r="O905" s="39"/>
      <c r="Q905" s="39"/>
      <c r="R905" s="28"/>
      <c r="S905" s="28"/>
      <c r="T905" s="28"/>
      <c r="U905" s="4"/>
      <c r="V905" s="3"/>
      <c r="W905" s="3"/>
    </row>
    <row r="906" spans="1:23" s="5" customFormat="1">
      <c r="A906" s="6"/>
      <c r="B906" s="33"/>
      <c r="C906" s="35"/>
      <c r="E906" s="39"/>
      <c r="G906" s="40"/>
      <c r="H906" s="14"/>
      <c r="I906" s="17"/>
      <c r="J906" s="10"/>
      <c r="M906" s="39"/>
      <c r="O906" s="39"/>
      <c r="Q906" s="39"/>
      <c r="R906" s="28"/>
      <c r="S906" s="28"/>
      <c r="T906" s="28"/>
      <c r="U906" s="4"/>
      <c r="V906" s="3"/>
      <c r="W906" s="3"/>
    </row>
    <row r="907" spans="1:23" s="5" customFormat="1">
      <c r="A907" s="6"/>
      <c r="B907" s="33"/>
      <c r="C907" s="35"/>
      <c r="E907" s="39"/>
      <c r="G907" s="40"/>
      <c r="H907" s="15"/>
      <c r="I907" s="17"/>
      <c r="J907" s="10"/>
      <c r="M907" s="39"/>
      <c r="O907" s="39"/>
      <c r="Q907" s="39"/>
      <c r="R907" s="28"/>
      <c r="S907" s="28"/>
      <c r="T907" s="28"/>
      <c r="U907" s="4"/>
      <c r="V907" s="3"/>
      <c r="W907" s="3"/>
    </row>
    <row r="908" spans="1:23" s="5" customFormat="1">
      <c r="A908" s="6"/>
      <c r="B908" s="33"/>
      <c r="C908" s="35"/>
      <c r="E908" s="39"/>
      <c r="G908" s="40"/>
      <c r="H908" s="14"/>
      <c r="I908" s="17"/>
      <c r="J908" s="10"/>
      <c r="M908" s="39"/>
      <c r="O908" s="39"/>
      <c r="Q908" s="39"/>
      <c r="R908" s="28"/>
      <c r="S908" s="28"/>
      <c r="T908" s="28"/>
      <c r="U908" s="4"/>
      <c r="V908" s="3"/>
      <c r="W908" s="3"/>
    </row>
    <row r="909" spans="1:23" s="5" customFormat="1">
      <c r="A909" s="6"/>
      <c r="B909" s="33"/>
      <c r="C909" s="35"/>
      <c r="E909" s="39"/>
      <c r="G909" s="40"/>
      <c r="H909" s="15"/>
      <c r="I909" s="17"/>
      <c r="J909" s="10"/>
      <c r="M909" s="39"/>
      <c r="O909" s="39"/>
      <c r="Q909" s="39"/>
      <c r="R909" s="28"/>
      <c r="S909" s="28"/>
      <c r="T909" s="28"/>
      <c r="U909" s="4"/>
      <c r="V909" s="3"/>
      <c r="W909" s="3"/>
    </row>
    <row r="910" spans="1:23" s="5" customFormat="1">
      <c r="A910" s="6"/>
      <c r="B910" s="33"/>
      <c r="C910" s="35"/>
      <c r="E910" s="39"/>
      <c r="G910" s="40"/>
      <c r="H910" s="15"/>
      <c r="I910" s="17"/>
      <c r="J910" s="10"/>
      <c r="M910" s="39"/>
      <c r="O910" s="39"/>
      <c r="Q910" s="39"/>
      <c r="R910" s="28"/>
      <c r="S910" s="28"/>
      <c r="T910" s="28"/>
      <c r="U910" s="4"/>
      <c r="V910" s="3"/>
      <c r="W910" s="3"/>
    </row>
    <row r="911" spans="1:23" s="5" customFormat="1">
      <c r="A911" s="6"/>
      <c r="B911" s="33"/>
      <c r="C911" s="35"/>
      <c r="E911" s="39"/>
      <c r="G911" s="40"/>
      <c r="H911" s="14"/>
      <c r="I911" s="17"/>
      <c r="J911" s="10"/>
      <c r="M911" s="39"/>
      <c r="O911" s="39"/>
      <c r="Q911" s="39"/>
      <c r="R911" s="28"/>
      <c r="S911" s="28"/>
      <c r="T911" s="28"/>
      <c r="U911" s="4"/>
      <c r="V911" s="3"/>
      <c r="W911" s="3"/>
    </row>
    <row r="912" spans="1:23" s="5" customFormat="1">
      <c r="A912" s="6"/>
      <c r="B912" s="33"/>
      <c r="C912" s="35"/>
      <c r="E912" s="39"/>
      <c r="G912" s="40"/>
      <c r="H912" s="15"/>
      <c r="I912" s="17"/>
      <c r="J912" s="10"/>
      <c r="M912" s="39"/>
      <c r="O912" s="39"/>
      <c r="Q912" s="39"/>
      <c r="R912" s="28"/>
      <c r="S912" s="28"/>
      <c r="T912" s="28"/>
      <c r="U912" s="4"/>
      <c r="V912" s="3"/>
      <c r="W912" s="3"/>
    </row>
    <row r="913" spans="1:23" s="5" customFormat="1">
      <c r="A913" s="6"/>
      <c r="B913" s="33"/>
      <c r="C913" s="35"/>
      <c r="E913" s="39"/>
      <c r="G913" s="40"/>
      <c r="H913" s="14"/>
      <c r="I913" s="17"/>
      <c r="J913" s="10"/>
      <c r="M913" s="39"/>
      <c r="O913" s="39"/>
      <c r="Q913" s="39"/>
      <c r="R913" s="28"/>
      <c r="S913" s="28"/>
      <c r="T913" s="28"/>
      <c r="U913" s="4"/>
      <c r="V913" s="3"/>
      <c r="W913" s="3"/>
    </row>
    <row r="914" spans="1:23" s="5" customFormat="1">
      <c r="A914" s="6"/>
      <c r="B914" s="33"/>
      <c r="C914" s="35"/>
      <c r="E914" s="39"/>
      <c r="G914" s="40"/>
      <c r="H914" s="14"/>
      <c r="I914" s="17"/>
      <c r="J914" s="10"/>
      <c r="M914" s="39"/>
      <c r="O914" s="39"/>
      <c r="Q914" s="39"/>
      <c r="R914" s="28"/>
      <c r="S914" s="28"/>
      <c r="T914" s="28"/>
      <c r="U914" s="4"/>
      <c r="V914" s="3"/>
      <c r="W914" s="3"/>
    </row>
    <row r="915" spans="1:23" s="5" customFormat="1">
      <c r="A915" s="6"/>
      <c r="B915" s="33"/>
      <c r="C915" s="35"/>
      <c r="E915" s="39"/>
      <c r="G915" s="40"/>
      <c r="H915" s="15"/>
      <c r="I915" s="17"/>
      <c r="J915" s="10"/>
      <c r="M915" s="39"/>
      <c r="O915" s="39"/>
      <c r="Q915" s="39"/>
      <c r="R915" s="28"/>
      <c r="S915" s="28"/>
      <c r="T915" s="28"/>
      <c r="U915" s="4"/>
      <c r="V915" s="3"/>
      <c r="W915" s="3"/>
    </row>
    <row r="916" spans="1:23" s="5" customFormat="1">
      <c r="A916" s="6"/>
      <c r="B916" s="33"/>
      <c r="C916" s="35"/>
      <c r="E916" s="39"/>
      <c r="G916" s="40"/>
      <c r="H916" s="15"/>
      <c r="I916" s="17"/>
      <c r="J916" s="10"/>
      <c r="M916" s="39"/>
      <c r="O916" s="39"/>
      <c r="Q916" s="39"/>
      <c r="R916" s="28"/>
      <c r="S916" s="28"/>
      <c r="T916" s="28"/>
      <c r="U916" s="4"/>
      <c r="V916" s="3"/>
      <c r="W916" s="3"/>
    </row>
    <row r="917" spans="1:23" s="5" customFormat="1">
      <c r="A917" s="6"/>
      <c r="B917" s="33"/>
      <c r="C917" s="35"/>
      <c r="E917" s="39"/>
      <c r="G917" s="40"/>
      <c r="H917" s="15"/>
      <c r="I917" s="17"/>
      <c r="J917" s="10"/>
      <c r="M917" s="39"/>
      <c r="O917" s="39"/>
      <c r="Q917" s="39"/>
      <c r="R917" s="28"/>
      <c r="S917" s="28"/>
      <c r="T917" s="28"/>
      <c r="U917" s="4"/>
      <c r="V917" s="3"/>
      <c r="W917" s="3"/>
    </row>
    <row r="918" spans="1:23" s="5" customFormat="1">
      <c r="A918" s="6"/>
      <c r="B918" s="33"/>
      <c r="C918" s="35"/>
      <c r="E918" s="39"/>
      <c r="G918" s="40"/>
      <c r="H918" s="15"/>
      <c r="I918" s="17"/>
      <c r="J918" s="10"/>
      <c r="M918" s="39"/>
      <c r="O918" s="39"/>
      <c r="Q918" s="39"/>
      <c r="R918" s="28"/>
      <c r="S918" s="28"/>
      <c r="T918" s="28"/>
      <c r="U918" s="4"/>
      <c r="V918" s="3"/>
      <c r="W918" s="3"/>
    </row>
    <row r="919" spans="1:23" s="5" customFormat="1">
      <c r="A919" s="6"/>
      <c r="B919" s="33"/>
      <c r="C919" s="35"/>
      <c r="E919" s="39"/>
      <c r="G919" s="40"/>
      <c r="H919" s="15"/>
      <c r="I919" s="17"/>
      <c r="J919" s="10"/>
      <c r="M919" s="39"/>
      <c r="O919" s="39"/>
      <c r="Q919" s="39"/>
      <c r="R919" s="28"/>
      <c r="S919" s="28"/>
      <c r="T919" s="28"/>
      <c r="U919" s="4"/>
      <c r="V919" s="3"/>
      <c r="W919" s="3"/>
    </row>
    <row r="920" spans="1:23" s="5" customFormat="1">
      <c r="A920" s="20"/>
      <c r="B920" s="33"/>
      <c r="C920" s="35"/>
      <c r="E920" s="39"/>
      <c r="F920" s="1"/>
      <c r="G920" s="40"/>
      <c r="H920" s="12"/>
      <c r="I920" s="9"/>
      <c r="J920" s="12"/>
      <c r="M920" s="39"/>
      <c r="O920" s="39"/>
      <c r="Q920" s="39"/>
      <c r="R920" s="29"/>
      <c r="S920" s="28"/>
      <c r="T920" s="28"/>
      <c r="U920" s="4"/>
      <c r="V920" s="3"/>
      <c r="W920" s="3"/>
    </row>
    <row r="921" spans="1:23" s="5" customFormat="1">
      <c r="A921" s="6"/>
      <c r="B921" s="33"/>
      <c r="C921" s="35"/>
      <c r="E921" s="39"/>
      <c r="G921" s="40"/>
      <c r="H921" s="15"/>
      <c r="I921" s="17"/>
      <c r="J921" s="10"/>
      <c r="M921" s="39"/>
      <c r="O921" s="39"/>
      <c r="Q921" s="39"/>
      <c r="R921" s="28"/>
      <c r="S921" s="28"/>
      <c r="T921" s="28"/>
      <c r="U921" s="4"/>
      <c r="V921" s="3"/>
      <c r="W921" s="3"/>
    </row>
    <row r="922" spans="1:23" s="5" customFormat="1">
      <c r="A922" s="6"/>
      <c r="B922" s="33"/>
      <c r="C922" s="35"/>
      <c r="E922" s="39"/>
      <c r="G922" s="40"/>
      <c r="H922" s="15"/>
      <c r="I922" s="17"/>
      <c r="J922" s="10"/>
      <c r="M922" s="39"/>
      <c r="O922" s="39"/>
      <c r="Q922" s="39"/>
      <c r="R922" s="28"/>
      <c r="S922" s="28"/>
      <c r="T922" s="28"/>
      <c r="U922" s="4"/>
      <c r="V922" s="3"/>
      <c r="W922" s="3"/>
    </row>
    <row r="923" spans="1:23" s="5" customFormat="1">
      <c r="A923" s="6"/>
      <c r="B923" s="33"/>
      <c r="C923" s="35"/>
      <c r="E923" s="39"/>
      <c r="G923" s="40"/>
      <c r="H923" s="14"/>
      <c r="I923" s="17"/>
      <c r="J923" s="10"/>
      <c r="M923" s="39"/>
      <c r="O923" s="39"/>
      <c r="Q923" s="39"/>
      <c r="R923" s="28"/>
      <c r="S923" s="28"/>
      <c r="T923" s="28"/>
      <c r="U923" s="4"/>
      <c r="V923" s="3"/>
      <c r="W923" s="3"/>
    </row>
    <row r="924" spans="1:23" s="5" customFormat="1">
      <c r="A924" s="6"/>
      <c r="B924" s="33"/>
      <c r="C924" s="35"/>
      <c r="E924" s="39"/>
      <c r="G924" s="40"/>
      <c r="H924" s="15"/>
      <c r="I924" s="17"/>
      <c r="J924" s="10"/>
      <c r="M924" s="39"/>
      <c r="O924" s="39"/>
      <c r="Q924" s="39"/>
      <c r="R924" s="28"/>
      <c r="S924" s="28"/>
      <c r="T924" s="28"/>
      <c r="U924" s="4"/>
      <c r="V924" s="3"/>
      <c r="W924" s="3"/>
    </row>
    <row r="925" spans="1:23" s="5" customFormat="1">
      <c r="A925" s="6"/>
      <c r="B925" s="33"/>
      <c r="C925" s="35"/>
      <c r="E925" s="39"/>
      <c r="G925" s="40"/>
      <c r="H925" s="15"/>
      <c r="I925" s="17"/>
      <c r="J925" s="10"/>
      <c r="M925" s="39"/>
      <c r="O925" s="39"/>
      <c r="Q925" s="39"/>
      <c r="R925" s="28"/>
      <c r="S925" s="28"/>
      <c r="T925" s="28"/>
      <c r="U925" s="4"/>
      <c r="V925" s="3"/>
      <c r="W925" s="3"/>
    </row>
    <row r="926" spans="1:23" s="5" customFormat="1">
      <c r="A926" s="6"/>
      <c r="B926" s="33"/>
      <c r="C926" s="35"/>
      <c r="E926" s="39"/>
      <c r="G926" s="40"/>
      <c r="H926" s="15"/>
      <c r="I926" s="17"/>
      <c r="J926" s="10"/>
      <c r="M926" s="39"/>
      <c r="O926" s="39"/>
      <c r="Q926" s="39"/>
      <c r="R926" s="28"/>
      <c r="S926" s="28"/>
      <c r="T926" s="28"/>
      <c r="U926" s="4"/>
      <c r="V926" s="3"/>
      <c r="W926" s="3"/>
    </row>
    <row r="927" spans="1:23" s="5" customFormat="1">
      <c r="A927" s="6"/>
      <c r="B927" s="33"/>
      <c r="C927" s="35"/>
      <c r="E927" s="39"/>
      <c r="G927" s="40"/>
      <c r="H927" s="15"/>
      <c r="I927" s="17"/>
      <c r="J927" s="10"/>
      <c r="M927" s="39"/>
      <c r="O927" s="39"/>
      <c r="Q927" s="39"/>
      <c r="R927" s="28"/>
      <c r="S927" s="28"/>
      <c r="T927" s="28"/>
      <c r="U927" s="4"/>
      <c r="V927" s="3"/>
      <c r="W927" s="3"/>
    </row>
    <row r="928" spans="1:23" s="5" customFormat="1">
      <c r="A928" s="6"/>
      <c r="B928" s="33"/>
      <c r="C928" s="35"/>
      <c r="E928" s="39"/>
      <c r="G928" s="40"/>
      <c r="H928" s="14"/>
      <c r="I928" s="17"/>
      <c r="J928" s="10"/>
      <c r="M928" s="39"/>
      <c r="O928" s="39"/>
      <c r="Q928" s="39"/>
      <c r="R928" s="28"/>
      <c r="S928" s="28"/>
      <c r="T928" s="28"/>
      <c r="U928" s="4"/>
      <c r="V928" s="3"/>
      <c r="W928" s="3"/>
    </row>
    <row r="929" spans="1:23" s="5" customFormat="1">
      <c r="A929" s="6"/>
      <c r="B929" s="33"/>
      <c r="C929" s="35"/>
      <c r="E929" s="39"/>
      <c r="G929" s="40"/>
      <c r="H929" s="15"/>
      <c r="I929" s="17"/>
      <c r="J929" s="10"/>
      <c r="M929" s="39"/>
      <c r="O929" s="39"/>
      <c r="Q929" s="39"/>
      <c r="R929" s="28"/>
      <c r="S929" s="28"/>
      <c r="T929" s="28"/>
      <c r="U929" s="4"/>
      <c r="V929" s="3"/>
      <c r="W929" s="3"/>
    </row>
    <row r="930" spans="1:23" s="5" customFormat="1">
      <c r="A930" s="6"/>
      <c r="B930" s="33"/>
      <c r="C930" s="35"/>
      <c r="E930" s="39"/>
      <c r="G930" s="40"/>
      <c r="H930" s="15"/>
      <c r="I930" s="17"/>
      <c r="J930" s="10"/>
      <c r="M930" s="39"/>
      <c r="O930" s="39"/>
      <c r="Q930" s="39"/>
      <c r="R930" s="28"/>
      <c r="S930" s="28"/>
      <c r="T930" s="28"/>
      <c r="U930" s="4"/>
      <c r="V930" s="3"/>
      <c r="W930" s="3"/>
    </row>
    <row r="931" spans="1:23" s="5" customFormat="1">
      <c r="A931" s="6"/>
      <c r="B931" s="33"/>
      <c r="C931" s="35"/>
      <c r="E931" s="39"/>
      <c r="G931" s="40"/>
      <c r="H931" s="15"/>
      <c r="I931" s="17"/>
      <c r="J931" s="10"/>
      <c r="M931" s="39"/>
      <c r="O931" s="39"/>
      <c r="Q931" s="39"/>
      <c r="R931" s="28"/>
      <c r="S931" s="28"/>
      <c r="T931" s="28"/>
      <c r="U931" s="4"/>
      <c r="V931" s="3"/>
      <c r="W931" s="3"/>
    </row>
    <row r="932" spans="1:23" s="5" customFormat="1">
      <c r="A932" s="6"/>
      <c r="B932" s="33"/>
      <c r="C932" s="35"/>
      <c r="E932" s="39"/>
      <c r="G932" s="40"/>
      <c r="H932" s="15"/>
      <c r="I932" s="17"/>
      <c r="J932" s="10"/>
      <c r="M932" s="39"/>
      <c r="O932" s="39"/>
      <c r="Q932" s="39"/>
      <c r="R932" s="28"/>
      <c r="S932" s="28"/>
      <c r="T932" s="28"/>
      <c r="U932" s="4"/>
      <c r="V932" s="3"/>
      <c r="W932" s="3"/>
    </row>
    <row r="933" spans="1:23" s="5" customFormat="1">
      <c r="A933" s="6"/>
      <c r="B933" s="33"/>
      <c r="C933" s="35"/>
      <c r="E933" s="39"/>
      <c r="G933" s="40"/>
      <c r="H933" s="15"/>
      <c r="I933" s="17"/>
      <c r="J933" s="10"/>
      <c r="M933" s="39"/>
      <c r="O933" s="39"/>
      <c r="Q933" s="39"/>
      <c r="R933" s="28"/>
      <c r="S933" s="28"/>
      <c r="T933" s="28"/>
      <c r="U933" s="4"/>
      <c r="V933" s="3"/>
      <c r="W933" s="3"/>
    </row>
    <row r="934" spans="1:23" s="5" customFormat="1">
      <c r="A934" s="6"/>
      <c r="B934" s="33"/>
      <c r="C934" s="35"/>
      <c r="E934" s="39"/>
      <c r="G934" s="40"/>
      <c r="H934" s="15"/>
      <c r="I934" s="17"/>
      <c r="J934" s="10"/>
      <c r="M934" s="39"/>
      <c r="O934" s="39"/>
      <c r="Q934" s="39"/>
      <c r="R934" s="28"/>
      <c r="S934" s="28"/>
      <c r="T934" s="28"/>
      <c r="U934" s="4"/>
      <c r="V934" s="3"/>
      <c r="W934" s="3"/>
    </row>
    <row r="935" spans="1:23" s="5" customFormat="1">
      <c r="A935" s="6"/>
      <c r="B935" s="33"/>
      <c r="C935" s="35"/>
      <c r="E935" s="39"/>
      <c r="G935" s="40"/>
      <c r="H935" s="15"/>
      <c r="I935" s="17"/>
      <c r="J935" s="10"/>
      <c r="M935" s="39"/>
      <c r="O935" s="39"/>
      <c r="Q935" s="39"/>
      <c r="R935" s="28"/>
      <c r="S935" s="28"/>
      <c r="T935" s="28"/>
      <c r="U935" s="4"/>
      <c r="V935" s="3"/>
      <c r="W935" s="3"/>
    </row>
    <row r="936" spans="1:23" s="5" customFormat="1">
      <c r="A936" s="6"/>
      <c r="B936" s="33"/>
      <c r="C936" s="35"/>
      <c r="E936" s="39"/>
      <c r="G936" s="40"/>
      <c r="H936" s="15"/>
      <c r="I936" s="17"/>
      <c r="J936" s="10"/>
      <c r="M936" s="39"/>
      <c r="O936" s="39"/>
      <c r="Q936" s="39"/>
      <c r="R936" s="28"/>
      <c r="S936" s="28"/>
      <c r="T936" s="28"/>
      <c r="U936" s="4"/>
      <c r="V936" s="3"/>
      <c r="W936" s="3"/>
    </row>
    <row r="937" spans="1:23" s="5" customFormat="1">
      <c r="A937" s="6"/>
      <c r="B937" s="33"/>
      <c r="C937" s="35"/>
      <c r="E937" s="39"/>
      <c r="G937" s="40"/>
      <c r="H937" s="15"/>
      <c r="I937" s="17"/>
      <c r="J937" s="10"/>
      <c r="M937" s="39"/>
      <c r="O937" s="39"/>
      <c r="Q937" s="39"/>
      <c r="R937" s="28"/>
      <c r="S937" s="28"/>
      <c r="T937" s="28"/>
      <c r="U937" s="4"/>
      <c r="V937" s="3"/>
      <c r="W937" s="3"/>
    </row>
    <row r="938" spans="1:23" s="5" customFormat="1">
      <c r="A938" s="6"/>
      <c r="B938" s="33"/>
      <c r="C938" s="35"/>
      <c r="E938" s="39"/>
      <c r="G938" s="40"/>
      <c r="H938" s="15"/>
      <c r="I938" s="17"/>
      <c r="J938" s="10"/>
      <c r="M938" s="39"/>
      <c r="O938" s="39"/>
      <c r="Q938" s="39"/>
      <c r="R938" s="28"/>
      <c r="S938" s="28"/>
      <c r="T938" s="28"/>
      <c r="U938" s="4"/>
      <c r="V938" s="3"/>
      <c r="W938" s="3"/>
    </row>
    <row r="939" spans="1:23" s="5" customFormat="1">
      <c r="A939" s="6"/>
      <c r="B939" s="33"/>
      <c r="C939" s="35"/>
      <c r="E939" s="39"/>
      <c r="G939" s="40"/>
      <c r="H939" s="15"/>
      <c r="I939" s="17"/>
      <c r="J939" s="10"/>
      <c r="M939" s="39"/>
      <c r="O939" s="39"/>
      <c r="Q939" s="39"/>
      <c r="R939" s="28"/>
      <c r="S939" s="28"/>
      <c r="T939" s="28"/>
      <c r="U939" s="4"/>
      <c r="V939" s="3"/>
      <c r="W939" s="3"/>
    </row>
    <row r="940" spans="1:23" s="5" customFormat="1">
      <c r="A940" s="6"/>
      <c r="B940" s="33"/>
      <c r="C940" s="35"/>
      <c r="E940" s="39"/>
      <c r="G940" s="40"/>
      <c r="H940" s="15"/>
      <c r="I940" s="17"/>
      <c r="J940" s="10"/>
      <c r="M940" s="39"/>
      <c r="O940" s="39"/>
      <c r="Q940" s="39"/>
      <c r="R940" s="28"/>
      <c r="S940" s="28"/>
      <c r="T940" s="28"/>
      <c r="U940" s="4"/>
      <c r="V940" s="3"/>
      <c r="W940" s="3"/>
    </row>
    <row r="941" spans="1:23" s="5" customFormat="1">
      <c r="A941" s="6"/>
      <c r="B941" s="33"/>
      <c r="C941" s="35"/>
      <c r="E941" s="39"/>
      <c r="G941" s="40"/>
      <c r="H941" s="15"/>
      <c r="I941" s="17"/>
      <c r="J941" s="10"/>
      <c r="M941" s="39"/>
      <c r="O941" s="39"/>
      <c r="Q941" s="39"/>
      <c r="R941" s="28"/>
      <c r="S941" s="28"/>
      <c r="T941" s="28"/>
      <c r="U941" s="4"/>
      <c r="V941" s="3"/>
      <c r="W941" s="3"/>
    </row>
    <row r="942" spans="1:23" s="5" customFormat="1">
      <c r="A942" s="6"/>
      <c r="B942" s="33"/>
      <c r="C942" s="35"/>
      <c r="E942" s="39"/>
      <c r="G942" s="40"/>
      <c r="H942" s="15"/>
      <c r="I942" s="17"/>
      <c r="J942" s="10"/>
      <c r="M942" s="39"/>
      <c r="O942" s="39"/>
      <c r="Q942" s="39"/>
      <c r="R942" s="28"/>
      <c r="S942" s="28"/>
      <c r="T942" s="28"/>
      <c r="U942" s="4"/>
      <c r="V942" s="3"/>
      <c r="W942" s="3"/>
    </row>
    <row r="943" spans="1:23" s="5" customFormat="1">
      <c r="A943" s="6"/>
      <c r="B943" s="33"/>
      <c r="C943" s="35"/>
      <c r="E943" s="39"/>
      <c r="G943" s="40"/>
      <c r="H943" s="14"/>
      <c r="I943" s="17"/>
      <c r="J943" s="10"/>
      <c r="M943" s="39"/>
      <c r="O943" s="39"/>
      <c r="Q943" s="39"/>
      <c r="R943" s="28"/>
      <c r="S943" s="28"/>
      <c r="T943" s="28"/>
      <c r="U943" s="4"/>
      <c r="V943" s="3"/>
      <c r="W943" s="3"/>
    </row>
    <row r="944" spans="1:23" s="5" customFormat="1">
      <c r="A944" s="6"/>
      <c r="B944" s="33"/>
      <c r="C944" s="35"/>
      <c r="E944" s="39"/>
      <c r="G944" s="40"/>
      <c r="H944" s="15"/>
      <c r="I944" s="17"/>
      <c r="J944" s="10"/>
      <c r="M944" s="39"/>
      <c r="O944" s="39"/>
      <c r="Q944" s="39"/>
      <c r="R944" s="28"/>
      <c r="S944" s="28"/>
      <c r="T944" s="28"/>
      <c r="U944" s="4"/>
      <c r="V944" s="3"/>
      <c r="W944" s="3"/>
    </row>
    <row r="945" spans="1:23" s="5" customFormat="1">
      <c r="A945" s="6"/>
      <c r="B945" s="33"/>
      <c r="C945" s="35"/>
      <c r="E945" s="39"/>
      <c r="G945" s="40"/>
      <c r="H945" s="14"/>
      <c r="I945" s="17"/>
      <c r="J945" s="10"/>
      <c r="M945" s="39"/>
      <c r="O945" s="39"/>
      <c r="Q945" s="39"/>
      <c r="R945" s="28"/>
      <c r="S945" s="28"/>
      <c r="T945" s="28"/>
      <c r="U945" s="4"/>
      <c r="V945" s="3"/>
      <c r="W945" s="3"/>
    </row>
    <row r="946" spans="1:23" s="5" customFormat="1">
      <c r="A946" s="6"/>
      <c r="B946" s="33"/>
      <c r="C946" s="35"/>
      <c r="E946" s="39"/>
      <c r="G946" s="40"/>
      <c r="H946" s="15"/>
      <c r="I946" s="17"/>
      <c r="J946" s="10"/>
      <c r="M946" s="39"/>
      <c r="O946" s="39"/>
      <c r="Q946" s="39"/>
      <c r="R946" s="28"/>
      <c r="S946" s="28"/>
      <c r="T946" s="28"/>
      <c r="U946" s="4"/>
      <c r="V946" s="3"/>
      <c r="W946" s="3"/>
    </row>
    <row r="947" spans="1:23" s="5" customFormat="1">
      <c r="A947" s="6"/>
      <c r="B947" s="33"/>
      <c r="C947" s="35"/>
      <c r="E947" s="39"/>
      <c r="G947" s="40"/>
      <c r="H947" s="14"/>
      <c r="I947" s="17"/>
      <c r="J947" s="10"/>
      <c r="M947" s="39"/>
      <c r="O947" s="39"/>
      <c r="Q947" s="39"/>
      <c r="R947" s="28"/>
      <c r="S947" s="28"/>
      <c r="T947" s="28"/>
      <c r="U947" s="4"/>
      <c r="V947" s="3"/>
      <c r="W947" s="3"/>
    </row>
    <row r="948" spans="1:23" s="5" customFormat="1">
      <c r="A948" s="6"/>
      <c r="B948" s="33"/>
      <c r="C948" s="35"/>
      <c r="E948" s="39"/>
      <c r="G948" s="40"/>
      <c r="H948" s="14"/>
      <c r="I948" s="17"/>
      <c r="J948" s="10"/>
      <c r="M948" s="39"/>
      <c r="O948" s="39"/>
      <c r="Q948" s="39"/>
      <c r="R948" s="28"/>
      <c r="S948" s="28"/>
      <c r="T948" s="28"/>
      <c r="U948" s="4"/>
      <c r="V948" s="3"/>
      <c r="W948" s="3"/>
    </row>
    <row r="949" spans="1:23" s="5" customFormat="1">
      <c r="A949" s="6"/>
      <c r="B949" s="33"/>
      <c r="C949" s="35"/>
      <c r="E949" s="39"/>
      <c r="G949" s="40"/>
      <c r="H949" s="15"/>
      <c r="I949" s="17"/>
      <c r="J949" s="10"/>
      <c r="M949" s="39"/>
      <c r="O949" s="39"/>
      <c r="Q949" s="39"/>
      <c r="R949" s="28"/>
      <c r="S949" s="28"/>
      <c r="T949" s="28"/>
      <c r="U949" s="4"/>
      <c r="V949" s="3"/>
      <c r="W949" s="3"/>
    </row>
    <row r="950" spans="1:23" s="5" customFormat="1">
      <c r="A950" s="6"/>
      <c r="B950" s="33"/>
      <c r="C950" s="35"/>
      <c r="E950" s="39"/>
      <c r="G950" s="40"/>
      <c r="H950" s="15"/>
      <c r="I950" s="17"/>
      <c r="J950" s="10"/>
      <c r="M950" s="39"/>
      <c r="O950" s="39"/>
      <c r="Q950" s="39"/>
      <c r="R950" s="28"/>
      <c r="S950" s="28"/>
      <c r="T950" s="28"/>
      <c r="U950" s="4"/>
      <c r="V950" s="3"/>
      <c r="W950" s="3"/>
    </row>
    <row r="951" spans="1:23" s="5" customFormat="1">
      <c r="A951" s="6"/>
      <c r="B951" s="33"/>
      <c r="C951" s="35"/>
      <c r="E951" s="39"/>
      <c r="G951" s="40"/>
      <c r="H951" s="15"/>
      <c r="I951" s="17"/>
      <c r="J951" s="10"/>
      <c r="M951" s="39"/>
      <c r="O951" s="39"/>
      <c r="Q951" s="39"/>
      <c r="R951" s="28"/>
      <c r="S951" s="28"/>
      <c r="T951" s="28"/>
      <c r="U951" s="4"/>
      <c r="V951" s="3"/>
      <c r="W951" s="3"/>
    </row>
    <row r="952" spans="1:23" s="5" customFormat="1">
      <c r="A952" s="6"/>
      <c r="B952" s="33"/>
      <c r="C952" s="35"/>
      <c r="E952" s="39"/>
      <c r="G952" s="40"/>
      <c r="H952" s="15"/>
      <c r="I952" s="17"/>
      <c r="J952" s="10"/>
      <c r="M952" s="39"/>
      <c r="O952" s="39"/>
      <c r="Q952" s="39"/>
      <c r="R952" s="28"/>
      <c r="S952" s="28"/>
      <c r="T952" s="28"/>
      <c r="U952" s="4"/>
      <c r="V952" s="3"/>
      <c r="W952" s="3"/>
    </row>
    <row r="953" spans="1:23" s="5" customFormat="1">
      <c r="A953" s="6"/>
      <c r="B953" s="33"/>
      <c r="C953" s="35"/>
      <c r="E953" s="39"/>
      <c r="G953" s="40"/>
      <c r="H953" s="15"/>
      <c r="I953" s="17"/>
      <c r="J953" s="10"/>
      <c r="M953" s="39"/>
      <c r="O953" s="39"/>
      <c r="Q953" s="39"/>
      <c r="R953" s="28"/>
      <c r="S953" s="28"/>
      <c r="T953" s="28"/>
      <c r="U953" s="4"/>
      <c r="V953" s="3"/>
      <c r="W953" s="3"/>
    </row>
    <row r="954" spans="1:23" s="5" customFormat="1">
      <c r="A954" s="6"/>
      <c r="B954" s="33"/>
      <c r="C954" s="35"/>
      <c r="E954" s="39"/>
      <c r="G954" s="40"/>
      <c r="H954" s="15"/>
      <c r="I954" s="17"/>
      <c r="J954" s="10"/>
      <c r="M954" s="39"/>
      <c r="O954" s="39"/>
      <c r="Q954" s="39"/>
      <c r="R954" s="28"/>
      <c r="S954" s="28"/>
      <c r="T954" s="28"/>
      <c r="U954" s="4"/>
      <c r="V954" s="3"/>
      <c r="W954" s="3"/>
    </row>
    <row r="955" spans="1:23" s="5" customFormat="1">
      <c r="A955" s="6"/>
      <c r="B955" s="33"/>
      <c r="C955" s="35"/>
      <c r="E955" s="39"/>
      <c r="G955" s="40"/>
      <c r="H955" s="14"/>
      <c r="I955" s="17"/>
      <c r="J955" s="10"/>
      <c r="M955" s="39"/>
      <c r="O955" s="39"/>
      <c r="Q955" s="39"/>
      <c r="R955" s="28"/>
      <c r="S955" s="28"/>
      <c r="T955" s="28"/>
      <c r="U955" s="4"/>
      <c r="V955" s="3"/>
      <c r="W955" s="3"/>
    </row>
    <row r="956" spans="1:23" s="5" customFormat="1">
      <c r="A956" s="6"/>
      <c r="B956" s="33"/>
      <c r="C956" s="35"/>
      <c r="E956" s="39"/>
      <c r="G956" s="40"/>
      <c r="H956" s="15"/>
      <c r="I956" s="17"/>
      <c r="J956" s="10"/>
      <c r="M956" s="39"/>
      <c r="O956" s="39"/>
      <c r="Q956" s="39"/>
      <c r="R956" s="28"/>
      <c r="S956" s="28"/>
      <c r="T956" s="28"/>
      <c r="U956" s="4"/>
      <c r="V956" s="3"/>
      <c r="W956" s="3"/>
    </row>
    <row r="957" spans="1:23" s="5" customFormat="1">
      <c r="A957" s="6"/>
      <c r="B957" s="33"/>
      <c r="C957" s="35"/>
      <c r="E957" s="39"/>
      <c r="G957" s="40"/>
      <c r="H957" s="15"/>
      <c r="I957" s="17"/>
      <c r="J957" s="10"/>
      <c r="M957" s="39"/>
      <c r="O957" s="39"/>
      <c r="Q957" s="39"/>
      <c r="R957" s="28"/>
      <c r="S957" s="28"/>
      <c r="T957" s="28"/>
      <c r="U957" s="4"/>
      <c r="V957" s="3"/>
      <c r="W957" s="3"/>
    </row>
    <row r="958" spans="1:23" s="5" customFormat="1">
      <c r="A958" s="6"/>
      <c r="B958" s="33"/>
      <c r="C958" s="35"/>
      <c r="E958" s="39"/>
      <c r="G958" s="40"/>
      <c r="H958" s="15"/>
      <c r="I958" s="17"/>
      <c r="J958" s="10"/>
      <c r="M958" s="39"/>
      <c r="O958" s="39"/>
      <c r="Q958" s="39"/>
      <c r="R958" s="28"/>
      <c r="S958" s="28"/>
      <c r="T958" s="28"/>
      <c r="U958" s="4"/>
      <c r="V958" s="3"/>
      <c r="W958" s="3"/>
    </row>
    <row r="959" spans="1:23" s="5" customFormat="1">
      <c r="A959" s="6"/>
      <c r="B959" s="33"/>
      <c r="C959" s="35"/>
      <c r="E959" s="39"/>
      <c r="G959" s="40"/>
      <c r="H959" s="15"/>
      <c r="I959" s="17"/>
      <c r="J959" s="10"/>
      <c r="M959" s="39"/>
      <c r="O959" s="39"/>
      <c r="Q959" s="39"/>
      <c r="R959" s="28"/>
      <c r="S959" s="28"/>
      <c r="T959" s="28"/>
      <c r="U959" s="4"/>
      <c r="V959" s="3"/>
      <c r="W959" s="3"/>
    </row>
    <row r="960" spans="1:23" s="5" customFormat="1">
      <c r="A960" s="6"/>
      <c r="B960" s="33"/>
      <c r="C960" s="35"/>
      <c r="E960" s="39"/>
      <c r="G960" s="40"/>
      <c r="H960" s="15"/>
      <c r="I960" s="17"/>
      <c r="J960" s="10"/>
      <c r="M960" s="39"/>
      <c r="O960" s="39"/>
      <c r="Q960" s="39"/>
      <c r="R960" s="28"/>
      <c r="S960" s="28"/>
      <c r="T960" s="28"/>
      <c r="U960" s="4"/>
      <c r="V960" s="3"/>
      <c r="W960" s="3"/>
    </row>
    <row r="961" spans="1:23" s="5" customFormat="1">
      <c r="A961" s="6"/>
      <c r="B961" s="33"/>
      <c r="C961" s="35"/>
      <c r="E961" s="39"/>
      <c r="G961" s="40"/>
      <c r="H961" s="15"/>
      <c r="I961" s="17"/>
      <c r="J961" s="10"/>
      <c r="M961" s="39"/>
      <c r="O961" s="39"/>
      <c r="Q961" s="39"/>
      <c r="R961" s="28"/>
      <c r="S961" s="28"/>
      <c r="T961" s="28"/>
      <c r="U961" s="4"/>
      <c r="V961" s="3"/>
      <c r="W961" s="3"/>
    </row>
    <row r="962" spans="1:23" s="5" customFormat="1">
      <c r="A962" s="6"/>
      <c r="B962" s="33"/>
      <c r="C962" s="35"/>
      <c r="E962" s="39"/>
      <c r="G962" s="40"/>
      <c r="H962" s="15"/>
      <c r="I962" s="17"/>
      <c r="J962" s="10"/>
      <c r="M962" s="39"/>
      <c r="O962" s="39"/>
      <c r="Q962" s="39"/>
      <c r="R962" s="28"/>
      <c r="S962" s="28"/>
      <c r="T962" s="28"/>
      <c r="U962" s="4"/>
      <c r="V962" s="3"/>
      <c r="W962" s="3"/>
    </row>
    <row r="963" spans="1:23" s="5" customFormat="1">
      <c r="A963" s="6"/>
      <c r="B963" s="33"/>
      <c r="C963" s="35"/>
      <c r="E963" s="39"/>
      <c r="G963" s="40"/>
      <c r="H963" s="15"/>
      <c r="I963" s="17"/>
      <c r="J963" s="10"/>
      <c r="M963" s="39"/>
      <c r="O963" s="39"/>
      <c r="Q963" s="39"/>
      <c r="R963" s="28"/>
      <c r="S963" s="28"/>
      <c r="T963" s="28"/>
      <c r="U963" s="4"/>
      <c r="V963" s="3"/>
      <c r="W963" s="3"/>
    </row>
    <row r="964" spans="1:23" s="5" customFormat="1">
      <c r="A964" s="6"/>
      <c r="B964" s="33"/>
      <c r="C964" s="35"/>
      <c r="E964" s="39"/>
      <c r="G964" s="40"/>
      <c r="H964" s="14"/>
      <c r="I964" s="17"/>
      <c r="J964" s="10"/>
      <c r="M964" s="39"/>
      <c r="O964" s="39"/>
      <c r="Q964" s="39"/>
      <c r="R964" s="28"/>
      <c r="S964" s="28"/>
      <c r="T964" s="28"/>
      <c r="U964" s="4"/>
      <c r="V964" s="3"/>
      <c r="W964" s="3"/>
    </row>
    <row r="965" spans="1:23" s="5" customFormat="1">
      <c r="A965" s="6"/>
      <c r="B965" s="33"/>
      <c r="C965" s="35"/>
      <c r="E965" s="39"/>
      <c r="G965" s="40"/>
      <c r="H965" s="15"/>
      <c r="I965" s="17"/>
      <c r="J965" s="10"/>
      <c r="M965" s="39"/>
      <c r="O965" s="39"/>
      <c r="Q965" s="39"/>
      <c r="R965" s="28"/>
      <c r="S965" s="28"/>
      <c r="T965" s="28"/>
      <c r="U965" s="4"/>
      <c r="V965" s="3"/>
      <c r="W965" s="3"/>
    </row>
    <row r="966" spans="1:23" s="5" customFormat="1">
      <c r="A966" s="6"/>
      <c r="B966" s="33"/>
      <c r="C966" s="35"/>
      <c r="E966" s="39"/>
      <c r="G966" s="40"/>
      <c r="H966" s="15"/>
      <c r="I966" s="17"/>
      <c r="J966" s="10"/>
      <c r="M966" s="39"/>
      <c r="O966" s="39"/>
      <c r="Q966" s="39"/>
      <c r="R966" s="28"/>
      <c r="S966" s="28"/>
      <c r="T966" s="28"/>
      <c r="U966" s="4"/>
      <c r="V966" s="3"/>
      <c r="W966" s="3"/>
    </row>
    <row r="967" spans="1:23" s="5" customFormat="1">
      <c r="A967" s="6"/>
      <c r="B967" s="33"/>
      <c r="C967" s="35"/>
      <c r="E967" s="39"/>
      <c r="G967" s="40"/>
      <c r="H967" s="14"/>
      <c r="I967" s="17"/>
      <c r="J967" s="10"/>
      <c r="M967" s="39"/>
      <c r="O967" s="39"/>
      <c r="Q967" s="39"/>
      <c r="R967" s="28"/>
      <c r="S967" s="29"/>
      <c r="T967" s="28"/>
      <c r="U967" s="4"/>
      <c r="V967" s="3"/>
      <c r="W967" s="3"/>
    </row>
    <row r="968" spans="1:23" s="5" customFormat="1">
      <c r="A968" s="6"/>
      <c r="B968" s="33"/>
      <c r="C968" s="35"/>
      <c r="E968" s="39"/>
      <c r="G968" s="40"/>
      <c r="H968" s="14"/>
      <c r="I968" s="17"/>
      <c r="J968" s="10"/>
      <c r="M968" s="39"/>
      <c r="O968" s="39"/>
      <c r="Q968" s="39"/>
      <c r="R968" s="28"/>
      <c r="S968" s="28"/>
      <c r="T968" s="28"/>
      <c r="U968" s="4"/>
      <c r="V968" s="3"/>
      <c r="W968" s="3"/>
    </row>
    <row r="969" spans="1:23" s="5" customFormat="1">
      <c r="A969" s="6"/>
      <c r="B969" s="33"/>
      <c r="C969" s="35"/>
      <c r="E969" s="39"/>
      <c r="G969" s="40"/>
      <c r="H969" s="14"/>
      <c r="I969" s="17"/>
      <c r="J969" s="10"/>
      <c r="M969" s="39"/>
      <c r="O969" s="39"/>
      <c r="Q969" s="39"/>
      <c r="R969" s="28"/>
      <c r="S969" s="28"/>
      <c r="T969" s="28"/>
      <c r="U969" s="4"/>
      <c r="V969" s="3"/>
      <c r="W969" s="3"/>
    </row>
    <row r="970" spans="1:23" s="5" customFormat="1">
      <c r="A970" s="6"/>
      <c r="B970" s="33"/>
      <c r="C970" s="35"/>
      <c r="E970" s="39"/>
      <c r="G970" s="40"/>
      <c r="H970" s="15"/>
      <c r="I970" s="17"/>
      <c r="J970" s="10"/>
      <c r="M970" s="39"/>
      <c r="O970" s="39"/>
      <c r="Q970" s="39"/>
      <c r="R970" s="28"/>
      <c r="S970" s="28"/>
      <c r="T970" s="28"/>
      <c r="U970" s="4"/>
      <c r="V970" s="3"/>
      <c r="W970" s="3"/>
    </row>
    <row r="971" spans="1:23" s="5" customFormat="1">
      <c r="A971" s="6"/>
      <c r="B971" s="33"/>
      <c r="C971" s="35"/>
      <c r="E971" s="39"/>
      <c r="G971" s="40"/>
      <c r="H971" s="15"/>
      <c r="I971" s="17"/>
      <c r="J971" s="10"/>
      <c r="M971" s="39"/>
      <c r="O971" s="39"/>
      <c r="Q971" s="39"/>
      <c r="R971" s="28"/>
      <c r="S971" s="28"/>
      <c r="T971" s="28"/>
      <c r="U971" s="4"/>
      <c r="V971" s="3"/>
      <c r="W971" s="3"/>
    </row>
    <row r="972" spans="1:23" s="5" customFormat="1">
      <c r="A972" s="6"/>
      <c r="B972" s="33"/>
      <c r="C972" s="35"/>
      <c r="E972" s="39"/>
      <c r="G972" s="40"/>
      <c r="H972" s="15"/>
      <c r="I972" s="17"/>
      <c r="J972" s="10"/>
      <c r="M972" s="39"/>
      <c r="O972" s="39"/>
      <c r="Q972" s="39"/>
      <c r="R972" s="28"/>
      <c r="S972" s="28"/>
      <c r="T972" s="28"/>
      <c r="U972" s="4"/>
      <c r="V972" s="3"/>
      <c r="W972" s="3"/>
    </row>
    <row r="973" spans="1:23" s="5" customFormat="1">
      <c r="A973" s="6"/>
      <c r="B973" s="33"/>
      <c r="C973" s="35"/>
      <c r="E973" s="39"/>
      <c r="G973" s="40"/>
      <c r="H973" s="15"/>
      <c r="I973" s="17"/>
      <c r="J973" s="10"/>
      <c r="M973" s="39"/>
      <c r="O973" s="39"/>
      <c r="Q973" s="39"/>
      <c r="R973" s="28"/>
      <c r="S973" s="28"/>
      <c r="T973" s="28"/>
      <c r="U973" s="4"/>
      <c r="V973" s="3"/>
      <c r="W973" s="3"/>
    </row>
    <row r="974" spans="1:23" s="5" customFormat="1">
      <c r="A974" s="6"/>
      <c r="B974" s="33"/>
      <c r="C974" s="35"/>
      <c r="E974" s="39"/>
      <c r="G974" s="40"/>
      <c r="H974" s="15"/>
      <c r="I974" s="17"/>
      <c r="J974" s="10"/>
      <c r="M974" s="39"/>
      <c r="O974" s="39"/>
      <c r="Q974" s="39"/>
      <c r="R974" s="28"/>
      <c r="S974" s="28"/>
      <c r="T974" s="28"/>
      <c r="U974" s="4"/>
      <c r="V974" s="3"/>
      <c r="W974" s="3"/>
    </row>
    <row r="975" spans="1:23" s="5" customFormat="1">
      <c r="A975" s="6"/>
      <c r="B975" s="33"/>
      <c r="C975" s="35"/>
      <c r="E975" s="39"/>
      <c r="G975" s="40"/>
      <c r="H975" s="15"/>
      <c r="I975" s="17"/>
      <c r="J975" s="10"/>
      <c r="M975" s="39"/>
      <c r="O975" s="39"/>
      <c r="Q975" s="39"/>
      <c r="R975" s="28"/>
      <c r="S975" s="28"/>
      <c r="T975" s="28"/>
      <c r="U975" s="4"/>
      <c r="V975" s="3"/>
      <c r="W975" s="3"/>
    </row>
    <row r="976" spans="1:23" s="5" customFormat="1">
      <c r="A976" s="6"/>
      <c r="B976" s="33"/>
      <c r="C976" s="35"/>
      <c r="E976" s="39"/>
      <c r="G976" s="40"/>
      <c r="H976" s="14"/>
      <c r="I976" s="17"/>
      <c r="J976" s="10"/>
      <c r="M976" s="39"/>
      <c r="O976" s="39"/>
      <c r="Q976" s="39"/>
      <c r="R976" s="28"/>
      <c r="S976" s="28"/>
      <c r="T976" s="28"/>
      <c r="U976" s="4"/>
      <c r="V976" s="3"/>
      <c r="W976" s="3"/>
    </row>
    <row r="977" spans="1:23" s="5" customFormat="1">
      <c r="A977" s="6"/>
      <c r="B977" s="33"/>
      <c r="C977" s="35"/>
      <c r="E977" s="39"/>
      <c r="G977" s="40"/>
      <c r="H977" s="14"/>
      <c r="I977" s="17"/>
      <c r="J977" s="10"/>
      <c r="M977" s="39"/>
      <c r="O977" s="39"/>
      <c r="Q977" s="39"/>
      <c r="R977" s="28"/>
      <c r="S977" s="28"/>
      <c r="T977" s="28"/>
      <c r="U977" s="4"/>
      <c r="V977" s="3"/>
      <c r="W977" s="3"/>
    </row>
    <row r="978" spans="1:23" s="5" customFormat="1">
      <c r="A978" s="6"/>
      <c r="B978" s="33"/>
      <c r="C978" s="35"/>
      <c r="E978" s="39"/>
      <c r="G978" s="40"/>
      <c r="H978" s="15"/>
      <c r="I978" s="17"/>
      <c r="J978" s="10"/>
      <c r="M978" s="39"/>
      <c r="O978" s="39"/>
      <c r="Q978" s="39"/>
      <c r="R978" s="28"/>
      <c r="S978" s="28"/>
      <c r="T978" s="28"/>
      <c r="U978" s="4"/>
      <c r="V978" s="3"/>
      <c r="W978" s="3"/>
    </row>
    <row r="979" spans="1:23" s="5" customFormat="1">
      <c r="A979" s="6"/>
      <c r="B979" s="33"/>
      <c r="C979" s="35"/>
      <c r="E979" s="39"/>
      <c r="G979" s="40"/>
      <c r="H979" s="14"/>
      <c r="I979" s="17"/>
      <c r="J979" s="10"/>
      <c r="M979" s="39"/>
      <c r="O979" s="39"/>
      <c r="Q979" s="39"/>
      <c r="R979" s="28"/>
      <c r="S979" s="28"/>
      <c r="T979" s="28"/>
      <c r="U979" s="4"/>
      <c r="V979" s="3"/>
      <c r="W979" s="3"/>
    </row>
    <row r="980" spans="1:23" s="5" customFormat="1">
      <c r="A980" s="6"/>
      <c r="B980" s="33"/>
      <c r="C980" s="35"/>
      <c r="E980" s="39"/>
      <c r="G980" s="40"/>
      <c r="H980" s="14"/>
      <c r="I980" s="17"/>
      <c r="J980" s="10"/>
      <c r="M980" s="39"/>
      <c r="O980" s="39"/>
      <c r="Q980" s="39"/>
      <c r="R980" s="28"/>
      <c r="S980" s="28"/>
      <c r="T980" s="28"/>
      <c r="U980" s="4"/>
      <c r="V980" s="3"/>
      <c r="W980" s="3"/>
    </row>
    <row r="981" spans="1:23" s="5" customFormat="1">
      <c r="A981" s="6"/>
      <c r="B981" s="33"/>
      <c r="C981" s="35"/>
      <c r="E981" s="39"/>
      <c r="G981" s="40"/>
      <c r="H981" s="15"/>
      <c r="I981" s="17"/>
      <c r="J981" s="10"/>
      <c r="M981" s="39"/>
      <c r="O981" s="39"/>
      <c r="Q981" s="39"/>
      <c r="R981" s="28"/>
      <c r="S981" s="28"/>
      <c r="T981" s="28"/>
      <c r="U981" s="4"/>
      <c r="V981" s="3"/>
      <c r="W981" s="3"/>
    </row>
    <row r="982" spans="1:23" s="5" customFormat="1">
      <c r="A982" s="6"/>
      <c r="B982" s="33"/>
      <c r="C982" s="35"/>
      <c r="E982" s="39"/>
      <c r="G982" s="40"/>
      <c r="H982" s="15"/>
      <c r="I982" s="17"/>
      <c r="J982" s="10"/>
      <c r="M982" s="39"/>
      <c r="O982" s="39"/>
      <c r="Q982" s="39"/>
      <c r="R982" s="28"/>
      <c r="S982" s="28"/>
      <c r="T982" s="28"/>
      <c r="U982" s="4"/>
      <c r="V982" s="3"/>
      <c r="W982" s="3"/>
    </row>
    <row r="983" spans="1:23" s="5" customFormat="1">
      <c r="A983" s="6"/>
      <c r="B983" s="33"/>
      <c r="C983" s="35"/>
      <c r="E983" s="39"/>
      <c r="G983" s="40"/>
      <c r="H983" s="15"/>
      <c r="I983" s="17"/>
      <c r="J983" s="10"/>
      <c r="M983" s="39"/>
      <c r="O983" s="39"/>
      <c r="Q983" s="39"/>
      <c r="R983" s="28"/>
      <c r="S983" s="28"/>
      <c r="T983" s="28"/>
      <c r="U983" s="4"/>
      <c r="V983" s="3"/>
      <c r="W983" s="3"/>
    </row>
    <row r="984" spans="1:23" s="5" customFormat="1">
      <c r="A984" s="6"/>
      <c r="B984" s="33"/>
      <c r="C984" s="35"/>
      <c r="E984" s="39"/>
      <c r="G984" s="40"/>
      <c r="H984" s="15"/>
      <c r="I984" s="17"/>
      <c r="J984" s="10"/>
      <c r="M984" s="39"/>
      <c r="O984" s="39"/>
      <c r="Q984" s="39"/>
      <c r="R984" s="28"/>
      <c r="S984" s="28"/>
      <c r="T984" s="28"/>
      <c r="U984" s="4"/>
      <c r="V984" s="3"/>
      <c r="W984" s="3"/>
    </row>
    <row r="985" spans="1:23" s="5" customFormat="1">
      <c r="A985" s="6"/>
      <c r="B985" s="33"/>
      <c r="C985" s="35"/>
      <c r="E985" s="39"/>
      <c r="G985" s="40"/>
      <c r="H985" s="15"/>
      <c r="I985" s="17"/>
      <c r="J985" s="10"/>
      <c r="M985" s="39"/>
      <c r="O985" s="39"/>
      <c r="Q985" s="39"/>
      <c r="R985" s="28"/>
      <c r="S985" s="28"/>
      <c r="T985" s="28"/>
      <c r="U985" s="4"/>
      <c r="V985" s="3"/>
      <c r="W985" s="3"/>
    </row>
    <row r="986" spans="1:23" s="5" customFormat="1">
      <c r="A986" s="6"/>
      <c r="B986" s="33"/>
      <c r="C986" s="35"/>
      <c r="E986" s="39"/>
      <c r="G986" s="40"/>
      <c r="H986" s="15"/>
      <c r="I986" s="17"/>
      <c r="J986" s="10"/>
      <c r="M986" s="39"/>
      <c r="O986" s="39"/>
      <c r="Q986" s="39"/>
      <c r="R986" s="28"/>
      <c r="S986" s="28"/>
      <c r="T986" s="28"/>
      <c r="U986" s="4"/>
      <c r="V986" s="3"/>
      <c r="W986" s="3"/>
    </row>
    <row r="987" spans="1:23" s="5" customFormat="1">
      <c r="A987" s="6"/>
      <c r="B987" s="33"/>
      <c r="C987" s="35"/>
      <c r="E987" s="39"/>
      <c r="G987" s="40"/>
      <c r="H987" s="14"/>
      <c r="I987" s="17"/>
      <c r="J987" s="10"/>
      <c r="M987" s="39"/>
      <c r="O987" s="39"/>
      <c r="Q987" s="39"/>
      <c r="R987" s="28"/>
      <c r="S987" s="28"/>
      <c r="T987" s="28"/>
      <c r="U987" s="4"/>
      <c r="V987" s="3"/>
      <c r="W987" s="3"/>
    </row>
    <row r="988" spans="1:23" s="5" customFormat="1">
      <c r="A988" s="6"/>
      <c r="B988" s="33"/>
      <c r="C988" s="35"/>
      <c r="E988" s="39"/>
      <c r="G988" s="40"/>
      <c r="H988" s="14"/>
      <c r="I988" s="17"/>
      <c r="J988" s="10"/>
      <c r="M988" s="39"/>
      <c r="O988" s="39"/>
      <c r="Q988" s="39"/>
      <c r="R988" s="28"/>
      <c r="S988" s="28"/>
      <c r="T988" s="28"/>
      <c r="U988" s="4"/>
      <c r="V988" s="3"/>
      <c r="W988" s="3"/>
    </row>
    <row r="989" spans="1:23" s="5" customFormat="1">
      <c r="A989" s="20"/>
      <c r="B989" s="33"/>
      <c r="C989" s="35"/>
      <c r="D989" s="1"/>
      <c r="E989" s="39"/>
      <c r="F989" s="1"/>
      <c r="G989" s="40"/>
      <c r="H989" s="12"/>
      <c r="I989" s="9"/>
      <c r="J989" s="12"/>
      <c r="L989" s="1"/>
      <c r="M989" s="39"/>
      <c r="N989" s="1"/>
      <c r="O989" s="39"/>
      <c r="P989" s="1"/>
      <c r="Q989" s="39"/>
      <c r="R989" s="28"/>
      <c r="S989" s="28"/>
      <c r="T989" s="28"/>
      <c r="U989" s="4"/>
      <c r="V989" s="3"/>
      <c r="W989" s="3"/>
    </row>
    <row r="990" spans="1:23" s="5" customFormat="1">
      <c r="A990" s="6"/>
      <c r="B990" s="33"/>
      <c r="C990" s="35"/>
      <c r="E990" s="39"/>
      <c r="G990" s="40"/>
      <c r="H990" s="15"/>
      <c r="I990" s="17"/>
      <c r="J990" s="10"/>
      <c r="M990" s="39"/>
      <c r="O990" s="39"/>
      <c r="Q990" s="39"/>
      <c r="R990" s="28"/>
      <c r="S990" s="28"/>
      <c r="T990" s="28"/>
      <c r="U990" s="4"/>
      <c r="V990" s="3"/>
      <c r="W990" s="3"/>
    </row>
    <row r="991" spans="1:23" s="5" customFormat="1">
      <c r="A991" s="6"/>
      <c r="B991" s="33"/>
      <c r="C991" s="35"/>
      <c r="E991" s="39"/>
      <c r="G991" s="40"/>
      <c r="H991" s="15"/>
      <c r="I991" s="17"/>
      <c r="J991" s="10"/>
      <c r="M991" s="39"/>
      <c r="O991" s="39"/>
      <c r="Q991" s="39"/>
      <c r="R991" s="28"/>
      <c r="S991" s="28"/>
      <c r="T991" s="28"/>
      <c r="U991" s="4"/>
      <c r="V991" s="3"/>
      <c r="W991" s="3"/>
    </row>
    <row r="992" spans="1:23" s="5" customFormat="1">
      <c r="A992" s="6"/>
      <c r="B992" s="33"/>
      <c r="C992" s="35"/>
      <c r="E992" s="39"/>
      <c r="G992" s="40"/>
      <c r="H992" s="15"/>
      <c r="I992" s="17"/>
      <c r="J992" s="10"/>
      <c r="M992" s="39"/>
      <c r="O992" s="39"/>
      <c r="Q992" s="39"/>
      <c r="R992" s="28"/>
      <c r="S992" s="28"/>
      <c r="T992" s="28"/>
      <c r="U992" s="4"/>
      <c r="V992" s="3"/>
      <c r="W992" s="3"/>
    </row>
    <row r="993" spans="1:23" s="5" customFormat="1">
      <c r="A993" s="6"/>
      <c r="B993" s="33"/>
      <c r="C993" s="35"/>
      <c r="E993" s="39"/>
      <c r="G993" s="40"/>
      <c r="H993" s="14"/>
      <c r="I993" s="17"/>
      <c r="J993" s="10"/>
      <c r="M993" s="39"/>
      <c r="O993" s="39"/>
      <c r="Q993" s="39"/>
      <c r="R993" s="28"/>
      <c r="S993" s="28"/>
      <c r="T993" s="28"/>
      <c r="U993" s="4"/>
      <c r="V993" s="3"/>
      <c r="W993" s="3"/>
    </row>
    <row r="994" spans="1:23" s="5" customFormat="1">
      <c r="A994" s="6"/>
      <c r="B994" s="33"/>
      <c r="C994" s="35"/>
      <c r="E994" s="39"/>
      <c r="G994" s="40"/>
      <c r="H994" s="15"/>
      <c r="I994" s="17"/>
      <c r="J994" s="10"/>
      <c r="M994" s="39"/>
      <c r="O994" s="39"/>
      <c r="Q994" s="39"/>
      <c r="R994" s="28"/>
      <c r="S994" s="28"/>
      <c r="T994" s="28"/>
      <c r="U994" s="4"/>
      <c r="V994" s="3"/>
      <c r="W994" s="3"/>
    </row>
    <row r="995" spans="1:23" s="5" customFormat="1">
      <c r="A995" s="6"/>
      <c r="B995" s="33"/>
      <c r="C995" s="35"/>
      <c r="E995" s="39"/>
      <c r="G995" s="40"/>
      <c r="H995" s="14"/>
      <c r="I995" s="17"/>
      <c r="J995" s="10"/>
      <c r="M995" s="39"/>
      <c r="O995" s="39"/>
      <c r="Q995" s="39"/>
      <c r="R995" s="28"/>
      <c r="S995" s="29"/>
      <c r="T995" s="28"/>
      <c r="U995" s="4"/>
      <c r="V995" s="3"/>
      <c r="W995" s="3"/>
    </row>
    <row r="996" spans="1:23" s="5" customFormat="1">
      <c r="A996" s="6"/>
      <c r="B996" s="33"/>
      <c r="C996" s="35"/>
      <c r="E996" s="39"/>
      <c r="G996" s="40"/>
      <c r="H996" s="15"/>
      <c r="I996" s="17"/>
      <c r="J996" s="10"/>
      <c r="M996" s="39"/>
      <c r="O996" s="39"/>
      <c r="Q996" s="39"/>
      <c r="R996" s="28"/>
      <c r="S996" s="28"/>
      <c r="T996" s="28"/>
      <c r="U996" s="4"/>
      <c r="V996" s="3"/>
      <c r="W996" s="3"/>
    </row>
    <row r="997" spans="1:23" s="5" customFormat="1">
      <c r="A997" s="6"/>
      <c r="B997" s="33"/>
      <c r="C997" s="35"/>
      <c r="E997" s="39"/>
      <c r="G997" s="40"/>
      <c r="H997" s="15"/>
      <c r="I997" s="17"/>
      <c r="J997" s="10"/>
      <c r="M997" s="39"/>
      <c r="O997" s="39"/>
      <c r="Q997" s="39"/>
      <c r="R997" s="28"/>
      <c r="S997" s="28"/>
      <c r="T997" s="28"/>
      <c r="U997" s="4"/>
      <c r="V997" s="3"/>
      <c r="W997" s="3"/>
    </row>
    <row r="998" spans="1:23" s="5" customFormat="1">
      <c r="A998" s="6"/>
      <c r="B998" s="33"/>
      <c r="C998" s="35"/>
      <c r="E998" s="39"/>
      <c r="G998" s="40"/>
      <c r="H998" s="15"/>
      <c r="I998" s="17"/>
      <c r="J998" s="10"/>
      <c r="M998" s="39"/>
      <c r="O998" s="39"/>
      <c r="Q998" s="39"/>
      <c r="R998" s="28"/>
      <c r="S998" s="28"/>
      <c r="T998" s="28"/>
      <c r="U998" s="4"/>
      <c r="V998" s="3"/>
      <c r="W998" s="3"/>
    </row>
    <row r="999" spans="1:23" s="5" customFormat="1">
      <c r="A999" s="6"/>
      <c r="B999" s="33"/>
      <c r="C999" s="35"/>
      <c r="E999" s="39"/>
      <c r="G999" s="40"/>
      <c r="H999" s="15"/>
      <c r="I999" s="17"/>
      <c r="J999" s="10"/>
      <c r="M999" s="39"/>
      <c r="O999" s="39"/>
      <c r="Q999" s="39"/>
      <c r="R999" s="28"/>
      <c r="S999" s="28"/>
      <c r="T999" s="28"/>
      <c r="U999" s="4"/>
      <c r="V999" s="3"/>
      <c r="W999" s="3"/>
    </row>
    <row r="1000" spans="1:23" s="5" customFormat="1">
      <c r="A1000" s="6"/>
      <c r="B1000" s="33"/>
      <c r="C1000" s="35"/>
      <c r="E1000" s="39"/>
      <c r="G1000" s="40"/>
      <c r="H1000" s="14"/>
      <c r="I1000" s="17"/>
      <c r="J1000" s="10"/>
      <c r="M1000" s="39"/>
      <c r="O1000" s="39"/>
      <c r="Q1000" s="39"/>
      <c r="R1000" s="28"/>
      <c r="S1000" s="28"/>
      <c r="T1000" s="28"/>
      <c r="U1000" s="4"/>
      <c r="V1000" s="3"/>
      <c r="W1000" s="3"/>
    </row>
    <row r="1001" spans="1:23" s="5" customFormat="1">
      <c r="A1001" s="6"/>
      <c r="B1001" s="33"/>
      <c r="C1001" s="35"/>
      <c r="E1001" s="39"/>
      <c r="G1001" s="40"/>
      <c r="H1001" s="14"/>
      <c r="I1001" s="17"/>
      <c r="J1001" s="10"/>
      <c r="M1001" s="39"/>
      <c r="O1001" s="39"/>
      <c r="Q1001" s="39"/>
      <c r="R1001" s="28"/>
      <c r="S1001" s="28"/>
      <c r="T1001" s="28"/>
      <c r="U1001" s="4"/>
      <c r="V1001" s="3"/>
      <c r="W1001" s="3"/>
    </row>
    <row r="1002" spans="1:23" s="5" customFormat="1">
      <c r="A1002" s="6"/>
      <c r="B1002" s="33"/>
      <c r="C1002" s="35"/>
      <c r="E1002" s="39"/>
      <c r="G1002" s="40"/>
      <c r="H1002" s="14"/>
      <c r="I1002" s="17"/>
      <c r="J1002" s="10"/>
      <c r="M1002" s="39"/>
      <c r="O1002" s="39"/>
      <c r="Q1002" s="39"/>
      <c r="R1002" s="28"/>
      <c r="S1002" s="28"/>
      <c r="T1002" s="28"/>
      <c r="U1002" s="4"/>
      <c r="V1002" s="3"/>
      <c r="W1002" s="3"/>
    </row>
    <row r="1003" spans="1:23" s="5" customFormat="1">
      <c r="A1003" s="6"/>
      <c r="B1003" s="33"/>
      <c r="C1003" s="35"/>
      <c r="E1003" s="39"/>
      <c r="G1003" s="40"/>
      <c r="H1003" s="15"/>
      <c r="I1003" s="17"/>
      <c r="J1003" s="10"/>
      <c r="M1003" s="39"/>
      <c r="O1003" s="39"/>
      <c r="Q1003" s="39"/>
      <c r="R1003" s="28"/>
      <c r="S1003" s="28"/>
      <c r="T1003" s="28"/>
      <c r="U1003" s="4"/>
      <c r="V1003" s="3"/>
      <c r="W1003" s="3"/>
    </row>
    <row r="1004" spans="1:23" s="5" customFormat="1">
      <c r="A1004" s="6"/>
      <c r="B1004" s="33"/>
      <c r="C1004" s="35"/>
      <c r="E1004" s="39"/>
      <c r="G1004" s="40"/>
      <c r="H1004" s="15"/>
      <c r="I1004" s="17"/>
      <c r="J1004" s="10"/>
      <c r="M1004" s="39"/>
      <c r="O1004" s="39"/>
      <c r="Q1004" s="39"/>
      <c r="R1004" s="28"/>
      <c r="S1004" s="28"/>
      <c r="T1004" s="28"/>
      <c r="U1004" s="4"/>
      <c r="V1004" s="3"/>
      <c r="W1004" s="3"/>
    </row>
    <row r="1005" spans="1:23" s="5" customFormat="1">
      <c r="A1005" s="6"/>
      <c r="B1005" s="33"/>
      <c r="C1005" s="35"/>
      <c r="E1005" s="39"/>
      <c r="G1005" s="40"/>
      <c r="H1005" s="15"/>
      <c r="I1005" s="17"/>
      <c r="J1005" s="10"/>
      <c r="M1005" s="39"/>
      <c r="O1005" s="39"/>
      <c r="Q1005" s="39"/>
      <c r="R1005" s="28"/>
      <c r="S1005" s="28"/>
      <c r="T1005" s="28"/>
      <c r="U1005" s="4"/>
      <c r="V1005" s="3"/>
      <c r="W1005" s="3"/>
    </row>
    <row r="1006" spans="1:23" s="5" customFormat="1">
      <c r="A1006" s="6"/>
      <c r="B1006" s="33"/>
      <c r="C1006" s="35"/>
      <c r="E1006" s="39"/>
      <c r="G1006" s="40"/>
      <c r="H1006" s="15"/>
      <c r="I1006" s="17"/>
      <c r="J1006" s="10"/>
      <c r="M1006" s="39"/>
      <c r="O1006" s="39"/>
      <c r="Q1006" s="39"/>
      <c r="R1006" s="28"/>
      <c r="S1006" s="28"/>
      <c r="T1006" s="28"/>
      <c r="U1006" s="4"/>
      <c r="V1006" s="3"/>
      <c r="W1006" s="3"/>
    </row>
    <row r="1007" spans="1:23" s="5" customFormat="1">
      <c r="A1007" s="6"/>
      <c r="B1007" s="33"/>
      <c r="C1007" s="35"/>
      <c r="E1007" s="39"/>
      <c r="G1007" s="40"/>
      <c r="H1007" s="15"/>
      <c r="I1007" s="17"/>
      <c r="J1007" s="10"/>
      <c r="M1007" s="39"/>
      <c r="O1007" s="39"/>
      <c r="Q1007" s="39"/>
      <c r="R1007" s="28"/>
      <c r="S1007" s="28"/>
      <c r="T1007" s="28"/>
      <c r="U1007" s="4"/>
      <c r="V1007" s="3"/>
      <c r="W1007" s="3"/>
    </row>
    <row r="1008" spans="1:23" s="5" customFormat="1">
      <c r="A1008" s="6"/>
      <c r="B1008" s="33"/>
      <c r="C1008" s="35"/>
      <c r="E1008" s="39"/>
      <c r="G1008" s="40"/>
      <c r="H1008" s="14"/>
      <c r="I1008" s="17"/>
      <c r="J1008" s="10"/>
      <c r="M1008" s="39"/>
      <c r="O1008" s="39"/>
      <c r="Q1008" s="39"/>
      <c r="R1008" s="28"/>
      <c r="S1008" s="28"/>
      <c r="T1008" s="28"/>
      <c r="U1008" s="4"/>
      <c r="V1008" s="3"/>
      <c r="W1008" s="3"/>
    </row>
    <row r="1009" spans="1:23" s="5" customFormat="1">
      <c r="A1009" s="6"/>
      <c r="B1009" s="33"/>
      <c r="C1009" s="35"/>
      <c r="E1009" s="39"/>
      <c r="G1009" s="40"/>
      <c r="H1009" s="15"/>
      <c r="I1009" s="17"/>
      <c r="J1009" s="10"/>
      <c r="M1009" s="39"/>
      <c r="O1009" s="39"/>
      <c r="Q1009" s="39"/>
      <c r="R1009" s="28"/>
      <c r="S1009" s="28"/>
      <c r="T1009" s="28"/>
      <c r="U1009" s="4"/>
      <c r="V1009" s="3"/>
      <c r="W1009" s="3"/>
    </row>
    <row r="1010" spans="1:23" s="5" customFormat="1">
      <c r="A1010" s="6"/>
      <c r="B1010" s="33"/>
      <c r="C1010" s="35"/>
      <c r="E1010" s="39"/>
      <c r="G1010" s="40"/>
      <c r="H1010" s="15"/>
      <c r="I1010" s="17"/>
      <c r="J1010" s="10"/>
      <c r="M1010" s="39"/>
      <c r="O1010" s="39"/>
      <c r="Q1010" s="39"/>
      <c r="R1010" s="28"/>
      <c r="S1010" s="28"/>
      <c r="T1010" s="28"/>
      <c r="U1010" s="4"/>
      <c r="V1010" s="3"/>
      <c r="W1010" s="3"/>
    </row>
    <row r="1011" spans="1:23" s="5" customFormat="1">
      <c r="A1011" s="6"/>
      <c r="B1011" s="33"/>
      <c r="C1011" s="35"/>
      <c r="E1011" s="39"/>
      <c r="G1011" s="40"/>
      <c r="H1011" s="17"/>
      <c r="J1011" s="10"/>
      <c r="M1011" s="39"/>
      <c r="O1011" s="39"/>
      <c r="Q1011" s="39"/>
      <c r="R1011" s="28"/>
      <c r="S1011" s="29"/>
      <c r="T1011" s="28"/>
      <c r="U1011" s="4"/>
      <c r="V1011" s="3"/>
      <c r="W1011" s="3"/>
    </row>
    <row r="1012" spans="1:23" s="5" customFormat="1">
      <c r="A1012" s="6"/>
      <c r="B1012" s="33"/>
      <c r="C1012" s="35"/>
      <c r="E1012" s="39"/>
      <c r="G1012" s="40"/>
      <c r="H1012" s="15"/>
      <c r="I1012" s="17"/>
      <c r="J1012" s="10"/>
      <c r="M1012" s="39"/>
      <c r="O1012" s="39"/>
      <c r="Q1012" s="39"/>
      <c r="R1012" s="28"/>
      <c r="S1012" s="28"/>
      <c r="T1012" s="28"/>
      <c r="U1012" s="4"/>
      <c r="V1012" s="3"/>
      <c r="W1012" s="3"/>
    </row>
    <row r="1013" spans="1:23" s="5" customFormat="1">
      <c r="A1013" s="6"/>
      <c r="B1013" s="33"/>
      <c r="C1013" s="35"/>
      <c r="E1013" s="39"/>
      <c r="G1013" s="40"/>
      <c r="H1013" s="15"/>
      <c r="I1013" s="17"/>
      <c r="J1013" s="10"/>
      <c r="M1013" s="39"/>
      <c r="O1013" s="39"/>
      <c r="Q1013" s="39"/>
      <c r="R1013" s="28"/>
      <c r="S1013" s="28"/>
      <c r="T1013" s="28"/>
      <c r="U1013" s="4"/>
      <c r="V1013" s="3"/>
      <c r="W1013" s="3"/>
    </row>
    <row r="1014" spans="1:23" s="5" customFormat="1">
      <c r="A1014" s="6"/>
      <c r="B1014" s="33"/>
      <c r="C1014" s="35"/>
      <c r="E1014" s="39"/>
      <c r="G1014" s="40"/>
      <c r="H1014" s="15"/>
      <c r="I1014" s="17"/>
      <c r="J1014" s="10"/>
      <c r="M1014" s="39"/>
      <c r="O1014" s="39"/>
      <c r="Q1014" s="39"/>
      <c r="R1014" s="28"/>
      <c r="S1014" s="28"/>
      <c r="T1014" s="28"/>
      <c r="U1014" s="4"/>
      <c r="V1014" s="3"/>
      <c r="W1014" s="3"/>
    </row>
    <row r="1015" spans="1:23" s="5" customFormat="1">
      <c r="A1015" s="6"/>
      <c r="B1015" s="33"/>
      <c r="C1015" s="35"/>
      <c r="E1015" s="39"/>
      <c r="G1015" s="40"/>
      <c r="H1015" s="15"/>
      <c r="I1015" s="17"/>
      <c r="J1015" s="10"/>
      <c r="M1015" s="39"/>
      <c r="O1015" s="39"/>
      <c r="Q1015" s="39"/>
      <c r="R1015" s="28"/>
      <c r="S1015" s="28"/>
      <c r="T1015" s="28"/>
      <c r="U1015" s="4"/>
      <c r="V1015" s="3"/>
      <c r="W1015" s="3"/>
    </row>
    <row r="1016" spans="1:23" s="5" customFormat="1">
      <c r="A1016" s="6"/>
      <c r="B1016" s="33"/>
      <c r="C1016" s="35"/>
      <c r="E1016" s="39"/>
      <c r="G1016" s="40"/>
      <c r="H1016" s="14"/>
      <c r="I1016" s="17"/>
      <c r="J1016" s="10"/>
      <c r="M1016" s="39"/>
      <c r="O1016" s="39"/>
      <c r="Q1016" s="39"/>
      <c r="R1016" s="28"/>
      <c r="S1016" s="28"/>
      <c r="T1016" s="28"/>
      <c r="U1016" s="4"/>
      <c r="V1016" s="3"/>
      <c r="W1016" s="3"/>
    </row>
    <row r="1017" spans="1:23" s="5" customFormat="1">
      <c r="A1017" s="6"/>
      <c r="B1017" s="33"/>
      <c r="C1017" s="35"/>
      <c r="E1017" s="39"/>
      <c r="G1017" s="40"/>
      <c r="H1017" s="15"/>
      <c r="I1017" s="17"/>
      <c r="J1017" s="10"/>
      <c r="M1017" s="39"/>
      <c r="O1017" s="39"/>
      <c r="Q1017" s="39"/>
      <c r="R1017" s="28"/>
      <c r="S1017" s="28"/>
      <c r="T1017" s="28"/>
      <c r="U1017" s="4"/>
      <c r="V1017" s="3"/>
      <c r="W1017" s="3"/>
    </row>
    <row r="1018" spans="1:23" s="5" customFormat="1">
      <c r="A1018" s="6"/>
      <c r="B1018" s="33"/>
      <c r="C1018" s="35"/>
      <c r="E1018" s="39"/>
      <c r="G1018" s="40"/>
      <c r="H1018" s="15"/>
      <c r="I1018" s="17"/>
      <c r="J1018" s="10"/>
      <c r="M1018" s="39"/>
      <c r="O1018" s="39"/>
      <c r="Q1018" s="39"/>
      <c r="R1018" s="28"/>
      <c r="S1018" s="28"/>
      <c r="T1018" s="28"/>
      <c r="U1018" s="4"/>
      <c r="V1018" s="3"/>
      <c r="W1018" s="3"/>
    </row>
    <row r="1019" spans="1:23" s="5" customFormat="1">
      <c r="A1019" s="6"/>
      <c r="B1019" s="33"/>
      <c r="C1019" s="35"/>
      <c r="E1019" s="39"/>
      <c r="G1019" s="40"/>
      <c r="H1019" s="15"/>
      <c r="I1019" s="17"/>
      <c r="J1019" s="10"/>
      <c r="M1019" s="39"/>
      <c r="O1019" s="39"/>
      <c r="Q1019" s="39"/>
      <c r="R1019" s="28"/>
      <c r="S1019" s="28"/>
      <c r="T1019" s="28"/>
      <c r="U1019" s="4"/>
      <c r="V1019" s="3"/>
      <c r="W1019" s="3"/>
    </row>
    <row r="1020" spans="1:23" s="5" customFormat="1">
      <c r="A1020" s="6"/>
      <c r="B1020" s="33"/>
      <c r="C1020" s="35"/>
      <c r="E1020" s="39"/>
      <c r="G1020" s="40"/>
      <c r="H1020" s="14"/>
      <c r="I1020" s="17"/>
      <c r="J1020" s="10"/>
      <c r="M1020" s="39"/>
      <c r="O1020" s="39"/>
      <c r="Q1020" s="39"/>
      <c r="R1020" s="28"/>
      <c r="S1020" s="28"/>
      <c r="T1020" s="28"/>
      <c r="U1020" s="4"/>
      <c r="V1020" s="3"/>
      <c r="W1020" s="3"/>
    </row>
    <row r="1021" spans="1:23" s="5" customFormat="1">
      <c r="A1021" s="6"/>
      <c r="B1021" s="33"/>
      <c r="C1021" s="35"/>
      <c r="E1021" s="39"/>
      <c r="G1021" s="40"/>
      <c r="H1021" s="15"/>
      <c r="I1021" s="17"/>
      <c r="J1021" s="10"/>
      <c r="M1021" s="39"/>
      <c r="O1021" s="39"/>
      <c r="Q1021" s="39"/>
      <c r="R1021" s="28"/>
      <c r="S1021" s="28"/>
      <c r="T1021" s="28"/>
      <c r="U1021" s="4"/>
      <c r="V1021" s="3"/>
      <c r="W1021" s="3"/>
    </row>
    <row r="1022" spans="1:23" s="5" customFormat="1">
      <c r="A1022" s="6"/>
      <c r="B1022" s="33"/>
      <c r="C1022" s="35"/>
      <c r="E1022" s="39"/>
      <c r="G1022" s="40"/>
      <c r="H1022" s="15"/>
      <c r="I1022" s="17"/>
      <c r="J1022" s="10"/>
      <c r="M1022" s="39"/>
      <c r="O1022" s="39"/>
      <c r="Q1022" s="39"/>
      <c r="R1022" s="28"/>
      <c r="S1022" s="28"/>
      <c r="T1022" s="28"/>
      <c r="U1022" s="4"/>
      <c r="V1022" s="3"/>
      <c r="W1022" s="3"/>
    </row>
    <row r="1023" spans="1:23" s="5" customFormat="1">
      <c r="A1023" s="6"/>
      <c r="B1023" s="33"/>
      <c r="C1023" s="35"/>
      <c r="E1023" s="39"/>
      <c r="G1023" s="40"/>
      <c r="H1023" s="14"/>
      <c r="I1023" s="17"/>
      <c r="J1023" s="10"/>
      <c r="M1023" s="39"/>
      <c r="O1023" s="39"/>
      <c r="Q1023" s="39"/>
      <c r="R1023" s="28"/>
      <c r="S1023" s="28"/>
      <c r="T1023" s="28"/>
      <c r="U1023" s="4"/>
      <c r="V1023" s="3"/>
      <c r="W1023" s="3"/>
    </row>
    <row r="1024" spans="1:23" s="5" customFormat="1">
      <c r="A1024" s="6"/>
      <c r="B1024" s="33"/>
      <c r="C1024" s="35"/>
      <c r="E1024" s="39"/>
      <c r="G1024" s="40"/>
      <c r="H1024" s="14"/>
      <c r="I1024" s="17"/>
      <c r="J1024" s="10"/>
      <c r="M1024" s="39"/>
      <c r="O1024" s="39"/>
      <c r="Q1024" s="39"/>
      <c r="R1024" s="28"/>
      <c r="S1024" s="28"/>
      <c r="T1024" s="28"/>
      <c r="U1024" s="4"/>
      <c r="V1024" s="3"/>
      <c r="W1024" s="3"/>
    </row>
    <row r="1025" spans="1:23" s="5" customFormat="1">
      <c r="A1025" s="6"/>
      <c r="B1025" s="33"/>
      <c r="C1025" s="35"/>
      <c r="E1025" s="39"/>
      <c r="G1025" s="40"/>
      <c r="H1025" s="15"/>
      <c r="I1025" s="17"/>
      <c r="J1025" s="10"/>
      <c r="M1025" s="39"/>
      <c r="O1025" s="39"/>
      <c r="Q1025" s="39"/>
      <c r="R1025" s="28"/>
      <c r="S1025" s="28"/>
      <c r="T1025" s="28"/>
      <c r="U1025" s="4"/>
      <c r="V1025" s="3"/>
      <c r="W1025" s="3"/>
    </row>
    <row r="1026" spans="1:23" s="5" customFormat="1">
      <c r="A1026" s="6"/>
      <c r="B1026" s="33"/>
      <c r="C1026" s="35"/>
      <c r="E1026" s="39"/>
      <c r="G1026" s="40"/>
      <c r="H1026" s="15"/>
      <c r="I1026" s="17"/>
      <c r="J1026" s="10"/>
      <c r="M1026" s="39"/>
      <c r="O1026" s="39"/>
      <c r="Q1026" s="39"/>
      <c r="R1026" s="28"/>
      <c r="S1026" s="28"/>
      <c r="T1026" s="28"/>
      <c r="U1026" s="4"/>
      <c r="V1026" s="3"/>
      <c r="W1026" s="3"/>
    </row>
    <row r="1027" spans="1:23" s="5" customFormat="1">
      <c r="A1027" s="6"/>
      <c r="B1027" s="33"/>
      <c r="C1027" s="35"/>
      <c r="E1027" s="39"/>
      <c r="G1027" s="40"/>
      <c r="H1027" s="14"/>
      <c r="I1027" s="17"/>
      <c r="J1027" s="10"/>
      <c r="M1027" s="39"/>
      <c r="O1027" s="39"/>
      <c r="Q1027" s="39"/>
      <c r="R1027" s="28"/>
      <c r="S1027" s="28"/>
      <c r="T1027" s="28"/>
      <c r="U1027" s="4"/>
      <c r="V1027" s="3"/>
      <c r="W1027" s="3"/>
    </row>
    <row r="1028" spans="1:23" s="5" customFormat="1">
      <c r="A1028" s="6"/>
      <c r="B1028" s="33"/>
      <c r="C1028" s="35"/>
      <c r="E1028" s="39"/>
      <c r="G1028" s="40"/>
      <c r="H1028" s="15"/>
      <c r="I1028" s="17"/>
      <c r="J1028" s="10"/>
      <c r="M1028" s="39"/>
      <c r="O1028" s="39"/>
      <c r="Q1028" s="39"/>
      <c r="R1028" s="28"/>
      <c r="S1028" s="28"/>
      <c r="T1028" s="28"/>
      <c r="U1028" s="4"/>
      <c r="V1028" s="3"/>
      <c r="W1028" s="3"/>
    </row>
    <row r="1029" spans="1:23" s="5" customFormat="1">
      <c r="A1029" s="6"/>
      <c r="B1029" s="33"/>
      <c r="C1029" s="35"/>
      <c r="E1029" s="39"/>
      <c r="G1029" s="40"/>
      <c r="H1029" s="15"/>
      <c r="I1029" s="17"/>
      <c r="J1029" s="10"/>
      <c r="M1029" s="39"/>
      <c r="O1029" s="39"/>
      <c r="Q1029" s="39"/>
      <c r="R1029" s="28"/>
      <c r="S1029" s="28"/>
      <c r="T1029" s="28"/>
      <c r="U1029" s="4"/>
      <c r="V1029" s="3"/>
      <c r="W1029" s="3"/>
    </row>
    <row r="1030" spans="1:23" s="5" customFormat="1">
      <c r="A1030" s="6"/>
      <c r="B1030" s="33"/>
      <c r="C1030" s="35"/>
      <c r="E1030" s="39"/>
      <c r="G1030" s="40"/>
      <c r="H1030" s="15"/>
      <c r="I1030" s="17"/>
      <c r="J1030" s="10"/>
      <c r="M1030" s="39"/>
      <c r="O1030" s="39"/>
      <c r="Q1030" s="39"/>
      <c r="R1030" s="28"/>
      <c r="S1030" s="28"/>
      <c r="T1030" s="28"/>
      <c r="U1030" s="4"/>
      <c r="V1030" s="3"/>
      <c r="W1030" s="3"/>
    </row>
    <row r="1031" spans="1:23" s="5" customFormat="1">
      <c r="A1031" s="6"/>
      <c r="B1031" s="33"/>
      <c r="C1031" s="35"/>
      <c r="E1031" s="39"/>
      <c r="G1031" s="40"/>
      <c r="H1031" s="15"/>
      <c r="I1031" s="17"/>
      <c r="J1031" s="10"/>
      <c r="M1031" s="39"/>
      <c r="O1031" s="39"/>
      <c r="Q1031" s="39"/>
      <c r="R1031" s="28"/>
      <c r="S1031" s="28"/>
      <c r="T1031" s="28"/>
      <c r="U1031" s="4"/>
      <c r="V1031" s="3"/>
      <c r="W1031" s="3"/>
    </row>
    <row r="1032" spans="1:23" s="5" customFormat="1">
      <c r="A1032" s="6"/>
      <c r="B1032" s="33"/>
      <c r="C1032" s="35"/>
      <c r="E1032" s="39"/>
      <c r="G1032" s="40"/>
      <c r="H1032" s="15"/>
      <c r="I1032" s="17"/>
      <c r="J1032" s="10"/>
      <c r="M1032" s="39"/>
      <c r="O1032" s="39"/>
      <c r="Q1032" s="39"/>
      <c r="R1032" s="28"/>
      <c r="S1032" s="28"/>
      <c r="T1032" s="28"/>
      <c r="U1032" s="4"/>
      <c r="V1032" s="3"/>
      <c r="W1032" s="3"/>
    </row>
    <row r="1033" spans="1:23" s="5" customFormat="1">
      <c r="A1033" s="6"/>
      <c r="B1033" s="33"/>
      <c r="C1033" s="35"/>
      <c r="E1033" s="39"/>
      <c r="G1033" s="40"/>
      <c r="H1033" s="15"/>
      <c r="I1033" s="17"/>
      <c r="J1033" s="10"/>
      <c r="M1033" s="39"/>
      <c r="O1033" s="39"/>
      <c r="Q1033" s="39"/>
      <c r="R1033" s="28"/>
      <c r="S1033" s="28"/>
      <c r="T1033" s="28"/>
      <c r="U1033" s="4"/>
      <c r="V1033" s="3"/>
      <c r="W1033" s="3"/>
    </row>
    <row r="1034" spans="1:23" s="5" customFormat="1">
      <c r="A1034" s="6"/>
      <c r="B1034" s="33"/>
      <c r="C1034" s="35"/>
      <c r="E1034" s="39"/>
      <c r="G1034" s="40"/>
      <c r="H1034" s="14"/>
      <c r="I1034" s="17"/>
      <c r="J1034" s="10"/>
      <c r="M1034" s="39"/>
      <c r="O1034" s="39"/>
      <c r="Q1034" s="39"/>
      <c r="R1034" s="28"/>
      <c r="S1034" s="28"/>
      <c r="T1034" s="28"/>
      <c r="U1034" s="4"/>
      <c r="V1034" s="3"/>
      <c r="W1034" s="3"/>
    </row>
    <row r="1035" spans="1:23" s="5" customFormat="1">
      <c r="A1035" s="6"/>
      <c r="B1035" s="33"/>
      <c r="C1035" s="35"/>
      <c r="E1035" s="39"/>
      <c r="G1035" s="40"/>
      <c r="H1035" s="15"/>
      <c r="I1035" s="17"/>
      <c r="J1035" s="10"/>
      <c r="M1035" s="39"/>
      <c r="O1035" s="39"/>
      <c r="Q1035" s="39"/>
      <c r="R1035" s="28"/>
      <c r="S1035" s="28"/>
      <c r="T1035" s="28"/>
      <c r="U1035" s="4"/>
      <c r="V1035" s="3"/>
      <c r="W1035" s="3"/>
    </row>
    <row r="1036" spans="1:23" s="5" customFormat="1">
      <c r="A1036" s="6"/>
      <c r="B1036" s="33"/>
      <c r="C1036" s="35"/>
      <c r="E1036" s="39"/>
      <c r="G1036" s="40"/>
      <c r="H1036" s="15"/>
      <c r="I1036" s="17"/>
      <c r="J1036" s="10"/>
      <c r="M1036" s="39"/>
      <c r="O1036" s="39"/>
      <c r="Q1036" s="39"/>
      <c r="R1036" s="28"/>
      <c r="S1036" s="28"/>
      <c r="T1036" s="28"/>
      <c r="U1036" s="4"/>
      <c r="V1036" s="3"/>
      <c r="W1036" s="3"/>
    </row>
    <row r="1037" spans="1:23" s="5" customFormat="1">
      <c r="A1037" s="6"/>
      <c r="B1037" s="33"/>
      <c r="C1037" s="35"/>
      <c r="E1037" s="39"/>
      <c r="G1037" s="40"/>
      <c r="H1037" s="15"/>
      <c r="I1037" s="17"/>
      <c r="J1037" s="10"/>
      <c r="M1037" s="39"/>
      <c r="O1037" s="39"/>
      <c r="Q1037" s="39"/>
      <c r="R1037" s="28"/>
      <c r="S1037" s="28"/>
      <c r="T1037" s="28"/>
      <c r="U1037" s="4"/>
      <c r="V1037" s="3"/>
      <c r="W1037" s="3"/>
    </row>
    <row r="1038" spans="1:23" s="5" customFormat="1">
      <c r="A1038" s="6"/>
      <c r="B1038" s="33"/>
      <c r="C1038" s="35"/>
      <c r="E1038" s="39"/>
      <c r="G1038" s="40"/>
      <c r="H1038" s="15"/>
      <c r="I1038" s="17"/>
      <c r="J1038" s="10"/>
      <c r="M1038" s="39"/>
      <c r="O1038" s="39"/>
      <c r="Q1038" s="39"/>
      <c r="R1038" s="28"/>
      <c r="S1038" s="28"/>
      <c r="T1038" s="28"/>
      <c r="U1038" s="4"/>
      <c r="V1038" s="3"/>
      <c r="W1038" s="3"/>
    </row>
    <row r="1039" spans="1:23" s="5" customFormat="1">
      <c r="A1039" s="6"/>
      <c r="B1039" s="33"/>
      <c r="C1039" s="35"/>
      <c r="E1039" s="39"/>
      <c r="G1039" s="40"/>
      <c r="H1039" s="15"/>
      <c r="I1039" s="17"/>
      <c r="J1039" s="10"/>
      <c r="M1039" s="39"/>
      <c r="O1039" s="39"/>
      <c r="Q1039" s="39"/>
      <c r="R1039" s="28"/>
      <c r="S1039" s="28"/>
      <c r="T1039" s="28"/>
      <c r="U1039" s="4"/>
      <c r="V1039" s="3"/>
      <c r="W1039" s="3"/>
    </row>
    <row r="1040" spans="1:23" s="5" customFormat="1">
      <c r="A1040" s="6"/>
      <c r="B1040" s="33"/>
      <c r="C1040" s="35"/>
      <c r="E1040" s="39"/>
      <c r="G1040" s="40"/>
      <c r="H1040" s="15"/>
      <c r="I1040" s="17"/>
      <c r="J1040" s="10"/>
      <c r="M1040" s="39"/>
      <c r="O1040" s="39"/>
      <c r="Q1040" s="39"/>
      <c r="R1040" s="28"/>
      <c r="S1040" s="28"/>
      <c r="T1040" s="28"/>
      <c r="U1040" s="4"/>
      <c r="V1040" s="3"/>
      <c r="W1040" s="3"/>
    </row>
    <row r="1041" spans="1:23" s="5" customFormat="1">
      <c r="A1041" s="6"/>
      <c r="B1041" s="33"/>
      <c r="C1041" s="35"/>
      <c r="E1041" s="39"/>
      <c r="G1041" s="40"/>
      <c r="H1041" s="15"/>
      <c r="I1041" s="17"/>
      <c r="J1041" s="10"/>
      <c r="M1041" s="39"/>
      <c r="O1041" s="39"/>
      <c r="Q1041" s="39"/>
      <c r="R1041" s="28"/>
      <c r="S1041" s="28"/>
      <c r="T1041" s="28"/>
      <c r="U1041" s="4"/>
      <c r="V1041" s="3"/>
      <c r="W1041" s="3"/>
    </row>
    <row r="1042" spans="1:23" s="5" customFormat="1">
      <c r="A1042" s="6"/>
      <c r="B1042" s="33"/>
      <c r="C1042" s="35"/>
      <c r="E1042" s="39"/>
      <c r="G1042" s="40"/>
      <c r="H1042" s="15"/>
      <c r="I1042" s="17"/>
      <c r="J1042" s="10"/>
      <c r="M1042" s="39"/>
      <c r="O1042" s="39"/>
      <c r="Q1042" s="39"/>
      <c r="R1042" s="28"/>
      <c r="S1042" s="28"/>
      <c r="T1042" s="28"/>
      <c r="U1042" s="4"/>
      <c r="V1042" s="3"/>
      <c r="W1042" s="3"/>
    </row>
    <row r="1043" spans="1:23" s="5" customFormat="1">
      <c r="A1043" s="6"/>
      <c r="B1043" s="33"/>
      <c r="C1043" s="35"/>
      <c r="E1043" s="39"/>
      <c r="G1043" s="40"/>
      <c r="H1043" s="14"/>
      <c r="I1043" s="17"/>
      <c r="J1043" s="10"/>
      <c r="M1043" s="39"/>
      <c r="O1043" s="39"/>
      <c r="Q1043" s="39"/>
      <c r="R1043" s="28"/>
      <c r="S1043" s="28"/>
      <c r="T1043" s="28"/>
      <c r="U1043" s="4"/>
      <c r="V1043" s="3"/>
      <c r="W1043" s="3"/>
    </row>
    <row r="1044" spans="1:23" s="5" customFormat="1">
      <c r="A1044" s="6"/>
      <c r="B1044" s="33"/>
      <c r="C1044" s="35"/>
      <c r="E1044" s="39"/>
      <c r="G1044" s="40"/>
      <c r="H1044" s="15"/>
      <c r="I1044" s="17"/>
      <c r="J1044" s="10"/>
      <c r="M1044" s="39"/>
      <c r="O1044" s="39"/>
      <c r="Q1044" s="39"/>
      <c r="R1044" s="28"/>
      <c r="S1044" s="28"/>
      <c r="T1044" s="28"/>
      <c r="U1044" s="4"/>
      <c r="V1044" s="3"/>
      <c r="W1044" s="3"/>
    </row>
    <row r="1045" spans="1:23" s="5" customFormat="1">
      <c r="A1045" s="6"/>
      <c r="B1045" s="33"/>
      <c r="C1045" s="35"/>
      <c r="E1045" s="39"/>
      <c r="G1045" s="40"/>
      <c r="H1045" s="15"/>
      <c r="I1045" s="17"/>
      <c r="J1045" s="10"/>
      <c r="M1045" s="39"/>
      <c r="O1045" s="39"/>
      <c r="Q1045" s="39"/>
      <c r="R1045" s="28"/>
      <c r="S1045" s="28"/>
      <c r="T1045" s="28"/>
      <c r="U1045" s="4"/>
      <c r="V1045" s="3"/>
      <c r="W1045" s="3"/>
    </row>
    <row r="1046" spans="1:23" s="5" customFormat="1">
      <c r="A1046" s="6"/>
      <c r="B1046" s="33"/>
      <c r="C1046" s="35"/>
      <c r="E1046" s="39"/>
      <c r="G1046" s="40"/>
      <c r="H1046" s="15"/>
      <c r="I1046" s="17"/>
      <c r="J1046" s="10"/>
      <c r="M1046" s="39"/>
      <c r="O1046" s="39"/>
      <c r="Q1046" s="39"/>
      <c r="R1046" s="28"/>
      <c r="S1046" s="28"/>
      <c r="T1046" s="28"/>
      <c r="U1046" s="4"/>
      <c r="V1046" s="3"/>
      <c r="W1046" s="3"/>
    </row>
    <row r="1047" spans="1:23" s="5" customFormat="1">
      <c r="A1047" s="6"/>
      <c r="B1047" s="33"/>
      <c r="C1047" s="35"/>
      <c r="E1047" s="39"/>
      <c r="G1047" s="40"/>
      <c r="H1047" s="15"/>
      <c r="I1047" s="17"/>
      <c r="J1047" s="10"/>
      <c r="M1047" s="39"/>
      <c r="O1047" s="39"/>
      <c r="Q1047" s="39"/>
      <c r="R1047" s="28"/>
      <c r="S1047" s="28"/>
      <c r="T1047" s="28"/>
      <c r="U1047" s="4"/>
      <c r="V1047" s="3"/>
      <c r="W1047" s="3"/>
    </row>
    <row r="1048" spans="1:23" s="5" customFormat="1">
      <c r="A1048" s="6"/>
      <c r="B1048" s="33"/>
      <c r="C1048" s="35"/>
      <c r="E1048" s="39"/>
      <c r="G1048" s="40"/>
      <c r="H1048" s="15"/>
      <c r="I1048" s="17"/>
      <c r="J1048" s="10"/>
      <c r="M1048" s="39"/>
      <c r="O1048" s="39"/>
      <c r="Q1048" s="39"/>
      <c r="R1048" s="28"/>
      <c r="S1048" s="28"/>
      <c r="T1048" s="28"/>
      <c r="U1048" s="4"/>
      <c r="V1048" s="3"/>
      <c r="W1048" s="3"/>
    </row>
    <row r="1049" spans="1:23" s="5" customFormat="1">
      <c r="A1049" s="6"/>
      <c r="B1049" s="33"/>
      <c r="C1049" s="35"/>
      <c r="E1049" s="39"/>
      <c r="G1049" s="40"/>
      <c r="H1049" s="15"/>
      <c r="I1049" s="17"/>
      <c r="J1049" s="10"/>
      <c r="M1049" s="39"/>
      <c r="O1049" s="39"/>
      <c r="Q1049" s="39"/>
      <c r="R1049" s="28"/>
      <c r="S1049" s="28"/>
      <c r="T1049" s="28"/>
      <c r="U1049" s="4"/>
      <c r="V1049" s="3"/>
      <c r="W1049" s="3"/>
    </row>
    <row r="1050" spans="1:23" s="5" customFormat="1">
      <c r="A1050" s="6"/>
      <c r="B1050" s="33"/>
      <c r="C1050" s="35"/>
      <c r="E1050" s="39"/>
      <c r="G1050" s="40"/>
      <c r="H1050" s="15"/>
      <c r="I1050" s="17"/>
      <c r="J1050" s="10"/>
      <c r="M1050" s="39"/>
      <c r="O1050" s="39"/>
      <c r="Q1050" s="39"/>
      <c r="R1050" s="28"/>
      <c r="S1050" s="28"/>
      <c r="T1050" s="28"/>
      <c r="U1050" s="4"/>
      <c r="V1050" s="3"/>
      <c r="W1050" s="3"/>
    </row>
    <row r="1051" spans="1:23" s="5" customFormat="1">
      <c r="A1051" s="6"/>
      <c r="B1051" s="33"/>
      <c r="C1051" s="35"/>
      <c r="E1051" s="39"/>
      <c r="G1051" s="40"/>
      <c r="H1051" s="14"/>
      <c r="I1051" s="17"/>
      <c r="J1051" s="10"/>
      <c r="M1051" s="39"/>
      <c r="O1051" s="39"/>
      <c r="Q1051" s="39"/>
      <c r="R1051" s="28"/>
      <c r="S1051" s="28"/>
      <c r="T1051" s="28"/>
      <c r="U1051" s="4"/>
      <c r="V1051" s="3"/>
      <c r="W1051" s="3"/>
    </row>
    <row r="1052" spans="1:23" s="5" customFormat="1">
      <c r="A1052" s="6"/>
      <c r="B1052" s="33"/>
      <c r="C1052" s="35"/>
      <c r="E1052" s="39"/>
      <c r="G1052" s="40"/>
      <c r="H1052" s="15"/>
      <c r="I1052" s="17"/>
      <c r="J1052" s="10"/>
      <c r="M1052" s="39"/>
      <c r="O1052" s="39"/>
      <c r="Q1052" s="39"/>
      <c r="R1052" s="28"/>
      <c r="S1052" s="28"/>
      <c r="T1052" s="28"/>
      <c r="U1052" s="4"/>
      <c r="V1052" s="3"/>
      <c r="W1052" s="3"/>
    </row>
    <row r="1053" spans="1:23" s="5" customFormat="1">
      <c r="A1053" s="6"/>
      <c r="B1053" s="33"/>
      <c r="C1053" s="35"/>
      <c r="E1053" s="39"/>
      <c r="G1053" s="40"/>
      <c r="H1053" s="15"/>
      <c r="I1053" s="17"/>
      <c r="J1053" s="10"/>
      <c r="M1053" s="39"/>
      <c r="O1053" s="39"/>
      <c r="Q1053" s="39"/>
      <c r="R1053" s="28"/>
      <c r="S1053" s="28"/>
      <c r="T1053" s="28"/>
      <c r="U1053" s="4"/>
      <c r="V1053" s="3"/>
      <c r="W1053" s="3"/>
    </row>
    <row r="1054" spans="1:23" s="5" customFormat="1">
      <c r="A1054" s="6"/>
      <c r="B1054" s="33"/>
      <c r="C1054" s="35"/>
      <c r="E1054" s="39"/>
      <c r="G1054" s="40"/>
      <c r="H1054" s="14"/>
      <c r="I1054" s="17"/>
      <c r="J1054" s="10"/>
      <c r="M1054" s="39"/>
      <c r="O1054" s="39"/>
      <c r="Q1054" s="39"/>
      <c r="R1054" s="28"/>
      <c r="S1054" s="28"/>
      <c r="T1054" s="28"/>
      <c r="U1054" s="4"/>
      <c r="V1054" s="3"/>
      <c r="W1054" s="3"/>
    </row>
    <row r="1055" spans="1:23" s="5" customFormat="1">
      <c r="A1055" s="6"/>
      <c r="B1055" s="33"/>
      <c r="C1055" s="35"/>
      <c r="E1055" s="39"/>
      <c r="G1055" s="40"/>
      <c r="H1055" s="14"/>
      <c r="I1055" s="17"/>
      <c r="J1055" s="10"/>
      <c r="M1055" s="39"/>
      <c r="O1055" s="39"/>
      <c r="Q1055" s="39"/>
      <c r="R1055" s="28"/>
      <c r="S1055" s="28"/>
      <c r="T1055" s="28"/>
      <c r="U1055" s="4"/>
      <c r="V1055" s="3"/>
      <c r="W1055" s="3"/>
    </row>
    <row r="1056" spans="1:23" s="5" customFormat="1">
      <c r="A1056" s="6"/>
      <c r="B1056" s="33"/>
      <c r="C1056" s="35"/>
      <c r="E1056" s="39"/>
      <c r="G1056" s="40"/>
      <c r="H1056" s="14"/>
      <c r="I1056" s="17"/>
      <c r="J1056" s="10"/>
      <c r="M1056" s="39"/>
      <c r="O1056" s="39"/>
      <c r="Q1056" s="39"/>
      <c r="R1056" s="28"/>
      <c r="S1056" s="28"/>
      <c r="T1056" s="28"/>
      <c r="U1056" s="4"/>
      <c r="V1056" s="3"/>
      <c r="W1056" s="3"/>
    </row>
    <row r="1057" spans="1:23" s="5" customFormat="1">
      <c r="A1057" s="6"/>
      <c r="B1057" s="33"/>
      <c r="C1057" s="35"/>
      <c r="E1057" s="39"/>
      <c r="G1057" s="40"/>
      <c r="H1057" s="14"/>
      <c r="I1057" s="17"/>
      <c r="J1057" s="10"/>
      <c r="M1057" s="39"/>
      <c r="O1057" s="39"/>
      <c r="Q1057" s="39"/>
      <c r="R1057" s="28"/>
      <c r="S1057" s="28"/>
      <c r="T1057" s="28"/>
      <c r="U1057" s="4"/>
      <c r="V1057" s="3"/>
      <c r="W1057" s="3"/>
    </row>
    <row r="1058" spans="1:23" s="5" customFormat="1">
      <c r="A1058" s="6"/>
      <c r="B1058" s="33"/>
      <c r="C1058" s="35"/>
      <c r="E1058" s="39"/>
      <c r="G1058" s="40"/>
      <c r="H1058" s="15"/>
      <c r="I1058" s="17"/>
      <c r="J1058" s="10"/>
      <c r="M1058" s="39"/>
      <c r="O1058" s="39"/>
      <c r="Q1058" s="39"/>
      <c r="R1058" s="28"/>
      <c r="S1058" s="28"/>
      <c r="T1058" s="28"/>
      <c r="U1058" s="4"/>
      <c r="V1058" s="3"/>
      <c r="W1058" s="3"/>
    </row>
    <row r="1059" spans="1:23" s="5" customFormat="1">
      <c r="A1059" s="6"/>
      <c r="B1059" s="33"/>
      <c r="C1059" s="35"/>
      <c r="E1059" s="39"/>
      <c r="G1059" s="40"/>
      <c r="H1059" s="14"/>
      <c r="I1059" s="17"/>
      <c r="J1059" s="10"/>
      <c r="M1059" s="39"/>
      <c r="O1059" s="39"/>
      <c r="Q1059" s="39"/>
      <c r="R1059" s="28"/>
      <c r="S1059" s="28"/>
      <c r="T1059" s="28"/>
      <c r="U1059" s="4"/>
      <c r="V1059" s="3"/>
      <c r="W1059" s="3"/>
    </row>
    <row r="1060" spans="1:23" s="5" customFormat="1">
      <c r="A1060" s="6"/>
      <c r="B1060" s="33"/>
      <c r="C1060" s="35"/>
      <c r="E1060" s="39"/>
      <c r="G1060" s="40"/>
      <c r="H1060" s="15"/>
      <c r="I1060" s="17"/>
      <c r="J1060" s="10"/>
      <c r="M1060" s="39"/>
      <c r="O1060" s="39"/>
      <c r="Q1060" s="39"/>
      <c r="R1060" s="28"/>
      <c r="S1060" s="28"/>
      <c r="T1060" s="28"/>
      <c r="U1060" s="4"/>
      <c r="V1060" s="3"/>
      <c r="W1060" s="3"/>
    </row>
    <row r="1061" spans="1:23" s="5" customFormat="1">
      <c r="A1061" s="6"/>
      <c r="B1061" s="33"/>
      <c r="C1061" s="35"/>
      <c r="E1061" s="39"/>
      <c r="G1061" s="40"/>
      <c r="H1061" s="15"/>
      <c r="I1061" s="17"/>
      <c r="J1061" s="10"/>
      <c r="M1061" s="39"/>
      <c r="O1061" s="39"/>
      <c r="Q1061" s="39"/>
      <c r="R1061" s="28"/>
      <c r="S1061" s="28"/>
      <c r="T1061" s="28"/>
      <c r="U1061" s="4"/>
      <c r="V1061" s="3"/>
      <c r="W1061" s="3"/>
    </row>
    <row r="1062" spans="1:23" s="5" customFormat="1">
      <c r="A1062" s="6"/>
      <c r="B1062" s="33"/>
      <c r="C1062" s="35"/>
      <c r="E1062" s="39"/>
      <c r="G1062" s="40"/>
      <c r="H1062" s="15"/>
      <c r="I1062" s="17"/>
      <c r="J1062" s="10"/>
      <c r="M1062" s="39"/>
      <c r="O1062" s="39"/>
      <c r="Q1062" s="39"/>
      <c r="R1062" s="28"/>
      <c r="S1062" s="28"/>
      <c r="T1062" s="28"/>
      <c r="U1062" s="4"/>
      <c r="V1062" s="3"/>
      <c r="W1062" s="3"/>
    </row>
    <row r="1063" spans="1:23" s="5" customFormat="1">
      <c r="A1063" s="6"/>
      <c r="B1063" s="33"/>
      <c r="C1063" s="35"/>
      <c r="E1063" s="39"/>
      <c r="G1063" s="40"/>
      <c r="H1063" s="15"/>
      <c r="I1063" s="17"/>
      <c r="J1063" s="10"/>
      <c r="M1063" s="39"/>
      <c r="O1063" s="39"/>
      <c r="Q1063" s="39"/>
      <c r="R1063" s="28"/>
      <c r="S1063" s="28"/>
      <c r="T1063" s="28"/>
      <c r="U1063" s="4"/>
      <c r="V1063" s="3"/>
      <c r="W1063" s="3"/>
    </row>
    <row r="1064" spans="1:23" s="5" customFormat="1">
      <c r="A1064" s="6"/>
      <c r="B1064" s="33"/>
      <c r="C1064" s="35"/>
      <c r="E1064" s="39"/>
      <c r="G1064" s="40"/>
      <c r="H1064" s="14"/>
      <c r="I1064" s="17"/>
      <c r="J1064" s="10"/>
      <c r="M1064" s="39"/>
      <c r="O1064" s="39"/>
      <c r="Q1064" s="39"/>
      <c r="R1064" s="28"/>
      <c r="S1064" s="28"/>
      <c r="T1064" s="28"/>
      <c r="U1064" s="4"/>
      <c r="V1064" s="3"/>
      <c r="W1064" s="3"/>
    </row>
    <row r="1065" spans="1:23" s="5" customFormat="1">
      <c r="A1065" s="6"/>
      <c r="B1065" s="33"/>
      <c r="C1065" s="35"/>
      <c r="E1065" s="39"/>
      <c r="G1065" s="40"/>
      <c r="H1065" s="14"/>
      <c r="I1065" s="17"/>
      <c r="J1065" s="10"/>
      <c r="M1065" s="39"/>
      <c r="O1065" s="39"/>
      <c r="Q1065" s="39"/>
      <c r="R1065" s="28"/>
      <c r="S1065" s="28"/>
      <c r="T1065" s="28"/>
      <c r="U1065" s="4"/>
      <c r="V1065" s="3"/>
      <c r="W1065" s="3"/>
    </row>
    <row r="1066" spans="1:23" s="5" customFormat="1">
      <c r="A1066" s="6"/>
      <c r="B1066" s="33"/>
      <c r="C1066" s="35"/>
      <c r="E1066" s="39"/>
      <c r="G1066" s="40"/>
      <c r="H1066" s="15"/>
      <c r="I1066" s="17"/>
      <c r="J1066" s="10"/>
      <c r="M1066" s="39"/>
      <c r="O1066" s="39"/>
      <c r="Q1066" s="39"/>
      <c r="R1066" s="28"/>
      <c r="S1066" s="28"/>
      <c r="T1066" s="28"/>
      <c r="U1066" s="4"/>
      <c r="V1066" s="3"/>
      <c r="W1066" s="3"/>
    </row>
    <row r="1067" spans="1:23" s="5" customFormat="1">
      <c r="A1067" s="6"/>
      <c r="B1067" s="33"/>
      <c r="C1067" s="35"/>
      <c r="E1067" s="39"/>
      <c r="G1067" s="40"/>
      <c r="H1067" s="15"/>
      <c r="I1067" s="17"/>
      <c r="J1067" s="10"/>
      <c r="M1067" s="39"/>
      <c r="O1067" s="39"/>
      <c r="Q1067" s="39"/>
      <c r="R1067" s="28"/>
      <c r="S1067" s="28"/>
      <c r="T1067" s="28"/>
      <c r="U1067" s="4"/>
      <c r="V1067" s="3"/>
      <c r="W1067" s="3"/>
    </row>
    <row r="1068" spans="1:23" s="5" customFormat="1">
      <c r="A1068" s="6"/>
      <c r="B1068" s="33"/>
      <c r="C1068" s="35"/>
      <c r="E1068" s="39"/>
      <c r="G1068" s="40"/>
      <c r="H1068" s="14"/>
      <c r="I1068" s="17"/>
      <c r="J1068" s="10"/>
      <c r="M1068" s="39"/>
      <c r="O1068" s="39"/>
      <c r="Q1068" s="39"/>
      <c r="R1068" s="28"/>
      <c r="S1068" s="28"/>
      <c r="T1068" s="28"/>
      <c r="U1068" s="4"/>
      <c r="V1068" s="3"/>
      <c r="W1068" s="3"/>
    </row>
    <row r="1069" spans="1:23" s="5" customFormat="1">
      <c r="A1069" s="6"/>
      <c r="B1069" s="33"/>
      <c r="C1069" s="35"/>
      <c r="E1069" s="39"/>
      <c r="G1069" s="40"/>
      <c r="H1069" s="15"/>
      <c r="I1069" s="17"/>
      <c r="J1069" s="10"/>
      <c r="M1069" s="39"/>
      <c r="O1069" s="39"/>
      <c r="Q1069" s="39"/>
      <c r="R1069" s="28"/>
      <c r="S1069" s="28"/>
      <c r="T1069" s="28"/>
      <c r="U1069" s="4"/>
      <c r="V1069" s="3"/>
      <c r="W1069" s="3"/>
    </row>
    <row r="1070" spans="1:23" s="5" customFormat="1">
      <c r="A1070" s="6"/>
      <c r="B1070" s="33"/>
      <c r="C1070" s="35"/>
      <c r="E1070" s="39"/>
      <c r="G1070" s="40"/>
      <c r="H1070" s="15"/>
      <c r="I1070" s="17"/>
      <c r="J1070" s="10"/>
      <c r="M1070" s="39"/>
      <c r="O1070" s="39"/>
      <c r="Q1070" s="39"/>
      <c r="R1070" s="28"/>
      <c r="S1070" s="28"/>
      <c r="T1070" s="28"/>
      <c r="U1070" s="4"/>
      <c r="V1070" s="3"/>
      <c r="W1070" s="3"/>
    </row>
    <row r="1071" spans="1:23" s="5" customFormat="1">
      <c r="A1071" s="6"/>
      <c r="B1071" s="33"/>
      <c r="C1071" s="35"/>
      <c r="E1071" s="39"/>
      <c r="G1071" s="40"/>
      <c r="H1071" s="14"/>
      <c r="I1071" s="17"/>
      <c r="J1071" s="10"/>
      <c r="M1071" s="39"/>
      <c r="O1071" s="39"/>
      <c r="Q1071" s="39"/>
      <c r="R1071" s="28"/>
      <c r="S1071" s="28"/>
      <c r="T1071" s="28"/>
      <c r="U1071" s="4"/>
      <c r="V1071" s="3"/>
      <c r="W1071" s="3"/>
    </row>
    <row r="1072" spans="1:23" s="5" customFormat="1">
      <c r="A1072" s="6"/>
      <c r="B1072" s="33"/>
      <c r="C1072" s="35"/>
      <c r="E1072" s="39"/>
      <c r="G1072" s="40"/>
      <c r="H1072" s="15"/>
      <c r="I1072" s="17"/>
      <c r="J1072" s="10"/>
      <c r="M1072" s="39"/>
      <c r="O1072" s="39"/>
      <c r="Q1072" s="39"/>
      <c r="R1072" s="28"/>
      <c r="S1072" s="28"/>
      <c r="T1072" s="28"/>
      <c r="U1072" s="4"/>
      <c r="V1072" s="3"/>
      <c r="W1072" s="3"/>
    </row>
    <row r="1073" spans="1:23" s="5" customFormat="1">
      <c r="A1073" s="6"/>
      <c r="B1073" s="33"/>
      <c r="C1073" s="35"/>
      <c r="E1073" s="39"/>
      <c r="G1073" s="40"/>
      <c r="H1073" s="14"/>
      <c r="I1073" s="17"/>
      <c r="J1073" s="10"/>
      <c r="M1073" s="39"/>
      <c r="O1073" s="39"/>
      <c r="Q1073" s="39"/>
      <c r="R1073" s="28"/>
      <c r="S1073" s="28"/>
      <c r="T1073" s="28"/>
      <c r="U1073" s="4"/>
      <c r="V1073" s="3"/>
      <c r="W1073" s="3"/>
    </row>
    <row r="1074" spans="1:23" s="5" customFormat="1">
      <c r="A1074" s="6"/>
      <c r="B1074" s="33"/>
      <c r="C1074" s="35"/>
      <c r="E1074" s="39"/>
      <c r="G1074" s="40"/>
      <c r="H1074" s="15"/>
      <c r="I1074" s="17"/>
      <c r="J1074" s="10"/>
      <c r="M1074" s="39"/>
      <c r="O1074" s="39"/>
      <c r="Q1074" s="39"/>
      <c r="R1074" s="28"/>
      <c r="S1074" s="28"/>
      <c r="T1074" s="28"/>
      <c r="U1074" s="4"/>
      <c r="V1074" s="3"/>
      <c r="W1074" s="3"/>
    </row>
    <row r="1075" spans="1:23" s="5" customFormat="1">
      <c r="A1075" s="6"/>
      <c r="B1075" s="33"/>
      <c r="C1075" s="35"/>
      <c r="E1075" s="39"/>
      <c r="G1075" s="40"/>
      <c r="H1075" s="14"/>
      <c r="I1075" s="17"/>
      <c r="J1075" s="10"/>
      <c r="M1075" s="39"/>
      <c r="O1075" s="39"/>
      <c r="Q1075" s="39"/>
      <c r="R1075" s="28"/>
      <c r="S1075" s="28"/>
      <c r="T1075" s="28"/>
      <c r="U1075" s="4"/>
      <c r="V1075" s="3"/>
      <c r="W1075" s="3"/>
    </row>
    <row r="1076" spans="1:23" s="5" customFormat="1">
      <c r="A1076" s="6"/>
      <c r="B1076" s="33"/>
      <c r="C1076" s="35"/>
      <c r="E1076" s="39"/>
      <c r="G1076" s="40"/>
      <c r="H1076" s="15"/>
      <c r="I1076" s="17"/>
      <c r="J1076" s="10"/>
      <c r="M1076" s="39"/>
      <c r="O1076" s="39"/>
      <c r="Q1076" s="39"/>
      <c r="R1076" s="28"/>
      <c r="S1076" s="28"/>
      <c r="T1076" s="28"/>
      <c r="U1076" s="4"/>
      <c r="V1076" s="3"/>
      <c r="W1076" s="3"/>
    </row>
    <row r="1077" spans="1:23" s="5" customFormat="1">
      <c r="A1077" s="6"/>
      <c r="B1077" s="33"/>
      <c r="C1077" s="35"/>
      <c r="E1077" s="39"/>
      <c r="G1077" s="40"/>
      <c r="H1077" s="15"/>
      <c r="I1077" s="17"/>
      <c r="J1077" s="10"/>
      <c r="M1077" s="39"/>
      <c r="O1077" s="39"/>
      <c r="Q1077" s="39"/>
      <c r="R1077" s="28"/>
      <c r="S1077" s="28"/>
      <c r="T1077" s="28"/>
      <c r="U1077" s="4"/>
      <c r="V1077" s="3"/>
      <c r="W1077" s="3"/>
    </row>
    <row r="1078" spans="1:23" s="5" customFormat="1">
      <c r="A1078" s="6"/>
      <c r="B1078" s="33"/>
      <c r="C1078" s="35"/>
      <c r="E1078" s="39"/>
      <c r="G1078" s="40"/>
      <c r="H1078" s="14"/>
      <c r="I1078" s="17"/>
      <c r="J1078" s="10"/>
      <c r="M1078" s="39"/>
      <c r="O1078" s="39"/>
      <c r="Q1078" s="39"/>
      <c r="R1078" s="28"/>
      <c r="S1078" s="28"/>
      <c r="T1078" s="28"/>
      <c r="U1078" s="4"/>
      <c r="V1078" s="3"/>
      <c r="W1078" s="3"/>
    </row>
    <row r="1079" spans="1:23" s="5" customFormat="1">
      <c r="A1079" s="20"/>
      <c r="B1079" s="33"/>
      <c r="C1079" s="35"/>
      <c r="E1079" s="39"/>
      <c r="F1079" s="1"/>
      <c r="G1079" s="40"/>
      <c r="H1079" s="12"/>
      <c r="I1079" s="9"/>
      <c r="J1079" s="12"/>
      <c r="M1079" s="39"/>
      <c r="O1079" s="39"/>
      <c r="Q1079" s="39"/>
      <c r="R1079" s="29"/>
      <c r="S1079" s="28"/>
      <c r="T1079" s="28"/>
      <c r="U1079" s="4"/>
      <c r="V1079" s="3"/>
      <c r="W1079" s="3"/>
    </row>
    <row r="1080" spans="1:23" s="5" customFormat="1">
      <c r="A1080" s="6"/>
      <c r="B1080" s="33"/>
      <c r="C1080" s="35"/>
      <c r="E1080" s="39"/>
      <c r="G1080" s="40"/>
      <c r="H1080" s="15"/>
      <c r="I1080" s="17"/>
      <c r="J1080" s="10"/>
      <c r="M1080" s="39"/>
      <c r="O1080" s="39"/>
      <c r="Q1080" s="39"/>
      <c r="R1080" s="28"/>
      <c r="S1080" s="28"/>
      <c r="T1080" s="28"/>
      <c r="U1080" s="4"/>
      <c r="V1080" s="3"/>
      <c r="W1080" s="3"/>
    </row>
    <row r="1081" spans="1:23" s="5" customFormat="1">
      <c r="A1081" s="6"/>
      <c r="B1081" s="33"/>
      <c r="C1081" s="35"/>
      <c r="E1081" s="39"/>
      <c r="G1081" s="40"/>
      <c r="H1081" s="15"/>
      <c r="I1081" s="17"/>
      <c r="J1081" s="10"/>
      <c r="M1081" s="39"/>
      <c r="O1081" s="39"/>
      <c r="Q1081" s="39"/>
      <c r="R1081" s="28"/>
      <c r="S1081" s="28"/>
      <c r="T1081" s="28"/>
      <c r="U1081" s="4"/>
      <c r="V1081" s="3"/>
      <c r="W1081" s="3"/>
    </row>
    <row r="1082" spans="1:23" s="5" customFormat="1">
      <c r="A1082" s="6"/>
      <c r="B1082" s="33"/>
      <c r="C1082" s="35"/>
      <c r="E1082" s="39"/>
      <c r="G1082" s="40"/>
      <c r="H1082" s="14"/>
      <c r="I1082" s="17"/>
      <c r="J1082" s="10"/>
      <c r="M1082" s="39"/>
      <c r="O1082" s="39"/>
      <c r="Q1082" s="39"/>
      <c r="R1082" s="28"/>
      <c r="S1082" s="28"/>
      <c r="T1082" s="28"/>
      <c r="U1082" s="4"/>
      <c r="V1082" s="3"/>
      <c r="W1082" s="3"/>
    </row>
    <row r="1083" spans="1:23" s="5" customFormat="1">
      <c r="A1083" s="6"/>
      <c r="B1083" s="33"/>
      <c r="C1083" s="35"/>
      <c r="E1083" s="39"/>
      <c r="G1083" s="40"/>
      <c r="H1083" s="15"/>
      <c r="I1083" s="17"/>
      <c r="J1083" s="10"/>
      <c r="M1083" s="39"/>
      <c r="O1083" s="39"/>
      <c r="Q1083" s="39"/>
      <c r="R1083" s="28"/>
      <c r="S1083" s="28"/>
      <c r="T1083" s="28"/>
      <c r="U1083" s="4"/>
      <c r="V1083" s="3"/>
      <c r="W1083" s="3"/>
    </row>
    <row r="1084" spans="1:23" s="5" customFormat="1">
      <c r="A1084" s="6"/>
      <c r="B1084" s="33"/>
      <c r="C1084" s="35"/>
      <c r="E1084" s="39"/>
      <c r="G1084" s="40"/>
      <c r="H1084" s="15"/>
      <c r="I1084" s="17"/>
      <c r="J1084" s="10"/>
      <c r="M1084" s="39"/>
      <c r="O1084" s="39"/>
      <c r="Q1084" s="39"/>
      <c r="R1084" s="28"/>
      <c r="S1084" s="28"/>
      <c r="T1084" s="28"/>
      <c r="U1084" s="4"/>
      <c r="V1084" s="3"/>
      <c r="W1084" s="3"/>
    </row>
    <row r="1085" spans="1:23" s="5" customFormat="1">
      <c r="A1085" s="6"/>
      <c r="B1085" s="33"/>
      <c r="C1085" s="35"/>
      <c r="E1085" s="39"/>
      <c r="G1085" s="40"/>
      <c r="H1085" s="15"/>
      <c r="I1085" s="17"/>
      <c r="J1085" s="10"/>
      <c r="M1085" s="39"/>
      <c r="O1085" s="39"/>
      <c r="Q1085" s="39"/>
      <c r="R1085" s="28"/>
      <c r="S1085" s="28"/>
      <c r="T1085" s="28"/>
      <c r="U1085" s="4"/>
      <c r="V1085" s="3"/>
      <c r="W1085" s="3"/>
    </row>
    <row r="1086" spans="1:23" s="5" customFormat="1">
      <c r="A1086" s="6"/>
      <c r="B1086" s="33"/>
      <c r="C1086" s="35"/>
      <c r="E1086" s="39"/>
      <c r="G1086" s="40"/>
      <c r="H1086" s="14"/>
      <c r="I1086" s="17"/>
      <c r="J1086" s="10"/>
      <c r="M1086" s="39"/>
      <c r="O1086" s="39"/>
      <c r="Q1086" s="39"/>
      <c r="R1086" s="28"/>
      <c r="S1086" s="28"/>
      <c r="T1086" s="28"/>
      <c r="U1086" s="4"/>
      <c r="V1086" s="3"/>
      <c r="W1086" s="3"/>
    </row>
    <row r="1087" spans="1:23" s="5" customFormat="1">
      <c r="A1087" s="6"/>
      <c r="B1087" s="33"/>
      <c r="C1087" s="35"/>
      <c r="E1087" s="39"/>
      <c r="G1087" s="40"/>
      <c r="H1087" s="15"/>
      <c r="I1087" s="17"/>
      <c r="J1087" s="10"/>
      <c r="M1087" s="39"/>
      <c r="O1087" s="39"/>
      <c r="Q1087" s="39"/>
      <c r="R1087" s="28"/>
      <c r="S1087" s="28"/>
      <c r="T1087" s="28"/>
      <c r="U1087" s="4"/>
      <c r="V1087" s="3"/>
      <c r="W1087" s="3"/>
    </row>
    <row r="1088" spans="1:23" s="5" customFormat="1">
      <c r="A1088" s="6"/>
      <c r="B1088" s="33"/>
      <c r="C1088" s="35"/>
      <c r="E1088" s="39"/>
      <c r="G1088" s="40"/>
      <c r="H1088" s="14"/>
      <c r="I1088" s="17"/>
      <c r="J1088" s="10"/>
      <c r="M1088" s="39"/>
      <c r="O1088" s="39"/>
      <c r="Q1088" s="39"/>
      <c r="R1088" s="28"/>
      <c r="S1088" s="28"/>
      <c r="T1088" s="28"/>
      <c r="U1088" s="4"/>
      <c r="V1088" s="3"/>
      <c r="W1088" s="3"/>
    </row>
    <row r="1089" spans="1:23" s="5" customFormat="1">
      <c r="A1089" s="6"/>
      <c r="B1089" s="33"/>
      <c r="C1089" s="35"/>
      <c r="E1089" s="39"/>
      <c r="G1089" s="40"/>
      <c r="H1089" s="14"/>
      <c r="I1089" s="17"/>
      <c r="J1089" s="10"/>
      <c r="M1089" s="39"/>
      <c r="O1089" s="39"/>
      <c r="Q1089" s="39"/>
      <c r="R1089" s="28"/>
      <c r="S1089" s="28"/>
      <c r="T1089" s="28"/>
      <c r="U1089" s="4"/>
      <c r="V1089" s="3"/>
      <c r="W1089" s="3"/>
    </row>
    <row r="1090" spans="1:23" s="5" customFormat="1">
      <c r="A1090" s="6"/>
      <c r="B1090" s="33"/>
      <c r="C1090" s="35"/>
      <c r="E1090" s="39"/>
      <c r="G1090" s="40"/>
      <c r="H1090" s="15"/>
      <c r="I1090" s="17"/>
      <c r="J1090" s="10"/>
      <c r="M1090" s="39"/>
      <c r="O1090" s="39"/>
      <c r="Q1090" s="39"/>
      <c r="R1090" s="28"/>
      <c r="S1090" s="28"/>
      <c r="T1090" s="28"/>
      <c r="U1090" s="4"/>
      <c r="V1090" s="3"/>
      <c r="W1090" s="3"/>
    </row>
    <row r="1091" spans="1:23" s="5" customFormat="1">
      <c r="A1091" s="6"/>
      <c r="B1091" s="33"/>
      <c r="C1091" s="35"/>
      <c r="E1091" s="39"/>
      <c r="G1091" s="40"/>
      <c r="H1091" s="15"/>
      <c r="I1091" s="17"/>
      <c r="J1091" s="10"/>
      <c r="M1091" s="39"/>
      <c r="O1091" s="39"/>
      <c r="Q1091" s="39"/>
      <c r="R1091" s="28"/>
      <c r="S1091" s="28"/>
      <c r="T1091" s="28"/>
      <c r="U1091" s="4"/>
      <c r="V1091" s="3"/>
      <c r="W1091" s="3"/>
    </row>
    <row r="1092" spans="1:23" s="5" customFormat="1">
      <c r="A1092" s="6"/>
      <c r="B1092" s="33"/>
      <c r="C1092" s="35"/>
      <c r="E1092" s="39"/>
      <c r="G1092" s="40"/>
      <c r="H1092" s="15"/>
      <c r="I1092" s="17"/>
      <c r="J1092" s="10"/>
      <c r="M1092" s="39"/>
      <c r="O1092" s="39"/>
      <c r="Q1092" s="39"/>
      <c r="R1092" s="28"/>
      <c r="S1092" s="28"/>
      <c r="T1092" s="28"/>
      <c r="U1092" s="4"/>
      <c r="V1092" s="3"/>
      <c r="W1092" s="3"/>
    </row>
    <row r="1093" spans="1:23" s="5" customFormat="1">
      <c r="A1093" s="6"/>
      <c r="B1093" s="33"/>
      <c r="C1093" s="35"/>
      <c r="E1093" s="39"/>
      <c r="G1093" s="40"/>
      <c r="H1093" s="15"/>
      <c r="I1093" s="17"/>
      <c r="J1093" s="10"/>
      <c r="M1093" s="39"/>
      <c r="O1093" s="39"/>
      <c r="Q1093" s="39"/>
      <c r="R1093" s="28"/>
      <c r="S1093" s="28"/>
      <c r="T1093" s="28"/>
      <c r="U1093" s="4"/>
      <c r="V1093" s="3"/>
      <c r="W1093" s="3"/>
    </row>
    <row r="1094" spans="1:23" s="5" customFormat="1">
      <c r="A1094" s="6"/>
      <c r="B1094" s="33"/>
      <c r="C1094" s="35"/>
      <c r="E1094" s="39"/>
      <c r="G1094" s="40"/>
      <c r="H1094" s="14"/>
      <c r="I1094" s="17"/>
      <c r="J1094" s="10"/>
      <c r="M1094" s="39"/>
      <c r="O1094" s="39"/>
      <c r="Q1094" s="39"/>
      <c r="R1094" s="28"/>
      <c r="S1094" s="28"/>
      <c r="T1094" s="28"/>
      <c r="U1094" s="4"/>
      <c r="V1094" s="3"/>
      <c r="W1094" s="3"/>
    </row>
    <row r="1095" spans="1:23" s="5" customFormat="1">
      <c r="A1095" s="6"/>
      <c r="B1095" s="33"/>
      <c r="C1095" s="35"/>
      <c r="E1095" s="39"/>
      <c r="G1095" s="40"/>
      <c r="H1095" s="15"/>
      <c r="I1095" s="17"/>
      <c r="J1095" s="10"/>
      <c r="M1095" s="39"/>
      <c r="O1095" s="39"/>
      <c r="Q1095" s="39"/>
      <c r="R1095" s="28"/>
      <c r="S1095" s="28"/>
      <c r="T1095" s="28"/>
      <c r="U1095" s="4"/>
      <c r="V1095" s="3"/>
      <c r="W1095" s="3"/>
    </row>
    <row r="1096" spans="1:23" s="5" customFormat="1">
      <c r="A1096" s="6"/>
      <c r="B1096" s="33"/>
      <c r="C1096" s="35"/>
      <c r="E1096" s="39"/>
      <c r="G1096" s="40"/>
      <c r="H1096" s="15"/>
      <c r="I1096" s="17"/>
      <c r="J1096" s="10"/>
      <c r="M1096" s="39"/>
      <c r="O1096" s="39"/>
      <c r="Q1096" s="39"/>
      <c r="R1096" s="28"/>
      <c r="S1096" s="28"/>
      <c r="T1096" s="28"/>
      <c r="U1096" s="4"/>
      <c r="V1096" s="3"/>
      <c r="W1096" s="3"/>
    </row>
    <row r="1097" spans="1:23" s="5" customFormat="1">
      <c r="A1097" s="6"/>
      <c r="B1097" s="33"/>
      <c r="C1097" s="35"/>
      <c r="E1097" s="39"/>
      <c r="G1097" s="40"/>
      <c r="H1097" s="14"/>
      <c r="I1097" s="17"/>
      <c r="J1097" s="10"/>
      <c r="M1097" s="39"/>
      <c r="O1097" s="39"/>
      <c r="Q1097" s="39"/>
      <c r="R1097" s="28"/>
      <c r="S1097" s="28"/>
      <c r="T1097" s="28"/>
      <c r="U1097" s="4"/>
      <c r="V1097" s="3"/>
      <c r="W1097" s="3"/>
    </row>
    <row r="1098" spans="1:23" s="5" customFormat="1">
      <c r="A1098" s="6"/>
      <c r="B1098" s="33"/>
      <c r="C1098" s="35"/>
      <c r="E1098" s="39"/>
      <c r="G1098" s="40"/>
      <c r="H1098" s="14"/>
      <c r="I1098" s="17"/>
      <c r="J1098" s="10"/>
      <c r="M1098" s="39"/>
      <c r="O1098" s="39"/>
      <c r="Q1098" s="39"/>
      <c r="R1098" s="28"/>
      <c r="S1098" s="28"/>
      <c r="T1098" s="28"/>
      <c r="U1098" s="4"/>
      <c r="V1098" s="3"/>
      <c r="W1098" s="3"/>
    </row>
    <row r="1099" spans="1:23" s="5" customFormat="1">
      <c r="A1099" s="6"/>
      <c r="B1099" s="33"/>
      <c r="C1099" s="35"/>
      <c r="E1099" s="39"/>
      <c r="G1099" s="40"/>
      <c r="H1099" s="15"/>
      <c r="I1099" s="17"/>
      <c r="J1099" s="10"/>
      <c r="M1099" s="39"/>
      <c r="O1099" s="39"/>
      <c r="Q1099" s="39"/>
      <c r="R1099" s="28"/>
      <c r="S1099" s="28"/>
      <c r="T1099" s="28"/>
      <c r="U1099" s="4"/>
      <c r="V1099" s="3"/>
      <c r="W1099" s="3"/>
    </row>
    <row r="1100" spans="1:23" s="5" customFormat="1">
      <c r="A1100" s="6"/>
      <c r="B1100" s="33"/>
      <c r="C1100" s="35"/>
      <c r="E1100" s="39"/>
      <c r="G1100" s="40"/>
      <c r="H1100" s="15"/>
      <c r="I1100" s="17"/>
      <c r="J1100" s="10"/>
      <c r="M1100" s="39"/>
      <c r="O1100" s="39"/>
      <c r="Q1100" s="39"/>
      <c r="R1100" s="28"/>
      <c r="S1100" s="28"/>
      <c r="T1100" s="28"/>
      <c r="U1100" s="4"/>
      <c r="V1100" s="3"/>
      <c r="W1100" s="3"/>
    </row>
    <row r="1101" spans="1:23" s="5" customFormat="1">
      <c r="A1101" s="20"/>
      <c r="B1101" s="33"/>
      <c r="C1101" s="35"/>
      <c r="D1101" s="1"/>
      <c r="E1101" s="39"/>
      <c r="F1101" s="1"/>
      <c r="G1101" s="40"/>
      <c r="H1101" s="12"/>
      <c r="I1101" s="9"/>
      <c r="J1101" s="12"/>
      <c r="L1101" s="1"/>
      <c r="M1101" s="39"/>
      <c r="N1101" s="1"/>
      <c r="O1101" s="39"/>
      <c r="P1101" s="1"/>
      <c r="Q1101" s="39"/>
      <c r="R1101" s="28"/>
      <c r="S1101" s="29"/>
      <c r="T1101" s="28"/>
      <c r="U1101" s="4"/>
      <c r="V1101" s="3"/>
      <c r="W1101" s="3"/>
    </row>
    <row r="1102" spans="1:23" s="5" customFormat="1">
      <c r="A1102" s="20"/>
      <c r="B1102" s="33"/>
      <c r="C1102" s="35"/>
      <c r="D1102" s="1"/>
      <c r="E1102" s="39"/>
      <c r="F1102" s="1"/>
      <c r="G1102" s="40"/>
      <c r="H1102" s="12"/>
      <c r="I1102" s="9"/>
      <c r="J1102" s="12"/>
      <c r="L1102" s="1"/>
      <c r="M1102" s="39"/>
      <c r="N1102" s="1"/>
      <c r="O1102" s="39"/>
      <c r="P1102" s="1"/>
      <c r="Q1102" s="39"/>
      <c r="R1102" s="28"/>
      <c r="S1102" s="29"/>
      <c r="T1102" s="28"/>
      <c r="U1102" s="4"/>
      <c r="V1102" s="3"/>
      <c r="W1102" s="3"/>
    </row>
    <row r="1103" spans="1:23" s="5" customFormat="1">
      <c r="A1103" s="6"/>
      <c r="B1103" s="33"/>
      <c r="C1103" s="35"/>
      <c r="E1103" s="39"/>
      <c r="G1103" s="40"/>
      <c r="H1103" s="14"/>
      <c r="I1103" s="17"/>
      <c r="J1103" s="10"/>
      <c r="M1103" s="39"/>
      <c r="O1103" s="39"/>
      <c r="Q1103" s="39"/>
      <c r="R1103" s="28"/>
      <c r="S1103" s="29"/>
      <c r="T1103" s="28"/>
      <c r="U1103" s="4"/>
      <c r="V1103" s="3"/>
      <c r="W1103" s="3"/>
    </row>
    <row r="1104" spans="1:23" s="5" customFormat="1">
      <c r="A1104" s="6"/>
      <c r="B1104" s="33"/>
      <c r="C1104" s="35"/>
      <c r="E1104" s="39"/>
      <c r="G1104" s="40"/>
      <c r="H1104" s="15"/>
      <c r="I1104" s="17"/>
      <c r="J1104" s="10"/>
      <c r="M1104" s="39"/>
      <c r="O1104" s="39"/>
      <c r="Q1104" s="39"/>
      <c r="R1104" s="28"/>
      <c r="S1104" s="28"/>
      <c r="T1104" s="28"/>
      <c r="U1104" s="4"/>
      <c r="V1104" s="3"/>
      <c r="W1104" s="3"/>
    </row>
    <row r="1105" spans="1:23" s="5" customFormat="1">
      <c r="A1105" s="6"/>
      <c r="B1105" s="33"/>
      <c r="C1105" s="35"/>
      <c r="E1105" s="39"/>
      <c r="G1105" s="40"/>
      <c r="H1105" s="15"/>
      <c r="I1105" s="17"/>
      <c r="J1105" s="10"/>
      <c r="M1105" s="39"/>
      <c r="O1105" s="39"/>
      <c r="Q1105" s="39"/>
      <c r="R1105" s="28"/>
      <c r="S1105" s="28"/>
      <c r="T1105" s="28"/>
      <c r="U1105" s="4"/>
      <c r="V1105" s="3"/>
      <c r="W1105" s="3"/>
    </row>
    <row r="1106" spans="1:23" s="5" customFormat="1">
      <c r="A1106" s="6"/>
      <c r="B1106" s="33"/>
      <c r="C1106" s="35"/>
      <c r="E1106" s="39"/>
      <c r="G1106" s="40"/>
      <c r="H1106" s="15"/>
      <c r="I1106" s="17"/>
      <c r="J1106" s="10"/>
      <c r="M1106" s="39"/>
      <c r="O1106" s="39"/>
      <c r="Q1106" s="39"/>
      <c r="R1106" s="28"/>
      <c r="S1106" s="28"/>
      <c r="T1106" s="28"/>
      <c r="U1106" s="4"/>
      <c r="V1106" s="3"/>
      <c r="W1106" s="3"/>
    </row>
    <row r="1107" spans="1:23" s="5" customFormat="1">
      <c r="A1107" s="6"/>
      <c r="B1107" s="33"/>
      <c r="C1107" s="35"/>
      <c r="E1107" s="39"/>
      <c r="G1107" s="40"/>
      <c r="H1107" s="14"/>
      <c r="I1107" s="17"/>
      <c r="J1107" s="10"/>
      <c r="M1107" s="39"/>
      <c r="O1107" s="39"/>
      <c r="Q1107" s="39"/>
      <c r="R1107" s="28"/>
      <c r="S1107" s="28"/>
      <c r="T1107" s="28"/>
      <c r="U1107" s="4"/>
      <c r="V1107" s="3"/>
      <c r="W1107" s="3"/>
    </row>
    <row r="1108" spans="1:23" s="5" customFormat="1">
      <c r="A1108" s="6"/>
      <c r="B1108" s="33"/>
      <c r="C1108" s="35"/>
      <c r="E1108" s="39"/>
      <c r="G1108" s="40"/>
      <c r="H1108" s="14"/>
      <c r="I1108" s="17"/>
      <c r="J1108" s="10"/>
      <c r="M1108" s="39"/>
      <c r="O1108" s="39"/>
      <c r="Q1108" s="39"/>
      <c r="R1108" s="28"/>
      <c r="S1108" s="28"/>
      <c r="T1108" s="28"/>
      <c r="U1108" s="4"/>
      <c r="V1108" s="3"/>
      <c r="W1108" s="3"/>
    </row>
    <row r="1109" spans="1:23" s="5" customFormat="1">
      <c r="A1109" s="6"/>
      <c r="B1109" s="33"/>
      <c r="C1109" s="35"/>
      <c r="E1109" s="39"/>
      <c r="G1109" s="40"/>
      <c r="H1109" s="15"/>
      <c r="I1109" s="17"/>
      <c r="J1109" s="10"/>
      <c r="M1109" s="39"/>
      <c r="O1109" s="39"/>
      <c r="Q1109" s="39"/>
      <c r="R1109" s="28"/>
      <c r="S1109" s="28"/>
      <c r="T1109" s="28"/>
      <c r="U1109" s="4"/>
      <c r="V1109" s="3"/>
      <c r="W1109" s="3"/>
    </row>
    <row r="1110" spans="1:23" s="5" customFormat="1">
      <c r="A1110" s="6"/>
      <c r="B1110" s="33"/>
      <c r="C1110" s="35"/>
      <c r="E1110" s="39"/>
      <c r="G1110" s="40"/>
      <c r="H1110" s="15"/>
      <c r="I1110" s="17"/>
      <c r="J1110" s="10"/>
      <c r="M1110" s="39"/>
      <c r="O1110" s="39"/>
      <c r="Q1110" s="39"/>
      <c r="R1110" s="28"/>
      <c r="S1110" s="28"/>
      <c r="T1110" s="28"/>
      <c r="U1110" s="4"/>
      <c r="V1110" s="3"/>
      <c r="W1110" s="3"/>
    </row>
    <row r="1111" spans="1:23" s="5" customFormat="1">
      <c r="A1111" s="6"/>
      <c r="B1111" s="33"/>
      <c r="C1111" s="35"/>
      <c r="E1111" s="39"/>
      <c r="G1111" s="40"/>
      <c r="H1111" s="15"/>
      <c r="I1111" s="17"/>
      <c r="J1111" s="10"/>
      <c r="M1111" s="39"/>
      <c r="O1111" s="39"/>
      <c r="Q1111" s="39"/>
      <c r="R1111" s="28"/>
      <c r="S1111" s="28"/>
      <c r="T1111" s="28"/>
      <c r="U1111" s="4"/>
      <c r="V1111" s="3"/>
      <c r="W1111" s="3"/>
    </row>
    <row r="1112" spans="1:23" s="5" customFormat="1">
      <c r="A1112" s="6"/>
      <c r="B1112" s="33"/>
      <c r="C1112" s="35"/>
      <c r="E1112" s="39"/>
      <c r="G1112" s="40"/>
      <c r="H1112" s="15"/>
      <c r="I1112" s="17"/>
      <c r="J1112" s="10"/>
      <c r="M1112" s="39"/>
      <c r="O1112" s="39"/>
      <c r="Q1112" s="39"/>
      <c r="R1112" s="28"/>
      <c r="S1112" s="28"/>
      <c r="T1112" s="28"/>
      <c r="U1112" s="4"/>
      <c r="V1112" s="3"/>
      <c r="W1112" s="3"/>
    </row>
    <row r="1113" spans="1:23" s="5" customFormat="1">
      <c r="A1113" s="6"/>
      <c r="B1113" s="33"/>
      <c r="C1113" s="35"/>
      <c r="E1113" s="39"/>
      <c r="G1113" s="40"/>
      <c r="H1113" s="15"/>
      <c r="I1113" s="17"/>
      <c r="J1113" s="10"/>
      <c r="M1113" s="39"/>
      <c r="O1113" s="39"/>
      <c r="Q1113" s="39"/>
      <c r="R1113" s="28"/>
      <c r="S1113" s="28"/>
      <c r="T1113" s="28"/>
      <c r="U1113" s="4"/>
      <c r="V1113" s="3"/>
      <c r="W1113" s="3"/>
    </row>
    <row r="1114" spans="1:23" s="5" customFormat="1">
      <c r="A1114" s="6"/>
      <c r="B1114" s="33"/>
      <c r="C1114" s="35"/>
      <c r="E1114" s="39"/>
      <c r="G1114" s="40"/>
      <c r="H1114" s="15"/>
      <c r="I1114" s="17"/>
      <c r="J1114" s="10"/>
      <c r="M1114" s="39"/>
      <c r="O1114" s="39"/>
      <c r="Q1114" s="39"/>
      <c r="R1114" s="28"/>
      <c r="S1114" s="28"/>
      <c r="T1114" s="28"/>
      <c r="U1114" s="4"/>
      <c r="V1114" s="3"/>
      <c r="W1114" s="3"/>
    </row>
    <row r="1115" spans="1:23" s="5" customFormat="1">
      <c r="A1115" s="6"/>
      <c r="B1115" s="33"/>
      <c r="C1115" s="35"/>
      <c r="E1115" s="39"/>
      <c r="G1115" s="40"/>
      <c r="H1115" s="17"/>
      <c r="J1115" s="10"/>
      <c r="M1115" s="39"/>
      <c r="O1115" s="39"/>
      <c r="Q1115" s="39"/>
      <c r="R1115" s="28"/>
      <c r="S1115" s="28"/>
      <c r="T1115" s="28"/>
      <c r="U1115" s="4"/>
      <c r="V1115" s="3"/>
      <c r="W1115" s="3"/>
    </row>
    <row r="1116" spans="1:23" s="5" customFormat="1">
      <c r="A1116" s="6"/>
      <c r="B1116" s="33"/>
      <c r="C1116" s="35"/>
      <c r="E1116" s="39"/>
      <c r="G1116" s="40"/>
      <c r="H1116" s="14"/>
      <c r="I1116" s="17"/>
      <c r="J1116" s="10"/>
      <c r="M1116" s="39"/>
      <c r="O1116" s="39"/>
      <c r="Q1116" s="39"/>
      <c r="R1116" s="28"/>
      <c r="S1116" s="28"/>
      <c r="T1116" s="28"/>
      <c r="U1116" s="4"/>
      <c r="V1116" s="3"/>
      <c r="W1116" s="3"/>
    </row>
    <row r="1117" spans="1:23" s="5" customFormat="1">
      <c r="A1117" s="6"/>
      <c r="B1117" s="33"/>
      <c r="C1117" s="35"/>
      <c r="E1117" s="39"/>
      <c r="G1117" s="40"/>
      <c r="H1117" s="15"/>
      <c r="I1117" s="17"/>
      <c r="J1117" s="10"/>
      <c r="M1117" s="39"/>
      <c r="O1117" s="39"/>
      <c r="Q1117" s="39"/>
      <c r="R1117" s="28"/>
      <c r="S1117" s="28"/>
      <c r="T1117" s="28"/>
      <c r="U1117" s="4"/>
      <c r="V1117" s="3"/>
      <c r="W1117" s="3"/>
    </row>
    <row r="1118" spans="1:23" s="5" customFormat="1">
      <c r="A1118" s="6"/>
      <c r="B1118" s="33"/>
      <c r="C1118" s="35"/>
      <c r="E1118" s="39"/>
      <c r="G1118" s="40"/>
      <c r="H1118" s="15"/>
      <c r="I1118" s="17"/>
      <c r="J1118" s="10"/>
      <c r="M1118" s="39"/>
      <c r="O1118" s="39"/>
      <c r="Q1118" s="39"/>
      <c r="R1118" s="28"/>
      <c r="S1118" s="28"/>
      <c r="T1118" s="28"/>
      <c r="U1118" s="4"/>
      <c r="V1118" s="3"/>
      <c r="W1118" s="3"/>
    </row>
    <row r="1119" spans="1:23" s="5" customFormat="1">
      <c r="A1119" s="6"/>
      <c r="B1119" s="33"/>
      <c r="C1119" s="35"/>
      <c r="E1119" s="39"/>
      <c r="G1119" s="40"/>
      <c r="H1119" s="14"/>
      <c r="I1119" s="17"/>
      <c r="J1119" s="10"/>
      <c r="M1119" s="39"/>
      <c r="O1119" s="39"/>
      <c r="Q1119" s="39"/>
      <c r="R1119" s="28"/>
      <c r="S1119" s="28"/>
      <c r="T1119" s="28"/>
      <c r="U1119" s="4"/>
      <c r="V1119" s="3"/>
      <c r="W1119" s="3"/>
    </row>
    <row r="1120" spans="1:23" s="5" customFormat="1">
      <c r="A1120" s="6"/>
      <c r="B1120" s="33"/>
      <c r="C1120" s="35"/>
      <c r="E1120" s="39"/>
      <c r="G1120" s="40"/>
      <c r="H1120" s="14"/>
      <c r="I1120" s="17"/>
      <c r="J1120" s="10"/>
      <c r="M1120" s="39"/>
      <c r="O1120" s="39"/>
      <c r="Q1120" s="39"/>
      <c r="R1120" s="28"/>
      <c r="S1120" s="28"/>
      <c r="T1120" s="28"/>
      <c r="U1120" s="4"/>
      <c r="V1120" s="3"/>
      <c r="W1120" s="3"/>
    </row>
    <row r="1121" spans="1:23" s="5" customFormat="1">
      <c r="A1121" s="6"/>
      <c r="B1121" s="33"/>
      <c r="C1121" s="35"/>
      <c r="E1121" s="39"/>
      <c r="G1121" s="40"/>
      <c r="H1121" s="15"/>
      <c r="I1121" s="17"/>
      <c r="J1121" s="10"/>
      <c r="M1121" s="39"/>
      <c r="O1121" s="39"/>
      <c r="Q1121" s="39"/>
      <c r="R1121" s="28"/>
      <c r="S1121" s="28"/>
      <c r="T1121" s="28"/>
      <c r="U1121" s="4"/>
      <c r="V1121" s="3"/>
      <c r="W1121" s="3"/>
    </row>
    <row r="1122" spans="1:23" s="5" customFormat="1">
      <c r="A1122" s="6"/>
      <c r="B1122" s="33"/>
      <c r="C1122" s="35"/>
      <c r="E1122" s="39"/>
      <c r="G1122" s="40"/>
      <c r="H1122" s="15"/>
      <c r="I1122" s="17"/>
      <c r="J1122" s="10"/>
      <c r="M1122" s="39"/>
      <c r="O1122" s="39"/>
      <c r="Q1122" s="39"/>
      <c r="R1122" s="28"/>
      <c r="S1122" s="28"/>
      <c r="T1122" s="28"/>
      <c r="U1122" s="4"/>
      <c r="V1122" s="3"/>
      <c r="W1122" s="3"/>
    </row>
    <row r="1123" spans="1:23" s="5" customFormat="1">
      <c r="A1123" s="6"/>
      <c r="B1123" s="33"/>
      <c r="C1123" s="35"/>
      <c r="E1123" s="39"/>
      <c r="G1123" s="40"/>
      <c r="H1123" s="15"/>
      <c r="I1123" s="17"/>
      <c r="J1123" s="10"/>
      <c r="M1123" s="39"/>
      <c r="O1123" s="39"/>
      <c r="Q1123" s="39"/>
      <c r="R1123" s="28"/>
      <c r="S1123" s="28"/>
      <c r="T1123" s="28"/>
      <c r="U1123" s="4"/>
      <c r="V1123" s="3"/>
      <c r="W1123" s="3"/>
    </row>
    <row r="1124" spans="1:23" s="5" customFormat="1">
      <c r="A1124" s="6"/>
      <c r="B1124" s="33"/>
      <c r="C1124" s="35"/>
      <c r="E1124" s="39"/>
      <c r="G1124" s="40"/>
      <c r="H1124" s="15"/>
      <c r="I1124" s="17"/>
      <c r="J1124" s="10"/>
      <c r="M1124" s="39"/>
      <c r="O1124" s="39"/>
      <c r="Q1124" s="39"/>
      <c r="R1124" s="28"/>
      <c r="S1124" s="28"/>
      <c r="T1124" s="28"/>
      <c r="U1124" s="4"/>
      <c r="V1124" s="3"/>
      <c r="W1124" s="3"/>
    </row>
    <row r="1125" spans="1:23" s="5" customFormat="1">
      <c r="A1125" s="6"/>
      <c r="B1125" s="33"/>
      <c r="C1125" s="35"/>
      <c r="E1125" s="39"/>
      <c r="G1125" s="40"/>
      <c r="H1125" s="15"/>
      <c r="I1125" s="17"/>
      <c r="J1125" s="10"/>
      <c r="M1125" s="39"/>
      <c r="O1125" s="39"/>
      <c r="Q1125" s="39"/>
      <c r="R1125" s="28"/>
      <c r="S1125" s="28"/>
      <c r="T1125" s="28"/>
      <c r="U1125" s="4"/>
      <c r="V1125" s="3"/>
      <c r="W1125" s="3"/>
    </row>
    <row r="1126" spans="1:23" s="5" customFormat="1">
      <c r="A1126" s="6"/>
      <c r="B1126" s="33"/>
      <c r="C1126" s="35"/>
      <c r="E1126" s="39"/>
      <c r="G1126" s="40"/>
      <c r="H1126" s="15"/>
      <c r="I1126" s="17"/>
      <c r="J1126" s="10"/>
      <c r="M1126" s="39"/>
      <c r="O1126" s="39"/>
      <c r="Q1126" s="39"/>
      <c r="R1126" s="28"/>
      <c r="S1126" s="28"/>
      <c r="T1126" s="28"/>
      <c r="U1126" s="4"/>
      <c r="V1126" s="3"/>
      <c r="W1126" s="3"/>
    </row>
    <row r="1127" spans="1:23" s="5" customFormat="1">
      <c r="A1127" s="6"/>
      <c r="B1127" s="33"/>
      <c r="C1127" s="35"/>
      <c r="E1127" s="39"/>
      <c r="G1127" s="40"/>
      <c r="H1127" s="15"/>
      <c r="I1127" s="17"/>
      <c r="J1127" s="10"/>
      <c r="M1127" s="39"/>
      <c r="O1127" s="39"/>
      <c r="Q1127" s="39"/>
      <c r="R1127" s="28"/>
      <c r="S1127" s="28"/>
      <c r="T1127" s="28"/>
      <c r="U1127" s="4"/>
      <c r="V1127" s="3"/>
      <c r="W1127" s="3"/>
    </row>
    <row r="1128" spans="1:23" s="5" customFormat="1">
      <c r="A1128" s="6"/>
      <c r="B1128" s="33"/>
      <c r="C1128" s="35"/>
      <c r="E1128" s="39"/>
      <c r="G1128" s="40"/>
      <c r="H1128" s="15"/>
      <c r="I1128" s="17"/>
      <c r="J1128" s="10"/>
      <c r="M1128" s="39"/>
      <c r="O1128" s="39"/>
      <c r="Q1128" s="39"/>
      <c r="R1128" s="28"/>
      <c r="S1128" s="28"/>
      <c r="T1128" s="28"/>
      <c r="U1128" s="4"/>
      <c r="V1128" s="3"/>
      <c r="W1128" s="3"/>
    </row>
    <row r="1129" spans="1:23" s="5" customFormat="1">
      <c r="A1129" s="6"/>
      <c r="B1129" s="33"/>
      <c r="C1129" s="35"/>
      <c r="E1129" s="39"/>
      <c r="G1129" s="40"/>
      <c r="H1129" s="15"/>
      <c r="I1129" s="17"/>
      <c r="J1129" s="10"/>
      <c r="M1129" s="39"/>
      <c r="O1129" s="39"/>
      <c r="Q1129" s="39"/>
      <c r="R1129" s="28"/>
      <c r="S1129" s="28"/>
      <c r="T1129" s="28"/>
      <c r="U1129" s="4"/>
      <c r="V1129" s="3"/>
      <c r="W1129" s="3"/>
    </row>
    <row r="1130" spans="1:23" s="5" customFormat="1">
      <c r="A1130" s="6"/>
      <c r="B1130" s="33"/>
      <c r="C1130" s="35"/>
      <c r="E1130" s="39"/>
      <c r="G1130" s="40"/>
      <c r="H1130" s="15"/>
      <c r="I1130" s="17"/>
      <c r="J1130" s="10"/>
      <c r="M1130" s="39"/>
      <c r="O1130" s="39"/>
      <c r="Q1130" s="39"/>
      <c r="R1130" s="28"/>
      <c r="S1130" s="28"/>
      <c r="T1130" s="28"/>
      <c r="U1130" s="4"/>
      <c r="V1130" s="3"/>
      <c r="W1130" s="3"/>
    </row>
    <row r="1131" spans="1:23" s="5" customFormat="1">
      <c r="A1131" s="6"/>
      <c r="B1131" s="33"/>
      <c r="C1131" s="35"/>
      <c r="E1131" s="39"/>
      <c r="G1131" s="40"/>
      <c r="H1131" s="15"/>
      <c r="I1131" s="17"/>
      <c r="J1131" s="10"/>
      <c r="M1131" s="39"/>
      <c r="O1131" s="39"/>
      <c r="Q1131" s="39"/>
      <c r="R1131" s="28"/>
      <c r="S1131" s="28"/>
      <c r="T1131" s="28"/>
      <c r="U1131" s="4"/>
      <c r="V1131" s="3"/>
      <c r="W1131" s="3"/>
    </row>
    <row r="1132" spans="1:23" s="5" customFormat="1">
      <c r="A1132" s="6"/>
      <c r="B1132" s="33"/>
      <c r="C1132" s="35"/>
      <c r="E1132" s="39"/>
      <c r="G1132" s="40"/>
      <c r="H1132" s="14"/>
      <c r="I1132" s="17"/>
      <c r="J1132" s="10"/>
      <c r="M1132" s="39"/>
      <c r="O1132" s="39"/>
      <c r="Q1132" s="39"/>
      <c r="R1132" s="28"/>
      <c r="S1132" s="28"/>
      <c r="T1132" s="28"/>
      <c r="U1132" s="4"/>
      <c r="V1132" s="3"/>
      <c r="W1132" s="3"/>
    </row>
    <row r="1133" spans="1:23" s="5" customFormat="1">
      <c r="A1133" s="6"/>
      <c r="B1133" s="33"/>
      <c r="C1133" s="35"/>
      <c r="E1133" s="39"/>
      <c r="G1133" s="40"/>
      <c r="H1133" s="15"/>
      <c r="I1133" s="17"/>
      <c r="J1133" s="10"/>
      <c r="M1133" s="39"/>
      <c r="O1133" s="39"/>
      <c r="Q1133" s="39"/>
      <c r="R1133" s="28"/>
      <c r="S1133" s="28"/>
      <c r="T1133" s="28"/>
      <c r="U1133" s="4"/>
      <c r="V1133" s="3"/>
      <c r="W1133" s="3"/>
    </row>
    <row r="1134" spans="1:23" s="5" customFormat="1">
      <c r="A1134" s="6"/>
      <c r="B1134" s="33"/>
      <c r="C1134" s="35"/>
      <c r="E1134" s="39"/>
      <c r="G1134" s="40"/>
      <c r="H1134" s="15"/>
      <c r="I1134" s="17"/>
      <c r="J1134" s="10"/>
      <c r="M1134" s="39"/>
      <c r="O1134" s="39"/>
      <c r="Q1134" s="39"/>
      <c r="R1134" s="28"/>
      <c r="S1134" s="28"/>
      <c r="T1134" s="28"/>
      <c r="U1134" s="4"/>
      <c r="V1134" s="3"/>
      <c r="W1134" s="3"/>
    </row>
    <row r="1135" spans="1:23" s="5" customFormat="1">
      <c r="A1135" s="6"/>
      <c r="B1135" s="33"/>
      <c r="C1135" s="35"/>
      <c r="E1135" s="39"/>
      <c r="G1135" s="40"/>
      <c r="H1135" s="15"/>
      <c r="I1135" s="17"/>
      <c r="J1135" s="10"/>
      <c r="M1135" s="39"/>
      <c r="O1135" s="39"/>
      <c r="Q1135" s="39"/>
      <c r="R1135" s="28"/>
      <c r="S1135" s="28"/>
      <c r="T1135" s="28"/>
      <c r="U1135" s="4"/>
      <c r="V1135" s="3"/>
      <c r="W1135" s="3"/>
    </row>
    <row r="1136" spans="1:23" s="5" customFormat="1">
      <c r="A1136" s="6"/>
      <c r="B1136" s="33"/>
      <c r="C1136" s="35"/>
      <c r="E1136" s="39"/>
      <c r="G1136" s="40"/>
      <c r="H1136" s="15"/>
      <c r="I1136" s="17"/>
      <c r="J1136" s="10"/>
      <c r="M1136" s="39"/>
      <c r="O1136" s="39"/>
      <c r="Q1136" s="39"/>
      <c r="R1136" s="28"/>
      <c r="S1136" s="28"/>
      <c r="T1136" s="28"/>
      <c r="U1136" s="4"/>
      <c r="V1136" s="3"/>
      <c r="W1136" s="3"/>
    </row>
    <row r="1137" spans="1:23" s="5" customFormat="1">
      <c r="A1137" s="6"/>
      <c r="B1137" s="33"/>
      <c r="C1137" s="35"/>
      <c r="E1137" s="39"/>
      <c r="G1137" s="40"/>
      <c r="H1137" s="15"/>
      <c r="I1137" s="17"/>
      <c r="J1137" s="10"/>
      <c r="M1137" s="39"/>
      <c r="O1137" s="39"/>
      <c r="Q1137" s="39"/>
      <c r="R1137" s="28"/>
      <c r="S1137" s="28"/>
      <c r="T1137" s="28"/>
      <c r="U1137" s="4"/>
      <c r="V1137" s="3"/>
      <c r="W1137" s="3"/>
    </row>
    <row r="1138" spans="1:23" s="5" customFormat="1">
      <c r="A1138" s="6"/>
      <c r="B1138" s="33"/>
      <c r="C1138" s="35"/>
      <c r="E1138" s="39"/>
      <c r="G1138" s="40"/>
      <c r="H1138" s="15"/>
      <c r="I1138" s="17"/>
      <c r="J1138" s="10"/>
      <c r="M1138" s="39"/>
      <c r="O1138" s="39"/>
      <c r="Q1138" s="39"/>
      <c r="R1138" s="28"/>
      <c r="S1138" s="28"/>
      <c r="T1138" s="28"/>
      <c r="U1138" s="4"/>
      <c r="V1138" s="3"/>
      <c r="W1138" s="3"/>
    </row>
    <row r="1139" spans="1:23" s="5" customFormat="1">
      <c r="A1139" s="6"/>
      <c r="B1139" s="33"/>
      <c r="C1139" s="35"/>
      <c r="E1139" s="39"/>
      <c r="G1139" s="40"/>
      <c r="H1139" s="15"/>
      <c r="I1139" s="17"/>
      <c r="J1139" s="10"/>
      <c r="M1139" s="39"/>
      <c r="O1139" s="39"/>
      <c r="Q1139" s="39"/>
      <c r="R1139" s="28"/>
      <c r="S1139" s="28"/>
      <c r="T1139" s="28"/>
      <c r="U1139" s="4"/>
      <c r="V1139" s="3"/>
      <c r="W1139" s="3"/>
    </row>
    <row r="1140" spans="1:23" s="5" customFormat="1">
      <c r="A1140" s="6"/>
      <c r="B1140" s="33"/>
      <c r="C1140" s="35"/>
      <c r="E1140" s="39"/>
      <c r="G1140" s="40"/>
      <c r="H1140" s="15"/>
      <c r="I1140" s="17"/>
      <c r="J1140" s="10"/>
      <c r="M1140" s="39"/>
      <c r="O1140" s="39"/>
      <c r="Q1140" s="39"/>
      <c r="R1140" s="28"/>
      <c r="S1140" s="28"/>
      <c r="T1140" s="28"/>
      <c r="U1140" s="4"/>
      <c r="V1140" s="3"/>
      <c r="W1140" s="3"/>
    </row>
    <row r="1141" spans="1:23" s="5" customFormat="1">
      <c r="A1141" s="6"/>
      <c r="B1141" s="33"/>
      <c r="C1141" s="35"/>
      <c r="E1141" s="39"/>
      <c r="G1141" s="40"/>
      <c r="H1141" s="15"/>
      <c r="I1141" s="17"/>
      <c r="J1141" s="10"/>
      <c r="M1141" s="39"/>
      <c r="O1141" s="39"/>
      <c r="Q1141" s="39"/>
      <c r="R1141" s="28"/>
      <c r="S1141" s="28"/>
      <c r="T1141" s="28"/>
      <c r="U1141" s="4"/>
      <c r="V1141" s="3"/>
      <c r="W1141" s="3"/>
    </row>
    <row r="1142" spans="1:23" s="5" customFormat="1">
      <c r="A1142" s="6"/>
      <c r="B1142" s="33"/>
      <c r="C1142" s="35"/>
      <c r="E1142" s="39"/>
      <c r="G1142" s="40"/>
      <c r="H1142" s="14"/>
      <c r="I1142" s="17"/>
      <c r="J1142" s="10"/>
      <c r="M1142" s="39"/>
      <c r="O1142" s="39"/>
      <c r="Q1142" s="39"/>
      <c r="R1142" s="28"/>
      <c r="S1142" s="28"/>
      <c r="T1142" s="28"/>
      <c r="U1142" s="4"/>
      <c r="V1142" s="3"/>
      <c r="W1142" s="3"/>
    </row>
    <row r="1143" spans="1:23" s="5" customFormat="1">
      <c r="A1143" s="6"/>
      <c r="B1143" s="33"/>
      <c r="C1143" s="35"/>
      <c r="E1143" s="39"/>
      <c r="G1143" s="40"/>
      <c r="H1143" s="14"/>
      <c r="I1143" s="17"/>
      <c r="J1143" s="10"/>
      <c r="M1143" s="39"/>
      <c r="O1143" s="39"/>
      <c r="Q1143" s="39"/>
      <c r="R1143" s="28"/>
      <c r="S1143" s="28"/>
      <c r="T1143" s="28"/>
      <c r="U1143" s="4"/>
      <c r="V1143" s="3"/>
      <c r="W1143" s="3"/>
    </row>
    <row r="1144" spans="1:23" s="5" customFormat="1">
      <c r="A1144" s="6"/>
      <c r="B1144" s="33"/>
      <c r="C1144" s="35"/>
      <c r="E1144" s="39"/>
      <c r="G1144" s="40"/>
      <c r="H1144" s="14"/>
      <c r="I1144" s="17"/>
      <c r="J1144" s="10"/>
      <c r="M1144" s="39"/>
      <c r="O1144" s="39"/>
      <c r="Q1144" s="39"/>
      <c r="R1144" s="28"/>
      <c r="S1144" s="28"/>
      <c r="T1144" s="28"/>
      <c r="U1144" s="4"/>
      <c r="V1144" s="3"/>
      <c r="W1144" s="3"/>
    </row>
    <row r="1145" spans="1:23" s="5" customFormat="1">
      <c r="A1145" s="6"/>
      <c r="B1145" s="33"/>
      <c r="C1145" s="35"/>
      <c r="E1145" s="39"/>
      <c r="G1145" s="40"/>
      <c r="H1145" s="14"/>
      <c r="I1145" s="17"/>
      <c r="J1145" s="10"/>
      <c r="M1145" s="39"/>
      <c r="O1145" s="39"/>
      <c r="Q1145" s="39"/>
      <c r="R1145" s="28"/>
      <c r="S1145" s="28"/>
      <c r="T1145" s="28"/>
      <c r="U1145" s="4"/>
      <c r="V1145" s="3"/>
      <c r="W1145" s="3"/>
    </row>
    <row r="1146" spans="1:23" s="5" customFormat="1">
      <c r="A1146" s="6"/>
      <c r="B1146" s="33"/>
      <c r="C1146" s="35"/>
      <c r="E1146" s="39"/>
      <c r="G1146" s="40"/>
      <c r="H1146" s="15"/>
      <c r="I1146" s="17"/>
      <c r="J1146" s="10"/>
      <c r="M1146" s="39"/>
      <c r="O1146" s="39"/>
      <c r="Q1146" s="39"/>
      <c r="R1146" s="28"/>
      <c r="S1146" s="28"/>
      <c r="T1146" s="28"/>
      <c r="U1146" s="4"/>
      <c r="V1146" s="3"/>
      <c r="W1146" s="3"/>
    </row>
    <row r="1147" spans="1:23" s="5" customFormat="1">
      <c r="A1147" s="6"/>
      <c r="B1147" s="33"/>
      <c r="C1147" s="35"/>
      <c r="E1147" s="39"/>
      <c r="G1147" s="40"/>
      <c r="H1147" s="15"/>
      <c r="I1147" s="17"/>
      <c r="J1147" s="10"/>
      <c r="M1147" s="39"/>
      <c r="O1147" s="39"/>
      <c r="Q1147" s="39"/>
      <c r="R1147" s="28"/>
      <c r="S1147" s="28"/>
      <c r="T1147" s="28"/>
      <c r="U1147" s="4"/>
      <c r="V1147" s="3"/>
      <c r="W1147" s="3"/>
    </row>
    <row r="1148" spans="1:23" s="5" customFormat="1">
      <c r="A1148" s="6"/>
      <c r="B1148" s="33"/>
      <c r="C1148" s="35"/>
      <c r="E1148" s="39"/>
      <c r="G1148" s="40"/>
      <c r="H1148" s="14"/>
      <c r="I1148" s="17"/>
      <c r="J1148" s="10"/>
      <c r="M1148" s="39"/>
      <c r="O1148" s="39"/>
      <c r="Q1148" s="39"/>
      <c r="R1148" s="28"/>
      <c r="S1148" s="28"/>
      <c r="T1148" s="28"/>
      <c r="U1148" s="4"/>
      <c r="V1148" s="3"/>
      <c r="W1148" s="3"/>
    </row>
    <row r="1149" spans="1:23" s="5" customFormat="1">
      <c r="A1149" s="6"/>
      <c r="B1149" s="33"/>
      <c r="C1149" s="35"/>
      <c r="E1149" s="39"/>
      <c r="G1149" s="40"/>
      <c r="H1149" s="15"/>
      <c r="I1149" s="17"/>
      <c r="J1149" s="10"/>
      <c r="M1149" s="39"/>
      <c r="O1149" s="39"/>
      <c r="Q1149" s="39"/>
      <c r="R1149" s="28"/>
      <c r="S1149" s="28"/>
      <c r="T1149" s="28"/>
      <c r="U1149" s="4"/>
      <c r="V1149" s="3"/>
      <c r="W1149" s="3"/>
    </row>
    <row r="1150" spans="1:23" s="5" customFormat="1">
      <c r="A1150" s="6"/>
      <c r="B1150" s="33"/>
      <c r="C1150" s="35"/>
      <c r="E1150" s="39"/>
      <c r="G1150" s="40"/>
      <c r="H1150" s="15"/>
      <c r="I1150" s="17"/>
      <c r="J1150" s="10"/>
      <c r="M1150" s="39"/>
      <c r="O1150" s="39"/>
      <c r="Q1150" s="39"/>
      <c r="R1150" s="28"/>
      <c r="S1150" s="28"/>
      <c r="T1150" s="28"/>
      <c r="U1150" s="4"/>
      <c r="V1150" s="3"/>
      <c r="W1150" s="3"/>
    </row>
    <row r="1151" spans="1:23" s="5" customFormat="1">
      <c r="A1151" s="6"/>
      <c r="B1151" s="33"/>
      <c r="C1151" s="35"/>
      <c r="E1151" s="39"/>
      <c r="G1151" s="40"/>
      <c r="H1151" s="14"/>
      <c r="I1151" s="17"/>
      <c r="J1151" s="10"/>
      <c r="M1151" s="39"/>
      <c r="O1151" s="39"/>
      <c r="Q1151" s="39"/>
      <c r="R1151" s="28"/>
      <c r="S1151" s="28"/>
      <c r="T1151" s="28"/>
      <c r="U1151" s="4"/>
      <c r="V1151" s="3"/>
      <c r="W1151" s="3"/>
    </row>
    <row r="1152" spans="1:23" s="5" customFormat="1">
      <c r="A1152" s="6"/>
      <c r="B1152" s="33"/>
      <c r="C1152" s="35"/>
      <c r="E1152" s="39"/>
      <c r="G1152" s="40"/>
      <c r="H1152" s="15"/>
      <c r="I1152" s="17"/>
      <c r="J1152" s="10"/>
      <c r="M1152" s="39"/>
      <c r="O1152" s="39"/>
      <c r="Q1152" s="39"/>
      <c r="R1152" s="28"/>
      <c r="S1152" s="28"/>
      <c r="T1152" s="28"/>
      <c r="U1152" s="4"/>
      <c r="V1152" s="3"/>
      <c r="W1152" s="3"/>
    </row>
    <row r="1153" spans="1:23" s="5" customFormat="1">
      <c r="A1153" s="6"/>
      <c r="B1153" s="33"/>
      <c r="C1153" s="35"/>
      <c r="E1153" s="39"/>
      <c r="G1153" s="40"/>
      <c r="H1153" s="14"/>
      <c r="I1153" s="17"/>
      <c r="J1153" s="10"/>
      <c r="M1153" s="39"/>
      <c r="O1153" s="39"/>
      <c r="Q1153" s="39"/>
      <c r="R1153" s="28"/>
      <c r="S1153" s="28"/>
      <c r="T1153" s="28"/>
      <c r="U1153" s="4"/>
      <c r="V1153" s="3"/>
      <c r="W1153" s="3"/>
    </row>
    <row r="1154" spans="1:23" s="5" customFormat="1">
      <c r="A1154" s="6"/>
      <c r="B1154" s="33"/>
      <c r="C1154" s="35"/>
      <c r="E1154" s="39"/>
      <c r="G1154" s="40"/>
      <c r="H1154" s="15"/>
      <c r="I1154" s="17"/>
      <c r="J1154" s="10"/>
      <c r="M1154" s="39"/>
      <c r="O1154" s="39"/>
      <c r="Q1154" s="39"/>
      <c r="R1154" s="28"/>
      <c r="S1154" s="28"/>
      <c r="T1154" s="28"/>
      <c r="U1154" s="4"/>
      <c r="V1154" s="3"/>
      <c r="W1154" s="3"/>
    </row>
    <row r="1155" spans="1:23" s="5" customFormat="1">
      <c r="A1155" s="6"/>
      <c r="B1155" s="33"/>
      <c r="C1155" s="35"/>
      <c r="E1155" s="39"/>
      <c r="G1155" s="40"/>
      <c r="H1155" s="15"/>
      <c r="I1155" s="17"/>
      <c r="J1155" s="10"/>
      <c r="M1155" s="39"/>
      <c r="O1155" s="39"/>
      <c r="Q1155" s="39"/>
      <c r="R1155" s="28"/>
      <c r="S1155" s="28"/>
      <c r="T1155" s="28"/>
      <c r="U1155" s="4"/>
      <c r="V1155" s="3"/>
      <c r="W1155" s="3"/>
    </row>
    <row r="1156" spans="1:23" s="5" customFormat="1">
      <c r="A1156" s="6"/>
      <c r="B1156" s="33"/>
      <c r="C1156" s="35"/>
      <c r="E1156" s="39"/>
      <c r="G1156" s="40"/>
      <c r="H1156" s="15"/>
      <c r="I1156" s="17"/>
      <c r="J1156" s="10"/>
      <c r="M1156" s="39"/>
      <c r="O1156" s="39"/>
      <c r="Q1156" s="39"/>
      <c r="R1156" s="28"/>
      <c r="S1156" s="28"/>
      <c r="T1156" s="28"/>
      <c r="U1156" s="4"/>
      <c r="V1156" s="3"/>
      <c r="W1156" s="3"/>
    </row>
    <row r="1157" spans="1:23" s="5" customFormat="1">
      <c r="A1157" s="6"/>
      <c r="B1157" s="33"/>
      <c r="C1157" s="35"/>
      <c r="E1157" s="39"/>
      <c r="G1157" s="40"/>
      <c r="H1157" s="14"/>
      <c r="I1157" s="17"/>
      <c r="J1157" s="10"/>
      <c r="M1157" s="39"/>
      <c r="O1157" s="39"/>
      <c r="Q1157" s="39"/>
      <c r="R1157" s="28"/>
      <c r="S1157" s="28"/>
      <c r="T1157" s="28"/>
      <c r="U1157" s="4"/>
      <c r="V1157" s="3"/>
      <c r="W1157" s="3"/>
    </row>
    <row r="1158" spans="1:23" s="5" customFormat="1">
      <c r="A1158" s="6"/>
      <c r="B1158" s="33"/>
      <c r="C1158" s="35"/>
      <c r="E1158" s="39"/>
      <c r="G1158" s="40"/>
      <c r="H1158" s="15"/>
      <c r="I1158" s="17"/>
      <c r="J1158" s="10"/>
      <c r="M1158" s="39"/>
      <c r="O1158" s="39"/>
      <c r="Q1158" s="39"/>
      <c r="R1158" s="28"/>
      <c r="S1158" s="28"/>
      <c r="T1158" s="28"/>
      <c r="U1158" s="4"/>
      <c r="V1158" s="3"/>
      <c r="W1158" s="3"/>
    </row>
    <row r="1159" spans="1:23" s="5" customFormat="1">
      <c r="A1159" s="6"/>
      <c r="B1159" s="33"/>
      <c r="C1159" s="35"/>
      <c r="E1159" s="39"/>
      <c r="G1159" s="40"/>
      <c r="H1159" s="15"/>
      <c r="I1159" s="17"/>
      <c r="J1159" s="10"/>
      <c r="M1159" s="39"/>
      <c r="O1159" s="39"/>
      <c r="Q1159" s="39"/>
      <c r="R1159" s="28"/>
      <c r="S1159" s="28"/>
      <c r="T1159" s="28"/>
      <c r="U1159" s="4"/>
      <c r="V1159" s="3"/>
      <c r="W1159" s="3"/>
    </row>
    <row r="1160" spans="1:23" s="5" customFormat="1">
      <c r="A1160" s="6"/>
      <c r="B1160" s="33"/>
      <c r="C1160" s="35"/>
      <c r="E1160" s="39"/>
      <c r="G1160" s="40"/>
      <c r="H1160" s="14"/>
      <c r="I1160" s="17"/>
      <c r="J1160" s="10"/>
      <c r="M1160" s="39"/>
      <c r="O1160" s="39"/>
      <c r="Q1160" s="39"/>
      <c r="R1160" s="28"/>
      <c r="S1160" s="28"/>
      <c r="T1160" s="28"/>
      <c r="U1160" s="4"/>
      <c r="V1160" s="3"/>
      <c r="W1160" s="3"/>
    </row>
    <row r="1161" spans="1:23" s="5" customFormat="1">
      <c r="A1161" s="6"/>
      <c r="B1161" s="33"/>
      <c r="C1161" s="35"/>
      <c r="E1161" s="39"/>
      <c r="G1161" s="40"/>
      <c r="H1161" s="15"/>
      <c r="I1161" s="17"/>
      <c r="J1161" s="10"/>
      <c r="M1161" s="39"/>
      <c r="O1161" s="39"/>
      <c r="Q1161" s="39"/>
      <c r="R1161" s="28"/>
      <c r="S1161" s="28"/>
      <c r="T1161" s="28"/>
      <c r="U1161" s="4"/>
      <c r="V1161" s="3"/>
      <c r="W1161" s="3"/>
    </row>
    <row r="1162" spans="1:23" s="5" customFormat="1">
      <c r="A1162" s="6"/>
      <c r="B1162" s="33"/>
      <c r="C1162" s="35"/>
      <c r="E1162" s="39"/>
      <c r="G1162" s="40"/>
      <c r="H1162" s="14"/>
      <c r="I1162" s="17"/>
      <c r="J1162" s="10"/>
      <c r="M1162" s="39"/>
      <c r="O1162" s="39"/>
      <c r="Q1162" s="39"/>
      <c r="R1162" s="28"/>
      <c r="S1162" s="28"/>
      <c r="T1162" s="28"/>
      <c r="U1162" s="4"/>
      <c r="V1162" s="3"/>
      <c r="W1162" s="3"/>
    </row>
    <row r="1163" spans="1:23" s="5" customFormat="1">
      <c r="A1163" s="6"/>
      <c r="B1163" s="33"/>
      <c r="C1163" s="35"/>
      <c r="E1163" s="39"/>
      <c r="G1163" s="40"/>
      <c r="H1163" s="15"/>
      <c r="I1163" s="17"/>
      <c r="J1163" s="10"/>
      <c r="M1163" s="39"/>
      <c r="O1163" s="39"/>
      <c r="Q1163" s="39"/>
      <c r="R1163" s="28"/>
      <c r="S1163" s="28"/>
      <c r="T1163" s="28"/>
      <c r="U1163" s="4"/>
      <c r="V1163" s="3"/>
      <c r="W1163" s="3"/>
    </row>
    <row r="1164" spans="1:23" s="5" customFormat="1">
      <c r="A1164" s="6"/>
      <c r="B1164" s="33"/>
      <c r="C1164" s="35"/>
      <c r="E1164" s="39"/>
      <c r="G1164" s="40"/>
      <c r="H1164" s="15"/>
      <c r="I1164" s="17"/>
      <c r="J1164" s="10"/>
      <c r="M1164" s="39"/>
      <c r="O1164" s="39"/>
      <c r="Q1164" s="39"/>
      <c r="R1164" s="28"/>
      <c r="S1164" s="28"/>
      <c r="T1164" s="28"/>
      <c r="U1164" s="4"/>
      <c r="V1164" s="3"/>
      <c r="W1164" s="3"/>
    </row>
    <row r="1165" spans="1:23" s="5" customFormat="1">
      <c r="A1165" s="6"/>
      <c r="B1165" s="33"/>
      <c r="C1165" s="35"/>
      <c r="E1165" s="39"/>
      <c r="G1165" s="40"/>
      <c r="H1165" s="14"/>
      <c r="I1165" s="17"/>
      <c r="J1165" s="10"/>
      <c r="M1165" s="39"/>
      <c r="O1165" s="39"/>
      <c r="Q1165" s="39"/>
      <c r="R1165" s="28"/>
      <c r="S1165" s="28"/>
      <c r="T1165" s="28"/>
      <c r="U1165" s="4"/>
      <c r="V1165" s="3"/>
      <c r="W1165" s="3"/>
    </row>
    <row r="1166" spans="1:23" s="5" customFormat="1">
      <c r="A1166" s="6"/>
      <c r="B1166" s="33"/>
      <c r="C1166" s="35"/>
      <c r="E1166" s="39"/>
      <c r="G1166" s="40"/>
      <c r="H1166" s="14"/>
      <c r="I1166" s="17"/>
      <c r="J1166" s="10"/>
      <c r="M1166" s="39"/>
      <c r="O1166" s="39"/>
      <c r="Q1166" s="39"/>
      <c r="R1166" s="28"/>
      <c r="S1166" s="28"/>
      <c r="T1166" s="28"/>
      <c r="U1166" s="4"/>
      <c r="V1166" s="3"/>
      <c r="W1166" s="3"/>
    </row>
    <row r="1167" spans="1:23" s="5" customFormat="1">
      <c r="A1167" s="6"/>
      <c r="B1167" s="33"/>
      <c r="C1167" s="35"/>
      <c r="E1167" s="39"/>
      <c r="G1167" s="40"/>
      <c r="H1167" s="15"/>
      <c r="I1167" s="17"/>
      <c r="J1167" s="10"/>
      <c r="M1167" s="39"/>
      <c r="O1167" s="39"/>
      <c r="Q1167" s="39"/>
      <c r="R1167" s="28"/>
      <c r="S1167" s="28"/>
      <c r="T1167" s="28"/>
      <c r="U1167" s="4"/>
      <c r="V1167" s="3"/>
      <c r="W1167" s="3"/>
    </row>
    <row r="1168" spans="1:23" s="5" customFormat="1">
      <c r="A1168" s="6"/>
      <c r="B1168" s="33"/>
      <c r="C1168" s="35"/>
      <c r="E1168" s="39"/>
      <c r="G1168" s="40"/>
      <c r="H1168" s="14"/>
      <c r="I1168" s="17"/>
      <c r="J1168" s="10"/>
      <c r="M1168" s="39"/>
      <c r="O1168" s="39"/>
      <c r="Q1168" s="39"/>
      <c r="R1168" s="28"/>
      <c r="S1168" s="28"/>
      <c r="T1168" s="28"/>
      <c r="U1168" s="4"/>
      <c r="V1168" s="3"/>
      <c r="W1168" s="3"/>
    </row>
    <row r="1169" spans="1:23" s="5" customFormat="1">
      <c r="A1169" s="6"/>
      <c r="B1169" s="33"/>
      <c r="C1169" s="35"/>
      <c r="E1169" s="39"/>
      <c r="G1169" s="40"/>
      <c r="H1169" s="15"/>
      <c r="I1169" s="17"/>
      <c r="J1169" s="10"/>
      <c r="M1169" s="39"/>
      <c r="O1169" s="39"/>
      <c r="Q1169" s="39"/>
      <c r="R1169" s="28"/>
      <c r="S1169" s="28"/>
      <c r="T1169" s="28"/>
      <c r="U1169" s="4"/>
      <c r="V1169" s="3"/>
      <c r="W1169" s="3"/>
    </row>
    <row r="1170" spans="1:23" s="5" customFormat="1">
      <c r="A1170" s="6"/>
      <c r="B1170" s="33"/>
      <c r="C1170" s="35"/>
      <c r="E1170" s="39"/>
      <c r="G1170" s="40"/>
      <c r="H1170" s="14"/>
      <c r="I1170" s="17"/>
      <c r="J1170" s="10"/>
      <c r="M1170" s="39"/>
      <c r="O1170" s="39"/>
      <c r="Q1170" s="39"/>
      <c r="R1170" s="28"/>
      <c r="S1170" s="28"/>
      <c r="T1170" s="28"/>
      <c r="U1170" s="4"/>
      <c r="V1170" s="3"/>
      <c r="W1170" s="3"/>
    </row>
    <row r="1171" spans="1:23" s="5" customFormat="1">
      <c r="A1171" s="6"/>
      <c r="B1171" s="33"/>
      <c r="C1171" s="35"/>
      <c r="E1171" s="39"/>
      <c r="G1171" s="40"/>
      <c r="H1171" s="14"/>
      <c r="I1171" s="17"/>
      <c r="J1171" s="10"/>
      <c r="M1171" s="39"/>
      <c r="O1171" s="39"/>
      <c r="Q1171" s="39"/>
      <c r="R1171" s="28"/>
      <c r="S1171" s="28"/>
      <c r="T1171" s="28"/>
      <c r="U1171" s="4"/>
      <c r="V1171" s="3"/>
      <c r="W1171" s="3"/>
    </row>
    <row r="1172" spans="1:23" s="5" customFormat="1">
      <c r="A1172" s="6"/>
      <c r="B1172" s="33"/>
      <c r="C1172" s="35"/>
      <c r="E1172" s="39"/>
      <c r="G1172" s="40"/>
      <c r="H1172" s="14"/>
      <c r="I1172" s="17"/>
      <c r="J1172" s="10"/>
      <c r="M1172" s="39"/>
      <c r="O1172" s="39"/>
      <c r="Q1172" s="39"/>
      <c r="R1172" s="28"/>
      <c r="S1172" s="28"/>
      <c r="T1172" s="28"/>
      <c r="U1172" s="4"/>
      <c r="V1172" s="3"/>
      <c r="W1172" s="3"/>
    </row>
    <row r="1173" spans="1:23" s="5" customFormat="1">
      <c r="A1173" s="6"/>
      <c r="B1173" s="33"/>
      <c r="C1173" s="35"/>
      <c r="E1173" s="39"/>
      <c r="G1173" s="40"/>
      <c r="H1173" s="14"/>
      <c r="I1173" s="17"/>
      <c r="J1173" s="10"/>
      <c r="M1173" s="39"/>
      <c r="O1173" s="39"/>
      <c r="Q1173" s="39"/>
      <c r="R1173" s="28"/>
      <c r="S1173" s="28"/>
      <c r="T1173" s="28"/>
      <c r="U1173" s="4"/>
      <c r="V1173" s="3"/>
      <c r="W1173" s="3"/>
    </row>
    <row r="1174" spans="1:23" s="5" customFormat="1">
      <c r="A1174" s="6"/>
      <c r="B1174" s="33"/>
      <c r="C1174" s="35"/>
      <c r="E1174" s="39"/>
      <c r="G1174" s="40"/>
      <c r="H1174" s="15"/>
      <c r="I1174" s="17"/>
      <c r="J1174" s="10"/>
      <c r="M1174" s="39"/>
      <c r="O1174" s="39"/>
      <c r="Q1174" s="39"/>
      <c r="R1174" s="28"/>
      <c r="S1174" s="28"/>
      <c r="T1174" s="28"/>
      <c r="U1174" s="4"/>
      <c r="V1174" s="3"/>
      <c r="W1174" s="3"/>
    </row>
    <row r="1175" spans="1:23" s="5" customFormat="1">
      <c r="A1175" s="6"/>
      <c r="B1175" s="33"/>
      <c r="C1175" s="35"/>
      <c r="E1175" s="39"/>
      <c r="G1175" s="40"/>
      <c r="H1175" s="15"/>
      <c r="I1175" s="17"/>
      <c r="J1175" s="10"/>
      <c r="M1175" s="39"/>
      <c r="O1175" s="39"/>
      <c r="Q1175" s="39"/>
      <c r="R1175" s="28"/>
      <c r="S1175" s="28"/>
      <c r="T1175" s="28"/>
      <c r="U1175" s="4"/>
      <c r="V1175" s="3"/>
      <c r="W1175" s="3"/>
    </row>
    <row r="1176" spans="1:23" s="5" customFormat="1">
      <c r="A1176" s="6"/>
      <c r="B1176" s="33"/>
      <c r="C1176" s="35"/>
      <c r="E1176" s="39"/>
      <c r="G1176" s="40"/>
      <c r="H1176" s="15"/>
      <c r="I1176" s="17"/>
      <c r="J1176" s="10"/>
      <c r="M1176" s="39"/>
      <c r="O1176" s="39"/>
      <c r="Q1176" s="39"/>
      <c r="R1176" s="28"/>
      <c r="S1176" s="28"/>
      <c r="T1176" s="28"/>
      <c r="U1176" s="4"/>
      <c r="V1176" s="3"/>
      <c r="W1176" s="3"/>
    </row>
    <row r="1177" spans="1:23" s="5" customFormat="1">
      <c r="A1177" s="6"/>
      <c r="B1177" s="33"/>
      <c r="C1177" s="35"/>
      <c r="E1177" s="39"/>
      <c r="G1177" s="40"/>
      <c r="H1177" s="15"/>
      <c r="I1177" s="17"/>
      <c r="J1177" s="10"/>
      <c r="M1177" s="39"/>
      <c r="O1177" s="39"/>
      <c r="Q1177" s="39"/>
      <c r="R1177" s="28"/>
      <c r="S1177" s="28"/>
      <c r="T1177" s="28"/>
      <c r="U1177" s="4"/>
      <c r="V1177" s="3"/>
      <c r="W1177" s="3"/>
    </row>
    <row r="1178" spans="1:23" s="5" customFormat="1">
      <c r="A1178" s="6"/>
      <c r="B1178" s="33"/>
      <c r="C1178" s="35"/>
      <c r="E1178" s="39"/>
      <c r="G1178" s="40"/>
      <c r="H1178" s="15"/>
      <c r="I1178" s="17"/>
      <c r="J1178" s="10"/>
      <c r="M1178" s="39"/>
      <c r="O1178" s="39"/>
      <c r="Q1178" s="39"/>
      <c r="R1178" s="28"/>
      <c r="S1178" s="28"/>
      <c r="T1178" s="28"/>
      <c r="U1178" s="4"/>
      <c r="V1178" s="3"/>
      <c r="W1178" s="3"/>
    </row>
    <row r="1179" spans="1:23" s="5" customFormat="1">
      <c r="A1179" s="6"/>
      <c r="B1179" s="33"/>
      <c r="C1179" s="35"/>
      <c r="E1179" s="39"/>
      <c r="G1179" s="40"/>
      <c r="H1179" s="15"/>
      <c r="I1179" s="17"/>
      <c r="J1179" s="10"/>
      <c r="M1179" s="39"/>
      <c r="O1179" s="39"/>
      <c r="Q1179" s="39"/>
      <c r="R1179" s="28"/>
      <c r="S1179" s="28"/>
      <c r="T1179" s="28"/>
      <c r="U1179" s="4"/>
      <c r="V1179" s="3"/>
      <c r="W1179" s="3"/>
    </row>
    <row r="1180" spans="1:23" s="5" customFormat="1">
      <c r="A1180" s="6"/>
      <c r="B1180" s="33"/>
      <c r="C1180" s="35"/>
      <c r="E1180" s="39"/>
      <c r="G1180" s="40"/>
      <c r="H1180" s="15"/>
      <c r="I1180" s="17"/>
      <c r="J1180" s="10"/>
      <c r="M1180" s="39"/>
      <c r="O1180" s="39"/>
      <c r="Q1180" s="39"/>
      <c r="R1180" s="28"/>
      <c r="S1180" s="28"/>
      <c r="T1180" s="28"/>
      <c r="U1180" s="4"/>
      <c r="V1180" s="3"/>
      <c r="W1180" s="3"/>
    </row>
    <row r="1181" spans="1:23" s="5" customFormat="1">
      <c r="A1181" s="6"/>
      <c r="B1181" s="33"/>
      <c r="C1181" s="35"/>
      <c r="E1181" s="39"/>
      <c r="G1181" s="40"/>
      <c r="H1181" s="14"/>
      <c r="I1181" s="17"/>
      <c r="J1181" s="10"/>
      <c r="M1181" s="39"/>
      <c r="O1181" s="39"/>
      <c r="Q1181" s="39"/>
      <c r="R1181" s="28"/>
      <c r="S1181" s="28"/>
      <c r="T1181" s="28"/>
      <c r="U1181" s="4"/>
      <c r="V1181" s="3"/>
      <c r="W1181" s="3"/>
    </row>
    <row r="1182" spans="1:23" s="5" customFormat="1">
      <c r="A1182" s="6"/>
      <c r="B1182" s="33"/>
      <c r="C1182" s="35"/>
      <c r="E1182" s="39"/>
      <c r="G1182" s="40"/>
      <c r="H1182" s="14"/>
      <c r="I1182" s="17"/>
      <c r="J1182" s="10"/>
      <c r="M1182" s="39"/>
      <c r="O1182" s="39"/>
      <c r="Q1182" s="39"/>
      <c r="R1182" s="28"/>
      <c r="S1182" s="28"/>
      <c r="T1182" s="28"/>
      <c r="U1182" s="4"/>
      <c r="V1182" s="3"/>
      <c r="W1182" s="3"/>
    </row>
    <row r="1183" spans="1:23" s="5" customFormat="1">
      <c r="A1183" s="20"/>
      <c r="B1183" s="33"/>
      <c r="C1183" s="35"/>
      <c r="E1183" s="39"/>
      <c r="F1183" s="1"/>
      <c r="G1183" s="40"/>
      <c r="H1183" s="12"/>
      <c r="I1183" s="9"/>
      <c r="J1183" s="12"/>
      <c r="M1183" s="39"/>
      <c r="O1183" s="39"/>
      <c r="Q1183" s="39"/>
      <c r="R1183" s="29"/>
      <c r="S1183" s="28"/>
      <c r="T1183" s="28"/>
      <c r="U1183" s="4"/>
      <c r="V1183" s="3"/>
      <c r="W1183" s="3"/>
    </row>
    <row r="1184" spans="1:23" s="5" customFormat="1">
      <c r="A1184" s="6"/>
      <c r="B1184" s="33"/>
      <c r="C1184" s="35"/>
      <c r="E1184" s="39"/>
      <c r="G1184" s="40"/>
      <c r="H1184" s="15"/>
      <c r="I1184" s="17"/>
      <c r="J1184" s="10"/>
      <c r="M1184" s="39"/>
      <c r="O1184" s="39"/>
      <c r="Q1184" s="39"/>
      <c r="R1184" s="28"/>
      <c r="S1184" s="28"/>
      <c r="T1184" s="28"/>
      <c r="U1184" s="4"/>
      <c r="V1184" s="3"/>
      <c r="W1184" s="3"/>
    </row>
    <row r="1185" spans="1:23" s="5" customFormat="1">
      <c r="A1185" s="6"/>
      <c r="B1185" s="33"/>
      <c r="C1185" s="35"/>
      <c r="E1185" s="39"/>
      <c r="G1185" s="40"/>
      <c r="H1185" s="15"/>
      <c r="I1185" s="17"/>
      <c r="J1185" s="10"/>
      <c r="M1185" s="39"/>
      <c r="O1185" s="39"/>
      <c r="Q1185" s="39"/>
      <c r="R1185" s="28"/>
      <c r="S1185" s="28"/>
      <c r="T1185" s="28"/>
      <c r="U1185" s="4"/>
      <c r="V1185" s="3"/>
      <c r="W1185" s="3"/>
    </row>
    <row r="1186" spans="1:23" s="5" customFormat="1">
      <c r="A1186" s="6"/>
      <c r="B1186" s="33"/>
      <c r="C1186" s="35"/>
      <c r="E1186" s="39"/>
      <c r="G1186" s="40"/>
      <c r="H1186" s="15"/>
      <c r="I1186" s="17"/>
      <c r="J1186" s="10"/>
      <c r="M1186" s="39"/>
      <c r="O1186" s="39"/>
      <c r="Q1186" s="39"/>
      <c r="R1186" s="28"/>
      <c r="S1186" s="28"/>
      <c r="T1186" s="28"/>
      <c r="U1186" s="4"/>
      <c r="V1186" s="3"/>
      <c r="W1186" s="3"/>
    </row>
    <row r="1187" spans="1:23" s="5" customFormat="1">
      <c r="A1187" s="6"/>
      <c r="B1187" s="33"/>
      <c r="C1187" s="35"/>
      <c r="E1187" s="39"/>
      <c r="G1187" s="40"/>
      <c r="H1187" s="14"/>
      <c r="I1187" s="17"/>
      <c r="J1187" s="10"/>
      <c r="M1187" s="39"/>
      <c r="O1187" s="39"/>
      <c r="Q1187" s="39"/>
      <c r="R1187" s="28"/>
      <c r="S1187" s="28"/>
      <c r="T1187" s="28"/>
      <c r="U1187" s="4"/>
      <c r="V1187" s="3"/>
      <c r="W1187" s="3"/>
    </row>
    <row r="1188" spans="1:23" s="5" customFormat="1">
      <c r="A1188" s="6"/>
      <c r="B1188" s="33"/>
      <c r="C1188" s="35"/>
      <c r="E1188" s="39"/>
      <c r="G1188" s="40"/>
      <c r="H1188" s="14"/>
      <c r="I1188" s="17"/>
      <c r="J1188" s="10"/>
      <c r="M1188" s="39"/>
      <c r="O1188" s="39"/>
      <c r="Q1188" s="39"/>
      <c r="R1188" s="28"/>
      <c r="S1188" s="28"/>
      <c r="T1188" s="28"/>
      <c r="U1188" s="4"/>
      <c r="V1188" s="3"/>
      <c r="W1188" s="3"/>
    </row>
    <row r="1189" spans="1:23" s="5" customFormat="1">
      <c r="A1189" s="6"/>
      <c r="B1189" s="33"/>
      <c r="C1189" s="35"/>
      <c r="E1189" s="39"/>
      <c r="G1189" s="40"/>
      <c r="H1189" s="15"/>
      <c r="I1189" s="17"/>
      <c r="J1189" s="10"/>
      <c r="M1189" s="39"/>
      <c r="O1189" s="39"/>
      <c r="Q1189" s="39"/>
      <c r="R1189" s="28"/>
      <c r="S1189" s="28"/>
      <c r="T1189" s="28"/>
      <c r="U1189" s="4"/>
      <c r="V1189" s="3"/>
      <c r="W1189" s="3"/>
    </row>
    <row r="1190" spans="1:23" s="5" customFormat="1">
      <c r="A1190" s="6"/>
      <c r="B1190" s="33"/>
      <c r="C1190" s="35"/>
      <c r="E1190" s="39"/>
      <c r="G1190" s="40"/>
      <c r="H1190" s="14"/>
      <c r="I1190" s="17"/>
      <c r="J1190" s="10"/>
      <c r="M1190" s="39"/>
      <c r="O1190" s="39"/>
      <c r="Q1190" s="39"/>
      <c r="R1190" s="28"/>
      <c r="S1190" s="28"/>
      <c r="T1190" s="28"/>
      <c r="U1190" s="4"/>
      <c r="V1190" s="3"/>
      <c r="W1190" s="3"/>
    </row>
    <row r="1191" spans="1:23" s="5" customFormat="1">
      <c r="A1191" s="20"/>
      <c r="B1191" s="33"/>
      <c r="C1191" s="35"/>
      <c r="D1191" s="1"/>
      <c r="E1191" s="39"/>
      <c r="F1191" s="1"/>
      <c r="G1191" s="40"/>
      <c r="H1191" s="12"/>
      <c r="I1191" s="9"/>
      <c r="J1191" s="11"/>
      <c r="L1191" s="1"/>
      <c r="M1191" s="39"/>
      <c r="N1191" s="1"/>
      <c r="O1191" s="39"/>
      <c r="P1191" s="1"/>
      <c r="Q1191" s="39"/>
      <c r="R1191" s="28"/>
      <c r="S1191" s="28"/>
      <c r="T1191" s="28"/>
      <c r="U1191" s="4"/>
      <c r="V1191" s="3"/>
      <c r="W1191" s="3"/>
    </row>
    <row r="1192" spans="1:23" s="5" customFormat="1">
      <c r="A1192" s="6"/>
      <c r="B1192" s="33"/>
      <c r="C1192" s="35"/>
      <c r="E1192" s="39"/>
      <c r="G1192" s="40"/>
      <c r="H1192" s="15"/>
      <c r="I1192" s="17"/>
      <c r="J1192" s="10"/>
      <c r="M1192" s="39"/>
      <c r="O1192" s="39"/>
      <c r="Q1192" s="39"/>
      <c r="R1192" s="28"/>
      <c r="S1192" s="28"/>
      <c r="T1192" s="28"/>
      <c r="U1192" s="4"/>
      <c r="V1192" s="3"/>
      <c r="W1192" s="3"/>
    </row>
    <row r="1193" spans="1:23" s="5" customFormat="1">
      <c r="A1193" s="6"/>
      <c r="B1193" s="33"/>
      <c r="C1193" s="35"/>
      <c r="E1193" s="39"/>
      <c r="G1193" s="40"/>
      <c r="H1193" s="14"/>
      <c r="I1193" s="17"/>
      <c r="J1193" s="10"/>
      <c r="M1193" s="39"/>
      <c r="O1193" s="39"/>
      <c r="Q1193" s="39"/>
      <c r="R1193" s="28"/>
      <c r="S1193" s="28"/>
      <c r="T1193" s="28"/>
      <c r="U1193" s="4"/>
      <c r="V1193" s="3"/>
      <c r="W1193" s="3"/>
    </row>
    <row r="1194" spans="1:23" s="5" customFormat="1">
      <c r="A1194" s="6"/>
      <c r="B1194" s="33"/>
      <c r="C1194" s="35"/>
      <c r="E1194" s="39"/>
      <c r="G1194" s="40"/>
      <c r="H1194" s="15"/>
      <c r="I1194" s="17"/>
      <c r="J1194" s="10"/>
      <c r="M1194" s="39"/>
      <c r="O1194" s="39"/>
      <c r="Q1194" s="39"/>
      <c r="R1194" s="28"/>
      <c r="S1194" s="28"/>
      <c r="T1194" s="28"/>
      <c r="U1194" s="4"/>
      <c r="V1194" s="3"/>
      <c r="W1194" s="3"/>
    </row>
    <row r="1195" spans="1:23" s="5" customFormat="1">
      <c r="A1195" s="6"/>
      <c r="B1195" s="33"/>
      <c r="C1195" s="35"/>
      <c r="E1195" s="39"/>
      <c r="G1195" s="40"/>
      <c r="H1195" s="15"/>
      <c r="I1195" s="17"/>
      <c r="J1195" s="10"/>
      <c r="M1195" s="39"/>
      <c r="O1195" s="39"/>
      <c r="Q1195" s="39"/>
      <c r="R1195" s="28"/>
      <c r="S1195" s="28"/>
      <c r="T1195" s="28"/>
      <c r="U1195" s="4"/>
      <c r="V1195" s="3"/>
      <c r="W1195" s="3"/>
    </row>
    <row r="1196" spans="1:23" s="5" customFormat="1">
      <c r="A1196" s="6"/>
      <c r="B1196" s="33"/>
      <c r="C1196" s="35"/>
      <c r="E1196" s="39"/>
      <c r="G1196" s="40"/>
      <c r="H1196" s="15"/>
      <c r="I1196" s="17"/>
      <c r="J1196" s="10"/>
      <c r="M1196" s="39"/>
      <c r="O1196" s="39"/>
      <c r="Q1196" s="39"/>
      <c r="R1196" s="28"/>
      <c r="S1196" s="28"/>
      <c r="T1196" s="28"/>
      <c r="U1196" s="4"/>
      <c r="V1196" s="3"/>
      <c r="W1196" s="3"/>
    </row>
    <row r="1197" spans="1:23" s="5" customFormat="1">
      <c r="A1197" s="6"/>
      <c r="B1197" s="33"/>
      <c r="C1197" s="35"/>
      <c r="E1197" s="39"/>
      <c r="G1197" s="40"/>
      <c r="H1197" s="15"/>
      <c r="I1197" s="17"/>
      <c r="J1197" s="10"/>
      <c r="M1197" s="39"/>
      <c r="O1197" s="39"/>
      <c r="Q1197" s="39"/>
      <c r="R1197" s="28"/>
      <c r="S1197" s="28"/>
      <c r="T1197" s="28"/>
      <c r="U1197" s="4"/>
      <c r="V1197" s="3"/>
      <c r="W1197" s="3"/>
    </row>
    <row r="1198" spans="1:23" s="5" customFormat="1">
      <c r="A1198" s="6"/>
      <c r="B1198" s="33"/>
      <c r="C1198" s="35"/>
      <c r="E1198" s="39"/>
      <c r="G1198" s="40"/>
      <c r="H1198" s="15"/>
      <c r="I1198" s="17"/>
      <c r="J1198" s="10"/>
      <c r="M1198" s="39"/>
      <c r="O1198" s="39"/>
      <c r="Q1198" s="39"/>
      <c r="R1198" s="28"/>
      <c r="S1198" s="28"/>
      <c r="T1198" s="28"/>
      <c r="U1198" s="4"/>
      <c r="V1198" s="3"/>
      <c r="W1198" s="3"/>
    </row>
    <row r="1199" spans="1:23" s="5" customFormat="1">
      <c r="A1199" s="6"/>
      <c r="B1199" s="33"/>
      <c r="C1199" s="35"/>
      <c r="E1199" s="39"/>
      <c r="G1199" s="40"/>
      <c r="H1199" s="15"/>
      <c r="I1199" s="17"/>
      <c r="J1199" s="10"/>
      <c r="M1199" s="39"/>
      <c r="O1199" s="39"/>
      <c r="Q1199" s="39"/>
      <c r="R1199" s="28"/>
      <c r="S1199" s="28"/>
      <c r="T1199" s="28"/>
      <c r="U1199" s="4"/>
      <c r="V1199" s="3"/>
      <c r="W1199" s="3"/>
    </row>
    <row r="1200" spans="1:23" s="5" customFormat="1">
      <c r="A1200" s="6"/>
      <c r="B1200" s="33"/>
      <c r="C1200" s="35"/>
      <c r="E1200" s="39"/>
      <c r="G1200" s="40"/>
      <c r="H1200" s="14"/>
      <c r="I1200" s="17"/>
      <c r="J1200" s="10"/>
      <c r="M1200" s="39"/>
      <c r="O1200" s="39"/>
      <c r="Q1200" s="39"/>
      <c r="R1200" s="28"/>
      <c r="S1200" s="28"/>
      <c r="T1200" s="28"/>
      <c r="U1200" s="4"/>
      <c r="V1200" s="3"/>
      <c r="W1200" s="3"/>
    </row>
    <row r="1201" spans="1:23" s="5" customFormat="1">
      <c r="A1201" s="6"/>
      <c r="B1201" s="33"/>
      <c r="C1201" s="35"/>
      <c r="E1201" s="39"/>
      <c r="G1201" s="40"/>
      <c r="H1201" s="14"/>
      <c r="I1201" s="17"/>
      <c r="J1201" s="10"/>
      <c r="M1201" s="39"/>
      <c r="O1201" s="39"/>
      <c r="Q1201" s="39"/>
      <c r="R1201" s="28"/>
      <c r="S1201" s="28"/>
      <c r="T1201" s="28"/>
      <c r="U1201" s="4"/>
      <c r="V1201" s="3"/>
      <c r="W1201" s="3"/>
    </row>
    <row r="1202" spans="1:23" s="5" customFormat="1">
      <c r="A1202" s="6"/>
      <c r="B1202" s="33"/>
      <c r="C1202" s="35"/>
      <c r="E1202" s="39"/>
      <c r="G1202" s="40"/>
      <c r="H1202" s="14"/>
      <c r="I1202" s="17"/>
      <c r="J1202" s="10"/>
      <c r="M1202" s="39"/>
      <c r="O1202" s="39"/>
      <c r="Q1202" s="39"/>
      <c r="R1202" s="28"/>
      <c r="S1202" s="28"/>
      <c r="T1202" s="28"/>
      <c r="U1202" s="4"/>
      <c r="V1202" s="3"/>
      <c r="W1202" s="3"/>
    </row>
    <row r="1203" spans="1:23" s="5" customFormat="1">
      <c r="A1203" s="6"/>
      <c r="B1203" s="33"/>
      <c r="C1203" s="35"/>
      <c r="E1203" s="39"/>
      <c r="G1203" s="40"/>
      <c r="H1203" s="15"/>
      <c r="I1203" s="17"/>
      <c r="J1203" s="10"/>
      <c r="M1203" s="39"/>
      <c r="O1203" s="39"/>
      <c r="Q1203" s="39"/>
      <c r="R1203" s="28"/>
      <c r="S1203" s="28"/>
      <c r="T1203" s="28"/>
      <c r="U1203" s="4"/>
      <c r="V1203" s="3"/>
      <c r="W1203" s="3"/>
    </row>
    <row r="1204" spans="1:23" s="5" customFormat="1">
      <c r="A1204" s="6"/>
      <c r="B1204" s="33"/>
      <c r="C1204" s="35"/>
      <c r="E1204" s="39"/>
      <c r="G1204" s="40"/>
      <c r="H1204" s="15"/>
      <c r="I1204" s="17"/>
      <c r="J1204" s="10"/>
      <c r="M1204" s="39"/>
      <c r="O1204" s="39"/>
      <c r="Q1204" s="39"/>
      <c r="R1204" s="28"/>
      <c r="S1204" s="28"/>
      <c r="T1204" s="28"/>
      <c r="U1204" s="4"/>
      <c r="V1204" s="3"/>
      <c r="W1204" s="3"/>
    </row>
    <row r="1205" spans="1:23" s="5" customFormat="1">
      <c r="A1205" s="6"/>
      <c r="B1205" s="33"/>
      <c r="C1205" s="35"/>
      <c r="E1205" s="39"/>
      <c r="G1205" s="40"/>
      <c r="H1205" s="14"/>
      <c r="I1205" s="17"/>
      <c r="J1205" s="10"/>
      <c r="M1205" s="39"/>
      <c r="O1205" s="39"/>
      <c r="Q1205" s="39"/>
      <c r="R1205" s="28"/>
      <c r="S1205" s="28"/>
      <c r="T1205" s="28"/>
      <c r="U1205" s="4"/>
      <c r="V1205" s="3"/>
      <c r="W1205" s="3"/>
    </row>
    <row r="1206" spans="1:23" s="5" customFormat="1">
      <c r="A1206" s="6"/>
      <c r="B1206" s="33"/>
      <c r="C1206" s="35"/>
      <c r="E1206" s="39"/>
      <c r="G1206" s="40"/>
      <c r="H1206" s="14"/>
      <c r="I1206" s="17"/>
      <c r="J1206" s="10"/>
      <c r="M1206" s="39"/>
      <c r="O1206" s="39"/>
      <c r="Q1206" s="39"/>
      <c r="R1206" s="28"/>
      <c r="S1206" s="28"/>
      <c r="T1206" s="28"/>
      <c r="U1206" s="4"/>
      <c r="V1206" s="3"/>
      <c r="W1206" s="3"/>
    </row>
    <row r="1207" spans="1:23" s="5" customFormat="1">
      <c r="A1207" s="6"/>
      <c r="B1207" s="33"/>
      <c r="C1207" s="35"/>
      <c r="E1207" s="39"/>
      <c r="G1207" s="40"/>
      <c r="H1207" s="15"/>
      <c r="I1207" s="17"/>
      <c r="J1207" s="10"/>
      <c r="M1207" s="39"/>
      <c r="O1207" s="39"/>
      <c r="Q1207" s="39"/>
      <c r="R1207" s="28"/>
      <c r="S1207" s="28"/>
      <c r="T1207" s="28"/>
      <c r="U1207" s="4"/>
      <c r="V1207" s="3"/>
      <c r="W1207" s="3"/>
    </row>
    <row r="1208" spans="1:23" s="5" customFormat="1">
      <c r="A1208" s="6"/>
      <c r="B1208" s="33"/>
      <c r="C1208" s="35"/>
      <c r="E1208" s="39"/>
      <c r="G1208" s="40"/>
      <c r="H1208" s="14"/>
      <c r="I1208" s="17"/>
      <c r="J1208" s="10"/>
      <c r="M1208" s="39"/>
      <c r="O1208" s="39"/>
      <c r="Q1208" s="39"/>
      <c r="R1208" s="28"/>
      <c r="S1208" s="28"/>
      <c r="T1208" s="28"/>
      <c r="U1208" s="4"/>
      <c r="V1208" s="3"/>
      <c r="W1208" s="3"/>
    </row>
    <row r="1209" spans="1:23" s="5" customFormat="1">
      <c r="A1209" s="6"/>
      <c r="B1209" s="33"/>
      <c r="C1209" s="35"/>
      <c r="E1209" s="39"/>
      <c r="G1209" s="40"/>
      <c r="H1209" s="14"/>
      <c r="I1209" s="17"/>
      <c r="J1209" s="10"/>
      <c r="M1209" s="39"/>
      <c r="O1209" s="39"/>
      <c r="Q1209" s="39"/>
      <c r="R1209" s="28"/>
      <c r="S1209" s="28"/>
      <c r="T1209" s="28"/>
      <c r="U1209" s="4"/>
      <c r="V1209" s="3"/>
      <c r="W1209" s="3"/>
    </row>
    <row r="1210" spans="1:23" s="5" customFormat="1">
      <c r="A1210" s="6"/>
      <c r="B1210" s="33"/>
      <c r="C1210" s="35"/>
      <c r="E1210" s="39"/>
      <c r="G1210" s="40"/>
      <c r="H1210" s="15"/>
      <c r="I1210" s="17"/>
      <c r="J1210" s="10"/>
      <c r="M1210" s="39"/>
      <c r="O1210" s="39"/>
      <c r="Q1210" s="39"/>
      <c r="R1210" s="28"/>
      <c r="S1210" s="28"/>
      <c r="T1210" s="28"/>
      <c r="U1210" s="4"/>
      <c r="V1210" s="3"/>
      <c r="W1210" s="3"/>
    </row>
    <row r="1211" spans="1:23" s="5" customFormat="1">
      <c r="A1211" s="6"/>
      <c r="B1211" s="33"/>
      <c r="C1211" s="35"/>
      <c r="E1211" s="39"/>
      <c r="G1211" s="40"/>
      <c r="H1211" s="15"/>
      <c r="I1211" s="17"/>
      <c r="J1211" s="10"/>
      <c r="M1211" s="39"/>
      <c r="O1211" s="39"/>
      <c r="Q1211" s="39"/>
      <c r="R1211" s="28"/>
      <c r="S1211" s="28"/>
      <c r="T1211" s="28"/>
      <c r="U1211" s="4"/>
      <c r="V1211" s="3"/>
      <c r="W1211" s="3"/>
    </row>
    <row r="1212" spans="1:23" s="5" customFormat="1">
      <c r="A1212" s="6"/>
      <c r="B1212" s="33"/>
      <c r="C1212" s="35"/>
      <c r="E1212" s="39"/>
      <c r="G1212" s="40"/>
      <c r="H1212" s="14"/>
      <c r="I1212" s="17"/>
      <c r="J1212" s="10"/>
      <c r="M1212" s="39"/>
      <c r="O1212" s="39"/>
      <c r="Q1212" s="39"/>
      <c r="R1212" s="28"/>
      <c r="S1212" s="28"/>
      <c r="T1212" s="28"/>
      <c r="U1212" s="4"/>
      <c r="V1212" s="3"/>
      <c r="W1212" s="3"/>
    </row>
    <row r="1213" spans="1:23" s="5" customFormat="1">
      <c r="A1213" s="6"/>
      <c r="B1213" s="33"/>
      <c r="C1213" s="35"/>
      <c r="E1213" s="39"/>
      <c r="G1213" s="40"/>
      <c r="H1213" s="14"/>
      <c r="I1213" s="17"/>
      <c r="J1213" s="10"/>
      <c r="M1213" s="39"/>
      <c r="O1213" s="39"/>
      <c r="Q1213" s="39"/>
      <c r="R1213" s="28"/>
      <c r="S1213" s="28"/>
      <c r="T1213" s="28"/>
      <c r="U1213" s="4"/>
      <c r="V1213" s="3"/>
      <c r="W1213" s="3"/>
    </row>
    <row r="1214" spans="1:23" s="5" customFormat="1">
      <c r="A1214" s="6"/>
      <c r="B1214" s="33"/>
      <c r="C1214" s="35"/>
      <c r="E1214" s="39"/>
      <c r="G1214" s="40"/>
      <c r="H1214" s="15"/>
      <c r="I1214" s="17"/>
      <c r="J1214" s="10"/>
      <c r="M1214" s="39"/>
      <c r="O1214" s="39"/>
      <c r="Q1214" s="39"/>
      <c r="R1214" s="28"/>
      <c r="S1214" s="28"/>
      <c r="T1214" s="28"/>
      <c r="U1214" s="4"/>
      <c r="V1214" s="3"/>
      <c r="W1214" s="3"/>
    </row>
    <row r="1215" spans="1:23" s="5" customFormat="1">
      <c r="A1215" s="6"/>
      <c r="B1215" s="33"/>
      <c r="C1215" s="35"/>
      <c r="E1215" s="39"/>
      <c r="G1215" s="40"/>
      <c r="H1215" s="15"/>
      <c r="I1215" s="17"/>
      <c r="J1215" s="10"/>
      <c r="M1215" s="39"/>
      <c r="O1215" s="39"/>
      <c r="Q1215" s="39"/>
      <c r="R1215" s="28"/>
      <c r="S1215" s="28"/>
      <c r="T1215" s="28"/>
      <c r="U1215" s="4"/>
      <c r="V1215" s="3"/>
      <c r="W1215" s="3"/>
    </row>
    <row r="1216" spans="1:23" s="5" customFormat="1">
      <c r="A1216" s="6"/>
      <c r="B1216" s="33"/>
      <c r="C1216" s="35"/>
      <c r="E1216" s="39"/>
      <c r="G1216" s="40"/>
      <c r="H1216" s="15"/>
      <c r="I1216" s="17"/>
      <c r="J1216" s="10"/>
      <c r="M1216" s="39"/>
      <c r="O1216" s="39"/>
      <c r="Q1216" s="39"/>
      <c r="R1216" s="28"/>
      <c r="S1216" s="28"/>
      <c r="T1216" s="28"/>
      <c r="U1216" s="4"/>
      <c r="V1216" s="3"/>
      <c r="W1216" s="3"/>
    </row>
    <row r="1217" spans="1:23" s="5" customFormat="1">
      <c r="A1217" s="6"/>
      <c r="B1217" s="33"/>
      <c r="C1217" s="35"/>
      <c r="E1217" s="39"/>
      <c r="G1217" s="40"/>
      <c r="H1217" s="14"/>
      <c r="I1217" s="17"/>
      <c r="J1217" s="10"/>
      <c r="M1217" s="39"/>
      <c r="O1217" s="39"/>
      <c r="Q1217" s="39"/>
      <c r="R1217" s="28"/>
      <c r="S1217" s="28"/>
      <c r="T1217" s="28"/>
      <c r="U1217" s="4"/>
      <c r="V1217" s="3"/>
      <c r="W1217" s="3"/>
    </row>
    <row r="1218" spans="1:23" s="5" customFormat="1">
      <c r="A1218" s="6"/>
      <c r="B1218" s="33"/>
      <c r="C1218" s="35"/>
      <c r="E1218" s="39"/>
      <c r="G1218" s="40"/>
      <c r="H1218" s="15"/>
      <c r="I1218" s="17"/>
      <c r="J1218" s="10"/>
      <c r="M1218" s="39"/>
      <c r="O1218" s="39"/>
      <c r="Q1218" s="39"/>
      <c r="R1218" s="28"/>
      <c r="S1218" s="28"/>
      <c r="T1218" s="28"/>
      <c r="U1218" s="4"/>
      <c r="V1218" s="3"/>
      <c r="W1218" s="3"/>
    </row>
    <row r="1219" spans="1:23" s="5" customFormat="1">
      <c r="A1219" s="6"/>
      <c r="B1219" s="33"/>
      <c r="C1219" s="35"/>
      <c r="E1219" s="39"/>
      <c r="G1219" s="40"/>
      <c r="H1219" s="15"/>
      <c r="I1219" s="17"/>
      <c r="J1219" s="10"/>
      <c r="M1219" s="39"/>
      <c r="O1219" s="39"/>
      <c r="Q1219" s="39"/>
      <c r="R1219" s="28"/>
      <c r="S1219" s="28"/>
      <c r="T1219" s="28"/>
      <c r="U1219" s="4"/>
      <c r="V1219" s="3"/>
      <c r="W1219" s="3"/>
    </row>
    <row r="1220" spans="1:23" s="5" customFormat="1">
      <c r="A1220" s="6"/>
      <c r="B1220" s="33"/>
      <c r="C1220" s="35"/>
      <c r="E1220" s="39"/>
      <c r="G1220" s="40"/>
      <c r="H1220" s="14"/>
      <c r="I1220" s="17"/>
      <c r="J1220" s="10"/>
      <c r="M1220" s="39"/>
      <c r="O1220" s="39"/>
      <c r="Q1220" s="39"/>
      <c r="R1220" s="28"/>
      <c r="S1220" s="28"/>
      <c r="T1220" s="28"/>
      <c r="U1220" s="4"/>
      <c r="V1220" s="3"/>
      <c r="W1220" s="3"/>
    </row>
    <row r="1221" spans="1:23" s="5" customFormat="1">
      <c r="A1221" s="6"/>
      <c r="B1221" s="33"/>
      <c r="C1221" s="35"/>
      <c r="E1221" s="39"/>
      <c r="G1221" s="40"/>
      <c r="H1221" s="14"/>
      <c r="I1221" s="17"/>
      <c r="J1221" s="10"/>
      <c r="M1221" s="39"/>
      <c r="O1221" s="39"/>
      <c r="Q1221" s="39"/>
      <c r="R1221" s="28"/>
      <c r="S1221" s="28"/>
      <c r="T1221" s="28"/>
      <c r="U1221" s="4"/>
      <c r="V1221" s="3"/>
      <c r="W1221" s="3"/>
    </row>
    <row r="1222" spans="1:23" s="5" customFormat="1">
      <c r="A1222" s="6"/>
      <c r="B1222" s="33"/>
      <c r="C1222" s="35"/>
      <c r="E1222" s="39"/>
      <c r="G1222" s="40"/>
      <c r="H1222" s="15"/>
      <c r="I1222" s="17"/>
      <c r="J1222" s="10"/>
      <c r="M1222" s="39"/>
      <c r="O1222" s="39"/>
      <c r="Q1222" s="39"/>
      <c r="R1222" s="28"/>
      <c r="S1222" s="28"/>
      <c r="T1222" s="28"/>
      <c r="U1222" s="4"/>
      <c r="V1222" s="3"/>
      <c r="W1222" s="3"/>
    </row>
    <row r="1223" spans="1:23" s="5" customFormat="1">
      <c r="A1223" s="6"/>
      <c r="B1223" s="33"/>
      <c r="C1223" s="35"/>
      <c r="E1223" s="39"/>
      <c r="G1223" s="40"/>
      <c r="H1223" s="15"/>
      <c r="I1223" s="17"/>
      <c r="J1223" s="10"/>
      <c r="M1223" s="39"/>
      <c r="O1223" s="39"/>
      <c r="Q1223" s="39"/>
      <c r="R1223" s="28"/>
      <c r="S1223" s="28"/>
      <c r="T1223" s="28"/>
      <c r="U1223" s="4"/>
      <c r="V1223" s="3"/>
      <c r="W1223" s="3"/>
    </row>
    <row r="1224" spans="1:23" s="5" customFormat="1">
      <c r="A1224" s="6"/>
      <c r="B1224" s="33"/>
      <c r="C1224" s="35"/>
      <c r="E1224" s="39"/>
      <c r="G1224" s="40"/>
      <c r="H1224" s="14"/>
      <c r="I1224" s="17"/>
      <c r="J1224" s="10"/>
      <c r="M1224" s="39"/>
      <c r="O1224" s="39"/>
      <c r="Q1224" s="39"/>
      <c r="R1224" s="28"/>
      <c r="S1224" s="28"/>
      <c r="T1224" s="28"/>
      <c r="U1224" s="4"/>
      <c r="V1224" s="3"/>
      <c r="W1224" s="3"/>
    </row>
    <row r="1225" spans="1:23" s="5" customFormat="1">
      <c r="A1225" s="6"/>
      <c r="B1225" s="33"/>
      <c r="C1225" s="35"/>
      <c r="E1225" s="39"/>
      <c r="G1225" s="40"/>
      <c r="H1225" s="14"/>
      <c r="I1225" s="17"/>
      <c r="J1225" s="10"/>
      <c r="M1225" s="39"/>
      <c r="O1225" s="39"/>
      <c r="Q1225" s="39"/>
      <c r="R1225" s="28"/>
      <c r="S1225" s="28"/>
      <c r="T1225" s="28"/>
      <c r="U1225" s="4"/>
      <c r="V1225" s="3"/>
      <c r="W1225" s="3"/>
    </row>
    <row r="1226" spans="1:23" s="5" customFormat="1">
      <c r="A1226" s="6"/>
      <c r="B1226" s="33"/>
      <c r="C1226" s="35"/>
      <c r="E1226" s="39"/>
      <c r="G1226" s="40"/>
      <c r="H1226" s="15"/>
      <c r="I1226" s="17"/>
      <c r="J1226" s="10"/>
      <c r="M1226" s="39"/>
      <c r="O1226" s="39"/>
      <c r="Q1226" s="39"/>
      <c r="R1226" s="28"/>
      <c r="S1226" s="28"/>
      <c r="T1226" s="28"/>
      <c r="U1226" s="4"/>
      <c r="V1226" s="3"/>
      <c r="W1226" s="3"/>
    </row>
    <row r="1227" spans="1:23" s="5" customFormat="1">
      <c r="A1227" s="6"/>
      <c r="B1227" s="33"/>
      <c r="C1227" s="35"/>
      <c r="E1227" s="39"/>
      <c r="G1227" s="40"/>
      <c r="H1227" s="15"/>
      <c r="I1227" s="17"/>
      <c r="J1227" s="10"/>
      <c r="M1227" s="39"/>
      <c r="O1227" s="39"/>
      <c r="Q1227" s="39"/>
      <c r="R1227" s="28"/>
      <c r="S1227" s="28"/>
      <c r="T1227" s="28"/>
      <c r="U1227" s="4"/>
      <c r="V1227" s="3"/>
      <c r="W1227" s="3"/>
    </row>
    <row r="1228" spans="1:23" s="5" customFormat="1">
      <c r="A1228" s="6"/>
      <c r="B1228" s="33"/>
      <c r="C1228" s="35"/>
      <c r="E1228" s="39"/>
      <c r="G1228" s="40"/>
      <c r="H1228" s="14"/>
      <c r="I1228" s="17"/>
      <c r="J1228" s="10"/>
      <c r="M1228" s="39"/>
      <c r="O1228" s="39"/>
      <c r="Q1228" s="39"/>
      <c r="R1228" s="28"/>
      <c r="S1228" s="28"/>
      <c r="T1228" s="28"/>
      <c r="U1228" s="4"/>
      <c r="V1228" s="3"/>
      <c r="W1228" s="3"/>
    </row>
    <row r="1229" spans="1:23" s="5" customFormat="1">
      <c r="A1229" s="6"/>
      <c r="B1229" s="33"/>
      <c r="C1229" s="35"/>
      <c r="E1229" s="39"/>
      <c r="G1229" s="40"/>
      <c r="H1229" s="17"/>
      <c r="J1229" s="10"/>
      <c r="M1229" s="39"/>
      <c r="O1229" s="39"/>
      <c r="Q1229" s="39"/>
      <c r="R1229" s="28"/>
      <c r="S1229" s="28"/>
      <c r="T1229" s="28"/>
      <c r="U1229" s="4"/>
      <c r="V1229" s="3"/>
      <c r="W1229" s="3"/>
    </row>
    <row r="1230" spans="1:23" s="5" customFormat="1">
      <c r="A1230" s="6"/>
      <c r="B1230" s="33"/>
      <c r="C1230" s="35"/>
      <c r="E1230" s="39"/>
      <c r="G1230" s="40"/>
      <c r="H1230" s="14"/>
      <c r="I1230" s="17"/>
      <c r="J1230" s="10"/>
      <c r="M1230" s="39"/>
      <c r="O1230" s="39"/>
      <c r="Q1230" s="39"/>
      <c r="R1230" s="28"/>
      <c r="S1230" s="28"/>
      <c r="T1230" s="28"/>
      <c r="U1230" s="4"/>
      <c r="V1230" s="3"/>
      <c r="W1230" s="3"/>
    </row>
    <row r="1231" spans="1:23" s="5" customFormat="1">
      <c r="A1231" s="6"/>
      <c r="B1231" s="33"/>
      <c r="C1231" s="35"/>
      <c r="E1231" s="39"/>
      <c r="G1231" s="40"/>
      <c r="H1231" s="14"/>
      <c r="I1231" s="17"/>
      <c r="J1231" s="10"/>
      <c r="M1231" s="39"/>
      <c r="O1231" s="39"/>
      <c r="Q1231" s="39"/>
      <c r="R1231" s="28"/>
      <c r="S1231" s="28"/>
      <c r="T1231" s="28"/>
      <c r="U1231" s="4"/>
      <c r="V1231" s="3"/>
      <c r="W1231" s="3"/>
    </row>
    <row r="1232" spans="1:23" s="5" customFormat="1">
      <c r="A1232" s="6"/>
      <c r="B1232" s="33"/>
      <c r="C1232" s="35"/>
      <c r="E1232" s="39"/>
      <c r="G1232" s="40"/>
      <c r="H1232" s="15"/>
      <c r="I1232" s="17"/>
      <c r="J1232" s="10"/>
      <c r="M1232" s="39"/>
      <c r="O1232" s="39"/>
      <c r="Q1232" s="39"/>
      <c r="R1232" s="28"/>
      <c r="S1232" s="28"/>
      <c r="T1232" s="28"/>
      <c r="U1232" s="4"/>
      <c r="V1232" s="3"/>
      <c r="W1232" s="3"/>
    </row>
    <row r="1233" spans="1:23" s="5" customFormat="1">
      <c r="A1233" s="6"/>
      <c r="B1233" s="33"/>
      <c r="C1233" s="35"/>
      <c r="E1233" s="39"/>
      <c r="G1233" s="40"/>
      <c r="H1233" s="15"/>
      <c r="I1233" s="17"/>
      <c r="J1233" s="10"/>
      <c r="M1233" s="39"/>
      <c r="O1233" s="39"/>
      <c r="Q1233" s="39"/>
      <c r="R1233" s="28"/>
      <c r="S1233" s="28"/>
      <c r="T1233" s="28"/>
      <c r="U1233" s="4"/>
      <c r="V1233" s="3"/>
      <c r="W1233" s="3"/>
    </row>
    <row r="1234" spans="1:23" s="5" customFormat="1">
      <c r="A1234" s="6"/>
      <c r="B1234" s="33"/>
      <c r="C1234" s="35"/>
      <c r="E1234" s="39"/>
      <c r="G1234" s="40"/>
      <c r="H1234" s="14"/>
      <c r="I1234" s="17"/>
      <c r="J1234" s="10"/>
      <c r="M1234" s="39"/>
      <c r="O1234" s="39"/>
      <c r="Q1234" s="39"/>
      <c r="R1234" s="28"/>
      <c r="S1234" s="28"/>
      <c r="T1234" s="28"/>
      <c r="U1234" s="4"/>
      <c r="V1234" s="3"/>
      <c r="W1234" s="3"/>
    </row>
    <row r="1235" spans="1:23" s="5" customFormat="1">
      <c r="A1235" s="6"/>
      <c r="B1235" s="33"/>
      <c r="C1235" s="35"/>
      <c r="E1235" s="39"/>
      <c r="G1235" s="40"/>
      <c r="H1235" s="15"/>
      <c r="I1235" s="17"/>
      <c r="J1235" s="10"/>
      <c r="M1235" s="39"/>
      <c r="O1235" s="39"/>
      <c r="Q1235" s="39"/>
      <c r="R1235" s="28"/>
      <c r="S1235" s="28"/>
      <c r="T1235" s="28"/>
      <c r="U1235" s="4"/>
      <c r="V1235" s="3"/>
      <c r="W1235" s="3"/>
    </row>
    <row r="1236" spans="1:23" s="5" customFormat="1">
      <c r="A1236" s="6"/>
      <c r="B1236" s="33"/>
      <c r="C1236" s="35"/>
      <c r="E1236" s="39"/>
      <c r="G1236" s="40"/>
      <c r="H1236" s="14"/>
      <c r="I1236" s="17"/>
      <c r="J1236" s="10"/>
      <c r="M1236" s="39"/>
      <c r="O1236" s="39"/>
      <c r="Q1236" s="39"/>
      <c r="R1236" s="28"/>
      <c r="S1236" s="28"/>
      <c r="T1236" s="28"/>
      <c r="U1236" s="4"/>
      <c r="V1236" s="3"/>
      <c r="W1236" s="3"/>
    </row>
    <row r="1237" spans="1:23" s="5" customFormat="1">
      <c r="A1237" s="6"/>
      <c r="B1237" s="33"/>
      <c r="C1237" s="35"/>
      <c r="E1237" s="39"/>
      <c r="G1237" s="40"/>
      <c r="H1237" s="14"/>
      <c r="I1237" s="17"/>
      <c r="J1237" s="10"/>
      <c r="M1237" s="39"/>
      <c r="O1237" s="39"/>
      <c r="Q1237" s="39"/>
      <c r="R1237" s="28"/>
      <c r="S1237" s="28"/>
      <c r="T1237" s="28"/>
      <c r="U1237" s="4"/>
      <c r="V1237" s="3"/>
      <c r="W1237" s="3"/>
    </row>
    <row r="1238" spans="1:23" s="5" customFormat="1">
      <c r="A1238" s="6"/>
      <c r="B1238" s="33"/>
      <c r="C1238" s="35"/>
      <c r="E1238" s="39"/>
      <c r="G1238" s="40"/>
      <c r="H1238" s="14"/>
      <c r="I1238" s="17"/>
      <c r="J1238" s="10"/>
      <c r="M1238" s="39"/>
      <c r="O1238" s="39"/>
      <c r="Q1238" s="39"/>
      <c r="R1238" s="28"/>
      <c r="S1238" s="28"/>
      <c r="T1238" s="28"/>
      <c r="U1238" s="4"/>
      <c r="V1238" s="3"/>
      <c r="W1238" s="3"/>
    </row>
    <row r="1239" spans="1:23" s="5" customFormat="1">
      <c r="A1239" s="6"/>
      <c r="B1239" s="33"/>
      <c r="C1239" s="35"/>
      <c r="E1239" s="39"/>
      <c r="G1239" s="40"/>
      <c r="H1239" s="15"/>
      <c r="I1239" s="17"/>
      <c r="J1239" s="10"/>
      <c r="M1239" s="39"/>
      <c r="O1239" s="39"/>
      <c r="Q1239" s="39"/>
      <c r="R1239" s="28"/>
      <c r="S1239" s="28"/>
      <c r="T1239" s="28"/>
      <c r="U1239" s="4"/>
      <c r="V1239" s="3"/>
      <c r="W1239" s="3"/>
    </row>
    <row r="1240" spans="1:23" s="5" customFormat="1">
      <c r="A1240" s="6"/>
      <c r="B1240" s="33"/>
      <c r="C1240" s="35"/>
      <c r="E1240" s="39"/>
      <c r="G1240" s="40"/>
      <c r="H1240" s="15"/>
      <c r="I1240" s="17"/>
      <c r="J1240" s="10"/>
      <c r="M1240" s="39"/>
      <c r="O1240" s="39"/>
      <c r="Q1240" s="39"/>
      <c r="R1240" s="28"/>
      <c r="S1240" s="28"/>
      <c r="T1240" s="28"/>
      <c r="U1240" s="4"/>
      <c r="V1240" s="3"/>
      <c r="W1240" s="3"/>
    </row>
    <row r="1241" spans="1:23" s="5" customFormat="1">
      <c r="A1241" s="6"/>
      <c r="B1241" s="33"/>
      <c r="C1241" s="35"/>
      <c r="E1241" s="39"/>
      <c r="G1241" s="40"/>
      <c r="H1241" s="15"/>
      <c r="I1241" s="17"/>
      <c r="J1241" s="10"/>
      <c r="M1241" s="39"/>
      <c r="O1241" s="39"/>
      <c r="Q1241" s="39"/>
      <c r="R1241" s="28"/>
      <c r="S1241" s="28"/>
      <c r="T1241" s="28"/>
      <c r="U1241" s="4"/>
      <c r="V1241" s="3"/>
      <c r="W1241" s="3"/>
    </row>
    <row r="1242" spans="1:23" s="5" customFormat="1">
      <c r="A1242" s="6"/>
      <c r="B1242" s="33"/>
      <c r="C1242" s="35"/>
      <c r="E1242" s="39"/>
      <c r="G1242" s="40"/>
      <c r="H1242" s="14"/>
      <c r="I1242" s="17"/>
      <c r="J1242" s="10"/>
      <c r="M1242" s="39"/>
      <c r="O1242" s="39"/>
      <c r="Q1242" s="39"/>
      <c r="R1242" s="28"/>
      <c r="S1242" s="28"/>
      <c r="T1242" s="28"/>
      <c r="U1242" s="4"/>
      <c r="V1242" s="3"/>
      <c r="W1242" s="3"/>
    </row>
    <row r="1243" spans="1:23" s="5" customFormat="1">
      <c r="A1243" s="6"/>
      <c r="B1243" s="33"/>
      <c r="C1243" s="35"/>
      <c r="E1243" s="39"/>
      <c r="G1243" s="40"/>
      <c r="H1243" s="14"/>
      <c r="I1243" s="17"/>
      <c r="J1243" s="10"/>
      <c r="M1243" s="39"/>
      <c r="O1243" s="39"/>
      <c r="Q1243" s="39"/>
      <c r="R1243" s="28"/>
      <c r="S1243" s="28"/>
      <c r="T1243" s="28"/>
      <c r="U1243" s="4"/>
      <c r="V1243" s="3"/>
      <c r="W1243" s="3"/>
    </row>
    <row r="1244" spans="1:23" s="5" customFormat="1">
      <c r="A1244" s="6"/>
      <c r="B1244" s="33"/>
      <c r="C1244" s="35"/>
      <c r="E1244" s="39"/>
      <c r="G1244" s="40"/>
      <c r="H1244" s="14"/>
      <c r="I1244" s="17"/>
      <c r="J1244" s="10"/>
      <c r="M1244" s="39"/>
      <c r="O1244" s="39"/>
      <c r="Q1244" s="39"/>
      <c r="R1244" s="28"/>
      <c r="S1244" s="28"/>
      <c r="T1244" s="28"/>
      <c r="U1244" s="4"/>
      <c r="V1244" s="3"/>
      <c r="W1244" s="3"/>
    </row>
    <row r="1245" spans="1:23" s="5" customFormat="1">
      <c r="A1245" s="6"/>
      <c r="B1245" s="33"/>
      <c r="C1245" s="35"/>
      <c r="E1245" s="39"/>
      <c r="G1245" s="40"/>
      <c r="H1245" s="14"/>
      <c r="I1245" s="17"/>
      <c r="J1245" s="10"/>
      <c r="M1245" s="39"/>
      <c r="O1245" s="39"/>
      <c r="Q1245" s="39"/>
      <c r="R1245" s="28"/>
      <c r="S1245" s="28"/>
      <c r="T1245" s="28"/>
      <c r="U1245" s="4"/>
      <c r="V1245" s="3"/>
      <c r="W1245" s="3"/>
    </row>
    <row r="1246" spans="1:23" s="5" customFormat="1">
      <c r="A1246" s="6"/>
      <c r="B1246" s="33"/>
      <c r="C1246" s="35"/>
      <c r="E1246" s="39"/>
      <c r="G1246" s="40"/>
      <c r="H1246" s="14"/>
      <c r="I1246" s="17"/>
      <c r="J1246" s="10"/>
      <c r="M1246" s="39"/>
      <c r="O1246" s="39"/>
      <c r="Q1246" s="39"/>
      <c r="R1246" s="28"/>
      <c r="S1246" s="28"/>
      <c r="T1246" s="28"/>
      <c r="U1246" s="4"/>
      <c r="V1246" s="3"/>
      <c r="W1246" s="3"/>
    </row>
    <row r="1247" spans="1:23" s="5" customFormat="1">
      <c r="A1247" s="6"/>
      <c r="B1247" s="33"/>
      <c r="C1247" s="35"/>
      <c r="E1247" s="39"/>
      <c r="G1247" s="40"/>
      <c r="H1247" s="14"/>
      <c r="I1247" s="17"/>
      <c r="J1247" s="10"/>
      <c r="M1247" s="39"/>
      <c r="O1247" s="39"/>
      <c r="Q1247" s="39"/>
      <c r="R1247" s="28"/>
      <c r="S1247" s="28"/>
      <c r="T1247" s="28"/>
      <c r="U1247" s="4"/>
      <c r="V1247" s="3"/>
      <c r="W1247" s="3"/>
    </row>
    <row r="1248" spans="1:23" s="5" customFormat="1">
      <c r="A1248" s="6"/>
      <c r="B1248" s="33"/>
      <c r="C1248" s="35"/>
      <c r="E1248" s="39"/>
      <c r="G1248" s="40"/>
      <c r="H1248" s="15"/>
      <c r="I1248" s="17"/>
      <c r="J1248" s="10"/>
      <c r="M1248" s="39"/>
      <c r="O1248" s="39"/>
      <c r="Q1248" s="39"/>
      <c r="R1248" s="28"/>
      <c r="S1248" s="28"/>
      <c r="T1248" s="28"/>
      <c r="U1248" s="4"/>
      <c r="V1248" s="3"/>
      <c r="W1248" s="3"/>
    </row>
    <row r="1249" spans="1:23" s="5" customFormat="1">
      <c r="A1249" s="6"/>
      <c r="B1249" s="33"/>
      <c r="C1249" s="35"/>
      <c r="E1249" s="39"/>
      <c r="G1249" s="40"/>
      <c r="H1249" s="14"/>
      <c r="I1249" s="17"/>
      <c r="J1249" s="10"/>
      <c r="M1249" s="39"/>
      <c r="O1249" s="39"/>
      <c r="Q1249" s="39"/>
      <c r="R1249" s="28"/>
      <c r="S1249" s="28"/>
      <c r="T1249" s="28"/>
      <c r="U1249" s="4"/>
      <c r="V1249" s="3"/>
      <c r="W1249" s="3"/>
    </row>
    <row r="1250" spans="1:23" s="5" customFormat="1">
      <c r="A1250" s="6"/>
      <c r="B1250" s="33"/>
      <c r="C1250" s="35"/>
      <c r="E1250" s="39"/>
      <c r="G1250" s="40"/>
      <c r="H1250" s="14"/>
      <c r="I1250" s="17"/>
      <c r="J1250" s="10"/>
      <c r="M1250" s="39"/>
      <c r="O1250" s="39"/>
      <c r="Q1250" s="39"/>
      <c r="R1250" s="28"/>
      <c r="S1250" s="28"/>
      <c r="T1250" s="28"/>
      <c r="U1250" s="4"/>
      <c r="V1250" s="3"/>
      <c r="W1250" s="3"/>
    </row>
    <row r="1251" spans="1:23" s="5" customFormat="1">
      <c r="A1251" s="6"/>
      <c r="B1251" s="33"/>
      <c r="C1251" s="35"/>
      <c r="E1251" s="39"/>
      <c r="G1251" s="40"/>
      <c r="H1251" s="15"/>
      <c r="I1251" s="17"/>
      <c r="J1251" s="10"/>
      <c r="M1251" s="39"/>
      <c r="O1251" s="39"/>
      <c r="Q1251" s="39"/>
      <c r="R1251" s="28"/>
      <c r="S1251" s="28"/>
      <c r="T1251" s="28"/>
      <c r="U1251" s="4"/>
      <c r="V1251" s="3"/>
      <c r="W1251" s="3"/>
    </row>
    <row r="1252" spans="1:23" s="5" customFormat="1">
      <c r="A1252" s="6"/>
      <c r="B1252" s="33"/>
      <c r="C1252" s="35"/>
      <c r="E1252" s="39"/>
      <c r="G1252" s="40"/>
      <c r="H1252" s="15"/>
      <c r="I1252" s="17"/>
      <c r="J1252" s="10"/>
      <c r="M1252" s="39"/>
      <c r="O1252" s="39"/>
      <c r="Q1252" s="39"/>
      <c r="R1252" s="28"/>
      <c r="S1252" s="28"/>
      <c r="T1252" s="28"/>
      <c r="U1252" s="4"/>
      <c r="V1252" s="3"/>
      <c r="W1252" s="3"/>
    </row>
    <row r="1253" spans="1:23" s="5" customFormat="1">
      <c r="A1253" s="6"/>
      <c r="B1253" s="33"/>
      <c r="C1253" s="35"/>
      <c r="E1253" s="39"/>
      <c r="G1253" s="40"/>
      <c r="H1253" s="15"/>
      <c r="I1253" s="17"/>
      <c r="J1253" s="10"/>
      <c r="M1253" s="39"/>
      <c r="O1253" s="39"/>
      <c r="Q1253" s="39"/>
      <c r="R1253" s="28"/>
      <c r="S1253" s="28"/>
      <c r="T1253" s="28"/>
      <c r="U1253" s="4"/>
      <c r="V1253" s="3"/>
      <c r="W1253" s="3"/>
    </row>
    <row r="1254" spans="1:23" s="5" customFormat="1">
      <c r="A1254" s="6"/>
      <c r="B1254" s="33"/>
      <c r="C1254" s="35"/>
      <c r="E1254" s="39"/>
      <c r="G1254" s="40"/>
      <c r="H1254" s="14"/>
      <c r="I1254" s="17"/>
      <c r="J1254" s="10"/>
      <c r="M1254" s="39"/>
      <c r="O1254" s="39"/>
      <c r="Q1254" s="39"/>
      <c r="R1254" s="28"/>
      <c r="S1254" s="28"/>
      <c r="T1254" s="28"/>
      <c r="U1254" s="4"/>
      <c r="V1254" s="3"/>
      <c r="W1254" s="3"/>
    </row>
    <row r="1255" spans="1:23" s="5" customFormat="1">
      <c r="A1255" s="6"/>
      <c r="B1255" s="33"/>
      <c r="C1255" s="35"/>
      <c r="E1255" s="39"/>
      <c r="G1255" s="40"/>
      <c r="H1255" s="14"/>
      <c r="I1255" s="17"/>
      <c r="J1255" s="10"/>
      <c r="M1255" s="39"/>
      <c r="O1255" s="39"/>
      <c r="Q1255" s="39"/>
      <c r="R1255" s="28"/>
      <c r="S1255" s="28"/>
      <c r="T1255" s="28"/>
      <c r="U1255" s="4"/>
      <c r="V1255" s="3"/>
      <c r="W1255" s="3"/>
    </row>
    <row r="1256" spans="1:23" s="5" customFormat="1">
      <c r="A1256" s="6"/>
      <c r="B1256" s="33"/>
      <c r="C1256" s="35"/>
      <c r="E1256" s="39"/>
      <c r="G1256" s="40"/>
      <c r="H1256" s="15"/>
      <c r="I1256" s="17"/>
      <c r="J1256" s="10"/>
      <c r="M1256" s="39"/>
      <c r="O1256" s="39"/>
      <c r="Q1256" s="39"/>
      <c r="R1256" s="28"/>
      <c r="S1256" s="28"/>
      <c r="T1256" s="28"/>
      <c r="U1256" s="4"/>
      <c r="V1256" s="3"/>
      <c r="W1256" s="3"/>
    </row>
    <row r="1257" spans="1:23" s="5" customFormat="1">
      <c r="A1257" s="6"/>
      <c r="B1257" s="33"/>
      <c r="C1257" s="35"/>
      <c r="E1257" s="39"/>
      <c r="G1257" s="40"/>
      <c r="H1257" s="15"/>
      <c r="I1257" s="17"/>
      <c r="J1257" s="10"/>
      <c r="M1257" s="39"/>
      <c r="O1257" s="39"/>
      <c r="Q1257" s="39"/>
      <c r="R1257" s="28"/>
      <c r="S1257" s="28"/>
      <c r="T1257" s="28"/>
      <c r="U1257" s="4"/>
      <c r="V1257" s="3"/>
      <c r="W1257" s="3"/>
    </row>
    <row r="1258" spans="1:23" s="5" customFormat="1">
      <c r="A1258" s="6"/>
      <c r="B1258" s="33"/>
      <c r="C1258" s="35"/>
      <c r="E1258" s="39"/>
      <c r="G1258" s="40"/>
      <c r="H1258" s="15"/>
      <c r="I1258" s="17"/>
      <c r="J1258" s="10"/>
      <c r="M1258" s="39"/>
      <c r="O1258" s="39"/>
      <c r="Q1258" s="39"/>
      <c r="R1258" s="28"/>
      <c r="S1258" s="28"/>
      <c r="T1258" s="28"/>
      <c r="U1258" s="4"/>
      <c r="V1258" s="3"/>
      <c r="W1258" s="3"/>
    </row>
    <row r="1259" spans="1:23" s="5" customFormat="1">
      <c r="A1259" s="6"/>
      <c r="B1259" s="33"/>
      <c r="C1259" s="35"/>
      <c r="E1259" s="39"/>
      <c r="G1259" s="40"/>
      <c r="H1259" s="15"/>
      <c r="I1259" s="17"/>
      <c r="J1259" s="10"/>
      <c r="M1259" s="39"/>
      <c r="O1259" s="39"/>
      <c r="Q1259" s="39"/>
      <c r="R1259" s="28"/>
      <c r="S1259" s="28"/>
      <c r="T1259" s="28"/>
      <c r="U1259" s="4"/>
      <c r="V1259" s="3"/>
      <c r="W1259" s="3"/>
    </row>
    <row r="1260" spans="1:23" s="5" customFormat="1">
      <c r="A1260" s="6"/>
      <c r="B1260" s="33"/>
      <c r="C1260" s="35"/>
      <c r="E1260" s="39"/>
      <c r="G1260" s="40"/>
      <c r="H1260" s="15"/>
      <c r="I1260" s="17"/>
      <c r="J1260" s="10"/>
      <c r="M1260" s="39"/>
      <c r="O1260" s="39"/>
      <c r="Q1260" s="39"/>
      <c r="R1260" s="28"/>
      <c r="S1260" s="28"/>
      <c r="T1260" s="28"/>
      <c r="U1260" s="4"/>
      <c r="V1260" s="3"/>
      <c r="W1260" s="3"/>
    </row>
    <row r="1261" spans="1:23" s="5" customFormat="1">
      <c r="A1261" s="6"/>
      <c r="B1261" s="33"/>
      <c r="C1261" s="35"/>
      <c r="E1261" s="39"/>
      <c r="G1261" s="40"/>
      <c r="H1261" s="14"/>
      <c r="I1261" s="17"/>
      <c r="J1261" s="10"/>
      <c r="M1261" s="39"/>
      <c r="O1261" s="39"/>
      <c r="Q1261" s="39"/>
      <c r="R1261" s="28"/>
      <c r="S1261" s="28"/>
      <c r="T1261" s="28"/>
      <c r="U1261" s="4"/>
      <c r="V1261" s="3"/>
      <c r="W1261" s="3"/>
    </row>
    <row r="1262" spans="1:23" s="5" customFormat="1">
      <c r="A1262" s="6"/>
      <c r="B1262" s="33"/>
      <c r="C1262" s="35"/>
      <c r="E1262" s="39"/>
      <c r="G1262" s="40"/>
      <c r="H1262" s="14"/>
      <c r="I1262" s="17"/>
      <c r="J1262" s="10"/>
      <c r="M1262" s="39"/>
      <c r="O1262" s="39"/>
      <c r="Q1262" s="39"/>
      <c r="R1262" s="28"/>
      <c r="S1262" s="28"/>
      <c r="T1262" s="28"/>
      <c r="U1262" s="4"/>
      <c r="V1262" s="3"/>
      <c r="W1262" s="3"/>
    </row>
    <row r="1263" spans="1:23" s="5" customFormat="1">
      <c r="A1263" s="6"/>
      <c r="B1263" s="33"/>
      <c r="C1263" s="35"/>
      <c r="E1263" s="39"/>
      <c r="G1263" s="40"/>
      <c r="H1263" s="15"/>
      <c r="I1263" s="17"/>
      <c r="J1263" s="10"/>
      <c r="M1263" s="39"/>
      <c r="O1263" s="39"/>
      <c r="Q1263" s="39"/>
      <c r="R1263" s="28"/>
      <c r="S1263" s="28"/>
      <c r="T1263" s="28"/>
      <c r="U1263" s="4"/>
      <c r="V1263" s="3"/>
      <c r="W1263" s="3"/>
    </row>
    <row r="1264" spans="1:23" s="5" customFormat="1">
      <c r="A1264" s="6"/>
      <c r="B1264" s="33"/>
      <c r="C1264" s="35"/>
      <c r="E1264" s="39"/>
      <c r="G1264" s="40"/>
      <c r="H1264" s="15"/>
      <c r="I1264" s="17"/>
      <c r="J1264" s="10"/>
      <c r="M1264" s="39"/>
      <c r="O1264" s="39"/>
      <c r="Q1264" s="39"/>
      <c r="R1264" s="28"/>
      <c r="S1264" s="28"/>
      <c r="T1264" s="28"/>
      <c r="U1264" s="4"/>
      <c r="V1264" s="3"/>
      <c r="W1264" s="3"/>
    </row>
    <row r="1265" spans="1:23" s="5" customFormat="1">
      <c r="A1265" s="6"/>
      <c r="B1265" s="33"/>
      <c r="C1265" s="35"/>
      <c r="E1265" s="39"/>
      <c r="G1265" s="40"/>
      <c r="H1265" s="15"/>
      <c r="I1265" s="17"/>
      <c r="J1265" s="10"/>
      <c r="M1265" s="39"/>
      <c r="O1265" s="39"/>
      <c r="Q1265" s="39"/>
      <c r="R1265" s="28"/>
      <c r="S1265" s="28"/>
      <c r="T1265" s="28"/>
      <c r="U1265" s="4"/>
      <c r="V1265" s="3"/>
      <c r="W1265" s="3"/>
    </row>
    <row r="1266" spans="1:23" s="5" customFormat="1">
      <c r="A1266" s="6"/>
      <c r="B1266" s="33"/>
      <c r="C1266" s="35"/>
      <c r="E1266" s="39"/>
      <c r="G1266" s="40"/>
      <c r="H1266" s="15"/>
      <c r="I1266" s="17"/>
      <c r="J1266" s="10"/>
      <c r="M1266" s="39"/>
      <c r="O1266" s="39"/>
      <c r="Q1266" s="39"/>
      <c r="R1266" s="28"/>
      <c r="S1266" s="28"/>
      <c r="T1266" s="28"/>
      <c r="U1266" s="4"/>
      <c r="V1266" s="3"/>
      <c r="W1266" s="3"/>
    </row>
    <row r="1267" spans="1:23" s="5" customFormat="1">
      <c r="A1267" s="6"/>
      <c r="B1267" s="33"/>
      <c r="C1267" s="35"/>
      <c r="E1267" s="39"/>
      <c r="G1267" s="40"/>
      <c r="H1267" s="15"/>
      <c r="I1267" s="17"/>
      <c r="J1267" s="10"/>
      <c r="M1267" s="39"/>
      <c r="O1267" s="39"/>
      <c r="Q1267" s="39"/>
      <c r="R1267" s="28"/>
      <c r="S1267" s="28"/>
      <c r="T1267" s="28"/>
      <c r="U1267" s="4"/>
      <c r="V1267" s="3"/>
      <c r="W1267" s="3"/>
    </row>
    <row r="1268" spans="1:23" s="5" customFormat="1">
      <c r="A1268" s="6"/>
      <c r="B1268" s="33"/>
      <c r="C1268" s="35"/>
      <c r="E1268" s="39"/>
      <c r="G1268" s="40"/>
      <c r="H1268" s="15"/>
      <c r="I1268" s="17"/>
      <c r="J1268" s="10"/>
      <c r="M1268" s="39"/>
      <c r="O1268" s="39"/>
      <c r="Q1268" s="39"/>
      <c r="R1268" s="28"/>
      <c r="S1268" s="28"/>
      <c r="T1268" s="28"/>
      <c r="U1268" s="4"/>
      <c r="V1268" s="3"/>
      <c r="W1268" s="3"/>
    </row>
    <row r="1269" spans="1:23" s="5" customFormat="1">
      <c r="A1269" s="6"/>
      <c r="B1269" s="33"/>
      <c r="C1269" s="35"/>
      <c r="E1269" s="39"/>
      <c r="G1269" s="40"/>
      <c r="H1269" s="15"/>
      <c r="I1269" s="17"/>
      <c r="J1269" s="10"/>
      <c r="M1269" s="39"/>
      <c r="O1269" s="39"/>
      <c r="Q1269" s="39"/>
      <c r="R1269" s="28"/>
      <c r="S1269" s="28"/>
      <c r="T1269" s="28"/>
      <c r="U1269" s="4"/>
      <c r="V1269" s="3"/>
      <c r="W1269" s="3"/>
    </row>
    <row r="1270" spans="1:23" s="5" customFormat="1">
      <c r="A1270" s="6"/>
      <c r="B1270" s="33"/>
      <c r="C1270" s="35"/>
      <c r="E1270" s="39"/>
      <c r="G1270" s="40"/>
      <c r="H1270" s="15"/>
      <c r="I1270" s="17"/>
      <c r="J1270" s="10"/>
      <c r="M1270" s="39"/>
      <c r="O1270" s="39"/>
      <c r="Q1270" s="39"/>
      <c r="R1270" s="28"/>
      <c r="S1270" s="28"/>
      <c r="T1270" s="28"/>
      <c r="U1270" s="4"/>
      <c r="V1270" s="3"/>
      <c r="W1270" s="3"/>
    </row>
    <row r="1271" spans="1:23" s="5" customFormat="1">
      <c r="A1271" s="6"/>
      <c r="B1271" s="33"/>
      <c r="C1271" s="35"/>
      <c r="E1271" s="39"/>
      <c r="G1271" s="40"/>
      <c r="H1271" s="15"/>
      <c r="I1271" s="17"/>
      <c r="J1271" s="10"/>
      <c r="M1271" s="39"/>
      <c r="O1271" s="39"/>
      <c r="Q1271" s="39"/>
      <c r="R1271" s="28"/>
      <c r="S1271" s="28"/>
      <c r="T1271" s="28"/>
      <c r="U1271" s="4"/>
      <c r="V1271" s="3"/>
      <c r="W1271" s="3"/>
    </row>
    <row r="1272" spans="1:23" s="5" customFormat="1">
      <c r="A1272" s="6"/>
      <c r="B1272" s="33"/>
      <c r="C1272" s="35"/>
      <c r="E1272" s="39"/>
      <c r="G1272" s="40"/>
      <c r="H1272" s="15"/>
      <c r="I1272" s="17"/>
      <c r="J1272" s="10"/>
      <c r="M1272" s="39"/>
      <c r="O1272" s="39"/>
      <c r="Q1272" s="39"/>
      <c r="R1272" s="28"/>
      <c r="S1272" s="28"/>
      <c r="T1272" s="28"/>
      <c r="U1272" s="4"/>
      <c r="V1272" s="3"/>
      <c r="W1272" s="3"/>
    </row>
    <row r="1273" spans="1:23" s="5" customFormat="1">
      <c r="A1273" s="6"/>
      <c r="B1273" s="33"/>
      <c r="C1273" s="35"/>
      <c r="E1273" s="39"/>
      <c r="G1273" s="40"/>
      <c r="H1273" s="15"/>
      <c r="I1273" s="17"/>
      <c r="J1273" s="10"/>
      <c r="M1273" s="39"/>
      <c r="O1273" s="39"/>
      <c r="Q1273" s="39"/>
      <c r="R1273" s="28"/>
      <c r="S1273" s="28"/>
      <c r="T1273" s="28"/>
      <c r="U1273" s="4"/>
      <c r="V1273" s="3"/>
      <c r="W1273" s="3"/>
    </row>
    <row r="1274" spans="1:23" s="5" customFormat="1">
      <c r="A1274" s="6"/>
      <c r="B1274" s="33"/>
      <c r="C1274" s="35"/>
      <c r="E1274" s="39"/>
      <c r="G1274" s="40"/>
      <c r="H1274" s="15"/>
      <c r="I1274" s="17"/>
      <c r="J1274" s="10"/>
      <c r="M1274" s="39"/>
      <c r="O1274" s="39"/>
      <c r="Q1274" s="39"/>
      <c r="R1274" s="28"/>
      <c r="S1274" s="28"/>
      <c r="T1274" s="28"/>
      <c r="U1274" s="4"/>
      <c r="V1274" s="3"/>
      <c r="W1274" s="3"/>
    </row>
    <row r="1275" spans="1:23" s="5" customFormat="1">
      <c r="A1275" s="6"/>
      <c r="B1275" s="33"/>
      <c r="C1275" s="35"/>
      <c r="E1275" s="39"/>
      <c r="G1275" s="40"/>
      <c r="H1275" s="15"/>
      <c r="I1275" s="17"/>
      <c r="J1275" s="10"/>
      <c r="M1275" s="39"/>
      <c r="O1275" s="39"/>
      <c r="Q1275" s="39"/>
      <c r="R1275" s="28"/>
      <c r="S1275" s="28"/>
      <c r="T1275" s="28"/>
      <c r="U1275" s="4"/>
      <c r="V1275" s="3"/>
      <c r="W1275" s="3"/>
    </row>
    <row r="1276" spans="1:23" s="5" customFormat="1">
      <c r="A1276" s="6"/>
      <c r="B1276" s="33"/>
      <c r="C1276" s="35"/>
      <c r="E1276" s="39"/>
      <c r="G1276" s="40"/>
      <c r="H1276" s="15"/>
      <c r="I1276" s="17"/>
      <c r="J1276" s="10"/>
      <c r="M1276" s="39"/>
      <c r="O1276" s="39"/>
      <c r="Q1276" s="39"/>
      <c r="R1276" s="28"/>
      <c r="S1276" s="28"/>
      <c r="T1276" s="28"/>
      <c r="U1276" s="4"/>
      <c r="V1276" s="3"/>
      <c r="W1276" s="3"/>
    </row>
    <row r="1277" spans="1:23" s="5" customFormat="1">
      <c r="A1277" s="6"/>
      <c r="B1277" s="33"/>
      <c r="C1277" s="35"/>
      <c r="E1277" s="39"/>
      <c r="G1277" s="40"/>
      <c r="H1277" s="15"/>
      <c r="I1277" s="17"/>
      <c r="J1277" s="10"/>
      <c r="M1277" s="39"/>
      <c r="O1277" s="39"/>
      <c r="Q1277" s="39"/>
      <c r="R1277" s="28"/>
      <c r="S1277" s="28"/>
      <c r="T1277" s="28"/>
      <c r="U1277" s="4"/>
      <c r="V1277" s="3"/>
      <c r="W1277" s="3"/>
    </row>
    <row r="1278" spans="1:23" s="5" customFormat="1">
      <c r="A1278" s="6"/>
      <c r="B1278" s="33"/>
      <c r="C1278" s="35"/>
      <c r="E1278" s="39"/>
      <c r="G1278" s="40"/>
      <c r="H1278" s="14"/>
      <c r="I1278" s="17"/>
      <c r="J1278" s="10"/>
      <c r="M1278" s="39"/>
      <c r="O1278" s="39"/>
      <c r="Q1278" s="39"/>
      <c r="R1278" s="28"/>
      <c r="S1278" s="28"/>
      <c r="T1278" s="28"/>
      <c r="U1278" s="4"/>
      <c r="V1278" s="3"/>
      <c r="W1278" s="3"/>
    </row>
    <row r="1279" spans="1:23" s="5" customFormat="1">
      <c r="A1279" s="6"/>
      <c r="B1279" s="33"/>
      <c r="C1279" s="35"/>
      <c r="E1279" s="39"/>
      <c r="G1279" s="40"/>
      <c r="H1279" s="15"/>
      <c r="I1279" s="17"/>
      <c r="J1279" s="10"/>
      <c r="M1279" s="39"/>
      <c r="O1279" s="39"/>
      <c r="Q1279" s="39"/>
      <c r="R1279" s="28"/>
      <c r="S1279" s="28"/>
      <c r="T1279" s="28"/>
      <c r="U1279" s="4"/>
      <c r="V1279" s="3"/>
      <c r="W1279" s="3"/>
    </row>
    <row r="1280" spans="1:23" s="5" customFormat="1">
      <c r="A1280" s="6"/>
      <c r="B1280" s="33"/>
      <c r="C1280" s="35"/>
      <c r="E1280" s="39"/>
      <c r="G1280" s="40"/>
      <c r="H1280" s="15"/>
      <c r="I1280" s="17"/>
      <c r="J1280" s="10"/>
      <c r="M1280" s="39"/>
      <c r="O1280" s="39"/>
      <c r="Q1280" s="39"/>
      <c r="R1280" s="28"/>
      <c r="S1280" s="28"/>
      <c r="T1280" s="28"/>
      <c r="U1280" s="4"/>
      <c r="V1280" s="3"/>
      <c r="W1280" s="3"/>
    </row>
    <row r="1281" spans="1:23" s="5" customFormat="1">
      <c r="A1281" s="6"/>
      <c r="B1281" s="33"/>
      <c r="C1281" s="35"/>
      <c r="E1281" s="39"/>
      <c r="G1281" s="40"/>
      <c r="H1281" s="15"/>
      <c r="I1281" s="17"/>
      <c r="J1281" s="10"/>
      <c r="M1281" s="39"/>
      <c r="O1281" s="39"/>
      <c r="Q1281" s="39"/>
      <c r="R1281" s="28"/>
      <c r="S1281" s="28"/>
      <c r="T1281" s="28"/>
      <c r="U1281" s="4"/>
      <c r="V1281" s="3"/>
      <c r="W1281" s="3"/>
    </row>
    <row r="1282" spans="1:23" s="5" customFormat="1">
      <c r="A1282" s="6"/>
      <c r="B1282" s="33"/>
      <c r="C1282" s="35"/>
      <c r="E1282" s="39"/>
      <c r="G1282" s="40"/>
      <c r="H1282" s="14"/>
      <c r="I1282" s="17"/>
      <c r="J1282" s="10"/>
      <c r="M1282" s="39"/>
      <c r="O1282" s="39"/>
      <c r="Q1282" s="39"/>
      <c r="R1282" s="28"/>
      <c r="S1282" s="28"/>
      <c r="T1282" s="28"/>
      <c r="U1282" s="4"/>
      <c r="V1282" s="3"/>
      <c r="W1282" s="3"/>
    </row>
    <row r="1283" spans="1:23" s="5" customFormat="1">
      <c r="A1283" s="6"/>
      <c r="B1283" s="33"/>
      <c r="C1283" s="35"/>
      <c r="E1283" s="39"/>
      <c r="G1283" s="40"/>
      <c r="H1283" s="15"/>
      <c r="I1283" s="17"/>
      <c r="J1283" s="10"/>
      <c r="M1283" s="39"/>
      <c r="O1283" s="39"/>
      <c r="Q1283" s="39"/>
      <c r="R1283" s="28"/>
      <c r="S1283" s="28"/>
      <c r="T1283" s="28"/>
      <c r="U1283" s="4"/>
      <c r="V1283" s="3"/>
      <c r="W1283" s="3"/>
    </row>
    <row r="1284" spans="1:23" s="5" customFormat="1">
      <c r="A1284" s="6"/>
      <c r="B1284" s="33"/>
      <c r="C1284" s="35"/>
      <c r="E1284" s="39"/>
      <c r="G1284" s="40"/>
      <c r="H1284" s="14"/>
      <c r="I1284" s="17"/>
      <c r="J1284" s="10"/>
      <c r="M1284" s="39"/>
      <c r="O1284" s="39"/>
      <c r="Q1284" s="39"/>
      <c r="R1284" s="28"/>
      <c r="S1284" s="28"/>
      <c r="T1284" s="28"/>
      <c r="U1284" s="4"/>
      <c r="V1284" s="3"/>
      <c r="W1284" s="3"/>
    </row>
    <row r="1285" spans="1:23" s="5" customFormat="1">
      <c r="A1285" s="6"/>
      <c r="B1285" s="33"/>
      <c r="C1285" s="35"/>
      <c r="E1285" s="39"/>
      <c r="G1285" s="40"/>
      <c r="H1285" s="14"/>
      <c r="I1285" s="17"/>
      <c r="J1285" s="10"/>
      <c r="M1285" s="39"/>
      <c r="O1285" s="39"/>
      <c r="Q1285" s="39"/>
      <c r="R1285" s="28"/>
      <c r="S1285" s="28"/>
      <c r="T1285" s="28"/>
      <c r="U1285" s="4"/>
      <c r="V1285" s="3"/>
      <c r="W1285" s="3"/>
    </row>
    <row r="1286" spans="1:23" s="5" customFormat="1">
      <c r="A1286" s="6"/>
      <c r="B1286" s="33"/>
      <c r="C1286" s="35"/>
      <c r="E1286" s="39"/>
      <c r="G1286" s="40"/>
      <c r="H1286" s="15"/>
      <c r="I1286" s="17"/>
      <c r="J1286" s="10"/>
      <c r="M1286" s="39"/>
      <c r="O1286" s="39"/>
      <c r="Q1286" s="39"/>
      <c r="R1286" s="28"/>
      <c r="S1286" s="28"/>
      <c r="T1286" s="28"/>
      <c r="U1286" s="4"/>
      <c r="V1286" s="3"/>
      <c r="W1286" s="3"/>
    </row>
    <row r="1287" spans="1:23" s="5" customFormat="1">
      <c r="A1287" s="6"/>
      <c r="B1287" s="33"/>
      <c r="C1287" s="35"/>
      <c r="E1287" s="39"/>
      <c r="G1287" s="40"/>
      <c r="H1287" s="15"/>
      <c r="I1287" s="17"/>
      <c r="J1287" s="10"/>
      <c r="M1287" s="39"/>
      <c r="O1287" s="39"/>
      <c r="Q1287" s="39"/>
      <c r="R1287" s="28"/>
      <c r="S1287" s="28"/>
      <c r="T1287" s="28"/>
      <c r="U1287" s="4"/>
      <c r="V1287" s="3"/>
      <c r="W1287" s="3"/>
    </row>
    <row r="1288" spans="1:23" s="5" customFormat="1">
      <c r="A1288" s="6"/>
      <c r="B1288" s="33"/>
      <c r="C1288" s="35"/>
      <c r="E1288" s="39"/>
      <c r="G1288" s="40"/>
      <c r="H1288" s="15"/>
      <c r="I1288" s="17"/>
      <c r="J1288" s="10"/>
      <c r="M1288" s="39"/>
      <c r="O1288" s="39"/>
      <c r="Q1288" s="39"/>
      <c r="R1288" s="28"/>
      <c r="S1288" s="28"/>
      <c r="T1288" s="28"/>
      <c r="U1288" s="4"/>
      <c r="V1288" s="3"/>
      <c r="W1288" s="3"/>
    </row>
    <row r="1289" spans="1:23" s="5" customFormat="1">
      <c r="A1289" s="6"/>
      <c r="B1289" s="33"/>
      <c r="C1289" s="35"/>
      <c r="E1289" s="39"/>
      <c r="G1289" s="40"/>
      <c r="H1289" s="15"/>
      <c r="I1289" s="17"/>
      <c r="J1289" s="10"/>
      <c r="M1289" s="39"/>
      <c r="O1289" s="39"/>
      <c r="Q1289" s="39"/>
      <c r="R1289" s="28"/>
      <c r="S1289" s="28"/>
      <c r="T1289" s="28"/>
      <c r="U1289" s="4"/>
      <c r="V1289" s="3"/>
      <c r="W1289" s="3"/>
    </row>
    <row r="1290" spans="1:23" s="5" customFormat="1">
      <c r="A1290" s="6"/>
      <c r="B1290" s="33"/>
      <c r="C1290" s="35"/>
      <c r="E1290" s="39"/>
      <c r="G1290" s="40"/>
      <c r="H1290" s="15"/>
      <c r="I1290" s="17"/>
      <c r="J1290" s="10"/>
      <c r="M1290" s="39"/>
      <c r="O1290" s="39"/>
      <c r="Q1290" s="39"/>
      <c r="R1290" s="28"/>
      <c r="S1290" s="28"/>
      <c r="T1290" s="28"/>
      <c r="U1290" s="4"/>
      <c r="V1290" s="3"/>
      <c r="W1290" s="3"/>
    </row>
    <row r="1291" spans="1:23" s="5" customFormat="1">
      <c r="A1291" s="6"/>
      <c r="B1291" s="33"/>
      <c r="C1291" s="35"/>
      <c r="E1291" s="39"/>
      <c r="G1291" s="40"/>
      <c r="H1291" s="14"/>
      <c r="I1291" s="17"/>
      <c r="J1291" s="10"/>
      <c r="M1291" s="39"/>
      <c r="O1291" s="39"/>
      <c r="Q1291" s="39"/>
      <c r="R1291" s="28"/>
      <c r="S1291" s="28"/>
      <c r="T1291" s="28"/>
      <c r="U1291" s="4"/>
      <c r="V1291" s="3"/>
      <c r="W1291" s="3"/>
    </row>
    <row r="1292" spans="1:23" s="5" customFormat="1">
      <c r="A1292" s="6"/>
      <c r="B1292" s="33"/>
      <c r="C1292" s="35"/>
      <c r="E1292" s="39"/>
      <c r="G1292" s="40"/>
      <c r="H1292" s="14"/>
      <c r="I1292" s="17"/>
      <c r="J1292" s="10"/>
      <c r="M1292" s="39"/>
      <c r="O1292" s="39"/>
      <c r="Q1292" s="39"/>
      <c r="R1292" s="28"/>
      <c r="S1292" s="28"/>
      <c r="T1292" s="28"/>
      <c r="U1292" s="4"/>
      <c r="V1292" s="3"/>
      <c r="W1292" s="3"/>
    </row>
    <row r="1293" spans="1:23" s="5" customFormat="1">
      <c r="A1293" s="6"/>
      <c r="B1293" s="33"/>
      <c r="C1293" s="35"/>
      <c r="E1293" s="39"/>
      <c r="G1293" s="40"/>
      <c r="H1293" s="14"/>
      <c r="I1293" s="17"/>
      <c r="J1293" s="10"/>
      <c r="M1293" s="39"/>
      <c r="O1293" s="39"/>
      <c r="Q1293" s="39"/>
      <c r="R1293" s="28"/>
      <c r="S1293" s="28"/>
      <c r="T1293" s="28"/>
      <c r="U1293" s="4"/>
      <c r="V1293" s="3"/>
      <c r="W1293" s="3"/>
    </row>
    <row r="1294" spans="1:23" s="5" customFormat="1">
      <c r="A1294" s="6"/>
      <c r="B1294" s="33"/>
      <c r="C1294" s="35"/>
      <c r="E1294" s="39"/>
      <c r="G1294" s="40"/>
      <c r="H1294" s="15"/>
      <c r="I1294" s="17"/>
      <c r="J1294" s="10"/>
      <c r="M1294" s="39"/>
      <c r="O1294" s="39"/>
      <c r="Q1294" s="39"/>
      <c r="R1294" s="28"/>
      <c r="S1294" s="28"/>
      <c r="T1294" s="28"/>
      <c r="U1294" s="4"/>
      <c r="V1294" s="3"/>
      <c r="W1294" s="3"/>
    </row>
    <row r="1295" spans="1:23" s="5" customFormat="1">
      <c r="A1295" s="6"/>
      <c r="B1295" s="33"/>
      <c r="C1295" s="35"/>
      <c r="E1295" s="39"/>
      <c r="G1295" s="40"/>
      <c r="H1295" s="15"/>
      <c r="I1295" s="17"/>
      <c r="J1295" s="10"/>
      <c r="M1295" s="39"/>
      <c r="O1295" s="39"/>
      <c r="Q1295" s="39"/>
      <c r="R1295" s="28"/>
      <c r="S1295" s="28"/>
      <c r="T1295" s="28"/>
      <c r="U1295" s="4"/>
      <c r="V1295" s="3"/>
      <c r="W1295" s="3"/>
    </row>
    <row r="1296" spans="1:23" s="5" customFormat="1">
      <c r="A1296" s="6"/>
      <c r="B1296" s="33"/>
      <c r="C1296" s="35"/>
      <c r="E1296" s="39"/>
      <c r="G1296" s="40"/>
      <c r="H1296" s="14"/>
      <c r="I1296" s="17"/>
      <c r="J1296" s="10"/>
      <c r="M1296" s="39"/>
      <c r="O1296" s="39"/>
      <c r="Q1296" s="39"/>
      <c r="R1296" s="28"/>
      <c r="S1296" s="28"/>
      <c r="T1296" s="28"/>
      <c r="U1296" s="4"/>
      <c r="V1296" s="3"/>
      <c r="W1296" s="3"/>
    </row>
    <row r="1297" spans="1:23" s="5" customFormat="1">
      <c r="A1297" s="6"/>
      <c r="B1297" s="33"/>
      <c r="C1297" s="35"/>
      <c r="E1297" s="39"/>
      <c r="G1297" s="40"/>
      <c r="H1297" s="14"/>
      <c r="I1297" s="17"/>
      <c r="J1297" s="10"/>
      <c r="M1297" s="39"/>
      <c r="O1297" s="39"/>
      <c r="Q1297" s="39"/>
      <c r="R1297" s="28"/>
      <c r="S1297" s="28"/>
      <c r="T1297" s="28"/>
      <c r="U1297" s="4"/>
      <c r="V1297" s="3"/>
      <c r="W1297" s="3"/>
    </row>
    <row r="1298" spans="1:23" s="5" customFormat="1">
      <c r="A1298" s="6"/>
      <c r="B1298" s="33"/>
      <c r="C1298" s="35"/>
      <c r="E1298" s="39"/>
      <c r="G1298" s="40"/>
      <c r="H1298" s="15"/>
      <c r="I1298" s="17"/>
      <c r="J1298" s="10"/>
      <c r="M1298" s="39"/>
      <c r="O1298" s="39"/>
      <c r="Q1298" s="39"/>
      <c r="R1298" s="28"/>
      <c r="S1298" s="28"/>
      <c r="T1298" s="28"/>
      <c r="U1298" s="4"/>
      <c r="V1298" s="3"/>
      <c r="W1298" s="3"/>
    </row>
    <row r="1299" spans="1:23" s="5" customFormat="1">
      <c r="A1299" s="6"/>
      <c r="B1299" s="33"/>
      <c r="C1299" s="35"/>
      <c r="E1299" s="39"/>
      <c r="G1299" s="40"/>
      <c r="H1299" s="15"/>
      <c r="I1299" s="17"/>
      <c r="J1299" s="10"/>
      <c r="M1299" s="39"/>
      <c r="O1299" s="39"/>
      <c r="Q1299" s="39"/>
      <c r="R1299" s="28"/>
      <c r="S1299" s="28"/>
      <c r="T1299" s="28"/>
      <c r="U1299" s="4"/>
      <c r="V1299" s="3"/>
      <c r="W1299" s="3"/>
    </row>
    <row r="1300" spans="1:23" s="5" customFormat="1">
      <c r="A1300" s="6"/>
      <c r="B1300" s="33"/>
      <c r="C1300" s="35"/>
      <c r="E1300" s="39"/>
      <c r="G1300" s="40"/>
      <c r="H1300" s="15"/>
      <c r="I1300" s="17"/>
      <c r="J1300" s="10"/>
      <c r="M1300" s="39"/>
      <c r="O1300" s="39"/>
      <c r="Q1300" s="39"/>
      <c r="R1300" s="28"/>
      <c r="S1300" s="28"/>
      <c r="T1300" s="28"/>
      <c r="U1300" s="4"/>
      <c r="V1300" s="3"/>
      <c r="W1300" s="3"/>
    </row>
    <row r="1301" spans="1:23" s="5" customFormat="1">
      <c r="A1301" s="6"/>
      <c r="B1301" s="33"/>
      <c r="C1301" s="35"/>
      <c r="E1301" s="39"/>
      <c r="G1301" s="40"/>
      <c r="H1301" s="15"/>
      <c r="I1301" s="17"/>
      <c r="J1301" s="10"/>
      <c r="M1301" s="39"/>
      <c r="O1301" s="39"/>
      <c r="Q1301" s="39"/>
      <c r="R1301" s="28"/>
      <c r="S1301" s="28"/>
      <c r="T1301" s="28"/>
      <c r="U1301" s="4"/>
      <c r="V1301" s="3"/>
      <c r="W1301" s="3"/>
    </row>
    <row r="1302" spans="1:23" s="5" customFormat="1">
      <c r="A1302" s="6"/>
      <c r="B1302" s="33"/>
      <c r="C1302" s="35"/>
      <c r="E1302" s="39"/>
      <c r="G1302" s="40"/>
      <c r="H1302" s="15"/>
      <c r="I1302" s="17"/>
      <c r="J1302" s="10"/>
      <c r="M1302" s="39"/>
      <c r="O1302" s="39"/>
      <c r="Q1302" s="39"/>
      <c r="R1302" s="28"/>
      <c r="S1302" s="28"/>
      <c r="T1302" s="28"/>
      <c r="U1302" s="4"/>
      <c r="V1302" s="3"/>
      <c r="W1302" s="3"/>
    </row>
    <row r="1303" spans="1:23" s="5" customFormat="1">
      <c r="A1303" s="6"/>
      <c r="B1303" s="33"/>
      <c r="C1303" s="35"/>
      <c r="E1303" s="39"/>
      <c r="G1303" s="40"/>
      <c r="H1303" s="14"/>
      <c r="I1303" s="17"/>
      <c r="J1303" s="10"/>
      <c r="M1303" s="39"/>
      <c r="O1303" s="39"/>
      <c r="Q1303" s="39"/>
      <c r="R1303" s="28"/>
      <c r="S1303" s="28"/>
      <c r="T1303" s="28"/>
      <c r="U1303" s="4"/>
      <c r="V1303" s="3"/>
      <c r="W1303" s="3"/>
    </row>
    <row r="1304" spans="1:23" s="5" customFormat="1">
      <c r="A1304" s="6"/>
      <c r="B1304" s="33"/>
      <c r="C1304" s="35"/>
      <c r="E1304" s="39"/>
      <c r="G1304" s="40"/>
      <c r="H1304" s="15"/>
      <c r="I1304" s="17"/>
      <c r="J1304" s="10"/>
      <c r="M1304" s="39"/>
      <c r="O1304" s="39"/>
      <c r="Q1304" s="39"/>
      <c r="R1304" s="28"/>
      <c r="S1304" s="28"/>
      <c r="T1304" s="28"/>
      <c r="U1304" s="4"/>
      <c r="V1304" s="3"/>
      <c r="W1304" s="3"/>
    </row>
    <row r="1305" spans="1:23" s="5" customFormat="1">
      <c r="A1305" s="20"/>
      <c r="B1305" s="33"/>
      <c r="C1305" s="35"/>
      <c r="E1305" s="39"/>
      <c r="F1305" s="1"/>
      <c r="G1305" s="40"/>
      <c r="H1305" s="12"/>
      <c r="I1305" s="9"/>
      <c r="J1305" s="12"/>
      <c r="M1305" s="39"/>
      <c r="O1305" s="39"/>
      <c r="Q1305" s="39"/>
      <c r="R1305" s="29"/>
      <c r="S1305" s="28"/>
      <c r="T1305" s="28"/>
      <c r="U1305" s="4"/>
      <c r="V1305" s="3"/>
      <c r="W1305" s="3"/>
    </row>
    <row r="1306" spans="1:23" s="5" customFormat="1">
      <c r="A1306" s="6"/>
      <c r="B1306" s="33"/>
      <c r="C1306" s="35"/>
      <c r="E1306" s="39"/>
      <c r="G1306" s="40"/>
      <c r="H1306" s="14"/>
      <c r="I1306" s="17"/>
      <c r="J1306" s="10"/>
      <c r="M1306" s="39"/>
      <c r="O1306" s="39"/>
      <c r="Q1306" s="39"/>
      <c r="R1306" s="28"/>
      <c r="S1306" s="28"/>
      <c r="T1306" s="28"/>
      <c r="U1306" s="4"/>
      <c r="V1306" s="3"/>
      <c r="W1306" s="3"/>
    </row>
    <row r="1307" spans="1:23" s="5" customFormat="1">
      <c r="A1307" s="6"/>
      <c r="B1307" s="33"/>
      <c r="C1307" s="35"/>
      <c r="E1307" s="39"/>
      <c r="G1307" s="40"/>
      <c r="H1307" s="15"/>
      <c r="I1307" s="17"/>
      <c r="J1307" s="10"/>
      <c r="M1307" s="39"/>
      <c r="O1307" s="39"/>
      <c r="Q1307" s="39"/>
      <c r="R1307" s="28"/>
      <c r="S1307" s="28"/>
      <c r="T1307" s="28"/>
      <c r="U1307" s="4"/>
      <c r="V1307" s="3"/>
      <c r="W1307" s="3"/>
    </row>
    <row r="1308" spans="1:23" s="5" customFormat="1">
      <c r="A1308" s="6"/>
      <c r="B1308" s="33"/>
      <c r="C1308" s="35"/>
      <c r="E1308" s="39"/>
      <c r="G1308" s="40"/>
      <c r="H1308" s="14"/>
      <c r="I1308" s="17"/>
      <c r="J1308" s="10"/>
      <c r="M1308" s="39"/>
      <c r="O1308" s="39"/>
      <c r="Q1308" s="39"/>
      <c r="R1308" s="28"/>
      <c r="S1308" s="29"/>
      <c r="T1308" s="28"/>
      <c r="U1308" s="4"/>
      <c r="V1308" s="3"/>
      <c r="W1308" s="3"/>
    </row>
    <row r="1309" spans="1:23" s="5" customFormat="1">
      <c r="A1309" s="6"/>
      <c r="B1309" s="33"/>
      <c r="C1309" s="35"/>
      <c r="E1309" s="39"/>
      <c r="G1309" s="40"/>
      <c r="H1309" s="15"/>
      <c r="I1309" s="17"/>
      <c r="J1309" s="10"/>
      <c r="M1309" s="39"/>
      <c r="O1309" s="39"/>
      <c r="Q1309" s="39"/>
      <c r="R1309" s="28"/>
      <c r="S1309" s="28"/>
      <c r="T1309" s="28"/>
      <c r="U1309" s="4"/>
      <c r="V1309" s="3"/>
      <c r="W1309" s="3"/>
    </row>
    <row r="1310" spans="1:23" s="5" customFormat="1">
      <c r="A1310" s="6"/>
      <c r="B1310" s="33"/>
      <c r="C1310" s="35"/>
      <c r="E1310" s="39"/>
      <c r="G1310" s="40"/>
      <c r="H1310" s="14"/>
      <c r="I1310" s="17"/>
      <c r="J1310" s="10"/>
      <c r="M1310" s="39"/>
      <c r="O1310" s="39"/>
      <c r="Q1310" s="39"/>
      <c r="R1310" s="28"/>
      <c r="S1310" s="28"/>
      <c r="T1310" s="28"/>
      <c r="U1310" s="4"/>
      <c r="V1310" s="3"/>
      <c r="W1310" s="3"/>
    </row>
    <row r="1311" spans="1:23" s="5" customFormat="1">
      <c r="A1311" s="6"/>
      <c r="B1311" s="33"/>
      <c r="C1311" s="35"/>
      <c r="E1311" s="39"/>
      <c r="G1311" s="40"/>
      <c r="H1311" s="14"/>
      <c r="I1311" s="17"/>
      <c r="J1311" s="10"/>
      <c r="M1311" s="39"/>
      <c r="O1311" s="39"/>
      <c r="Q1311" s="39"/>
      <c r="R1311" s="28"/>
      <c r="S1311" s="28"/>
      <c r="T1311" s="28"/>
      <c r="U1311" s="4"/>
      <c r="V1311" s="3"/>
      <c r="W1311" s="3"/>
    </row>
    <row r="1312" spans="1:23" s="5" customFormat="1">
      <c r="A1312" s="6"/>
      <c r="B1312" s="33"/>
      <c r="C1312" s="35"/>
      <c r="E1312" s="39"/>
      <c r="G1312" s="40"/>
      <c r="H1312" s="14"/>
      <c r="I1312" s="17"/>
      <c r="J1312" s="10"/>
      <c r="M1312" s="39"/>
      <c r="O1312" s="39"/>
      <c r="Q1312" s="39"/>
      <c r="R1312" s="28"/>
      <c r="S1312" s="28"/>
      <c r="T1312" s="28"/>
      <c r="U1312" s="4"/>
      <c r="V1312" s="3"/>
      <c r="W1312" s="3"/>
    </row>
    <row r="1313" spans="1:23" s="5" customFormat="1">
      <c r="A1313" s="6"/>
      <c r="B1313" s="33"/>
      <c r="C1313" s="35"/>
      <c r="E1313" s="39"/>
      <c r="G1313" s="40"/>
      <c r="H1313" s="14"/>
      <c r="I1313" s="17"/>
      <c r="J1313" s="10"/>
      <c r="M1313" s="39"/>
      <c r="O1313" s="39"/>
      <c r="Q1313" s="39"/>
      <c r="R1313" s="28"/>
      <c r="S1313" s="28"/>
      <c r="T1313" s="28"/>
      <c r="U1313" s="4"/>
      <c r="V1313" s="3"/>
      <c r="W1313" s="3"/>
    </row>
    <row r="1314" spans="1:23" s="5" customFormat="1">
      <c r="A1314" s="6"/>
      <c r="B1314" s="33"/>
      <c r="C1314" s="35"/>
      <c r="E1314" s="39"/>
      <c r="G1314" s="40"/>
      <c r="H1314" s="14"/>
      <c r="I1314" s="17"/>
      <c r="J1314" s="10"/>
      <c r="M1314" s="39"/>
      <c r="O1314" s="39"/>
      <c r="Q1314" s="39"/>
      <c r="R1314" s="28"/>
      <c r="S1314" s="28"/>
      <c r="T1314" s="28"/>
      <c r="U1314" s="4"/>
      <c r="V1314" s="3"/>
      <c r="W1314" s="3"/>
    </row>
    <row r="1315" spans="1:23" s="5" customFormat="1">
      <c r="A1315" s="6"/>
      <c r="B1315" s="33"/>
      <c r="C1315" s="35"/>
      <c r="E1315" s="39"/>
      <c r="G1315" s="40"/>
      <c r="H1315" s="14"/>
      <c r="I1315" s="9"/>
      <c r="J1315" s="10"/>
      <c r="M1315" s="39"/>
      <c r="O1315" s="39"/>
      <c r="Q1315" s="39"/>
      <c r="R1315" s="28"/>
      <c r="S1315" s="28"/>
      <c r="T1315" s="28"/>
      <c r="U1315" s="4"/>
      <c r="V1315" s="3"/>
      <c r="W1315" s="3"/>
    </row>
    <row r="1316" spans="1:23" s="5" customFormat="1">
      <c r="A1316" s="6"/>
      <c r="B1316" s="33"/>
      <c r="C1316" s="35"/>
      <c r="E1316" s="39"/>
      <c r="G1316" s="40"/>
      <c r="H1316" s="15"/>
      <c r="I1316" s="17"/>
      <c r="J1316" s="10"/>
      <c r="M1316" s="39"/>
      <c r="O1316" s="39"/>
      <c r="Q1316" s="39"/>
      <c r="R1316" s="28"/>
      <c r="S1316" s="28"/>
      <c r="T1316" s="28"/>
      <c r="U1316" s="4"/>
      <c r="V1316" s="3"/>
      <c r="W1316" s="3"/>
    </row>
    <row r="1317" spans="1:23" s="5" customFormat="1">
      <c r="A1317" s="6"/>
      <c r="B1317" s="33"/>
      <c r="C1317" s="35"/>
      <c r="E1317" s="39"/>
      <c r="G1317" s="40"/>
      <c r="H1317" s="15"/>
      <c r="I1317" s="17"/>
      <c r="J1317" s="10"/>
      <c r="M1317" s="39"/>
      <c r="O1317" s="39"/>
      <c r="Q1317" s="39"/>
      <c r="R1317" s="28"/>
      <c r="S1317" s="28"/>
      <c r="T1317" s="28"/>
      <c r="U1317" s="4"/>
      <c r="V1317" s="3"/>
      <c r="W1317" s="3"/>
    </row>
    <row r="1318" spans="1:23" s="5" customFormat="1">
      <c r="A1318" s="6"/>
      <c r="B1318" s="33"/>
      <c r="C1318" s="35"/>
      <c r="E1318" s="39"/>
      <c r="G1318" s="40"/>
      <c r="H1318" s="15"/>
      <c r="I1318" s="17"/>
      <c r="J1318" s="10"/>
      <c r="M1318" s="39"/>
      <c r="O1318" s="39"/>
      <c r="Q1318" s="39"/>
      <c r="R1318" s="28"/>
      <c r="S1318" s="28"/>
      <c r="T1318" s="28"/>
      <c r="U1318" s="4"/>
      <c r="V1318" s="3"/>
      <c r="W1318" s="3"/>
    </row>
    <row r="1319" spans="1:23" s="5" customFormat="1">
      <c r="A1319" s="6"/>
      <c r="B1319" s="33"/>
      <c r="C1319" s="35"/>
      <c r="E1319" s="39"/>
      <c r="G1319" s="40"/>
      <c r="H1319" s="14"/>
      <c r="I1319" s="17"/>
      <c r="J1319" s="10"/>
      <c r="M1319" s="39"/>
      <c r="O1319" s="39"/>
      <c r="Q1319" s="39"/>
      <c r="R1319" s="28"/>
      <c r="S1319" s="28"/>
      <c r="T1319" s="28"/>
      <c r="U1319" s="4"/>
      <c r="V1319" s="3"/>
      <c r="W1319" s="3"/>
    </row>
    <row r="1320" spans="1:23" s="5" customFormat="1">
      <c r="A1320" s="6"/>
      <c r="B1320" s="33"/>
      <c r="C1320" s="35"/>
      <c r="E1320" s="39"/>
      <c r="G1320" s="40"/>
      <c r="H1320" s="15"/>
      <c r="I1320" s="17"/>
      <c r="J1320" s="10"/>
      <c r="M1320" s="39"/>
      <c r="O1320" s="39"/>
      <c r="Q1320" s="39"/>
      <c r="R1320" s="28"/>
      <c r="S1320" s="29"/>
      <c r="T1320" s="28"/>
      <c r="U1320" s="4"/>
      <c r="V1320" s="3"/>
      <c r="W1320" s="3"/>
    </row>
    <row r="1321" spans="1:23" s="5" customFormat="1">
      <c r="A1321" s="6"/>
      <c r="B1321" s="33"/>
      <c r="C1321" s="35"/>
      <c r="E1321" s="39"/>
      <c r="G1321" s="40"/>
      <c r="H1321" s="15"/>
      <c r="I1321" s="17"/>
      <c r="J1321" s="10"/>
      <c r="M1321" s="39"/>
      <c r="O1321" s="39"/>
      <c r="Q1321" s="39"/>
      <c r="R1321" s="28"/>
      <c r="S1321" s="28"/>
      <c r="T1321" s="28"/>
      <c r="U1321" s="4"/>
      <c r="V1321" s="3"/>
      <c r="W1321" s="3"/>
    </row>
    <row r="1322" spans="1:23" s="5" customFormat="1">
      <c r="A1322" s="6"/>
      <c r="B1322" s="33"/>
      <c r="C1322" s="35"/>
      <c r="E1322" s="39"/>
      <c r="G1322" s="40"/>
      <c r="H1322" s="15"/>
      <c r="I1322" s="17"/>
      <c r="J1322" s="10"/>
      <c r="M1322" s="39"/>
      <c r="O1322" s="39"/>
      <c r="Q1322" s="39"/>
      <c r="R1322" s="28"/>
      <c r="S1322" s="28"/>
      <c r="T1322" s="28"/>
      <c r="U1322" s="4"/>
      <c r="V1322" s="3"/>
      <c r="W1322" s="3"/>
    </row>
    <row r="1323" spans="1:23" s="5" customFormat="1">
      <c r="A1323" s="6"/>
      <c r="B1323" s="33"/>
      <c r="C1323" s="35"/>
      <c r="E1323" s="39"/>
      <c r="G1323" s="40"/>
      <c r="H1323" s="15"/>
      <c r="I1323" s="17"/>
      <c r="J1323" s="10"/>
      <c r="M1323" s="39"/>
      <c r="O1323" s="39"/>
      <c r="Q1323" s="39"/>
      <c r="R1323" s="28"/>
      <c r="S1323" s="28"/>
      <c r="T1323" s="28"/>
      <c r="U1323" s="4"/>
      <c r="V1323" s="3"/>
      <c r="W1323" s="3"/>
    </row>
    <row r="1324" spans="1:23" s="5" customFormat="1">
      <c r="A1324" s="6"/>
      <c r="B1324" s="33"/>
      <c r="C1324" s="35"/>
      <c r="E1324" s="39"/>
      <c r="G1324" s="40"/>
      <c r="H1324" s="15"/>
      <c r="I1324" s="17"/>
      <c r="J1324" s="10"/>
      <c r="M1324" s="39"/>
      <c r="O1324" s="39"/>
      <c r="Q1324" s="39"/>
      <c r="R1324" s="28"/>
      <c r="S1324" s="28"/>
      <c r="T1324" s="28"/>
      <c r="U1324" s="4"/>
      <c r="V1324" s="3"/>
      <c r="W1324" s="3"/>
    </row>
    <row r="1325" spans="1:23" s="5" customFormat="1">
      <c r="A1325" s="6"/>
      <c r="B1325" s="33"/>
      <c r="C1325" s="35"/>
      <c r="E1325" s="39"/>
      <c r="G1325" s="40"/>
      <c r="H1325" s="15"/>
      <c r="I1325" s="17"/>
      <c r="J1325" s="10"/>
      <c r="M1325" s="39"/>
      <c r="O1325" s="39"/>
      <c r="Q1325" s="39"/>
      <c r="R1325" s="28"/>
      <c r="S1325" s="28"/>
      <c r="T1325" s="28"/>
      <c r="U1325" s="4"/>
      <c r="V1325" s="3"/>
      <c r="W1325" s="3"/>
    </row>
    <row r="1326" spans="1:23" s="5" customFormat="1">
      <c r="A1326" s="6"/>
      <c r="B1326" s="33"/>
      <c r="C1326" s="35"/>
      <c r="E1326" s="39"/>
      <c r="G1326" s="40"/>
      <c r="H1326" s="15"/>
      <c r="I1326" s="17"/>
      <c r="J1326" s="10"/>
      <c r="M1326" s="39"/>
      <c r="O1326" s="39"/>
      <c r="Q1326" s="39"/>
      <c r="R1326" s="28"/>
      <c r="S1326" s="28"/>
      <c r="T1326" s="28"/>
      <c r="U1326" s="4"/>
      <c r="V1326" s="3"/>
      <c r="W1326" s="3"/>
    </row>
    <row r="1327" spans="1:23" s="5" customFormat="1">
      <c r="A1327" s="6"/>
      <c r="B1327" s="33"/>
      <c r="C1327" s="35"/>
      <c r="E1327" s="39"/>
      <c r="G1327" s="40"/>
      <c r="H1327" s="14"/>
      <c r="I1327" s="17"/>
      <c r="J1327" s="10"/>
      <c r="M1327" s="39"/>
      <c r="O1327" s="39"/>
      <c r="Q1327" s="39"/>
      <c r="R1327" s="28"/>
      <c r="S1327" s="28"/>
      <c r="T1327" s="28"/>
      <c r="U1327" s="4"/>
      <c r="V1327" s="3"/>
      <c r="W1327" s="3"/>
    </row>
    <row r="1328" spans="1:23" s="5" customFormat="1">
      <c r="A1328" s="20"/>
      <c r="B1328" s="33"/>
      <c r="C1328" s="35"/>
      <c r="E1328" s="39"/>
      <c r="F1328" s="1"/>
      <c r="G1328" s="40"/>
      <c r="H1328" s="12"/>
      <c r="I1328" s="9"/>
      <c r="J1328" s="12"/>
      <c r="M1328" s="39"/>
      <c r="O1328" s="39"/>
      <c r="Q1328" s="39"/>
      <c r="R1328" s="29"/>
      <c r="S1328" s="28"/>
      <c r="T1328" s="28"/>
      <c r="U1328" s="4"/>
      <c r="V1328" s="3"/>
      <c r="W1328" s="3"/>
    </row>
    <row r="1329" spans="1:23" s="5" customFormat="1">
      <c r="A1329" s="20"/>
      <c r="B1329" s="33"/>
      <c r="C1329" s="35"/>
      <c r="E1329" s="39"/>
      <c r="F1329" s="1"/>
      <c r="G1329" s="40"/>
      <c r="H1329" s="12"/>
      <c r="I1329" s="9"/>
      <c r="J1329" s="12"/>
      <c r="M1329" s="39"/>
      <c r="O1329" s="39"/>
      <c r="Q1329" s="39"/>
      <c r="R1329" s="29"/>
      <c r="S1329" s="28"/>
      <c r="T1329" s="28"/>
      <c r="U1329" s="4"/>
      <c r="V1329" s="3"/>
      <c r="W1329" s="3"/>
    </row>
    <row r="1330" spans="1:23" s="5" customFormat="1">
      <c r="A1330" s="20"/>
      <c r="B1330" s="33"/>
      <c r="C1330" s="35"/>
      <c r="E1330" s="39"/>
      <c r="F1330" s="1"/>
      <c r="G1330" s="40"/>
      <c r="H1330" s="12"/>
      <c r="I1330" s="9"/>
      <c r="J1330" s="12"/>
      <c r="M1330" s="39"/>
      <c r="O1330" s="39"/>
      <c r="Q1330" s="39"/>
      <c r="R1330" s="29"/>
      <c r="S1330" s="28"/>
      <c r="T1330" s="28"/>
      <c r="U1330" s="4"/>
      <c r="V1330" s="3"/>
      <c r="W1330" s="3"/>
    </row>
    <row r="1331" spans="1:23" s="5" customFormat="1">
      <c r="A1331" s="20"/>
      <c r="B1331" s="33"/>
      <c r="C1331" s="35"/>
      <c r="E1331" s="39"/>
      <c r="F1331" s="1"/>
      <c r="G1331" s="40"/>
      <c r="H1331" s="12"/>
      <c r="I1331" s="9"/>
      <c r="J1331" s="12"/>
      <c r="M1331" s="39"/>
      <c r="O1331" s="39"/>
      <c r="Q1331" s="39"/>
      <c r="R1331" s="29"/>
      <c r="S1331" s="28"/>
      <c r="T1331" s="28"/>
      <c r="U1331" s="4"/>
      <c r="V1331" s="3"/>
      <c r="W1331" s="3"/>
    </row>
    <row r="1332" spans="1:23" s="5" customFormat="1">
      <c r="A1332" s="20"/>
      <c r="B1332" s="33"/>
      <c r="C1332" s="35"/>
      <c r="E1332" s="39"/>
      <c r="F1332" s="1"/>
      <c r="G1332" s="40"/>
      <c r="H1332" s="12"/>
      <c r="I1332" s="9"/>
      <c r="J1332" s="12"/>
      <c r="M1332" s="39"/>
      <c r="O1332" s="39"/>
      <c r="Q1332" s="39"/>
      <c r="R1332" s="29"/>
      <c r="S1332" s="28"/>
      <c r="T1332" s="28"/>
      <c r="U1332" s="4"/>
      <c r="V1332" s="3"/>
      <c r="W1332" s="3"/>
    </row>
    <row r="1333" spans="1:23" s="5" customFormat="1">
      <c r="A1333" s="20"/>
      <c r="B1333" s="33"/>
      <c r="C1333" s="35"/>
      <c r="E1333" s="39"/>
      <c r="F1333" s="1"/>
      <c r="G1333" s="40"/>
      <c r="H1333" s="12"/>
      <c r="I1333" s="9"/>
      <c r="J1333" s="12"/>
      <c r="M1333" s="39"/>
      <c r="O1333" s="39"/>
      <c r="Q1333" s="39"/>
      <c r="R1333" s="29"/>
      <c r="S1333" s="28"/>
      <c r="T1333" s="28"/>
      <c r="U1333" s="4"/>
      <c r="V1333" s="3"/>
      <c r="W1333" s="3"/>
    </row>
    <row r="1334" spans="1:23" s="5" customFormat="1">
      <c r="A1334" s="20"/>
      <c r="B1334" s="33"/>
      <c r="C1334" s="35"/>
      <c r="E1334" s="39"/>
      <c r="F1334" s="1"/>
      <c r="G1334" s="40"/>
      <c r="H1334" s="12"/>
      <c r="I1334" s="9"/>
      <c r="J1334" s="12"/>
      <c r="M1334" s="39"/>
      <c r="O1334" s="39"/>
      <c r="Q1334" s="39"/>
      <c r="R1334" s="29"/>
      <c r="S1334" s="28"/>
      <c r="T1334" s="28"/>
      <c r="U1334" s="4"/>
      <c r="V1334" s="3"/>
      <c r="W1334" s="3"/>
    </row>
    <row r="1335" spans="1:23" s="5" customFormat="1">
      <c r="A1335" s="20"/>
      <c r="B1335" s="36"/>
      <c r="C1335" s="35"/>
      <c r="E1335" s="39"/>
      <c r="F1335" s="1"/>
      <c r="G1335" s="40"/>
      <c r="H1335" s="12"/>
      <c r="I1335" s="9"/>
      <c r="J1335" s="12"/>
      <c r="M1335" s="39"/>
      <c r="O1335" s="39"/>
      <c r="Q1335" s="39"/>
      <c r="R1335" s="28"/>
      <c r="S1335" s="28"/>
      <c r="T1335" s="28"/>
      <c r="U1335" s="4"/>
      <c r="V1335" s="3"/>
      <c r="W1335" s="3"/>
    </row>
    <row r="1336" spans="1:23" s="5" customFormat="1">
      <c r="A1336" s="20"/>
      <c r="B1336" s="33"/>
      <c r="C1336" s="35"/>
      <c r="E1336" s="39"/>
      <c r="F1336" s="1"/>
      <c r="G1336" s="40"/>
      <c r="H1336" s="12"/>
      <c r="I1336" s="9"/>
      <c r="J1336" s="12"/>
      <c r="M1336" s="39"/>
      <c r="O1336" s="39"/>
      <c r="Q1336" s="39"/>
      <c r="R1336" s="29"/>
      <c r="S1336" s="28"/>
      <c r="T1336" s="28"/>
      <c r="U1336" s="4"/>
      <c r="V1336" s="3"/>
      <c r="W1336" s="3"/>
    </row>
    <row r="1337" spans="1:23" s="5" customFormat="1">
      <c r="A1337" s="20"/>
      <c r="B1337" s="33"/>
      <c r="C1337" s="35"/>
      <c r="E1337" s="39"/>
      <c r="F1337" s="1"/>
      <c r="G1337" s="40"/>
      <c r="H1337" s="12"/>
      <c r="I1337" s="9"/>
      <c r="J1337" s="12"/>
      <c r="M1337" s="39"/>
      <c r="O1337" s="39"/>
      <c r="Q1337" s="39"/>
      <c r="R1337" s="29"/>
      <c r="S1337" s="28"/>
      <c r="T1337" s="28"/>
      <c r="U1337" s="4"/>
      <c r="V1337" s="3"/>
      <c r="W1337" s="3"/>
    </row>
    <row r="1338" spans="1:23" s="5" customFormat="1">
      <c r="A1338" s="20"/>
      <c r="B1338" s="33"/>
      <c r="C1338" s="35"/>
      <c r="E1338" s="39"/>
      <c r="F1338" s="1"/>
      <c r="G1338" s="40"/>
      <c r="H1338" s="12"/>
      <c r="I1338" s="9"/>
      <c r="J1338" s="12"/>
      <c r="M1338" s="39"/>
      <c r="O1338" s="39"/>
      <c r="Q1338" s="39"/>
      <c r="R1338" s="29"/>
      <c r="S1338" s="28"/>
      <c r="T1338" s="28"/>
      <c r="U1338" s="4"/>
      <c r="V1338" s="3"/>
      <c r="W1338" s="3"/>
    </row>
    <row r="1339" spans="1:23" s="5" customFormat="1">
      <c r="A1339" s="20"/>
      <c r="B1339" s="33"/>
      <c r="C1339" s="35"/>
      <c r="E1339" s="39"/>
      <c r="F1339" s="1"/>
      <c r="G1339" s="40"/>
      <c r="H1339" s="12"/>
      <c r="I1339" s="9"/>
      <c r="J1339" s="12"/>
      <c r="M1339" s="39"/>
      <c r="O1339" s="39"/>
      <c r="Q1339" s="39"/>
      <c r="R1339" s="29"/>
      <c r="S1339" s="28"/>
      <c r="T1339" s="28"/>
      <c r="U1339" s="4"/>
      <c r="V1339" s="3"/>
      <c r="W1339" s="3"/>
    </row>
    <row r="1340" spans="1:23" s="5" customFormat="1">
      <c r="A1340" s="20"/>
      <c r="B1340" s="33"/>
      <c r="C1340" s="35"/>
      <c r="E1340" s="39"/>
      <c r="F1340" s="1"/>
      <c r="G1340" s="40"/>
      <c r="H1340" s="12"/>
      <c r="I1340" s="9"/>
      <c r="J1340" s="12"/>
      <c r="M1340" s="39"/>
      <c r="O1340" s="39"/>
      <c r="Q1340" s="39"/>
      <c r="R1340" s="29"/>
      <c r="S1340" s="28"/>
      <c r="T1340" s="28"/>
      <c r="U1340" s="4"/>
      <c r="V1340" s="3"/>
      <c r="W1340" s="3"/>
    </row>
    <row r="1341" spans="1:23" s="5" customFormat="1">
      <c r="A1341" s="20"/>
      <c r="B1341" s="33"/>
      <c r="C1341" s="35"/>
      <c r="E1341" s="39"/>
      <c r="F1341" s="1"/>
      <c r="G1341" s="40"/>
      <c r="H1341" s="12"/>
      <c r="I1341" s="9"/>
      <c r="J1341" s="12"/>
      <c r="M1341" s="39"/>
      <c r="O1341" s="39"/>
      <c r="Q1341" s="39"/>
      <c r="R1341" s="29"/>
      <c r="S1341" s="28"/>
      <c r="T1341" s="28"/>
      <c r="U1341" s="4"/>
      <c r="V1341" s="3"/>
      <c r="W1341" s="3"/>
    </row>
    <row r="1342" spans="1:23" s="5" customFormat="1">
      <c r="A1342" s="20"/>
      <c r="B1342" s="33"/>
      <c r="C1342" s="35"/>
      <c r="E1342" s="39"/>
      <c r="F1342" s="1"/>
      <c r="G1342" s="40"/>
      <c r="H1342" s="12"/>
      <c r="I1342" s="9"/>
      <c r="J1342" s="12"/>
      <c r="M1342" s="39"/>
      <c r="O1342" s="39"/>
      <c r="Q1342" s="39"/>
      <c r="R1342" s="29"/>
      <c r="S1342" s="28"/>
      <c r="T1342" s="28"/>
      <c r="U1342" s="4"/>
      <c r="V1342" s="3"/>
      <c r="W1342" s="3"/>
    </row>
    <row r="1343" spans="1:23" s="5" customFormat="1">
      <c r="A1343" s="20"/>
      <c r="B1343" s="33"/>
      <c r="C1343" s="35"/>
      <c r="E1343" s="39"/>
      <c r="F1343" s="1"/>
      <c r="G1343" s="40"/>
      <c r="H1343" s="12"/>
      <c r="I1343" s="9"/>
      <c r="J1343" s="12"/>
      <c r="M1343" s="39"/>
      <c r="O1343" s="39"/>
      <c r="Q1343" s="39"/>
      <c r="R1343" s="29"/>
      <c r="S1343" s="28"/>
      <c r="T1343" s="28"/>
      <c r="U1343" s="4"/>
      <c r="V1343" s="3"/>
      <c r="W1343" s="3"/>
    </row>
    <row r="1344" spans="1:23" s="5" customFormat="1">
      <c r="A1344" s="20"/>
      <c r="B1344" s="33"/>
      <c r="C1344" s="35"/>
      <c r="E1344" s="39"/>
      <c r="F1344" s="1"/>
      <c r="G1344" s="40"/>
      <c r="H1344" s="12"/>
      <c r="I1344" s="9"/>
      <c r="J1344" s="12"/>
      <c r="M1344" s="39"/>
      <c r="O1344" s="39"/>
      <c r="Q1344" s="39"/>
      <c r="R1344" s="29"/>
      <c r="S1344" s="28"/>
      <c r="T1344" s="28"/>
      <c r="U1344" s="4"/>
      <c r="V1344" s="3"/>
      <c r="W1344" s="3"/>
    </row>
    <row r="1345" spans="1:23" s="5" customFormat="1">
      <c r="A1345" s="20"/>
      <c r="B1345" s="33"/>
      <c r="C1345" s="35"/>
      <c r="E1345" s="39"/>
      <c r="F1345" s="1"/>
      <c r="G1345" s="40"/>
      <c r="H1345" s="12"/>
      <c r="I1345" s="9"/>
      <c r="J1345" s="12"/>
      <c r="M1345" s="39"/>
      <c r="O1345" s="39"/>
      <c r="Q1345" s="39"/>
      <c r="R1345" s="29"/>
      <c r="S1345" s="28"/>
      <c r="T1345" s="28"/>
      <c r="U1345" s="4"/>
      <c r="V1345" s="3"/>
      <c r="W1345" s="3"/>
    </row>
    <row r="1346" spans="1:23" s="5" customFormat="1">
      <c r="A1346" s="20"/>
      <c r="B1346" s="33"/>
      <c r="C1346" s="35"/>
      <c r="E1346" s="39"/>
      <c r="F1346" s="1"/>
      <c r="G1346" s="40"/>
      <c r="H1346" s="12"/>
      <c r="I1346" s="9"/>
      <c r="J1346" s="12"/>
      <c r="M1346" s="39"/>
      <c r="O1346" s="39"/>
      <c r="Q1346" s="39"/>
      <c r="R1346" s="29"/>
      <c r="S1346" s="28"/>
      <c r="T1346" s="28"/>
      <c r="U1346" s="4"/>
      <c r="V1346" s="3"/>
      <c r="W1346" s="3"/>
    </row>
    <row r="1347" spans="1:23" s="5" customFormat="1">
      <c r="A1347" s="20"/>
      <c r="B1347" s="33"/>
      <c r="C1347" s="35"/>
      <c r="E1347" s="39"/>
      <c r="F1347" s="1"/>
      <c r="G1347" s="40"/>
      <c r="H1347" s="12"/>
      <c r="I1347" s="9"/>
      <c r="J1347" s="12"/>
      <c r="M1347" s="39"/>
      <c r="O1347" s="39"/>
      <c r="Q1347" s="39"/>
      <c r="R1347" s="29"/>
      <c r="S1347" s="28"/>
      <c r="T1347" s="28"/>
      <c r="U1347" s="4"/>
      <c r="V1347" s="3"/>
      <c r="W1347" s="3"/>
    </row>
    <row r="1348" spans="1:23" s="5" customFormat="1">
      <c r="A1348" s="20"/>
      <c r="B1348" s="33"/>
      <c r="C1348" s="35"/>
      <c r="E1348" s="39"/>
      <c r="F1348" s="1"/>
      <c r="G1348" s="40"/>
      <c r="H1348" s="12"/>
      <c r="I1348" s="9"/>
      <c r="J1348" s="12"/>
      <c r="M1348" s="39"/>
      <c r="O1348" s="39"/>
      <c r="Q1348" s="39"/>
      <c r="R1348" s="29"/>
      <c r="S1348" s="28"/>
      <c r="T1348" s="28"/>
      <c r="U1348" s="4"/>
      <c r="V1348" s="3"/>
      <c r="W1348" s="3"/>
    </row>
    <row r="1349" spans="1:23" s="5" customFormat="1">
      <c r="A1349" s="20"/>
      <c r="B1349" s="33"/>
      <c r="C1349" s="35"/>
      <c r="E1349" s="39"/>
      <c r="F1349" s="1"/>
      <c r="G1349" s="40"/>
      <c r="H1349" s="12"/>
      <c r="I1349" s="9"/>
      <c r="J1349" s="12"/>
      <c r="M1349" s="39"/>
      <c r="O1349" s="39"/>
      <c r="Q1349" s="39"/>
      <c r="R1349" s="29"/>
      <c r="S1349" s="28"/>
      <c r="T1349" s="28"/>
      <c r="U1349" s="4"/>
      <c r="V1349" s="3"/>
      <c r="W1349" s="3"/>
    </row>
    <row r="1350" spans="1:23" s="5" customFormat="1">
      <c r="A1350" s="20"/>
      <c r="B1350" s="33"/>
      <c r="C1350" s="35"/>
      <c r="E1350" s="39"/>
      <c r="F1350" s="1"/>
      <c r="G1350" s="40"/>
      <c r="H1350" s="12"/>
      <c r="I1350" s="9"/>
      <c r="J1350" s="12"/>
      <c r="M1350" s="39"/>
      <c r="O1350" s="39"/>
      <c r="Q1350" s="39"/>
      <c r="R1350" s="29"/>
      <c r="S1350" s="28"/>
      <c r="T1350" s="28"/>
      <c r="U1350" s="4"/>
      <c r="V1350" s="3"/>
      <c r="W1350" s="3"/>
    </row>
    <row r="1351" spans="1:23" s="5" customFormat="1">
      <c r="A1351" s="20"/>
      <c r="B1351" s="33"/>
      <c r="C1351" s="35"/>
      <c r="E1351" s="39"/>
      <c r="F1351" s="1"/>
      <c r="G1351" s="40"/>
      <c r="H1351" s="12"/>
      <c r="I1351" s="9"/>
      <c r="J1351" s="12"/>
      <c r="M1351" s="39"/>
      <c r="O1351" s="39"/>
      <c r="Q1351" s="39"/>
      <c r="R1351" s="29"/>
      <c r="S1351" s="28"/>
      <c r="T1351" s="28"/>
      <c r="U1351" s="4"/>
      <c r="V1351" s="3"/>
      <c r="W1351" s="3"/>
    </row>
    <row r="1352" spans="1:23" s="5" customFormat="1">
      <c r="A1352" s="20"/>
      <c r="B1352" s="33"/>
      <c r="C1352" s="35"/>
      <c r="E1352" s="39"/>
      <c r="F1352" s="1"/>
      <c r="G1352" s="40"/>
      <c r="H1352" s="12"/>
      <c r="I1352" s="9"/>
      <c r="J1352" s="12"/>
      <c r="M1352" s="39"/>
      <c r="O1352" s="39"/>
      <c r="Q1352" s="39"/>
      <c r="R1352" s="29"/>
      <c r="S1352" s="28"/>
      <c r="T1352" s="28"/>
      <c r="U1352" s="4"/>
      <c r="V1352" s="3"/>
      <c r="W1352" s="3"/>
    </row>
    <row r="1353" spans="1:23" s="5" customFormat="1">
      <c r="A1353" s="20"/>
      <c r="B1353" s="33"/>
      <c r="C1353" s="35"/>
      <c r="E1353" s="39"/>
      <c r="F1353" s="1"/>
      <c r="G1353" s="40"/>
      <c r="H1353" s="12"/>
      <c r="I1353" s="9"/>
      <c r="J1353" s="12"/>
      <c r="M1353" s="39"/>
      <c r="O1353" s="39"/>
      <c r="Q1353" s="39"/>
      <c r="R1353" s="29"/>
      <c r="S1353" s="28"/>
      <c r="T1353" s="28"/>
      <c r="U1353" s="4"/>
      <c r="V1353" s="3"/>
      <c r="W1353" s="3"/>
    </row>
    <row r="1354" spans="1:23" s="5" customFormat="1">
      <c r="A1354" s="20"/>
      <c r="B1354" s="33"/>
      <c r="C1354" s="35"/>
      <c r="E1354" s="39"/>
      <c r="F1354" s="1"/>
      <c r="G1354" s="40"/>
      <c r="H1354" s="12"/>
      <c r="I1354" s="9"/>
      <c r="J1354" s="12"/>
      <c r="M1354" s="39"/>
      <c r="O1354" s="39"/>
      <c r="Q1354" s="39"/>
      <c r="R1354" s="29"/>
      <c r="S1354" s="28"/>
      <c r="T1354" s="28"/>
      <c r="U1354" s="4"/>
      <c r="V1354" s="3"/>
      <c r="W1354" s="3"/>
    </row>
    <row r="1355" spans="1:23" s="5" customFormat="1">
      <c r="A1355" s="20"/>
      <c r="B1355" s="33"/>
      <c r="C1355" s="35"/>
      <c r="E1355" s="39"/>
      <c r="F1355" s="1"/>
      <c r="G1355" s="40"/>
      <c r="H1355" s="12"/>
      <c r="I1355" s="9"/>
      <c r="J1355" s="12"/>
      <c r="M1355" s="39"/>
      <c r="O1355" s="39"/>
      <c r="Q1355" s="39"/>
      <c r="R1355" s="29"/>
      <c r="S1355" s="28"/>
      <c r="T1355" s="28"/>
      <c r="U1355" s="4"/>
      <c r="V1355" s="3"/>
      <c r="W1355" s="3"/>
    </row>
    <row r="1356" spans="1:23" s="5" customFormat="1">
      <c r="A1356" s="20"/>
      <c r="B1356" s="33"/>
      <c r="C1356" s="35"/>
      <c r="E1356" s="39"/>
      <c r="F1356" s="1"/>
      <c r="G1356" s="40"/>
      <c r="H1356" s="12"/>
      <c r="I1356" s="9"/>
      <c r="J1356" s="12"/>
      <c r="M1356" s="39"/>
      <c r="O1356" s="39"/>
      <c r="Q1356" s="39"/>
      <c r="R1356" s="29"/>
      <c r="S1356" s="28"/>
      <c r="T1356" s="28"/>
      <c r="U1356" s="4"/>
      <c r="V1356" s="3"/>
      <c r="W1356" s="3"/>
    </row>
    <row r="1357" spans="1:23" s="5" customFormat="1">
      <c r="A1357" s="20"/>
      <c r="B1357" s="33"/>
      <c r="C1357" s="35"/>
      <c r="D1357" s="1"/>
      <c r="E1357" s="39"/>
      <c r="F1357" s="1"/>
      <c r="G1357" s="40"/>
      <c r="H1357" s="12"/>
      <c r="I1357" s="9"/>
      <c r="J1357" s="12"/>
      <c r="L1357" s="1"/>
      <c r="M1357" s="39"/>
      <c r="N1357" s="1"/>
      <c r="O1357" s="39"/>
      <c r="P1357" s="1"/>
      <c r="Q1357" s="39"/>
      <c r="R1357" s="28"/>
      <c r="S1357" s="28"/>
      <c r="T1357" s="28"/>
      <c r="U1357" s="4"/>
      <c r="V1357" s="3"/>
      <c r="W1357" s="3"/>
    </row>
    <row r="1358" spans="1:23" s="5" customFormat="1">
      <c r="A1358" s="20"/>
      <c r="B1358" s="33"/>
      <c r="C1358" s="35"/>
      <c r="E1358" s="39"/>
      <c r="F1358" s="1"/>
      <c r="G1358" s="40"/>
      <c r="H1358" s="12"/>
      <c r="I1358" s="9"/>
      <c r="J1358" s="12"/>
      <c r="M1358" s="39"/>
      <c r="O1358" s="39"/>
      <c r="Q1358" s="39"/>
      <c r="R1358" s="29"/>
      <c r="S1358" s="28"/>
      <c r="T1358" s="28"/>
      <c r="U1358" s="4"/>
      <c r="V1358" s="3"/>
      <c r="W1358" s="3"/>
    </row>
    <row r="1359" spans="1:23" s="5" customFormat="1">
      <c r="A1359" s="20"/>
      <c r="B1359" s="33"/>
      <c r="C1359" s="35"/>
      <c r="E1359" s="39"/>
      <c r="F1359" s="1"/>
      <c r="G1359" s="40"/>
      <c r="H1359" s="12"/>
      <c r="I1359" s="9"/>
      <c r="J1359" s="12"/>
      <c r="M1359" s="39"/>
      <c r="O1359" s="39"/>
      <c r="Q1359" s="39"/>
      <c r="R1359" s="29"/>
      <c r="S1359" s="28"/>
      <c r="T1359" s="28"/>
      <c r="U1359" s="4"/>
      <c r="V1359" s="3"/>
      <c r="W1359" s="3"/>
    </row>
    <row r="1360" spans="1:23" s="5" customFormat="1">
      <c r="A1360" s="20"/>
      <c r="B1360" s="33"/>
      <c r="C1360" s="35"/>
      <c r="E1360" s="39"/>
      <c r="F1360" s="1"/>
      <c r="G1360" s="40"/>
      <c r="H1360" s="12"/>
      <c r="I1360" s="9"/>
      <c r="J1360" s="12"/>
      <c r="M1360" s="39"/>
      <c r="O1360" s="39"/>
      <c r="Q1360" s="39"/>
      <c r="R1360" s="29"/>
      <c r="S1360" s="28"/>
      <c r="T1360" s="28"/>
      <c r="U1360" s="4"/>
      <c r="V1360" s="3"/>
      <c r="W1360" s="3"/>
    </row>
    <row r="1361" spans="1:23" s="5" customFormat="1">
      <c r="A1361" s="20"/>
      <c r="B1361" s="33"/>
      <c r="C1361" s="35"/>
      <c r="E1361" s="39"/>
      <c r="F1361" s="1"/>
      <c r="G1361" s="40"/>
      <c r="H1361" s="12"/>
      <c r="I1361" s="9"/>
      <c r="J1361" s="12"/>
      <c r="M1361" s="39"/>
      <c r="O1361" s="39"/>
      <c r="Q1361" s="39"/>
      <c r="R1361" s="29"/>
      <c r="S1361" s="28"/>
      <c r="T1361" s="28"/>
      <c r="U1361" s="4"/>
      <c r="V1361" s="3"/>
      <c r="W1361" s="3"/>
    </row>
    <row r="1362" spans="1:23" s="5" customFormat="1">
      <c r="A1362" s="20"/>
      <c r="B1362" s="33"/>
      <c r="C1362" s="35"/>
      <c r="E1362" s="39"/>
      <c r="F1362" s="1"/>
      <c r="G1362" s="40"/>
      <c r="H1362" s="12"/>
      <c r="I1362" s="9"/>
      <c r="J1362" s="12"/>
      <c r="M1362" s="39"/>
      <c r="O1362" s="39"/>
      <c r="Q1362" s="39"/>
      <c r="R1362" s="29"/>
      <c r="S1362" s="28"/>
      <c r="T1362" s="28"/>
      <c r="U1362" s="4"/>
      <c r="V1362" s="3"/>
      <c r="W1362" s="3"/>
    </row>
    <row r="1363" spans="1:23" s="5" customFormat="1">
      <c r="A1363" s="20"/>
      <c r="B1363" s="33"/>
      <c r="C1363" s="35"/>
      <c r="E1363" s="39"/>
      <c r="F1363" s="1"/>
      <c r="G1363" s="40"/>
      <c r="H1363" s="12"/>
      <c r="I1363" s="9"/>
      <c r="J1363" s="12"/>
      <c r="M1363" s="39"/>
      <c r="O1363" s="39"/>
      <c r="Q1363" s="39"/>
      <c r="R1363" s="29"/>
      <c r="S1363" s="28"/>
      <c r="T1363" s="28"/>
      <c r="U1363" s="4"/>
      <c r="V1363" s="3"/>
      <c r="W1363" s="3"/>
    </row>
    <row r="1364" spans="1:23" s="5" customFormat="1">
      <c r="A1364" s="20"/>
      <c r="B1364" s="33"/>
      <c r="C1364" s="35"/>
      <c r="E1364" s="39"/>
      <c r="F1364" s="1"/>
      <c r="G1364" s="40"/>
      <c r="H1364" s="12"/>
      <c r="I1364" s="9"/>
      <c r="J1364" s="12"/>
      <c r="M1364" s="39"/>
      <c r="O1364" s="39"/>
      <c r="Q1364" s="39"/>
      <c r="R1364" s="29"/>
      <c r="S1364" s="28"/>
      <c r="T1364" s="28"/>
      <c r="U1364" s="4"/>
      <c r="V1364" s="3"/>
      <c r="W1364" s="3"/>
    </row>
    <row r="1365" spans="1:23" s="5" customFormat="1">
      <c r="A1365" s="20"/>
      <c r="B1365" s="33"/>
      <c r="C1365" s="35"/>
      <c r="E1365" s="39"/>
      <c r="F1365" s="1"/>
      <c r="G1365" s="40"/>
      <c r="H1365" s="12"/>
      <c r="I1365" s="9"/>
      <c r="J1365" s="12"/>
      <c r="M1365" s="39"/>
      <c r="O1365" s="39"/>
      <c r="Q1365" s="39"/>
      <c r="R1365" s="29"/>
      <c r="S1365" s="28"/>
      <c r="T1365" s="28"/>
      <c r="U1365" s="4"/>
      <c r="V1365" s="3"/>
      <c r="W1365" s="3"/>
    </row>
    <row r="1366" spans="1:23" s="5" customFormat="1">
      <c r="A1366" s="20"/>
      <c r="B1366" s="33"/>
      <c r="C1366" s="35"/>
      <c r="E1366" s="39"/>
      <c r="F1366" s="1"/>
      <c r="G1366" s="40"/>
      <c r="H1366" s="12"/>
      <c r="I1366" s="9"/>
      <c r="J1366" s="12"/>
      <c r="M1366" s="39"/>
      <c r="O1366" s="39"/>
      <c r="Q1366" s="39"/>
      <c r="R1366" s="29"/>
      <c r="S1366" s="28"/>
      <c r="T1366" s="28"/>
      <c r="U1366" s="4"/>
      <c r="V1366" s="3"/>
      <c r="W1366" s="3"/>
    </row>
    <row r="1367" spans="1:23" s="5" customFormat="1">
      <c r="A1367" s="20"/>
      <c r="B1367" s="33"/>
      <c r="C1367" s="35"/>
      <c r="E1367" s="39"/>
      <c r="F1367" s="1"/>
      <c r="G1367" s="40"/>
      <c r="H1367" s="12"/>
      <c r="I1367" s="9"/>
      <c r="J1367" s="12"/>
      <c r="M1367" s="39"/>
      <c r="O1367" s="39"/>
      <c r="Q1367" s="39"/>
      <c r="R1367" s="29"/>
      <c r="S1367" s="28"/>
      <c r="T1367" s="28"/>
      <c r="U1367" s="4"/>
      <c r="V1367" s="3"/>
      <c r="W1367" s="3"/>
    </row>
    <row r="1368" spans="1:23" s="5" customFormat="1">
      <c r="A1368" s="20"/>
      <c r="B1368" s="33"/>
      <c r="C1368" s="35"/>
      <c r="E1368" s="39"/>
      <c r="F1368" s="1"/>
      <c r="G1368" s="40"/>
      <c r="H1368" s="12"/>
      <c r="I1368" s="9"/>
      <c r="J1368" s="12"/>
      <c r="M1368" s="39"/>
      <c r="O1368" s="39"/>
      <c r="Q1368" s="39"/>
      <c r="R1368" s="29"/>
      <c r="S1368" s="28"/>
      <c r="T1368" s="28"/>
      <c r="U1368" s="4"/>
      <c r="V1368" s="3"/>
      <c r="W1368" s="3"/>
    </row>
    <row r="1369" spans="1:23" s="5" customFormat="1">
      <c r="A1369" s="20"/>
      <c r="B1369" s="33"/>
      <c r="C1369" s="35"/>
      <c r="E1369" s="39"/>
      <c r="F1369" s="1"/>
      <c r="G1369" s="40"/>
      <c r="H1369" s="12"/>
      <c r="I1369" s="9"/>
      <c r="J1369" s="12"/>
      <c r="M1369" s="39"/>
      <c r="O1369" s="39"/>
      <c r="Q1369" s="39"/>
      <c r="R1369" s="29"/>
      <c r="S1369" s="28"/>
      <c r="T1369" s="28"/>
      <c r="U1369" s="4"/>
      <c r="V1369" s="3"/>
      <c r="W1369" s="3"/>
    </row>
    <row r="1370" spans="1:23" s="5" customFormat="1">
      <c r="A1370" s="20"/>
      <c r="B1370" s="33"/>
      <c r="C1370" s="35"/>
      <c r="E1370" s="39"/>
      <c r="F1370" s="1"/>
      <c r="G1370" s="40"/>
      <c r="H1370" s="12"/>
      <c r="I1370" s="9"/>
      <c r="J1370" s="12"/>
      <c r="M1370" s="39"/>
      <c r="O1370" s="39"/>
      <c r="Q1370" s="39"/>
      <c r="R1370" s="29"/>
      <c r="S1370" s="28"/>
      <c r="T1370" s="28"/>
      <c r="U1370" s="4"/>
      <c r="V1370" s="3"/>
      <c r="W1370" s="3"/>
    </row>
    <row r="1371" spans="1:23" s="5" customFormat="1">
      <c r="A1371" s="20"/>
      <c r="B1371" s="33"/>
      <c r="C1371" s="35"/>
      <c r="E1371" s="39"/>
      <c r="F1371" s="1"/>
      <c r="G1371" s="40"/>
      <c r="H1371" s="12"/>
      <c r="I1371" s="9"/>
      <c r="J1371" s="12"/>
      <c r="M1371" s="39"/>
      <c r="O1371" s="39"/>
      <c r="Q1371" s="39"/>
      <c r="R1371" s="29"/>
      <c r="S1371" s="28"/>
      <c r="T1371" s="28"/>
      <c r="U1371" s="4"/>
      <c r="V1371" s="3"/>
      <c r="W1371" s="3"/>
    </row>
    <row r="1372" spans="1:23" s="5" customFormat="1">
      <c r="A1372" s="20"/>
      <c r="B1372" s="33"/>
      <c r="C1372" s="35"/>
      <c r="E1372" s="39"/>
      <c r="F1372" s="1"/>
      <c r="G1372" s="40"/>
      <c r="H1372" s="12"/>
      <c r="I1372" s="9"/>
      <c r="J1372" s="12"/>
      <c r="M1372" s="39"/>
      <c r="O1372" s="39"/>
      <c r="Q1372" s="39"/>
      <c r="R1372" s="29"/>
      <c r="S1372" s="28"/>
      <c r="T1372" s="28"/>
      <c r="U1372" s="4"/>
      <c r="V1372" s="3"/>
      <c r="W1372" s="3"/>
    </row>
    <row r="1373" spans="1:23" s="5" customFormat="1">
      <c r="A1373" s="20"/>
      <c r="B1373" s="33"/>
      <c r="C1373" s="35"/>
      <c r="E1373" s="39"/>
      <c r="F1373" s="1"/>
      <c r="G1373" s="40"/>
      <c r="H1373" s="12"/>
      <c r="I1373" s="9"/>
      <c r="J1373" s="12"/>
      <c r="M1373" s="39"/>
      <c r="O1373" s="39"/>
      <c r="Q1373" s="39"/>
      <c r="R1373" s="29"/>
      <c r="S1373" s="28"/>
      <c r="T1373" s="28"/>
      <c r="U1373" s="4"/>
      <c r="V1373" s="3"/>
      <c r="W1373" s="3"/>
    </row>
    <row r="1374" spans="1:23" s="5" customFormat="1">
      <c r="A1374" s="20"/>
      <c r="B1374" s="33"/>
      <c r="C1374" s="35"/>
      <c r="E1374" s="39"/>
      <c r="F1374" s="1"/>
      <c r="G1374" s="40"/>
      <c r="H1374" s="12"/>
      <c r="I1374" s="9"/>
      <c r="J1374" s="12"/>
      <c r="M1374" s="39"/>
      <c r="O1374" s="39"/>
      <c r="Q1374" s="39"/>
      <c r="R1374" s="29"/>
      <c r="S1374" s="28"/>
      <c r="T1374" s="28"/>
      <c r="U1374" s="4"/>
      <c r="V1374" s="3"/>
      <c r="W1374" s="3"/>
    </row>
    <row r="1375" spans="1:23" s="5" customFormat="1">
      <c r="A1375" s="6"/>
      <c r="B1375" s="33"/>
      <c r="C1375" s="35"/>
      <c r="E1375" s="39"/>
      <c r="G1375" s="40"/>
      <c r="H1375" s="15"/>
      <c r="I1375" s="17"/>
      <c r="J1375" s="10"/>
      <c r="M1375" s="39"/>
      <c r="O1375" s="39"/>
      <c r="Q1375" s="39"/>
      <c r="R1375" s="28"/>
      <c r="S1375" s="28"/>
      <c r="T1375" s="28"/>
      <c r="U1375" s="4"/>
      <c r="V1375" s="3"/>
      <c r="W1375" s="3"/>
    </row>
    <row r="1376" spans="1:23" s="5" customFormat="1">
      <c r="A1376" s="6"/>
      <c r="B1376" s="33"/>
      <c r="C1376" s="35"/>
      <c r="E1376" s="39"/>
      <c r="G1376" s="40"/>
      <c r="H1376" s="15"/>
      <c r="I1376" s="17"/>
      <c r="J1376" s="10"/>
      <c r="M1376" s="39"/>
      <c r="O1376" s="39"/>
      <c r="Q1376" s="39"/>
      <c r="R1376" s="28"/>
      <c r="S1376" s="28"/>
      <c r="T1376" s="28"/>
      <c r="U1376" s="4"/>
      <c r="V1376" s="3"/>
      <c r="W1376" s="3"/>
    </row>
    <row r="1377" spans="1:23" s="5" customFormat="1">
      <c r="A1377" s="6"/>
      <c r="B1377" s="33"/>
      <c r="C1377" s="35"/>
      <c r="E1377" s="39"/>
      <c r="G1377" s="40"/>
      <c r="H1377" s="15"/>
      <c r="I1377" s="17"/>
      <c r="J1377" s="10"/>
      <c r="M1377" s="39"/>
      <c r="O1377" s="39"/>
      <c r="Q1377" s="39"/>
      <c r="R1377" s="28"/>
      <c r="S1377" s="28"/>
      <c r="T1377" s="28"/>
      <c r="U1377" s="4"/>
      <c r="V1377" s="3"/>
      <c r="W1377" s="3"/>
    </row>
    <row r="1378" spans="1:23" s="5" customFormat="1">
      <c r="A1378" s="6"/>
      <c r="B1378" s="33"/>
      <c r="C1378" s="35"/>
      <c r="E1378" s="39"/>
      <c r="G1378" s="40"/>
      <c r="H1378" s="14"/>
      <c r="I1378" s="17"/>
      <c r="J1378" s="10"/>
      <c r="M1378" s="39"/>
      <c r="O1378" s="39"/>
      <c r="Q1378" s="39"/>
      <c r="R1378" s="28"/>
      <c r="S1378" s="28"/>
      <c r="T1378" s="28"/>
      <c r="U1378" s="4"/>
      <c r="V1378" s="3"/>
      <c r="W1378" s="3"/>
    </row>
    <row r="1379" spans="1:23" s="5" customFormat="1">
      <c r="A1379" s="6"/>
      <c r="B1379" s="33"/>
      <c r="C1379" s="35"/>
      <c r="E1379" s="39"/>
      <c r="G1379" s="40"/>
      <c r="H1379" s="15"/>
      <c r="I1379" s="17"/>
      <c r="J1379" s="10"/>
      <c r="M1379" s="39"/>
      <c r="O1379" s="39"/>
      <c r="Q1379" s="39"/>
      <c r="R1379" s="28"/>
      <c r="S1379" s="28"/>
      <c r="T1379" s="28"/>
      <c r="U1379" s="4"/>
      <c r="V1379" s="3"/>
      <c r="W1379" s="3"/>
    </row>
    <row r="1380" spans="1:23" s="5" customFormat="1">
      <c r="A1380" s="6"/>
      <c r="B1380" s="33"/>
      <c r="C1380" s="35"/>
      <c r="E1380" s="39"/>
      <c r="G1380" s="40"/>
      <c r="H1380" s="15"/>
      <c r="I1380" s="17"/>
      <c r="J1380" s="10"/>
      <c r="M1380" s="39"/>
      <c r="O1380" s="39"/>
      <c r="Q1380" s="39"/>
      <c r="R1380" s="28"/>
      <c r="S1380" s="28"/>
      <c r="T1380" s="28"/>
      <c r="U1380" s="4"/>
      <c r="V1380" s="3"/>
      <c r="W1380" s="3"/>
    </row>
    <row r="1381" spans="1:23" s="5" customFormat="1">
      <c r="A1381" s="6"/>
      <c r="B1381" s="33"/>
      <c r="C1381" s="35"/>
      <c r="E1381" s="39"/>
      <c r="G1381" s="40"/>
      <c r="H1381" s="15"/>
      <c r="I1381" s="17"/>
      <c r="J1381" s="10"/>
      <c r="M1381" s="39"/>
      <c r="O1381" s="39"/>
      <c r="Q1381" s="39"/>
      <c r="R1381" s="28"/>
      <c r="S1381" s="28"/>
      <c r="T1381" s="28"/>
      <c r="U1381" s="4"/>
      <c r="V1381" s="3"/>
      <c r="W1381" s="3"/>
    </row>
    <row r="1382" spans="1:23" s="5" customFormat="1">
      <c r="A1382" s="6"/>
      <c r="B1382" s="33"/>
      <c r="C1382" s="35"/>
      <c r="E1382" s="39"/>
      <c r="G1382" s="40"/>
      <c r="H1382" s="15"/>
      <c r="I1382" s="17"/>
      <c r="J1382" s="10"/>
      <c r="M1382" s="39"/>
      <c r="O1382" s="39"/>
      <c r="Q1382" s="39"/>
      <c r="R1382" s="28"/>
      <c r="S1382" s="28"/>
      <c r="T1382" s="28"/>
      <c r="U1382" s="4"/>
      <c r="V1382" s="3"/>
      <c r="W1382" s="3"/>
    </row>
    <row r="1383" spans="1:23" s="5" customFormat="1">
      <c r="A1383" s="6"/>
      <c r="B1383" s="33"/>
      <c r="C1383" s="35"/>
      <c r="E1383" s="39"/>
      <c r="G1383" s="40"/>
      <c r="H1383" s="15"/>
      <c r="I1383" s="17"/>
      <c r="J1383" s="10"/>
      <c r="M1383" s="39"/>
      <c r="O1383" s="39"/>
      <c r="Q1383" s="39"/>
      <c r="R1383" s="28"/>
      <c r="S1383" s="28"/>
      <c r="T1383" s="28"/>
      <c r="U1383" s="4"/>
      <c r="V1383" s="3"/>
      <c r="W1383" s="3"/>
    </row>
    <row r="1384" spans="1:23" s="5" customFormat="1">
      <c r="A1384" s="6"/>
      <c r="B1384" s="33"/>
      <c r="C1384" s="35"/>
      <c r="E1384" s="39"/>
      <c r="G1384" s="40"/>
      <c r="H1384" s="15"/>
      <c r="I1384" s="17"/>
      <c r="J1384" s="10"/>
      <c r="M1384" s="39"/>
      <c r="O1384" s="39"/>
      <c r="Q1384" s="39"/>
      <c r="R1384" s="28"/>
      <c r="S1384" s="28"/>
      <c r="T1384" s="28"/>
      <c r="U1384" s="4"/>
      <c r="V1384" s="3"/>
      <c r="W1384" s="3"/>
    </row>
    <row r="1385" spans="1:23" s="5" customFormat="1">
      <c r="A1385" s="6"/>
      <c r="B1385" s="33"/>
      <c r="C1385" s="35"/>
      <c r="E1385" s="39"/>
      <c r="G1385" s="40"/>
      <c r="H1385" s="15"/>
      <c r="I1385" s="17"/>
      <c r="J1385" s="10"/>
      <c r="M1385" s="39"/>
      <c r="O1385" s="39"/>
      <c r="Q1385" s="39"/>
      <c r="R1385" s="28"/>
      <c r="S1385" s="28"/>
      <c r="T1385" s="28"/>
      <c r="U1385" s="4"/>
      <c r="V1385" s="3"/>
      <c r="W1385" s="3"/>
    </row>
    <row r="1386" spans="1:23" s="5" customFormat="1">
      <c r="A1386" s="6"/>
      <c r="B1386" s="33"/>
      <c r="C1386" s="35"/>
      <c r="E1386" s="39"/>
      <c r="G1386" s="40"/>
      <c r="H1386" s="15"/>
      <c r="I1386" s="17"/>
      <c r="J1386" s="10"/>
      <c r="M1386" s="39"/>
      <c r="O1386" s="39"/>
      <c r="Q1386" s="39"/>
      <c r="R1386" s="28"/>
      <c r="S1386" s="28"/>
      <c r="T1386" s="28"/>
      <c r="U1386" s="4"/>
      <c r="V1386" s="3"/>
      <c r="W1386" s="3"/>
    </row>
    <row r="1387" spans="1:23" s="5" customFormat="1">
      <c r="A1387" s="6"/>
      <c r="B1387" s="33"/>
      <c r="C1387" s="35"/>
      <c r="E1387" s="39"/>
      <c r="G1387" s="40"/>
      <c r="H1387" s="15"/>
      <c r="I1387" s="17"/>
      <c r="J1387" s="10"/>
      <c r="M1387" s="39"/>
      <c r="O1387" s="39"/>
      <c r="Q1387" s="39"/>
      <c r="R1387" s="28"/>
      <c r="S1387" s="28"/>
      <c r="T1387" s="28"/>
      <c r="U1387" s="4"/>
      <c r="V1387" s="3"/>
      <c r="W1387" s="3"/>
    </row>
    <row r="1388" spans="1:23" s="5" customFormat="1">
      <c r="A1388" s="6"/>
      <c r="B1388" s="33"/>
      <c r="C1388" s="35"/>
      <c r="E1388" s="39"/>
      <c r="G1388" s="40"/>
      <c r="H1388" s="14"/>
      <c r="I1388" s="17"/>
      <c r="J1388" s="10"/>
      <c r="M1388" s="39"/>
      <c r="O1388" s="39"/>
      <c r="Q1388" s="39"/>
      <c r="R1388" s="28"/>
      <c r="S1388" s="28"/>
      <c r="T1388" s="28"/>
      <c r="U1388" s="4"/>
      <c r="V1388" s="3"/>
      <c r="W1388" s="3"/>
    </row>
    <row r="1389" spans="1:23" s="5" customFormat="1">
      <c r="A1389" s="6"/>
      <c r="B1389" s="33"/>
      <c r="C1389" s="35"/>
      <c r="E1389" s="39"/>
      <c r="G1389" s="40"/>
      <c r="H1389" s="14"/>
      <c r="I1389" s="17"/>
      <c r="J1389" s="10"/>
      <c r="M1389" s="39"/>
      <c r="O1389" s="39"/>
      <c r="Q1389" s="39"/>
      <c r="R1389" s="28"/>
      <c r="S1389" s="28"/>
      <c r="T1389" s="28"/>
      <c r="U1389" s="4"/>
      <c r="V1389" s="3"/>
      <c r="W1389" s="3"/>
    </row>
    <row r="1390" spans="1:23" s="5" customFormat="1">
      <c r="A1390" s="6"/>
      <c r="B1390" s="33"/>
      <c r="C1390" s="35"/>
      <c r="E1390" s="39"/>
      <c r="G1390" s="40"/>
      <c r="H1390" s="14"/>
      <c r="I1390" s="17"/>
      <c r="J1390" s="10"/>
      <c r="M1390" s="39"/>
      <c r="O1390" s="39"/>
      <c r="Q1390" s="39"/>
      <c r="R1390" s="28"/>
      <c r="S1390" s="28"/>
      <c r="T1390" s="28"/>
      <c r="U1390" s="4"/>
      <c r="V1390" s="3"/>
      <c r="W1390" s="3"/>
    </row>
    <row r="1391" spans="1:23" s="5" customFormat="1">
      <c r="A1391" s="6"/>
      <c r="B1391" s="33"/>
      <c r="C1391" s="35"/>
      <c r="E1391" s="39"/>
      <c r="G1391" s="40"/>
      <c r="H1391" s="14"/>
      <c r="I1391" s="17"/>
      <c r="J1391" s="10"/>
      <c r="M1391" s="39"/>
      <c r="O1391" s="39"/>
      <c r="Q1391" s="39"/>
      <c r="R1391" s="28"/>
      <c r="S1391" s="28"/>
      <c r="T1391" s="28"/>
      <c r="U1391" s="4"/>
      <c r="V1391" s="3"/>
      <c r="W1391" s="3"/>
    </row>
    <row r="1392" spans="1:23" s="5" customFormat="1">
      <c r="A1392" s="6"/>
      <c r="B1392" s="33"/>
      <c r="C1392" s="35"/>
      <c r="E1392" s="39"/>
      <c r="G1392" s="40"/>
      <c r="H1392" s="15"/>
      <c r="I1392" s="17"/>
      <c r="J1392" s="10"/>
      <c r="M1392" s="39"/>
      <c r="O1392" s="39"/>
      <c r="Q1392" s="39"/>
      <c r="R1392" s="28"/>
      <c r="S1392" s="28"/>
      <c r="T1392" s="28"/>
      <c r="U1392" s="4"/>
      <c r="V1392" s="3"/>
      <c r="W1392" s="3"/>
    </row>
    <row r="1393" spans="1:23" s="5" customFormat="1">
      <c r="A1393" s="6"/>
      <c r="B1393" s="33"/>
      <c r="C1393" s="35"/>
      <c r="E1393" s="39"/>
      <c r="G1393" s="40"/>
      <c r="H1393" s="15"/>
      <c r="I1393" s="17"/>
      <c r="J1393" s="10"/>
      <c r="M1393" s="39"/>
      <c r="O1393" s="39"/>
      <c r="Q1393" s="39"/>
      <c r="R1393" s="28"/>
      <c r="S1393" s="28"/>
      <c r="T1393" s="28"/>
      <c r="U1393" s="4"/>
      <c r="V1393" s="3"/>
      <c r="W1393" s="3"/>
    </row>
    <row r="1394" spans="1:23" s="5" customFormat="1">
      <c r="A1394" s="6"/>
      <c r="B1394" s="33"/>
      <c r="C1394" s="35"/>
      <c r="E1394" s="39"/>
      <c r="G1394" s="40"/>
      <c r="H1394" s="15"/>
      <c r="I1394" s="17"/>
      <c r="J1394" s="10"/>
      <c r="M1394" s="39"/>
      <c r="O1394" s="39"/>
      <c r="Q1394" s="39"/>
      <c r="R1394" s="28"/>
      <c r="S1394" s="28"/>
      <c r="T1394" s="28"/>
      <c r="U1394" s="4"/>
      <c r="V1394" s="3"/>
      <c r="W1394" s="3"/>
    </row>
    <row r="1395" spans="1:23" s="5" customFormat="1">
      <c r="A1395" s="6"/>
      <c r="B1395" s="33"/>
      <c r="C1395" s="35"/>
      <c r="E1395" s="39"/>
      <c r="G1395" s="40"/>
      <c r="H1395" s="15"/>
      <c r="I1395" s="17"/>
      <c r="J1395" s="10"/>
      <c r="M1395" s="39"/>
      <c r="O1395" s="39"/>
      <c r="Q1395" s="39"/>
      <c r="R1395" s="28"/>
      <c r="S1395" s="28"/>
      <c r="T1395" s="28"/>
      <c r="U1395" s="4"/>
      <c r="V1395" s="3"/>
      <c r="W1395" s="3"/>
    </row>
    <row r="1396" spans="1:23" s="5" customFormat="1">
      <c r="A1396" s="6"/>
      <c r="B1396" s="33"/>
      <c r="C1396" s="35"/>
      <c r="E1396" s="39"/>
      <c r="G1396" s="40"/>
      <c r="H1396" s="14"/>
      <c r="I1396" s="17"/>
      <c r="J1396" s="10"/>
      <c r="M1396" s="39"/>
      <c r="O1396" s="39"/>
      <c r="Q1396" s="39"/>
      <c r="R1396" s="28"/>
      <c r="S1396" s="28"/>
      <c r="T1396" s="28"/>
      <c r="U1396" s="4"/>
      <c r="V1396" s="3"/>
      <c r="W1396" s="3"/>
    </row>
    <row r="1397" spans="1:23" s="5" customFormat="1">
      <c r="A1397" s="6"/>
      <c r="B1397" s="33"/>
      <c r="C1397" s="35"/>
      <c r="E1397" s="39"/>
      <c r="G1397" s="40"/>
      <c r="H1397" s="15"/>
      <c r="I1397" s="17"/>
      <c r="J1397" s="10"/>
      <c r="M1397" s="39"/>
      <c r="O1397" s="39"/>
      <c r="Q1397" s="39"/>
      <c r="R1397" s="28"/>
      <c r="S1397" s="28"/>
      <c r="T1397" s="28"/>
      <c r="U1397" s="4"/>
      <c r="V1397" s="3"/>
      <c r="W1397" s="3"/>
    </row>
    <row r="1398" spans="1:23" s="5" customFormat="1">
      <c r="A1398" s="6"/>
      <c r="B1398" s="33"/>
      <c r="C1398" s="35"/>
      <c r="E1398" s="39"/>
      <c r="G1398" s="40"/>
      <c r="H1398" s="15"/>
      <c r="I1398" s="17"/>
      <c r="J1398" s="10"/>
      <c r="M1398" s="39"/>
      <c r="O1398" s="39"/>
      <c r="Q1398" s="39"/>
      <c r="R1398" s="28"/>
      <c r="S1398" s="28"/>
      <c r="T1398" s="28"/>
      <c r="U1398" s="4"/>
      <c r="V1398" s="3"/>
      <c r="W1398" s="3"/>
    </row>
    <row r="1399" spans="1:23" s="5" customFormat="1">
      <c r="A1399" s="6"/>
      <c r="B1399" s="33"/>
      <c r="C1399" s="35"/>
      <c r="E1399" s="39"/>
      <c r="G1399" s="40"/>
      <c r="H1399" s="15"/>
      <c r="I1399" s="17"/>
      <c r="J1399" s="10"/>
      <c r="M1399" s="39"/>
      <c r="O1399" s="39"/>
      <c r="Q1399" s="39"/>
      <c r="R1399" s="28"/>
      <c r="S1399" s="28"/>
      <c r="T1399" s="28"/>
      <c r="U1399" s="4"/>
      <c r="V1399" s="3"/>
      <c r="W1399" s="3"/>
    </row>
    <row r="1400" spans="1:23" s="5" customFormat="1">
      <c r="A1400" s="6"/>
      <c r="B1400" s="33"/>
      <c r="C1400" s="35"/>
      <c r="E1400" s="39"/>
      <c r="G1400" s="40"/>
      <c r="H1400" s="15"/>
      <c r="I1400" s="17"/>
      <c r="J1400" s="10"/>
      <c r="M1400" s="39"/>
      <c r="O1400" s="39"/>
      <c r="Q1400" s="39"/>
      <c r="R1400" s="28"/>
      <c r="S1400" s="28"/>
      <c r="T1400" s="28"/>
      <c r="U1400" s="4"/>
      <c r="V1400" s="3"/>
      <c r="W1400" s="3"/>
    </row>
    <row r="1401" spans="1:23" s="5" customFormat="1">
      <c r="A1401" s="6"/>
      <c r="B1401" s="33"/>
      <c r="C1401" s="35"/>
      <c r="E1401" s="39"/>
      <c r="G1401" s="40"/>
      <c r="H1401" s="15"/>
      <c r="I1401" s="17"/>
      <c r="J1401" s="10"/>
      <c r="M1401" s="39"/>
      <c r="O1401" s="39"/>
      <c r="Q1401" s="39"/>
      <c r="R1401" s="28"/>
      <c r="S1401" s="28"/>
      <c r="T1401" s="28"/>
      <c r="U1401" s="4"/>
      <c r="V1401" s="3"/>
      <c r="W1401" s="3"/>
    </row>
    <row r="1402" spans="1:23" s="5" customFormat="1">
      <c r="A1402" s="6"/>
      <c r="B1402" s="33"/>
      <c r="C1402" s="35"/>
      <c r="E1402" s="39"/>
      <c r="G1402" s="40"/>
      <c r="H1402" s="14"/>
      <c r="I1402" s="17"/>
      <c r="J1402" s="10"/>
      <c r="M1402" s="39"/>
      <c r="O1402" s="39"/>
      <c r="Q1402" s="39"/>
      <c r="R1402" s="28"/>
      <c r="S1402" s="28"/>
      <c r="T1402" s="28"/>
      <c r="U1402" s="4"/>
      <c r="V1402" s="3"/>
      <c r="W1402" s="3"/>
    </row>
    <row r="1403" spans="1:23" s="5" customFormat="1">
      <c r="A1403" s="6"/>
      <c r="B1403" s="33"/>
      <c r="C1403" s="35"/>
      <c r="E1403" s="39"/>
      <c r="G1403" s="40"/>
      <c r="H1403" s="15"/>
      <c r="I1403" s="17"/>
      <c r="J1403" s="10"/>
      <c r="M1403" s="39"/>
      <c r="O1403" s="39"/>
      <c r="Q1403" s="39"/>
      <c r="R1403" s="28"/>
      <c r="S1403" s="28"/>
      <c r="T1403" s="28"/>
      <c r="U1403" s="4"/>
      <c r="V1403" s="3"/>
      <c r="W1403" s="3"/>
    </row>
    <row r="1404" spans="1:23" s="5" customFormat="1">
      <c r="A1404" s="6"/>
      <c r="B1404" s="33"/>
      <c r="C1404" s="35"/>
      <c r="E1404" s="39"/>
      <c r="G1404" s="40"/>
      <c r="H1404" s="15"/>
      <c r="I1404" s="17"/>
      <c r="J1404" s="10"/>
      <c r="M1404" s="39"/>
      <c r="O1404" s="39"/>
      <c r="Q1404" s="39"/>
      <c r="R1404" s="28"/>
      <c r="S1404" s="28"/>
      <c r="T1404" s="28"/>
      <c r="U1404" s="4"/>
      <c r="V1404" s="3"/>
      <c r="W1404" s="3"/>
    </row>
    <row r="1405" spans="1:23" s="5" customFormat="1">
      <c r="A1405" s="6"/>
      <c r="B1405" s="33"/>
      <c r="C1405" s="35"/>
      <c r="E1405" s="39"/>
      <c r="G1405" s="40"/>
      <c r="H1405" s="15"/>
      <c r="I1405" s="17"/>
      <c r="J1405" s="10"/>
      <c r="M1405" s="39"/>
      <c r="O1405" s="39"/>
      <c r="Q1405" s="39"/>
      <c r="R1405" s="28"/>
      <c r="S1405" s="28"/>
      <c r="T1405" s="28"/>
      <c r="U1405" s="4"/>
      <c r="V1405" s="3"/>
      <c r="W1405" s="3"/>
    </row>
    <row r="1406" spans="1:23" s="5" customFormat="1">
      <c r="A1406" s="6"/>
      <c r="B1406" s="33"/>
      <c r="C1406" s="35"/>
      <c r="E1406" s="39"/>
      <c r="G1406" s="40"/>
      <c r="H1406" s="15"/>
      <c r="I1406" s="17"/>
      <c r="J1406" s="10"/>
      <c r="M1406" s="39"/>
      <c r="O1406" s="39"/>
      <c r="Q1406" s="39"/>
      <c r="R1406" s="28"/>
      <c r="S1406" s="28"/>
      <c r="T1406" s="28"/>
      <c r="U1406" s="4"/>
      <c r="V1406" s="3"/>
      <c r="W1406" s="3"/>
    </row>
    <row r="1407" spans="1:23" s="5" customFormat="1">
      <c r="A1407" s="6"/>
      <c r="B1407" s="33"/>
      <c r="C1407" s="35"/>
      <c r="E1407" s="39"/>
      <c r="G1407" s="40"/>
      <c r="H1407" s="15"/>
      <c r="I1407" s="17"/>
      <c r="J1407" s="10"/>
      <c r="M1407" s="39"/>
      <c r="O1407" s="39"/>
      <c r="Q1407" s="39"/>
      <c r="R1407" s="28"/>
      <c r="S1407" s="28"/>
      <c r="T1407" s="28"/>
      <c r="U1407" s="4"/>
      <c r="V1407" s="3"/>
      <c r="W1407" s="3"/>
    </row>
    <row r="1408" spans="1:23" s="5" customFormat="1">
      <c r="A1408" s="6"/>
      <c r="B1408" s="33"/>
      <c r="C1408" s="35"/>
      <c r="E1408" s="39"/>
      <c r="G1408" s="40"/>
      <c r="H1408" s="15"/>
      <c r="I1408" s="17"/>
      <c r="J1408" s="10"/>
      <c r="M1408" s="39"/>
      <c r="O1408" s="39"/>
      <c r="Q1408" s="39"/>
      <c r="R1408" s="28"/>
      <c r="S1408" s="28"/>
      <c r="T1408" s="28"/>
      <c r="U1408" s="4"/>
      <c r="V1408" s="3"/>
      <c r="W1408" s="3"/>
    </row>
    <row r="1409" spans="1:23" s="5" customFormat="1">
      <c r="A1409" s="6"/>
      <c r="B1409" s="33"/>
      <c r="C1409" s="35"/>
      <c r="E1409" s="39"/>
      <c r="G1409" s="40"/>
      <c r="H1409" s="14"/>
      <c r="I1409" s="17"/>
      <c r="J1409" s="10"/>
      <c r="M1409" s="39"/>
      <c r="O1409" s="39"/>
      <c r="Q1409" s="39"/>
      <c r="R1409" s="28"/>
      <c r="S1409" s="28"/>
      <c r="T1409" s="28"/>
      <c r="U1409" s="4"/>
      <c r="V1409" s="3"/>
      <c r="W1409" s="3"/>
    </row>
    <row r="1410" spans="1:23" s="5" customFormat="1">
      <c r="A1410" s="6"/>
      <c r="B1410" s="33"/>
      <c r="C1410" s="35"/>
      <c r="E1410" s="39"/>
      <c r="G1410" s="40"/>
      <c r="H1410" s="14"/>
      <c r="I1410" s="17"/>
      <c r="J1410" s="10"/>
      <c r="M1410" s="39"/>
      <c r="O1410" s="39"/>
      <c r="Q1410" s="39"/>
      <c r="R1410" s="28"/>
      <c r="S1410" s="28"/>
      <c r="T1410" s="28"/>
      <c r="U1410" s="4"/>
      <c r="V1410" s="3"/>
      <c r="W1410" s="3"/>
    </row>
    <row r="1411" spans="1:23" s="5" customFormat="1">
      <c r="A1411" s="6"/>
      <c r="B1411" s="33"/>
      <c r="C1411" s="35"/>
      <c r="E1411" s="39"/>
      <c r="G1411" s="40"/>
      <c r="H1411" s="14"/>
      <c r="I1411" s="17"/>
      <c r="J1411" s="10"/>
      <c r="M1411" s="39"/>
      <c r="O1411" s="39"/>
      <c r="Q1411" s="39"/>
      <c r="R1411" s="28"/>
      <c r="S1411" s="28"/>
      <c r="T1411" s="28"/>
      <c r="U1411" s="4"/>
      <c r="V1411" s="3"/>
      <c r="W1411" s="3"/>
    </row>
    <row r="1412" spans="1:23" s="5" customFormat="1">
      <c r="A1412" s="6"/>
      <c r="B1412" s="33"/>
      <c r="C1412" s="35"/>
      <c r="E1412" s="39"/>
      <c r="G1412" s="40"/>
      <c r="H1412" s="15"/>
      <c r="I1412" s="17"/>
      <c r="J1412" s="10"/>
      <c r="M1412" s="39"/>
      <c r="O1412" s="39"/>
      <c r="Q1412" s="39"/>
      <c r="R1412" s="28"/>
      <c r="S1412" s="28"/>
      <c r="T1412" s="28"/>
      <c r="U1412" s="4"/>
      <c r="V1412" s="3"/>
      <c r="W1412" s="3"/>
    </row>
    <row r="1413" spans="1:23" s="5" customFormat="1">
      <c r="A1413" s="6"/>
      <c r="B1413" s="33"/>
      <c r="C1413" s="35"/>
      <c r="E1413" s="39"/>
      <c r="G1413" s="40"/>
      <c r="H1413" s="15"/>
      <c r="I1413" s="17"/>
      <c r="J1413" s="10"/>
      <c r="M1413" s="39"/>
      <c r="O1413" s="39"/>
      <c r="Q1413" s="39"/>
      <c r="R1413" s="28"/>
      <c r="S1413" s="28"/>
      <c r="T1413" s="28"/>
      <c r="U1413" s="4"/>
      <c r="V1413" s="3"/>
      <c r="W1413" s="3"/>
    </row>
    <row r="1414" spans="1:23" s="5" customFormat="1">
      <c r="A1414" s="6"/>
      <c r="B1414" s="33"/>
      <c r="C1414" s="35"/>
      <c r="E1414" s="39"/>
      <c r="G1414" s="40"/>
      <c r="H1414" s="15"/>
      <c r="I1414" s="17"/>
      <c r="J1414" s="10"/>
      <c r="M1414" s="39"/>
      <c r="O1414" s="39"/>
      <c r="Q1414" s="39"/>
      <c r="R1414" s="28"/>
      <c r="S1414" s="28"/>
      <c r="T1414" s="28"/>
      <c r="U1414" s="4"/>
      <c r="V1414" s="3"/>
      <c r="W1414" s="3"/>
    </row>
    <row r="1415" spans="1:23" s="5" customFormat="1">
      <c r="A1415" s="6"/>
      <c r="B1415" s="33"/>
      <c r="C1415" s="35"/>
      <c r="E1415" s="39"/>
      <c r="G1415" s="40"/>
      <c r="H1415" s="14"/>
      <c r="I1415" s="17"/>
      <c r="J1415" s="10"/>
      <c r="M1415" s="39"/>
      <c r="O1415" s="39"/>
      <c r="Q1415" s="39"/>
      <c r="R1415" s="28"/>
      <c r="S1415" s="28"/>
      <c r="T1415" s="28"/>
      <c r="U1415" s="4"/>
      <c r="V1415" s="3"/>
      <c r="W1415" s="3"/>
    </row>
    <row r="1416" spans="1:23" s="5" customFormat="1">
      <c r="A1416" s="6"/>
      <c r="B1416" s="33"/>
      <c r="C1416" s="35"/>
      <c r="E1416" s="39"/>
      <c r="G1416" s="40"/>
      <c r="H1416" s="15"/>
      <c r="I1416" s="17"/>
      <c r="J1416" s="10"/>
      <c r="M1416" s="39"/>
      <c r="O1416" s="39"/>
      <c r="Q1416" s="39"/>
      <c r="R1416" s="28"/>
      <c r="S1416" s="28"/>
      <c r="T1416" s="28"/>
      <c r="U1416" s="4"/>
      <c r="V1416" s="3"/>
      <c r="W1416" s="3"/>
    </row>
    <row r="1417" spans="1:23" s="5" customFormat="1">
      <c r="A1417" s="6"/>
      <c r="B1417" s="33"/>
      <c r="C1417" s="35"/>
      <c r="E1417" s="39"/>
      <c r="G1417" s="40"/>
      <c r="H1417" s="14"/>
      <c r="I1417" s="17"/>
      <c r="J1417" s="10"/>
      <c r="M1417" s="39"/>
      <c r="O1417" s="39"/>
      <c r="Q1417" s="39"/>
      <c r="R1417" s="28"/>
      <c r="S1417" s="29"/>
      <c r="T1417" s="28"/>
      <c r="U1417" s="4"/>
      <c r="V1417" s="3"/>
      <c r="W1417" s="3"/>
    </row>
    <row r="1418" spans="1:23" s="5" customFormat="1">
      <c r="A1418" s="6"/>
      <c r="B1418" s="33"/>
      <c r="C1418" s="35"/>
      <c r="E1418" s="39"/>
      <c r="G1418" s="40"/>
      <c r="H1418" s="14"/>
      <c r="I1418" s="17"/>
      <c r="J1418" s="10"/>
      <c r="M1418" s="39"/>
      <c r="O1418" s="39"/>
      <c r="Q1418" s="39"/>
      <c r="R1418" s="28"/>
      <c r="S1418" s="28"/>
      <c r="T1418" s="28"/>
      <c r="U1418" s="4"/>
      <c r="V1418" s="3"/>
      <c r="W1418" s="3"/>
    </row>
    <row r="1419" spans="1:23" s="5" customFormat="1">
      <c r="A1419" s="6"/>
      <c r="B1419" s="33"/>
      <c r="C1419" s="35"/>
      <c r="E1419" s="39"/>
      <c r="G1419" s="40"/>
      <c r="H1419" s="14"/>
      <c r="I1419" s="17"/>
      <c r="J1419" s="10"/>
      <c r="M1419" s="39"/>
      <c r="O1419" s="39"/>
      <c r="Q1419" s="39"/>
      <c r="R1419" s="28"/>
      <c r="S1419" s="28"/>
      <c r="T1419" s="28"/>
      <c r="U1419" s="4"/>
      <c r="V1419" s="3"/>
      <c r="W1419" s="3"/>
    </row>
    <row r="1420" spans="1:23" s="5" customFormat="1">
      <c r="A1420" s="6"/>
      <c r="B1420" s="33"/>
      <c r="C1420" s="35"/>
      <c r="E1420" s="39"/>
      <c r="G1420" s="40"/>
      <c r="H1420" s="15"/>
      <c r="I1420" s="17"/>
      <c r="J1420" s="10"/>
      <c r="M1420" s="39"/>
      <c r="O1420" s="39"/>
      <c r="Q1420" s="39"/>
      <c r="R1420" s="28"/>
      <c r="S1420" s="28"/>
      <c r="T1420" s="28"/>
      <c r="U1420" s="4"/>
      <c r="V1420" s="3"/>
      <c r="W1420" s="3"/>
    </row>
    <row r="1421" spans="1:23" s="5" customFormat="1">
      <c r="A1421" s="6"/>
      <c r="B1421" s="33"/>
      <c r="C1421" s="35"/>
      <c r="E1421" s="39"/>
      <c r="G1421" s="40"/>
      <c r="H1421" s="14"/>
      <c r="I1421" s="17"/>
      <c r="J1421" s="10"/>
      <c r="M1421" s="39"/>
      <c r="O1421" s="39"/>
      <c r="Q1421" s="39"/>
      <c r="R1421" s="28"/>
      <c r="S1421" s="28"/>
      <c r="T1421" s="28"/>
      <c r="U1421" s="4"/>
      <c r="V1421" s="3"/>
      <c r="W1421" s="3"/>
    </row>
    <row r="1422" spans="1:23" s="5" customFormat="1">
      <c r="A1422" s="6"/>
      <c r="B1422" s="33"/>
      <c r="C1422" s="35"/>
      <c r="E1422" s="39"/>
      <c r="G1422" s="40"/>
      <c r="H1422" s="14"/>
      <c r="I1422" s="17"/>
      <c r="J1422" s="10"/>
      <c r="M1422" s="39"/>
      <c r="O1422" s="39"/>
      <c r="Q1422" s="39"/>
      <c r="R1422" s="28"/>
      <c r="S1422" s="28"/>
      <c r="T1422" s="28"/>
      <c r="U1422" s="4"/>
      <c r="V1422" s="3"/>
      <c r="W1422" s="3"/>
    </row>
    <row r="1423" spans="1:23" s="5" customFormat="1">
      <c r="A1423" s="6"/>
      <c r="B1423" s="33"/>
      <c r="C1423" s="35"/>
      <c r="E1423" s="39"/>
      <c r="G1423" s="40"/>
      <c r="H1423" s="15"/>
      <c r="I1423" s="17"/>
      <c r="J1423" s="10"/>
      <c r="M1423" s="39"/>
      <c r="O1423" s="39"/>
      <c r="Q1423" s="39"/>
      <c r="R1423" s="28"/>
      <c r="S1423" s="28"/>
      <c r="T1423" s="28"/>
      <c r="U1423" s="4"/>
      <c r="V1423" s="3"/>
      <c r="W1423" s="3"/>
    </row>
    <row r="1424" spans="1:23" s="5" customFormat="1">
      <c r="A1424" s="6"/>
      <c r="B1424" s="33"/>
      <c r="C1424" s="35"/>
      <c r="E1424" s="39"/>
      <c r="G1424" s="40"/>
      <c r="H1424" s="14"/>
      <c r="I1424" s="17"/>
      <c r="J1424" s="10"/>
      <c r="M1424" s="39"/>
      <c r="O1424" s="39"/>
      <c r="Q1424" s="39"/>
      <c r="R1424" s="28"/>
      <c r="S1424" s="28"/>
      <c r="T1424" s="28"/>
      <c r="U1424" s="4"/>
      <c r="V1424" s="3"/>
      <c r="W1424" s="3"/>
    </row>
    <row r="1425" spans="1:23" s="5" customFormat="1">
      <c r="A1425" s="6"/>
      <c r="B1425" s="33"/>
      <c r="C1425" s="35"/>
      <c r="E1425" s="39"/>
      <c r="G1425" s="40"/>
      <c r="H1425" s="14"/>
      <c r="I1425" s="17"/>
      <c r="J1425" s="10"/>
      <c r="M1425" s="39"/>
      <c r="O1425" s="39"/>
      <c r="Q1425" s="39"/>
      <c r="R1425" s="28"/>
      <c r="S1425" s="28"/>
      <c r="T1425" s="28"/>
      <c r="U1425" s="4"/>
      <c r="V1425" s="3"/>
      <c r="W1425" s="3"/>
    </row>
    <row r="1426" spans="1:23" s="5" customFormat="1">
      <c r="A1426" s="6"/>
      <c r="B1426" s="33"/>
      <c r="C1426" s="35"/>
      <c r="E1426" s="39"/>
      <c r="G1426" s="40"/>
      <c r="H1426" s="14"/>
      <c r="I1426" s="17"/>
      <c r="J1426" s="10"/>
      <c r="M1426" s="39"/>
      <c r="O1426" s="39"/>
      <c r="Q1426" s="39"/>
      <c r="R1426" s="28"/>
      <c r="S1426" s="28"/>
      <c r="T1426" s="28"/>
      <c r="U1426" s="4"/>
      <c r="V1426" s="3"/>
      <c r="W1426" s="3"/>
    </row>
    <row r="1427" spans="1:23" s="5" customFormat="1">
      <c r="A1427" s="6"/>
      <c r="B1427" s="33"/>
      <c r="C1427" s="35"/>
      <c r="E1427" s="39"/>
      <c r="G1427" s="40"/>
      <c r="H1427" s="15"/>
      <c r="I1427" s="17"/>
      <c r="J1427" s="10"/>
      <c r="M1427" s="39"/>
      <c r="O1427" s="39"/>
      <c r="Q1427" s="39"/>
      <c r="R1427" s="28"/>
      <c r="S1427" s="28"/>
      <c r="T1427" s="28"/>
      <c r="U1427" s="4"/>
      <c r="V1427" s="3"/>
      <c r="W1427" s="3"/>
    </row>
    <row r="1428" spans="1:23" s="5" customFormat="1">
      <c r="A1428" s="6"/>
      <c r="B1428" s="33"/>
      <c r="C1428" s="35"/>
      <c r="E1428" s="39"/>
      <c r="G1428" s="40"/>
      <c r="H1428" s="14"/>
      <c r="I1428" s="17"/>
      <c r="J1428" s="10"/>
      <c r="M1428" s="39"/>
      <c r="O1428" s="39"/>
      <c r="Q1428" s="39"/>
      <c r="R1428" s="28"/>
      <c r="S1428" s="28"/>
      <c r="T1428" s="28"/>
      <c r="U1428" s="4"/>
      <c r="V1428" s="3"/>
      <c r="W1428" s="3"/>
    </row>
    <row r="1429" spans="1:23" s="5" customFormat="1">
      <c r="A1429" s="6"/>
      <c r="B1429" s="33"/>
      <c r="C1429" s="35"/>
      <c r="E1429" s="39"/>
      <c r="G1429" s="40"/>
      <c r="H1429" s="14"/>
      <c r="I1429" s="17"/>
      <c r="J1429" s="10"/>
      <c r="M1429" s="39"/>
      <c r="O1429" s="39"/>
      <c r="Q1429" s="39"/>
      <c r="R1429" s="28"/>
      <c r="S1429" s="28"/>
      <c r="T1429" s="28"/>
      <c r="U1429" s="4"/>
      <c r="V1429" s="3"/>
      <c r="W1429" s="3"/>
    </row>
    <row r="1430" spans="1:23" s="5" customFormat="1">
      <c r="A1430" s="6"/>
      <c r="B1430" s="33"/>
      <c r="C1430" s="35"/>
      <c r="E1430" s="39"/>
      <c r="G1430" s="40"/>
      <c r="H1430" s="15"/>
      <c r="I1430" s="17"/>
      <c r="J1430" s="10"/>
      <c r="M1430" s="39"/>
      <c r="O1430" s="39"/>
      <c r="Q1430" s="39"/>
      <c r="R1430" s="28"/>
      <c r="S1430" s="28"/>
      <c r="T1430" s="28"/>
      <c r="U1430" s="4"/>
      <c r="V1430" s="3"/>
      <c r="W1430" s="3"/>
    </row>
    <row r="1431" spans="1:23" s="5" customFormat="1">
      <c r="A1431" s="6"/>
      <c r="B1431" s="33"/>
      <c r="C1431" s="35"/>
      <c r="E1431" s="39"/>
      <c r="G1431" s="40"/>
      <c r="H1431" s="15"/>
      <c r="I1431" s="17"/>
      <c r="J1431" s="10"/>
      <c r="M1431" s="39"/>
      <c r="O1431" s="39"/>
      <c r="Q1431" s="39"/>
      <c r="R1431" s="28"/>
      <c r="S1431" s="28"/>
      <c r="T1431" s="28"/>
      <c r="U1431" s="4"/>
      <c r="V1431" s="3"/>
      <c r="W1431" s="3"/>
    </row>
    <row r="1432" spans="1:23" s="5" customFormat="1">
      <c r="A1432" s="6"/>
      <c r="B1432" s="33"/>
      <c r="C1432" s="35"/>
      <c r="E1432" s="39"/>
      <c r="G1432" s="40"/>
      <c r="H1432" s="14"/>
      <c r="I1432" s="17"/>
      <c r="J1432" s="10"/>
      <c r="M1432" s="39"/>
      <c r="O1432" s="39"/>
      <c r="Q1432" s="39"/>
      <c r="R1432" s="28"/>
      <c r="S1432" s="28"/>
      <c r="T1432" s="28"/>
      <c r="U1432" s="4"/>
      <c r="V1432" s="3"/>
      <c r="W1432" s="3"/>
    </row>
    <row r="1433" spans="1:23" s="5" customFormat="1">
      <c r="A1433" s="6"/>
      <c r="B1433" s="33"/>
      <c r="C1433" s="35"/>
      <c r="E1433" s="39"/>
      <c r="G1433" s="40"/>
      <c r="H1433" s="14"/>
      <c r="I1433" s="17"/>
      <c r="J1433" s="10"/>
      <c r="M1433" s="39"/>
      <c r="O1433" s="39"/>
      <c r="Q1433" s="39"/>
      <c r="R1433" s="28"/>
      <c r="S1433" s="28"/>
      <c r="T1433" s="28"/>
      <c r="U1433" s="4"/>
      <c r="V1433" s="3"/>
      <c r="W1433" s="3"/>
    </row>
    <row r="1434" spans="1:23" s="5" customFormat="1">
      <c r="A1434" s="6"/>
      <c r="B1434" s="33"/>
      <c r="C1434" s="35"/>
      <c r="E1434" s="39"/>
      <c r="G1434" s="40"/>
      <c r="H1434" s="14"/>
      <c r="I1434" s="17"/>
      <c r="J1434" s="10"/>
      <c r="M1434" s="39"/>
      <c r="O1434" s="39"/>
      <c r="Q1434" s="39"/>
      <c r="R1434" s="28"/>
      <c r="S1434" s="28"/>
      <c r="T1434" s="28"/>
      <c r="U1434" s="4"/>
      <c r="V1434" s="3"/>
      <c r="W1434" s="3"/>
    </row>
    <row r="1435" spans="1:23" s="5" customFormat="1">
      <c r="A1435" s="6"/>
      <c r="B1435" s="33"/>
      <c r="C1435" s="35"/>
      <c r="E1435" s="39"/>
      <c r="G1435" s="40"/>
      <c r="H1435" s="14"/>
      <c r="I1435" s="17"/>
      <c r="J1435" s="10"/>
      <c r="M1435" s="39"/>
      <c r="O1435" s="39"/>
      <c r="Q1435" s="39"/>
      <c r="R1435" s="28"/>
      <c r="S1435" s="28"/>
      <c r="T1435" s="28"/>
      <c r="U1435" s="4"/>
      <c r="V1435" s="3"/>
      <c r="W1435" s="3"/>
    </row>
    <row r="1436" spans="1:23" s="5" customFormat="1">
      <c r="A1436" s="6"/>
      <c r="B1436" s="33"/>
      <c r="C1436" s="35"/>
      <c r="E1436" s="39"/>
      <c r="G1436" s="40"/>
      <c r="H1436" s="15"/>
      <c r="I1436" s="17"/>
      <c r="J1436" s="10"/>
      <c r="M1436" s="39"/>
      <c r="O1436" s="39"/>
      <c r="Q1436" s="39"/>
      <c r="R1436" s="28"/>
      <c r="S1436" s="28"/>
      <c r="T1436" s="28"/>
      <c r="U1436" s="4"/>
      <c r="V1436" s="3"/>
      <c r="W1436" s="3"/>
    </row>
    <row r="1437" spans="1:23" s="5" customFormat="1">
      <c r="A1437" s="6"/>
      <c r="B1437" s="33"/>
      <c r="C1437" s="35"/>
      <c r="E1437" s="39"/>
      <c r="G1437" s="40"/>
      <c r="H1437" s="14"/>
      <c r="I1437" s="17"/>
      <c r="J1437" s="10"/>
      <c r="M1437" s="39"/>
      <c r="O1437" s="39"/>
      <c r="Q1437" s="39"/>
      <c r="R1437" s="28"/>
      <c r="S1437" s="28"/>
      <c r="T1437" s="28"/>
      <c r="U1437" s="4"/>
      <c r="V1437" s="3"/>
      <c r="W1437" s="3"/>
    </row>
    <row r="1438" spans="1:23" s="5" customFormat="1">
      <c r="A1438" s="6"/>
      <c r="B1438" s="33"/>
      <c r="C1438" s="35"/>
      <c r="E1438" s="39"/>
      <c r="G1438" s="40"/>
      <c r="H1438" s="15"/>
      <c r="I1438" s="17"/>
      <c r="J1438" s="10"/>
      <c r="M1438" s="39"/>
      <c r="O1438" s="39"/>
      <c r="Q1438" s="39"/>
      <c r="R1438" s="28"/>
      <c r="S1438" s="28"/>
      <c r="T1438" s="28"/>
      <c r="U1438" s="4"/>
      <c r="V1438" s="3"/>
      <c r="W1438" s="3"/>
    </row>
    <row r="1439" spans="1:23" s="5" customFormat="1">
      <c r="A1439" s="6"/>
      <c r="B1439" s="33"/>
      <c r="C1439" s="35"/>
      <c r="E1439" s="39"/>
      <c r="G1439" s="40"/>
      <c r="H1439" s="14"/>
      <c r="I1439" s="17"/>
      <c r="J1439" s="10"/>
      <c r="M1439" s="39"/>
      <c r="O1439" s="39"/>
      <c r="Q1439" s="39"/>
      <c r="R1439" s="28"/>
      <c r="S1439" s="28"/>
      <c r="T1439" s="28"/>
      <c r="U1439" s="4"/>
      <c r="V1439" s="3"/>
      <c r="W1439" s="3"/>
    </row>
    <row r="1440" spans="1:23" s="5" customFormat="1">
      <c r="A1440" s="6"/>
      <c r="B1440" s="33"/>
      <c r="C1440" s="35"/>
      <c r="E1440" s="39"/>
      <c r="G1440" s="40"/>
      <c r="H1440" s="15"/>
      <c r="I1440" s="17"/>
      <c r="J1440" s="10"/>
      <c r="M1440" s="39"/>
      <c r="O1440" s="39"/>
      <c r="Q1440" s="39"/>
      <c r="R1440" s="28"/>
      <c r="S1440" s="28"/>
      <c r="T1440" s="28"/>
      <c r="U1440" s="4"/>
      <c r="V1440" s="3"/>
      <c r="W1440" s="3"/>
    </row>
    <row r="1441" spans="1:23" s="5" customFormat="1">
      <c r="A1441" s="6"/>
      <c r="B1441" s="33"/>
      <c r="C1441" s="35"/>
      <c r="E1441" s="39"/>
      <c r="G1441" s="40"/>
      <c r="H1441" s="15"/>
      <c r="I1441" s="17"/>
      <c r="J1441" s="10"/>
      <c r="M1441" s="39"/>
      <c r="O1441" s="39"/>
      <c r="Q1441" s="39"/>
      <c r="R1441" s="28"/>
      <c r="S1441" s="28"/>
      <c r="T1441" s="28"/>
      <c r="U1441" s="4"/>
      <c r="V1441" s="3"/>
      <c r="W1441" s="3"/>
    </row>
    <row r="1442" spans="1:23" s="5" customFormat="1">
      <c r="A1442" s="6"/>
      <c r="B1442" s="33"/>
      <c r="C1442" s="35"/>
      <c r="E1442" s="39"/>
      <c r="G1442" s="40"/>
      <c r="H1442" s="15"/>
      <c r="I1442" s="17"/>
      <c r="J1442" s="10"/>
      <c r="M1442" s="39"/>
      <c r="O1442" s="39"/>
      <c r="Q1442" s="39"/>
      <c r="R1442" s="28"/>
      <c r="S1442" s="28"/>
      <c r="T1442" s="28"/>
      <c r="U1442" s="4"/>
      <c r="V1442" s="3"/>
      <c r="W1442" s="3"/>
    </row>
    <row r="1443" spans="1:23" s="5" customFormat="1">
      <c r="A1443" s="6"/>
      <c r="B1443" s="33"/>
      <c r="C1443" s="35"/>
      <c r="E1443" s="39"/>
      <c r="G1443" s="40"/>
      <c r="H1443" s="15"/>
      <c r="I1443" s="17"/>
      <c r="J1443" s="10"/>
      <c r="M1443" s="39"/>
      <c r="O1443" s="39"/>
      <c r="Q1443" s="39"/>
      <c r="R1443" s="28"/>
      <c r="S1443" s="28"/>
      <c r="T1443" s="28"/>
      <c r="U1443" s="4"/>
      <c r="V1443" s="3"/>
      <c r="W1443" s="3"/>
    </row>
    <row r="1444" spans="1:23" s="5" customFormat="1">
      <c r="A1444" s="6"/>
      <c r="B1444" s="33"/>
      <c r="C1444" s="35"/>
      <c r="E1444" s="39"/>
      <c r="G1444" s="40"/>
      <c r="H1444" s="15"/>
      <c r="I1444" s="17"/>
      <c r="J1444" s="10"/>
      <c r="M1444" s="39"/>
      <c r="O1444" s="39"/>
      <c r="Q1444" s="39"/>
      <c r="R1444" s="28"/>
      <c r="S1444" s="28"/>
      <c r="T1444" s="28"/>
      <c r="U1444" s="4"/>
      <c r="V1444" s="3"/>
      <c r="W1444" s="3"/>
    </row>
    <row r="1445" spans="1:23" s="5" customFormat="1">
      <c r="A1445" s="6"/>
      <c r="B1445" s="33"/>
      <c r="C1445" s="35"/>
      <c r="E1445" s="39"/>
      <c r="G1445" s="40"/>
      <c r="H1445" s="15"/>
      <c r="I1445" s="17"/>
      <c r="J1445" s="10"/>
      <c r="M1445" s="39"/>
      <c r="O1445" s="39"/>
      <c r="Q1445" s="39"/>
      <c r="R1445" s="28"/>
      <c r="S1445" s="28"/>
      <c r="T1445" s="28"/>
      <c r="U1445" s="4"/>
      <c r="V1445" s="3"/>
      <c r="W1445" s="3"/>
    </row>
    <row r="1446" spans="1:23" s="5" customFormat="1">
      <c r="A1446" s="6"/>
      <c r="B1446" s="33"/>
      <c r="C1446" s="35"/>
      <c r="E1446" s="39"/>
      <c r="G1446" s="40"/>
      <c r="H1446" s="15"/>
      <c r="I1446" s="17"/>
      <c r="J1446" s="10"/>
      <c r="M1446" s="39"/>
      <c r="O1446" s="39"/>
      <c r="Q1446" s="39"/>
      <c r="R1446" s="28"/>
      <c r="S1446" s="28"/>
      <c r="T1446" s="28"/>
      <c r="U1446" s="4"/>
      <c r="V1446" s="3"/>
      <c r="W1446" s="3"/>
    </row>
    <row r="1447" spans="1:23" s="5" customFormat="1">
      <c r="A1447" s="6"/>
      <c r="B1447" s="33"/>
      <c r="C1447" s="35"/>
      <c r="E1447" s="39"/>
      <c r="G1447" s="40"/>
      <c r="H1447" s="14"/>
      <c r="I1447" s="17"/>
      <c r="J1447" s="10"/>
      <c r="M1447" s="39"/>
      <c r="O1447" s="39"/>
      <c r="Q1447" s="39"/>
      <c r="R1447" s="28"/>
      <c r="S1447" s="28"/>
      <c r="T1447" s="28"/>
      <c r="U1447" s="4"/>
      <c r="V1447" s="3"/>
      <c r="W1447" s="3"/>
    </row>
    <row r="1448" spans="1:23" s="5" customFormat="1">
      <c r="A1448" s="6"/>
      <c r="B1448" s="33"/>
      <c r="C1448" s="35"/>
      <c r="E1448" s="39"/>
      <c r="G1448" s="40"/>
      <c r="H1448" s="14"/>
      <c r="I1448" s="17"/>
      <c r="J1448" s="10"/>
      <c r="M1448" s="39"/>
      <c r="O1448" s="39"/>
      <c r="Q1448" s="39"/>
      <c r="R1448" s="28"/>
      <c r="S1448" s="28"/>
      <c r="T1448" s="28"/>
      <c r="U1448" s="4"/>
      <c r="V1448" s="3"/>
      <c r="W1448" s="3"/>
    </row>
    <row r="1449" spans="1:23" s="5" customFormat="1">
      <c r="A1449" s="6"/>
      <c r="B1449" s="33"/>
      <c r="C1449" s="35"/>
      <c r="E1449" s="39"/>
      <c r="G1449" s="40"/>
      <c r="H1449" s="14"/>
      <c r="I1449" s="17"/>
      <c r="J1449" s="10"/>
      <c r="M1449" s="39"/>
      <c r="O1449" s="39"/>
      <c r="Q1449" s="39"/>
      <c r="R1449" s="28"/>
      <c r="S1449" s="28"/>
      <c r="T1449" s="28"/>
      <c r="U1449" s="4"/>
      <c r="V1449" s="3"/>
      <c r="W1449" s="3"/>
    </row>
    <row r="1450" spans="1:23" s="5" customFormat="1">
      <c r="A1450" s="6"/>
      <c r="B1450" s="33"/>
      <c r="C1450" s="35"/>
      <c r="E1450" s="39"/>
      <c r="G1450" s="40"/>
      <c r="H1450" s="14"/>
      <c r="I1450" s="17"/>
      <c r="J1450" s="10"/>
      <c r="M1450" s="39"/>
      <c r="O1450" s="39"/>
      <c r="Q1450" s="39"/>
      <c r="R1450" s="28"/>
      <c r="S1450" s="28"/>
      <c r="T1450" s="28"/>
      <c r="U1450" s="4"/>
      <c r="V1450" s="3"/>
      <c r="W1450" s="3"/>
    </row>
    <row r="1451" spans="1:23" s="5" customFormat="1">
      <c r="A1451" s="6"/>
      <c r="B1451" s="33"/>
      <c r="C1451" s="35"/>
      <c r="E1451" s="39"/>
      <c r="G1451" s="40"/>
      <c r="H1451" s="15"/>
      <c r="I1451" s="17"/>
      <c r="J1451" s="10"/>
      <c r="M1451" s="39"/>
      <c r="O1451" s="39"/>
      <c r="Q1451" s="39"/>
      <c r="R1451" s="28"/>
      <c r="S1451" s="28"/>
      <c r="T1451" s="28"/>
      <c r="U1451" s="4"/>
      <c r="V1451" s="3"/>
      <c r="W1451" s="3"/>
    </row>
    <row r="1452" spans="1:23" s="5" customFormat="1">
      <c r="A1452" s="6"/>
      <c r="B1452" s="33"/>
      <c r="C1452" s="35"/>
      <c r="E1452" s="39"/>
      <c r="G1452" s="40"/>
      <c r="H1452" s="15"/>
      <c r="I1452" s="17"/>
      <c r="J1452" s="10"/>
      <c r="M1452" s="39"/>
      <c r="O1452" s="39"/>
      <c r="Q1452" s="39"/>
      <c r="R1452" s="28"/>
      <c r="S1452" s="28"/>
      <c r="T1452" s="28"/>
      <c r="U1452" s="4"/>
      <c r="V1452" s="3"/>
      <c r="W1452" s="3"/>
    </row>
    <row r="1453" spans="1:23" s="5" customFormat="1">
      <c r="A1453" s="6"/>
      <c r="B1453" s="33"/>
      <c r="C1453" s="35"/>
      <c r="E1453" s="39"/>
      <c r="G1453" s="40"/>
      <c r="H1453" s="15"/>
      <c r="I1453" s="17"/>
      <c r="J1453" s="10"/>
      <c r="M1453" s="39"/>
      <c r="O1453" s="39"/>
      <c r="Q1453" s="39"/>
      <c r="R1453" s="28"/>
      <c r="S1453" s="28"/>
      <c r="T1453" s="28"/>
      <c r="U1453" s="4"/>
      <c r="V1453" s="3"/>
      <c r="W1453" s="3"/>
    </row>
    <row r="1454" spans="1:23" s="5" customFormat="1">
      <c r="A1454" s="6"/>
      <c r="B1454" s="33"/>
      <c r="C1454" s="35"/>
      <c r="E1454" s="39"/>
      <c r="G1454" s="40"/>
      <c r="H1454" s="14"/>
      <c r="I1454" s="17"/>
      <c r="J1454" s="10"/>
      <c r="M1454" s="39"/>
      <c r="O1454" s="39"/>
      <c r="Q1454" s="39"/>
      <c r="R1454" s="28"/>
      <c r="S1454" s="28"/>
      <c r="T1454" s="28"/>
      <c r="U1454" s="4"/>
      <c r="V1454" s="3"/>
      <c r="W1454" s="3"/>
    </row>
    <row r="1455" spans="1:23" s="5" customFormat="1">
      <c r="A1455" s="6"/>
      <c r="B1455" s="33"/>
      <c r="C1455" s="35"/>
      <c r="E1455" s="39"/>
      <c r="G1455" s="40"/>
      <c r="H1455" s="14"/>
      <c r="I1455" s="17"/>
      <c r="J1455" s="10"/>
      <c r="M1455" s="39"/>
      <c r="O1455" s="39"/>
      <c r="Q1455" s="39"/>
      <c r="R1455" s="28"/>
      <c r="S1455" s="28"/>
      <c r="T1455" s="28"/>
      <c r="U1455" s="4"/>
      <c r="V1455" s="3"/>
      <c r="W1455" s="3"/>
    </row>
    <row r="1456" spans="1:23" s="5" customFormat="1">
      <c r="A1456" s="6"/>
      <c r="B1456" s="33"/>
      <c r="C1456" s="35"/>
      <c r="E1456" s="39"/>
      <c r="G1456" s="40"/>
      <c r="H1456" s="15"/>
      <c r="I1456" s="17"/>
      <c r="J1456" s="10"/>
      <c r="M1456" s="39"/>
      <c r="O1456" s="39"/>
      <c r="Q1456" s="39"/>
      <c r="R1456" s="28"/>
      <c r="S1456" s="28"/>
      <c r="T1456" s="28"/>
      <c r="U1456" s="4"/>
      <c r="V1456" s="3"/>
      <c r="W1456" s="3"/>
    </row>
    <row r="1457" spans="1:23" s="5" customFormat="1">
      <c r="A1457" s="6"/>
      <c r="B1457" s="33"/>
      <c r="C1457" s="35"/>
      <c r="E1457" s="39"/>
      <c r="G1457" s="40"/>
      <c r="H1457" s="14"/>
      <c r="I1457" s="17"/>
      <c r="J1457" s="10"/>
      <c r="M1457" s="39"/>
      <c r="O1457" s="39"/>
      <c r="Q1457" s="39"/>
      <c r="R1457" s="28"/>
      <c r="S1457" s="29"/>
      <c r="T1457" s="28"/>
      <c r="U1457" s="4"/>
      <c r="V1457" s="3"/>
      <c r="W1457" s="3"/>
    </row>
    <row r="1458" spans="1:23" s="5" customFormat="1">
      <c r="A1458" s="20"/>
      <c r="B1458" s="33"/>
      <c r="C1458" s="35"/>
      <c r="D1458" s="1"/>
      <c r="E1458" s="39"/>
      <c r="F1458" s="1"/>
      <c r="G1458" s="40"/>
      <c r="H1458" s="12"/>
      <c r="I1458" s="9"/>
      <c r="J1458" s="11"/>
      <c r="L1458" s="1"/>
      <c r="M1458" s="39"/>
      <c r="N1458" s="1"/>
      <c r="O1458" s="39"/>
      <c r="P1458" s="1"/>
      <c r="Q1458" s="39"/>
      <c r="R1458" s="28"/>
      <c r="S1458" s="28"/>
      <c r="T1458" s="28"/>
      <c r="U1458" s="4"/>
      <c r="V1458" s="3"/>
      <c r="W1458" s="3"/>
    </row>
    <row r="1459" spans="1:23" s="5" customFormat="1">
      <c r="A1459" s="6"/>
      <c r="B1459" s="33"/>
      <c r="C1459" s="35"/>
      <c r="E1459" s="39"/>
      <c r="G1459" s="40"/>
      <c r="H1459" s="14"/>
      <c r="I1459" s="17"/>
      <c r="J1459" s="10"/>
      <c r="M1459" s="39"/>
      <c r="O1459" s="39"/>
      <c r="Q1459" s="39"/>
      <c r="R1459" s="28"/>
      <c r="S1459" s="28"/>
      <c r="T1459" s="28"/>
      <c r="U1459" s="4"/>
      <c r="V1459" s="3"/>
      <c r="W1459" s="3"/>
    </row>
    <row r="1460" spans="1:23" s="5" customFormat="1">
      <c r="A1460" s="6"/>
      <c r="B1460" s="33"/>
      <c r="C1460" s="35"/>
      <c r="E1460" s="39"/>
      <c r="G1460" s="40"/>
      <c r="H1460" s="15"/>
      <c r="I1460" s="17"/>
      <c r="J1460" s="10"/>
      <c r="M1460" s="39"/>
      <c r="O1460" s="39"/>
      <c r="Q1460" s="39"/>
      <c r="R1460" s="28"/>
      <c r="S1460" s="28"/>
      <c r="T1460" s="28"/>
      <c r="U1460" s="4"/>
      <c r="V1460" s="3"/>
      <c r="W1460" s="3"/>
    </row>
    <row r="1461" spans="1:23" s="5" customFormat="1">
      <c r="A1461" s="6"/>
      <c r="B1461" s="33"/>
      <c r="C1461" s="35"/>
      <c r="E1461" s="39"/>
      <c r="G1461" s="40"/>
      <c r="H1461" s="14"/>
      <c r="I1461" s="17"/>
      <c r="J1461" s="10"/>
      <c r="M1461" s="39"/>
      <c r="O1461" s="39"/>
      <c r="Q1461" s="39"/>
      <c r="R1461" s="28"/>
      <c r="S1461" s="28"/>
      <c r="T1461" s="28"/>
      <c r="U1461" s="4"/>
      <c r="V1461" s="3"/>
      <c r="W1461" s="3"/>
    </row>
    <row r="1462" spans="1:23" s="5" customFormat="1">
      <c r="A1462" s="6"/>
      <c r="B1462" s="33"/>
      <c r="C1462" s="35"/>
      <c r="E1462" s="39"/>
      <c r="G1462" s="40"/>
      <c r="H1462" s="15"/>
      <c r="I1462" s="17"/>
      <c r="J1462" s="10"/>
      <c r="M1462" s="39"/>
      <c r="O1462" s="39"/>
      <c r="Q1462" s="39"/>
      <c r="R1462" s="28"/>
      <c r="S1462" s="28"/>
      <c r="T1462" s="28"/>
      <c r="U1462" s="4"/>
      <c r="V1462" s="3"/>
      <c r="W1462" s="3"/>
    </row>
    <row r="1463" spans="1:23" s="5" customFormat="1">
      <c r="A1463" s="6"/>
      <c r="B1463" s="33"/>
      <c r="C1463" s="35"/>
      <c r="E1463" s="39"/>
      <c r="G1463" s="40"/>
      <c r="H1463" s="15"/>
      <c r="I1463" s="17"/>
      <c r="J1463" s="10"/>
      <c r="M1463" s="39"/>
      <c r="O1463" s="39"/>
      <c r="Q1463" s="39"/>
      <c r="R1463" s="28"/>
      <c r="S1463" s="28"/>
      <c r="T1463" s="28"/>
      <c r="U1463" s="4"/>
      <c r="V1463" s="3"/>
      <c r="W1463" s="3"/>
    </row>
    <row r="1464" spans="1:23" s="5" customFormat="1">
      <c r="A1464" s="6"/>
      <c r="B1464" s="33"/>
      <c r="C1464" s="35"/>
      <c r="E1464" s="39"/>
      <c r="G1464" s="40"/>
      <c r="H1464" s="15"/>
      <c r="I1464" s="17"/>
      <c r="J1464" s="10"/>
      <c r="M1464" s="39"/>
      <c r="O1464" s="39"/>
      <c r="Q1464" s="39"/>
      <c r="R1464" s="28"/>
      <c r="S1464" s="28"/>
      <c r="T1464" s="28"/>
      <c r="U1464" s="4"/>
      <c r="V1464" s="3"/>
      <c r="W1464" s="3"/>
    </row>
    <row r="1465" spans="1:23" s="5" customFormat="1">
      <c r="A1465" s="6"/>
      <c r="B1465" s="33"/>
      <c r="C1465" s="35"/>
      <c r="E1465" s="39"/>
      <c r="G1465" s="40"/>
      <c r="H1465" s="14"/>
      <c r="I1465" s="17"/>
      <c r="J1465" s="10"/>
      <c r="M1465" s="39"/>
      <c r="O1465" s="39"/>
      <c r="Q1465" s="39"/>
      <c r="R1465" s="28"/>
      <c r="S1465" s="28"/>
      <c r="T1465" s="28"/>
      <c r="U1465" s="4"/>
      <c r="V1465" s="3"/>
      <c r="W1465" s="3"/>
    </row>
    <row r="1466" spans="1:23" s="5" customFormat="1">
      <c r="A1466" s="6"/>
      <c r="B1466" s="33"/>
      <c r="C1466" s="35"/>
      <c r="E1466" s="39"/>
      <c r="G1466" s="40"/>
      <c r="H1466" s="14"/>
      <c r="I1466" s="17"/>
      <c r="J1466" s="10"/>
      <c r="M1466" s="39"/>
      <c r="O1466" s="39"/>
      <c r="Q1466" s="39"/>
      <c r="R1466" s="28"/>
      <c r="S1466" s="28"/>
      <c r="T1466" s="28"/>
      <c r="U1466" s="4"/>
      <c r="V1466" s="3"/>
      <c r="W1466" s="3"/>
    </row>
    <row r="1467" spans="1:23" s="5" customFormat="1">
      <c r="A1467" s="6"/>
      <c r="B1467" s="33"/>
      <c r="C1467" s="35"/>
      <c r="E1467" s="39"/>
      <c r="G1467" s="40"/>
      <c r="H1467" s="14"/>
      <c r="I1467" s="17"/>
      <c r="J1467" s="10"/>
      <c r="M1467" s="39"/>
      <c r="O1467" s="39"/>
      <c r="Q1467" s="39"/>
      <c r="R1467" s="28"/>
      <c r="S1467" s="28"/>
      <c r="T1467" s="28"/>
      <c r="U1467" s="4"/>
      <c r="V1467" s="3"/>
      <c r="W1467" s="3"/>
    </row>
    <row r="1468" spans="1:23" s="5" customFormat="1">
      <c r="A1468" s="6"/>
      <c r="B1468" s="33"/>
      <c r="C1468" s="35"/>
      <c r="E1468" s="39"/>
      <c r="G1468" s="40"/>
      <c r="H1468" s="14"/>
      <c r="I1468" s="17"/>
      <c r="J1468" s="10"/>
      <c r="M1468" s="39"/>
      <c r="O1468" s="39"/>
      <c r="Q1468" s="39"/>
      <c r="R1468" s="28"/>
      <c r="S1468" s="28"/>
      <c r="T1468" s="28"/>
      <c r="U1468" s="4"/>
      <c r="V1468" s="3"/>
      <c r="W1468" s="3"/>
    </row>
    <row r="1469" spans="1:23" s="5" customFormat="1">
      <c r="A1469" s="6"/>
      <c r="B1469" s="33"/>
      <c r="C1469" s="35"/>
      <c r="E1469" s="39"/>
      <c r="G1469" s="40"/>
      <c r="H1469" s="15"/>
      <c r="I1469" s="17"/>
      <c r="J1469" s="10"/>
      <c r="M1469" s="39"/>
      <c r="O1469" s="39"/>
      <c r="Q1469" s="39"/>
      <c r="R1469" s="28"/>
      <c r="S1469" s="28"/>
      <c r="T1469" s="28"/>
      <c r="U1469" s="4"/>
      <c r="V1469" s="3"/>
      <c r="W1469" s="3"/>
    </row>
    <row r="1470" spans="1:23" s="5" customFormat="1">
      <c r="A1470" s="6"/>
      <c r="B1470" s="33"/>
      <c r="C1470" s="35"/>
      <c r="E1470" s="39"/>
      <c r="G1470" s="40"/>
      <c r="H1470" s="15"/>
      <c r="I1470" s="17"/>
      <c r="J1470" s="10"/>
      <c r="M1470" s="39"/>
      <c r="O1470" s="39"/>
      <c r="Q1470" s="39"/>
      <c r="R1470" s="28"/>
      <c r="S1470" s="28"/>
      <c r="T1470" s="28"/>
      <c r="U1470" s="4"/>
      <c r="V1470" s="3"/>
      <c r="W1470" s="3"/>
    </row>
    <row r="1471" spans="1:23" s="5" customFormat="1">
      <c r="A1471" s="6"/>
      <c r="B1471" s="33"/>
      <c r="C1471" s="35"/>
      <c r="E1471" s="39"/>
      <c r="G1471" s="40"/>
      <c r="H1471" s="15"/>
      <c r="I1471" s="17"/>
      <c r="J1471" s="10"/>
      <c r="M1471" s="39"/>
      <c r="O1471" s="39"/>
      <c r="Q1471" s="39"/>
      <c r="R1471" s="28"/>
      <c r="S1471" s="28"/>
      <c r="T1471" s="28"/>
      <c r="U1471" s="4"/>
      <c r="V1471" s="3"/>
      <c r="W1471" s="3"/>
    </row>
    <row r="1472" spans="1:23" s="5" customFormat="1">
      <c r="A1472" s="6"/>
      <c r="B1472" s="33"/>
      <c r="C1472" s="35"/>
      <c r="E1472" s="39"/>
      <c r="G1472" s="40"/>
      <c r="H1472" s="15"/>
      <c r="I1472" s="17"/>
      <c r="J1472" s="10"/>
      <c r="M1472" s="39"/>
      <c r="O1472" s="39"/>
      <c r="Q1472" s="39"/>
      <c r="R1472" s="28"/>
      <c r="S1472" s="28"/>
      <c r="T1472" s="28"/>
      <c r="U1472" s="4"/>
      <c r="V1472" s="3"/>
      <c r="W1472" s="3"/>
    </row>
    <row r="1473" spans="1:23" s="5" customFormat="1">
      <c r="A1473" s="6"/>
      <c r="B1473" s="33"/>
      <c r="C1473" s="35"/>
      <c r="E1473" s="39"/>
      <c r="G1473" s="40"/>
      <c r="H1473" s="15"/>
      <c r="I1473" s="17"/>
      <c r="J1473" s="10"/>
      <c r="M1473" s="39"/>
      <c r="O1473" s="39"/>
      <c r="Q1473" s="39"/>
      <c r="R1473" s="28"/>
      <c r="S1473" s="28"/>
      <c r="T1473" s="28"/>
      <c r="U1473" s="4"/>
      <c r="V1473" s="3"/>
      <c r="W1473" s="3"/>
    </row>
    <row r="1474" spans="1:23" s="5" customFormat="1">
      <c r="A1474" s="6"/>
      <c r="B1474" s="33"/>
      <c r="C1474" s="35"/>
      <c r="E1474" s="39"/>
      <c r="G1474" s="40"/>
      <c r="H1474" s="15"/>
      <c r="I1474" s="17"/>
      <c r="J1474" s="10"/>
      <c r="M1474" s="39"/>
      <c r="O1474" s="39"/>
      <c r="Q1474" s="39"/>
      <c r="R1474" s="28"/>
      <c r="S1474" s="28"/>
      <c r="T1474" s="28"/>
      <c r="U1474" s="4"/>
      <c r="V1474" s="3"/>
      <c r="W1474" s="3"/>
    </row>
    <row r="1475" spans="1:23" s="5" customFormat="1">
      <c r="A1475" s="6"/>
      <c r="B1475" s="33"/>
      <c r="C1475" s="35"/>
      <c r="E1475" s="39"/>
      <c r="G1475" s="40"/>
      <c r="H1475" s="15"/>
      <c r="I1475" s="17"/>
      <c r="J1475" s="10"/>
      <c r="M1475" s="39"/>
      <c r="O1475" s="39"/>
      <c r="Q1475" s="39"/>
      <c r="R1475" s="28"/>
      <c r="S1475" s="28"/>
      <c r="T1475" s="28"/>
      <c r="U1475" s="4"/>
      <c r="V1475" s="3"/>
      <c r="W1475" s="3"/>
    </row>
    <row r="1476" spans="1:23" s="5" customFormat="1">
      <c r="A1476" s="6"/>
      <c r="B1476" s="33"/>
      <c r="C1476" s="35"/>
      <c r="E1476" s="39"/>
      <c r="G1476" s="40"/>
      <c r="H1476" s="15"/>
      <c r="I1476" s="17"/>
      <c r="J1476" s="10"/>
      <c r="M1476" s="39"/>
      <c r="O1476" s="39"/>
      <c r="Q1476" s="39"/>
      <c r="R1476" s="28"/>
      <c r="S1476" s="28"/>
      <c r="T1476" s="28"/>
      <c r="U1476" s="4"/>
      <c r="V1476" s="3"/>
      <c r="W1476" s="3"/>
    </row>
    <row r="1477" spans="1:23" s="5" customFormat="1">
      <c r="A1477" s="6"/>
      <c r="B1477" s="33"/>
      <c r="C1477" s="35"/>
      <c r="E1477" s="39"/>
      <c r="G1477" s="40"/>
      <c r="H1477" s="15"/>
      <c r="I1477" s="17"/>
      <c r="J1477" s="10"/>
      <c r="M1477" s="39"/>
      <c r="O1477" s="39"/>
      <c r="Q1477" s="39"/>
      <c r="R1477" s="28"/>
      <c r="S1477" s="28"/>
      <c r="T1477" s="28"/>
      <c r="U1477" s="4"/>
      <c r="V1477" s="3"/>
      <c r="W1477" s="3"/>
    </row>
    <row r="1478" spans="1:23" s="5" customFormat="1">
      <c r="A1478" s="6"/>
      <c r="B1478" s="33"/>
      <c r="C1478" s="35"/>
      <c r="E1478" s="39"/>
      <c r="G1478" s="40"/>
      <c r="H1478" s="15"/>
      <c r="I1478" s="17"/>
      <c r="J1478" s="10"/>
      <c r="M1478" s="39"/>
      <c r="O1478" s="39"/>
      <c r="Q1478" s="39"/>
      <c r="R1478" s="28"/>
      <c r="S1478" s="28"/>
      <c r="T1478" s="28"/>
      <c r="U1478" s="4"/>
      <c r="V1478" s="3"/>
      <c r="W1478" s="3"/>
    </row>
    <row r="1479" spans="1:23" s="5" customFormat="1">
      <c r="A1479" s="6"/>
      <c r="B1479" s="33"/>
      <c r="C1479" s="35"/>
      <c r="E1479" s="39"/>
      <c r="G1479" s="40"/>
      <c r="H1479" s="15"/>
      <c r="I1479" s="17"/>
      <c r="J1479" s="10"/>
      <c r="M1479" s="39"/>
      <c r="O1479" s="39"/>
      <c r="Q1479" s="39"/>
      <c r="R1479" s="28"/>
      <c r="S1479" s="28"/>
      <c r="T1479" s="28"/>
      <c r="U1479" s="4"/>
      <c r="V1479" s="3"/>
      <c r="W1479" s="3"/>
    </row>
    <row r="1480" spans="1:23" s="5" customFormat="1">
      <c r="A1480" s="6"/>
      <c r="B1480" s="33"/>
      <c r="C1480" s="35"/>
      <c r="E1480" s="39"/>
      <c r="G1480" s="40"/>
      <c r="H1480" s="15"/>
      <c r="I1480" s="17"/>
      <c r="J1480" s="10"/>
      <c r="M1480" s="39"/>
      <c r="O1480" s="39"/>
      <c r="Q1480" s="39"/>
      <c r="R1480" s="28"/>
      <c r="S1480" s="28"/>
      <c r="T1480" s="28"/>
      <c r="U1480" s="4"/>
      <c r="V1480" s="3"/>
      <c r="W1480" s="3"/>
    </row>
    <row r="1481" spans="1:23" s="5" customFormat="1">
      <c r="A1481" s="6"/>
      <c r="B1481" s="33"/>
      <c r="C1481" s="35"/>
      <c r="E1481" s="39"/>
      <c r="G1481" s="40"/>
      <c r="H1481" s="14"/>
      <c r="I1481" s="17"/>
      <c r="J1481" s="10"/>
      <c r="M1481" s="39"/>
      <c r="O1481" s="39"/>
      <c r="Q1481" s="39"/>
      <c r="R1481" s="28"/>
      <c r="S1481" s="28"/>
      <c r="T1481" s="28"/>
      <c r="U1481" s="4"/>
      <c r="V1481" s="3"/>
      <c r="W1481" s="3"/>
    </row>
    <row r="1482" spans="1:23" s="5" customFormat="1">
      <c r="A1482" s="6"/>
      <c r="B1482" s="33"/>
      <c r="C1482" s="35"/>
      <c r="E1482" s="39"/>
      <c r="G1482" s="40"/>
      <c r="H1482" s="15"/>
      <c r="I1482" s="17"/>
      <c r="J1482" s="10"/>
      <c r="M1482" s="39"/>
      <c r="O1482" s="39"/>
      <c r="Q1482" s="39"/>
      <c r="R1482" s="28"/>
      <c r="S1482" s="28"/>
      <c r="T1482" s="28"/>
      <c r="U1482" s="4"/>
      <c r="V1482" s="3"/>
      <c r="W1482" s="3"/>
    </row>
    <row r="1483" spans="1:23" s="5" customFormat="1">
      <c r="A1483" s="6"/>
      <c r="B1483" s="33"/>
      <c r="C1483" s="35"/>
      <c r="E1483" s="39"/>
      <c r="G1483" s="40"/>
      <c r="H1483" s="15"/>
      <c r="I1483" s="17"/>
      <c r="J1483" s="10"/>
      <c r="M1483" s="39"/>
      <c r="O1483" s="39"/>
      <c r="Q1483" s="39"/>
      <c r="R1483" s="28"/>
      <c r="S1483" s="28"/>
      <c r="T1483" s="28"/>
      <c r="U1483" s="4"/>
      <c r="V1483" s="3"/>
      <c r="W1483" s="3"/>
    </row>
    <row r="1484" spans="1:23" s="5" customFormat="1">
      <c r="A1484" s="6"/>
      <c r="B1484" s="33"/>
      <c r="C1484" s="35"/>
      <c r="E1484" s="39"/>
      <c r="G1484" s="40"/>
      <c r="H1484" s="15"/>
      <c r="I1484" s="17"/>
      <c r="J1484" s="10"/>
      <c r="M1484" s="39"/>
      <c r="O1484" s="39"/>
      <c r="Q1484" s="39"/>
      <c r="R1484" s="28"/>
      <c r="S1484" s="28"/>
      <c r="T1484" s="28"/>
      <c r="U1484" s="4"/>
      <c r="V1484" s="3"/>
      <c r="W1484" s="3"/>
    </row>
    <row r="1485" spans="1:23" s="5" customFormat="1">
      <c r="A1485" s="6"/>
      <c r="B1485" s="33"/>
      <c r="C1485" s="35"/>
      <c r="E1485" s="39"/>
      <c r="G1485" s="40"/>
      <c r="H1485" s="14"/>
      <c r="I1485" s="17"/>
      <c r="J1485" s="10"/>
      <c r="M1485" s="39"/>
      <c r="O1485" s="39"/>
      <c r="Q1485" s="39"/>
      <c r="R1485" s="28"/>
      <c r="S1485" s="28"/>
      <c r="T1485" s="28"/>
      <c r="U1485" s="4"/>
      <c r="V1485" s="3"/>
      <c r="W1485" s="3"/>
    </row>
    <row r="1486" spans="1:23" s="5" customFormat="1">
      <c r="A1486" s="6"/>
      <c r="B1486" s="33"/>
      <c r="C1486" s="35"/>
      <c r="E1486" s="39"/>
      <c r="G1486" s="40"/>
      <c r="H1486" s="15"/>
      <c r="I1486" s="17"/>
      <c r="J1486" s="10"/>
      <c r="M1486" s="39"/>
      <c r="O1486" s="39"/>
      <c r="Q1486" s="39"/>
      <c r="R1486" s="28"/>
      <c r="S1486" s="28"/>
      <c r="T1486" s="28"/>
      <c r="U1486" s="4"/>
      <c r="V1486" s="3"/>
      <c r="W1486" s="3"/>
    </row>
    <row r="1487" spans="1:23" s="5" customFormat="1">
      <c r="A1487" s="6"/>
      <c r="B1487" s="33"/>
      <c r="C1487" s="35"/>
      <c r="E1487" s="39"/>
      <c r="G1487" s="40"/>
      <c r="H1487" s="15"/>
      <c r="I1487" s="17"/>
      <c r="J1487" s="10"/>
      <c r="M1487" s="39"/>
      <c r="O1487" s="39"/>
      <c r="Q1487" s="39"/>
      <c r="R1487" s="28"/>
      <c r="S1487" s="28"/>
      <c r="T1487" s="28"/>
      <c r="U1487" s="4"/>
      <c r="V1487" s="3"/>
      <c r="W1487" s="3"/>
    </row>
    <row r="1488" spans="1:23" s="5" customFormat="1">
      <c r="A1488" s="6"/>
      <c r="B1488" s="33"/>
      <c r="C1488" s="35"/>
      <c r="E1488" s="39"/>
      <c r="G1488" s="40"/>
      <c r="H1488" s="14"/>
      <c r="I1488" s="17"/>
      <c r="J1488" s="10"/>
      <c r="M1488" s="39"/>
      <c r="O1488" s="39"/>
      <c r="Q1488" s="39"/>
      <c r="R1488" s="28"/>
      <c r="S1488" s="28"/>
      <c r="T1488" s="28"/>
      <c r="U1488" s="4"/>
      <c r="V1488" s="3"/>
      <c r="W1488" s="3"/>
    </row>
    <row r="1489" spans="1:23" s="5" customFormat="1">
      <c r="A1489" s="6"/>
      <c r="B1489" s="33"/>
      <c r="C1489" s="35"/>
      <c r="E1489" s="39"/>
      <c r="G1489" s="40"/>
      <c r="H1489" s="15"/>
      <c r="I1489" s="17"/>
      <c r="J1489" s="10"/>
      <c r="M1489" s="39"/>
      <c r="O1489" s="39"/>
      <c r="Q1489" s="39"/>
      <c r="R1489" s="28"/>
      <c r="S1489" s="28"/>
      <c r="T1489" s="28"/>
      <c r="U1489" s="4"/>
      <c r="V1489" s="3"/>
      <c r="W1489" s="3"/>
    </row>
    <row r="1490" spans="1:23" s="5" customFormat="1">
      <c r="A1490" s="6"/>
      <c r="B1490" s="33"/>
      <c r="C1490" s="35"/>
      <c r="E1490" s="39"/>
      <c r="G1490" s="40"/>
      <c r="H1490" s="15"/>
      <c r="I1490" s="17"/>
      <c r="J1490" s="10"/>
      <c r="M1490" s="39"/>
      <c r="O1490" s="39"/>
      <c r="Q1490" s="39"/>
      <c r="R1490" s="28"/>
      <c r="S1490" s="28"/>
      <c r="T1490" s="28"/>
      <c r="U1490" s="4"/>
      <c r="V1490" s="3"/>
      <c r="W1490" s="3"/>
    </row>
    <row r="1491" spans="1:23" s="5" customFormat="1">
      <c r="A1491" s="6"/>
      <c r="B1491" s="33"/>
      <c r="C1491" s="35"/>
      <c r="E1491" s="39"/>
      <c r="G1491" s="40"/>
      <c r="H1491" s="15"/>
      <c r="I1491" s="17"/>
      <c r="J1491" s="10"/>
      <c r="M1491" s="39"/>
      <c r="O1491" s="39"/>
      <c r="Q1491" s="39"/>
      <c r="R1491" s="28"/>
      <c r="S1491" s="28"/>
      <c r="T1491" s="28"/>
      <c r="U1491" s="4"/>
      <c r="V1491" s="3"/>
      <c r="W1491" s="3"/>
    </row>
    <row r="1492" spans="1:23" s="5" customFormat="1">
      <c r="A1492" s="6"/>
      <c r="B1492" s="33"/>
      <c r="C1492" s="35"/>
      <c r="E1492" s="39"/>
      <c r="G1492" s="40"/>
      <c r="H1492" s="15"/>
      <c r="I1492" s="17"/>
      <c r="J1492" s="10"/>
      <c r="M1492" s="39"/>
      <c r="O1492" s="39"/>
      <c r="Q1492" s="39"/>
      <c r="R1492" s="28"/>
      <c r="S1492" s="28"/>
      <c r="T1492" s="28"/>
      <c r="U1492" s="4"/>
      <c r="V1492" s="3"/>
      <c r="W1492" s="3"/>
    </row>
    <row r="1493" spans="1:23" s="5" customFormat="1">
      <c r="A1493" s="6"/>
      <c r="B1493" s="33"/>
      <c r="C1493" s="35"/>
      <c r="E1493" s="39"/>
      <c r="G1493" s="40"/>
      <c r="H1493" s="15"/>
      <c r="I1493" s="17"/>
      <c r="J1493" s="10"/>
      <c r="M1493" s="39"/>
      <c r="O1493" s="39"/>
      <c r="Q1493" s="39"/>
      <c r="R1493" s="28"/>
      <c r="S1493" s="28"/>
      <c r="T1493" s="28"/>
      <c r="U1493" s="4"/>
      <c r="V1493" s="3"/>
      <c r="W1493" s="3"/>
    </row>
    <row r="1494" spans="1:23" s="5" customFormat="1">
      <c r="A1494" s="6"/>
      <c r="B1494" s="33"/>
      <c r="C1494" s="35"/>
      <c r="E1494" s="39"/>
      <c r="G1494" s="40"/>
      <c r="H1494" s="15"/>
      <c r="I1494" s="17"/>
      <c r="J1494" s="10"/>
      <c r="M1494" s="39"/>
      <c r="O1494" s="39"/>
      <c r="Q1494" s="39"/>
      <c r="R1494" s="28"/>
      <c r="S1494" s="28"/>
      <c r="T1494" s="28"/>
      <c r="U1494" s="4"/>
      <c r="V1494" s="3"/>
      <c r="W1494" s="3"/>
    </row>
    <row r="1495" spans="1:23" s="5" customFormat="1">
      <c r="A1495" s="6"/>
      <c r="B1495" s="33"/>
      <c r="C1495" s="35"/>
      <c r="E1495" s="39"/>
      <c r="G1495" s="40"/>
      <c r="H1495" s="15"/>
      <c r="I1495" s="17"/>
      <c r="J1495" s="10"/>
      <c r="M1495" s="39"/>
      <c r="O1495" s="39"/>
      <c r="Q1495" s="39"/>
      <c r="R1495" s="28"/>
      <c r="S1495" s="28"/>
      <c r="T1495" s="28"/>
      <c r="U1495" s="4"/>
      <c r="V1495" s="3"/>
      <c r="W1495" s="3"/>
    </row>
    <row r="1496" spans="1:23" s="5" customFormat="1">
      <c r="A1496" s="6"/>
      <c r="B1496" s="33"/>
      <c r="C1496" s="35"/>
      <c r="E1496" s="39"/>
      <c r="G1496" s="40"/>
      <c r="H1496" s="15"/>
      <c r="I1496" s="17"/>
      <c r="J1496" s="10"/>
      <c r="M1496" s="39"/>
      <c r="O1496" s="39"/>
      <c r="Q1496" s="39"/>
      <c r="R1496" s="28"/>
      <c r="S1496" s="28"/>
      <c r="T1496" s="28"/>
      <c r="U1496" s="4"/>
      <c r="V1496" s="3"/>
      <c r="W1496" s="3"/>
    </row>
    <row r="1497" spans="1:23" s="5" customFormat="1">
      <c r="A1497" s="6"/>
      <c r="B1497" s="33"/>
      <c r="C1497" s="35"/>
      <c r="E1497" s="39"/>
      <c r="G1497" s="40"/>
      <c r="H1497" s="14"/>
      <c r="I1497" s="17"/>
      <c r="J1497" s="10"/>
      <c r="M1497" s="39"/>
      <c r="O1497" s="39"/>
      <c r="Q1497" s="39"/>
      <c r="R1497" s="28"/>
      <c r="S1497" s="28"/>
      <c r="T1497" s="28"/>
      <c r="U1497" s="4"/>
      <c r="V1497" s="3"/>
      <c r="W1497" s="3"/>
    </row>
    <row r="1498" spans="1:23" s="5" customFormat="1">
      <c r="A1498" s="6"/>
      <c r="B1498" s="33"/>
      <c r="C1498" s="35"/>
      <c r="E1498" s="39"/>
      <c r="G1498" s="40"/>
      <c r="H1498" s="14"/>
      <c r="I1498" s="17"/>
      <c r="J1498" s="10"/>
      <c r="M1498" s="39"/>
      <c r="O1498" s="39"/>
      <c r="Q1498" s="39"/>
      <c r="R1498" s="28"/>
      <c r="S1498" s="28"/>
      <c r="T1498" s="28"/>
      <c r="U1498" s="4"/>
      <c r="V1498" s="3"/>
      <c r="W1498" s="3"/>
    </row>
    <row r="1499" spans="1:23" s="5" customFormat="1">
      <c r="A1499" s="6"/>
      <c r="B1499" s="33"/>
      <c r="C1499" s="35"/>
      <c r="E1499" s="39"/>
      <c r="G1499" s="40"/>
      <c r="H1499" s="15"/>
      <c r="I1499" s="17"/>
      <c r="J1499" s="10"/>
      <c r="M1499" s="39"/>
      <c r="O1499" s="39"/>
      <c r="Q1499" s="39"/>
      <c r="R1499" s="28"/>
      <c r="S1499" s="28"/>
      <c r="T1499" s="28"/>
      <c r="U1499" s="4"/>
      <c r="V1499" s="3"/>
      <c r="W1499" s="3"/>
    </row>
    <row r="1500" spans="1:23" s="5" customFormat="1">
      <c r="A1500" s="6"/>
      <c r="B1500" s="33"/>
      <c r="C1500" s="35"/>
      <c r="E1500" s="39"/>
      <c r="G1500" s="40"/>
      <c r="H1500" s="15"/>
      <c r="I1500" s="17"/>
      <c r="J1500" s="10"/>
      <c r="M1500" s="39"/>
      <c r="O1500" s="39"/>
      <c r="Q1500" s="39"/>
      <c r="R1500" s="28"/>
      <c r="S1500" s="28"/>
      <c r="T1500" s="28"/>
      <c r="U1500" s="4"/>
      <c r="V1500" s="3"/>
      <c r="W1500" s="3"/>
    </row>
    <row r="1501" spans="1:23" s="5" customFormat="1">
      <c r="A1501" s="6"/>
      <c r="B1501" s="33"/>
      <c r="C1501" s="35"/>
      <c r="E1501" s="39"/>
      <c r="G1501" s="40"/>
      <c r="H1501" s="15"/>
      <c r="I1501" s="17"/>
      <c r="J1501" s="10"/>
      <c r="M1501" s="39"/>
      <c r="O1501" s="39"/>
      <c r="Q1501" s="39"/>
      <c r="R1501" s="28"/>
      <c r="S1501" s="28"/>
      <c r="T1501" s="28"/>
      <c r="U1501" s="4"/>
      <c r="V1501" s="3"/>
      <c r="W1501" s="3"/>
    </row>
    <row r="1502" spans="1:23" s="5" customFormat="1">
      <c r="A1502" s="6"/>
      <c r="B1502" s="33"/>
      <c r="C1502" s="35"/>
      <c r="E1502" s="39"/>
      <c r="G1502" s="40"/>
      <c r="H1502" s="14"/>
      <c r="I1502" s="17"/>
      <c r="J1502" s="10"/>
      <c r="M1502" s="39"/>
      <c r="O1502" s="39"/>
      <c r="Q1502" s="39"/>
      <c r="R1502" s="28"/>
      <c r="S1502" s="28"/>
      <c r="T1502" s="28"/>
      <c r="U1502" s="4"/>
      <c r="V1502" s="3"/>
      <c r="W1502" s="3"/>
    </row>
    <row r="1503" spans="1:23" s="5" customFormat="1">
      <c r="A1503" s="6"/>
      <c r="B1503" s="33"/>
      <c r="C1503" s="35"/>
      <c r="E1503" s="39"/>
      <c r="G1503" s="40"/>
      <c r="H1503" s="15"/>
      <c r="I1503" s="17"/>
      <c r="J1503" s="10"/>
      <c r="M1503" s="39"/>
      <c r="O1503" s="39"/>
      <c r="Q1503" s="39"/>
      <c r="R1503" s="28"/>
      <c r="S1503" s="28"/>
      <c r="T1503" s="28"/>
      <c r="U1503" s="4"/>
      <c r="V1503" s="3"/>
      <c r="W1503" s="3"/>
    </row>
    <row r="1504" spans="1:23" s="5" customFormat="1">
      <c r="A1504" s="6"/>
      <c r="B1504" s="33"/>
      <c r="C1504" s="35"/>
      <c r="E1504" s="39"/>
      <c r="G1504" s="40"/>
      <c r="H1504" s="15"/>
      <c r="I1504" s="17"/>
      <c r="J1504" s="10"/>
      <c r="M1504" s="39"/>
      <c r="O1504" s="39"/>
      <c r="Q1504" s="39"/>
      <c r="R1504" s="28"/>
      <c r="S1504" s="28"/>
      <c r="T1504" s="28"/>
      <c r="U1504" s="4"/>
      <c r="V1504" s="3"/>
      <c r="W1504" s="3"/>
    </row>
    <row r="1505" spans="1:23" s="5" customFormat="1">
      <c r="A1505" s="6"/>
      <c r="B1505" s="33"/>
      <c r="C1505" s="35"/>
      <c r="E1505" s="39"/>
      <c r="G1505" s="40"/>
      <c r="H1505" s="15"/>
      <c r="I1505" s="17"/>
      <c r="J1505" s="10"/>
      <c r="M1505" s="39"/>
      <c r="O1505" s="39"/>
      <c r="Q1505" s="39"/>
      <c r="R1505" s="28"/>
      <c r="S1505" s="28"/>
      <c r="T1505" s="28"/>
      <c r="U1505" s="4"/>
      <c r="V1505" s="3"/>
      <c r="W1505" s="3"/>
    </row>
    <row r="1506" spans="1:23" s="5" customFormat="1">
      <c r="A1506" s="6"/>
      <c r="B1506" s="33"/>
      <c r="C1506" s="35"/>
      <c r="E1506" s="39"/>
      <c r="G1506" s="40"/>
      <c r="H1506" s="15"/>
      <c r="I1506" s="17"/>
      <c r="J1506" s="10"/>
      <c r="M1506" s="39"/>
      <c r="O1506" s="39"/>
      <c r="Q1506" s="39"/>
      <c r="R1506" s="28"/>
      <c r="S1506" s="28"/>
      <c r="T1506" s="28"/>
      <c r="U1506" s="4"/>
      <c r="V1506" s="3"/>
      <c r="W1506" s="3"/>
    </row>
    <row r="1507" spans="1:23" s="5" customFormat="1">
      <c r="A1507" s="6"/>
      <c r="B1507" s="33"/>
      <c r="C1507" s="35"/>
      <c r="E1507" s="39"/>
      <c r="G1507" s="40"/>
      <c r="H1507" s="14"/>
      <c r="I1507" s="17"/>
      <c r="J1507" s="10"/>
      <c r="M1507" s="39"/>
      <c r="O1507" s="39"/>
      <c r="Q1507" s="39"/>
      <c r="R1507" s="28"/>
      <c r="S1507" s="29"/>
      <c r="T1507" s="28"/>
      <c r="U1507" s="4"/>
      <c r="V1507" s="3"/>
      <c r="W1507" s="3"/>
    </row>
    <row r="1508" spans="1:23" s="5" customFormat="1">
      <c r="A1508" s="20"/>
      <c r="B1508" s="33"/>
      <c r="C1508" s="35"/>
      <c r="E1508" s="39"/>
      <c r="F1508" s="1"/>
      <c r="G1508" s="40"/>
      <c r="H1508" s="12"/>
      <c r="I1508" s="9"/>
      <c r="J1508" s="12"/>
      <c r="M1508" s="39"/>
      <c r="O1508" s="39"/>
      <c r="Q1508" s="39"/>
      <c r="R1508" s="29"/>
      <c r="S1508" s="28"/>
      <c r="T1508" s="28"/>
      <c r="U1508" s="4"/>
      <c r="V1508" s="3"/>
      <c r="W1508" s="3"/>
    </row>
    <row r="1509" spans="1:23" s="5" customFormat="1">
      <c r="A1509" s="6"/>
      <c r="B1509" s="33"/>
      <c r="C1509" s="35"/>
      <c r="E1509" s="39"/>
      <c r="G1509" s="40"/>
      <c r="H1509" s="14"/>
      <c r="I1509" s="17"/>
      <c r="J1509" s="10"/>
      <c r="M1509" s="39"/>
      <c r="O1509" s="39"/>
      <c r="Q1509" s="39"/>
      <c r="R1509" s="28"/>
      <c r="S1509" s="28"/>
      <c r="T1509" s="28"/>
      <c r="U1509" s="4"/>
      <c r="V1509" s="3"/>
      <c r="W1509" s="3"/>
    </row>
    <row r="1510" spans="1:23" s="5" customFormat="1">
      <c r="A1510" s="6"/>
      <c r="B1510" s="33"/>
      <c r="C1510" s="35"/>
      <c r="E1510" s="39"/>
      <c r="G1510" s="40"/>
      <c r="H1510" s="14"/>
      <c r="I1510" s="17"/>
      <c r="J1510" s="10"/>
      <c r="M1510" s="39"/>
      <c r="O1510" s="39"/>
      <c r="Q1510" s="39"/>
      <c r="R1510" s="28"/>
      <c r="S1510" s="28"/>
      <c r="T1510" s="28"/>
      <c r="U1510" s="4"/>
      <c r="V1510" s="3"/>
      <c r="W1510" s="3"/>
    </row>
    <row r="1511" spans="1:23" s="5" customFormat="1">
      <c r="A1511" s="6"/>
      <c r="B1511" s="33"/>
      <c r="C1511" s="35"/>
      <c r="E1511" s="39"/>
      <c r="G1511" s="40"/>
      <c r="H1511" s="15"/>
      <c r="I1511" s="17"/>
      <c r="J1511" s="10"/>
      <c r="M1511" s="39"/>
      <c r="O1511" s="39"/>
      <c r="Q1511" s="39"/>
      <c r="R1511" s="28"/>
      <c r="S1511" s="28"/>
      <c r="T1511" s="28"/>
      <c r="U1511" s="4"/>
      <c r="V1511" s="3"/>
      <c r="W1511" s="3"/>
    </row>
    <row r="1512" spans="1:23" s="5" customFormat="1">
      <c r="A1512" s="6"/>
      <c r="B1512" s="33"/>
      <c r="C1512" s="35"/>
      <c r="E1512" s="39"/>
      <c r="G1512" s="40"/>
      <c r="H1512" s="14"/>
      <c r="I1512" s="17"/>
      <c r="J1512" s="10"/>
      <c r="M1512" s="39"/>
      <c r="O1512" s="39"/>
      <c r="Q1512" s="39"/>
      <c r="R1512" s="28"/>
      <c r="S1512" s="28"/>
      <c r="T1512" s="28"/>
      <c r="U1512" s="4"/>
      <c r="V1512" s="3"/>
      <c r="W1512" s="3"/>
    </row>
    <row r="1513" spans="1:23" s="5" customFormat="1">
      <c r="A1513" s="6"/>
      <c r="B1513" s="33"/>
      <c r="C1513" s="35"/>
      <c r="E1513" s="39"/>
      <c r="G1513" s="40"/>
      <c r="H1513" s="15"/>
      <c r="I1513" s="17"/>
      <c r="J1513" s="10"/>
      <c r="M1513" s="39"/>
      <c r="O1513" s="39"/>
      <c r="Q1513" s="39"/>
      <c r="R1513" s="28"/>
      <c r="S1513" s="28"/>
      <c r="T1513" s="28"/>
      <c r="U1513" s="4"/>
      <c r="V1513" s="3"/>
      <c r="W1513" s="3"/>
    </row>
    <row r="1514" spans="1:23" s="5" customFormat="1">
      <c r="A1514" s="6"/>
      <c r="B1514" s="33"/>
      <c r="C1514" s="35"/>
      <c r="E1514" s="39"/>
      <c r="G1514" s="40"/>
      <c r="H1514" s="14"/>
      <c r="I1514" s="17"/>
      <c r="J1514" s="10"/>
      <c r="M1514" s="39"/>
      <c r="O1514" s="39"/>
      <c r="Q1514" s="39"/>
      <c r="R1514" s="28"/>
      <c r="S1514" s="28"/>
      <c r="T1514" s="28"/>
      <c r="U1514" s="4"/>
      <c r="V1514" s="3"/>
      <c r="W1514" s="3"/>
    </row>
    <row r="1515" spans="1:23" s="5" customFormat="1">
      <c r="A1515" s="6"/>
      <c r="B1515" s="33"/>
      <c r="C1515" s="35"/>
      <c r="E1515" s="39"/>
      <c r="G1515" s="40"/>
      <c r="H1515" s="14"/>
      <c r="I1515" s="17"/>
      <c r="J1515" s="10"/>
      <c r="M1515" s="39"/>
      <c r="O1515" s="39"/>
      <c r="Q1515" s="39"/>
      <c r="R1515" s="28"/>
      <c r="S1515" s="28"/>
      <c r="T1515" s="28"/>
      <c r="U1515" s="4"/>
      <c r="V1515" s="3"/>
      <c r="W1515" s="3"/>
    </row>
    <row r="1516" spans="1:23" s="5" customFormat="1">
      <c r="A1516" s="6"/>
      <c r="B1516" s="33"/>
      <c r="C1516" s="35"/>
      <c r="E1516" s="39"/>
      <c r="G1516" s="40"/>
      <c r="H1516" s="14"/>
      <c r="I1516" s="17"/>
      <c r="J1516" s="10"/>
      <c r="M1516" s="39"/>
      <c r="O1516" s="39"/>
      <c r="Q1516" s="39"/>
      <c r="R1516" s="28"/>
      <c r="S1516" s="28"/>
      <c r="T1516" s="28"/>
      <c r="U1516" s="4"/>
      <c r="V1516" s="3"/>
      <c r="W1516" s="3"/>
    </row>
    <row r="1517" spans="1:23" s="5" customFormat="1">
      <c r="A1517" s="6"/>
      <c r="B1517" s="33"/>
      <c r="C1517" s="35"/>
      <c r="E1517" s="39"/>
      <c r="G1517" s="40"/>
      <c r="H1517" s="14"/>
      <c r="I1517" s="17"/>
      <c r="J1517" s="10"/>
      <c r="M1517" s="39"/>
      <c r="O1517" s="39"/>
      <c r="Q1517" s="39"/>
      <c r="R1517" s="28"/>
      <c r="S1517" s="28"/>
      <c r="T1517" s="28"/>
      <c r="U1517" s="4"/>
      <c r="V1517" s="3"/>
      <c r="W1517" s="3"/>
    </row>
    <row r="1518" spans="1:23" s="5" customFormat="1">
      <c r="A1518" s="6"/>
      <c r="B1518" s="33"/>
      <c r="C1518" s="35"/>
      <c r="E1518" s="39"/>
      <c r="G1518" s="40"/>
      <c r="H1518" s="14"/>
      <c r="I1518" s="17"/>
      <c r="J1518" s="10"/>
      <c r="M1518" s="39"/>
      <c r="O1518" s="39"/>
      <c r="Q1518" s="39"/>
      <c r="R1518" s="28"/>
      <c r="S1518" s="28"/>
      <c r="T1518" s="28"/>
      <c r="U1518" s="4"/>
      <c r="V1518" s="3"/>
      <c r="W1518" s="3"/>
    </row>
    <row r="1519" spans="1:23" s="5" customFormat="1">
      <c r="A1519" s="6"/>
      <c r="B1519" s="33"/>
      <c r="C1519" s="35"/>
      <c r="E1519" s="39"/>
      <c r="G1519" s="40"/>
      <c r="H1519" s="14"/>
      <c r="I1519" s="17"/>
      <c r="J1519" s="10"/>
      <c r="M1519" s="39"/>
      <c r="O1519" s="39"/>
      <c r="Q1519" s="39"/>
      <c r="R1519" s="28"/>
      <c r="S1519" s="28"/>
      <c r="T1519" s="28"/>
      <c r="U1519" s="4"/>
      <c r="V1519" s="3"/>
      <c r="W1519" s="3"/>
    </row>
    <row r="1520" spans="1:23" s="5" customFormat="1">
      <c r="A1520" s="20"/>
      <c r="B1520" s="33"/>
      <c r="C1520" s="35"/>
      <c r="E1520" s="39"/>
      <c r="F1520" s="1"/>
      <c r="G1520" s="40"/>
      <c r="H1520" s="12"/>
      <c r="I1520" s="9"/>
      <c r="J1520" s="12"/>
      <c r="M1520" s="39"/>
      <c r="O1520" s="39"/>
      <c r="Q1520" s="39"/>
      <c r="R1520" s="29"/>
      <c r="S1520" s="28"/>
      <c r="T1520" s="28"/>
      <c r="U1520" s="4"/>
      <c r="V1520" s="3"/>
      <c r="W1520" s="3"/>
    </row>
    <row r="1521" spans="1:23" s="5" customFormat="1">
      <c r="A1521" s="6"/>
      <c r="B1521" s="33"/>
      <c r="C1521" s="35"/>
      <c r="E1521" s="39"/>
      <c r="G1521" s="40"/>
      <c r="H1521" s="14"/>
      <c r="I1521" s="17"/>
      <c r="J1521" s="10"/>
      <c r="M1521" s="39"/>
      <c r="O1521" s="39"/>
      <c r="Q1521" s="39"/>
      <c r="R1521" s="28"/>
      <c r="S1521" s="28"/>
      <c r="T1521" s="28"/>
      <c r="U1521" s="4"/>
      <c r="V1521" s="3"/>
      <c r="W1521" s="3"/>
    </row>
    <row r="1522" spans="1:23" s="5" customFormat="1">
      <c r="A1522" s="6"/>
      <c r="B1522" s="33"/>
      <c r="C1522" s="35"/>
      <c r="E1522" s="39"/>
      <c r="G1522" s="40"/>
      <c r="H1522" s="14"/>
      <c r="I1522" s="17"/>
      <c r="J1522" s="10"/>
      <c r="M1522" s="39"/>
      <c r="O1522" s="39"/>
      <c r="Q1522" s="39"/>
      <c r="R1522" s="28"/>
      <c r="S1522" s="28"/>
      <c r="T1522" s="28"/>
      <c r="U1522" s="4"/>
      <c r="V1522" s="3"/>
      <c r="W1522" s="3"/>
    </row>
    <row r="1523" spans="1:23" s="5" customFormat="1">
      <c r="A1523" s="6"/>
      <c r="B1523" s="33"/>
      <c r="C1523" s="35"/>
      <c r="E1523" s="39"/>
      <c r="G1523" s="40"/>
      <c r="H1523" s="14"/>
      <c r="I1523" s="17"/>
      <c r="J1523" s="10"/>
      <c r="M1523" s="39"/>
      <c r="O1523" s="39"/>
      <c r="Q1523" s="39"/>
      <c r="R1523" s="28"/>
      <c r="S1523" s="28"/>
      <c r="T1523" s="28"/>
      <c r="U1523" s="4"/>
      <c r="V1523" s="3"/>
      <c r="W1523" s="3"/>
    </row>
    <row r="1524" spans="1:23" s="5" customFormat="1">
      <c r="A1524" s="6"/>
      <c r="B1524" s="33"/>
      <c r="C1524" s="35"/>
      <c r="E1524" s="39"/>
      <c r="G1524" s="40"/>
      <c r="H1524" s="14"/>
      <c r="I1524" s="17"/>
      <c r="J1524" s="10"/>
      <c r="M1524" s="39"/>
      <c r="O1524" s="39"/>
      <c r="Q1524" s="39"/>
      <c r="R1524" s="28"/>
      <c r="S1524" s="28"/>
      <c r="T1524" s="28"/>
      <c r="U1524" s="4"/>
      <c r="V1524" s="3"/>
      <c r="W1524" s="3"/>
    </row>
    <row r="1525" spans="1:23" s="5" customFormat="1">
      <c r="A1525" s="6"/>
      <c r="B1525" s="33"/>
      <c r="C1525" s="35"/>
      <c r="E1525" s="39"/>
      <c r="G1525" s="40"/>
      <c r="H1525" s="14"/>
      <c r="I1525" s="17"/>
      <c r="J1525" s="10"/>
      <c r="M1525" s="39"/>
      <c r="O1525" s="39"/>
      <c r="Q1525" s="39"/>
      <c r="R1525" s="28"/>
      <c r="S1525" s="28"/>
      <c r="T1525" s="28"/>
      <c r="U1525" s="4"/>
      <c r="V1525" s="3"/>
      <c r="W1525" s="3"/>
    </row>
    <row r="1526" spans="1:23" s="5" customFormat="1">
      <c r="A1526" s="6"/>
      <c r="B1526" s="33"/>
      <c r="C1526" s="35"/>
      <c r="E1526" s="39"/>
      <c r="G1526" s="40"/>
      <c r="H1526" s="14"/>
      <c r="I1526" s="17"/>
      <c r="J1526" s="10"/>
      <c r="M1526" s="39"/>
      <c r="O1526" s="39"/>
      <c r="Q1526" s="39"/>
      <c r="R1526" s="28"/>
      <c r="S1526" s="28"/>
      <c r="T1526" s="28"/>
      <c r="U1526" s="4"/>
      <c r="V1526" s="3"/>
      <c r="W1526" s="3"/>
    </row>
    <row r="1527" spans="1:23" s="5" customFormat="1">
      <c r="A1527" s="6"/>
      <c r="B1527" s="33"/>
      <c r="C1527" s="35"/>
      <c r="E1527" s="39"/>
      <c r="G1527" s="40"/>
      <c r="H1527" s="14"/>
      <c r="I1527" s="17"/>
      <c r="J1527" s="10"/>
      <c r="M1527" s="39"/>
      <c r="O1527" s="39"/>
      <c r="Q1527" s="39"/>
      <c r="R1527" s="28"/>
      <c r="S1527" s="28"/>
      <c r="T1527" s="28"/>
      <c r="U1527" s="4"/>
      <c r="V1527" s="3"/>
      <c r="W1527" s="3"/>
    </row>
    <row r="1528" spans="1:23" s="5" customFormat="1">
      <c r="A1528" s="6"/>
      <c r="B1528" s="33"/>
      <c r="C1528" s="35"/>
      <c r="E1528" s="39"/>
      <c r="G1528" s="40"/>
      <c r="H1528" s="14"/>
      <c r="I1528" s="17"/>
      <c r="J1528" s="10"/>
      <c r="M1528" s="39"/>
      <c r="O1528" s="39"/>
      <c r="Q1528" s="39"/>
      <c r="R1528" s="28"/>
      <c r="S1528" s="28"/>
      <c r="T1528" s="28"/>
      <c r="U1528" s="4"/>
      <c r="V1528" s="3"/>
      <c r="W1528" s="3"/>
    </row>
    <row r="1529" spans="1:23" s="5" customFormat="1">
      <c r="A1529" s="6"/>
      <c r="B1529" s="33"/>
      <c r="C1529" s="35"/>
      <c r="E1529" s="39"/>
      <c r="G1529" s="40"/>
      <c r="H1529" s="14"/>
      <c r="I1529" s="17"/>
      <c r="J1529" s="10"/>
      <c r="M1529" s="39"/>
      <c r="O1529" s="39"/>
      <c r="Q1529" s="39"/>
      <c r="R1529" s="28"/>
      <c r="S1529" s="28"/>
      <c r="T1529" s="28"/>
      <c r="U1529" s="4"/>
      <c r="V1529" s="3"/>
      <c r="W1529" s="3"/>
    </row>
    <row r="1530" spans="1:23" s="5" customFormat="1">
      <c r="A1530" s="6"/>
      <c r="B1530" s="33"/>
      <c r="C1530" s="35"/>
      <c r="E1530" s="39"/>
      <c r="G1530" s="40"/>
      <c r="H1530" s="14"/>
      <c r="I1530" s="17"/>
      <c r="J1530" s="10"/>
      <c r="M1530" s="39"/>
      <c r="O1530" s="39"/>
      <c r="Q1530" s="39"/>
      <c r="R1530" s="28"/>
      <c r="S1530" s="28"/>
      <c r="T1530" s="28"/>
      <c r="U1530" s="4"/>
      <c r="V1530" s="3"/>
      <c r="W1530" s="3"/>
    </row>
    <row r="1531" spans="1:23" s="5" customFormat="1">
      <c r="A1531" s="6"/>
      <c r="B1531" s="33"/>
      <c r="C1531" s="35"/>
      <c r="E1531" s="39"/>
      <c r="G1531" s="40"/>
      <c r="H1531" s="14"/>
      <c r="I1531" s="17"/>
      <c r="J1531" s="10"/>
      <c r="M1531" s="39"/>
      <c r="O1531" s="39"/>
      <c r="Q1531" s="39"/>
      <c r="R1531" s="28"/>
      <c r="S1531" s="28"/>
      <c r="T1531" s="28"/>
      <c r="U1531" s="4"/>
      <c r="V1531" s="3"/>
      <c r="W1531" s="3"/>
    </row>
    <row r="1532" spans="1:23" s="5" customFormat="1">
      <c r="A1532" s="6"/>
      <c r="B1532" s="33"/>
      <c r="C1532" s="35"/>
      <c r="E1532" s="39"/>
      <c r="G1532" s="40"/>
      <c r="H1532" s="14"/>
      <c r="I1532" s="17"/>
      <c r="J1532" s="10"/>
      <c r="M1532" s="39"/>
      <c r="O1532" s="39"/>
      <c r="Q1532" s="39"/>
      <c r="R1532" s="28"/>
      <c r="S1532" s="28"/>
      <c r="T1532" s="28"/>
      <c r="U1532" s="4"/>
      <c r="V1532" s="3"/>
      <c r="W1532" s="3"/>
    </row>
    <row r="1533" spans="1:23" s="5" customFormat="1">
      <c r="A1533" s="6"/>
      <c r="B1533" s="33"/>
      <c r="C1533" s="35"/>
      <c r="E1533" s="39"/>
      <c r="G1533" s="40"/>
      <c r="H1533" s="14"/>
      <c r="I1533" s="17"/>
      <c r="J1533" s="10"/>
      <c r="M1533" s="39"/>
      <c r="O1533" s="39"/>
      <c r="Q1533" s="39"/>
      <c r="R1533" s="28"/>
      <c r="S1533" s="28"/>
      <c r="T1533" s="28"/>
      <c r="U1533" s="4"/>
      <c r="V1533" s="3"/>
      <c r="W1533" s="3"/>
    </row>
    <row r="1534" spans="1:23" s="5" customFormat="1">
      <c r="A1534" s="6"/>
      <c r="B1534" s="33"/>
      <c r="C1534" s="35"/>
      <c r="E1534" s="39"/>
      <c r="G1534" s="40"/>
      <c r="H1534" s="14"/>
      <c r="I1534" s="17"/>
      <c r="J1534" s="10"/>
      <c r="M1534" s="39"/>
      <c r="O1534" s="39"/>
      <c r="Q1534" s="39"/>
      <c r="R1534" s="28"/>
      <c r="S1534" s="28"/>
      <c r="T1534" s="28"/>
      <c r="U1534" s="4"/>
      <c r="V1534" s="3"/>
      <c r="W1534" s="3"/>
    </row>
    <row r="1535" spans="1:23" s="5" customFormat="1">
      <c r="A1535" s="6"/>
      <c r="B1535" s="33"/>
      <c r="C1535" s="35"/>
      <c r="E1535" s="39"/>
      <c r="G1535" s="40"/>
      <c r="H1535" s="14"/>
      <c r="I1535" s="17"/>
      <c r="J1535" s="10"/>
      <c r="M1535" s="39"/>
      <c r="O1535" s="39"/>
      <c r="Q1535" s="39"/>
      <c r="R1535" s="28"/>
      <c r="S1535" s="28"/>
      <c r="T1535" s="28"/>
      <c r="U1535" s="4"/>
      <c r="V1535" s="3"/>
      <c r="W1535" s="3"/>
    </row>
    <row r="1536" spans="1:23" s="5" customFormat="1">
      <c r="A1536" s="6"/>
      <c r="B1536" s="33"/>
      <c r="C1536" s="35"/>
      <c r="E1536" s="39"/>
      <c r="G1536" s="40"/>
      <c r="H1536" s="14"/>
      <c r="I1536" s="17"/>
      <c r="J1536" s="10"/>
      <c r="M1536" s="39"/>
      <c r="O1536" s="39"/>
      <c r="Q1536" s="39"/>
      <c r="R1536" s="28"/>
      <c r="S1536" s="28"/>
      <c r="T1536" s="28"/>
      <c r="U1536" s="4"/>
      <c r="V1536" s="3"/>
      <c r="W1536" s="3"/>
    </row>
    <row r="1537" spans="1:23" s="5" customFormat="1">
      <c r="A1537" s="6"/>
      <c r="B1537" s="33"/>
      <c r="C1537" s="35"/>
      <c r="E1537" s="39"/>
      <c r="G1537" s="40"/>
      <c r="H1537" s="15"/>
      <c r="I1537" s="17"/>
      <c r="J1537" s="10"/>
      <c r="M1537" s="39"/>
      <c r="O1537" s="39"/>
      <c r="Q1537" s="39"/>
      <c r="R1537" s="28"/>
      <c r="S1537" s="28"/>
      <c r="T1537" s="28"/>
      <c r="U1537" s="4"/>
      <c r="V1537" s="3"/>
      <c r="W1537" s="3"/>
    </row>
    <row r="1538" spans="1:23" s="5" customFormat="1">
      <c r="A1538" s="6"/>
      <c r="B1538" s="33"/>
      <c r="C1538" s="35"/>
      <c r="E1538" s="39"/>
      <c r="G1538" s="40"/>
      <c r="H1538" s="15"/>
      <c r="I1538" s="17"/>
      <c r="J1538" s="10"/>
      <c r="M1538" s="39"/>
      <c r="O1538" s="39"/>
      <c r="Q1538" s="39"/>
      <c r="R1538" s="28"/>
      <c r="S1538" s="28"/>
      <c r="T1538" s="28"/>
      <c r="U1538" s="4"/>
      <c r="V1538" s="3"/>
      <c r="W1538" s="3"/>
    </row>
    <row r="1539" spans="1:23" s="5" customFormat="1">
      <c r="A1539" s="6"/>
      <c r="B1539" s="33"/>
      <c r="C1539" s="35"/>
      <c r="E1539" s="39"/>
      <c r="G1539" s="40"/>
      <c r="H1539" s="15"/>
      <c r="I1539" s="17"/>
      <c r="J1539" s="10"/>
      <c r="M1539" s="39"/>
      <c r="O1539" s="39"/>
      <c r="Q1539" s="39"/>
      <c r="R1539" s="28"/>
      <c r="S1539" s="28"/>
      <c r="T1539" s="28"/>
      <c r="U1539" s="4"/>
      <c r="V1539" s="3"/>
      <c r="W1539" s="3"/>
    </row>
    <row r="1540" spans="1:23" s="5" customFormat="1">
      <c r="A1540" s="6"/>
      <c r="B1540" s="33"/>
      <c r="C1540" s="35"/>
      <c r="E1540" s="39"/>
      <c r="G1540" s="40"/>
      <c r="H1540" s="15"/>
      <c r="I1540" s="17"/>
      <c r="J1540" s="10"/>
      <c r="M1540" s="39"/>
      <c r="O1540" s="39"/>
      <c r="Q1540" s="39"/>
      <c r="R1540" s="28"/>
      <c r="S1540" s="28"/>
      <c r="T1540" s="28"/>
      <c r="U1540" s="4"/>
      <c r="V1540" s="3"/>
      <c r="W1540" s="3"/>
    </row>
    <row r="1541" spans="1:23" s="5" customFormat="1">
      <c r="A1541" s="6"/>
      <c r="B1541" s="33"/>
      <c r="C1541" s="35"/>
      <c r="E1541" s="39"/>
      <c r="G1541" s="40"/>
      <c r="H1541" s="14"/>
      <c r="I1541" s="17"/>
      <c r="J1541" s="10"/>
      <c r="M1541" s="39"/>
      <c r="O1541" s="39"/>
      <c r="Q1541" s="39"/>
      <c r="R1541" s="28"/>
      <c r="S1541" s="28"/>
      <c r="T1541" s="28"/>
      <c r="U1541" s="4"/>
      <c r="V1541" s="3"/>
      <c r="W1541" s="3"/>
    </row>
    <row r="1542" spans="1:23" s="5" customFormat="1">
      <c r="A1542" s="6"/>
      <c r="B1542" s="33"/>
      <c r="C1542" s="35"/>
      <c r="E1542" s="39"/>
      <c r="G1542" s="40"/>
      <c r="H1542" s="15"/>
      <c r="I1542" s="17"/>
      <c r="J1542" s="10"/>
      <c r="M1542" s="39"/>
      <c r="O1542" s="39"/>
      <c r="Q1542" s="39"/>
      <c r="R1542" s="28"/>
      <c r="S1542" s="28"/>
      <c r="T1542" s="28"/>
      <c r="U1542" s="4"/>
      <c r="V1542" s="3"/>
      <c r="W1542" s="3"/>
    </row>
    <row r="1543" spans="1:23" s="5" customFormat="1">
      <c r="A1543" s="6"/>
      <c r="B1543" s="33"/>
      <c r="C1543" s="35"/>
      <c r="E1543" s="39"/>
      <c r="G1543" s="40"/>
      <c r="H1543" s="15"/>
      <c r="I1543" s="17"/>
      <c r="J1543" s="10"/>
      <c r="M1543" s="39"/>
      <c r="O1543" s="39"/>
      <c r="Q1543" s="39"/>
      <c r="R1543" s="28"/>
      <c r="S1543" s="28"/>
      <c r="T1543" s="28"/>
      <c r="U1543" s="4"/>
      <c r="V1543" s="3"/>
      <c r="W1543" s="3"/>
    </row>
    <row r="1544" spans="1:23" s="5" customFormat="1">
      <c r="A1544" s="6"/>
      <c r="B1544" s="33"/>
      <c r="C1544" s="35"/>
      <c r="E1544" s="39"/>
      <c r="G1544" s="40"/>
      <c r="H1544" s="14"/>
      <c r="I1544" s="17"/>
      <c r="J1544" s="10"/>
      <c r="M1544" s="39"/>
      <c r="O1544" s="39"/>
      <c r="Q1544" s="39"/>
      <c r="R1544" s="28"/>
      <c r="S1544" s="28"/>
      <c r="T1544" s="28"/>
      <c r="U1544" s="4"/>
      <c r="V1544" s="3"/>
      <c r="W1544" s="3"/>
    </row>
    <row r="1545" spans="1:23" s="5" customFormat="1">
      <c r="A1545" s="6"/>
      <c r="B1545" s="33"/>
      <c r="C1545" s="35"/>
      <c r="E1545" s="39"/>
      <c r="G1545" s="40"/>
      <c r="H1545" s="15"/>
      <c r="I1545" s="17"/>
      <c r="J1545" s="10"/>
      <c r="M1545" s="39"/>
      <c r="O1545" s="39"/>
      <c r="Q1545" s="39"/>
      <c r="R1545" s="28"/>
      <c r="S1545" s="28"/>
      <c r="T1545" s="28"/>
      <c r="U1545" s="4"/>
      <c r="V1545" s="3"/>
      <c r="W1545" s="3"/>
    </row>
    <row r="1546" spans="1:23" s="5" customFormat="1">
      <c r="A1546" s="6"/>
      <c r="B1546" s="33"/>
      <c r="C1546" s="35"/>
      <c r="E1546" s="39"/>
      <c r="G1546" s="40"/>
      <c r="H1546" s="14"/>
      <c r="I1546" s="17"/>
      <c r="J1546" s="10"/>
      <c r="M1546" s="39"/>
      <c r="O1546" s="39"/>
      <c r="Q1546" s="39"/>
      <c r="R1546" s="28"/>
      <c r="S1546" s="28"/>
      <c r="T1546" s="28"/>
      <c r="U1546" s="4"/>
      <c r="V1546" s="3"/>
      <c r="W1546" s="3"/>
    </row>
    <row r="1547" spans="1:23" s="5" customFormat="1">
      <c r="A1547" s="6"/>
      <c r="B1547" s="33"/>
      <c r="C1547" s="35"/>
      <c r="E1547" s="39"/>
      <c r="G1547" s="40"/>
      <c r="H1547" s="14"/>
      <c r="I1547" s="17"/>
      <c r="J1547" s="10"/>
      <c r="M1547" s="39"/>
      <c r="O1547" s="39"/>
      <c r="Q1547" s="39"/>
      <c r="R1547" s="28"/>
      <c r="S1547" s="28"/>
      <c r="T1547" s="28"/>
      <c r="U1547" s="4"/>
      <c r="V1547" s="3"/>
      <c r="W1547" s="3"/>
    </row>
    <row r="1548" spans="1:23" s="5" customFormat="1">
      <c r="A1548" s="6"/>
      <c r="B1548" s="33"/>
      <c r="C1548" s="35"/>
      <c r="E1548" s="39"/>
      <c r="G1548" s="40"/>
      <c r="H1548" s="15"/>
      <c r="I1548" s="17"/>
      <c r="J1548" s="10"/>
      <c r="M1548" s="39"/>
      <c r="O1548" s="39"/>
      <c r="Q1548" s="39"/>
      <c r="R1548" s="28"/>
      <c r="S1548" s="28"/>
      <c r="T1548" s="28"/>
      <c r="U1548" s="4"/>
      <c r="V1548" s="3"/>
      <c r="W1548" s="3"/>
    </row>
    <row r="1549" spans="1:23" s="5" customFormat="1">
      <c r="A1549" s="6"/>
      <c r="B1549" s="33"/>
      <c r="C1549" s="35"/>
      <c r="E1549" s="39"/>
      <c r="G1549" s="40"/>
      <c r="H1549" s="14"/>
      <c r="I1549" s="17"/>
      <c r="J1549" s="10"/>
      <c r="M1549" s="39"/>
      <c r="O1549" s="39"/>
      <c r="Q1549" s="39"/>
      <c r="R1549" s="28"/>
      <c r="S1549" s="28"/>
      <c r="T1549" s="28"/>
      <c r="U1549" s="4"/>
      <c r="V1549" s="3"/>
      <c r="W1549" s="3"/>
    </row>
    <row r="1550" spans="1:23" s="5" customFormat="1">
      <c r="A1550" s="6"/>
      <c r="B1550" s="33"/>
      <c r="C1550" s="35"/>
      <c r="E1550" s="39"/>
      <c r="G1550" s="40"/>
      <c r="H1550" s="14"/>
      <c r="I1550" s="17"/>
      <c r="J1550" s="10"/>
      <c r="M1550" s="39"/>
      <c r="O1550" s="39"/>
      <c r="Q1550" s="39"/>
      <c r="R1550" s="28"/>
      <c r="S1550" s="28"/>
      <c r="T1550" s="28"/>
      <c r="U1550" s="4"/>
      <c r="V1550" s="3"/>
      <c r="W1550" s="3"/>
    </row>
    <row r="1551" spans="1:23" s="5" customFormat="1">
      <c r="A1551" s="6"/>
      <c r="B1551" s="33"/>
      <c r="C1551" s="35"/>
      <c r="E1551" s="39"/>
      <c r="G1551" s="40"/>
      <c r="H1551" s="14"/>
      <c r="I1551" s="17"/>
      <c r="J1551" s="10"/>
      <c r="M1551" s="39"/>
      <c r="O1551" s="39"/>
      <c r="Q1551" s="39"/>
      <c r="R1551" s="28"/>
      <c r="S1551" s="28"/>
      <c r="T1551" s="28"/>
      <c r="U1551" s="4"/>
      <c r="V1551" s="3"/>
      <c r="W1551" s="3"/>
    </row>
    <row r="1552" spans="1:23" s="5" customFormat="1">
      <c r="A1552" s="6"/>
      <c r="B1552" s="33"/>
      <c r="C1552" s="35"/>
      <c r="E1552" s="39"/>
      <c r="G1552" s="40"/>
      <c r="H1552" s="14"/>
      <c r="I1552" s="17"/>
      <c r="J1552" s="10"/>
      <c r="M1552" s="39"/>
      <c r="O1552" s="39"/>
      <c r="Q1552" s="39"/>
      <c r="R1552" s="28"/>
      <c r="S1552" s="28"/>
      <c r="T1552" s="28"/>
      <c r="U1552" s="4"/>
      <c r="V1552" s="3"/>
      <c r="W1552" s="3"/>
    </row>
    <row r="1553" spans="1:23" s="5" customFormat="1">
      <c r="A1553" s="6"/>
      <c r="B1553" s="33"/>
      <c r="C1553" s="35"/>
      <c r="E1553" s="39"/>
      <c r="G1553" s="40"/>
      <c r="H1553" s="15"/>
      <c r="I1553" s="17"/>
      <c r="J1553" s="10"/>
      <c r="M1553" s="39"/>
      <c r="O1553" s="39"/>
      <c r="Q1553" s="39"/>
      <c r="R1553" s="28"/>
      <c r="S1553" s="28"/>
      <c r="T1553" s="28"/>
      <c r="U1553" s="4"/>
      <c r="V1553" s="3"/>
      <c r="W1553" s="3"/>
    </row>
    <row r="1554" spans="1:23" s="5" customFormat="1">
      <c r="A1554" s="6"/>
      <c r="B1554" s="33"/>
      <c r="C1554" s="35"/>
      <c r="E1554" s="39"/>
      <c r="G1554" s="40"/>
      <c r="H1554" s="14"/>
      <c r="I1554" s="17"/>
      <c r="J1554" s="10"/>
      <c r="M1554" s="39"/>
      <c r="O1554" s="39"/>
      <c r="Q1554" s="39"/>
      <c r="R1554" s="28"/>
      <c r="S1554" s="28"/>
      <c r="T1554" s="28"/>
      <c r="U1554" s="4"/>
      <c r="V1554" s="3"/>
      <c r="W1554" s="3"/>
    </row>
    <row r="1555" spans="1:23" s="5" customFormat="1">
      <c r="A1555" s="6"/>
      <c r="B1555" s="33"/>
      <c r="C1555" s="35"/>
      <c r="E1555" s="39"/>
      <c r="G1555" s="40"/>
      <c r="H1555" s="15"/>
      <c r="I1555" s="17"/>
      <c r="J1555" s="10"/>
      <c r="M1555" s="39"/>
      <c r="O1555" s="39"/>
      <c r="Q1555" s="39"/>
      <c r="R1555" s="28"/>
      <c r="S1555" s="28"/>
      <c r="T1555" s="28"/>
      <c r="U1555" s="4"/>
      <c r="V1555" s="3"/>
      <c r="W1555" s="3"/>
    </row>
    <row r="1556" spans="1:23" s="5" customFormat="1">
      <c r="A1556" s="6"/>
      <c r="B1556" s="33"/>
      <c r="C1556" s="35"/>
      <c r="E1556" s="39"/>
      <c r="G1556" s="40"/>
      <c r="H1556" s="14"/>
      <c r="I1556" s="17"/>
      <c r="J1556" s="10"/>
      <c r="M1556" s="39"/>
      <c r="O1556" s="39"/>
      <c r="Q1556" s="39"/>
      <c r="R1556" s="28"/>
      <c r="S1556" s="28"/>
      <c r="T1556" s="28"/>
      <c r="U1556" s="4"/>
      <c r="V1556" s="3"/>
      <c r="W1556" s="3"/>
    </row>
    <row r="1557" spans="1:23" s="5" customFormat="1">
      <c r="A1557" s="6"/>
      <c r="B1557" s="33"/>
      <c r="C1557" s="35"/>
      <c r="E1557" s="39"/>
      <c r="G1557" s="40"/>
      <c r="H1557" s="14"/>
      <c r="I1557" s="17"/>
      <c r="J1557" s="10"/>
      <c r="M1557" s="39"/>
      <c r="O1557" s="39"/>
      <c r="Q1557" s="39"/>
      <c r="R1557" s="28"/>
      <c r="S1557" s="28"/>
      <c r="T1557" s="28"/>
      <c r="U1557" s="4"/>
      <c r="V1557" s="3"/>
      <c r="W1557" s="3"/>
    </row>
    <row r="1558" spans="1:23" s="5" customFormat="1">
      <c r="A1558" s="6"/>
      <c r="B1558" s="33"/>
      <c r="C1558" s="35"/>
      <c r="E1558" s="39"/>
      <c r="G1558" s="40"/>
      <c r="H1558" s="14"/>
      <c r="I1558" s="17"/>
      <c r="J1558" s="10"/>
      <c r="M1558" s="39"/>
      <c r="O1558" s="39"/>
      <c r="Q1558" s="39"/>
      <c r="R1558" s="28"/>
      <c r="S1558" s="28"/>
      <c r="T1558" s="28"/>
      <c r="U1558" s="4"/>
      <c r="V1558" s="3"/>
      <c r="W1558" s="3"/>
    </row>
    <row r="1559" spans="1:23" s="5" customFormat="1">
      <c r="A1559" s="6"/>
      <c r="B1559" s="33"/>
      <c r="C1559" s="35"/>
      <c r="E1559" s="39"/>
      <c r="G1559" s="40"/>
      <c r="H1559" s="14"/>
      <c r="I1559" s="17"/>
      <c r="J1559" s="10"/>
      <c r="M1559" s="39"/>
      <c r="O1559" s="39"/>
      <c r="Q1559" s="39"/>
      <c r="R1559" s="28"/>
      <c r="S1559" s="28"/>
      <c r="T1559" s="28"/>
      <c r="U1559" s="4"/>
      <c r="V1559" s="3"/>
      <c r="W1559" s="3"/>
    </row>
    <row r="1560" spans="1:23" s="5" customFormat="1">
      <c r="A1560" s="6"/>
      <c r="B1560" s="33"/>
      <c r="C1560" s="35"/>
      <c r="E1560" s="39"/>
      <c r="G1560" s="40"/>
      <c r="H1560" s="14"/>
      <c r="I1560" s="17"/>
      <c r="J1560" s="10"/>
      <c r="M1560" s="39"/>
      <c r="O1560" s="39"/>
      <c r="Q1560" s="39"/>
      <c r="R1560" s="28"/>
      <c r="S1560" s="28"/>
      <c r="T1560" s="28"/>
      <c r="U1560" s="4"/>
      <c r="V1560" s="3"/>
      <c r="W1560" s="3"/>
    </row>
    <row r="1561" spans="1:23" s="5" customFormat="1">
      <c r="A1561" s="6"/>
      <c r="B1561" s="33"/>
      <c r="C1561" s="35"/>
      <c r="E1561" s="39"/>
      <c r="G1561" s="40"/>
      <c r="H1561" s="15"/>
      <c r="I1561" s="17"/>
      <c r="J1561" s="10"/>
      <c r="M1561" s="39"/>
      <c r="O1561" s="39"/>
      <c r="Q1561" s="39"/>
      <c r="R1561" s="28"/>
      <c r="S1561" s="28"/>
      <c r="T1561" s="28"/>
      <c r="U1561" s="4"/>
      <c r="V1561" s="3"/>
      <c r="W1561" s="3"/>
    </row>
    <row r="1562" spans="1:23" s="5" customFormat="1">
      <c r="A1562" s="6"/>
      <c r="B1562" s="33"/>
      <c r="C1562" s="35"/>
      <c r="E1562" s="39"/>
      <c r="G1562" s="40"/>
      <c r="H1562" s="15"/>
      <c r="I1562" s="17"/>
      <c r="J1562" s="10"/>
      <c r="M1562" s="39"/>
      <c r="O1562" s="39"/>
      <c r="Q1562" s="39"/>
      <c r="R1562" s="28"/>
      <c r="S1562" s="28"/>
      <c r="T1562" s="28"/>
      <c r="U1562" s="4"/>
      <c r="V1562" s="3"/>
      <c r="W1562" s="3"/>
    </row>
    <row r="1563" spans="1:23" s="5" customFormat="1">
      <c r="A1563" s="6"/>
      <c r="B1563" s="33"/>
      <c r="C1563" s="35"/>
      <c r="E1563" s="39"/>
      <c r="G1563" s="40"/>
      <c r="H1563" s="15"/>
      <c r="I1563" s="17"/>
      <c r="J1563" s="10"/>
      <c r="M1563" s="39"/>
      <c r="O1563" s="39"/>
      <c r="Q1563" s="39"/>
      <c r="R1563" s="28"/>
      <c r="S1563" s="28"/>
      <c r="T1563" s="28"/>
      <c r="U1563" s="4"/>
      <c r="V1563" s="3"/>
      <c r="W1563" s="3"/>
    </row>
    <row r="1564" spans="1:23" s="5" customFormat="1">
      <c r="A1564" s="6"/>
      <c r="B1564" s="33"/>
      <c r="C1564" s="35"/>
      <c r="E1564" s="39"/>
      <c r="G1564" s="40"/>
      <c r="H1564" s="15"/>
      <c r="I1564" s="17"/>
      <c r="J1564" s="10"/>
      <c r="M1564" s="39"/>
      <c r="O1564" s="39"/>
      <c r="Q1564" s="39"/>
      <c r="R1564" s="28"/>
      <c r="S1564" s="28"/>
      <c r="T1564" s="28"/>
      <c r="U1564" s="4"/>
      <c r="V1564" s="3"/>
      <c r="W1564" s="3"/>
    </row>
    <row r="1565" spans="1:23" s="5" customFormat="1">
      <c r="A1565" s="6"/>
      <c r="B1565" s="33"/>
      <c r="C1565" s="35"/>
      <c r="E1565" s="39"/>
      <c r="G1565" s="40"/>
      <c r="H1565" s="15"/>
      <c r="I1565" s="17"/>
      <c r="J1565" s="10"/>
      <c r="M1565" s="39"/>
      <c r="O1565" s="39"/>
      <c r="Q1565" s="39"/>
      <c r="R1565" s="28"/>
      <c r="S1565" s="28"/>
      <c r="T1565" s="28"/>
      <c r="U1565" s="4"/>
      <c r="V1565" s="3"/>
      <c r="W1565" s="3"/>
    </row>
    <row r="1566" spans="1:23" s="5" customFormat="1">
      <c r="A1566" s="6"/>
      <c r="B1566" s="33"/>
      <c r="C1566" s="35"/>
      <c r="E1566" s="39"/>
      <c r="G1566" s="40"/>
      <c r="H1566" s="14"/>
      <c r="I1566" s="17"/>
      <c r="J1566" s="10"/>
      <c r="M1566" s="39"/>
      <c r="O1566" s="39"/>
      <c r="Q1566" s="39"/>
      <c r="R1566" s="28"/>
      <c r="S1566" s="28"/>
      <c r="T1566" s="28"/>
      <c r="U1566" s="4"/>
      <c r="V1566" s="3"/>
      <c r="W1566" s="3"/>
    </row>
    <row r="1567" spans="1:23" s="5" customFormat="1">
      <c r="A1567" s="6"/>
      <c r="B1567" s="33"/>
      <c r="C1567" s="35"/>
      <c r="E1567" s="39"/>
      <c r="G1567" s="40"/>
      <c r="H1567" s="15"/>
      <c r="I1567" s="17"/>
      <c r="J1567" s="10"/>
      <c r="M1567" s="39"/>
      <c r="O1567" s="39"/>
      <c r="Q1567" s="39"/>
      <c r="R1567" s="28"/>
      <c r="S1567" s="28"/>
      <c r="T1567" s="28"/>
      <c r="U1567" s="4"/>
      <c r="V1567" s="3"/>
      <c r="W1567" s="3"/>
    </row>
    <row r="1568" spans="1:23" s="5" customFormat="1">
      <c r="A1568" s="6"/>
      <c r="B1568" s="33"/>
      <c r="C1568" s="35"/>
      <c r="E1568" s="39"/>
      <c r="G1568" s="40"/>
      <c r="H1568" s="14"/>
      <c r="I1568" s="17"/>
      <c r="J1568" s="10"/>
      <c r="M1568" s="39"/>
      <c r="O1568" s="39"/>
      <c r="Q1568" s="39"/>
      <c r="R1568" s="28"/>
      <c r="S1568" s="28"/>
      <c r="T1568" s="28"/>
      <c r="U1568" s="4"/>
      <c r="V1568" s="3"/>
      <c r="W1568" s="3"/>
    </row>
    <row r="1569" spans="1:23" s="5" customFormat="1">
      <c r="A1569" s="20"/>
      <c r="B1569" s="33"/>
      <c r="C1569" s="35"/>
      <c r="E1569" s="39"/>
      <c r="F1569" s="1"/>
      <c r="G1569" s="40"/>
      <c r="H1569" s="12"/>
      <c r="I1569" s="9"/>
      <c r="J1569" s="12"/>
      <c r="M1569" s="39"/>
      <c r="O1569" s="39"/>
      <c r="Q1569" s="39"/>
      <c r="R1569" s="29"/>
      <c r="S1569" s="28"/>
      <c r="T1569" s="28"/>
      <c r="U1569" s="4"/>
      <c r="V1569" s="3"/>
      <c r="W1569" s="3"/>
    </row>
    <row r="1570" spans="1:23" s="5" customFormat="1">
      <c r="A1570" s="20"/>
      <c r="B1570" s="33"/>
      <c r="C1570" s="35"/>
      <c r="E1570" s="39"/>
      <c r="F1570" s="1"/>
      <c r="G1570" s="40"/>
      <c r="H1570" s="12"/>
      <c r="I1570" s="9"/>
      <c r="J1570" s="12"/>
      <c r="M1570" s="39"/>
      <c r="O1570" s="39"/>
      <c r="Q1570" s="39"/>
      <c r="R1570" s="29"/>
      <c r="S1570" s="28"/>
      <c r="T1570" s="28"/>
      <c r="U1570" s="4"/>
      <c r="V1570" s="3"/>
      <c r="W1570" s="3"/>
    </row>
    <row r="1571" spans="1:23" s="5" customFormat="1">
      <c r="A1571" s="6"/>
      <c r="B1571" s="33"/>
      <c r="C1571" s="35"/>
      <c r="E1571" s="39"/>
      <c r="G1571" s="40"/>
      <c r="H1571" s="14"/>
      <c r="I1571" s="17"/>
      <c r="J1571" s="10"/>
      <c r="M1571" s="39"/>
      <c r="O1571" s="39"/>
      <c r="Q1571" s="39"/>
      <c r="R1571" s="28"/>
      <c r="S1571" s="28"/>
      <c r="T1571" s="28"/>
      <c r="U1571" s="4"/>
      <c r="V1571" s="3"/>
      <c r="W1571" s="3"/>
    </row>
    <row r="1572" spans="1:23" s="5" customFormat="1">
      <c r="A1572" s="6"/>
      <c r="B1572" s="33"/>
      <c r="C1572" s="35"/>
      <c r="E1572" s="39"/>
      <c r="G1572" s="40"/>
      <c r="H1572" s="15"/>
      <c r="I1572" s="17"/>
      <c r="J1572" s="10"/>
      <c r="M1572" s="39"/>
      <c r="O1572" s="39"/>
      <c r="Q1572" s="39"/>
      <c r="R1572" s="28"/>
      <c r="S1572" s="28"/>
      <c r="T1572" s="28"/>
      <c r="U1572" s="4"/>
      <c r="V1572" s="3"/>
      <c r="W1572" s="3"/>
    </row>
    <row r="1573" spans="1:23" s="5" customFormat="1">
      <c r="A1573" s="6"/>
      <c r="B1573" s="33"/>
      <c r="C1573" s="35"/>
      <c r="E1573" s="39"/>
      <c r="G1573" s="40"/>
      <c r="H1573" s="14"/>
      <c r="I1573" s="17"/>
      <c r="J1573" s="10"/>
      <c r="M1573" s="39"/>
      <c r="O1573" s="39"/>
      <c r="Q1573" s="39"/>
      <c r="R1573" s="28"/>
      <c r="S1573" s="28"/>
      <c r="T1573" s="28"/>
      <c r="U1573" s="4"/>
      <c r="V1573" s="3"/>
      <c r="W1573" s="3"/>
    </row>
    <row r="1574" spans="1:23" s="5" customFormat="1">
      <c r="A1574" s="6"/>
      <c r="B1574" s="33"/>
      <c r="C1574" s="35"/>
      <c r="E1574" s="39"/>
      <c r="G1574" s="40"/>
      <c r="H1574" s="14"/>
      <c r="I1574" s="17"/>
      <c r="J1574" s="10"/>
      <c r="M1574" s="39"/>
      <c r="O1574" s="39"/>
      <c r="Q1574" s="39"/>
      <c r="R1574" s="28"/>
      <c r="S1574" s="28"/>
      <c r="T1574" s="28"/>
      <c r="U1574" s="4"/>
      <c r="V1574" s="3"/>
      <c r="W1574" s="3"/>
    </row>
    <row r="1575" spans="1:23" s="5" customFormat="1">
      <c r="A1575" s="6"/>
      <c r="B1575" s="33"/>
      <c r="C1575" s="35"/>
      <c r="E1575" s="39"/>
      <c r="G1575" s="40"/>
      <c r="H1575" s="14"/>
      <c r="I1575" s="17"/>
      <c r="J1575" s="10"/>
      <c r="M1575" s="39"/>
      <c r="O1575" s="39"/>
      <c r="Q1575" s="39"/>
      <c r="R1575" s="28"/>
      <c r="S1575" s="28"/>
      <c r="T1575" s="28"/>
      <c r="U1575" s="4"/>
      <c r="V1575" s="3"/>
      <c r="W1575" s="3"/>
    </row>
    <row r="1576" spans="1:23" s="5" customFormat="1">
      <c r="A1576" s="6"/>
      <c r="B1576" s="33"/>
      <c r="C1576" s="35"/>
      <c r="E1576" s="39"/>
      <c r="G1576" s="40"/>
      <c r="H1576" s="14"/>
      <c r="I1576" s="17"/>
      <c r="J1576" s="10"/>
      <c r="M1576" s="39"/>
      <c r="O1576" s="39"/>
      <c r="Q1576" s="39"/>
      <c r="R1576" s="28"/>
      <c r="S1576" s="28"/>
      <c r="T1576" s="28"/>
      <c r="U1576" s="4"/>
      <c r="V1576" s="3"/>
      <c r="W1576" s="3"/>
    </row>
    <row r="1577" spans="1:23" s="5" customFormat="1">
      <c r="A1577" s="6"/>
      <c r="B1577" s="33"/>
      <c r="C1577" s="35"/>
      <c r="E1577" s="39"/>
      <c r="G1577" s="40"/>
      <c r="H1577" s="14"/>
      <c r="I1577" s="17"/>
      <c r="J1577" s="10"/>
      <c r="M1577" s="39"/>
      <c r="O1577" s="39"/>
      <c r="Q1577" s="39"/>
      <c r="R1577" s="28"/>
      <c r="S1577" s="28"/>
      <c r="T1577" s="28"/>
      <c r="U1577" s="4"/>
      <c r="V1577" s="3"/>
      <c r="W1577" s="3"/>
    </row>
    <row r="1578" spans="1:23" s="5" customFormat="1">
      <c r="A1578" s="6"/>
      <c r="B1578" s="33"/>
      <c r="C1578" s="35"/>
      <c r="E1578" s="39"/>
      <c r="G1578" s="40"/>
      <c r="H1578" s="14"/>
      <c r="I1578" s="17"/>
      <c r="J1578" s="10"/>
      <c r="M1578" s="39"/>
      <c r="O1578" s="39"/>
      <c r="Q1578" s="39"/>
      <c r="R1578" s="28"/>
      <c r="S1578" s="28"/>
      <c r="T1578" s="28"/>
      <c r="U1578" s="4"/>
      <c r="V1578" s="3"/>
      <c r="W1578" s="3"/>
    </row>
    <row r="1579" spans="1:23" s="5" customFormat="1">
      <c r="A1579" s="6"/>
      <c r="B1579" s="33"/>
      <c r="C1579" s="35"/>
      <c r="E1579" s="39"/>
      <c r="G1579" s="40"/>
      <c r="H1579" s="15"/>
      <c r="I1579" s="17"/>
      <c r="J1579" s="10"/>
      <c r="M1579" s="39"/>
      <c r="O1579" s="39"/>
      <c r="Q1579" s="39"/>
      <c r="R1579" s="28"/>
      <c r="S1579" s="28"/>
      <c r="T1579" s="28"/>
      <c r="U1579" s="4"/>
      <c r="V1579" s="3"/>
      <c r="W1579" s="3"/>
    </row>
    <row r="1580" spans="1:23" s="5" customFormat="1">
      <c r="A1580" s="6"/>
      <c r="B1580" s="33"/>
      <c r="C1580" s="35"/>
      <c r="E1580" s="39"/>
      <c r="G1580" s="40"/>
      <c r="H1580" s="15"/>
      <c r="I1580" s="17"/>
      <c r="J1580" s="10"/>
      <c r="M1580" s="39"/>
      <c r="O1580" s="39"/>
      <c r="Q1580" s="39"/>
      <c r="R1580" s="28"/>
      <c r="S1580" s="28"/>
      <c r="T1580" s="28"/>
      <c r="U1580" s="4"/>
      <c r="V1580" s="3"/>
      <c r="W1580" s="3"/>
    </row>
    <row r="1581" spans="1:23" s="5" customFormat="1">
      <c r="A1581" s="6"/>
      <c r="B1581" s="33"/>
      <c r="C1581" s="35"/>
      <c r="E1581" s="39"/>
      <c r="G1581" s="40"/>
      <c r="H1581" s="15"/>
      <c r="I1581" s="17"/>
      <c r="J1581" s="10"/>
      <c r="M1581" s="39"/>
      <c r="O1581" s="39"/>
      <c r="Q1581" s="39"/>
      <c r="R1581" s="28"/>
      <c r="S1581" s="28"/>
      <c r="T1581" s="28"/>
      <c r="U1581" s="4"/>
      <c r="V1581" s="3"/>
      <c r="W1581" s="3"/>
    </row>
    <row r="1582" spans="1:23" s="5" customFormat="1">
      <c r="A1582" s="6"/>
      <c r="B1582" s="33"/>
      <c r="C1582" s="35"/>
      <c r="E1582" s="39"/>
      <c r="G1582" s="40"/>
      <c r="H1582" s="15"/>
      <c r="I1582" s="17"/>
      <c r="J1582" s="10"/>
      <c r="M1582" s="39"/>
      <c r="O1582" s="39"/>
      <c r="Q1582" s="39"/>
      <c r="R1582" s="28"/>
      <c r="S1582" s="28"/>
      <c r="T1582" s="28"/>
      <c r="U1582" s="4"/>
      <c r="V1582" s="3"/>
      <c r="W1582" s="3"/>
    </row>
    <row r="1583" spans="1:23" s="5" customFormat="1">
      <c r="A1583" s="6"/>
      <c r="B1583" s="33"/>
      <c r="C1583" s="35"/>
      <c r="E1583" s="39"/>
      <c r="G1583" s="40"/>
      <c r="H1583" s="14"/>
      <c r="I1583" s="17"/>
      <c r="J1583" s="10"/>
      <c r="M1583" s="39"/>
      <c r="O1583" s="39"/>
      <c r="Q1583" s="39"/>
      <c r="R1583" s="28"/>
      <c r="S1583" s="28"/>
      <c r="T1583" s="28"/>
      <c r="U1583" s="4"/>
      <c r="V1583" s="3"/>
      <c r="W1583" s="3"/>
    </row>
    <row r="1584" spans="1:23" s="5" customFormat="1">
      <c r="A1584" s="6"/>
      <c r="B1584" s="33"/>
      <c r="C1584" s="35"/>
      <c r="E1584" s="39"/>
      <c r="G1584" s="40"/>
      <c r="H1584" s="15"/>
      <c r="I1584" s="17"/>
      <c r="J1584" s="10"/>
      <c r="M1584" s="39"/>
      <c r="O1584" s="39"/>
      <c r="Q1584" s="39"/>
      <c r="R1584" s="28"/>
      <c r="S1584" s="28"/>
      <c r="T1584" s="28"/>
      <c r="U1584" s="4"/>
      <c r="V1584" s="3"/>
      <c r="W1584" s="3"/>
    </row>
    <row r="1585" spans="1:23" s="5" customFormat="1">
      <c r="A1585" s="6"/>
      <c r="B1585" s="33"/>
      <c r="C1585" s="35"/>
      <c r="E1585" s="39"/>
      <c r="G1585" s="40"/>
      <c r="H1585" s="15"/>
      <c r="I1585" s="17"/>
      <c r="J1585" s="10"/>
      <c r="M1585" s="39"/>
      <c r="O1585" s="39"/>
      <c r="Q1585" s="39"/>
      <c r="R1585" s="28"/>
      <c r="S1585" s="28"/>
      <c r="T1585" s="28"/>
      <c r="U1585" s="4"/>
      <c r="V1585" s="3"/>
      <c r="W1585" s="3"/>
    </row>
    <row r="1586" spans="1:23" s="5" customFormat="1">
      <c r="A1586" s="6"/>
      <c r="B1586" s="33"/>
      <c r="C1586" s="35"/>
      <c r="E1586" s="39"/>
      <c r="G1586" s="40"/>
      <c r="H1586" s="15"/>
      <c r="I1586" s="17"/>
      <c r="J1586" s="10"/>
      <c r="M1586" s="39"/>
      <c r="O1586" s="39"/>
      <c r="Q1586" s="39"/>
      <c r="R1586" s="28"/>
      <c r="S1586" s="28"/>
      <c r="T1586" s="28"/>
      <c r="U1586" s="4"/>
      <c r="V1586" s="3"/>
      <c r="W1586" s="3"/>
    </row>
    <row r="1587" spans="1:23" s="5" customFormat="1">
      <c r="A1587" s="6"/>
      <c r="B1587" s="33"/>
      <c r="C1587" s="35"/>
      <c r="E1587" s="39"/>
      <c r="G1587" s="40"/>
      <c r="H1587" s="15"/>
      <c r="I1587" s="17"/>
      <c r="J1587" s="10"/>
      <c r="M1587" s="39"/>
      <c r="O1587" s="39"/>
      <c r="Q1587" s="39"/>
      <c r="R1587" s="28"/>
      <c r="S1587" s="28"/>
      <c r="T1587" s="28"/>
      <c r="U1587" s="4"/>
      <c r="V1587" s="3"/>
      <c r="W1587" s="3"/>
    </row>
    <row r="1588" spans="1:23" s="5" customFormat="1">
      <c r="A1588" s="6"/>
      <c r="B1588" s="33"/>
      <c r="C1588" s="35"/>
      <c r="E1588" s="39"/>
      <c r="G1588" s="40"/>
      <c r="H1588" s="15"/>
      <c r="I1588" s="17"/>
      <c r="J1588" s="10"/>
      <c r="M1588" s="39"/>
      <c r="O1588" s="39"/>
      <c r="Q1588" s="39"/>
      <c r="R1588" s="28"/>
      <c r="S1588" s="28"/>
      <c r="T1588" s="28"/>
      <c r="U1588" s="4"/>
      <c r="V1588" s="3"/>
      <c r="W1588" s="3"/>
    </row>
    <row r="1589" spans="1:23" s="5" customFormat="1">
      <c r="A1589" s="6"/>
      <c r="B1589" s="33"/>
      <c r="C1589" s="35"/>
      <c r="E1589" s="39"/>
      <c r="G1589" s="40"/>
      <c r="H1589" s="15"/>
      <c r="I1589" s="17"/>
      <c r="J1589" s="10"/>
      <c r="M1589" s="39"/>
      <c r="O1589" s="39"/>
      <c r="Q1589" s="39"/>
      <c r="R1589" s="28"/>
      <c r="S1589" s="28"/>
      <c r="T1589" s="28"/>
      <c r="U1589" s="4"/>
      <c r="V1589" s="3"/>
      <c r="W1589" s="3"/>
    </row>
    <row r="1590" spans="1:23" s="5" customFormat="1">
      <c r="A1590" s="6"/>
      <c r="B1590" s="33"/>
      <c r="C1590" s="35"/>
      <c r="E1590" s="39"/>
      <c r="G1590" s="40"/>
      <c r="H1590" s="15"/>
      <c r="I1590" s="17"/>
      <c r="J1590" s="10"/>
      <c r="M1590" s="39"/>
      <c r="O1590" s="39"/>
      <c r="Q1590" s="39"/>
      <c r="R1590" s="28"/>
      <c r="S1590" s="28"/>
      <c r="T1590" s="28"/>
      <c r="U1590" s="4"/>
      <c r="V1590" s="3"/>
      <c r="W1590" s="3"/>
    </row>
    <row r="1591" spans="1:23" s="5" customFormat="1">
      <c r="A1591" s="6"/>
      <c r="B1591" s="33"/>
      <c r="C1591" s="35"/>
      <c r="E1591" s="39"/>
      <c r="G1591" s="40"/>
      <c r="H1591" s="15"/>
      <c r="I1591" s="17"/>
      <c r="J1591" s="10"/>
      <c r="M1591" s="39"/>
      <c r="O1591" s="39"/>
      <c r="Q1591" s="39"/>
      <c r="R1591" s="28"/>
      <c r="S1591" s="28"/>
      <c r="T1591" s="28"/>
      <c r="U1591" s="4"/>
      <c r="V1591" s="3"/>
      <c r="W1591" s="3"/>
    </row>
    <row r="1592" spans="1:23" s="5" customFormat="1">
      <c r="A1592" s="6"/>
      <c r="B1592" s="33"/>
      <c r="C1592" s="35"/>
      <c r="E1592" s="39"/>
      <c r="G1592" s="40"/>
      <c r="H1592" s="15"/>
      <c r="I1592" s="17"/>
      <c r="J1592" s="10"/>
      <c r="M1592" s="39"/>
      <c r="O1592" s="39"/>
      <c r="Q1592" s="39"/>
      <c r="R1592" s="28"/>
      <c r="S1592" s="28"/>
      <c r="T1592" s="28"/>
      <c r="U1592" s="4"/>
      <c r="V1592" s="3"/>
      <c r="W1592" s="3"/>
    </row>
    <row r="1593" spans="1:23" s="5" customFormat="1">
      <c r="A1593" s="6"/>
      <c r="B1593" s="33"/>
      <c r="C1593" s="35"/>
      <c r="E1593" s="39"/>
      <c r="G1593" s="40"/>
      <c r="H1593" s="15"/>
      <c r="I1593" s="17"/>
      <c r="J1593" s="10"/>
      <c r="M1593" s="39"/>
      <c r="O1593" s="39"/>
      <c r="Q1593" s="39"/>
      <c r="R1593" s="28"/>
      <c r="S1593" s="28"/>
      <c r="T1593" s="28"/>
      <c r="U1593" s="4"/>
      <c r="V1593" s="3"/>
      <c r="W1593" s="3"/>
    </row>
    <row r="1594" spans="1:23" s="5" customFormat="1">
      <c r="A1594" s="6"/>
      <c r="B1594" s="33"/>
      <c r="C1594" s="35"/>
      <c r="E1594" s="39"/>
      <c r="G1594" s="40"/>
      <c r="H1594" s="15"/>
      <c r="I1594" s="17"/>
      <c r="J1594" s="10"/>
      <c r="M1594" s="39"/>
      <c r="O1594" s="39"/>
      <c r="Q1594" s="39"/>
      <c r="R1594" s="28"/>
      <c r="S1594" s="28"/>
      <c r="T1594" s="28"/>
      <c r="U1594" s="4"/>
      <c r="V1594" s="3"/>
      <c r="W1594" s="3"/>
    </row>
    <row r="1595" spans="1:23" s="5" customFormat="1">
      <c r="A1595" s="6"/>
      <c r="B1595" s="33"/>
      <c r="C1595" s="35"/>
      <c r="E1595" s="39"/>
      <c r="G1595" s="40"/>
      <c r="H1595" s="15"/>
      <c r="I1595" s="17"/>
      <c r="J1595" s="10"/>
      <c r="M1595" s="39"/>
      <c r="O1595" s="39"/>
      <c r="Q1595" s="39"/>
      <c r="R1595" s="28"/>
      <c r="S1595" s="28"/>
      <c r="T1595" s="28"/>
      <c r="U1595" s="4"/>
      <c r="V1595" s="3"/>
      <c r="W1595" s="3"/>
    </row>
    <row r="1596" spans="1:23" s="5" customFormat="1">
      <c r="A1596" s="6"/>
      <c r="B1596" s="33"/>
      <c r="C1596" s="35"/>
      <c r="E1596" s="39"/>
      <c r="G1596" s="40"/>
      <c r="H1596" s="15"/>
      <c r="I1596" s="17"/>
      <c r="J1596" s="10"/>
      <c r="M1596" s="39"/>
      <c r="O1596" s="39"/>
      <c r="Q1596" s="39"/>
      <c r="R1596" s="28"/>
      <c r="S1596" s="28"/>
      <c r="T1596" s="28"/>
      <c r="U1596" s="4"/>
      <c r="V1596" s="3"/>
      <c r="W1596" s="3"/>
    </row>
    <row r="1597" spans="1:23" s="5" customFormat="1">
      <c r="A1597" s="6"/>
      <c r="B1597" s="33"/>
      <c r="C1597" s="35"/>
      <c r="E1597" s="39"/>
      <c r="G1597" s="40"/>
      <c r="H1597" s="14"/>
      <c r="I1597" s="17"/>
      <c r="J1597" s="10"/>
      <c r="M1597" s="39"/>
      <c r="O1597" s="39"/>
      <c r="Q1597" s="39"/>
      <c r="R1597" s="28"/>
      <c r="S1597" s="28"/>
      <c r="T1597" s="28"/>
      <c r="U1597" s="4"/>
      <c r="V1597" s="3"/>
      <c r="W1597" s="3"/>
    </row>
    <row r="1598" spans="1:23" s="5" customFormat="1">
      <c r="A1598" s="6"/>
      <c r="B1598" s="33"/>
      <c r="C1598" s="35"/>
      <c r="E1598" s="39"/>
      <c r="G1598" s="40"/>
      <c r="H1598" s="15"/>
      <c r="I1598" s="17"/>
      <c r="J1598" s="10"/>
      <c r="M1598" s="39"/>
      <c r="O1598" s="39"/>
      <c r="Q1598" s="39"/>
      <c r="R1598" s="28"/>
      <c r="S1598" s="28"/>
      <c r="T1598" s="28"/>
      <c r="U1598" s="4"/>
      <c r="V1598" s="3"/>
      <c r="W1598" s="3"/>
    </row>
    <row r="1599" spans="1:23" s="5" customFormat="1">
      <c r="A1599" s="6"/>
      <c r="B1599" s="33"/>
      <c r="C1599" s="35"/>
      <c r="E1599" s="39"/>
      <c r="G1599" s="40"/>
      <c r="H1599" s="15"/>
      <c r="I1599" s="17"/>
      <c r="J1599" s="10"/>
      <c r="M1599" s="39"/>
      <c r="O1599" s="39"/>
      <c r="Q1599" s="39"/>
      <c r="R1599" s="28"/>
      <c r="S1599" s="28"/>
      <c r="T1599" s="28"/>
      <c r="U1599" s="4"/>
      <c r="V1599" s="3"/>
      <c r="W1599" s="3"/>
    </row>
    <row r="1600" spans="1:23" s="5" customFormat="1">
      <c r="A1600" s="6"/>
      <c r="B1600" s="33"/>
      <c r="C1600" s="35"/>
      <c r="E1600" s="39"/>
      <c r="G1600" s="40"/>
      <c r="H1600" s="14"/>
      <c r="I1600" s="17"/>
      <c r="J1600" s="10"/>
      <c r="M1600" s="39"/>
      <c r="O1600" s="39"/>
      <c r="Q1600" s="39"/>
      <c r="R1600" s="28"/>
      <c r="S1600" s="28"/>
      <c r="T1600" s="28"/>
      <c r="U1600" s="4"/>
      <c r="V1600" s="3"/>
      <c r="W1600" s="3"/>
    </row>
    <row r="1601" spans="1:23" s="5" customFormat="1">
      <c r="A1601" s="6"/>
      <c r="B1601" s="33"/>
      <c r="C1601" s="35"/>
      <c r="E1601" s="39"/>
      <c r="G1601" s="40"/>
      <c r="H1601" s="15"/>
      <c r="I1601" s="17"/>
      <c r="J1601" s="10"/>
      <c r="M1601" s="39"/>
      <c r="O1601" s="39"/>
      <c r="Q1601" s="39"/>
      <c r="R1601" s="28"/>
      <c r="S1601" s="28"/>
      <c r="T1601" s="28"/>
      <c r="U1601" s="4"/>
      <c r="V1601" s="3"/>
      <c r="W1601" s="3"/>
    </row>
    <row r="1602" spans="1:23" s="5" customFormat="1">
      <c r="A1602" s="6"/>
      <c r="B1602" s="33"/>
      <c r="C1602" s="35"/>
      <c r="E1602" s="39"/>
      <c r="G1602" s="40"/>
      <c r="H1602" s="15"/>
      <c r="I1602" s="17"/>
      <c r="J1602" s="10"/>
      <c r="M1602" s="39"/>
      <c r="O1602" s="39"/>
      <c r="Q1602" s="39"/>
      <c r="R1602" s="28"/>
      <c r="S1602" s="28"/>
      <c r="T1602" s="28"/>
      <c r="U1602" s="4"/>
      <c r="V1602" s="3"/>
      <c r="W1602" s="3"/>
    </row>
    <row r="1603" spans="1:23" s="5" customFormat="1">
      <c r="A1603" s="6"/>
      <c r="B1603" s="33"/>
      <c r="C1603" s="35"/>
      <c r="E1603" s="39"/>
      <c r="G1603" s="40"/>
      <c r="H1603" s="14"/>
      <c r="I1603" s="17"/>
      <c r="J1603" s="10"/>
      <c r="M1603" s="39"/>
      <c r="O1603" s="39"/>
      <c r="Q1603" s="39"/>
      <c r="R1603" s="28"/>
      <c r="S1603" s="28"/>
      <c r="T1603" s="28"/>
      <c r="U1603" s="4"/>
      <c r="V1603" s="3"/>
      <c r="W1603" s="3"/>
    </row>
    <row r="1604" spans="1:23" s="5" customFormat="1">
      <c r="A1604" s="6"/>
      <c r="B1604" s="33"/>
      <c r="C1604" s="35"/>
      <c r="E1604" s="39"/>
      <c r="G1604" s="40"/>
      <c r="H1604" s="15"/>
      <c r="I1604" s="17"/>
      <c r="J1604" s="10"/>
      <c r="M1604" s="39"/>
      <c r="O1604" s="39"/>
      <c r="Q1604" s="39"/>
      <c r="R1604" s="28"/>
      <c r="S1604" s="28"/>
      <c r="T1604" s="28"/>
      <c r="U1604" s="4"/>
      <c r="V1604" s="3"/>
      <c r="W1604" s="3"/>
    </row>
    <row r="1605" spans="1:23" s="5" customFormat="1">
      <c r="A1605" s="6"/>
      <c r="B1605" s="33"/>
      <c r="C1605" s="35"/>
      <c r="E1605" s="39"/>
      <c r="G1605" s="40"/>
      <c r="H1605" s="14"/>
      <c r="I1605" s="17"/>
      <c r="J1605" s="10"/>
      <c r="M1605" s="39"/>
      <c r="O1605" s="39"/>
      <c r="Q1605" s="39"/>
      <c r="R1605" s="28"/>
      <c r="S1605" s="28"/>
      <c r="T1605" s="28"/>
      <c r="U1605" s="4"/>
      <c r="V1605" s="3"/>
      <c r="W1605" s="3"/>
    </row>
    <row r="1606" spans="1:23" s="5" customFormat="1">
      <c r="A1606" s="6"/>
      <c r="B1606" s="33"/>
      <c r="C1606" s="35"/>
      <c r="E1606" s="39"/>
      <c r="G1606" s="40"/>
      <c r="H1606" s="14"/>
      <c r="I1606" s="17"/>
      <c r="J1606" s="10"/>
      <c r="M1606" s="39"/>
      <c r="O1606" s="39"/>
      <c r="Q1606" s="39"/>
      <c r="R1606" s="28"/>
      <c r="S1606" s="28"/>
      <c r="T1606" s="28"/>
      <c r="U1606" s="4"/>
      <c r="V1606" s="3"/>
      <c r="W1606" s="3"/>
    </row>
    <row r="1607" spans="1:23" s="5" customFormat="1">
      <c r="A1607" s="6"/>
      <c r="B1607" s="33"/>
      <c r="C1607" s="35"/>
      <c r="E1607" s="39"/>
      <c r="G1607" s="40"/>
      <c r="H1607" s="14"/>
      <c r="I1607" s="17"/>
      <c r="J1607" s="10"/>
      <c r="M1607" s="39"/>
      <c r="O1607" s="39"/>
      <c r="Q1607" s="39"/>
      <c r="R1607" s="28"/>
      <c r="S1607" s="28"/>
      <c r="T1607" s="28"/>
      <c r="U1607" s="4"/>
      <c r="V1607" s="3"/>
      <c r="W1607" s="3"/>
    </row>
    <row r="1608" spans="1:23" s="5" customFormat="1">
      <c r="A1608" s="6"/>
      <c r="B1608" s="33"/>
      <c r="C1608" s="35"/>
      <c r="E1608" s="39"/>
      <c r="G1608" s="40"/>
      <c r="H1608" s="14"/>
      <c r="I1608" s="17"/>
      <c r="J1608" s="10"/>
      <c r="M1608" s="39"/>
      <c r="O1608" s="39"/>
      <c r="Q1608" s="39"/>
      <c r="R1608" s="28"/>
      <c r="S1608" s="28"/>
      <c r="T1608" s="28"/>
      <c r="U1608" s="4"/>
      <c r="V1608" s="3"/>
      <c r="W1608" s="3"/>
    </row>
    <row r="1609" spans="1:23" s="5" customFormat="1">
      <c r="A1609" s="6"/>
      <c r="B1609" s="33"/>
      <c r="C1609" s="35"/>
      <c r="E1609" s="39"/>
      <c r="G1609" s="40"/>
      <c r="H1609" s="15"/>
      <c r="I1609" s="17"/>
      <c r="J1609" s="10"/>
      <c r="M1609" s="39"/>
      <c r="O1609" s="39"/>
      <c r="Q1609" s="39"/>
      <c r="R1609" s="28"/>
      <c r="S1609" s="28"/>
      <c r="T1609" s="28"/>
      <c r="U1609" s="4"/>
      <c r="V1609" s="3"/>
      <c r="W1609" s="3"/>
    </row>
    <row r="1610" spans="1:23" s="5" customFormat="1">
      <c r="A1610" s="6"/>
      <c r="B1610" s="33"/>
      <c r="C1610" s="35"/>
      <c r="E1610" s="39"/>
      <c r="G1610" s="40"/>
      <c r="H1610" s="15"/>
      <c r="I1610" s="17"/>
      <c r="J1610" s="10"/>
      <c r="M1610" s="39"/>
      <c r="O1610" s="39"/>
      <c r="Q1610" s="39"/>
      <c r="R1610" s="28"/>
      <c r="S1610" s="28"/>
      <c r="T1610" s="28"/>
      <c r="U1610" s="4"/>
      <c r="V1610" s="3"/>
      <c r="W1610" s="3"/>
    </row>
    <row r="1611" spans="1:23" s="5" customFormat="1">
      <c r="A1611" s="6"/>
      <c r="B1611" s="33"/>
      <c r="C1611" s="35"/>
      <c r="E1611" s="39"/>
      <c r="G1611" s="40"/>
      <c r="H1611" s="14"/>
      <c r="I1611" s="17"/>
      <c r="J1611" s="10"/>
      <c r="M1611" s="39"/>
      <c r="O1611" s="39"/>
      <c r="Q1611" s="39"/>
      <c r="R1611" s="28"/>
      <c r="S1611" s="28"/>
      <c r="T1611" s="28"/>
      <c r="U1611" s="4"/>
      <c r="V1611" s="3"/>
      <c r="W1611" s="3"/>
    </row>
    <row r="1612" spans="1:23" s="5" customFormat="1">
      <c r="A1612" s="6"/>
      <c r="B1612" s="33"/>
      <c r="C1612" s="35"/>
      <c r="E1612" s="39"/>
      <c r="G1612" s="40"/>
      <c r="H1612" s="15"/>
      <c r="I1612" s="17"/>
      <c r="J1612" s="10"/>
      <c r="M1612" s="39"/>
      <c r="O1612" s="39"/>
      <c r="Q1612" s="39"/>
      <c r="R1612" s="28"/>
      <c r="S1612" s="28"/>
      <c r="T1612" s="28"/>
      <c r="U1612" s="4"/>
      <c r="V1612" s="3"/>
      <c r="W1612" s="3"/>
    </row>
    <row r="1613" spans="1:23" s="5" customFormat="1">
      <c r="A1613" s="6"/>
      <c r="B1613" s="33"/>
      <c r="C1613" s="35"/>
      <c r="E1613" s="39"/>
      <c r="G1613" s="40"/>
      <c r="H1613" s="15"/>
      <c r="I1613" s="17"/>
      <c r="J1613" s="10"/>
      <c r="M1613" s="39"/>
      <c r="O1613" s="39"/>
      <c r="Q1613" s="39"/>
      <c r="R1613" s="28"/>
      <c r="S1613" s="28"/>
      <c r="T1613" s="28"/>
      <c r="U1613" s="4"/>
      <c r="V1613" s="3"/>
      <c r="W1613" s="3"/>
    </row>
    <row r="1614" spans="1:23" s="5" customFormat="1">
      <c r="A1614" s="6"/>
      <c r="B1614" s="33"/>
      <c r="C1614" s="35"/>
      <c r="E1614" s="39"/>
      <c r="G1614" s="40"/>
      <c r="H1614" s="15"/>
      <c r="I1614" s="17"/>
      <c r="J1614" s="10"/>
      <c r="M1614" s="39"/>
      <c r="O1614" s="39"/>
      <c r="Q1614" s="39"/>
      <c r="R1614" s="28"/>
      <c r="S1614" s="28"/>
      <c r="T1614" s="28"/>
      <c r="U1614" s="4"/>
      <c r="V1614" s="3"/>
      <c r="W1614" s="3"/>
    </row>
    <row r="1615" spans="1:23" s="5" customFormat="1">
      <c r="A1615" s="6"/>
      <c r="B1615" s="33"/>
      <c r="C1615" s="35"/>
      <c r="E1615" s="39"/>
      <c r="G1615" s="40"/>
      <c r="H1615" s="15"/>
      <c r="I1615" s="17"/>
      <c r="J1615" s="10"/>
      <c r="M1615" s="39"/>
      <c r="O1615" s="39"/>
      <c r="Q1615" s="39"/>
      <c r="R1615" s="28"/>
      <c r="S1615" s="28"/>
      <c r="T1615" s="28"/>
      <c r="U1615" s="4"/>
      <c r="V1615" s="3"/>
      <c r="W1615" s="3"/>
    </row>
    <row r="1616" spans="1:23" s="5" customFormat="1">
      <c r="A1616" s="6"/>
      <c r="B1616" s="33"/>
      <c r="C1616" s="35"/>
      <c r="E1616" s="39"/>
      <c r="G1616" s="40"/>
      <c r="H1616" s="14"/>
      <c r="I1616" s="17"/>
      <c r="J1616" s="10"/>
      <c r="M1616" s="39"/>
      <c r="O1616" s="39"/>
      <c r="Q1616" s="39"/>
      <c r="R1616" s="28"/>
      <c r="S1616" s="28"/>
      <c r="T1616" s="28"/>
      <c r="U1616" s="4"/>
      <c r="V1616" s="3"/>
      <c r="W1616" s="3"/>
    </row>
    <row r="1617" spans="1:23" s="5" customFormat="1">
      <c r="A1617" s="6"/>
      <c r="B1617" s="33"/>
      <c r="C1617" s="35"/>
      <c r="E1617" s="39"/>
      <c r="G1617" s="40"/>
      <c r="H1617" s="15"/>
      <c r="I1617" s="17"/>
      <c r="J1617" s="10"/>
      <c r="M1617" s="39"/>
      <c r="O1617" s="39"/>
      <c r="Q1617" s="39"/>
      <c r="R1617" s="28"/>
      <c r="S1617" s="28"/>
      <c r="T1617" s="28"/>
      <c r="U1617" s="4"/>
      <c r="V1617" s="3"/>
      <c r="W1617" s="3"/>
    </row>
    <row r="1618" spans="1:23" s="5" customFormat="1">
      <c r="A1618" s="6"/>
      <c r="B1618" s="33"/>
      <c r="C1618" s="35"/>
      <c r="E1618" s="39"/>
      <c r="G1618" s="40"/>
      <c r="H1618" s="14"/>
      <c r="I1618" s="17"/>
      <c r="J1618" s="10"/>
      <c r="M1618" s="39"/>
      <c r="O1618" s="39"/>
      <c r="Q1618" s="39"/>
      <c r="R1618" s="28"/>
      <c r="S1618" s="29"/>
      <c r="T1618" s="28"/>
      <c r="U1618" s="4"/>
      <c r="V1618" s="3"/>
      <c r="W1618" s="3"/>
    </row>
    <row r="1619" spans="1:23" s="5" customFormat="1">
      <c r="A1619" s="20"/>
      <c r="B1619" s="33"/>
      <c r="C1619" s="35"/>
      <c r="D1619" s="1"/>
      <c r="E1619" s="39"/>
      <c r="F1619" s="1"/>
      <c r="G1619" s="40"/>
      <c r="H1619" s="12"/>
      <c r="I1619" s="9"/>
      <c r="J1619" s="12"/>
      <c r="L1619" s="1"/>
      <c r="M1619" s="39"/>
      <c r="N1619" s="1"/>
      <c r="O1619" s="39"/>
      <c r="P1619" s="1"/>
      <c r="Q1619" s="39"/>
      <c r="R1619" s="28"/>
      <c r="S1619" s="28"/>
      <c r="T1619" s="28"/>
      <c r="U1619" s="4"/>
      <c r="V1619" s="3"/>
      <c r="W1619" s="3"/>
    </row>
    <row r="1620" spans="1:23" s="5" customFormat="1">
      <c r="A1620" s="20"/>
      <c r="B1620" s="33"/>
      <c r="C1620" s="35"/>
      <c r="E1620" s="39"/>
      <c r="F1620" s="1"/>
      <c r="G1620" s="40"/>
      <c r="H1620" s="12"/>
      <c r="I1620" s="9"/>
      <c r="J1620" s="12"/>
      <c r="M1620" s="39"/>
      <c r="O1620" s="39"/>
      <c r="Q1620" s="39"/>
      <c r="R1620" s="29"/>
      <c r="S1620" s="28"/>
      <c r="T1620" s="28"/>
      <c r="U1620" s="4"/>
      <c r="V1620" s="3"/>
      <c r="W1620" s="3"/>
    </row>
    <row r="1621" spans="1:23" s="5" customFormat="1">
      <c r="A1621" s="20"/>
      <c r="B1621" s="33"/>
      <c r="C1621" s="35"/>
      <c r="E1621" s="39"/>
      <c r="F1621" s="1"/>
      <c r="G1621" s="40"/>
      <c r="H1621" s="12"/>
      <c r="I1621" s="9"/>
      <c r="J1621" s="12"/>
      <c r="M1621" s="39"/>
      <c r="O1621" s="39"/>
      <c r="Q1621" s="39"/>
      <c r="R1621" s="29"/>
      <c r="S1621" s="28"/>
      <c r="T1621" s="28"/>
      <c r="U1621" s="4"/>
      <c r="V1621" s="3"/>
      <c r="W1621" s="3"/>
    </row>
    <row r="1622" spans="1:23" s="5" customFormat="1">
      <c r="A1622" s="20"/>
      <c r="B1622" s="33"/>
      <c r="C1622" s="35"/>
      <c r="E1622" s="39"/>
      <c r="F1622" s="1"/>
      <c r="G1622" s="40"/>
      <c r="H1622" s="12"/>
      <c r="I1622" s="9"/>
      <c r="J1622" s="12"/>
      <c r="M1622" s="39"/>
      <c r="O1622" s="39"/>
      <c r="Q1622" s="39"/>
      <c r="R1622" s="29"/>
      <c r="S1622" s="28"/>
      <c r="T1622" s="28"/>
      <c r="U1622" s="4"/>
      <c r="V1622" s="3"/>
      <c r="W1622" s="3"/>
    </row>
    <row r="1623" spans="1:23" s="5" customFormat="1">
      <c r="A1623" s="20"/>
      <c r="B1623" s="33"/>
      <c r="C1623" s="35"/>
      <c r="E1623" s="39"/>
      <c r="F1623" s="1"/>
      <c r="G1623" s="40"/>
      <c r="H1623" s="12"/>
      <c r="I1623" s="9"/>
      <c r="J1623" s="12"/>
      <c r="M1623" s="39"/>
      <c r="O1623" s="39"/>
      <c r="Q1623" s="39"/>
      <c r="R1623" s="29"/>
      <c r="S1623" s="28"/>
      <c r="T1623" s="28"/>
      <c r="U1623" s="4"/>
      <c r="V1623" s="3"/>
      <c r="W1623" s="3"/>
    </row>
    <row r="1624" spans="1:23" s="5" customFormat="1">
      <c r="A1624" s="20"/>
      <c r="B1624" s="33"/>
      <c r="C1624" s="35"/>
      <c r="E1624" s="39"/>
      <c r="F1624" s="1"/>
      <c r="G1624" s="40"/>
      <c r="H1624" s="12"/>
      <c r="I1624" s="9"/>
      <c r="J1624" s="12"/>
      <c r="M1624" s="39"/>
      <c r="O1624" s="39"/>
      <c r="Q1624" s="39"/>
      <c r="R1624" s="29"/>
      <c r="S1624" s="28"/>
      <c r="T1624" s="28"/>
      <c r="U1624" s="4"/>
      <c r="V1624" s="3"/>
      <c r="W1624" s="3"/>
    </row>
    <row r="1625" spans="1:23" s="5" customFormat="1">
      <c r="A1625" s="20"/>
      <c r="B1625" s="33"/>
      <c r="C1625" s="35"/>
      <c r="E1625" s="39"/>
      <c r="F1625" s="1"/>
      <c r="G1625" s="40"/>
      <c r="H1625" s="12"/>
      <c r="I1625" s="9"/>
      <c r="J1625" s="12"/>
      <c r="M1625" s="39"/>
      <c r="O1625" s="39"/>
      <c r="Q1625" s="39"/>
      <c r="R1625" s="29"/>
      <c r="S1625" s="28"/>
      <c r="T1625" s="28"/>
      <c r="U1625" s="4"/>
      <c r="V1625" s="3"/>
      <c r="W1625" s="3"/>
    </row>
    <row r="1626" spans="1:23" s="5" customFormat="1">
      <c r="A1626" s="6"/>
      <c r="B1626" s="33"/>
      <c r="C1626" s="35"/>
      <c r="E1626" s="39"/>
      <c r="G1626" s="40"/>
      <c r="H1626" s="14"/>
      <c r="I1626" s="17"/>
      <c r="J1626" s="10"/>
      <c r="M1626" s="39"/>
      <c r="O1626" s="39"/>
      <c r="Q1626" s="39"/>
      <c r="R1626" s="28"/>
      <c r="S1626" s="28"/>
      <c r="T1626" s="28"/>
      <c r="U1626" s="4"/>
      <c r="V1626" s="3"/>
      <c r="W1626" s="3"/>
    </row>
    <row r="1627" spans="1:23" s="5" customFormat="1">
      <c r="A1627" s="6"/>
      <c r="B1627" s="33"/>
      <c r="C1627" s="35"/>
      <c r="E1627" s="39"/>
      <c r="G1627" s="40"/>
      <c r="H1627" s="15"/>
      <c r="I1627" s="17"/>
      <c r="J1627" s="10"/>
      <c r="K1627" s="1"/>
      <c r="M1627" s="39"/>
      <c r="O1627" s="39"/>
      <c r="Q1627" s="39"/>
      <c r="R1627" s="29"/>
      <c r="S1627" s="29"/>
      <c r="T1627" s="28"/>
      <c r="U1627" s="4"/>
      <c r="V1627" s="3"/>
      <c r="W1627" s="3"/>
    </row>
    <row r="1628" spans="1:23" s="5" customFormat="1">
      <c r="A1628" s="6"/>
      <c r="B1628" s="33"/>
      <c r="C1628" s="35"/>
      <c r="E1628" s="39"/>
      <c r="G1628" s="40"/>
      <c r="H1628" s="14"/>
      <c r="I1628" s="17"/>
      <c r="J1628" s="10"/>
      <c r="M1628" s="39"/>
      <c r="O1628" s="39"/>
      <c r="Q1628" s="39"/>
      <c r="R1628" s="28"/>
      <c r="S1628" s="28"/>
      <c r="T1628" s="28"/>
      <c r="U1628" s="4"/>
      <c r="V1628" s="3"/>
      <c r="W1628" s="3"/>
    </row>
    <row r="1629" spans="1:23" s="5" customFormat="1">
      <c r="A1629" s="6"/>
      <c r="B1629" s="33"/>
      <c r="C1629" s="35"/>
      <c r="E1629" s="39"/>
      <c r="G1629" s="40"/>
      <c r="H1629" s="14"/>
      <c r="I1629" s="17"/>
      <c r="J1629" s="10"/>
      <c r="M1629" s="39"/>
      <c r="O1629" s="39"/>
      <c r="Q1629" s="39"/>
      <c r="R1629" s="28"/>
      <c r="S1629" s="28"/>
      <c r="T1629" s="28"/>
      <c r="U1629" s="4"/>
      <c r="V1629" s="3"/>
      <c r="W1629" s="3"/>
    </row>
    <row r="1630" spans="1:23" s="5" customFormat="1">
      <c r="A1630" s="6"/>
      <c r="B1630" s="33"/>
      <c r="C1630" s="35"/>
      <c r="E1630" s="39"/>
      <c r="G1630" s="40"/>
      <c r="H1630" s="14"/>
      <c r="I1630" s="17"/>
      <c r="J1630" s="10"/>
      <c r="M1630" s="39"/>
      <c r="O1630" s="39"/>
      <c r="Q1630" s="39"/>
      <c r="R1630" s="28"/>
      <c r="S1630" s="28"/>
      <c r="T1630" s="28"/>
      <c r="U1630" s="4"/>
      <c r="V1630" s="3"/>
      <c r="W1630" s="3"/>
    </row>
    <row r="1631" spans="1:23" s="5" customFormat="1">
      <c r="A1631" s="6"/>
      <c r="B1631" s="33"/>
      <c r="C1631" s="35"/>
      <c r="E1631" s="39"/>
      <c r="G1631" s="40"/>
      <c r="H1631" s="15"/>
      <c r="I1631" s="17"/>
      <c r="J1631" s="10"/>
      <c r="M1631" s="39"/>
      <c r="O1631" s="39"/>
      <c r="Q1631" s="39"/>
      <c r="R1631" s="28"/>
      <c r="S1631" s="28"/>
      <c r="T1631" s="28"/>
      <c r="U1631" s="4"/>
      <c r="V1631" s="3"/>
      <c r="W1631" s="3"/>
    </row>
    <row r="1632" spans="1:23" s="5" customFormat="1">
      <c r="A1632" s="20"/>
      <c r="B1632" s="33"/>
      <c r="C1632" s="35"/>
      <c r="E1632" s="39"/>
      <c r="F1632" s="1"/>
      <c r="G1632" s="40"/>
      <c r="H1632" s="12"/>
      <c r="I1632" s="9"/>
      <c r="J1632" s="12"/>
      <c r="M1632" s="39"/>
      <c r="O1632" s="39"/>
      <c r="Q1632" s="39"/>
      <c r="R1632" s="29"/>
      <c r="S1632" s="28"/>
      <c r="T1632" s="28"/>
      <c r="U1632" s="4"/>
      <c r="V1632" s="3"/>
      <c r="W1632" s="3"/>
    </row>
    <row r="1633" spans="1:23" s="5" customFormat="1">
      <c r="A1633" s="6"/>
      <c r="B1633" s="33"/>
      <c r="C1633" s="35"/>
      <c r="E1633" s="39"/>
      <c r="G1633" s="40"/>
      <c r="H1633" s="14"/>
      <c r="I1633" s="17"/>
      <c r="J1633" s="10"/>
      <c r="M1633" s="39"/>
      <c r="O1633" s="39"/>
      <c r="Q1633" s="39"/>
      <c r="R1633" s="28"/>
      <c r="S1633" s="28"/>
      <c r="T1633" s="28"/>
      <c r="U1633" s="4"/>
      <c r="V1633" s="3"/>
      <c r="W1633" s="3"/>
    </row>
    <row r="1634" spans="1:23" s="5" customFormat="1">
      <c r="A1634" s="6"/>
      <c r="B1634" s="33"/>
      <c r="C1634" s="35"/>
      <c r="E1634" s="39"/>
      <c r="G1634" s="40"/>
      <c r="H1634" s="14"/>
      <c r="I1634" s="17"/>
      <c r="J1634" s="10"/>
      <c r="M1634" s="39"/>
      <c r="O1634" s="39"/>
      <c r="Q1634" s="39"/>
      <c r="R1634" s="28"/>
      <c r="S1634" s="28"/>
      <c r="T1634" s="28"/>
      <c r="U1634" s="4"/>
      <c r="V1634" s="3"/>
      <c r="W1634" s="3"/>
    </row>
    <row r="1635" spans="1:23" s="5" customFormat="1">
      <c r="A1635" s="6"/>
      <c r="B1635" s="33"/>
      <c r="C1635" s="35"/>
      <c r="E1635" s="39"/>
      <c r="G1635" s="40"/>
      <c r="H1635" s="14"/>
      <c r="I1635" s="17"/>
      <c r="J1635" s="10"/>
      <c r="M1635" s="39"/>
      <c r="O1635" s="39"/>
      <c r="Q1635" s="39"/>
      <c r="R1635" s="28"/>
      <c r="S1635" s="28"/>
      <c r="T1635" s="28"/>
      <c r="U1635" s="4"/>
      <c r="V1635" s="3"/>
      <c r="W1635" s="3"/>
    </row>
    <row r="1636" spans="1:23" s="5" customFormat="1">
      <c r="A1636" s="6"/>
      <c r="B1636" s="33"/>
      <c r="C1636" s="35"/>
      <c r="E1636" s="39"/>
      <c r="G1636" s="40"/>
      <c r="H1636" s="15"/>
      <c r="I1636" s="17"/>
      <c r="J1636" s="10"/>
      <c r="M1636" s="39"/>
      <c r="O1636" s="39"/>
      <c r="Q1636" s="39"/>
      <c r="R1636" s="28"/>
      <c r="S1636" s="28"/>
      <c r="T1636" s="28"/>
      <c r="U1636" s="4"/>
      <c r="V1636" s="3"/>
      <c r="W1636" s="3"/>
    </row>
    <row r="1637" spans="1:23" s="5" customFormat="1">
      <c r="A1637" s="6"/>
      <c r="B1637" s="33"/>
      <c r="C1637" s="35"/>
      <c r="E1637" s="39"/>
      <c r="G1637" s="40"/>
      <c r="H1637" s="14"/>
      <c r="I1637" s="17"/>
      <c r="J1637" s="10"/>
      <c r="M1637" s="39"/>
      <c r="O1637" s="39"/>
      <c r="Q1637" s="39"/>
      <c r="R1637" s="28"/>
      <c r="S1637" s="28"/>
      <c r="T1637" s="28"/>
      <c r="U1637" s="4"/>
      <c r="V1637" s="3"/>
      <c r="W1637" s="3"/>
    </row>
    <row r="1638" spans="1:23" s="5" customFormat="1">
      <c r="A1638" s="6"/>
      <c r="B1638" s="33"/>
      <c r="C1638" s="35"/>
      <c r="E1638" s="39"/>
      <c r="G1638" s="40"/>
      <c r="H1638" s="15"/>
      <c r="I1638" s="17"/>
      <c r="J1638" s="10"/>
      <c r="M1638" s="39"/>
      <c r="O1638" s="39"/>
      <c r="Q1638" s="39"/>
      <c r="R1638" s="28"/>
      <c r="S1638" s="28"/>
      <c r="T1638" s="28"/>
      <c r="U1638" s="4"/>
      <c r="V1638" s="3"/>
      <c r="W1638" s="3"/>
    </row>
    <row r="1639" spans="1:23" s="5" customFormat="1">
      <c r="A1639" s="6"/>
      <c r="B1639" s="33"/>
      <c r="C1639" s="35"/>
      <c r="E1639" s="39"/>
      <c r="G1639" s="40"/>
      <c r="H1639" s="15"/>
      <c r="I1639" s="17"/>
      <c r="J1639" s="10"/>
      <c r="M1639" s="39"/>
      <c r="O1639" s="39"/>
      <c r="Q1639" s="39"/>
      <c r="R1639" s="28"/>
      <c r="S1639" s="28"/>
      <c r="T1639" s="28"/>
      <c r="U1639" s="4"/>
      <c r="V1639" s="3"/>
      <c r="W1639" s="3"/>
    </row>
    <row r="1640" spans="1:23" s="5" customFormat="1">
      <c r="A1640" s="6"/>
      <c r="B1640" s="33"/>
      <c r="C1640" s="35"/>
      <c r="E1640" s="39"/>
      <c r="G1640" s="40"/>
      <c r="H1640" s="15"/>
      <c r="I1640" s="17"/>
      <c r="J1640" s="10"/>
      <c r="M1640" s="39"/>
      <c r="O1640" s="39"/>
      <c r="Q1640" s="39"/>
      <c r="R1640" s="28"/>
      <c r="S1640" s="28"/>
      <c r="T1640" s="28"/>
      <c r="U1640" s="4"/>
      <c r="V1640" s="3"/>
      <c r="W1640" s="3"/>
    </row>
    <row r="1641" spans="1:23" s="5" customFormat="1">
      <c r="A1641" s="6"/>
      <c r="B1641" s="33"/>
      <c r="C1641" s="35"/>
      <c r="E1641" s="39"/>
      <c r="G1641" s="40"/>
      <c r="H1641" s="14"/>
      <c r="I1641" s="17"/>
      <c r="J1641" s="10"/>
      <c r="M1641" s="39"/>
      <c r="O1641" s="39"/>
      <c r="Q1641" s="39"/>
      <c r="R1641" s="28"/>
      <c r="S1641" s="28"/>
      <c r="T1641" s="28"/>
      <c r="U1641" s="4"/>
      <c r="V1641" s="3"/>
      <c r="W1641" s="3"/>
    </row>
    <row r="1642" spans="1:23" s="5" customFormat="1">
      <c r="A1642" s="6"/>
      <c r="B1642" s="33"/>
      <c r="C1642" s="35"/>
      <c r="E1642" s="39"/>
      <c r="G1642" s="40"/>
      <c r="H1642" s="15"/>
      <c r="I1642" s="17"/>
      <c r="J1642" s="10"/>
      <c r="M1642" s="39"/>
      <c r="O1642" s="39"/>
      <c r="Q1642" s="39"/>
      <c r="R1642" s="28"/>
      <c r="S1642" s="28"/>
      <c r="T1642" s="28"/>
      <c r="U1642" s="4"/>
      <c r="V1642" s="3"/>
      <c r="W1642" s="3"/>
    </row>
    <row r="1643" spans="1:23" s="5" customFormat="1">
      <c r="A1643" s="6"/>
      <c r="B1643" s="33"/>
      <c r="C1643" s="35"/>
      <c r="E1643" s="39"/>
      <c r="G1643" s="40"/>
      <c r="H1643" s="15"/>
      <c r="I1643" s="17"/>
      <c r="J1643" s="10"/>
      <c r="M1643" s="39"/>
      <c r="O1643" s="39"/>
      <c r="Q1643" s="39"/>
      <c r="R1643" s="28"/>
      <c r="S1643" s="28"/>
      <c r="T1643" s="28"/>
      <c r="U1643" s="4"/>
      <c r="V1643" s="3"/>
      <c r="W1643" s="3"/>
    </row>
    <row r="1644" spans="1:23" s="5" customFormat="1">
      <c r="A1644" s="6"/>
      <c r="B1644" s="33"/>
      <c r="C1644" s="35"/>
      <c r="E1644" s="39"/>
      <c r="G1644" s="40"/>
      <c r="H1644" s="15"/>
      <c r="I1644" s="17"/>
      <c r="J1644" s="10"/>
      <c r="M1644" s="39"/>
      <c r="O1644" s="39"/>
      <c r="Q1644" s="39"/>
      <c r="R1644" s="28"/>
      <c r="S1644" s="28"/>
      <c r="T1644" s="28"/>
      <c r="U1644" s="4"/>
      <c r="V1644" s="3"/>
      <c r="W1644" s="3"/>
    </row>
    <row r="1645" spans="1:23" s="5" customFormat="1">
      <c r="A1645" s="6"/>
      <c r="B1645" s="33"/>
      <c r="C1645" s="35"/>
      <c r="E1645" s="39"/>
      <c r="G1645" s="40"/>
      <c r="H1645" s="14"/>
      <c r="I1645" s="17"/>
      <c r="J1645" s="10"/>
      <c r="M1645" s="39"/>
      <c r="O1645" s="39"/>
      <c r="Q1645" s="39"/>
      <c r="R1645" s="28"/>
      <c r="S1645" s="29"/>
      <c r="T1645" s="28"/>
      <c r="U1645" s="4"/>
      <c r="V1645" s="3"/>
      <c r="W1645" s="3"/>
    </row>
    <row r="1646" spans="1:23" s="5" customFormat="1">
      <c r="A1646" s="6"/>
      <c r="B1646" s="33"/>
      <c r="C1646" s="35"/>
      <c r="E1646" s="39"/>
      <c r="G1646" s="40"/>
      <c r="H1646" s="15"/>
      <c r="I1646" s="17"/>
      <c r="J1646" s="10"/>
      <c r="M1646" s="39"/>
      <c r="O1646" s="39"/>
      <c r="Q1646" s="39"/>
      <c r="R1646" s="28"/>
      <c r="S1646" s="28"/>
      <c r="T1646" s="28"/>
      <c r="U1646" s="4"/>
      <c r="V1646" s="3"/>
      <c r="W1646" s="3"/>
    </row>
    <row r="1647" spans="1:23" s="5" customFormat="1">
      <c r="A1647" s="6"/>
      <c r="B1647" s="33"/>
      <c r="C1647" s="35"/>
      <c r="E1647" s="39"/>
      <c r="G1647" s="40"/>
      <c r="H1647" s="15"/>
      <c r="I1647" s="17"/>
      <c r="J1647" s="10"/>
      <c r="M1647" s="39"/>
      <c r="O1647" s="39"/>
      <c r="Q1647" s="39"/>
      <c r="R1647" s="28"/>
      <c r="S1647" s="28"/>
      <c r="T1647" s="28"/>
      <c r="U1647" s="4"/>
      <c r="V1647" s="3"/>
      <c r="W1647" s="3"/>
    </row>
    <row r="1648" spans="1:23" s="5" customFormat="1">
      <c r="A1648" s="6"/>
      <c r="B1648" s="33"/>
      <c r="C1648" s="35"/>
      <c r="E1648" s="39"/>
      <c r="G1648" s="40"/>
      <c r="H1648" s="15"/>
      <c r="I1648" s="17"/>
      <c r="J1648" s="10"/>
      <c r="M1648" s="39"/>
      <c r="O1648" s="39"/>
      <c r="Q1648" s="39"/>
      <c r="R1648" s="28"/>
      <c r="S1648" s="28"/>
      <c r="T1648" s="28"/>
      <c r="U1648" s="4"/>
      <c r="V1648" s="3"/>
      <c r="W1648" s="3"/>
    </row>
    <row r="1649" spans="1:23" s="5" customFormat="1">
      <c r="A1649" s="6"/>
      <c r="B1649" s="33"/>
      <c r="C1649" s="35"/>
      <c r="E1649" s="39"/>
      <c r="G1649" s="40"/>
      <c r="H1649" s="15"/>
      <c r="I1649" s="17"/>
      <c r="J1649" s="10"/>
      <c r="M1649" s="39"/>
      <c r="O1649" s="39"/>
      <c r="Q1649" s="39"/>
      <c r="R1649" s="28"/>
      <c r="S1649" s="28"/>
      <c r="T1649" s="28"/>
      <c r="U1649" s="4"/>
      <c r="V1649" s="3"/>
      <c r="W1649" s="3"/>
    </row>
    <row r="1650" spans="1:23" s="5" customFormat="1">
      <c r="A1650" s="6"/>
      <c r="B1650" s="33"/>
      <c r="C1650" s="35"/>
      <c r="E1650" s="39"/>
      <c r="G1650" s="40"/>
      <c r="H1650" s="14"/>
      <c r="I1650" s="17"/>
      <c r="J1650" s="10"/>
      <c r="M1650" s="39"/>
      <c r="O1650" s="39"/>
      <c r="Q1650" s="39"/>
      <c r="R1650" s="28"/>
      <c r="S1650" s="28"/>
      <c r="T1650" s="28"/>
      <c r="U1650" s="4"/>
      <c r="V1650" s="3"/>
      <c r="W1650" s="3"/>
    </row>
    <row r="1651" spans="1:23" s="5" customFormat="1">
      <c r="A1651" s="6"/>
      <c r="B1651" s="33"/>
      <c r="C1651" s="35"/>
      <c r="E1651" s="39"/>
      <c r="G1651" s="40"/>
      <c r="H1651" s="14"/>
      <c r="I1651" s="17"/>
      <c r="J1651" s="10"/>
      <c r="M1651" s="39"/>
      <c r="O1651" s="39"/>
      <c r="Q1651" s="39"/>
      <c r="R1651" s="28"/>
      <c r="S1651" s="29"/>
      <c r="T1651" s="28"/>
      <c r="U1651" s="4"/>
      <c r="V1651" s="3"/>
      <c r="W1651" s="3"/>
    </row>
    <row r="1652" spans="1:23" s="5" customFormat="1">
      <c r="A1652" s="6"/>
      <c r="B1652" s="33"/>
      <c r="C1652" s="35"/>
      <c r="E1652" s="39"/>
      <c r="G1652" s="40"/>
      <c r="H1652" s="15"/>
      <c r="I1652" s="17"/>
      <c r="J1652" s="10"/>
      <c r="M1652" s="39"/>
      <c r="O1652" s="39"/>
      <c r="Q1652" s="39"/>
      <c r="R1652" s="28"/>
      <c r="S1652" s="28"/>
      <c r="T1652" s="28"/>
      <c r="U1652" s="4"/>
      <c r="V1652" s="3"/>
      <c r="W1652" s="3"/>
    </row>
    <row r="1653" spans="1:23" s="5" customFormat="1">
      <c r="A1653" s="6"/>
      <c r="B1653" s="33"/>
      <c r="C1653" s="35"/>
      <c r="E1653" s="39"/>
      <c r="G1653" s="40"/>
      <c r="H1653" s="14"/>
      <c r="I1653" s="17"/>
      <c r="J1653" s="10"/>
      <c r="M1653" s="39"/>
      <c r="O1653" s="39"/>
      <c r="Q1653" s="39"/>
      <c r="R1653" s="28"/>
      <c r="S1653" s="28"/>
      <c r="T1653" s="28"/>
      <c r="U1653" s="4"/>
      <c r="V1653" s="3"/>
      <c r="W1653" s="3"/>
    </row>
    <row r="1654" spans="1:23" s="5" customFormat="1">
      <c r="A1654" s="6"/>
      <c r="B1654" s="33"/>
      <c r="C1654" s="35"/>
      <c r="E1654" s="39"/>
      <c r="G1654" s="40"/>
      <c r="H1654" s="14"/>
      <c r="I1654" s="17"/>
      <c r="J1654" s="10"/>
      <c r="M1654" s="39"/>
      <c r="O1654" s="39"/>
      <c r="Q1654" s="39"/>
      <c r="R1654" s="28"/>
      <c r="S1654" s="29"/>
      <c r="T1654" s="28"/>
      <c r="U1654" s="4"/>
      <c r="V1654" s="3"/>
      <c r="W1654" s="3"/>
    </row>
    <row r="1655" spans="1:23" s="5" customFormat="1">
      <c r="A1655" s="6"/>
      <c r="B1655" s="33"/>
      <c r="C1655" s="35"/>
      <c r="E1655" s="39"/>
      <c r="G1655" s="40"/>
      <c r="H1655" s="14"/>
      <c r="I1655" s="17"/>
      <c r="J1655" s="10"/>
      <c r="M1655" s="39"/>
      <c r="O1655" s="39"/>
      <c r="Q1655" s="39"/>
      <c r="R1655" s="28"/>
      <c r="S1655" s="28"/>
      <c r="T1655" s="28"/>
      <c r="U1655" s="4"/>
      <c r="V1655" s="3"/>
      <c r="W1655" s="3"/>
    </row>
    <row r="1656" spans="1:23" s="5" customFormat="1">
      <c r="A1656" s="6"/>
      <c r="B1656" s="33"/>
      <c r="C1656" s="35"/>
      <c r="E1656" s="39"/>
      <c r="G1656" s="40"/>
      <c r="H1656" s="14"/>
      <c r="I1656" s="17"/>
      <c r="J1656" s="10"/>
      <c r="M1656" s="39"/>
      <c r="O1656" s="39"/>
      <c r="Q1656" s="39"/>
      <c r="R1656" s="28"/>
      <c r="S1656" s="28"/>
      <c r="T1656" s="28"/>
      <c r="U1656" s="4"/>
      <c r="V1656" s="3"/>
      <c r="W1656" s="3"/>
    </row>
    <row r="1657" spans="1:23" s="5" customFormat="1">
      <c r="A1657" s="6"/>
      <c r="B1657" s="33"/>
      <c r="C1657" s="35"/>
      <c r="E1657" s="39"/>
      <c r="G1657" s="40"/>
      <c r="H1657" s="15"/>
      <c r="I1657" s="17"/>
      <c r="J1657" s="10"/>
      <c r="M1657" s="39"/>
      <c r="O1657" s="39"/>
      <c r="Q1657" s="39"/>
      <c r="R1657" s="28"/>
      <c r="S1657" s="28"/>
      <c r="T1657" s="28"/>
      <c r="U1657" s="4"/>
      <c r="V1657" s="3"/>
      <c r="W1657" s="3"/>
    </row>
    <row r="1658" spans="1:23" s="5" customFormat="1">
      <c r="A1658" s="6"/>
      <c r="B1658" s="33"/>
      <c r="C1658" s="35"/>
      <c r="E1658" s="39"/>
      <c r="G1658" s="40"/>
      <c r="H1658" s="14"/>
      <c r="I1658" s="17"/>
      <c r="J1658" s="10"/>
      <c r="M1658" s="39"/>
      <c r="O1658" s="39"/>
      <c r="Q1658" s="39"/>
      <c r="R1658" s="28"/>
      <c r="S1658" s="28"/>
      <c r="T1658" s="28"/>
      <c r="U1658" s="4"/>
      <c r="V1658" s="3"/>
      <c r="W1658" s="3"/>
    </row>
    <row r="1659" spans="1:23" s="5" customFormat="1">
      <c r="A1659" s="6"/>
      <c r="B1659" s="33"/>
      <c r="C1659" s="35"/>
      <c r="E1659" s="39"/>
      <c r="G1659" s="40"/>
      <c r="H1659" s="15"/>
      <c r="I1659" s="17"/>
      <c r="J1659" s="10"/>
      <c r="M1659" s="39"/>
      <c r="O1659" s="39"/>
      <c r="Q1659" s="39"/>
      <c r="R1659" s="28"/>
      <c r="S1659" s="28"/>
      <c r="T1659" s="28"/>
      <c r="U1659" s="4"/>
      <c r="V1659" s="3"/>
      <c r="W1659" s="3"/>
    </row>
    <row r="1660" spans="1:23" s="5" customFormat="1">
      <c r="A1660" s="6"/>
      <c r="B1660" s="33"/>
      <c r="C1660" s="35"/>
      <c r="E1660" s="39"/>
      <c r="G1660" s="40"/>
      <c r="H1660" s="14"/>
      <c r="I1660" s="17"/>
      <c r="J1660" s="10"/>
      <c r="M1660" s="39"/>
      <c r="O1660" s="39"/>
      <c r="Q1660" s="39"/>
      <c r="R1660" s="28"/>
      <c r="S1660" s="28"/>
      <c r="T1660" s="28"/>
      <c r="U1660" s="4"/>
      <c r="V1660" s="3"/>
      <c r="W1660" s="3"/>
    </row>
    <row r="1661" spans="1:23" s="5" customFormat="1">
      <c r="A1661" s="6"/>
      <c r="B1661" s="33"/>
      <c r="C1661" s="35"/>
      <c r="E1661" s="39"/>
      <c r="G1661" s="40"/>
      <c r="H1661" s="14"/>
      <c r="I1661" s="17"/>
      <c r="J1661" s="10"/>
      <c r="M1661" s="39"/>
      <c r="O1661" s="39"/>
      <c r="Q1661" s="39"/>
      <c r="R1661" s="28"/>
      <c r="S1661" s="28"/>
      <c r="T1661" s="28"/>
      <c r="U1661" s="4"/>
      <c r="V1661" s="3"/>
      <c r="W1661" s="3"/>
    </row>
    <row r="1662" spans="1:23" s="5" customFormat="1">
      <c r="A1662" s="6"/>
      <c r="B1662" s="33"/>
      <c r="C1662" s="35"/>
      <c r="E1662" s="39"/>
      <c r="G1662" s="40"/>
      <c r="H1662" s="15"/>
      <c r="I1662" s="17"/>
      <c r="J1662" s="10"/>
      <c r="M1662" s="39"/>
      <c r="O1662" s="39"/>
      <c r="Q1662" s="39"/>
      <c r="R1662" s="28"/>
      <c r="S1662" s="28"/>
      <c r="T1662" s="28"/>
      <c r="U1662" s="4"/>
      <c r="V1662" s="3"/>
      <c r="W1662" s="3"/>
    </row>
    <row r="1663" spans="1:23" s="5" customFormat="1">
      <c r="A1663" s="6"/>
      <c r="B1663" s="33"/>
      <c r="C1663" s="35"/>
      <c r="E1663" s="39"/>
      <c r="G1663" s="40"/>
      <c r="H1663" s="15"/>
      <c r="I1663" s="17"/>
      <c r="J1663" s="10"/>
      <c r="M1663" s="39"/>
      <c r="O1663" s="39"/>
      <c r="Q1663" s="39"/>
      <c r="R1663" s="28"/>
      <c r="S1663" s="28"/>
      <c r="T1663" s="28"/>
      <c r="U1663" s="4"/>
      <c r="V1663" s="3"/>
      <c r="W1663" s="3"/>
    </row>
    <row r="1664" spans="1:23" s="5" customFormat="1">
      <c r="A1664" s="6"/>
      <c r="B1664" s="33"/>
      <c r="C1664" s="35"/>
      <c r="E1664" s="39"/>
      <c r="G1664" s="40"/>
      <c r="H1664" s="15"/>
      <c r="I1664" s="17"/>
      <c r="J1664" s="10"/>
      <c r="M1664" s="39"/>
      <c r="O1664" s="39"/>
      <c r="Q1664" s="39"/>
      <c r="R1664" s="28"/>
      <c r="S1664" s="28"/>
      <c r="T1664" s="28"/>
      <c r="U1664" s="4"/>
      <c r="V1664" s="3"/>
      <c r="W1664" s="3"/>
    </row>
    <row r="1665" spans="1:23" s="5" customFormat="1">
      <c r="A1665" s="6"/>
      <c r="B1665" s="33"/>
      <c r="C1665" s="35"/>
      <c r="E1665" s="39"/>
      <c r="G1665" s="40"/>
      <c r="H1665" s="15"/>
      <c r="I1665" s="17"/>
      <c r="J1665" s="10"/>
      <c r="M1665" s="39"/>
      <c r="O1665" s="39"/>
      <c r="Q1665" s="39"/>
      <c r="R1665" s="28"/>
      <c r="S1665" s="28"/>
      <c r="T1665" s="28"/>
      <c r="U1665" s="4"/>
      <c r="V1665" s="3"/>
      <c r="W1665" s="3"/>
    </row>
    <row r="1666" spans="1:23" s="5" customFormat="1">
      <c r="A1666" s="6"/>
      <c r="B1666" s="33"/>
      <c r="C1666" s="35"/>
      <c r="E1666" s="39"/>
      <c r="G1666" s="40"/>
      <c r="H1666" s="15"/>
      <c r="I1666" s="17"/>
      <c r="J1666" s="10"/>
      <c r="M1666" s="39"/>
      <c r="O1666" s="39"/>
      <c r="Q1666" s="39"/>
      <c r="R1666" s="28"/>
      <c r="S1666" s="28"/>
      <c r="T1666" s="28"/>
      <c r="U1666" s="4"/>
      <c r="V1666" s="3"/>
      <c r="W1666" s="3"/>
    </row>
    <row r="1667" spans="1:23" s="5" customFormat="1">
      <c r="A1667" s="6"/>
      <c r="B1667" s="33"/>
      <c r="C1667" s="35"/>
      <c r="E1667" s="39"/>
      <c r="G1667" s="40"/>
      <c r="H1667" s="15"/>
      <c r="I1667" s="17"/>
      <c r="J1667" s="10"/>
      <c r="M1667" s="39"/>
      <c r="O1667" s="39"/>
      <c r="Q1667" s="39"/>
      <c r="R1667" s="28"/>
      <c r="S1667" s="28"/>
      <c r="T1667" s="28"/>
      <c r="U1667" s="4"/>
      <c r="V1667" s="3"/>
      <c r="W1667" s="3"/>
    </row>
    <row r="1668" spans="1:23" s="5" customFormat="1">
      <c r="A1668" s="6"/>
      <c r="B1668" s="33"/>
      <c r="C1668" s="35"/>
      <c r="E1668" s="39"/>
      <c r="G1668" s="40"/>
      <c r="H1668" s="15"/>
      <c r="I1668" s="17"/>
      <c r="J1668" s="10"/>
      <c r="M1668" s="39"/>
      <c r="O1668" s="39"/>
      <c r="Q1668" s="39"/>
      <c r="R1668" s="28"/>
      <c r="S1668" s="28"/>
      <c r="T1668" s="28"/>
      <c r="U1668" s="4"/>
      <c r="V1668" s="3"/>
      <c r="W1668" s="3"/>
    </row>
    <row r="1669" spans="1:23" s="5" customFormat="1">
      <c r="A1669" s="6"/>
      <c r="B1669" s="33"/>
      <c r="C1669" s="35"/>
      <c r="E1669" s="39"/>
      <c r="G1669" s="40"/>
      <c r="H1669" s="14"/>
      <c r="I1669" s="17"/>
      <c r="J1669" s="10"/>
      <c r="M1669" s="39"/>
      <c r="O1669" s="39"/>
      <c r="Q1669" s="39"/>
      <c r="R1669" s="28"/>
      <c r="S1669" s="28"/>
      <c r="T1669" s="28"/>
      <c r="U1669" s="4"/>
      <c r="V1669" s="3"/>
      <c r="W1669" s="3"/>
    </row>
    <row r="1670" spans="1:23" s="5" customFormat="1">
      <c r="A1670" s="6"/>
      <c r="B1670" s="33"/>
      <c r="C1670" s="35"/>
      <c r="E1670" s="39"/>
      <c r="G1670" s="40"/>
      <c r="H1670" s="15"/>
      <c r="I1670" s="17"/>
      <c r="J1670" s="10"/>
      <c r="M1670" s="39"/>
      <c r="O1670" s="39"/>
      <c r="Q1670" s="39"/>
      <c r="R1670" s="28"/>
      <c r="S1670" s="28"/>
      <c r="T1670" s="28"/>
      <c r="U1670" s="4"/>
      <c r="V1670" s="3"/>
      <c r="W1670" s="3"/>
    </row>
    <row r="1671" spans="1:23" s="5" customFormat="1">
      <c r="A1671" s="6"/>
      <c r="B1671" s="33"/>
      <c r="C1671" s="35"/>
      <c r="E1671" s="39"/>
      <c r="G1671" s="40"/>
      <c r="H1671" s="14"/>
      <c r="I1671" s="17"/>
      <c r="J1671" s="10"/>
      <c r="M1671" s="39"/>
      <c r="O1671" s="39"/>
      <c r="Q1671" s="39"/>
      <c r="R1671" s="28"/>
      <c r="S1671" s="28"/>
      <c r="T1671" s="28"/>
      <c r="U1671" s="4"/>
      <c r="V1671" s="3"/>
      <c r="W1671" s="3"/>
    </row>
    <row r="1672" spans="1:23" s="5" customFormat="1">
      <c r="A1672" s="6"/>
      <c r="B1672" s="33"/>
      <c r="C1672" s="35"/>
      <c r="E1672" s="39"/>
      <c r="G1672" s="40"/>
      <c r="H1672" s="14"/>
      <c r="I1672" s="17"/>
      <c r="J1672" s="10"/>
      <c r="M1672" s="39"/>
      <c r="O1672" s="39"/>
      <c r="Q1672" s="39"/>
      <c r="R1672" s="28"/>
      <c r="S1672" s="28"/>
      <c r="T1672" s="28"/>
      <c r="U1672" s="4"/>
      <c r="V1672" s="3"/>
      <c r="W1672" s="3"/>
    </row>
    <row r="1673" spans="1:23" s="5" customFormat="1">
      <c r="A1673" s="6"/>
      <c r="B1673" s="33"/>
      <c r="C1673" s="35"/>
      <c r="E1673" s="39"/>
      <c r="G1673" s="40"/>
      <c r="H1673" s="15"/>
      <c r="I1673" s="17"/>
      <c r="J1673" s="10"/>
      <c r="M1673" s="39"/>
      <c r="O1673" s="39"/>
      <c r="Q1673" s="39"/>
      <c r="R1673" s="28"/>
      <c r="S1673" s="28"/>
      <c r="T1673" s="28"/>
      <c r="U1673" s="4"/>
      <c r="V1673" s="3"/>
      <c r="W1673" s="3"/>
    </row>
    <row r="1674" spans="1:23" s="5" customFormat="1">
      <c r="A1674" s="6"/>
      <c r="B1674" s="33"/>
      <c r="C1674" s="35"/>
      <c r="E1674" s="39"/>
      <c r="G1674" s="40"/>
      <c r="H1674" s="14"/>
      <c r="I1674" s="17"/>
      <c r="J1674" s="10"/>
      <c r="M1674" s="39"/>
      <c r="O1674" s="39"/>
      <c r="Q1674" s="39"/>
      <c r="R1674" s="28"/>
      <c r="S1674" s="28"/>
      <c r="T1674" s="28"/>
      <c r="U1674" s="4"/>
      <c r="V1674" s="3"/>
      <c r="W1674" s="3"/>
    </row>
    <row r="1675" spans="1:23" s="5" customFormat="1">
      <c r="A1675" s="6"/>
      <c r="B1675" s="33"/>
      <c r="C1675" s="35"/>
      <c r="E1675" s="39"/>
      <c r="G1675" s="40"/>
      <c r="H1675" s="15"/>
      <c r="I1675" s="17"/>
      <c r="J1675" s="10"/>
      <c r="M1675" s="39"/>
      <c r="O1675" s="39"/>
      <c r="Q1675" s="39"/>
      <c r="R1675" s="28"/>
      <c r="S1675" s="28"/>
      <c r="T1675" s="28"/>
      <c r="U1675" s="4"/>
      <c r="V1675" s="3"/>
      <c r="W1675" s="3"/>
    </row>
    <row r="1676" spans="1:23" s="5" customFormat="1">
      <c r="A1676" s="6"/>
      <c r="B1676" s="33"/>
      <c r="C1676" s="35"/>
      <c r="E1676" s="39"/>
      <c r="G1676" s="40"/>
      <c r="H1676" s="15"/>
      <c r="I1676" s="17"/>
      <c r="J1676" s="10"/>
      <c r="M1676" s="39"/>
      <c r="O1676" s="39"/>
      <c r="Q1676" s="39"/>
      <c r="R1676" s="28"/>
      <c r="S1676" s="28"/>
      <c r="T1676" s="28"/>
      <c r="U1676" s="4"/>
      <c r="V1676" s="3"/>
      <c r="W1676" s="3"/>
    </row>
    <row r="1677" spans="1:23" s="5" customFormat="1">
      <c r="A1677" s="6"/>
      <c r="B1677" s="33"/>
      <c r="C1677" s="35"/>
      <c r="E1677" s="39"/>
      <c r="G1677" s="40"/>
      <c r="H1677" s="14"/>
      <c r="I1677" s="17"/>
      <c r="J1677" s="10"/>
      <c r="M1677" s="39"/>
      <c r="O1677" s="39"/>
      <c r="Q1677" s="39"/>
      <c r="R1677" s="28"/>
      <c r="S1677" s="28"/>
      <c r="T1677" s="28"/>
      <c r="U1677" s="4"/>
      <c r="V1677" s="3"/>
      <c r="W1677" s="3"/>
    </row>
    <row r="1678" spans="1:23" s="5" customFormat="1">
      <c r="A1678" s="6"/>
      <c r="B1678" s="33"/>
      <c r="C1678" s="35"/>
      <c r="E1678" s="39"/>
      <c r="G1678" s="40"/>
      <c r="H1678" s="14"/>
      <c r="I1678" s="17"/>
      <c r="J1678" s="10"/>
      <c r="M1678" s="39"/>
      <c r="O1678" s="39"/>
      <c r="Q1678" s="39"/>
      <c r="R1678" s="28"/>
      <c r="S1678" s="28"/>
      <c r="T1678" s="28"/>
      <c r="U1678" s="4"/>
      <c r="V1678" s="3"/>
      <c r="W1678" s="3"/>
    </row>
    <row r="1679" spans="1:23" s="5" customFormat="1">
      <c r="A1679" s="6"/>
      <c r="B1679" s="33"/>
      <c r="C1679" s="35"/>
      <c r="E1679" s="39"/>
      <c r="G1679" s="40"/>
      <c r="H1679" s="15"/>
      <c r="I1679" s="17"/>
      <c r="J1679" s="10"/>
      <c r="M1679" s="39"/>
      <c r="O1679" s="39"/>
      <c r="Q1679" s="39"/>
      <c r="R1679" s="28"/>
      <c r="S1679" s="28"/>
      <c r="T1679" s="28"/>
      <c r="U1679" s="4"/>
      <c r="V1679" s="3"/>
      <c r="W1679" s="3"/>
    </row>
    <row r="1680" spans="1:23" s="5" customFormat="1">
      <c r="A1680" s="6"/>
      <c r="B1680" s="33"/>
      <c r="C1680" s="35"/>
      <c r="E1680" s="39"/>
      <c r="G1680" s="40"/>
      <c r="H1680" s="15"/>
      <c r="I1680" s="17"/>
      <c r="J1680" s="10"/>
      <c r="M1680" s="39"/>
      <c r="O1680" s="39"/>
      <c r="Q1680" s="39"/>
      <c r="R1680" s="28"/>
      <c r="S1680" s="28"/>
      <c r="T1680" s="28"/>
      <c r="U1680" s="4"/>
      <c r="V1680" s="3"/>
      <c r="W1680" s="3"/>
    </row>
    <row r="1681" spans="1:23" s="5" customFormat="1">
      <c r="A1681" s="6"/>
      <c r="B1681" s="33"/>
      <c r="C1681" s="35"/>
      <c r="E1681" s="39"/>
      <c r="G1681" s="40"/>
      <c r="H1681" s="15"/>
      <c r="I1681" s="17"/>
      <c r="J1681" s="10"/>
      <c r="M1681" s="39"/>
      <c r="O1681" s="39"/>
      <c r="Q1681" s="39"/>
      <c r="R1681" s="28"/>
      <c r="S1681" s="28"/>
      <c r="T1681" s="28"/>
      <c r="U1681" s="4"/>
      <c r="V1681" s="3"/>
      <c r="W1681" s="3"/>
    </row>
    <row r="1682" spans="1:23" s="5" customFormat="1">
      <c r="A1682" s="6"/>
      <c r="B1682" s="33"/>
      <c r="C1682" s="35"/>
      <c r="E1682" s="39"/>
      <c r="G1682" s="40"/>
      <c r="H1682" s="14"/>
      <c r="I1682" s="17"/>
      <c r="J1682" s="10"/>
      <c r="M1682" s="39"/>
      <c r="O1682" s="39"/>
      <c r="Q1682" s="39"/>
      <c r="R1682" s="28"/>
      <c r="S1682" s="28"/>
      <c r="T1682" s="28"/>
      <c r="U1682" s="4"/>
      <c r="V1682" s="3"/>
      <c r="W1682" s="3"/>
    </row>
    <row r="1683" spans="1:23" s="5" customFormat="1">
      <c r="A1683" s="6"/>
      <c r="B1683" s="33"/>
      <c r="C1683" s="35"/>
      <c r="E1683" s="39"/>
      <c r="G1683" s="40"/>
      <c r="H1683" s="14"/>
      <c r="I1683" s="17"/>
      <c r="J1683" s="10"/>
      <c r="M1683" s="39"/>
      <c r="O1683" s="39"/>
      <c r="Q1683" s="39"/>
      <c r="R1683" s="28"/>
      <c r="S1683" s="28"/>
      <c r="T1683" s="28"/>
      <c r="U1683" s="4"/>
      <c r="V1683" s="3"/>
      <c r="W1683" s="3"/>
    </row>
    <row r="1684" spans="1:23" s="5" customFormat="1">
      <c r="A1684" s="6"/>
      <c r="B1684" s="33"/>
      <c r="C1684" s="35"/>
      <c r="E1684" s="39"/>
      <c r="G1684" s="40"/>
      <c r="H1684" s="14"/>
      <c r="I1684" s="17"/>
      <c r="J1684" s="10"/>
      <c r="M1684" s="39"/>
      <c r="O1684" s="39"/>
      <c r="Q1684" s="39"/>
      <c r="R1684" s="28"/>
      <c r="S1684" s="28"/>
      <c r="T1684" s="28"/>
      <c r="U1684" s="4"/>
      <c r="V1684" s="3"/>
      <c r="W1684" s="3"/>
    </row>
    <row r="1685" spans="1:23" s="5" customFormat="1">
      <c r="A1685" s="6"/>
      <c r="B1685" s="33"/>
      <c r="C1685" s="35"/>
      <c r="E1685" s="39"/>
      <c r="G1685" s="40"/>
      <c r="H1685" s="14"/>
      <c r="I1685" s="17"/>
      <c r="J1685" s="10"/>
      <c r="M1685" s="39"/>
      <c r="O1685" s="39"/>
      <c r="Q1685" s="39"/>
      <c r="R1685" s="28"/>
      <c r="S1685" s="28"/>
      <c r="T1685" s="28"/>
      <c r="U1685" s="4"/>
      <c r="V1685" s="3"/>
      <c r="W1685" s="3"/>
    </row>
    <row r="1686" spans="1:23" s="5" customFormat="1">
      <c r="A1686" s="6"/>
      <c r="B1686" s="33"/>
      <c r="C1686" s="35"/>
      <c r="E1686" s="39"/>
      <c r="G1686" s="40"/>
      <c r="H1686" s="14"/>
      <c r="I1686" s="17"/>
      <c r="J1686" s="10"/>
      <c r="M1686" s="39"/>
      <c r="O1686" s="39"/>
      <c r="Q1686" s="39"/>
      <c r="R1686" s="28"/>
      <c r="S1686" s="29"/>
      <c r="T1686" s="28"/>
      <c r="U1686" s="4"/>
      <c r="V1686" s="3"/>
      <c r="W1686" s="3"/>
    </row>
    <row r="1687" spans="1:23" s="5" customFormat="1">
      <c r="A1687" s="20"/>
      <c r="B1687" s="33"/>
      <c r="C1687" s="35"/>
      <c r="D1687" s="1"/>
      <c r="E1687" s="39"/>
      <c r="F1687" s="1"/>
      <c r="G1687" s="40"/>
      <c r="H1687" s="12"/>
      <c r="I1687" s="9"/>
      <c r="J1687" s="12"/>
      <c r="L1687" s="1"/>
      <c r="M1687" s="39"/>
      <c r="N1687" s="1"/>
      <c r="O1687" s="39"/>
      <c r="P1687" s="1"/>
      <c r="Q1687" s="39"/>
      <c r="R1687" s="28"/>
      <c r="S1687" s="29"/>
      <c r="T1687" s="28"/>
      <c r="U1687" s="4"/>
      <c r="V1687" s="3"/>
      <c r="W1687" s="3"/>
    </row>
    <row r="1688" spans="1:23" s="5" customFormat="1">
      <c r="A1688" s="6"/>
      <c r="B1688" s="33"/>
      <c r="C1688" s="35"/>
      <c r="E1688" s="39"/>
      <c r="G1688" s="40"/>
      <c r="H1688" s="15"/>
      <c r="I1688" s="17"/>
      <c r="J1688" s="10"/>
      <c r="K1688" s="1"/>
      <c r="M1688" s="39"/>
      <c r="O1688" s="39"/>
      <c r="Q1688" s="39"/>
      <c r="R1688" s="29"/>
      <c r="S1688" s="29"/>
      <c r="T1688" s="28"/>
      <c r="U1688" s="4"/>
      <c r="V1688" s="3"/>
      <c r="W1688" s="3"/>
    </row>
    <row r="1689" spans="1:23" s="5" customFormat="1">
      <c r="A1689" s="6"/>
      <c r="B1689" s="33"/>
      <c r="C1689" s="35"/>
      <c r="E1689" s="39"/>
      <c r="G1689" s="40"/>
      <c r="H1689" s="15"/>
      <c r="I1689" s="17"/>
      <c r="J1689" s="10"/>
      <c r="M1689" s="39"/>
      <c r="O1689" s="39"/>
      <c r="Q1689" s="39"/>
      <c r="R1689" s="28"/>
      <c r="S1689" s="28"/>
      <c r="T1689" s="28"/>
      <c r="U1689" s="4"/>
      <c r="V1689" s="3"/>
      <c r="W1689" s="3"/>
    </row>
    <row r="1690" spans="1:23" s="5" customFormat="1">
      <c r="A1690" s="6"/>
      <c r="B1690" s="33"/>
      <c r="C1690" s="35"/>
      <c r="E1690" s="39"/>
      <c r="G1690" s="40"/>
      <c r="H1690" s="15"/>
      <c r="I1690" s="17"/>
      <c r="J1690" s="10"/>
      <c r="M1690" s="39"/>
      <c r="O1690" s="39"/>
      <c r="Q1690" s="39"/>
      <c r="R1690" s="28"/>
      <c r="S1690" s="28"/>
      <c r="T1690" s="28"/>
      <c r="U1690" s="4"/>
      <c r="V1690" s="3"/>
      <c r="W1690" s="3"/>
    </row>
    <row r="1691" spans="1:23" s="5" customFormat="1">
      <c r="A1691" s="6"/>
      <c r="B1691" s="33"/>
      <c r="C1691" s="35"/>
      <c r="E1691" s="39"/>
      <c r="G1691" s="40"/>
      <c r="H1691" s="15"/>
      <c r="I1691" s="17"/>
      <c r="J1691" s="10"/>
      <c r="M1691" s="39"/>
      <c r="O1691" s="39"/>
      <c r="Q1691" s="39"/>
      <c r="R1691" s="28"/>
      <c r="S1691" s="28"/>
      <c r="T1691" s="28"/>
      <c r="U1691" s="4"/>
      <c r="V1691" s="3"/>
      <c r="W1691" s="3"/>
    </row>
    <row r="1692" spans="1:23" s="5" customFormat="1">
      <c r="A1692" s="6"/>
      <c r="B1692" s="33"/>
      <c r="C1692" s="35"/>
      <c r="E1692" s="39"/>
      <c r="G1692" s="40"/>
      <c r="H1692" s="15"/>
      <c r="I1692" s="17"/>
      <c r="J1692" s="10"/>
      <c r="M1692" s="39"/>
      <c r="O1692" s="39"/>
      <c r="Q1692" s="39"/>
      <c r="R1692" s="28"/>
      <c r="S1692" s="28"/>
      <c r="T1692" s="28"/>
      <c r="U1692" s="4"/>
      <c r="V1692" s="3"/>
      <c r="W1692" s="3"/>
    </row>
    <row r="1693" spans="1:23" s="5" customFormat="1">
      <c r="A1693" s="6"/>
      <c r="B1693" s="33"/>
      <c r="C1693" s="35"/>
      <c r="E1693" s="39"/>
      <c r="G1693" s="40"/>
      <c r="H1693" s="15"/>
      <c r="I1693" s="17"/>
      <c r="J1693" s="10"/>
      <c r="M1693" s="39"/>
      <c r="O1693" s="39"/>
      <c r="Q1693" s="39"/>
      <c r="R1693" s="28"/>
      <c r="S1693" s="28"/>
      <c r="T1693" s="28"/>
      <c r="U1693" s="4"/>
      <c r="V1693" s="3"/>
      <c r="W1693" s="3"/>
    </row>
    <row r="1694" spans="1:23" s="5" customFormat="1">
      <c r="A1694" s="6"/>
      <c r="B1694" s="33"/>
      <c r="C1694" s="35"/>
      <c r="E1694" s="39"/>
      <c r="G1694" s="40"/>
      <c r="H1694" s="15"/>
      <c r="I1694" s="17"/>
      <c r="J1694" s="10"/>
      <c r="M1694" s="39"/>
      <c r="O1694" s="39"/>
      <c r="Q1694" s="39"/>
      <c r="R1694" s="28"/>
      <c r="S1694" s="28"/>
      <c r="T1694" s="28"/>
      <c r="U1694" s="4"/>
      <c r="V1694" s="3"/>
      <c r="W1694" s="3"/>
    </row>
    <row r="1695" spans="1:23" s="5" customFormat="1">
      <c r="A1695" s="6"/>
      <c r="B1695" s="33"/>
      <c r="C1695" s="35"/>
      <c r="E1695" s="39"/>
      <c r="G1695" s="40"/>
      <c r="H1695" s="15"/>
      <c r="I1695" s="17"/>
      <c r="J1695" s="10"/>
      <c r="M1695" s="39"/>
      <c r="O1695" s="39"/>
      <c r="Q1695" s="39"/>
      <c r="R1695" s="28"/>
      <c r="S1695" s="28"/>
      <c r="T1695" s="28"/>
      <c r="U1695" s="4"/>
      <c r="V1695" s="3"/>
      <c r="W1695" s="3"/>
    </row>
    <row r="1696" spans="1:23" s="5" customFormat="1">
      <c r="A1696" s="6"/>
      <c r="B1696" s="33"/>
      <c r="C1696" s="35"/>
      <c r="E1696" s="39"/>
      <c r="G1696" s="40"/>
      <c r="H1696" s="15"/>
      <c r="I1696" s="17"/>
      <c r="J1696" s="10"/>
      <c r="M1696" s="39"/>
      <c r="O1696" s="39"/>
      <c r="Q1696" s="39"/>
      <c r="R1696" s="28"/>
      <c r="S1696" s="28"/>
      <c r="T1696" s="28"/>
      <c r="U1696" s="4"/>
      <c r="V1696" s="3"/>
      <c r="W1696" s="3"/>
    </row>
    <row r="1697" spans="1:23" s="5" customFormat="1">
      <c r="A1697" s="20"/>
      <c r="B1697" s="33"/>
      <c r="C1697" s="35"/>
      <c r="D1697" s="1"/>
      <c r="E1697" s="39"/>
      <c r="F1697" s="1"/>
      <c r="G1697" s="40"/>
      <c r="H1697" s="12"/>
      <c r="I1697" s="17"/>
      <c r="J1697" s="11"/>
      <c r="L1697" s="1"/>
      <c r="M1697" s="39"/>
      <c r="N1697" s="1"/>
      <c r="O1697" s="39"/>
      <c r="P1697" s="1"/>
      <c r="Q1697" s="39"/>
      <c r="R1697" s="28"/>
      <c r="S1697" s="28"/>
      <c r="T1697" s="28"/>
      <c r="U1697" s="4"/>
      <c r="V1697" s="3"/>
      <c r="W1697" s="3"/>
    </row>
    <row r="1698" spans="1:23" s="5" customFormat="1">
      <c r="A1698" s="6"/>
      <c r="B1698" s="33"/>
      <c r="C1698" s="35"/>
      <c r="E1698" s="39"/>
      <c r="G1698" s="40"/>
      <c r="H1698" s="14"/>
      <c r="I1698" s="17"/>
      <c r="J1698" s="10"/>
      <c r="M1698" s="39"/>
      <c r="O1698" s="39"/>
      <c r="Q1698" s="39"/>
      <c r="R1698" s="28"/>
      <c r="S1698" s="28"/>
      <c r="T1698" s="28"/>
      <c r="U1698" s="4"/>
      <c r="V1698" s="3"/>
      <c r="W1698" s="3"/>
    </row>
    <row r="1699" spans="1:23" s="5" customFormat="1">
      <c r="A1699" s="6"/>
      <c r="B1699" s="33"/>
      <c r="C1699" s="35"/>
      <c r="E1699" s="39"/>
      <c r="G1699" s="40"/>
      <c r="H1699" s="14"/>
      <c r="I1699" s="17"/>
      <c r="J1699" s="10"/>
      <c r="M1699" s="39"/>
      <c r="O1699" s="39"/>
      <c r="Q1699" s="39"/>
      <c r="R1699" s="28"/>
      <c r="S1699" s="28"/>
      <c r="T1699" s="28"/>
      <c r="U1699" s="4"/>
      <c r="V1699" s="3"/>
      <c r="W1699" s="3"/>
    </row>
    <row r="1700" spans="1:23" s="5" customFormat="1">
      <c r="A1700" s="6"/>
      <c r="B1700" s="33"/>
      <c r="C1700" s="35"/>
      <c r="E1700" s="39"/>
      <c r="G1700" s="40"/>
      <c r="H1700" s="15"/>
      <c r="I1700" s="17"/>
      <c r="J1700" s="10"/>
      <c r="M1700" s="39"/>
      <c r="O1700" s="39"/>
      <c r="Q1700" s="39"/>
      <c r="R1700" s="28"/>
      <c r="S1700" s="28"/>
      <c r="T1700" s="28"/>
      <c r="U1700" s="4"/>
      <c r="V1700" s="3"/>
      <c r="W1700" s="3"/>
    </row>
    <row r="1701" spans="1:23" s="5" customFormat="1">
      <c r="A1701" s="6"/>
      <c r="B1701" s="33"/>
      <c r="C1701" s="35"/>
      <c r="E1701" s="39"/>
      <c r="G1701" s="40"/>
      <c r="H1701" s="14"/>
      <c r="I1701" s="17"/>
      <c r="J1701" s="10"/>
      <c r="M1701" s="39"/>
      <c r="O1701" s="39"/>
      <c r="Q1701" s="39"/>
      <c r="R1701" s="28"/>
      <c r="S1701" s="28"/>
      <c r="T1701" s="28"/>
      <c r="U1701" s="4"/>
      <c r="V1701" s="3"/>
      <c r="W1701" s="3"/>
    </row>
    <row r="1702" spans="1:23" s="5" customFormat="1">
      <c r="A1702" s="6"/>
      <c r="B1702" s="33"/>
      <c r="C1702" s="35"/>
      <c r="E1702" s="39"/>
      <c r="G1702" s="40"/>
      <c r="H1702" s="14"/>
      <c r="I1702" s="17"/>
      <c r="J1702" s="10"/>
      <c r="M1702" s="39"/>
      <c r="O1702" s="39"/>
      <c r="Q1702" s="39"/>
      <c r="R1702" s="28"/>
      <c r="S1702" s="28"/>
      <c r="T1702" s="28"/>
      <c r="U1702" s="4"/>
      <c r="V1702" s="3"/>
      <c r="W1702" s="3"/>
    </row>
    <row r="1703" spans="1:23" s="5" customFormat="1">
      <c r="A1703" s="6"/>
      <c r="B1703" s="33"/>
      <c r="C1703" s="35"/>
      <c r="E1703" s="39"/>
      <c r="G1703" s="40"/>
      <c r="H1703" s="14"/>
      <c r="I1703" s="17"/>
      <c r="J1703" s="10"/>
      <c r="M1703" s="39"/>
      <c r="O1703" s="39"/>
      <c r="Q1703" s="39"/>
      <c r="R1703" s="28"/>
      <c r="S1703" s="28"/>
      <c r="T1703" s="28"/>
      <c r="U1703" s="4"/>
      <c r="V1703" s="3"/>
      <c r="W1703" s="3"/>
    </row>
    <row r="1704" spans="1:23" s="5" customFormat="1">
      <c r="A1704" s="6"/>
      <c r="B1704" s="33"/>
      <c r="C1704" s="35"/>
      <c r="E1704" s="39"/>
      <c r="G1704" s="40"/>
      <c r="H1704" s="15"/>
      <c r="I1704" s="17"/>
      <c r="J1704" s="10"/>
      <c r="M1704" s="39"/>
      <c r="O1704" s="39"/>
      <c r="Q1704" s="39"/>
      <c r="R1704" s="28"/>
      <c r="S1704" s="28"/>
      <c r="T1704" s="28"/>
      <c r="U1704" s="4"/>
      <c r="V1704" s="3"/>
      <c r="W1704" s="3"/>
    </row>
    <row r="1705" spans="1:23" s="5" customFormat="1">
      <c r="A1705" s="6"/>
      <c r="B1705" s="33"/>
      <c r="C1705" s="35"/>
      <c r="E1705" s="39"/>
      <c r="G1705" s="40"/>
      <c r="H1705" s="14"/>
      <c r="I1705" s="17"/>
      <c r="J1705" s="10"/>
      <c r="M1705" s="39"/>
      <c r="O1705" s="39"/>
      <c r="Q1705" s="39"/>
      <c r="R1705" s="28"/>
      <c r="S1705" s="28"/>
      <c r="T1705" s="28"/>
      <c r="U1705" s="4"/>
      <c r="V1705" s="3"/>
      <c r="W1705" s="3"/>
    </row>
    <row r="1706" spans="1:23" s="5" customFormat="1">
      <c r="A1706" s="6"/>
      <c r="B1706" s="33"/>
      <c r="C1706" s="35"/>
      <c r="E1706" s="39"/>
      <c r="G1706" s="40"/>
      <c r="H1706" s="15"/>
      <c r="I1706" s="17"/>
      <c r="J1706" s="10"/>
      <c r="M1706" s="39"/>
      <c r="O1706" s="39"/>
      <c r="Q1706" s="39"/>
      <c r="R1706" s="28"/>
      <c r="S1706" s="28"/>
      <c r="T1706" s="28"/>
      <c r="U1706" s="4"/>
      <c r="V1706" s="3"/>
      <c r="W1706" s="3"/>
    </row>
    <row r="1707" spans="1:23" s="5" customFormat="1">
      <c r="A1707" s="6"/>
      <c r="B1707" s="33"/>
      <c r="C1707" s="35"/>
      <c r="E1707" s="39"/>
      <c r="G1707" s="40"/>
      <c r="H1707" s="14"/>
      <c r="I1707" s="17"/>
      <c r="J1707" s="10"/>
      <c r="M1707" s="39"/>
      <c r="O1707" s="39"/>
      <c r="Q1707" s="39"/>
      <c r="R1707" s="28"/>
      <c r="S1707" s="28"/>
      <c r="T1707" s="28"/>
      <c r="U1707" s="4"/>
      <c r="V1707" s="3"/>
      <c r="W1707" s="3"/>
    </row>
    <row r="1708" spans="1:23" s="5" customFormat="1">
      <c r="A1708" s="6"/>
      <c r="B1708" s="33"/>
      <c r="C1708" s="35"/>
      <c r="E1708" s="39"/>
      <c r="G1708" s="40"/>
      <c r="H1708" s="15"/>
      <c r="I1708" s="17"/>
      <c r="J1708" s="10"/>
      <c r="M1708" s="39"/>
      <c r="O1708" s="39"/>
      <c r="Q1708" s="39"/>
      <c r="R1708" s="28"/>
      <c r="S1708" s="28"/>
      <c r="T1708" s="28"/>
      <c r="U1708" s="4"/>
      <c r="V1708" s="3"/>
      <c r="W1708" s="3"/>
    </row>
    <row r="1709" spans="1:23" s="5" customFormat="1">
      <c r="A1709" s="6"/>
      <c r="B1709" s="33"/>
      <c r="C1709" s="35"/>
      <c r="E1709" s="39"/>
      <c r="G1709" s="40"/>
      <c r="H1709" s="14"/>
      <c r="I1709" s="17"/>
      <c r="J1709" s="10"/>
      <c r="M1709" s="39"/>
      <c r="O1709" s="39"/>
      <c r="Q1709" s="39"/>
      <c r="R1709" s="28"/>
      <c r="S1709" s="28"/>
      <c r="T1709" s="28"/>
      <c r="U1709" s="4"/>
      <c r="V1709" s="3"/>
      <c r="W1709" s="3"/>
    </row>
    <row r="1710" spans="1:23" s="5" customFormat="1">
      <c r="A1710" s="6"/>
      <c r="B1710" s="33"/>
      <c r="C1710" s="35"/>
      <c r="E1710" s="39"/>
      <c r="G1710" s="40"/>
      <c r="H1710" s="15"/>
      <c r="I1710" s="17"/>
      <c r="J1710" s="10"/>
      <c r="M1710" s="39"/>
      <c r="O1710" s="39"/>
      <c r="Q1710" s="39"/>
      <c r="R1710" s="28"/>
      <c r="S1710" s="28"/>
      <c r="T1710" s="28"/>
      <c r="U1710" s="4"/>
      <c r="V1710" s="3"/>
      <c r="W1710" s="3"/>
    </row>
    <row r="1711" spans="1:23" s="5" customFormat="1">
      <c r="A1711" s="6"/>
      <c r="B1711" s="33"/>
      <c r="C1711" s="35"/>
      <c r="E1711" s="39"/>
      <c r="G1711" s="40"/>
      <c r="H1711" s="14"/>
      <c r="I1711" s="17"/>
      <c r="J1711" s="10"/>
      <c r="M1711" s="39"/>
      <c r="O1711" s="39"/>
      <c r="Q1711" s="39"/>
      <c r="R1711" s="28"/>
      <c r="S1711" s="28"/>
      <c r="T1711" s="28"/>
      <c r="U1711" s="4"/>
      <c r="V1711" s="3"/>
      <c r="W1711" s="3"/>
    </row>
    <row r="1712" spans="1:23" s="5" customFormat="1">
      <c r="A1712" s="6"/>
      <c r="B1712" s="33"/>
      <c r="C1712" s="35"/>
      <c r="E1712" s="39"/>
      <c r="G1712" s="40"/>
      <c r="H1712" s="15"/>
      <c r="I1712" s="17"/>
      <c r="J1712" s="10"/>
      <c r="M1712" s="39"/>
      <c r="O1712" s="39"/>
      <c r="Q1712" s="39"/>
      <c r="R1712" s="28"/>
      <c r="S1712" s="28"/>
      <c r="T1712" s="28"/>
      <c r="U1712" s="4"/>
      <c r="V1712" s="3"/>
      <c r="W1712" s="3"/>
    </row>
    <row r="1713" spans="1:23" s="5" customFormat="1">
      <c r="A1713" s="6"/>
      <c r="B1713" s="33"/>
      <c r="C1713" s="35"/>
      <c r="E1713" s="39"/>
      <c r="G1713" s="40"/>
      <c r="H1713" s="15"/>
      <c r="I1713" s="17"/>
      <c r="J1713" s="10"/>
      <c r="M1713" s="39"/>
      <c r="O1713" s="39"/>
      <c r="Q1713" s="39"/>
      <c r="R1713" s="28"/>
      <c r="S1713" s="28"/>
      <c r="T1713" s="28"/>
      <c r="U1713" s="4"/>
      <c r="V1713" s="3"/>
      <c r="W1713" s="3"/>
    </row>
    <row r="1714" spans="1:23" s="5" customFormat="1">
      <c r="A1714" s="6"/>
      <c r="B1714" s="33"/>
      <c r="C1714" s="35"/>
      <c r="E1714" s="39"/>
      <c r="G1714" s="40"/>
      <c r="H1714" s="15"/>
      <c r="I1714" s="17"/>
      <c r="J1714" s="10"/>
      <c r="M1714" s="39"/>
      <c r="O1714" s="39"/>
      <c r="Q1714" s="39"/>
      <c r="R1714" s="28"/>
      <c r="S1714" s="28"/>
      <c r="T1714" s="28"/>
      <c r="U1714" s="4"/>
      <c r="V1714" s="3"/>
      <c r="W1714" s="3"/>
    </row>
    <row r="1715" spans="1:23" s="5" customFormat="1">
      <c r="A1715" s="6"/>
      <c r="B1715" s="33"/>
      <c r="C1715" s="35"/>
      <c r="E1715" s="39"/>
      <c r="G1715" s="40"/>
      <c r="H1715" s="15"/>
      <c r="I1715" s="17"/>
      <c r="J1715" s="10"/>
      <c r="M1715" s="39"/>
      <c r="O1715" s="39"/>
      <c r="Q1715" s="39"/>
      <c r="R1715" s="28"/>
      <c r="S1715" s="28"/>
      <c r="T1715" s="28"/>
      <c r="U1715" s="4"/>
      <c r="V1715" s="3"/>
      <c r="W1715" s="3"/>
    </row>
    <row r="1716" spans="1:23" s="5" customFormat="1">
      <c r="A1716" s="6"/>
      <c r="B1716" s="33"/>
      <c r="C1716" s="35"/>
      <c r="E1716" s="39"/>
      <c r="G1716" s="40"/>
      <c r="H1716" s="15"/>
      <c r="I1716" s="17"/>
      <c r="J1716" s="10"/>
      <c r="M1716" s="39"/>
      <c r="O1716" s="39"/>
      <c r="Q1716" s="39"/>
      <c r="R1716" s="28"/>
      <c r="S1716" s="28"/>
      <c r="T1716" s="28"/>
      <c r="U1716" s="4"/>
      <c r="V1716" s="3"/>
      <c r="W1716" s="3"/>
    </row>
    <row r="1717" spans="1:23" s="5" customFormat="1">
      <c r="A1717" s="6"/>
      <c r="B1717" s="33"/>
      <c r="C1717" s="35"/>
      <c r="E1717" s="39"/>
      <c r="G1717" s="40"/>
      <c r="H1717" s="15"/>
      <c r="I1717" s="17"/>
      <c r="J1717" s="10"/>
      <c r="M1717" s="39"/>
      <c r="O1717" s="39"/>
      <c r="Q1717" s="39"/>
      <c r="R1717" s="28"/>
      <c r="S1717" s="28"/>
      <c r="T1717" s="28"/>
      <c r="U1717" s="4"/>
      <c r="V1717" s="3"/>
      <c r="W1717" s="3"/>
    </row>
    <row r="1718" spans="1:23" s="5" customFormat="1">
      <c r="A1718" s="6"/>
      <c r="B1718" s="33"/>
      <c r="C1718" s="35"/>
      <c r="E1718" s="39"/>
      <c r="G1718" s="40"/>
      <c r="H1718" s="15"/>
      <c r="I1718" s="17"/>
      <c r="J1718" s="10"/>
      <c r="M1718" s="39"/>
      <c r="O1718" s="39"/>
      <c r="Q1718" s="39"/>
      <c r="R1718" s="28"/>
      <c r="S1718" s="28"/>
      <c r="T1718" s="28"/>
      <c r="U1718" s="4"/>
      <c r="V1718" s="3"/>
      <c r="W1718" s="3"/>
    </row>
    <row r="1719" spans="1:23" s="5" customFormat="1">
      <c r="A1719" s="6"/>
      <c r="B1719" s="33"/>
      <c r="C1719" s="35"/>
      <c r="E1719" s="39"/>
      <c r="G1719" s="40"/>
      <c r="H1719" s="15"/>
      <c r="I1719" s="17"/>
      <c r="J1719" s="10"/>
      <c r="M1719" s="39"/>
      <c r="O1719" s="39"/>
      <c r="Q1719" s="39"/>
      <c r="R1719" s="28"/>
      <c r="S1719" s="28"/>
      <c r="T1719" s="28"/>
      <c r="U1719" s="4"/>
      <c r="V1719" s="3"/>
      <c r="W1719" s="3"/>
    </row>
    <row r="1720" spans="1:23" s="5" customFormat="1">
      <c r="A1720" s="6"/>
      <c r="B1720" s="33"/>
      <c r="C1720" s="35"/>
      <c r="E1720" s="39"/>
      <c r="G1720" s="40"/>
      <c r="H1720" s="15"/>
      <c r="I1720" s="17"/>
      <c r="J1720" s="10"/>
      <c r="M1720" s="39"/>
      <c r="O1720" s="39"/>
      <c r="Q1720" s="39"/>
      <c r="R1720" s="28"/>
      <c r="S1720" s="28"/>
      <c r="T1720" s="28"/>
      <c r="U1720" s="4"/>
      <c r="V1720" s="3"/>
      <c r="W1720" s="3"/>
    </row>
    <row r="1721" spans="1:23" s="5" customFormat="1">
      <c r="A1721" s="6"/>
      <c r="B1721" s="33"/>
      <c r="C1721" s="35"/>
      <c r="E1721" s="39"/>
      <c r="G1721" s="40"/>
      <c r="H1721" s="15"/>
      <c r="I1721" s="17"/>
      <c r="J1721" s="10"/>
      <c r="M1721" s="39"/>
      <c r="O1721" s="39"/>
      <c r="Q1721" s="39"/>
      <c r="R1721" s="28"/>
      <c r="S1721" s="28"/>
      <c r="T1721" s="28"/>
      <c r="U1721" s="4"/>
      <c r="V1721" s="3"/>
      <c r="W1721" s="3"/>
    </row>
    <row r="1722" spans="1:23" s="5" customFormat="1">
      <c r="A1722" s="6"/>
      <c r="B1722" s="33"/>
      <c r="C1722" s="35"/>
      <c r="E1722" s="39"/>
      <c r="G1722" s="40"/>
      <c r="H1722" s="15"/>
      <c r="I1722" s="17"/>
      <c r="J1722" s="10"/>
      <c r="M1722" s="39"/>
      <c r="O1722" s="39"/>
      <c r="Q1722" s="39"/>
      <c r="R1722" s="28"/>
      <c r="S1722" s="28"/>
      <c r="T1722" s="28"/>
      <c r="U1722" s="4"/>
      <c r="V1722" s="3"/>
      <c r="W1722" s="3"/>
    </row>
    <row r="1723" spans="1:23" s="5" customFormat="1">
      <c r="A1723" s="6"/>
      <c r="B1723" s="33"/>
      <c r="C1723" s="35"/>
      <c r="E1723" s="39"/>
      <c r="G1723" s="40"/>
      <c r="H1723" s="15"/>
      <c r="I1723" s="17"/>
      <c r="J1723" s="10"/>
      <c r="M1723" s="39"/>
      <c r="O1723" s="39"/>
      <c r="Q1723" s="39"/>
      <c r="R1723" s="28"/>
      <c r="S1723" s="28"/>
      <c r="T1723" s="28"/>
      <c r="U1723" s="4"/>
      <c r="V1723" s="3"/>
      <c r="W1723" s="3"/>
    </row>
    <row r="1724" spans="1:23" s="5" customFormat="1">
      <c r="A1724" s="6"/>
      <c r="B1724" s="33"/>
      <c r="C1724" s="35"/>
      <c r="E1724" s="39"/>
      <c r="G1724" s="40"/>
      <c r="H1724" s="15"/>
      <c r="I1724" s="17"/>
      <c r="J1724" s="10"/>
      <c r="M1724" s="39"/>
      <c r="O1724" s="39"/>
      <c r="Q1724" s="39"/>
      <c r="R1724" s="28"/>
      <c r="S1724" s="28"/>
      <c r="T1724" s="28"/>
      <c r="U1724" s="4"/>
      <c r="V1724" s="3"/>
      <c r="W1724" s="3"/>
    </row>
    <row r="1725" spans="1:23" s="5" customFormat="1">
      <c r="A1725" s="6"/>
      <c r="B1725" s="33"/>
      <c r="C1725" s="35"/>
      <c r="E1725" s="39"/>
      <c r="G1725" s="40"/>
      <c r="H1725" s="15"/>
      <c r="I1725" s="17"/>
      <c r="J1725" s="10"/>
      <c r="M1725" s="39"/>
      <c r="O1725" s="39"/>
      <c r="Q1725" s="39"/>
      <c r="R1725" s="28"/>
      <c r="S1725" s="28"/>
      <c r="T1725" s="28"/>
      <c r="U1725" s="4"/>
      <c r="V1725" s="3"/>
      <c r="W1725" s="3"/>
    </row>
    <row r="1726" spans="1:23" s="5" customFormat="1">
      <c r="A1726" s="6"/>
      <c r="B1726" s="33"/>
      <c r="C1726" s="35"/>
      <c r="E1726" s="39"/>
      <c r="G1726" s="40"/>
      <c r="H1726" s="15"/>
      <c r="I1726" s="17"/>
      <c r="J1726" s="10"/>
      <c r="M1726" s="39"/>
      <c r="O1726" s="39"/>
      <c r="Q1726" s="39"/>
      <c r="R1726" s="28"/>
      <c r="S1726" s="28"/>
      <c r="T1726" s="28"/>
      <c r="U1726" s="4"/>
      <c r="V1726" s="3"/>
      <c r="W1726" s="3"/>
    </row>
    <row r="1727" spans="1:23" s="5" customFormat="1">
      <c r="A1727" s="6"/>
      <c r="B1727" s="33"/>
      <c r="C1727" s="35"/>
      <c r="E1727" s="39"/>
      <c r="G1727" s="40"/>
      <c r="H1727" s="15"/>
      <c r="I1727" s="17"/>
      <c r="J1727" s="10"/>
      <c r="M1727" s="39"/>
      <c r="O1727" s="39"/>
      <c r="Q1727" s="39"/>
      <c r="R1727" s="28"/>
      <c r="S1727" s="28"/>
      <c r="T1727" s="28"/>
      <c r="U1727" s="4"/>
      <c r="V1727" s="3"/>
      <c r="W1727" s="3"/>
    </row>
    <row r="1728" spans="1:23" s="5" customFormat="1">
      <c r="A1728" s="6"/>
      <c r="B1728" s="33"/>
      <c r="C1728" s="35"/>
      <c r="E1728" s="39"/>
      <c r="G1728" s="40"/>
      <c r="H1728" s="15"/>
      <c r="I1728" s="17"/>
      <c r="J1728" s="10"/>
      <c r="M1728" s="39"/>
      <c r="O1728" s="39"/>
      <c r="Q1728" s="39"/>
      <c r="R1728" s="28"/>
      <c r="S1728" s="28"/>
      <c r="T1728" s="28"/>
      <c r="U1728" s="4"/>
      <c r="V1728" s="3"/>
      <c r="W1728" s="3"/>
    </row>
    <row r="1729" spans="1:23" s="5" customFormat="1">
      <c r="A1729" s="6"/>
      <c r="B1729" s="33"/>
      <c r="C1729" s="35"/>
      <c r="E1729" s="39"/>
      <c r="G1729" s="40"/>
      <c r="H1729" s="15"/>
      <c r="I1729" s="17"/>
      <c r="J1729" s="10"/>
      <c r="M1729" s="39"/>
      <c r="O1729" s="39"/>
      <c r="Q1729" s="39"/>
      <c r="R1729" s="28"/>
      <c r="S1729" s="28"/>
      <c r="T1729" s="28"/>
      <c r="U1729" s="4"/>
      <c r="V1729" s="3"/>
      <c r="W1729" s="3"/>
    </row>
    <row r="1730" spans="1:23" s="5" customFormat="1">
      <c r="A1730" s="6"/>
      <c r="B1730" s="33"/>
      <c r="C1730" s="35"/>
      <c r="E1730" s="39"/>
      <c r="G1730" s="40"/>
      <c r="H1730" s="15"/>
      <c r="I1730" s="17"/>
      <c r="J1730" s="10"/>
      <c r="M1730" s="39"/>
      <c r="O1730" s="39"/>
      <c r="Q1730" s="39"/>
      <c r="R1730" s="28"/>
      <c r="S1730" s="28"/>
      <c r="T1730" s="28"/>
      <c r="U1730" s="4"/>
      <c r="V1730" s="3"/>
      <c r="W1730" s="3"/>
    </row>
    <row r="1731" spans="1:23" s="5" customFormat="1">
      <c r="A1731" s="6"/>
      <c r="B1731" s="33"/>
      <c r="C1731" s="35"/>
      <c r="E1731" s="39"/>
      <c r="G1731" s="40"/>
      <c r="H1731" s="15"/>
      <c r="I1731" s="17"/>
      <c r="J1731" s="10"/>
      <c r="M1731" s="39"/>
      <c r="O1731" s="39"/>
      <c r="Q1731" s="39"/>
      <c r="R1731" s="28"/>
      <c r="S1731" s="28"/>
      <c r="T1731" s="28"/>
      <c r="U1731" s="4"/>
      <c r="V1731" s="3"/>
      <c r="W1731" s="3"/>
    </row>
    <row r="1732" spans="1:23" s="5" customFormat="1">
      <c r="A1732" s="6"/>
      <c r="B1732" s="33"/>
      <c r="C1732" s="35"/>
      <c r="E1732" s="39"/>
      <c r="G1732" s="40"/>
      <c r="H1732" s="15"/>
      <c r="I1732" s="17"/>
      <c r="J1732" s="10"/>
      <c r="M1732" s="39"/>
      <c r="O1732" s="39"/>
      <c r="Q1732" s="39"/>
      <c r="R1732" s="28"/>
      <c r="S1732" s="28"/>
      <c r="T1732" s="28"/>
      <c r="U1732" s="4"/>
      <c r="V1732" s="3"/>
      <c r="W1732" s="3"/>
    </row>
    <row r="1733" spans="1:23" s="5" customFormat="1">
      <c r="A1733" s="6"/>
      <c r="B1733" s="33"/>
      <c r="C1733" s="35"/>
      <c r="E1733" s="39"/>
      <c r="G1733" s="40"/>
      <c r="H1733" s="15"/>
      <c r="I1733" s="17"/>
      <c r="J1733" s="10"/>
      <c r="M1733" s="39"/>
      <c r="O1733" s="39"/>
      <c r="Q1733" s="39"/>
      <c r="R1733" s="28"/>
      <c r="S1733" s="28"/>
      <c r="T1733" s="28"/>
      <c r="U1733" s="4"/>
      <c r="V1733" s="3"/>
      <c r="W1733" s="3"/>
    </row>
    <row r="1734" spans="1:23" s="5" customFormat="1">
      <c r="A1734" s="6"/>
      <c r="B1734" s="33"/>
      <c r="C1734" s="35"/>
      <c r="E1734" s="39"/>
      <c r="G1734" s="40"/>
      <c r="H1734" s="15"/>
      <c r="I1734" s="17"/>
      <c r="J1734" s="10"/>
      <c r="M1734" s="39"/>
      <c r="O1734" s="39"/>
      <c r="Q1734" s="39"/>
      <c r="R1734" s="28"/>
      <c r="S1734" s="28"/>
      <c r="T1734" s="28"/>
      <c r="U1734" s="4"/>
      <c r="V1734" s="3"/>
      <c r="W1734" s="3"/>
    </row>
    <row r="1735" spans="1:23" s="5" customFormat="1">
      <c r="A1735" s="6"/>
      <c r="B1735" s="33"/>
      <c r="C1735" s="35"/>
      <c r="E1735" s="39"/>
      <c r="G1735" s="40"/>
      <c r="H1735" s="14"/>
      <c r="I1735" s="17"/>
      <c r="J1735" s="10"/>
      <c r="M1735" s="39"/>
      <c r="O1735" s="39"/>
      <c r="Q1735" s="39"/>
      <c r="R1735" s="28"/>
      <c r="S1735" s="28"/>
      <c r="T1735" s="28"/>
      <c r="U1735" s="4"/>
      <c r="V1735" s="3"/>
      <c r="W1735" s="3"/>
    </row>
    <row r="1736" spans="1:23" s="5" customFormat="1">
      <c r="A1736" s="6"/>
      <c r="B1736" s="33"/>
      <c r="C1736" s="35"/>
      <c r="E1736" s="39"/>
      <c r="G1736" s="40"/>
      <c r="H1736" s="14"/>
      <c r="I1736" s="17"/>
      <c r="J1736" s="10"/>
      <c r="M1736" s="39"/>
      <c r="O1736" s="39"/>
      <c r="Q1736" s="39"/>
      <c r="R1736" s="28"/>
      <c r="S1736" s="28"/>
      <c r="T1736" s="28"/>
      <c r="U1736" s="4"/>
      <c r="V1736" s="3"/>
      <c r="W1736" s="3"/>
    </row>
    <row r="1737" spans="1:23" s="5" customFormat="1">
      <c r="A1737" s="6"/>
      <c r="B1737" s="33"/>
      <c r="C1737" s="35"/>
      <c r="E1737" s="39"/>
      <c r="G1737" s="40"/>
      <c r="H1737" s="14"/>
      <c r="I1737" s="17"/>
      <c r="J1737" s="10"/>
      <c r="M1737" s="39"/>
      <c r="O1737" s="39"/>
      <c r="Q1737" s="39"/>
      <c r="R1737" s="28"/>
      <c r="S1737" s="28"/>
      <c r="T1737" s="28"/>
      <c r="U1737" s="4"/>
      <c r="V1737" s="3"/>
      <c r="W1737" s="3"/>
    </row>
    <row r="1738" spans="1:23" s="5" customFormat="1">
      <c r="A1738" s="6"/>
      <c r="B1738" s="33"/>
      <c r="C1738" s="35"/>
      <c r="E1738" s="39"/>
      <c r="G1738" s="40"/>
      <c r="H1738" s="15"/>
      <c r="I1738" s="17"/>
      <c r="J1738" s="10"/>
      <c r="M1738" s="39"/>
      <c r="O1738" s="39"/>
      <c r="Q1738" s="39"/>
      <c r="R1738" s="28"/>
      <c r="S1738" s="28"/>
      <c r="T1738" s="28"/>
      <c r="U1738" s="4"/>
      <c r="V1738" s="3"/>
      <c r="W1738" s="3"/>
    </row>
    <row r="1739" spans="1:23" s="5" customFormat="1">
      <c r="A1739" s="6"/>
      <c r="B1739" s="33"/>
      <c r="C1739" s="35"/>
      <c r="E1739" s="39"/>
      <c r="G1739" s="40"/>
      <c r="H1739" s="15"/>
      <c r="I1739" s="17"/>
      <c r="J1739" s="10"/>
      <c r="M1739" s="39"/>
      <c r="O1739" s="39"/>
      <c r="Q1739" s="39"/>
      <c r="R1739" s="28"/>
      <c r="S1739" s="28"/>
      <c r="T1739" s="28"/>
      <c r="U1739" s="4"/>
      <c r="V1739" s="3"/>
      <c r="W1739" s="3"/>
    </row>
    <row r="1740" spans="1:23" s="5" customFormat="1">
      <c r="A1740" s="6"/>
      <c r="B1740" s="33"/>
      <c r="C1740" s="35"/>
      <c r="E1740" s="39"/>
      <c r="G1740" s="40"/>
      <c r="H1740" s="14"/>
      <c r="I1740" s="17"/>
      <c r="J1740" s="10"/>
      <c r="M1740" s="39"/>
      <c r="O1740" s="39"/>
      <c r="Q1740" s="39"/>
      <c r="R1740" s="28"/>
      <c r="S1740" s="28"/>
      <c r="T1740" s="28"/>
      <c r="U1740" s="4"/>
      <c r="V1740" s="3"/>
      <c r="W1740" s="3"/>
    </row>
    <row r="1741" spans="1:23" s="5" customFormat="1">
      <c r="A1741" s="6"/>
      <c r="B1741" s="33"/>
      <c r="C1741" s="35"/>
      <c r="E1741" s="39"/>
      <c r="G1741" s="40"/>
      <c r="H1741" s="14"/>
      <c r="I1741" s="17"/>
      <c r="J1741" s="10"/>
      <c r="M1741" s="39"/>
      <c r="O1741" s="39"/>
      <c r="Q1741" s="39"/>
      <c r="R1741" s="28"/>
      <c r="S1741" s="28"/>
      <c r="T1741" s="28"/>
      <c r="U1741" s="4"/>
      <c r="V1741" s="3"/>
      <c r="W1741" s="3"/>
    </row>
    <row r="1742" spans="1:23" s="5" customFormat="1">
      <c r="A1742" s="6"/>
      <c r="B1742" s="33"/>
      <c r="C1742" s="35"/>
      <c r="E1742" s="39"/>
      <c r="G1742" s="40"/>
      <c r="H1742" s="15"/>
      <c r="I1742" s="17"/>
      <c r="J1742" s="10"/>
      <c r="M1742" s="39"/>
      <c r="O1742" s="39"/>
      <c r="Q1742" s="39"/>
      <c r="R1742" s="28"/>
      <c r="S1742" s="28"/>
      <c r="T1742" s="28"/>
      <c r="U1742" s="4"/>
      <c r="V1742" s="3"/>
      <c r="W1742" s="3"/>
    </row>
    <row r="1743" spans="1:23" s="5" customFormat="1">
      <c r="A1743" s="6"/>
      <c r="B1743" s="33"/>
      <c r="C1743" s="35"/>
      <c r="E1743" s="39"/>
      <c r="G1743" s="40"/>
      <c r="H1743" s="15"/>
      <c r="I1743" s="17"/>
      <c r="J1743" s="10"/>
      <c r="M1743" s="39"/>
      <c r="O1743" s="39"/>
      <c r="Q1743" s="39"/>
      <c r="R1743" s="28"/>
      <c r="S1743" s="28"/>
      <c r="T1743" s="28"/>
      <c r="U1743" s="4"/>
      <c r="V1743" s="3"/>
      <c r="W1743" s="3"/>
    </row>
    <row r="1744" spans="1:23" s="5" customFormat="1">
      <c r="A1744" s="6"/>
      <c r="B1744" s="33"/>
      <c r="C1744" s="35"/>
      <c r="E1744" s="39"/>
      <c r="G1744" s="40"/>
      <c r="H1744" s="14"/>
      <c r="I1744" s="17"/>
      <c r="J1744" s="10"/>
      <c r="M1744" s="39"/>
      <c r="O1744" s="39"/>
      <c r="Q1744" s="39"/>
      <c r="R1744" s="28"/>
      <c r="S1744" s="29"/>
      <c r="T1744" s="28"/>
      <c r="U1744" s="4"/>
      <c r="V1744" s="3"/>
      <c r="W1744" s="3"/>
    </row>
    <row r="1745" spans="1:23" s="5" customFormat="1">
      <c r="A1745" s="6"/>
      <c r="B1745" s="33"/>
      <c r="C1745" s="35"/>
      <c r="E1745" s="39"/>
      <c r="G1745" s="40"/>
      <c r="H1745" s="14"/>
      <c r="I1745" s="17"/>
      <c r="J1745" s="10"/>
      <c r="M1745" s="39"/>
      <c r="O1745" s="39"/>
      <c r="Q1745" s="39"/>
      <c r="R1745" s="28"/>
      <c r="S1745" s="29"/>
      <c r="T1745" s="28"/>
      <c r="U1745" s="4"/>
      <c r="V1745" s="3"/>
      <c r="W1745" s="3"/>
    </row>
    <row r="1746" spans="1:23" s="5" customFormat="1">
      <c r="A1746" s="6"/>
      <c r="B1746" s="33"/>
      <c r="C1746" s="35"/>
      <c r="E1746" s="39"/>
      <c r="G1746" s="40"/>
      <c r="H1746" s="14"/>
      <c r="I1746" s="17"/>
      <c r="J1746" s="10"/>
      <c r="M1746" s="39"/>
      <c r="O1746" s="39"/>
      <c r="Q1746" s="39"/>
      <c r="R1746" s="28"/>
      <c r="S1746" s="28"/>
      <c r="T1746" s="28"/>
      <c r="U1746" s="4"/>
      <c r="V1746" s="3"/>
      <c r="W1746" s="3"/>
    </row>
    <row r="1747" spans="1:23" s="5" customFormat="1">
      <c r="A1747" s="6"/>
      <c r="B1747" s="33"/>
      <c r="C1747" s="35"/>
      <c r="E1747" s="39"/>
      <c r="G1747" s="40"/>
      <c r="H1747" s="15"/>
      <c r="I1747" s="17"/>
      <c r="J1747" s="10"/>
      <c r="M1747" s="39"/>
      <c r="O1747" s="39"/>
      <c r="Q1747" s="39"/>
      <c r="R1747" s="28"/>
      <c r="S1747" s="28"/>
      <c r="T1747" s="28"/>
      <c r="U1747" s="4"/>
      <c r="V1747" s="3"/>
      <c r="W1747" s="3"/>
    </row>
    <row r="1748" spans="1:23" s="5" customFormat="1">
      <c r="A1748" s="6"/>
      <c r="B1748" s="33"/>
      <c r="C1748" s="35"/>
      <c r="E1748" s="39"/>
      <c r="G1748" s="40"/>
      <c r="H1748" s="15"/>
      <c r="I1748" s="17"/>
      <c r="J1748" s="10"/>
      <c r="M1748" s="39"/>
      <c r="O1748" s="39"/>
      <c r="Q1748" s="39"/>
      <c r="R1748" s="28"/>
      <c r="S1748" s="28"/>
      <c r="T1748" s="28"/>
      <c r="U1748" s="4"/>
      <c r="V1748" s="3"/>
      <c r="W1748" s="3"/>
    </row>
    <row r="1749" spans="1:23" s="5" customFormat="1">
      <c r="A1749" s="6"/>
      <c r="B1749" s="33"/>
      <c r="C1749" s="35"/>
      <c r="E1749" s="39"/>
      <c r="G1749" s="40"/>
      <c r="H1749" s="15"/>
      <c r="I1749" s="17"/>
      <c r="J1749" s="10"/>
      <c r="M1749" s="39"/>
      <c r="O1749" s="39"/>
      <c r="Q1749" s="39"/>
      <c r="R1749" s="28"/>
      <c r="S1749" s="28"/>
      <c r="T1749" s="28"/>
      <c r="U1749" s="4"/>
      <c r="V1749" s="3"/>
      <c r="W1749" s="3"/>
    </row>
    <row r="1750" spans="1:23" s="5" customFormat="1">
      <c r="A1750" s="6"/>
      <c r="B1750" s="33"/>
      <c r="C1750" s="35"/>
      <c r="E1750" s="39"/>
      <c r="G1750" s="40"/>
      <c r="H1750" s="15"/>
      <c r="I1750" s="17"/>
      <c r="J1750" s="10"/>
      <c r="M1750" s="39"/>
      <c r="O1750" s="39"/>
      <c r="Q1750" s="39"/>
      <c r="R1750" s="28"/>
      <c r="S1750" s="28"/>
      <c r="T1750" s="28"/>
      <c r="U1750" s="4"/>
      <c r="V1750" s="3"/>
      <c r="W1750" s="3"/>
    </row>
    <row r="1751" spans="1:23" s="5" customFormat="1">
      <c r="A1751" s="6"/>
      <c r="B1751" s="33"/>
      <c r="C1751" s="35"/>
      <c r="E1751" s="39"/>
      <c r="G1751" s="40"/>
      <c r="H1751" s="15"/>
      <c r="I1751" s="17"/>
      <c r="J1751" s="10"/>
      <c r="M1751" s="39"/>
      <c r="O1751" s="39"/>
      <c r="Q1751" s="39"/>
      <c r="R1751" s="28"/>
      <c r="S1751" s="28"/>
      <c r="T1751" s="28"/>
      <c r="U1751" s="4"/>
      <c r="V1751" s="3"/>
      <c r="W1751" s="3"/>
    </row>
    <row r="1752" spans="1:23" s="5" customFormat="1">
      <c r="A1752" s="6"/>
      <c r="B1752" s="33"/>
      <c r="C1752" s="35"/>
      <c r="E1752" s="39"/>
      <c r="G1752" s="40"/>
      <c r="H1752" s="15"/>
      <c r="I1752" s="17"/>
      <c r="J1752" s="10"/>
      <c r="M1752" s="39"/>
      <c r="O1752" s="39"/>
      <c r="Q1752" s="39"/>
      <c r="R1752" s="28"/>
      <c r="S1752" s="28"/>
      <c r="T1752" s="28"/>
      <c r="U1752" s="4"/>
      <c r="V1752" s="3"/>
      <c r="W1752" s="3"/>
    </row>
    <row r="1753" spans="1:23" s="5" customFormat="1">
      <c r="A1753" s="6"/>
      <c r="B1753" s="33"/>
      <c r="C1753" s="35"/>
      <c r="E1753" s="39"/>
      <c r="G1753" s="40"/>
      <c r="H1753" s="15"/>
      <c r="I1753" s="17"/>
      <c r="J1753" s="10"/>
      <c r="M1753" s="39"/>
      <c r="O1753" s="39"/>
      <c r="Q1753" s="39"/>
      <c r="R1753" s="28"/>
      <c r="S1753" s="28"/>
      <c r="T1753" s="28"/>
      <c r="U1753" s="4"/>
      <c r="V1753" s="3"/>
      <c r="W1753" s="3"/>
    </row>
    <row r="1754" spans="1:23" s="5" customFormat="1">
      <c r="A1754" s="20"/>
      <c r="B1754" s="33"/>
      <c r="C1754" s="35"/>
      <c r="E1754" s="39"/>
      <c r="F1754" s="1"/>
      <c r="G1754" s="40"/>
      <c r="H1754" s="12"/>
      <c r="I1754" s="9"/>
      <c r="J1754" s="12"/>
      <c r="M1754" s="39"/>
      <c r="O1754" s="39"/>
      <c r="Q1754" s="39"/>
      <c r="R1754" s="29"/>
      <c r="S1754" s="28"/>
      <c r="T1754" s="28"/>
      <c r="U1754" s="4"/>
      <c r="V1754" s="3"/>
      <c r="W1754" s="3"/>
    </row>
    <row r="1755" spans="1:23" s="5" customFormat="1">
      <c r="A1755" s="6"/>
      <c r="B1755" s="33"/>
      <c r="C1755" s="35"/>
      <c r="E1755" s="39"/>
      <c r="G1755" s="40"/>
      <c r="H1755" s="15"/>
      <c r="I1755" s="17"/>
      <c r="J1755" s="10"/>
      <c r="M1755" s="39"/>
      <c r="O1755" s="39"/>
      <c r="Q1755" s="39"/>
      <c r="R1755" s="28"/>
      <c r="S1755" s="28"/>
      <c r="T1755" s="28"/>
      <c r="U1755" s="4"/>
      <c r="V1755" s="3"/>
      <c r="W1755" s="3"/>
    </row>
    <row r="1756" spans="1:23" s="5" customFormat="1">
      <c r="A1756" s="6"/>
      <c r="B1756" s="33"/>
      <c r="C1756" s="35"/>
      <c r="E1756" s="39"/>
      <c r="G1756" s="40"/>
      <c r="H1756" s="15"/>
      <c r="I1756" s="17"/>
      <c r="J1756" s="10"/>
      <c r="M1756" s="39"/>
      <c r="O1756" s="39"/>
      <c r="Q1756" s="39"/>
      <c r="R1756" s="28"/>
      <c r="S1756" s="28"/>
      <c r="T1756" s="28"/>
      <c r="U1756" s="4"/>
      <c r="V1756" s="3"/>
      <c r="W1756" s="3"/>
    </row>
    <row r="1757" spans="1:23" s="5" customFormat="1">
      <c r="A1757" s="6"/>
      <c r="B1757" s="33"/>
      <c r="C1757" s="35"/>
      <c r="E1757" s="39"/>
      <c r="G1757" s="40"/>
      <c r="H1757" s="15"/>
      <c r="I1757" s="17"/>
      <c r="J1757" s="10"/>
      <c r="M1757" s="39"/>
      <c r="O1757" s="39"/>
      <c r="Q1757" s="39"/>
      <c r="R1757" s="28"/>
      <c r="S1757" s="28"/>
      <c r="T1757" s="28"/>
      <c r="U1757" s="4"/>
      <c r="V1757" s="3"/>
      <c r="W1757" s="3"/>
    </row>
    <row r="1758" spans="1:23" s="5" customFormat="1">
      <c r="A1758" s="6"/>
      <c r="B1758" s="33"/>
      <c r="C1758" s="35"/>
      <c r="E1758" s="39"/>
      <c r="G1758" s="40"/>
      <c r="H1758" s="15"/>
      <c r="I1758" s="17"/>
      <c r="J1758" s="10"/>
      <c r="M1758" s="39"/>
      <c r="O1758" s="39"/>
      <c r="Q1758" s="39"/>
      <c r="R1758" s="28"/>
      <c r="S1758" s="28"/>
      <c r="T1758" s="28"/>
      <c r="U1758" s="4"/>
      <c r="V1758" s="3"/>
      <c r="W1758" s="3"/>
    </row>
    <row r="1759" spans="1:23" s="5" customFormat="1">
      <c r="A1759" s="6"/>
      <c r="B1759" s="33"/>
      <c r="C1759" s="35"/>
      <c r="E1759" s="39"/>
      <c r="G1759" s="40"/>
      <c r="H1759" s="15"/>
      <c r="I1759" s="17"/>
      <c r="J1759" s="10"/>
      <c r="M1759" s="39"/>
      <c r="O1759" s="39"/>
      <c r="Q1759" s="39"/>
      <c r="R1759" s="28"/>
      <c r="S1759" s="28"/>
      <c r="T1759" s="28"/>
      <c r="U1759" s="4"/>
      <c r="V1759" s="3"/>
      <c r="W1759" s="3"/>
    </row>
    <row r="1760" spans="1:23" s="5" customFormat="1">
      <c r="A1760" s="6"/>
      <c r="B1760" s="33"/>
      <c r="C1760" s="35"/>
      <c r="E1760" s="39"/>
      <c r="G1760" s="40"/>
      <c r="H1760" s="15"/>
      <c r="I1760" s="17"/>
      <c r="J1760" s="10"/>
      <c r="M1760" s="39"/>
      <c r="O1760" s="39"/>
      <c r="Q1760" s="39"/>
      <c r="R1760" s="28"/>
      <c r="S1760" s="28"/>
      <c r="T1760" s="28"/>
      <c r="U1760" s="4"/>
      <c r="V1760" s="3"/>
      <c r="W1760" s="3"/>
    </row>
    <row r="1761" spans="1:23" s="5" customFormat="1">
      <c r="A1761" s="6"/>
      <c r="B1761" s="33"/>
      <c r="C1761" s="35"/>
      <c r="E1761" s="39"/>
      <c r="G1761" s="40"/>
      <c r="H1761" s="15"/>
      <c r="I1761" s="17"/>
      <c r="J1761" s="10"/>
      <c r="M1761" s="39"/>
      <c r="O1761" s="39"/>
      <c r="Q1761" s="39"/>
      <c r="R1761" s="28"/>
      <c r="S1761" s="28"/>
      <c r="T1761" s="28"/>
      <c r="U1761" s="4"/>
      <c r="V1761" s="3"/>
      <c r="W1761" s="3"/>
    </row>
    <row r="1762" spans="1:23" s="5" customFormat="1">
      <c r="A1762" s="6"/>
      <c r="B1762" s="33"/>
      <c r="C1762" s="35"/>
      <c r="E1762" s="39"/>
      <c r="G1762" s="40"/>
      <c r="H1762" s="15"/>
      <c r="I1762" s="17"/>
      <c r="J1762" s="10"/>
      <c r="M1762" s="39"/>
      <c r="O1762" s="39"/>
      <c r="Q1762" s="39"/>
      <c r="R1762" s="28"/>
      <c r="S1762" s="28"/>
      <c r="T1762" s="28"/>
      <c r="U1762" s="4"/>
      <c r="V1762" s="3"/>
      <c r="W1762" s="3"/>
    </row>
    <row r="1763" spans="1:23" s="5" customFormat="1">
      <c r="A1763" s="6"/>
      <c r="B1763" s="33"/>
      <c r="C1763" s="35"/>
      <c r="E1763" s="39"/>
      <c r="G1763" s="40"/>
      <c r="H1763" s="15"/>
      <c r="I1763" s="17"/>
      <c r="J1763" s="10"/>
      <c r="M1763" s="39"/>
      <c r="O1763" s="39"/>
      <c r="Q1763" s="39"/>
      <c r="R1763" s="28"/>
      <c r="S1763" s="28"/>
      <c r="T1763" s="28"/>
      <c r="U1763" s="4"/>
      <c r="V1763" s="3"/>
      <c r="W1763" s="3"/>
    </row>
    <row r="1764" spans="1:23" s="5" customFormat="1">
      <c r="A1764" s="6"/>
      <c r="B1764" s="33"/>
      <c r="C1764" s="35"/>
      <c r="E1764" s="39"/>
      <c r="G1764" s="40"/>
      <c r="H1764" s="15"/>
      <c r="I1764" s="17"/>
      <c r="J1764" s="10"/>
      <c r="M1764" s="39"/>
      <c r="O1764" s="39"/>
      <c r="Q1764" s="39"/>
      <c r="R1764" s="28"/>
      <c r="S1764" s="28"/>
      <c r="T1764" s="28"/>
      <c r="U1764" s="4"/>
      <c r="V1764" s="3"/>
      <c r="W1764" s="3"/>
    </row>
    <row r="1765" spans="1:23" s="5" customFormat="1">
      <c r="A1765" s="6"/>
      <c r="B1765" s="33"/>
      <c r="C1765" s="35"/>
      <c r="E1765" s="39"/>
      <c r="G1765" s="40"/>
      <c r="H1765" s="14"/>
      <c r="I1765" s="17"/>
      <c r="J1765" s="10"/>
      <c r="M1765" s="39"/>
      <c r="O1765" s="39"/>
      <c r="Q1765" s="39"/>
      <c r="R1765" s="28"/>
      <c r="S1765" s="28"/>
      <c r="T1765" s="28"/>
      <c r="U1765" s="4"/>
      <c r="V1765" s="3"/>
      <c r="W1765" s="3"/>
    </row>
    <row r="1766" spans="1:23" s="5" customFormat="1">
      <c r="A1766" s="6"/>
      <c r="B1766" s="33"/>
      <c r="C1766" s="35"/>
      <c r="E1766" s="39"/>
      <c r="G1766" s="40"/>
      <c r="H1766" s="14"/>
      <c r="I1766" s="17"/>
      <c r="J1766" s="10"/>
      <c r="M1766" s="39"/>
      <c r="O1766" s="39"/>
      <c r="Q1766" s="39"/>
      <c r="R1766" s="28"/>
      <c r="S1766" s="28"/>
      <c r="T1766" s="28"/>
      <c r="U1766" s="4"/>
      <c r="V1766" s="3"/>
      <c r="W1766" s="3"/>
    </row>
    <row r="1767" spans="1:23" s="5" customFormat="1">
      <c r="A1767" s="6"/>
      <c r="B1767" s="33"/>
      <c r="C1767" s="35"/>
      <c r="E1767" s="39"/>
      <c r="G1767" s="40"/>
      <c r="H1767" s="14"/>
      <c r="I1767" s="17"/>
      <c r="J1767" s="10"/>
      <c r="M1767" s="39"/>
      <c r="O1767" s="39"/>
      <c r="Q1767" s="39"/>
      <c r="R1767" s="28"/>
      <c r="S1767" s="28"/>
      <c r="T1767" s="28"/>
      <c r="U1767" s="4"/>
      <c r="V1767" s="3"/>
      <c r="W1767" s="3"/>
    </row>
    <row r="1768" spans="1:23" s="5" customFormat="1">
      <c r="A1768" s="20"/>
      <c r="B1768" s="33"/>
      <c r="C1768" s="35"/>
      <c r="D1768" s="1"/>
      <c r="E1768" s="39"/>
      <c r="F1768" s="1"/>
      <c r="G1768" s="40"/>
      <c r="H1768" s="12"/>
      <c r="I1768" s="9"/>
      <c r="J1768" s="12"/>
      <c r="L1768" s="1"/>
      <c r="M1768" s="39"/>
      <c r="N1768" s="1"/>
      <c r="O1768" s="39"/>
      <c r="P1768" s="1"/>
      <c r="Q1768" s="39"/>
      <c r="R1768" s="28"/>
      <c r="S1768" s="28"/>
      <c r="T1768" s="28"/>
      <c r="U1768" s="4"/>
      <c r="V1768" s="3"/>
      <c r="W1768" s="3"/>
    </row>
    <row r="1769" spans="1:23" s="5" customFormat="1">
      <c r="A1769" s="6"/>
      <c r="B1769" s="33"/>
      <c r="C1769" s="35"/>
      <c r="E1769" s="39"/>
      <c r="G1769" s="40"/>
      <c r="H1769" s="14"/>
      <c r="I1769" s="17"/>
      <c r="J1769" s="10"/>
      <c r="M1769" s="39"/>
      <c r="O1769" s="39"/>
      <c r="Q1769" s="39"/>
      <c r="R1769" s="28"/>
      <c r="S1769" s="28"/>
      <c r="T1769" s="28"/>
      <c r="U1769" s="4"/>
      <c r="V1769" s="3"/>
      <c r="W1769" s="3"/>
    </row>
    <row r="1770" spans="1:23" s="5" customFormat="1">
      <c r="A1770" s="6"/>
      <c r="B1770" s="33"/>
      <c r="C1770" s="35"/>
      <c r="E1770" s="39"/>
      <c r="G1770" s="40"/>
      <c r="H1770" s="14"/>
      <c r="I1770" s="17"/>
      <c r="J1770" s="10"/>
      <c r="M1770" s="39"/>
      <c r="O1770" s="39"/>
      <c r="Q1770" s="39"/>
      <c r="R1770" s="28"/>
      <c r="S1770" s="28"/>
      <c r="T1770" s="28"/>
      <c r="U1770" s="4"/>
      <c r="V1770" s="3"/>
      <c r="W1770" s="3"/>
    </row>
    <row r="1771" spans="1:23" s="5" customFormat="1">
      <c r="A1771" s="6"/>
      <c r="B1771" s="33"/>
      <c r="C1771" s="35"/>
      <c r="E1771" s="39"/>
      <c r="G1771" s="40"/>
      <c r="H1771" s="14"/>
      <c r="I1771" s="17"/>
      <c r="J1771" s="10"/>
      <c r="M1771" s="39"/>
      <c r="O1771" s="39"/>
      <c r="Q1771" s="39"/>
      <c r="R1771" s="28"/>
      <c r="S1771" s="28"/>
      <c r="T1771" s="28"/>
      <c r="U1771" s="4"/>
      <c r="V1771" s="3"/>
      <c r="W1771" s="3"/>
    </row>
    <row r="1772" spans="1:23" s="5" customFormat="1">
      <c r="A1772" s="6"/>
      <c r="B1772" s="33"/>
      <c r="C1772" s="35"/>
      <c r="E1772" s="39"/>
      <c r="G1772" s="40"/>
      <c r="H1772" s="15"/>
      <c r="I1772" s="17"/>
      <c r="J1772" s="10"/>
      <c r="M1772" s="39"/>
      <c r="O1772" s="39"/>
      <c r="Q1772" s="39"/>
      <c r="R1772" s="28"/>
      <c r="S1772" s="28"/>
      <c r="T1772" s="28"/>
      <c r="U1772" s="4"/>
      <c r="V1772" s="3"/>
      <c r="W1772" s="3"/>
    </row>
    <row r="1773" spans="1:23" s="5" customFormat="1">
      <c r="A1773" s="6"/>
      <c r="B1773" s="33"/>
      <c r="C1773" s="35"/>
      <c r="E1773" s="39"/>
      <c r="G1773" s="40"/>
      <c r="H1773" s="14"/>
      <c r="I1773" s="17"/>
      <c r="J1773" s="10"/>
      <c r="M1773" s="39"/>
      <c r="O1773" s="39"/>
      <c r="Q1773" s="39"/>
      <c r="R1773" s="28"/>
      <c r="S1773" s="28"/>
      <c r="T1773" s="28"/>
      <c r="U1773" s="4"/>
      <c r="V1773" s="3"/>
      <c r="W1773" s="3"/>
    </row>
    <row r="1774" spans="1:23" s="5" customFormat="1">
      <c r="A1774" s="6"/>
      <c r="B1774" s="33"/>
      <c r="C1774" s="35"/>
      <c r="E1774" s="39"/>
      <c r="G1774" s="40"/>
      <c r="H1774" s="14"/>
      <c r="I1774" s="17"/>
      <c r="J1774" s="10"/>
      <c r="M1774" s="39"/>
      <c r="O1774" s="39"/>
      <c r="Q1774" s="39"/>
      <c r="R1774" s="28"/>
      <c r="S1774" s="28"/>
      <c r="T1774" s="28"/>
      <c r="U1774" s="4"/>
      <c r="V1774" s="3"/>
      <c r="W1774" s="3"/>
    </row>
    <row r="1775" spans="1:23" s="5" customFormat="1">
      <c r="A1775" s="6"/>
      <c r="B1775" s="33"/>
      <c r="C1775" s="35"/>
      <c r="E1775" s="39"/>
      <c r="G1775" s="40"/>
      <c r="H1775" s="15"/>
      <c r="I1775" s="17"/>
      <c r="J1775" s="10"/>
      <c r="M1775" s="39"/>
      <c r="O1775" s="39"/>
      <c r="Q1775" s="39"/>
      <c r="R1775" s="28"/>
      <c r="S1775" s="28"/>
      <c r="T1775" s="28"/>
      <c r="U1775" s="4"/>
      <c r="V1775" s="3"/>
      <c r="W1775" s="3"/>
    </row>
    <row r="1776" spans="1:23" s="5" customFormat="1">
      <c r="A1776" s="6"/>
      <c r="B1776" s="33"/>
      <c r="C1776" s="35"/>
      <c r="E1776" s="39"/>
      <c r="G1776" s="40"/>
      <c r="H1776" s="14"/>
      <c r="I1776" s="17"/>
      <c r="J1776" s="10"/>
      <c r="M1776" s="39"/>
      <c r="O1776" s="39"/>
      <c r="Q1776" s="39"/>
      <c r="R1776" s="28"/>
      <c r="S1776" s="28"/>
      <c r="T1776" s="28"/>
      <c r="U1776" s="4"/>
      <c r="V1776" s="3"/>
      <c r="W1776" s="3"/>
    </row>
    <row r="1777" spans="1:23" s="5" customFormat="1">
      <c r="A1777" s="6"/>
      <c r="B1777" s="33"/>
      <c r="C1777" s="35"/>
      <c r="E1777" s="39"/>
      <c r="G1777" s="40"/>
      <c r="H1777" s="14"/>
      <c r="I1777" s="17"/>
      <c r="J1777" s="10"/>
      <c r="M1777" s="39"/>
      <c r="O1777" s="39"/>
      <c r="Q1777" s="39"/>
      <c r="R1777" s="28"/>
      <c r="S1777" s="28"/>
      <c r="T1777" s="28"/>
      <c r="U1777" s="4"/>
      <c r="V1777" s="3"/>
      <c r="W1777" s="3"/>
    </row>
    <row r="1778" spans="1:23" s="5" customFormat="1">
      <c r="A1778" s="6"/>
      <c r="B1778" s="33"/>
      <c r="C1778" s="35"/>
      <c r="E1778" s="39"/>
      <c r="G1778" s="40"/>
      <c r="H1778" s="15"/>
      <c r="I1778" s="17"/>
      <c r="J1778" s="10"/>
      <c r="M1778" s="39"/>
      <c r="O1778" s="39"/>
      <c r="Q1778" s="39"/>
      <c r="R1778" s="28"/>
      <c r="S1778" s="28"/>
      <c r="T1778" s="28"/>
      <c r="U1778" s="4"/>
      <c r="V1778" s="3"/>
      <c r="W1778" s="3"/>
    </row>
    <row r="1779" spans="1:23" s="5" customFormat="1">
      <c r="A1779" s="6"/>
      <c r="B1779" s="33"/>
      <c r="C1779" s="35"/>
      <c r="E1779" s="39"/>
      <c r="G1779" s="40"/>
      <c r="H1779" s="15"/>
      <c r="I1779" s="17"/>
      <c r="J1779" s="10"/>
      <c r="M1779" s="39"/>
      <c r="O1779" s="39"/>
      <c r="Q1779" s="39"/>
      <c r="R1779" s="28"/>
      <c r="S1779" s="28"/>
      <c r="T1779" s="28"/>
      <c r="U1779" s="4"/>
      <c r="V1779" s="3"/>
      <c r="W1779" s="3"/>
    </row>
    <row r="1780" spans="1:23" s="5" customFormat="1">
      <c r="A1780" s="6"/>
      <c r="B1780" s="33"/>
      <c r="C1780" s="35"/>
      <c r="E1780" s="39"/>
      <c r="G1780" s="40"/>
      <c r="H1780" s="14"/>
      <c r="I1780" s="17"/>
      <c r="J1780" s="10"/>
      <c r="M1780" s="39"/>
      <c r="O1780" s="39"/>
      <c r="Q1780" s="39"/>
      <c r="R1780" s="28"/>
      <c r="S1780" s="28"/>
      <c r="T1780" s="28"/>
      <c r="U1780" s="4"/>
      <c r="V1780" s="3"/>
      <c r="W1780" s="3"/>
    </row>
    <row r="1781" spans="1:23" s="5" customFormat="1">
      <c r="A1781" s="6"/>
      <c r="B1781" s="33"/>
      <c r="C1781" s="35"/>
      <c r="E1781" s="39"/>
      <c r="G1781" s="40"/>
      <c r="H1781" s="14"/>
      <c r="I1781" s="17"/>
      <c r="J1781" s="10"/>
      <c r="M1781" s="39"/>
      <c r="O1781" s="39"/>
      <c r="Q1781" s="39"/>
      <c r="R1781" s="28"/>
      <c r="S1781" s="28"/>
      <c r="T1781" s="28"/>
      <c r="U1781" s="4"/>
      <c r="V1781" s="3"/>
      <c r="W1781" s="3"/>
    </row>
    <row r="1782" spans="1:23" s="5" customFormat="1">
      <c r="A1782" s="6"/>
      <c r="B1782" s="33"/>
      <c r="C1782" s="35"/>
      <c r="E1782" s="39"/>
      <c r="G1782" s="40"/>
      <c r="H1782" s="15"/>
      <c r="I1782" s="17"/>
      <c r="J1782" s="10"/>
      <c r="M1782" s="39"/>
      <c r="O1782" s="39"/>
      <c r="Q1782" s="39"/>
      <c r="R1782" s="28"/>
      <c r="S1782" s="28"/>
      <c r="T1782" s="28"/>
      <c r="U1782" s="4"/>
      <c r="V1782" s="3"/>
      <c r="W1782" s="3"/>
    </row>
    <row r="1783" spans="1:23" s="5" customFormat="1">
      <c r="A1783" s="6"/>
      <c r="B1783" s="33"/>
      <c r="C1783" s="35"/>
      <c r="E1783" s="39"/>
      <c r="G1783" s="40"/>
      <c r="H1783" s="14"/>
      <c r="I1783" s="17"/>
      <c r="J1783" s="10"/>
      <c r="M1783" s="39"/>
      <c r="O1783" s="39"/>
      <c r="Q1783" s="39"/>
      <c r="R1783" s="28"/>
      <c r="S1783" s="28"/>
      <c r="T1783" s="28"/>
      <c r="U1783" s="4"/>
      <c r="V1783" s="3"/>
      <c r="W1783" s="3"/>
    </row>
    <row r="1784" spans="1:23" s="5" customFormat="1">
      <c r="A1784" s="6"/>
      <c r="B1784" s="33"/>
      <c r="C1784" s="35"/>
      <c r="E1784" s="39"/>
      <c r="G1784" s="40"/>
      <c r="H1784" s="14"/>
      <c r="I1784" s="17"/>
      <c r="J1784" s="10"/>
      <c r="M1784" s="39"/>
      <c r="O1784" s="39"/>
      <c r="Q1784" s="39"/>
      <c r="R1784" s="28"/>
      <c r="S1784" s="28"/>
      <c r="T1784" s="28"/>
      <c r="U1784" s="4"/>
      <c r="V1784" s="3"/>
      <c r="W1784" s="3"/>
    </row>
    <row r="1785" spans="1:23" s="5" customFormat="1">
      <c r="A1785" s="6"/>
      <c r="B1785" s="33"/>
      <c r="C1785" s="35"/>
      <c r="E1785" s="39"/>
      <c r="G1785" s="40"/>
      <c r="H1785" s="14"/>
      <c r="I1785" s="17"/>
      <c r="J1785" s="10"/>
      <c r="M1785" s="39"/>
      <c r="O1785" s="39"/>
      <c r="Q1785" s="39"/>
      <c r="R1785" s="28"/>
      <c r="S1785" s="28"/>
      <c r="T1785" s="28"/>
      <c r="U1785" s="4"/>
      <c r="V1785" s="3"/>
      <c r="W1785" s="3"/>
    </row>
    <row r="1786" spans="1:23" s="5" customFormat="1">
      <c r="A1786" s="6"/>
      <c r="B1786" s="33"/>
      <c r="C1786" s="35"/>
      <c r="E1786" s="39"/>
      <c r="G1786" s="40"/>
      <c r="H1786" s="15"/>
      <c r="I1786" s="17"/>
      <c r="J1786" s="10"/>
      <c r="M1786" s="39"/>
      <c r="O1786" s="39"/>
      <c r="Q1786" s="39"/>
      <c r="R1786" s="28"/>
      <c r="S1786" s="28"/>
      <c r="T1786" s="28"/>
      <c r="U1786" s="4"/>
      <c r="V1786" s="3"/>
      <c r="W1786" s="3"/>
    </row>
    <row r="1787" spans="1:23" s="5" customFormat="1">
      <c r="A1787" s="6"/>
      <c r="B1787" s="33"/>
      <c r="C1787" s="35"/>
      <c r="E1787" s="39"/>
      <c r="G1787" s="40"/>
      <c r="H1787" s="14"/>
      <c r="I1787" s="17"/>
      <c r="J1787" s="10"/>
      <c r="M1787" s="39"/>
      <c r="O1787" s="39"/>
      <c r="Q1787" s="39"/>
      <c r="R1787" s="28"/>
      <c r="S1787" s="28"/>
      <c r="T1787" s="28"/>
      <c r="U1787" s="4"/>
      <c r="V1787" s="3"/>
      <c r="W1787" s="3"/>
    </row>
    <row r="1788" spans="1:23" s="5" customFormat="1">
      <c r="A1788" s="6"/>
      <c r="B1788" s="33"/>
      <c r="C1788" s="35"/>
      <c r="E1788" s="39"/>
      <c r="G1788" s="40"/>
      <c r="H1788" s="15"/>
      <c r="I1788" s="17"/>
      <c r="J1788" s="10"/>
      <c r="M1788" s="39"/>
      <c r="O1788" s="39"/>
      <c r="Q1788" s="39"/>
      <c r="R1788" s="28"/>
      <c r="S1788" s="28"/>
      <c r="T1788" s="28"/>
      <c r="U1788" s="4"/>
      <c r="V1788" s="3"/>
      <c r="W1788" s="3"/>
    </row>
    <row r="1789" spans="1:23" s="5" customFormat="1">
      <c r="A1789" s="6"/>
      <c r="B1789" s="33"/>
      <c r="C1789" s="35"/>
      <c r="E1789" s="39"/>
      <c r="G1789" s="40"/>
      <c r="H1789" s="14"/>
      <c r="I1789" s="17"/>
      <c r="J1789" s="10"/>
      <c r="M1789" s="39"/>
      <c r="O1789" s="39"/>
      <c r="Q1789" s="39"/>
      <c r="R1789" s="28"/>
      <c r="S1789" s="28"/>
      <c r="T1789" s="28"/>
      <c r="U1789" s="4"/>
      <c r="V1789" s="3"/>
      <c r="W1789" s="3"/>
    </row>
    <row r="1790" spans="1:23" s="5" customFormat="1">
      <c r="A1790" s="6"/>
      <c r="B1790" s="33"/>
      <c r="C1790" s="35"/>
      <c r="E1790" s="39"/>
      <c r="G1790" s="40"/>
      <c r="H1790" s="14"/>
      <c r="I1790" s="17"/>
      <c r="J1790" s="10"/>
      <c r="M1790" s="39"/>
      <c r="O1790" s="39"/>
      <c r="Q1790" s="39"/>
      <c r="R1790" s="28"/>
      <c r="S1790" s="28"/>
      <c r="T1790" s="28"/>
      <c r="U1790" s="4"/>
      <c r="V1790" s="3"/>
      <c r="W1790" s="3"/>
    </row>
    <row r="1791" spans="1:23" s="5" customFormat="1">
      <c r="A1791" s="6"/>
      <c r="B1791" s="33"/>
      <c r="C1791" s="35"/>
      <c r="E1791" s="39"/>
      <c r="G1791" s="40"/>
      <c r="H1791" s="14"/>
      <c r="I1791" s="17"/>
      <c r="J1791" s="10"/>
      <c r="M1791" s="39"/>
      <c r="O1791" s="39"/>
      <c r="Q1791" s="39"/>
      <c r="R1791" s="28"/>
      <c r="S1791" s="28"/>
      <c r="T1791" s="28"/>
      <c r="U1791" s="4"/>
      <c r="V1791" s="3"/>
      <c r="W1791" s="3"/>
    </row>
    <row r="1792" spans="1:23" s="5" customFormat="1">
      <c r="A1792" s="6"/>
      <c r="B1792" s="33"/>
      <c r="C1792" s="35"/>
      <c r="E1792" s="39"/>
      <c r="G1792" s="40"/>
      <c r="H1792" s="14"/>
      <c r="I1792" s="17"/>
      <c r="J1792" s="10"/>
      <c r="M1792" s="39"/>
      <c r="O1792" s="39"/>
      <c r="Q1792" s="39"/>
      <c r="R1792" s="28"/>
      <c r="S1792" s="28"/>
      <c r="T1792" s="28"/>
      <c r="U1792" s="4"/>
      <c r="V1792" s="3"/>
      <c r="W1792" s="3"/>
    </row>
    <row r="1793" spans="1:23" s="5" customFormat="1">
      <c r="A1793" s="6"/>
      <c r="B1793" s="33"/>
      <c r="C1793" s="35"/>
      <c r="E1793" s="39"/>
      <c r="G1793" s="40"/>
      <c r="H1793" s="14"/>
      <c r="I1793" s="17"/>
      <c r="J1793" s="10"/>
      <c r="M1793" s="39"/>
      <c r="O1793" s="39"/>
      <c r="Q1793" s="39"/>
      <c r="R1793" s="28"/>
      <c r="S1793" s="28"/>
      <c r="T1793" s="28"/>
      <c r="U1793" s="4"/>
      <c r="V1793" s="3"/>
      <c r="W1793" s="3"/>
    </row>
    <row r="1794" spans="1:23" s="5" customFormat="1">
      <c r="A1794" s="6"/>
      <c r="B1794" s="33"/>
      <c r="C1794" s="35"/>
      <c r="E1794" s="39"/>
      <c r="G1794" s="40"/>
      <c r="H1794" s="15"/>
      <c r="I1794" s="17"/>
      <c r="J1794" s="10"/>
      <c r="M1794" s="39"/>
      <c r="O1794" s="39"/>
      <c r="Q1794" s="39"/>
      <c r="R1794" s="28"/>
      <c r="S1794" s="28"/>
      <c r="T1794" s="28"/>
      <c r="U1794" s="4"/>
      <c r="V1794" s="3"/>
      <c r="W1794" s="3"/>
    </row>
    <row r="1795" spans="1:23" s="5" customFormat="1">
      <c r="A1795" s="6"/>
      <c r="B1795" s="33"/>
      <c r="C1795" s="35"/>
      <c r="E1795" s="39"/>
      <c r="G1795" s="40"/>
      <c r="H1795" s="15"/>
      <c r="I1795" s="17"/>
      <c r="J1795" s="10"/>
      <c r="M1795" s="39"/>
      <c r="O1795" s="39"/>
      <c r="Q1795" s="39"/>
      <c r="R1795" s="28"/>
      <c r="S1795" s="28"/>
      <c r="T1795" s="28"/>
      <c r="U1795" s="4"/>
      <c r="V1795" s="3"/>
      <c r="W1795" s="3"/>
    </row>
    <row r="1796" spans="1:23" s="5" customFormat="1">
      <c r="A1796" s="6"/>
      <c r="B1796" s="33"/>
      <c r="C1796" s="35"/>
      <c r="E1796" s="39"/>
      <c r="G1796" s="40"/>
      <c r="H1796" s="14"/>
      <c r="I1796" s="17"/>
      <c r="J1796" s="10"/>
      <c r="M1796" s="39"/>
      <c r="O1796" s="39"/>
      <c r="Q1796" s="39"/>
      <c r="R1796" s="28"/>
      <c r="S1796" s="28"/>
      <c r="T1796" s="28"/>
      <c r="U1796" s="4"/>
      <c r="V1796" s="3"/>
      <c r="W1796" s="3"/>
    </row>
    <row r="1797" spans="1:23" s="5" customFormat="1">
      <c r="A1797" s="6"/>
      <c r="B1797" s="33"/>
      <c r="C1797" s="35"/>
      <c r="E1797" s="39"/>
      <c r="G1797" s="40"/>
      <c r="H1797" s="14"/>
      <c r="I1797" s="17"/>
      <c r="J1797" s="10"/>
      <c r="M1797" s="39"/>
      <c r="O1797" s="39"/>
      <c r="Q1797" s="39"/>
      <c r="R1797" s="28"/>
      <c r="S1797" s="28"/>
      <c r="T1797" s="28"/>
      <c r="U1797" s="4"/>
      <c r="V1797" s="3"/>
      <c r="W1797" s="3"/>
    </row>
    <row r="1798" spans="1:23" s="5" customFormat="1">
      <c r="A1798" s="6"/>
      <c r="B1798" s="33"/>
      <c r="C1798" s="35"/>
      <c r="E1798" s="39"/>
      <c r="G1798" s="40"/>
      <c r="H1798" s="14"/>
      <c r="I1798" s="17"/>
      <c r="J1798" s="10"/>
      <c r="M1798" s="39"/>
      <c r="O1798" s="39"/>
      <c r="Q1798" s="39"/>
      <c r="R1798" s="28"/>
      <c r="S1798" s="28"/>
      <c r="T1798" s="28"/>
      <c r="U1798" s="4"/>
      <c r="V1798" s="3"/>
      <c r="W1798" s="3"/>
    </row>
    <row r="1799" spans="1:23" s="5" customFormat="1">
      <c r="A1799" s="6"/>
      <c r="B1799" s="33"/>
      <c r="C1799" s="35"/>
      <c r="E1799" s="39"/>
      <c r="G1799" s="40"/>
      <c r="H1799" s="14"/>
      <c r="I1799" s="17"/>
      <c r="J1799" s="10"/>
      <c r="M1799" s="39"/>
      <c r="O1799" s="39"/>
      <c r="Q1799" s="39"/>
      <c r="R1799" s="28"/>
      <c r="S1799" s="28"/>
      <c r="T1799" s="28"/>
      <c r="U1799" s="4"/>
      <c r="V1799" s="3"/>
      <c r="W1799" s="3"/>
    </row>
    <row r="1800" spans="1:23" s="5" customFormat="1">
      <c r="A1800" s="6"/>
      <c r="B1800" s="33"/>
      <c r="C1800" s="35"/>
      <c r="E1800" s="39"/>
      <c r="G1800" s="40"/>
      <c r="H1800" s="15"/>
      <c r="I1800" s="17"/>
      <c r="J1800" s="10"/>
      <c r="M1800" s="39"/>
      <c r="O1800" s="39"/>
      <c r="Q1800" s="39"/>
      <c r="R1800" s="28"/>
      <c r="S1800" s="28"/>
      <c r="T1800" s="28"/>
      <c r="U1800" s="4"/>
      <c r="V1800" s="3"/>
      <c r="W1800" s="3"/>
    </row>
    <row r="1801" spans="1:23" s="5" customFormat="1">
      <c r="A1801" s="6"/>
      <c r="B1801" s="33"/>
      <c r="C1801" s="35"/>
      <c r="E1801" s="39"/>
      <c r="G1801" s="40"/>
      <c r="H1801" s="15"/>
      <c r="I1801" s="17"/>
      <c r="J1801" s="10"/>
      <c r="M1801" s="39"/>
      <c r="O1801" s="39"/>
      <c r="Q1801" s="39"/>
      <c r="R1801" s="28"/>
      <c r="S1801" s="28"/>
      <c r="T1801" s="28"/>
      <c r="U1801" s="4"/>
      <c r="V1801" s="3"/>
      <c r="W1801" s="3"/>
    </row>
    <row r="1802" spans="1:23" s="5" customFormat="1">
      <c r="A1802" s="6"/>
      <c r="B1802" s="33"/>
      <c r="C1802" s="35"/>
      <c r="E1802" s="39"/>
      <c r="G1802" s="40"/>
      <c r="H1802" s="15"/>
      <c r="I1802" s="17"/>
      <c r="J1802" s="10"/>
      <c r="M1802" s="39"/>
      <c r="O1802" s="39"/>
      <c r="Q1802" s="39"/>
      <c r="R1802" s="28"/>
      <c r="S1802" s="28"/>
      <c r="T1802" s="28"/>
      <c r="U1802" s="4"/>
      <c r="V1802" s="3"/>
      <c r="W1802" s="3"/>
    </row>
    <row r="1803" spans="1:23" s="5" customFormat="1">
      <c r="A1803" s="6"/>
      <c r="B1803" s="33"/>
      <c r="C1803" s="35"/>
      <c r="E1803" s="39"/>
      <c r="G1803" s="40"/>
      <c r="H1803" s="14"/>
      <c r="I1803" s="17"/>
      <c r="J1803" s="10"/>
      <c r="M1803" s="39"/>
      <c r="O1803" s="39"/>
      <c r="Q1803" s="39"/>
      <c r="R1803" s="28"/>
      <c r="S1803" s="28"/>
      <c r="T1803" s="28"/>
      <c r="U1803" s="4"/>
      <c r="V1803" s="3"/>
      <c r="W1803" s="3"/>
    </row>
    <row r="1804" spans="1:23" s="5" customFormat="1">
      <c r="A1804" s="6"/>
      <c r="B1804" s="33"/>
      <c r="C1804" s="35"/>
      <c r="E1804" s="39"/>
      <c r="G1804" s="40"/>
      <c r="H1804" s="15"/>
      <c r="I1804" s="17"/>
      <c r="J1804" s="10"/>
      <c r="M1804" s="39"/>
      <c r="O1804" s="39"/>
      <c r="Q1804" s="39"/>
      <c r="R1804" s="28"/>
      <c r="S1804" s="28"/>
      <c r="T1804" s="28"/>
      <c r="U1804" s="4"/>
      <c r="V1804" s="3"/>
      <c r="W1804" s="3"/>
    </row>
    <row r="1805" spans="1:23" s="5" customFormat="1">
      <c r="A1805" s="6"/>
      <c r="B1805" s="33"/>
      <c r="C1805" s="35"/>
      <c r="E1805" s="39"/>
      <c r="G1805" s="40"/>
      <c r="H1805" s="15"/>
      <c r="I1805" s="17"/>
      <c r="J1805" s="10"/>
      <c r="M1805" s="39"/>
      <c r="O1805" s="39"/>
      <c r="Q1805" s="39"/>
      <c r="R1805" s="28"/>
      <c r="S1805" s="28"/>
      <c r="T1805" s="28"/>
      <c r="U1805" s="4"/>
      <c r="V1805" s="3"/>
      <c r="W1805" s="3"/>
    </row>
    <row r="1806" spans="1:23" s="5" customFormat="1">
      <c r="A1806" s="6"/>
      <c r="B1806" s="33"/>
      <c r="C1806" s="35"/>
      <c r="E1806" s="39"/>
      <c r="G1806" s="40"/>
      <c r="H1806" s="14"/>
      <c r="I1806" s="17"/>
      <c r="J1806" s="10"/>
      <c r="M1806" s="39"/>
      <c r="O1806" s="39"/>
      <c r="Q1806" s="39"/>
      <c r="R1806" s="28"/>
      <c r="S1806" s="28"/>
      <c r="T1806" s="28"/>
      <c r="U1806" s="4"/>
      <c r="V1806" s="3"/>
      <c r="W1806" s="3"/>
    </row>
    <row r="1807" spans="1:23" s="5" customFormat="1">
      <c r="A1807" s="6"/>
      <c r="B1807" s="33"/>
      <c r="C1807" s="35"/>
      <c r="E1807" s="39"/>
      <c r="G1807" s="40"/>
      <c r="H1807" s="14"/>
      <c r="I1807" s="17"/>
      <c r="J1807" s="10"/>
      <c r="M1807" s="39"/>
      <c r="O1807" s="39"/>
      <c r="Q1807" s="39"/>
      <c r="R1807" s="28"/>
      <c r="S1807" s="28"/>
      <c r="T1807" s="28"/>
      <c r="U1807" s="4"/>
      <c r="V1807" s="3"/>
      <c r="W1807" s="3"/>
    </row>
    <row r="1808" spans="1:23" s="5" customFormat="1">
      <c r="A1808" s="6"/>
      <c r="B1808" s="33"/>
      <c r="C1808" s="35"/>
      <c r="E1808" s="39"/>
      <c r="G1808" s="40"/>
      <c r="H1808" s="14"/>
      <c r="I1808" s="17"/>
      <c r="J1808" s="10"/>
      <c r="M1808" s="39"/>
      <c r="O1808" s="39"/>
      <c r="Q1808" s="39"/>
      <c r="R1808" s="28"/>
      <c r="S1808" s="28"/>
      <c r="T1808" s="28"/>
      <c r="U1808" s="4"/>
      <c r="V1808" s="3"/>
      <c r="W1808" s="3"/>
    </row>
    <row r="1809" spans="1:23" s="5" customFormat="1">
      <c r="A1809" s="6"/>
      <c r="B1809" s="33"/>
      <c r="C1809" s="35"/>
      <c r="E1809" s="39"/>
      <c r="G1809" s="40"/>
      <c r="H1809" s="14"/>
      <c r="I1809" s="17"/>
      <c r="J1809" s="10"/>
      <c r="M1809" s="39"/>
      <c r="O1809" s="39"/>
      <c r="Q1809" s="39"/>
      <c r="R1809" s="28"/>
      <c r="S1809" s="28"/>
      <c r="T1809" s="28"/>
      <c r="U1809" s="4"/>
      <c r="V1809" s="3"/>
      <c r="W1809" s="3"/>
    </row>
    <row r="1810" spans="1:23" s="5" customFormat="1">
      <c r="A1810" s="6"/>
      <c r="B1810" s="33"/>
      <c r="C1810" s="35"/>
      <c r="E1810" s="39"/>
      <c r="G1810" s="40"/>
      <c r="H1810" s="14"/>
      <c r="I1810" s="17"/>
      <c r="J1810" s="10"/>
      <c r="M1810" s="39"/>
      <c r="O1810" s="39"/>
      <c r="Q1810" s="39"/>
      <c r="R1810" s="28"/>
      <c r="S1810" s="28"/>
      <c r="T1810" s="28"/>
      <c r="U1810" s="4"/>
      <c r="V1810" s="3"/>
      <c r="W1810" s="3"/>
    </row>
    <row r="1811" spans="1:23" s="5" customFormat="1">
      <c r="A1811" s="6"/>
      <c r="B1811" s="33"/>
      <c r="C1811" s="35"/>
      <c r="E1811" s="39"/>
      <c r="G1811" s="40"/>
      <c r="H1811" s="15"/>
      <c r="I1811" s="17"/>
      <c r="J1811" s="10"/>
      <c r="M1811" s="39"/>
      <c r="O1811" s="39"/>
      <c r="Q1811" s="39"/>
      <c r="R1811" s="28"/>
      <c r="S1811" s="28"/>
      <c r="T1811" s="28"/>
      <c r="U1811" s="4"/>
      <c r="V1811" s="3"/>
      <c r="W1811" s="3"/>
    </row>
    <row r="1812" spans="1:23" s="5" customFormat="1">
      <c r="A1812" s="20"/>
      <c r="B1812" s="33"/>
      <c r="C1812" s="35"/>
      <c r="D1812" s="1"/>
      <c r="E1812" s="39"/>
      <c r="F1812" s="1"/>
      <c r="G1812" s="40"/>
      <c r="H1812" s="12"/>
      <c r="I1812" s="9"/>
      <c r="J1812" s="12"/>
      <c r="L1812" s="1"/>
      <c r="M1812" s="39"/>
      <c r="N1812" s="1"/>
      <c r="O1812" s="39"/>
      <c r="P1812" s="1"/>
      <c r="Q1812" s="39"/>
      <c r="R1812" s="28"/>
      <c r="S1812" s="28"/>
      <c r="T1812" s="28"/>
      <c r="U1812" s="4"/>
      <c r="V1812" s="3"/>
      <c r="W1812" s="3"/>
    </row>
    <row r="1813" spans="1:23" s="5" customFormat="1">
      <c r="A1813" s="6"/>
      <c r="B1813" s="33"/>
      <c r="C1813" s="35"/>
      <c r="E1813" s="39"/>
      <c r="G1813" s="40"/>
      <c r="H1813" s="14"/>
      <c r="I1813" s="17"/>
      <c r="J1813" s="10"/>
      <c r="M1813" s="39"/>
      <c r="O1813" s="39"/>
      <c r="Q1813" s="39"/>
      <c r="R1813" s="28"/>
      <c r="S1813" s="29"/>
      <c r="T1813" s="28"/>
      <c r="U1813" s="4"/>
      <c r="V1813" s="3"/>
      <c r="W1813" s="3"/>
    </row>
    <row r="1814" spans="1:23" s="5" customFormat="1">
      <c r="A1814" s="6"/>
      <c r="B1814" s="33"/>
      <c r="C1814" s="35"/>
      <c r="E1814" s="39"/>
      <c r="G1814" s="40"/>
      <c r="H1814" s="15"/>
      <c r="I1814" s="17"/>
      <c r="J1814" s="10"/>
      <c r="M1814" s="39"/>
      <c r="O1814" s="39"/>
      <c r="Q1814" s="39"/>
      <c r="R1814" s="28"/>
      <c r="S1814" s="28"/>
      <c r="T1814" s="28"/>
      <c r="U1814" s="4"/>
      <c r="V1814" s="3"/>
      <c r="W1814" s="3"/>
    </row>
    <row r="1815" spans="1:23" s="5" customFormat="1">
      <c r="A1815" s="6"/>
      <c r="B1815" s="33"/>
      <c r="C1815" s="35"/>
      <c r="E1815" s="39"/>
      <c r="G1815" s="40"/>
      <c r="H1815" s="15"/>
      <c r="I1815" s="17"/>
      <c r="J1815" s="10"/>
      <c r="M1815" s="39"/>
      <c r="O1815" s="39"/>
      <c r="Q1815" s="39"/>
      <c r="R1815" s="28"/>
      <c r="S1815" s="28"/>
      <c r="T1815" s="28"/>
      <c r="U1815" s="4"/>
      <c r="V1815" s="3"/>
      <c r="W1815" s="3"/>
    </row>
    <row r="1816" spans="1:23" s="5" customFormat="1">
      <c r="A1816" s="6"/>
      <c r="B1816" s="33"/>
      <c r="C1816" s="35"/>
      <c r="E1816" s="39"/>
      <c r="G1816" s="40"/>
      <c r="H1816" s="14"/>
      <c r="I1816" s="17"/>
      <c r="J1816" s="10"/>
      <c r="M1816" s="39"/>
      <c r="O1816" s="39"/>
      <c r="Q1816" s="39"/>
      <c r="R1816" s="28"/>
      <c r="S1816" s="28"/>
      <c r="T1816" s="28"/>
      <c r="U1816" s="4"/>
      <c r="V1816" s="3"/>
      <c r="W1816" s="3"/>
    </row>
    <row r="1817" spans="1:23" s="5" customFormat="1">
      <c r="A1817" s="6"/>
      <c r="B1817" s="33"/>
      <c r="C1817" s="35"/>
      <c r="E1817" s="39"/>
      <c r="G1817" s="40"/>
      <c r="H1817" s="15"/>
      <c r="I1817" s="17"/>
      <c r="J1817" s="10"/>
      <c r="M1817" s="39"/>
      <c r="O1817" s="39"/>
      <c r="Q1817" s="39"/>
      <c r="R1817" s="28"/>
      <c r="S1817" s="28"/>
      <c r="T1817" s="28"/>
      <c r="U1817" s="4"/>
      <c r="V1817" s="3"/>
      <c r="W1817" s="3"/>
    </row>
    <row r="1818" spans="1:23" s="5" customFormat="1">
      <c r="A1818" s="6"/>
      <c r="B1818" s="33"/>
      <c r="C1818" s="35"/>
      <c r="E1818" s="39"/>
      <c r="G1818" s="40"/>
      <c r="H1818" s="15"/>
      <c r="I1818" s="17"/>
      <c r="J1818" s="10"/>
      <c r="M1818" s="39"/>
      <c r="O1818" s="39"/>
      <c r="Q1818" s="39"/>
      <c r="R1818" s="28"/>
      <c r="S1818" s="28"/>
      <c r="T1818" s="28"/>
      <c r="U1818" s="4"/>
      <c r="V1818" s="3"/>
      <c r="W1818" s="3"/>
    </row>
    <row r="1819" spans="1:23" s="5" customFormat="1">
      <c r="A1819" s="6"/>
      <c r="B1819" s="33"/>
      <c r="C1819" s="35"/>
      <c r="E1819" s="39"/>
      <c r="G1819" s="40"/>
      <c r="H1819" s="15"/>
      <c r="I1819" s="17"/>
      <c r="J1819" s="10"/>
      <c r="M1819" s="39"/>
      <c r="O1819" s="39"/>
      <c r="Q1819" s="39"/>
      <c r="R1819" s="28"/>
      <c r="S1819" s="28"/>
      <c r="T1819" s="28"/>
      <c r="U1819" s="4"/>
      <c r="V1819" s="3"/>
      <c r="W1819" s="3"/>
    </row>
    <row r="1820" spans="1:23" s="5" customFormat="1">
      <c r="A1820" s="6"/>
      <c r="B1820" s="33"/>
      <c r="C1820" s="35"/>
      <c r="E1820" s="39"/>
      <c r="G1820" s="40"/>
      <c r="H1820" s="14"/>
      <c r="I1820" s="17"/>
      <c r="J1820" s="10"/>
      <c r="M1820" s="39"/>
      <c r="O1820" s="39"/>
      <c r="Q1820" s="39"/>
      <c r="R1820" s="28"/>
      <c r="S1820" s="28"/>
      <c r="T1820" s="28"/>
      <c r="U1820" s="4"/>
      <c r="V1820" s="3"/>
      <c r="W1820" s="3"/>
    </row>
    <row r="1821" spans="1:23" s="5" customFormat="1">
      <c r="A1821" s="6"/>
      <c r="B1821" s="33"/>
      <c r="C1821" s="35"/>
      <c r="E1821" s="39"/>
      <c r="G1821" s="40"/>
      <c r="H1821" s="14"/>
      <c r="I1821" s="17"/>
      <c r="J1821" s="10"/>
      <c r="M1821" s="39"/>
      <c r="O1821" s="39"/>
      <c r="Q1821" s="39"/>
      <c r="R1821" s="28"/>
      <c r="S1821" s="28"/>
      <c r="T1821" s="28"/>
      <c r="U1821" s="4"/>
      <c r="V1821" s="3"/>
      <c r="W1821" s="3"/>
    </row>
    <row r="1822" spans="1:23" s="5" customFormat="1">
      <c r="A1822" s="6"/>
      <c r="B1822" s="33"/>
      <c r="C1822" s="35"/>
      <c r="E1822" s="39"/>
      <c r="G1822" s="40"/>
      <c r="H1822" s="14"/>
      <c r="I1822" s="17"/>
      <c r="J1822" s="10"/>
      <c r="M1822" s="39"/>
      <c r="O1822" s="39"/>
      <c r="Q1822" s="39"/>
      <c r="R1822" s="28"/>
      <c r="S1822" s="28"/>
      <c r="T1822" s="28"/>
      <c r="U1822" s="4"/>
      <c r="V1822" s="3"/>
      <c r="W1822" s="3"/>
    </row>
    <row r="1823" spans="1:23" s="5" customFormat="1">
      <c r="A1823" s="6"/>
      <c r="B1823" s="33"/>
      <c r="C1823" s="35"/>
      <c r="E1823" s="39"/>
      <c r="G1823" s="40"/>
      <c r="H1823" s="14"/>
      <c r="I1823" s="17"/>
      <c r="J1823" s="10"/>
      <c r="M1823" s="39"/>
      <c r="O1823" s="39"/>
      <c r="Q1823" s="39"/>
      <c r="R1823" s="28"/>
      <c r="S1823" s="28"/>
      <c r="T1823" s="28"/>
      <c r="U1823" s="4"/>
      <c r="V1823" s="3"/>
      <c r="W1823" s="3"/>
    </row>
    <row r="1824" spans="1:23" s="5" customFormat="1">
      <c r="A1824" s="6"/>
      <c r="B1824" s="33"/>
      <c r="C1824" s="35"/>
      <c r="E1824" s="39"/>
      <c r="G1824" s="40"/>
      <c r="H1824" s="15"/>
      <c r="I1824" s="17"/>
      <c r="J1824" s="10"/>
      <c r="M1824" s="39"/>
      <c r="O1824" s="39"/>
      <c r="Q1824" s="39"/>
      <c r="R1824" s="28"/>
      <c r="S1824" s="28"/>
      <c r="T1824" s="28"/>
      <c r="U1824" s="4"/>
      <c r="V1824" s="3"/>
      <c r="W1824" s="3"/>
    </row>
    <row r="1825" spans="1:23" s="5" customFormat="1">
      <c r="A1825" s="6"/>
      <c r="B1825" s="33"/>
      <c r="C1825" s="35"/>
      <c r="E1825" s="39"/>
      <c r="G1825" s="40"/>
      <c r="H1825" s="14"/>
      <c r="I1825" s="17"/>
      <c r="J1825" s="10"/>
      <c r="M1825" s="39"/>
      <c r="O1825" s="39"/>
      <c r="Q1825" s="39"/>
      <c r="R1825" s="28"/>
      <c r="S1825" s="28"/>
      <c r="T1825" s="28"/>
      <c r="U1825" s="4"/>
      <c r="V1825" s="3"/>
      <c r="W1825" s="3"/>
    </row>
    <row r="1826" spans="1:23" s="5" customFormat="1">
      <c r="A1826" s="6"/>
      <c r="B1826" s="33"/>
      <c r="C1826" s="35"/>
      <c r="E1826" s="39"/>
      <c r="G1826" s="40"/>
      <c r="H1826" s="14"/>
      <c r="I1826" s="17"/>
      <c r="J1826" s="10"/>
      <c r="M1826" s="39"/>
      <c r="O1826" s="39"/>
      <c r="Q1826" s="39"/>
      <c r="R1826" s="28"/>
      <c r="S1826" s="28"/>
      <c r="T1826" s="28"/>
      <c r="U1826" s="4"/>
      <c r="V1826" s="3"/>
      <c r="W1826" s="3"/>
    </row>
    <row r="1827" spans="1:23" s="5" customFormat="1">
      <c r="A1827" s="6"/>
      <c r="B1827" s="33"/>
      <c r="C1827" s="35"/>
      <c r="E1827" s="39"/>
      <c r="G1827" s="40"/>
      <c r="H1827" s="14"/>
      <c r="I1827" s="17"/>
      <c r="J1827" s="10"/>
      <c r="M1827" s="39"/>
      <c r="O1827" s="39"/>
      <c r="Q1827" s="39"/>
      <c r="R1827" s="28"/>
      <c r="S1827" s="28"/>
      <c r="T1827" s="28"/>
      <c r="U1827" s="4"/>
      <c r="V1827" s="3"/>
      <c r="W1827" s="3"/>
    </row>
    <row r="1828" spans="1:23" s="5" customFormat="1">
      <c r="A1828" s="6"/>
      <c r="B1828" s="33"/>
      <c r="C1828" s="35"/>
      <c r="E1828" s="39"/>
      <c r="G1828" s="40"/>
      <c r="H1828" s="15"/>
      <c r="I1828" s="17"/>
      <c r="J1828" s="10"/>
      <c r="M1828" s="39"/>
      <c r="O1828" s="39"/>
      <c r="Q1828" s="39"/>
      <c r="R1828" s="28"/>
      <c r="S1828" s="28"/>
      <c r="T1828" s="28"/>
      <c r="U1828" s="4"/>
      <c r="V1828" s="3"/>
      <c r="W1828" s="3"/>
    </row>
    <row r="1829" spans="1:23" s="5" customFormat="1">
      <c r="A1829" s="6"/>
      <c r="B1829" s="33"/>
      <c r="C1829" s="35"/>
      <c r="E1829" s="39"/>
      <c r="G1829" s="40"/>
      <c r="H1829" s="14"/>
      <c r="I1829" s="17"/>
      <c r="J1829" s="10"/>
      <c r="M1829" s="39"/>
      <c r="O1829" s="39"/>
      <c r="Q1829" s="39"/>
      <c r="R1829" s="28"/>
      <c r="S1829" s="28"/>
      <c r="T1829" s="28"/>
      <c r="U1829" s="4"/>
      <c r="V1829" s="3"/>
      <c r="W1829" s="3"/>
    </row>
    <row r="1830" spans="1:23" s="5" customFormat="1">
      <c r="A1830" s="6"/>
      <c r="B1830" s="33"/>
      <c r="C1830" s="35"/>
      <c r="E1830" s="39"/>
      <c r="G1830" s="40"/>
      <c r="H1830" s="14"/>
      <c r="I1830" s="17"/>
      <c r="J1830" s="10"/>
      <c r="M1830" s="39"/>
      <c r="O1830" s="39"/>
      <c r="Q1830" s="39"/>
      <c r="R1830" s="28"/>
      <c r="S1830" s="28"/>
      <c r="T1830" s="28"/>
      <c r="U1830" s="4"/>
      <c r="V1830" s="3"/>
      <c r="W1830" s="3"/>
    </row>
    <row r="1831" spans="1:23" s="5" customFormat="1">
      <c r="A1831" s="6"/>
      <c r="B1831" s="33"/>
      <c r="C1831" s="35"/>
      <c r="E1831" s="39"/>
      <c r="G1831" s="40"/>
      <c r="H1831" s="14"/>
      <c r="I1831" s="17"/>
      <c r="J1831" s="10"/>
      <c r="M1831" s="39"/>
      <c r="O1831" s="39"/>
      <c r="Q1831" s="39"/>
      <c r="R1831" s="28"/>
      <c r="S1831" s="28"/>
      <c r="T1831" s="28"/>
      <c r="U1831" s="4"/>
      <c r="V1831" s="3"/>
      <c r="W1831" s="3"/>
    </row>
    <row r="1832" spans="1:23" s="5" customFormat="1">
      <c r="A1832" s="6"/>
      <c r="B1832" s="33"/>
      <c r="C1832" s="35"/>
      <c r="E1832" s="39"/>
      <c r="G1832" s="40"/>
      <c r="H1832" s="15"/>
      <c r="I1832" s="17"/>
      <c r="J1832" s="10"/>
      <c r="M1832" s="39"/>
      <c r="O1832" s="39"/>
      <c r="Q1832" s="39"/>
      <c r="R1832" s="28"/>
      <c r="S1832" s="28"/>
      <c r="T1832" s="28"/>
      <c r="U1832" s="4"/>
      <c r="V1832" s="3"/>
      <c r="W1832" s="3"/>
    </row>
    <row r="1833" spans="1:23" s="5" customFormat="1">
      <c r="A1833" s="6"/>
      <c r="B1833" s="33"/>
      <c r="C1833" s="35"/>
      <c r="E1833" s="39"/>
      <c r="G1833" s="40"/>
      <c r="H1833" s="15"/>
      <c r="I1833" s="17"/>
      <c r="J1833" s="10"/>
      <c r="M1833" s="39"/>
      <c r="O1833" s="39"/>
      <c r="Q1833" s="39"/>
      <c r="R1833" s="28"/>
      <c r="S1833" s="28"/>
      <c r="T1833" s="28"/>
      <c r="U1833" s="4"/>
      <c r="V1833" s="3"/>
      <c r="W1833" s="3"/>
    </row>
    <row r="1834" spans="1:23" s="5" customFormat="1">
      <c r="A1834" s="6"/>
      <c r="B1834" s="33"/>
      <c r="C1834" s="35"/>
      <c r="E1834" s="39"/>
      <c r="G1834" s="40"/>
      <c r="H1834" s="15"/>
      <c r="I1834" s="17"/>
      <c r="J1834" s="10"/>
      <c r="M1834" s="39"/>
      <c r="O1834" s="39"/>
      <c r="Q1834" s="39"/>
      <c r="R1834" s="28"/>
      <c r="S1834" s="28"/>
      <c r="T1834" s="28"/>
      <c r="U1834" s="4"/>
      <c r="V1834" s="3"/>
      <c r="W1834" s="3"/>
    </row>
    <row r="1835" spans="1:23" s="5" customFormat="1">
      <c r="A1835" s="6"/>
      <c r="B1835" s="33"/>
      <c r="C1835" s="35"/>
      <c r="E1835" s="39"/>
      <c r="G1835" s="40"/>
      <c r="H1835" s="15"/>
      <c r="I1835" s="17"/>
      <c r="J1835" s="10"/>
      <c r="M1835" s="39"/>
      <c r="O1835" s="39"/>
      <c r="Q1835" s="39"/>
      <c r="R1835" s="28"/>
      <c r="S1835" s="28"/>
      <c r="T1835" s="28"/>
      <c r="U1835" s="4"/>
      <c r="V1835" s="3"/>
      <c r="W1835" s="3"/>
    </row>
    <row r="1836" spans="1:23" s="5" customFormat="1">
      <c r="A1836" s="6"/>
      <c r="B1836" s="33"/>
      <c r="C1836" s="35"/>
      <c r="E1836" s="39"/>
      <c r="G1836" s="40"/>
      <c r="H1836" s="15"/>
      <c r="I1836" s="17"/>
      <c r="J1836" s="10"/>
      <c r="M1836" s="39"/>
      <c r="O1836" s="39"/>
      <c r="Q1836" s="39"/>
      <c r="R1836" s="28"/>
      <c r="S1836" s="28"/>
      <c r="T1836" s="28"/>
      <c r="U1836" s="4"/>
      <c r="V1836" s="3"/>
      <c r="W1836" s="3"/>
    </row>
    <row r="1837" spans="1:23" s="5" customFormat="1">
      <c r="A1837" s="6"/>
      <c r="B1837" s="33"/>
      <c r="C1837" s="35"/>
      <c r="E1837" s="39"/>
      <c r="G1837" s="40"/>
      <c r="H1837" s="15"/>
      <c r="I1837" s="17"/>
      <c r="J1837" s="10"/>
      <c r="M1837" s="39"/>
      <c r="O1837" s="39"/>
      <c r="Q1837" s="39"/>
      <c r="R1837" s="28"/>
      <c r="S1837" s="28"/>
      <c r="T1837" s="28"/>
      <c r="U1837" s="4"/>
      <c r="V1837" s="3"/>
      <c r="W1837" s="3"/>
    </row>
    <row r="1838" spans="1:23" s="5" customFormat="1">
      <c r="A1838" s="6"/>
      <c r="B1838" s="33"/>
      <c r="C1838" s="35"/>
      <c r="E1838" s="39"/>
      <c r="G1838" s="40"/>
      <c r="H1838" s="14"/>
      <c r="I1838" s="17"/>
      <c r="J1838" s="10"/>
      <c r="M1838" s="39"/>
      <c r="O1838" s="39"/>
      <c r="Q1838" s="39"/>
      <c r="R1838" s="28"/>
      <c r="S1838" s="28"/>
      <c r="T1838" s="28"/>
      <c r="U1838" s="4"/>
      <c r="V1838" s="3"/>
      <c r="W1838" s="3"/>
    </row>
    <row r="1839" spans="1:23" s="5" customFormat="1">
      <c r="A1839" s="6"/>
      <c r="B1839" s="33"/>
      <c r="C1839" s="35"/>
      <c r="E1839" s="39"/>
      <c r="G1839" s="40"/>
      <c r="H1839" s="14"/>
      <c r="I1839" s="17"/>
      <c r="J1839" s="10"/>
      <c r="M1839" s="39"/>
      <c r="O1839" s="39"/>
      <c r="Q1839" s="39"/>
      <c r="R1839" s="28"/>
      <c r="S1839" s="28"/>
      <c r="T1839" s="28"/>
      <c r="U1839" s="4"/>
      <c r="V1839" s="3"/>
      <c r="W1839" s="3"/>
    </row>
    <row r="1840" spans="1:23" s="5" customFormat="1">
      <c r="A1840" s="6"/>
      <c r="B1840" s="33"/>
      <c r="C1840" s="35"/>
      <c r="E1840" s="39"/>
      <c r="G1840" s="40"/>
      <c r="H1840" s="14"/>
      <c r="I1840" s="17"/>
      <c r="J1840" s="10"/>
      <c r="M1840" s="39"/>
      <c r="O1840" s="39"/>
      <c r="Q1840" s="39"/>
      <c r="R1840" s="28"/>
      <c r="S1840" s="28"/>
      <c r="T1840" s="28"/>
      <c r="U1840" s="4"/>
      <c r="V1840" s="3"/>
      <c r="W1840" s="3"/>
    </row>
    <row r="1841" spans="1:23" s="5" customFormat="1">
      <c r="A1841" s="6"/>
      <c r="B1841" s="33"/>
      <c r="C1841" s="35"/>
      <c r="E1841" s="39"/>
      <c r="G1841" s="40"/>
      <c r="H1841" s="15"/>
      <c r="I1841" s="17"/>
      <c r="J1841" s="10"/>
      <c r="M1841" s="39"/>
      <c r="O1841" s="39"/>
      <c r="Q1841" s="39"/>
      <c r="R1841" s="28"/>
      <c r="S1841" s="28"/>
      <c r="T1841" s="28"/>
      <c r="U1841" s="4"/>
      <c r="V1841" s="3"/>
      <c r="W1841" s="3"/>
    </row>
    <row r="1842" spans="1:23" s="5" customFormat="1">
      <c r="A1842" s="6"/>
      <c r="B1842" s="33"/>
      <c r="C1842" s="35"/>
      <c r="E1842" s="39"/>
      <c r="G1842" s="40"/>
      <c r="H1842" s="15"/>
      <c r="I1842" s="17"/>
      <c r="J1842" s="10"/>
      <c r="M1842" s="39"/>
      <c r="O1842" s="39"/>
      <c r="Q1842" s="39"/>
      <c r="R1842" s="28"/>
      <c r="S1842" s="28"/>
      <c r="T1842" s="28"/>
      <c r="U1842" s="4"/>
      <c r="V1842" s="3"/>
      <c r="W1842" s="3"/>
    </row>
    <row r="1843" spans="1:23" s="5" customFormat="1">
      <c r="A1843" s="6"/>
      <c r="B1843" s="33"/>
      <c r="C1843" s="35"/>
      <c r="E1843" s="39"/>
      <c r="G1843" s="40"/>
      <c r="H1843" s="14"/>
      <c r="I1843" s="17"/>
      <c r="J1843" s="10"/>
      <c r="M1843" s="39"/>
      <c r="O1843" s="39"/>
      <c r="Q1843" s="39"/>
      <c r="R1843" s="28"/>
      <c r="S1843" s="28"/>
      <c r="T1843" s="28"/>
      <c r="U1843" s="4"/>
      <c r="V1843" s="3"/>
      <c r="W1843" s="3"/>
    </row>
    <row r="1844" spans="1:23" s="5" customFormat="1">
      <c r="A1844" s="6"/>
      <c r="B1844" s="33"/>
      <c r="C1844" s="35"/>
      <c r="E1844" s="39"/>
      <c r="G1844" s="40"/>
      <c r="H1844" s="14"/>
      <c r="I1844" s="17"/>
      <c r="J1844" s="10"/>
      <c r="M1844" s="39"/>
      <c r="O1844" s="39"/>
      <c r="Q1844" s="39"/>
      <c r="R1844" s="28"/>
      <c r="S1844" s="28"/>
      <c r="T1844" s="28"/>
      <c r="U1844" s="4"/>
      <c r="V1844" s="3"/>
      <c r="W1844" s="3"/>
    </row>
    <row r="1845" spans="1:23" s="5" customFormat="1">
      <c r="A1845" s="6"/>
      <c r="B1845" s="33"/>
      <c r="C1845" s="35"/>
      <c r="E1845" s="39"/>
      <c r="G1845" s="40"/>
      <c r="H1845" s="14"/>
      <c r="I1845" s="17"/>
      <c r="J1845" s="10"/>
      <c r="M1845" s="39"/>
      <c r="O1845" s="39"/>
      <c r="Q1845" s="39"/>
      <c r="R1845" s="28"/>
      <c r="S1845" s="28"/>
      <c r="T1845" s="28"/>
      <c r="U1845" s="4"/>
      <c r="V1845" s="3"/>
      <c r="W1845" s="3"/>
    </row>
    <row r="1846" spans="1:23" s="5" customFormat="1">
      <c r="A1846" s="6"/>
      <c r="B1846" s="33"/>
      <c r="C1846" s="35"/>
      <c r="E1846" s="39"/>
      <c r="G1846" s="40"/>
      <c r="H1846" s="14"/>
      <c r="I1846" s="17"/>
      <c r="J1846" s="10"/>
      <c r="M1846" s="39"/>
      <c r="O1846" s="39"/>
      <c r="Q1846" s="39"/>
      <c r="R1846" s="28"/>
      <c r="S1846" s="28"/>
      <c r="T1846" s="28"/>
      <c r="U1846" s="4"/>
      <c r="V1846" s="3"/>
      <c r="W1846" s="3"/>
    </row>
    <row r="1847" spans="1:23" s="5" customFormat="1">
      <c r="A1847" s="6"/>
      <c r="B1847" s="33"/>
      <c r="C1847" s="35"/>
      <c r="E1847" s="39"/>
      <c r="G1847" s="40"/>
      <c r="H1847" s="14"/>
      <c r="I1847" s="17"/>
      <c r="J1847" s="10"/>
      <c r="M1847" s="39"/>
      <c r="O1847" s="39"/>
      <c r="Q1847" s="39"/>
      <c r="R1847" s="28"/>
      <c r="S1847" s="28"/>
      <c r="T1847" s="28"/>
      <c r="U1847" s="4"/>
      <c r="V1847" s="3"/>
      <c r="W1847" s="3"/>
    </row>
    <row r="1848" spans="1:23" s="5" customFormat="1">
      <c r="A1848" s="6"/>
      <c r="B1848" s="33"/>
      <c r="C1848" s="35"/>
      <c r="E1848" s="39"/>
      <c r="G1848" s="40"/>
      <c r="H1848" s="14"/>
      <c r="I1848" s="17"/>
      <c r="J1848" s="10"/>
      <c r="M1848" s="39"/>
      <c r="O1848" s="39"/>
      <c r="Q1848" s="39"/>
      <c r="R1848" s="28"/>
      <c r="S1848" s="28"/>
      <c r="T1848" s="28"/>
      <c r="U1848" s="4"/>
      <c r="V1848" s="3"/>
      <c r="W1848" s="3"/>
    </row>
    <row r="1849" spans="1:23" s="5" customFormat="1">
      <c r="A1849" s="6"/>
      <c r="B1849" s="33"/>
      <c r="C1849" s="35"/>
      <c r="E1849" s="39"/>
      <c r="G1849" s="40"/>
      <c r="H1849" s="15"/>
      <c r="I1849" s="17"/>
      <c r="J1849" s="10"/>
      <c r="M1849" s="39"/>
      <c r="O1849" s="39"/>
      <c r="Q1849" s="39"/>
      <c r="R1849" s="28"/>
      <c r="S1849" s="28"/>
      <c r="T1849" s="28"/>
      <c r="U1849" s="4"/>
      <c r="V1849" s="3"/>
      <c r="W1849" s="3"/>
    </row>
    <row r="1850" spans="1:23" s="5" customFormat="1">
      <c r="A1850" s="6"/>
      <c r="B1850" s="33"/>
      <c r="C1850" s="35"/>
      <c r="E1850" s="39"/>
      <c r="G1850" s="40"/>
      <c r="H1850" s="14"/>
      <c r="I1850" s="17"/>
      <c r="J1850" s="10"/>
      <c r="M1850" s="39"/>
      <c r="O1850" s="39"/>
      <c r="Q1850" s="39"/>
      <c r="R1850" s="28"/>
      <c r="S1850" s="28"/>
      <c r="T1850" s="28"/>
      <c r="U1850" s="4"/>
      <c r="V1850" s="3"/>
      <c r="W1850" s="3"/>
    </row>
    <row r="1851" spans="1:23" s="5" customFormat="1">
      <c r="A1851" s="6"/>
      <c r="B1851" s="33"/>
      <c r="C1851" s="35"/>
      <c r="E1851" s="39"/>
      <c r="G1851" s="40"/>
      <c r="H1851" s="14"/>
      <c r="I1851" s="17"/>
      <c r="J1851" s="10"/>
      <c r="M1851" s="39"/>
      <c r="O1851" s="39"/>
      <c r="Q1851" s="39"/>
      <c r="R1851" s="28"/>
      <c r="S1851" s="28"/>
      <c r="T1851" s="28"/>
      <c r="U1851" s="4"/>
      <c r="V1851" s="3"/>
      <c r="W1851" s="3"/>
    </row>
    <row r="1852" spans="1:23" s="5" customFormat="1">
      <c r="A1852" s="6"/>
      <c r="B1852" s="33"/>
      <c r="C1852" s="35"/>
      <c r="E1852" s="39"/>
      <c r="G1852" s="40"/>
      <c r="H1852" s="14"/>
      <c r="I1852" s="17"/>
      <c r="J1852" s="10"/>
      <c r="M1852" s="39"/>
      <c r="O1852" s="39"/>
      <c r="Q1852" s="39"/>
      <c r="R1852" s="28"/>
      <c r="S1852" s="28"/>
      <c r="T1852" s="28"/>
      <c r="U1852" s="4"/>
      <c r="V1852" s="3"/>
      <c r="W1852" s="3"/>
    </row>
    <row r="1853" spans="1:23" s="5" customFormat="1">
      <c r="A1853" s="6"/>
      <c r="B1853" s="33"/>
      <c r="C1853" s="35"/>
      <c r="E1853" s="39"/>
      <c r="G1853" s="40"/>
      <c r="H1853" s="15"/>
      <c r="I1853" s="17"/>
      <c r="J1853" s="10"/>
      <c r="M1853" s="39"/>
      <c r="O1853" s="39"/>
      <c r="Q1853" s="39"/>
      <c r="R1853" s="28"/>
      <c r="S1853" s="28"/>
      <c r="T1853" s="28"/>
      <c r="U1853" s="4"/>
      <c r="V1853" s="3"/>
      <c r="W1853" s="3"/>
    </row>
    <row r="1854" spans="1:23" s="5" customFormat="1">
      <c r="A1854" s="6"/>
      <c r="B1854" s="33"/>
      <c r="C1854" s="35"/>
      <c r="E1854" s="39"/>
      <c r="G1854" s="40"/>
      <c r="H1854" s="15"/>
      <c r="I1854" s="17"/>
      <c r="J1854" s="10"/>
      <c r="M1854" s="39"/>
      <c r="O1854" s="39"/>
      <c r="Q1854" s="39"/>
      <c r="R1854" s="28"/>
      <c r="S1854" s="28"/>
      <c r="T1854" s="28"/>
      <c r="U1854" s="4"/>
      <c r="V1854" s="3"/>
      <c r="W1854" s="3"/>
    </row>
    <row r="1855" spans="1:23" s="5" customFormat="1">
      <c r="A1855" s="6"/>
      <c r="B1855" s="33"/>
      <c r="C1855" s="35"/>
      <c r="E1855" s="39"/>
      <c r="G1855" s="40"/>
      <c r="H1855" s="15"/>
      <c r="I1855" s="17"/>
      <c r="J1855" s="10"/>
      <c r="M1855" s="39"/>
      <c r="O1855" s="39"/>
      <c r="Q1855" s="39"/>
      <c r="R1855" s="28"/>
      <c r="S1855" s="28"/>
      <c r="T1855" s="28"/>
      <c r="U1855" s="4"/>
      <c r="V1855" s="3"/>
      <c r="W1855" s="3"/>
    </row>
    <row r="1856" spans="1:23" s="5" customFormat="1">
      <c r="A1856" s="6"/>
      <c r="B1856" s="33"/>
      <c r="C1856" s="35"/>
      <c r="E1856" s="39"/>
      <c r="G1856" s="40"/>
      <c r="H1856" s="14"/>
      <c r="I1856" s="17"/>
      <c r="J1856" s="10"/>
      <c r="M1856" s="39"/>
      <c r="O1856" s="39"/>
      <c r="Q1856" s="39"/>
      <c r="R1856" s="28"/>
      <c r="S1856" s="28"/>
      <c r="T1856" s="28"/>
      <c r="U1856" s="4"/>
      <c r="V1856" s="3"/>
      <c r="W1856" s="3"/>
    </row>
    <row r="1857" spans="1:23" s="5" customFormat="1">
      <c r="A1857" s="6"/>
      <c r="B1857" s="33"/>
      <c r="C1857" s="35"/>
      <c r="E1857" s="39"/>
      <c r="G1857" s="40"/>
      <c r="H1857" s="15"/>
      <c r="I1857" s="17"/>
      <c r="J1857" s="10"/>
      <c r="M1857" s="39"/>
      <c r="O1857" s="39"/>
      <c r="Q1857" s="39"/>
      <c r="R1857" s="28"/>
      <c r="S1857" s="28"/>
      <c r="T1857" s="28"/>
      <c r="U1857" s="4"/>
      <c r="V1857" s="3"/>
      <c r="W1857" s="3"/>
    </row>
    <row r="1858" spans="1:23" s="5" customFormat="1">
      <c r="A1858" s="6"/>
      <c r="B1858" s="33"/>
      <c r="C1858" s="35"/>
      <c r="E1858" s="39"/>
      <c r="G1858" s="40"/>
      <c r="H1858" s="15"/>
      <c r="I1858" s="17"/>
      <c r="J1858" s="10"/>
      <c r="M1858" s="39"/>
      <c r="O1858" s="39"/>
      <c r="Q1858" s="39"/>
      <c r="R1858" s="28"/>
      <c r="S1858" s="28"/>
      <c r="T1858" s="28"/>
      <c r="U1858" s="4"/>
      <c r="V1858" s="3"/>
      <c r="W1858" s="3"/>
    </row>
    <row r="1859" spans="1:23" s="5" customFormat="1">
      <c r="A1859" s="6"/>
      <c r="B1859" s="33"/>
      <c r="C1859" s="35"/>
      <c r="E1859" s="39"/>
      <c r="G1859" s="40"/>
      <c r="H1859" s="14"/>
      <c r="I1859" s="17"/>
      <c r="J1859" s="10"/>
      <c r="M1859" s="39"/>
      <c r="O1859" s="39"/>
      <c r="Q1859" s="39"/>
      <c r="R1859" s="28"/>
      <c r="S1859" s="28"/>
      <c r="T1859" s="28"/>
      <c r="U1859" s="4"/>
      <c r="V1859" s="3"/>
      <c r="W1859" s="3"/>
    </row>
    <row r="1860" spans="1:23" s="5" customFormat="1">
      <c r="A1860" s="6"/>
      <c r="B1860" s="33"/>
      <c r="C1860" s="35"/>
      <c r="E1860" s="39"/>
      <c r="G1860" s="40"/>
      <c r="H1860" s="14"/>
      <c r="I1860" s="17"/>
      <c r="J1860" s="10"/>
      <c r="M1860" s="39"/>
      <c r="O1860" s="39"/>
      <c r="Q1860" s="39"/>
      <c r="R1860" s="28"/>
      <c r="S1860" s="28"/>
      <c r="T1860" s="28"/>
      <c r="U1860" s="4"/>
      <c r="V1860" s="3"/>
      <c r="W1860" s="3"/>
    </row>
    <row r="1861" spans="1:23" s="5" customFormat="1">
      <c r="A1861" s="6"/>
      <c r="B1861" s="33"/>
      <c r="C1861" s="35"/>
      <c r="E1861" s="39"/>
      <c r="G1861" s="40"/>
      <c r="H1861" s="15"/>
      <c r="I1861" s="17"/>
      <c r="J1861" s="10"/>
      <c r="M1861" s="39"/>
      <c r="O1861" s="39"/>
      <c r="Q1861" s="39"/>
      <c r="R1861" s="28"/>
      <c r="S1861" s="28"/>
      <c r="T1861" s="28"/>
      <c r="U1861" s="4"/>
      <c r="V1861" s="3"/>
      <c r="W1861" s="3"/>
    </row>
    <row r="1862" spans="1:23" s="5" customFormat="1">
      <c r="A1862" s="20"/>
      <c r="B1862" s="33"/>
      <c r="C1862" s="35"/>
      <c r="E1862" s="39"/>
      <c r="F1862" s="1"/>
      <c r="G1862" s="40"/>
      <c r="H1862" s="12"/>
      <c r="I1862" s="9"/>
      <c r="J1862" s="12"/>
      <c r="M1862" s="39"/>
      <c r="O1862" s="39"/>
      <c r="Q1862" s="39"/>
      <c r="R1862" s="29"/>
      <c r="S1862" s="28"/>
      <c r="T1862" s="28"/>
      <c r="U1862" s="4"/>
      <c r="V1862" s="3"/>
      <c r="W1862" s="3"/>
    </row>
    <row r="1863" spans="1:23" s="5" customFormat="1">
      <c r="A1863" s="6"/>
      <c r="B1863" s="33"/>
      <c r="C1863" s="35"/>
      <c r="E1863" s="39"/>
      <c r="G1863" s="40"/>
      <c r="H1863" s="15"/>
      <c r="I1863" s="17"/>
      <c r="J1863" s="10"/>
      <c r="M1863" s="39"/>
      <c r="O1863" s="39"/>
      <c r="Q1863" s="39"/>
      <c r="R1863" s="28"/>
      <c r="S1863" s="28"/>
      <c r="T1863" s="28"/>
      <c r="U1863" s="4"/>
      <c r="V1863" s="3"/>
      <c r="W1863" s="3"/>
    </row>
    <row r="1864" spans="1:23" s="5" customFormat="1">
      <c r="A1864" s="6"/>
      <c r="B1864" s="33"/>
      <c r="C1864" s="35"/>
      <c r="E1864" s="39"/>
      <c r="G1864" s="40"/>
      <c r="H1864" s="14"/>
      <c r="I1864" s="17"/>
      <c r="J1864" s="10"/>
      <c r="M1864" s="39"/>
      <c r="O1864" s="39"/>
      <c r="Q1864" s="39"/>
      <c r="R1864" s="28"/>
      <c r="S1864" s="28"/>
      <c r="T1864" s="28"/>
      <c r="U1864" s="4"/>
      <c r="V1864" s="3"/>
      <c r="W1864" s="3"/>
    </row>
    <row r="1865" spans="1:23" s="5" customFormat="1">
      <c r="A1865" s="6"/>
      <c r="B1865" s="33"/>
      <c r="C1865" s="35"/>
      <c r="E1865" s="39"/>
      <c r="G1865" s="40"/>
      <c r="H1865" s="14"/>
      <c r="I1865" s="17"/>
      <c r="J1865" s="10"/>
      <c r="M1865" s="39"/>
      <c r="O1865" s="39"/>
      <c r="Q1865" s="39"/>
      <c r="R1865" s="28"/>
      <c r="S1865" s="28"/>
      <c r="T1865" s="28"/>
      <c r="U1865" s="4"/>
      <c r="V1865" s="3"/>
      <c r="W1865" s="3"/>
    </row>
    <row r="1866" spans="1:23" s="5" customFormat="1">
      <c r="A1866" s="6"/>
      <c r="B1866" s="33"/>
      <c r="C1866" s="35"/>
      <c r="E1866" s="39"/>
      <c r="G1866" s="40"/>
      <c r="H1866" s="14"/>
      <c r="I1866" s="17"/>
      <c r="J1866" s="10"/>
      <c r="M1866" s="39"/>
      <c r="O1866" s="39"/>
      <c r="Q1866" s="39"/>
      <c r="R1866" s="28"/>
      <c r="S1866" s="28"/>
      <c r="T1866" s="28"/>
      <c r="U1866" s="4"/>
      <c r="V1866" s="3"/>
      <c r="W1866" s="3"/>
    </row>
    <row r="1867" spans="1:23" s="5" customFormat="1">
      <c r="A1867" s="6"/>
      <c r="B1867" s="33"/>
      <c r="C1867" s="35"/>
      <c r="E1867" s="39"/>
      <c r="G1867" s="40"/>
      <c r="H1867" s="15"/>
      <c r="I1867" s="17"/>
      <c r="J1867" s="10"/>
      <c r="M1867" s="39"/>
      <c r="O1867" s="39"/>
      <c r="Q1867" s="39"/>
      <c r="R1867" s="28"/>
      <c r="S1867" s="28"/>
      <c r="T1867" s="28"/>
      <c r="U1867" s="4"/>
      <c r="V1867" s="3"/>
      <c r="W1867" s="3"/>
    </row>
    <row r="1868" spans="1:23" s="5" customFormat="1">
      <c r="A1868" s="6"/>
      <c r="B1868" s="33"/>
      <c r="C1868" s="35"/>
      <c r="E1868" s="39"/>
      <c r="G1868" s="40"/>
      <c r="H1868" s="14"/>
      <c r="I1868" s="17"/>
      <c r="J1868" s="10"/>
      <c r="M1868" s="39"/>
      <c r="O1868" s="39"/>
      <c r="Q1868" s="39"/>
      <c r="R1868" s="28"/>
      <c r="S1868" s="28"/>
      <c r="T1868" s="28"/>
      <c r="U1868" s="4"/>
      <c r="V1868" s="3"/>
      <c r="W1868" s="3"/>
    </row>
    <row r="1869" spans="1:23" s="5" customFormat="1">
      <c r="A1869" s="6"/>
      <c r="B1869" s="33"/>
      <c r="C1869" s="35"/>
      <c r="E1869" s="39"/>
      <c r="G1869" s="40"/>
      <c r="H1869" s="14"/>
      <c r="I1869" s="17"/>
      <c r="J1869" s="10"/>
      <c r="M1869" s="39"/>
      <c r="O1869" s="39"/>
      <c r="Q1869" s="39"/>
      <c r="R1869" s="28"/>
      <c r="S1869" s="28"/>
      <c r="T1869" s="28"/>
      <c r="U1869" s="4"/>
      <c r="V1869" s="3"/>
      <c r="W1869" s="3"/>
    </row>
    <row r="1870" spans="1:23" s="5" customFormat="1">
      <c r="A1870" s="6"/>
      <c r="B1870" s="33"/>
      <c r="C1870" s="35"/>
      <c r="E1870" s="39"/>
      <c r="G1870" s="40"/>
      <c r="H1870" s="15"/>
      <c r="I1870" s="17"/>
      <c r="J1870" s="10"/>
      <c r="M1870" s="39"/>
      <c r="O1870" s="39"/>
      <c r="Q1870" s="39"/>
      <c r="R1870" s="28"/>
      <c r="S1870" s="28"/>
      <c r="T1870" s="28"/>
      <c r="U1870" s="4"/>
      <c r="V1870" s="3"/>
      <c r="W1870" s="3"/>
    </row>
    <row r="1871" spans="1:23" s="5" customFormat="1">
      <c r="A1871" s="6"/>
      <c r="B1871" s="33"/>
      <c r="C1871" s="35"/>
      <c r="E1871" s="39"/>
      <c r="G1871" s="40"/>
      <c r="H1871" s="15"/>
      <c r="I1871" s="17"/>
      <c r="J1871" s="10"/>
      <c r="M1871" s="39"/>
      <c r="O1871" s="39"/>
      <c r="Q1871" s="39"/>
      <c r="R1871" s="28"/>
      <c r="S1871" s="28"/>
      <c r="T1871" s="28"/>
      <c r="U1871" s="4"/>
      <c r="V1871" s="3"/>
      <c r="W1871" s="3"/>
    </row>
    <row r="1872" spans="1:23" s="5" customFormat="1">
      <c r="A1872" s="6"/>
      <c r="B1872" s="33"/>
      <c r="C1872" s="35"/>
      <c r="E1872" s="39"/>
      <c r="G1872" s="40"/>
      <c r="H1872" s="15"/>
      <c r="I1872" s="17"/>
      <c r="J1872" s="10"/>
      <c r="M1872" s="39"/>
      <c r="O1872" s="39"/>
      <c r="Q1872" s="39"/>
      <c r="R1872" s="28"/>
      <c r="S1872" s="28"/>
      <c r="T1872" s="28"/>
      <c r="U1872" s="4"/>
      <c r="V1872" s="3"/>
      <c r="W1872" s="3"/>
    </row>
    <row r="1873" spans="1:23" s="5" customFormat="1">
      <c r="A1873" s="6"/>
      <c r="B1873" s="33"/>
      <c r="C1873" s="35"/>
      <c r="E1873" s="39"/>
      <c r="G1873" s="40"/>
      <c r="H1873" s="14"/>
      <c r="I1873" s="17"/>
      <c r="J1873" s="10"/>
      <c r="M1873" s="39"/>
      <c r="O1873" s="39"/>
      <c r="Q1873" s="39"/>
      <c r="R1873" s="28"/>
      <c r="S1873" s="28"/>
      <c r="T1873" s="28"/>
      <c r="U1873" s="4"/>
      <c r="V1873" s="3"/>
      <c r="W1873" s="3"/>
    </row>
    <row r="1874" spans="1:23" s="5" customFormat="1">
      <c r="A1874" s="6"/>
      <c r="B1874" s="33"/>
      <c r="C1874" s="35"/>
      <c r="E1874" s="39"/>
      <c r="G1874" s="40"/>
      <c r="H1874" s="14"/>
      <c r="I1874" s="17"/>
      <c r="J1874" s="10"/>
      <c r="M1874" s="39"/>
      <c r="O1874" s="39"/>
      <c r="Q1874" s="39"/>
      <c r="R1874" s="28"/>
      <c r="S1874" s="28"/>
      <c r="T1874" s="28"/>
      <c r="U1874" s="4"/>
      <c r="V1874" s="3"/>
      <c r="W1874" s="3"/>
    </row>
    <row r="1875" spans="1:23" s="5" customFormat="1">
      <c r="A1875" s="6"/>
      <c r="B1875" s="33"/>
      <c r="C1875" s="35"/>
      <c r="E1875" s="39"/>
      <c r="G1875" s="40"/>
      <c r="H1875" s="14"/>
      <c r="I1875" s="17"/>
      <c r="J1875" s="10"/>
      <c r="M1875" s="39"/>
      <c r="O1875" s="39"/>
      <c r="Q1875" s="39"/>
      <c r="R1875" s="28"/>
      <c r="S1875" s="28"/>
      <c r="T1875" s="28"/>
      <c r="U1875" s="4"/>
      <c r="V1875" s="3"/>
      <c r="W1875" s="3"/>
    </row>
    <row r="1876" spans="1:23" s="5" customFormat="1">
      <c r="A1876" s="6"/>
      <c r="B1876" s="33"/>
      <c r="C1876" s="35"/>
      <c r="E1876" s="39"/>
      <c r="G1876" s="40"/>
      <c r="H1876" s="14"/>
      <c r="I1876" s="17"/>
      <c r="J1876" s="10"/>
      <c r="M1876" s="39"/>
      <c r="O1876" s="39"/>
      <c r="Q1876" s="39"/>
      <c r="R1876" s="28"/>
      <c r="S1876" s="28"/>
      <c r="T1876" s="28"/>
      <c r="U1876" s="4"/>
      <c r="V1876" s="3"/>
      <c r="W1876" s="3"/>
    </row>
    <row r="1877" spans="1:23" s="5" customFormat="1">
      <c r="A1877" s="6"/>
      <c r="B1877" s="33"/>
      <c r="C1877" s="35"/>
      <c r="E1877" s="39"/>
      <c r="G1877" s="40"/>
      <c r="H1877" s="14"/>
      <c r="I1877" s="17"/>
      <c r="J1877" s="10"/>
      <c r="M1877" s="39"/>
      <c r="O1877" s="39"/>
      <c r="Q1877" s="39"/>
      <c r="R1877" s="28"/>
      <c r="S1877" s="28"/>
      <c r="T1877" s="28"/>
      <c r="U1877" s="4"/>
      <c r="V1877" s="3"/>
      <c r="W1877" s="3"/>
    </row>
    <row r="1878" spans="1:23" s="5" customFormat="1">
      <c r="A1878" s="6"/>
      <c r="B1878" s="33"/>
      <c r="C1878" s="35"/>
      <c r="E1878" s="39"/>
      <c r="G1878" s="40"/>
      <c r="H1878" s="14"/>
      <c r="I1878" s="17"/>
      <c r="J1878" s="10"/>
      <c r="M1878" s="39"/>
      <c r="O1878" s="39"/>
      <c r="Q1878" s="39"/>
      <c r="R1878" s="28"/>
      <c r="S1878" s="28"/>
      <c r="T1878" s="28"/>
      <c r="U1878" s="4"/>
      <c r="V1878" s="3"/>
      <c r="W1878" s="3"/>
    </row>
    <row r="1879" spans="1:23" s="5" customFormat="1">
      <c r="A1879" s="6"/>
      <c r="B1879" s="33"/>
      <c r="C1879" s="35"/>
      <c r="E1879" s="39"/>
      <c r="G1879" s="40"/>
      <c r="H1879" s="14"/>
      <c r="I1879" s="17"/>
      <c r="J1879" s="10"/>
      <c r="M1879" s="39"/>
      <c r="O1879" s="39"/>
      <c r="Q1879" s="39"/>
      <c r="R1879" s="28"/>
      <c r="S1879" s="28"/>
      <c r="T1879" s="28"/>
      <c r="U1879" s="4"/>
      <c r="V1879" s="3"/>
      <c r="W1879" s="3"/>
    </row>
    <row r="1880" spans="1:23" s="5" customFormat="1">
      <c r="A1880" s="6"/>
      <c r="B1880" s="33"/>
      <c r="C1880" s="35"/>
      <c r="E1880" s="39"/>
      <c r="G1880" s="40"/>
      <c r="H1880" s="14"/>
      <c r="I1880" s="17"/>
      <c r="J1880" s="10"/>
      <c r="M1880" s="39"/>
      <c r="O1880" s="39"/>
      <c r="Q1880" s="39"/>
      <c r="R1880" s="28"/>
      <c r="S1880" s="28"/>
      <c r="T1880" s="28"/>
      <c r="U1880" s="4"/>
      <c r="V1880" s="3"/>
      <c r="W1880" s="3"/>
    </row>
    <row r="1881" spans="1:23" s="5" customFormat="1">
      <c r="A1881" s="6"/>
      <c r="B1881" s="33"/>
      <c r="C1881" s="35"/>
      <c r="E1881" s="39"/>
      <c r="G1881" s="40"/>
      <c r="H1881" s="14"/>
      <c r="I1881" s="17"/>
      <c r="J1881" s="10"/>
      <c r="M1881" s="39"/>
      <c r="O1881" s="39"/>
      <c r="Q1881" s="39"/>
      <c r="R1881" s="28"/>
      <c r="S1881" s="28"/>
      <c r="T1881" s="28"/>
      <c r="U1881" s="4"/>
      <c r="V1881" s="3"/>
      <c r="W1881" s="3"/>
    </row>
    <row r="1882" spans="1:23" s="5" customFormat="1">
      <c r="A1882" s="6"/>
      <c r="B1882" s="33"/>
      <c r="C1882" s="35"/>
      <c r="E1882" s="39"/>
      <c r="G1882" s="40"/>
      <c r="H1882" s="15"/>
      <c r="I1882" s="17"/>
      <c r="J1882" s="10"/>
      <c r="M1882" s="39"/>
      <c r="O1882" s="39"/>
      <c r="Q1882" s="39"/>
      <c r="R1882" s="28"/>
      <c r="S1882" s="28"/>
      <c r="T1882" s="28"/>
      <c r="U1882" s="4"/>
      <c r="V1882" s="3"/>
      <c r="W1882" s="3"/>
    </row>
    <row r="1883" spans="1:23" s="5" customFormat="1">
      <c r="A1883" s="6"/>
      <c r="B1883" s="33"/>
      <c r="C1883" s="35"/>
      <c r="E1883" s="39"/>
      <c r="G1883" s="40"/>
      <c r="H1883" s="15"/>
      <c r="I1883" s="17"/>
      <c r="J1883" s="10"/>
      <c r="M1883" s="39"/>
      <c r="O1883" s="39"/>
      <c r="Q1883" s="39"/>
      <c r="R1883" s="28"/>
      <c r="S1883" s="28"/>
      <c r="T1883" s="28"/>
      <c r="U1883" s="4"/>
      <c r="V1883" s="3"/>
      <c r="W1883" s="3"/>
    </row>
    <row r="1884" spans="1:23" s="5" customFormat="1">
      <c r="A1884" s="6"/>
      <c r="B1884" s="33"/>
      <c r="C1884" s="35"/>
      <c r="E1884" s="39"/>
      <c r="G1884" s="40"/>
      <c r="H1884" s="15"/>
      <c r="I1884" s="17"/>
      <c r="J1884" s="10"/>
      <c r="M1884" s="39"/>
      <c r="O1884" s="39"/>
      <c r="Q1884" s="39"/>
      <c r="R1884" s="28"/>
      <c r="S1884" s="28"/>
      <c r="T1884" s="28"/>
      <c r="U1884" s="4"/>
      <c r="V1884" s="3"/>
      <c r="W1884" s="3"/>
    </row>
    <row r="1885" spans="1:23" s="5" customFormat="1">
      <c r="A1885" s="6"/>
      <c r="B1885" s="33"/>
      <c r="C1885" s="35"/>
      <c r="E1885" s="39"/>
      <c r="G1885" s="40"/>
      <c r="H1885" s="14"/>
      <c r="I1885" s="17"/>
      <c r="J1885" s="10"/>
      <c r="M1885" s="39"/>
      <c r="O1885" s="39"/>
      <c r="Q1885" s="39"/>
      <c r="R1885" s="28"/>
      <c r="S1885" s="28"/>
      <c r="T1885" s="28"/>
      <c r="U1885" s="4"/>
      <c r="V1885" s="3"/>
      <c r="W1885" s="3"/>
    </row>
    <row r="1886" spans="1:23" s="5" customFormat="1">
      <c r="A1886" s="6"/>
      <c r="B1886" s="33"/>
      <c r="C1886" s="35"/>
      <c r="E1886" s="39"/>
      <c r="G1886" s="40"/>
      <c r="H1886" s="15"/>
      <c r="I1886" s="17"/>
      <c r="J1886" s="10"/>
      <c r="M1886" s="39"/>
      <c r="O1886" s="39"/>
      <c r="Q1886" s="39"/>
      <c r="R1886" s="28"/>
      <c r="S1886" s="28"/>
      <c r="T1886" s="28"/>
      <c r="U1886" s="4"/>
      <c r="V1886" s="3"/>
      <c r="W1886" s="3"/>
    </row>
    <row r="1887" spans="1:23" s="5" customFormat="1">
      <c r="A1887" s="6"/>
      <c r="B1887" s="33"/>
      <c r="C1887" s="35"/>
      <c r="E1887" s="39"/>
      <c r="G1887" s="40"/>
      <c r="H1887" s="15"/>
      <c r="I1887" s="17"/>
      <c r="J1887" s="10"/>
      <c r="M1887" s="39"/>
      <c r="O1887" s="39"/>
      <c r="Q1887" s="39"/>
      <c r="R1887" s="28"/>
      <c r="S1887" s="28"/>
      <c r="T1887" s="28"/>
      <c r="U1887" s="4"/>
      <c r="V1887" s="3"/>
      <c r="W1887" s="3"/>
    </row>
    <row r="1888" spans="1:23" s="5" customFormat="1">
      <c r="A1888" s="6"/>
      <c r="B1888" s="33"/>
      <c r="C1888" s="35"/>
      <c r="E1888" s="39"/>
      <c r="G1888" s="40"/>
      <c r="H1888" s="15"/>
      <c r="I1888" s="17"/>
      <c r="J1888" s="10"/>
      <c r="M1888" s="39"/>
      <c r="O1888" s="39"/>
      <c r="Q1888" s="39"/>
      <c r="R1888" s="28"/>
      <c r="S1888" s="28"/>
      <c r="T1888" s="28"/>
      <c r="U1888" s="4"/>
      <c r="V1888" s="3"/>
      <c r="W1888" s="3"/>
    </row>
    <row r="1889" spans="1:23" s="5" customFormat="1">
      <c r="A1889" s="6"/>
      <c r="B1889" s="33"/>
      <c r="C1889" s="35"/>
      <c r="E1889" s="39"/>
      <c r="G1889" s="40"/>
      <c r="H1889" s="15"/>
      <c r="I1889" s="17"/>
      <c r="J1889" s="10"/>
      <c r="M1889" s="39"/>
      <c r="O1889" s="39"/>
      <c r="Q1889" s="39"/>
      <c r="R1889" s="28"/>
      <c r="S1889" s="28"/>
      <c r="T1889" s="28"/>
      <c r="U1889" s="4"/>
      <c r="V1889" s="3"/>
      <c r="W1889" s="3"/>
    </row>
    <row r="1890" spans="1:23" s="5" customFormat="1">
      <c r="A1890" s="6"/>
      <c r="B1890" s="33"/>
      <c r="C1890" s="35"/>
      <c r="E1890" s="39"/>
      <c r="G1890" s="40"/>
      <c r="H1890" s="15"/>
      <c r="I1890" s="17"/>
      <c r="J1890" s="10"/>
      <c r="M1890" s="39"/>
      <c r="O1890" s="39"/>
      <c r="Q1890" s="39"/>
      <c r="R1890" s="28"/>
      <c r="S1890" s="28"/>
      <c r="T1890" s="28"/>
      <c r="U1890" s="4"/>
      <c r="V1890" s="3"/>
      <c r="W1890" s="3"/>
    </row>
    <row r="1891" spans="1:23" s="5" customFormat="1">
      <c r="A1891" s="6"/>
      <c r="B1891" s="33"/>
      <c r="C1891" s="35"/>
      <c r="E1891" s="39"/>
      <c r="G1891" s="40"/>
      <c r="H1891" s="14"/>
      <c r="I1891" s="17"/>
      <c r="J1891" s="10"/>
      <c r="M1891" s="39"/>
      <c r="O1891" s="39"/>
      <c r="Q1891" s="39"/>
      <c r="R1891" s="28"/>
      <c r="S1891" s="28"/>
      <c r="T1891" s="28"/>
      <c r="U1891" s="4"/>
      <c r="V1891" s="3"/>
      <c r="W1891" s="3"/>
    </row>
    <row r="1892" spans="1:23" s="5" customFormat="1">
      <c r="A1892" s="6"/>
      <c r="B1892" s="33"/>
      <c r="C1892" s="35"/>
      <c r="E1892" s="39"/>
      <c r="G1892" s="40"/>
      <c r="H1892" s="14"/>
      <c r="I1892" s="17"/>
      <c r="J1892" s="10"/>
      <c r="M1892" s="39"/>
      <c r="O1892" s="39"/>
      <c r="Q1892" s="39"/>
      <c r="R1892" s="28"/>
      <c r="S1892" s="28"/>
      <c r="T1892" s="28"/>
      <c r="U1892" s="4"/>
      <c r="V1892" s="3"/>
      <c r="W1892" s="3"/>
    </row>
    <row r="1893" spans="1:23" s="5" customFormat="1">
      <c r="A1893" s="6"/>
      <c r="B1893" s="33"/>
      <c r="C1893" s="35"/>
      <c r="E1893" s="39"/>
      <c r="G1893" s="40"/>
      <c r="H1893" s="14"/>
      <c r="I1893" s="17"/>
      <c r="J1893" s="10"/>
      <c r="M1893" s="39"/>
      <c r="O1893" s="39"/>
      <c r="Q1893" s="39"/>
      <c r="R1893" s="28"/>
      <c r="S1893" s="28"/>
      <c r="T1893" s="28"/>
      <c r="U1893" s="4"/>
      <c r="V1893" s="3"/>
      <c r="W1893" s="3"/>
    </row>
    <row r="1894" spans="1:23" s="5" customFormat="1">
      <c r="A1894" s="20"/>
      <c r="B1894" s="33"/>
      <c r="C1894" s="35"/>
      <c r="D1894" s="1"/>
      <c r="E1894" s="39"/>
      <c r="F1894" s="1"/>
      <c r="G1894" s="40"/>
      <c r="H1894" s="12"/>
      <c r="I1894" s="9"/>
      <c r="J1894" s="12"/>
      <c r="L1894" s="1"/>
      <c r="M1894" s="39"/>
      <c r="N1894" s="1"/>
      <c r="O1894" s="39"/>
      <c r="P1894" s="1"/>
      <c r="Q1894" s="39"/>
      <c r="R1894" s="28"/>
      <c r="S1894" s="28"/>
      <c r="T1894" s="28"/>
      <c r="U1894" s="4"/>
      <c r="V1894" s="3"/>
      <c r="W1894" s="3"/>
    </row>
    <row r="1895" spans="1:23" s="5" customFormat="1">
      <c r="A1895" s="20"/>
      <c r="B1895" s="33"/>
      <c r="C1895" s="35"/>
      <c r="D1895" s="1"/>
      <c r="E1895" s="39"/>
      <c r="F1895" s="1"/>
      <c r="G1895" s="40"/>
      <c r="H1895" s="12"/>
      <c r="I1895" s="17"/>
      <c r="J1895" s="12"/>
      <c r="L1895" s="1"/>
      <c r="M1895" s="39"/>
      <c r="N1895" s="1"/>
      <c r="O1895" s="39"/>
      <c r="P1895" s="1"/>
      <c r="Q1895" s="39"/>
      <c r="R1895" s="28"/>
      <c r="S1895" s="28"/>
      <c r="T1895" s="28"/>
      <c r="U1895" s="4"/>
      <c r="V1895" s="3"/>
      <c r="W1895" s="3"/>
    </row>
    <row r="1896" spans="1:23" s="5" customFormat="1">
      <c r="A1896" s="6"/>
      <c r="B1896" s="33"/>
      <c r="C1896" s="35"/>
      <c r="E1896" s="39"/>
      <c r="G1896" s="40"/>
      <c r="H1896" s="14"/>
      <c r="I1896" s="17"/>
      <c r="J1896" s="10"/>
      <c r="M1896" s="39"/>
      <c r="O1896" s="39"/>
      <c r="Q1896" s="39"/>
      <c r="R1896" s="28"/>
      <c r="S1896" s="28"/>
      <c r="T1896" s="28"/>
      <c r="U1896" s="4"/>
      <c r="V1896" s="3"/>
      <c r="W1896" s="3"/>
    </row>
    <row r="1897" spans="1:23" s="5" customFormat="1">
      <c r="A1897" s="6"/>
      <c r="B1897" s="33"/>
      <c r="C1897" s="35"/>
      <c r="E1897" s="39"/>
      <c r="G1897" s="40"/>
      <c r="H1897" s="14"/>
      <c r="I1897" s="17"/>
      <c r="J1897" s="10"/>
      <c r="M1897" s="39"/>
      <c r="O1897" s="39"/>
      <c r="Q1897" s="39"/>
      <c r="R1897" s="28"/>
      <c r="S1897" s="29"/>
      <c r="T1897" s="28"/>
      <c r="U1897" s="4"/>
      <c r="V1897" s="3"/>
      <c r="W1897" s="3"/>
    </row>
    <row r="1898" spans="1:23" s="5" customFormat="1">
      <c r="A1898" s="6"/>
      <c r="B1898" s="33"/>
      <c r="C1898" s="35"/>
      <c r="E1898" s="39"/>
      <c r="G1898" s="40"/>
      <c r="H1898" s="15"/>
      <c r="I1898" s="17"/>
      <c r="J1898" s="10"/>
      <c r="M1898" s="39"/>
      <c r="O1898" s="39"/>
      <c r="Q1898" s="39"/>
      <c r="R1898" s="28"/>
      <c r="S1898" s="28"/>
      <c r="T1898" s="28"/>
      <c r="U1898" s="4"/>
      <c r="V1898" s="3"/>
      <c r="W1898" s="3"/>
    </row>
    <row r="1899" spans="1:23" s="5" customFormat="1">
      <c r="A1899" s="6"/>
      <c r="B1899" s="33"/>
      <c r="C1899" s="35"/>
      <c r="E1899" s="39"/>
      <c r="G1899" s="40"/>
      <c r="H1899" s="15"/>
      <c r="I1899" s="17"/>
      <c r="J1899" s="10"/>
      <c r="M1899" s="39"/>
      <c r="O1899" s="39"/>
      <c r="Q1899" s="39"/>
      <c r="R1899" s="28"/>
      <c r="S1899" s="28"/>
      <c r="T1899" s="28"/>
      <c r="U1899" s="4"/>
      <c r="V1899" s="3"/>
      <c r="W1899" s="3"/>
    </row>
    <row r="1900" spans="1:23" s="5" customFormat="1">
      <c r="A1900" s="6"/>
      <c r="B1900" s="33"/>
      <c r="C1900" s="35"/>
      <c r="E1900" s="39"/>
      <c r="G1900" s="40"/>
      <c r="H1900" s="14"/>
      <c r="I1900" s="17"/>
      <c r="J1900" s="10"/>
      <c r="M1900" s="39"/>
      <c r="O1900" s="39"/>
      <c r="Q1900" s="39"/>
      <c r="R1900" s="28"/>
      <c r="S1900" s="28"/>
      <c r="T1900" s="28"/>
      <c r="U1900" s="4"/>
      <c r="V1900" s="3"/>
      <c r="W1900" s="3"/>
    </row>
    <row r="1901" spans="1:23" s="5" customFormat="1">
      <c r="A1901" s="6"/>
      <c r="B1901" s="33"/>
      <c r="C1901" s="35"/>
      <c r="E1901" s="39"/>
      <c r="G1901" s="40"/>
      <c r="H1901" s="14"/>
      <c r="I1901" s="17"/>
      <c r="J1901" s="10"/>
      <c r="M1901" s="39"/>
      <c r="O1901" s="39"/>
      <c r="Q1901" s="39"/>
      <c r="R1901" s="28"/>
      <c r="S1901" s="28"/>
      <c r="T1901" s="28"/>
      <c r="U1901" s="4"/>
      <c r="V1901" s="3"/>
      <c r="W1901" s="3"/>
    </row>
    <row r="1902" spans="1:23" s="5" customFormat="1">
      <c r="A1902" s="6"/>
      <c r="B1902" s="33"/>
      <c r="C1902" s="35"/>
      <c r="E1902" s="39"/>
      <c r="G1902" s="40"/>
      <c r="H1902" s="14"/>
      <c r="I1902" s="17"/>
      <c r="J1902" s="10"/>
      <c r="M1902" s="39"/>
      <c r="O1902" s="39"/>
      <c r="Q1902" s="39"/>
      <c r="R1902" s="28"/>
      <c r="S1902" s="28"/>
      <c r="T1902" s="28"/>
      <c r="U1902" s="4"/>
      <c r="V1902" s="3"/>
      <c r="W1902" s="3"/>
    </row>
    <row r="1903" spans="1:23" s="5" customFormat="1">
      <c r="A1903" s="6"/>
      <c r="B1903" s="33"/>
      <c r="C1903" s="35"/>
      <c r="E1903" s="39"/>
      <c r="G1903" s="40"/>
      <c r="H1903" s="14"/>
      <c r="I1903" s="17"/>
      <c r="J1903" s="10"/>
      <c r="M1903" s="39"/>
      <c r="O1903" s="39"/>
      <c r="Q1903" s="39"/>
      <c r="R1903" s="28"/>
      <c r="S1903" s="28"/>
      <c r="T1903" s="28"/>
      <c r="U1903" s="4"/>
      <c r="V1903" s="3"/>
      <c r="W1903" s="3"/>
    </row>
    <row r="1904" spans="1:23" s="5" customFormat="1">
      <c r="A1904" s="6"/>
      <c r="B1904" s="33"/>
      <c r="C1904" s="35"/>
      <c r="E1904" s="39"/>
      <c r="G1904" s="40"/>
      <c r="H1904" s="15"/>
      <c r="I1904" s="17"/>
      <c r="J1904" s="10"/>
      <c r="M1904" s="39"/>
      <c r="O1904" s="39"/>
      <c r="Q1904" s="39"/>
      <c r="R1904" s="28"/>
      <c r="S1904" s="28"/>
      <c r="T1904" s="28"/>
      <c r="U1904" s="4"/>
      <c r="V1904" s="3"/>
      <c r="W1904" s="3"/>
    </row>
    <row r="1905" spans="1:23" s="5" customFormat="1">
      <c r="A1905" s="6"/>
      <c r="B1905" s="33"/>
      <c r="C1905" s="35"/>
      <c r="E1905" s="39"/>
      <c r="G1905" s="40"/>
      <c r="H1905" s="15"/>
      <c r="I1905" s="17"/>
      <c r="J1905" s="10"/>
      <c r="M1905" s="39"/>
      <c r="O1905" s="39"/>
      <c r="Q1905" s="39"/>
      <c r="R1905" s="28"/>
      <c r="S1905" s="28"/>
      <c r="T1905" s="28"/>
      <c r="U1905" s="4"/>
      <c r="V1905" s="3"/>
      <c r="W1905" s="3"/>
    </row>
    <row r="1906" spans="1:23" s="5" customFormat="1">
      <c r="A1906" s="6"/>
      <c r="B1906" s="33"/>
      <c r="C1906" s="35"/>
      <c r="E1906" s="39"/>
      <c r="G1906" s="40"/>
      <c r="H1906" s="14"/>
      <c r="I1906" s="17"/>
      <c r="J1906" s="10"/>
      <c r="M1906" s="39"/>
      <c r="O1906" s="39"/>
      <c r="Q1906" s="39"/>
      <c r="R1906" s="28"/>
      <c r="S1906" s="28"/>
      <c r="T1906" s="28"/>
      <c r="U1906" s="4"/>
      <c r="V1906" s="3"/>
      <c r="W1906" s="3"/>
    </row>
    <row r="1907" spans="1:23" s="5" customFormat="1">
      <c r="A1907" s="6"/>
      <c r="B1907" s="33"/>
      <c r="C1907" s="35"/>
      <c r="E1907" s="39"/>
      <c r="G1907" s="40"/>
      <c r="H1907" s="15"/>
      <c r="I1907" s="17"/>
      <c r="J1907" s="10"/>
      <c r="M1907" s="39"/>
      <c r="O1907" s="39"/>
      <c r="Q1907" s="39"/>
      <c r="R1907" s="28"/>
      <c r="S1907" s="28"/>
      <c r="T1907" s="28"/>
      <c r="U1907" s="4"/>
      <c r="V1907" s="3"/>
      <c r="W1907" s="3"/>
    </row>
    <row r="1908" spans="1:23" s="5" customFormat="1">
      <c r="A1908" s="6"/>
      <c r="B1908" s="33"/>
      <c r="C1908" s="35"/>
      <c r="E1908" s="39"/>
      <c r="G1908" s="40"/>
      <c r="H1908" s="15"/>
      <c r="I1908" s="17"/>
      <c r="J1908" s="10"/>
      <c r="M1908" s="39"/>
      <c r="O1908" s="39"/>
      <c r="Q1908" s="39"/>
      <c r="R1908" s="28"/>
      <c r="S1908" s="28"/>
      <c r="T1908" s="28"/>
      <c r="U1908" s="4"/>
      <c r="V1908" s="3"/>
      <c r="W1908" s="3"/>
    </row>
    <row r="1909" spans="1:23" s="5" customFormat="1">
      <c r="A1909" s="6"/>
      <c r="B1909" s="33"/>
      <c r="C1909" s="35"/>
      <c r="E1909" s="39"/>
      <c r="G1909" s="40"/>
      <c r="H1909" s="14"/>
      <c r="I1909" s="17"/>
      <c r="J1909" s="10"/>
      <c r="M1909" s="39"/>
      <c r="O1909" s="39"/>
      <c r="Q1909" s="39"/>
      <c r="R1909" s="28"/>
      <c r="S1909" s="28"/>
      <c r="T1909" s="28"/>
      <c r="U1909" s="4"/>
      <c r="V1909" s="3"/>
      <c r="W1909" s="3"/>
    </row>
    <row r="1910" spans="1:23" s="5" customFormat="1">
      <c r="A1910" s="6"/>
      <c r="B1910" s="33"/>
      <c r="C1910" s="35"/>
      <c r="E1910" s="39"/>
      <c r="G1910" s="40"/>
      <c r="H1910" s="14"/>
      <c r="I1910" s="17"/>
      <c r="J1910" s="10"/>
      <c r="M1910" s="39"/>
      <c r="O1910" s="39"/>
      <c r="Q1910" s="39"/>
      <c r="R1910" s="28"/>
      <c r="S1910" s="28"/>
      <c r="T1910" s="28"/>
      <c r="U1910" s="4"/>
      <c r="V1910" s="3"/>
      <c r="W1910" s="3"/>
    </row>
    <row r="1911" spans="1:23" s="5" customFormat="1">
      <c r="A1911" s="6"/>
      <c r="B1911" s="33"/>
      <c r="C1911" s="35"/>
      <c r="E1911" s="39"/>
      <c r="G1911" s="40"/>
      <c r="H1911" s="14"/>
      <c r="I1911" s="17"/>
      <c r="J1911" s="10"/>
      <c r="M1911" s="39"/>
      <c r="O1911" s="39"/>
      <c r="Q1911" s="39"/>
      <c r="R1911" s="28"/>
      <c r="S1911" s="28"/>
      <c r="T1911" s="28"/>
      <c r="U1911" s="4"/>
      <c r="V1911" s="3"/>
      <c r="W1911" s="3"/>
    </row>
    <row r="1912" spans="1:23" s="5" customFormat="1">
      <c r="A1912" s="6"/>
      <c r="B1912" s="33"/>
      <c r="C1912" s="35"/>
      <c r="E1912" s="39"/>
      <c r="G1912" s="40"/>
      <c r="H1912" s="14"/>
      <c r="I1912" s="17"/>
      <c r="J1912" s="10"/>
      <c r="M1912" s="39"/>
      <c r="O1912" s="39"/>
      <c r="Q1912" s="39"/>
      <c r="R1912" s="28"/>
      <c r="S1912" s="29"/>
      <c r="T1912" s="28"/>
      <c r="U1912" s="4"/>
      <c r="V1912" s="3"/>
      <c r="W1912" s="3"/>
    </row>
    <row r="1913" spans="1:23" s="5" customFormat="1">
      <c r="A1913" s="6"/>
      <c r="B1913" s="33"/>
      <c r="C1913" s="35"/>
      <c r="E1913" s="39"/>
      <c r="G1913" s="40"/>
      <c r="H1913" s="14"/>
      <c r="I1913" s="17"/>
      <c r="J1913" s="10"/>
      <c r="M1913" s="39"/>
      <c r="O1913" s="39"/>
      <c r="Q1913" s="39"/>
      <c r="R1913" s="28"/>
      <c r="S1913" s="28"/>
      <c r="T1913" s="28"/>
      <c r="U1913" s="4"/>
      <c r="V1913" s="3"/>
      <c r="W1913" s="3"/>
    </row>
    <row r="1914" spans="1:23" s="5" customFormat="1">
      <c r="A1914" s="6"/>
      <c r="B1914" s="33"/>
      <c r="C1914" s="35"/>
      <c r="E1914" s="39"/>
      <c r="G1914" s="40"/>
      <c r="H1914" s="14"/>
      <c r="I1914" s="17"/>
      <c r="J1914" s="10"/>
      <c r="M1914" s="39"/>
      <c r="O1914" s="39"/>
      <c r="Q1914" s="39"/>
      <c r="R1914" s="28"/>
      <c r="S1914" s="28"/>
      <c r="T1914" s="28"/>
      <c r="U1914" s="4"/>
      <c r="V1914" s="3"/>
      <c r="W1914" s="3"/>
    </row>
    <row r="1915" spans="1:23" s="5" customFormat="1">
      <c r="A1915" s="20"/>
      <c r="B1915" s="33"/>
      <c r="C1915" s="35"/>
      <c r="E1915" s="39"/>
      <c r="F1915" s="1"/>
      <c r="G1915" s="40"/>
      <c r="H1915" s="12"/>
      <c r="I1915" s="9"/>
      <c r="J1915" s="12"/>
      <c r="M1915" s="39"/>
      <c r="O1915" s="39"/>
      <c r="Q1915" s="39"/>
      <c r="R1915" s="29"/>
      <c r="S1915" s="28"/>
      <c r="T1915" s="28"/>
      <c r="U1915" s="4"/>
      <c r="V1915" s="3"/>
      <c r="W1915" s="3"/>
    </row>
    <row r="1916" spans="1:23" s="5" customFormat="1">
      <c r="A1916" s="20"/>
      <c r="B1916" s="33"/>
      <c r="C1916" s="35"/>
      <c r="E1916" s="39"/>
      <c r="F1916" s="1"/>
      <c r="G1916" s="40"/>
      <c r="H1916" s="12"/>
      <c r="I1916" s="9"/>
      <c r="J1916" s="12"/>
      <c r="M1916" s="39"/>
      <c r="O1916" s="39"/>
      <c r="Q1916" s="39"/>
      <c r="R1916" s="29"/>
      <c r="S1916" s="28"/>
      <c r="T1916" s="28"/>
      <c r="U1916" s="4"/>
      <c r="V1916" s="3"/>
      <c r="W1916" s="3"/>
    </row>
    <row r="1917" spans="1:23" s="5" customFormat="1">
      <c r="A1917" s="6"/>
      <c r="B1917" s="33"/>
      <c r="C1917" s="35"/>
      <c r="E1917" s="39"/>
      <c r="G1917" s="40"/>
      <c r="H1917" s="15"/>
      <c r="I1917" s="17"/>
      <c r="J1917" s="10"/>
      <c r="M1917" s="39"/>
      <c r="O1917" s="39"/>
      <c r="Q1917" s="39"/>
      <c r="R1917" s="28"/>
      <c r="S1917" s="28"/>
      <c r="T1917" s="28"/>
      <c r="U1917" s="4"/>
      <c r="V1917" s="3"/>
      <c r="W1917" s="3"/>
    </row>
    <row r="1918" spans="1:23" s="5" customFormat="1">
      <c r="A1918" s="6"/>
      <c r="B1918" s="33"/>
      <c r="C1918" s="35"/>
      <c r="E1918" s="39"/>
      <c r="G1918" s="40"/>
      <c r="H1918" s="14"/>
      <c r="I1918" s="17"/>
      <c r="J1918" s="10"/>
      <c r="M1918" s="39"/>
      <c r="O1918" s="39"/>
      <c r="Q1918" s="39"/>
      <c r="R1918" s="28"/>
      <c r="S1918" s="28"/>
      <c r="T1918" s="28"/>
      <c r="U1918" s="4"/>
      <c r="V1918" s="3"/>
      <c r="W1918" s="3"/>
    </row>
    <row r="1919" spans="1:23" s="5" customFormat="1">
      <c r="A1919" s="6"/>
      <c r="B1919" s="33"/>
      <c r="C1919" s="35"/>
      <c r="E1919" s="39"/>
      <c r="G1919" s="40"/>
      <c r="H1919" s="15"/>
      <c r="I1919" s="17"/>
      <c r="J1919" s="10"/>
      <c r="M1919" s="39"/>
      <c r="O1919" s="39"/>
      <c r="Q1919" s="39"/>
      <c r="R1919" s="28"/>
      <c r="S1919" s="28"/>
      <c r="T1919" s="28"/>
      <c r="U1919" s="4"/>
      <c r="V1919" s="3"/>
      <c r="W1919" s="3"/>
    </row>
    <row r="1920" spans="1:23" s="5" customFormat="1">
      <c r="A1920" s="6"/>
      <c r="B1920" s="33"/>
      <c r="C1920" s="35"/>
      <c r="E1920" s="39"/>
      <c r="G1920" s="40"/>
      <c r="H1920" s="14"/>
      <c r="I1920" s="17"/>
      <c r="J1920" s="10"/>
      <c r="M1920" s="39"/>
      <c r="O1920" s="39"/>
      <c r="Q1920" s="39"/>
      <c r="R1920" s="28"/>
      <c r="S1920" s="28"/>
      <c r="T1920" s="28"/>
      <c r="U1920" s="4"/>
      <c r="V1920" s="3"/>
      <c r="W1920" s="3"/>
    </row>
    <row r="1921" spans="1:23" s="5" customFormat="1">
      <c r="A1921" s="6"/>
      <c r="B1921" s="33"/>
      <c r="C1921" s="35"/>
      <c r="E1921" s="39"/>
      <c r="G1921" s="40"/>
      <c r="H1921" s="14"/>
      <c r="I1921" s="17"/>
      <c r="J1921" s="10"/>
      <c r="M1921" s="39"/>
      <c r="O1921" s="39"/>
      <c r="Q1921" s="39"/>
      <c r="R1921" s="28"/>
      <c r="S1921" s="28"/>
      <c r="T1921" s="28"/>
      <c r="U1921" s="4"/>
      <c r="V1921" s="3"/>
      <c r="W1921" s="3"/>
    </row>
    <row r="1922" spans="1:23" s="5" customFormat="1">
      <c r="A1922" s="6"/>
      <c r="B1922" s="33"/>
      <c r="C1922" s="35"/>
      <c r="E1922" s="39"/>
      <c r="G1922" s="40"/>
      <c r="H1922" s="15"/>
      <c r="I1922" s="17"/>
      <c r="J1922" s="10"/>
      <c r="M1922" s="39"/>
      <c r="O1922" s="39"/>
      <c r="Q1922" s="39"/>
      <c r="R1922" s="28"/>
      <c r="S1922" s="28"/>
      <c r="T1922" s="28"/>
      <c r="U1922" s="4"/>
      <c r="V1922" s="3"/>
      <c r="W1922" s="3"/>
    </row>
    <row r="1923" spans="1:23" s="5" customFormat="1">
      <c r="A1923" s="6"/>
      <c r="B1923" s="33"/>
      <c r="C1923" s="35"/>
      <c r="E1923" s="39"/>
      <c r="G1923" s="40"/>
      <c r="H1923" s="15"/>
      <c r="I1923" s="17"/>
      <c r="J1923" s="10"/>
      <c r="M1923" s="39"/>
      <c r="O1923" s="39"/>
      <c r="Q1923" s="39"/>
      <c r="R1923" s="28"/>
      <c r="S1923" s="28"/>
      <c r="T1923" s="28"/>
      <c r="U1923" s="4"/>
      <c r="V1923" s="3"/>
      <c r="W1923" s="3"/>
    </row>
    <row r="1924" spans="1:23" s="5" customFormat="1">
      <c r="A1924" s="6"/>
      <c r="B1924" s="33"/>
      <c r="C1924" s="35"/>
      <c r="E1924" s="39"/>
      <c r="G1924" s="40"/>
      <c r="H1924" s="14"/>
      <c r="I1924" s="17"/>
      <c r="J1924" s="10"/>
      <c r="M1924" s="39"/>
      <c r="O1924" s="39"/>
      <c r="Q1924" s="39"/>
      <c r="R1924" s="28"/>
      <c r="S1924" s="28"/>
      <c r="T1924" s="28"/>
      <c r="U1924" s="4"/>
      <c r="V1924" s="3"/>
      <c r="W1924" s="3"/>
    </row>
    <row r="1925" spans="1:23" s="5" customFormat="1">
      <c r="A1925" s="6"/>
      <c r="B1925" s="33"/>
      <c r="C1925" s="35"/>
      <c r="E1925" s="39"/>
      <c r="G1925" s="40"/>
      <c r="H1925" s="15"/>
      <c r="I1925" s="17"/>
      <c r="J1925" s="10"/>
      <c r="M1925" s="39"/>
      <c r="O1925" s="39"/>
      <c r="Q1925" s="39"/>
      <c r="R1925" s="28"/>
      <c r="S1925" s="28"/>
      <c r="T1925" s="28"/>
      <c r="U1925" s="4"/>
      <c r="V1925" s="3"/>
      <c r="W1925" s="3"/>
    </row>
    <row r="1926" spans="1:23" s="5" customFormat="1">
      <c r="A1926" s="6"/>
      <c r="B1926" s="33"/>
      <c r="C1926" s="35"/>
      <c r="E1926" s="39"/>
      <c r="G1926" s="40"/>
      <c r="H1926" s="14"/>
      <c r="I1926" s="17"/>
      <c r="J1926" s="10"/>
      <c r="M1926" s="39"/>
      <c r="O1926" s="39"/>
      <c r="Q1926" s="39"/>
      <c r="R1926" s="28"/>
      <c r="S1926" s="28"/>
      <c r="T1926" s="28"/>
      <c r="U1926" s="4"/>
      <c r="V1926" s="3"/>
      <c r="W1926" s="3"/>
    </row>
    <row r="1927" spans="1:23" s="5" customFormat="1">
      <c r="A1927" s="6"/>
      <c r="B1927" s="33"/>
      <c r="C1927" s="35"/>
      <c r="E1927" s="39"/>
      <c r="G1927" s="40"/>
      <c r="H1927" s="15"/>
      <c r="I1927" s="17"/>
      <c r="J1927" s="10"/>
      <c r="M1927" s="39"/>
      <c r="O1927" s="39"/>
      <c r="Q1927" s="39"/>
      <c r="R1927" s="28"/>
      <c r="S1927" s="28"/>
      <c r="T1927" s="28"/>
      <c r="U1927" s="4"/>
      <c r="V1927" s="3"/>
      <c r="W1927" s="3"/>
    </row>
    <row r="1928" spans="1:23" s="5" customFormat="1">
      <c r="A1928" s="6"/>
      <c r="B1928" s="33"/>
      <c r="C1928" s="35"/>
      <c r="E1928" s="39"/>
      <c r="G1928" s="40"/>
      <c r="H1928" s="14"/>
      <c r="I1928" s="17"/>
      <c r="J1928" s="10"/>
      <c r="M1928" s="39"/>
      <c r="O1928" s="39"/>
      <c r="Q1928" s="39"/>
      <c r="R1928" s="28"/>
      <c r="S1928" s="28"/>
      <c r="T1928" s="28"/>
      <c r="U1928" s="4"/>
      <c r="V1928" s="3"/>
      <c r="W1928" s="3"/>
    </row>
    <row r="1929" spans="1:23" s="5" customFormat="1">
      <c r="A1929" s="6"/>
      <c r="B1929" s="33"/>
      <c r="C1929" s="35"/>
      <c r="E1929" s="39"/>
      <c r="G1929" s="40"/>
      <c r="H1929" s="15"/>
      <c r="I1929" s="17"/>
      <c r="J1929" s="10"/>
      <c r="M1929" s="39"/>
      <c r="O1929" s="39"/>
      <c r="Q1929" s="39"/>
      <c r="R1929" s="28"/>
      <c r="S1929" s="28"/>
      <c r="T1929" s="28"/>
      <c r="U1929" s="4"/>
      <c r="V1929" s="3"/>
      <c r="W1929" s="3"/>
    </row>
    <row r="1930" spans="1:23" s="5" customFormat="1">
      <c r="A1930" s="6"/>
      <c r="B1930" s="33"/>
      <c r="C1930" s="35"/>
      <c r="E1930" s="39"/>
      <c r="G1930" s="40"/>
      <c r="H1930" s="15"/>
      <c r="I1930" s="17"/>
      <c r="J1930" s="10"/>
      <c r="M1930" s="39"/>
      <c r="O1930" s="39"/>
      <c r="Q1930" s="39"/>
      <c r="R1930" s="28"/>
      <c r="S1930" s="28"/>
      <c r="T1930" s="28"/>
      <c r="U1930" s="4"/>
      <c r="V1930" s="3"/>
      <c r="W1930" s="3"/>
    </row>
    <row r="1931" spans="1:23" s="5" customFormat="1">
      <c r="A1931" s="6"/>
      <c r="B1931" s="33"/>
      <c r="C1931" s="35"/>
      <c r="E1931" s="39"/>
      <c r="G1931" s="40"/>
      <c r="H1931" s="14"/>
      <c r="I1931" s="17"/>
      <c r="J1931" s="10"/>
      <c r="M1931" s="39"/>
      <c r="O1931" s="39"/>
      <c r="Q1931" s="39"/>
      <c r="R1931" s="28"/>
      <c r="S1931" s="28"/>
      <c r="T1931" s="28"/>
      <c r="U1931" s="4"/>
      <c r="V1931" s="3"/>
      <c r="W1931" s="3"/>
    </row>
    <row r="1932" spans="1:23" s="5" customFormat="1">
      <c r="A1932" s="6"/>
      <c r="B1932" s="33"/>
      <c r="C1932" s="35"/>
      <c r="E1932" s="39"/>
      <c r="G1932" s="40"/>
      <c r="H1932" s="14"/>
      <c r="I1932" s="17"/>
      <c r="J1932" s="10"/>
      <c r="M1932" s="39"/>
      <c r="O1932" s="39"/>
      <c r="Q1932" s="39"/>
      <c r="R1932" s="28"/>
      <c r="S1932" s="28"/>
      <c r="T1932" s="28"/>
      <c r="U1932" s="4"/>
      <c r="V1932" s="3"/>
      <c r="W1932" s="3"/>
    </row>
    <row r="1933" spans="1:23" s="5" customFormat="1">
      <c r="A1933" s="6"/>
      <c r="B1933" s="33"/>
      <c r="C1933" s="35"/>
      <c r="E1933" s="39"/>
      <c r="G1933" s="40"/>
      <c r="H1933" s="15"/>
      <c r="I1933" s="17"/>
      <c r="J1933" s="10"/>
      <c r="M1933" s="39"/>
      <c r="O1933" s="39"/>
      <c r="Q1933" s="39"/>
      <c r="R1933" s="28"/>
      <c r="S1933" s="28"/>
      <c r="T1933" s="28"/>
      <c r="U1933" s="4"/>
      <c r="V1933" s="3"/>
      <c r="W1933" s="3"/>
    </row>
    <row r="1934" spans="1:23" s="5" customFormat="1">
      <c r="A1934" s="6"/>
      <c r="B1934" s="33"/>
      <c r="C1934" s="35"/>
      <c r="E1934" s="39"/>
      <c r="G1934" s="40"/>
      <c r="H1934" s="15"/>
      <c r="I1934" s="17"/>
      <c r="J1934" s="10"/>
      <c r="M1934" s="39"/>
      <c r="O1934" s="39"/>
      <c r="Q1934" s="39"/>
      <c r="R1934" s="28"/>
      <c r="S1934" s="28"/>
      <c r="T1934" s="28"/>
      <c r="U1934" s="4"/>
      <c r="V1934" s="3"/>
      <c r="W1934" s="3"/>
    </row>
    <row r="1935" spans="1:23" s="5" customFormat="1">
      <c r="A1935" s="6"/>
      <c r="B1935" s="33"/>
      <c r="C1935" s="35"/>
      <c r="E1935" s="39"/>
      <c r="G1935" s="40"/>
      <c r="H1935" s="15"/>
      <c r="I1935" s="17"/>
      <c r="J1935" s="10"/>
      <c r="M1935" s="39"/>
      <c r="O1935" s="39"/>
      <c r="Q1935" s="39"/>
      <c r="R1935" s="28"/>
      <c r="S1935" s="28"/>
      <c r="T1935" s="28"/>
      <c r="U1935" s="4"/>
      <c r="V1935" s="3"/>
      <c r="W1935" s="3"/>
    </row>
    <row r="1936" spans="1:23" s="5" customFormat="1">
      <c r="A1936" s="6"/>
      <c r="B1936" s="33"/>
      <c r="C1936" s="35"/>
      <c r="E1936" s="39"/>
      <c r="G1936" s="40"/>
      <c r="H1936" s="15"/>
      <c r="I1936" s="17"/>
      <c r="J1936" s="10"/>
      <c r="M1936" s="39"/>
      <c r="O1936" s="39"/>
      <c r="Q1936" s="39"/>
      <c r="R1936" s="28"/>
      <c r="S1936" s="28"/>
      <c r="T1936" s="28"/>
      <c r="U1936" s="4"/>
      <c r="V1936" s="3"/>
      <c r="W1936" s="3"/>
    </row>
    <row r="1937" spans="1:23" s="5" customFormat="1">
      <c r="A1937" s="6"/>
      <c r="B1937" s="33"/>
      <c r="C1937" s="35"/>
      <c r="E1937" s="39"/>
      <c r="G1937" s="40"/>
      <c r="H1937" s="15"/>
      <c r="I1937" s="17"/>
      <c r="J1937" s="10"/>
      <c r="M1937" s="39"/>
      <c r="O1937" s="39"/>
      <c r="Q1937" s="39"/>
      <c r="R1937" s="28"/>
      <c r="S1937" s="28"/>
      <c r="T1937" s="28"/>
      <c r="U1937" s="4"/>
      <c r="V1937" s="3"/>
      <c r="W1937" s="3"/>
    </row>
    <row r="1938" spans="1:23" s="5" customFormat="1">
      <c r="A1938" s="6"/>
      <c r="B1938" s="33"/>
      <c r="C1938" s="35"/>
      <c r="E1938" s="39"/>
      <c r="G1938" s="40"/>
      <c r="H1938" s="14"/>
      <c r="I1938" s="17"/>
      <c r="J1938" s="10"/>
      <c r="M1938" s="39"/>
      <c r="O1938" s="39"/>
      <c r="Q1938" s="39"/>
      <c r="R1938" s="28"/>
      <c r="S1938" s="28"/>
      <c r="T1938" s="28"/>
      <c r="U1938" s="4"/>
      <c r="V1938" s="3"/>
      <c r="W1938" s="3"/>
    </row>
    <row r="1939" spans="1:23" s="5" customFormat="1">
      <c r="A1939" s="6"/>
      <c r="B1939" s="33"/>
      <c r="C1939" s="35"/>
      <c r="E1939" s="39"/>
      <c r="G1939" s="40"/>
      <c r="H1939" s="14"/>
      <c r="I1939" s="17"/>
      <c r="J1939" s="10"/>
      <c r="M1939" s="39"/>
      <c r="O1939" s="39"/>
      <c r="Q1939" s="39"/>
      <c r="R1939" s="28"/>
      <c r="S1939" s="28"/>
      <c r="T1939" s="28"/>
      <c r="U1939" s="4"/>
      <c r="V1939" s="3"/>
      <c r="W1939" s="3"/>
    </row>
    <row r="1940" spans="1:23" s="5" customFormat="1">
      <c r="A1940" s="6"/>
      <c r="B1940" s="33"/>
      <c r="C1940" s="35"/>
      <c r="E1940" s="39"/>
      <c r="G1940" s="40"/>
      <c r="H1940" s="14"/>
      <c r="I1940" s="17"/>
      <c r="J1940" s="10"/>
      <c r="M1940" s="39"/>
      <c r="O1940" s="39"/>
      <c r="Q1940" s="39"/>
      <c r="R1940" s="28"/>
      <c r="S1940" s="28"/>
      <c r="T1940" s="28"/>
      <c r="U1940" s="4"/>
      <c r="V1940" s="3"/>
      <c r="W1940" s="3"/>
    </row>
    <row r="1941" spans="1:23" s="5" customFormat="1">
      <c r="A1941" s="6"/>
      <c r="B1941" s="33"/>
      <c r="C1941" s="35"/>
      <c r="E1941" s="39"/>
      <c r="G1941" s="40"/>
      <c r="H1941" s="14"/>
      <c r="I1941" s="17"/>
      <c r="J1941" s="10"/>
      <c r="M1941" s="39"/>
      <c r="O1941" s="39"/>
      <c r="Q1941" s="39"/>
      <c r="R1941" s="28"/>
      <c r="S1941" s="28"/>
      <c r="T1941" s="28"/>
      <c r="U1941" s="4"/>
      <c r="V1941" s="3"/>
      <c r="W1941" s="3"/>
    </row>
    <row r="1942" spans="1:23" s="5" customFormat="1">
      <c r="A1942" s="6"/>
      <c r="B1942" s="33"/>
      <c r="C1942" s="35"/>
      <c r="E1942" s="39"/>
      <c r="G1942" s="40"/>
      <c r="H1942" s="15"/>
      <c r="I1942" s="17"/>
      <c r="J1942" s="10"/>
      <c r="M1942" s="39"/>
      <c r="O1942" s="39"/>
      <c r="Q1942" s="39"/>
      <c r="R1942" s="28"/>
      <c r="S1942" s="28"/>
      <c r="T1942" s="28"/>
      <c r="U1942" s="4"/>
      <c r="V1942" s="3"/>
      <c r="W1942" s="3"/>
    </row>
    <row r="1943" spans="1:23" s="5" customFormat="1">
      <c r="A1943" s="6"/>
      <c r="B1943" s="33"/>
      <c r="C1943" s="35"/>
      <c r="E1943" s="39"/>
      <c r="G1943" s="40"/>
      <c r="H1943" s="15"/>
      <c r="I1943" s="17"/>
      <c r="J1943" s="10"/>
      <c r="M1943" s="39"/>
      <c r="O1943" s="39"/>
      <c r="Q1943" s="39"/>
      <c r="R1943" s="28"/>
      <c r="S1943" s="28"/>
      <c r="T1943" s="28"/>
      <c r="U1943" s="4"/>
      <c r="V1943" s="3"/>
      <c r="W1943" s="3"/>
    </row>
    <row r="1944" spans="1:23" s="5" customFormat="1">
      <c r="A1944" s="6"/>
      <c r="B1944" s="33"/>
      <c r="C1944" s="35"/>
      <c r="E1944" s="39"/>
      <c r="G1944" s="40"/>
      <c r="H1944" s="14"/>
      <c r="I1944" s="17"/>
      <c r="J1944" s="10"/>
      <c r="M1944" s="39"/>
      <c r="O1944" s="39"/>
      <c r="Q1944" s="39"/>
      <c r="R1944" s="28"/>
      <c r="S1944" s="28"/>
      <c r="T1944" s="28"/>
      <c r="U1944" s="4"/>
      <c r="V1944" s="3"/>
      <c r="W1944" s="3"/>
    </row>
    <row r="1945" spans="1:23" s="5" customFormat="1">
      <c r="A1945" s="6"/>
      <c r="B1945" s="33"/>
      <c r="C1945" s="35"/>
      <c r="E1945" s="39"/>
      <c r="G1945" s="40"/>
      <c r="H1945" s="14"/>
      <c r="I1945" s="17"/>
      <c r="J1945" s="10"/>
      <c r="M1945" s="39"/>
      <c r="O1945" s="39"/>
      <c r="Q1945" s="39"/>
      <c r="R1945" s="28"/>
      <c r="S1945" s="28"/>
      <c r="T1945" s="28"/>
      <c r="U1945" s="4"/>
      <c r="V1945" s="3"/>
      <c r="W1945" s="3"/>
    </row>
    <row r="1946" spans="1:23" s="5" customFormat="1">
      <c r="A1946" s="6"/>
      <c r="B1946" s="33"/>
      <c r="C1946" s="35"/>
      <c r="E1946" s="39"/>
      <c r="G1946" s="40"/>
      <c r="H1946" s="15"/>
      <c r="I1946" s="17"/>
      <c r="J1946" s="10"/>
      <c r="M1946" s="39"/>
      <c r="O1946" s="39"/>
      <c r="Q1946" s="39"/>
      <c r="R1946" s="28"/>
      <c r="S1946" s="28"/>
      <c r="T1946" s="28"/>
      <c r="U1946" s="4"/>
      <c r="V1946" s="3"/>
      <c r="W1946" s="3"/>
    </row>
    <row r="1947" spans="1:23" s="5" customFormat="1">
      <c r="A1947" s="6"/>
      <c r="B1947" s="33"/>
      <c r="C1947" s="35"/>
      <c r="E1947" s="39"/>
      <c r="G1947" s="40"/>
      <c r="H1947" s="15"/>
      <c r="I1947" s="17"/>
      <c r="J1947" s="10"/>
      <c r="M1947" s="39"/>
      <c r="O1947" s="39"/>
      <c r="Q1947" s="39"/>
      <c r="R1947" s="28"/>
      <c r="S1947" s="28"/>
      <c r="T1947" s="28"/>
      <c r="U1947" s="4"/>
      <c r="V1947" s="3"/>
      <c r="W1947" s="3"/>
    </row>
    <row r="1948" spans="1:23" s="5" customFormat="1">
      <c r="A1948" s="6"/>
      <c r="B1948" s="33"/>
      <c r="C1948" s="35"/>
      <c r="E1948" s="39"/>
      <c r="G1948" s="40"/>
      <c r="H1948" s="14"/>
      <c r="I1948" s="17"/>
      <c r="J1948" s="10"/>
      <c r="M1948" s="39"/>
      <c r="O1948" s="39"/>
      <c r="Q1948" s="39"/>
      <c r="R1948" s="28"/>
      <c r="S1948" s="28"/>
      <c r="T1948" s="28"/>
      <c r="U1948" s="4"/>
      <c r="V1948" s="3"/>
      <c r="W1948" s="3"/>
    </row>
    <row r="1949" spans="1:23" s="5" customFormat="1">
      <c r="A1949" s="6"/>
      <c r="B1949" s="33"/>
      <c r="C1949" s="35"/>
      <c r="E1949" s="39"/>
      <c r="G1949" s="40"/>
      <c r="H1949" s="15"/>
      <c r="I1949" s="17"/>
      <c r="J1949" s="10"/>
      <c r="M1949" s="39"/>
      <c r="O1949" s="39"/>
      <c r="Q1949" s="39"/>
      <c r="R1949" s="28"/>
      <c r="S1949" s="28"/>
      <c r="T1949" s="28"/>
      <c r="U1949" s="4"/>
      <c r="V1949" s="3"/>
      <c r="W1949" s="3"/>
    </row>
    <row r="1950" spans="1:23" s="5" customFormat="1">
      <c r="A1950" s="6"/>
      <c r="B1950" s="33"/>
      <c r="C1950" s="35"/>
      <c r="E1950" s="39"/>
      <c r="G1950" s="40"/>
      <c r="H1950" s="14"/>
      <c r="I1950" s="17"/>
      <c r="J1950" s="10"/>
      <c r="M1950" s="39"/>
      <c r="O1950" s="39"/>
      <c r="Q1950" s="39"/>
      <c r="R1950" s="28"/>
      <c r="S1950" s="28"/>
      <c r="T1950" s="28"/>
      <c r="U1950" s="4"/>
      <c r="V1950" s="3"/>
      <c r="W1950" s="3"/>
    </row>
    <row r="1951" spans="1:23" s="5" customFormat="1">
      <c r="A1951" s="6"/>
      <c r="B1951" s="33"/>
      <c r="C1951" s="35"/>
      <c r="E1951" s="39"/>
      <c r="G1951" s="40"/>
      <c r="H1951" s="15"/>
      <c r="I1951" s="17"/>
      <c r="J1951" s="10"/>
      <c r="M1951" s="39"/>
      <c r="O1951" s="39"/>
      <c r="Q1951" s="39"/>
      <c r="R1951" s="28"/>
      <c r="S1951" s="28"/>
      <c r="T1951" s="28"/>
      <c r="U1951" s="4"/>
      <c r="V1951" s="3"/>
      <c r="W1951" s="3"/>
    </row>
    <row r="1952" spans="1:23" s="5" customFormat="1">
      <c r="A1952" s="6"/>
      <c r="B1952" s="33"/>
      <c r="C1952" s="35"/>
      <c r="E1952" s="39"/>
      <c r="G1952" s="40"/>
      <c r="H1952" s="15"/>
      <c r="I1952" s="17"/>
      <c r="J1952" s="10"/>
      <c r="M1952" s="39"/>
      <c r="O1952" s="39"/>
      <c r="Q1952" s="39"/>
      <c r="R1952" s="28"/>
      <c r="S1952" s="28"/>
      <c r="T1952" s="28"/>
      <c r="U1952" s="4"/>
      <c r="V1952" s="3"/>
      <c r="W1952" s="3"/>
    </row>
    <row r="1953" spans="1:23" s="5" customFormat="1">
      <c r="A1953" s="6"/>
      <c r="B1953" s="33"/>
      <c r="C1953" s="35"/>
      <c r="E1953" s="39"/>
      <c r="G1953" s="40"/>
      <c r="H1953" s="15"/>
      <c r="I1953" s="17"/>
      <c r="J1953" s="10"/>
      <c r="M1953" s="39"/>
      <c r="O1953" s="39"/>
      <c r="Q1953" s="39"/>
      <c r="R1953" s="28"/>
      <c r="S1953" s="28"/>
      <c r="T1953" s="28"/>
      <c r="U1953" s="4"/>
      <c r="V1953" s="3"/>
      <c r="W1953" s="3"/>
    </row>
    <row r="1954" spans="1:23" s="5" customFormat="1">
      <c r="A1954" s="6"/>
      <c r="B1954" s="33"/>
      <c r="C1954" s="35"/>
      <c r="E1954" s="39"/>
      <c r="G1954" s="40"/>
      <c r="H1954" s="14"/>
      <c r="I1954" s="17"/>
      <c r="J1954" s="10"/>
      <c r="M1954" s="39"/>
      <c r="O1954" s="39"/>
      <c r="Q1954" s="39"/>
      <c r="R1954" s="28"/>
      <c r="S1954" s="28"/>
      <c r="T1954" s="28"/>
      <c r="U1954" s="4"/>
      <c r="V1954" s="3"/>
      <c r="W1954" s="3"/>
    </row>
    <row r="1955" spans="1:23" s="5" customFormat="1">
      <c r="A1955" s="6"/>
      <c r="B1955" s="33"/>
      <c r="C1955" s="35"/>
      <c r="E1955" s="39"/>
      <c r="G1955" s="40"/>
      <c r="H1955" s="14"/>
      <c r="I1955" s="17"/>
      <c r="J1955" s="10"/>
      <c r="M1955" s="39"/>
      <c r="O1955" s="39"/>
      <c r="Q1955" s="39"/>
      <c r="R1955" s="28"/>
      <c r="S1955" s="28"/>
      <c r="T1955" s="28"/>
      <c r="U1955" s="4"/>
      <c r="V1955" s="3"/>
      <c r="W1955" s="3"/>
    </row>
    <row r="1956" spans="1:23" s="5" customFormat="1">
      <c r="A1956" s="6"/>
      <c r="B1956" s="33"/>
      <c r="C1956" s="35"/>
      <c r="E1956" s="39"/>
      <c r="G1956" s="40"/>
      <c r="H1956" s="15"/>
      <c r="I1956" s="17"/>
      <c r="J1956" s="10"/>
      <c r="M1956" s="39"/>
      <c r="O1956" s="39"/>
      <c r="Q1956" s="39"/>
      <c r="R1956" s="28"/>
      <c r="S1956" s="28"/>
      <c r="T1956" s="28"/>
      <c r="U1956" s="4"/>
      <c r="V1956" s="3"/>
      <c r="W1956" s="3"/>
    </row>
    <row r="1957" spans="1:23" s="5" customFormat="1">
      <c r="A1957" s="6"/>
      <c r="B1957" s="33"/>
      <c r="C1957" s="35"/>
      <c r="E1957" s="39"/>
      <c r="G1957" s="40"/>
      <c r="H1957" s="15"/>
      <c r="I1957" s="17"/>
      <c r="J1957" s="10"/>
      <c r="M1957" s="39"/>
      <c r="O1957" s="39"/>
      <c r="Q1957" s="39"/>
      <c r="R1957" s="28"/>
      <c r="S1957" s="28"/>
      <c r="T1957" s="28"/>
      <c r="U1957" s="4"/>
      <c r="V1957" s="3"/>
      <c r="W1957" s="3"/>
    </row>
    <row r="1958" spans="1:23" s="5" customFormat="1">
      <c r="A1958" s="6"/>
      <c r="B1958" s="33"/>
      <c r="C1958" s="35"/>
      <c r="E1958" s="39"/>
      <c r="G1958" s="40"/>
      <c r="H1958" s="15"/>
      <c r="I1958" s="17"/>
      <c r="J1958" s="10"/>
      <c r="M1958" s="39"/>
      <c r="O1958" s="39"/>
      <c r="Q1958" s="39"/>
      <c r="R1958" s="28"/>
      <c r="S1958" s="28"/>
      <c r="T1958" s="28"/>
      <c r="U1958" s="4"/>
      <c r="V1958" s="3"/>
      <c r="W1958" s="3"/>
    </row>
    <row r="1959" spans="1:23" s="5" customFormat="1">
      <c r="A1959" s="6"/>
      <c r="B1959" s="33"/>
      <c r="C1959" s="35"/>
      <c r="E1959" s="39"/>
      <c r="G1959" s="40"/>
      <c r="H1959" s="14"/>
      <c r="I1959" s="17"/>
      <c r="J1959" s="10"/>
      <c r="M1959" s="39"/>
      <c r="O1959" s="39"/>
      <c r="Q1959" s="39"/>
      <c r="R1959" s="28"/>
      <c r="S1959" s="28"/>
      <c r="T1959" s="28"/>
      <c r="U1959" s="4"/>
      <c r="V1959" s="3"/>
      <c r="W1959" s="3"/>
    </row>
    <row r="1960" spans="1:23" s="5" customFormat="1">
      <c r="A1960" s="6"/>
      <c r="B1960" s="33"/>
      <c r="C1960" s="35"/>
      <c r="E1960" s="39"/>
      <c r="G1960" s="40"/>
      <c r="H1960" s="14"/>
      <c r="I1960" s="17"/>
      <c r="J1960" s="10"/>
      <c r="M1960" s="39"/>
      <c r="O1960" s="39"/>
      <c r="Q1960" s="39"/>
      <c r="R1960" s="28"/>
      <c r="S1960" s="28"/>
      <c r="T1960" s="28"/>
      <c r="U1960" s="4"/>
      <c r="V1960" s="3"/>
      <c r="W1960" s="3"/>
    </row>
    <row r="1961" spans="1:23" s="5" customFormat="1">
      <c r="A1961" s="6"/>
      <c r="B1961" s="33"/>
      <c r="C1961" s="35"/>
      <c r="E1961" s="39"/>
      <c r="G1961" s="40"/>
      <c r="H1961" s="14"/>
      <c r="I1961" s="17"/>
      <c r="J1961" s="10"/>
      <c r="M1961" s="39"/>
      <c r="O1961" s="39"/>
      <c r="Q1961" s="39"/>
      <c r="R1961" s="28"/>
      <c r="S1961" s="28"/>
      <c r="T1961" s="28"/>
      <c r="U1961" s="4"/>
      <c r="V1961" s="3"/>
      <c r="W1961" s="3"/>
    </row>
    <row r="1962" spans="1:23" s="5" customFormat="1">
      <c r="A1962" s="6"/>
      <c r="B1962" s="33"/>
      <c r="C1962" s="35"/>
      <c r="E1962" s="39"/>
      <c r="G1962" s="40"/>
      <c r="H1962" s="14"/>
      <c r="I1962" s="17"/>
      <c r="J1962" s="10"/>
      <c r="M1962" s="39"/>
      <c r="O1962" s="39"/>
      <c r="Q1962" s="39"/>
      <c r="R1962" s="28"/>
      <c r="S1962" s="28"/>
      <c r="T1962" s="28"/>
      <c r="U1962" s="4"/>
      <c r="V1962" s="3"/>
      <c r="W1962" s="3"/>
    </row>
    <row r="1963" spans="1:23" s="5" customFormat="1">
      <c r="A1963" s="6"/>
      <c r="B1963" s="33"/>
      <c r="C1963" s="35"/>
      <c r="E1963" s="39"/>
      <c r="G1963" s="40"/>
      <c r="H1963" s="14"/>
      <c r="I1963" s="17"/>
      <c r="J1963" s="10"/>
      <c r="M1963" s="39"/>
      <c r="O1963" s="39"/>
      <c r="Q1963" s="39"/>
      <c r="R1963" s="28"/>
      <c r="S1963" s="28"/>
      <c r="T1963" s="28"/>
      <c r="U1963" s="4"/>
      <c r="V1963" s="3"/>
      <c r="W1963" s="3"/>
    </row>
    <row r="1964" spans="1:23" s="5" customFormat="1">
      <c r="A1964" s="6"/>
      <c r="B1964" s="33"/>
      <c r="C1964" s="35"/>
      <c r="E1964" s="39"/>
      <c r="G1964" s="40"/>
      <c r="H1964" s="14"/>
      <c r="I1964" s="17"/>
      <c r="J1964" s="10"/>
      <c r="M1964" s="39"/>
      <c r="O1964" s="39"/>
      <c r="Q1964" s="39"/>
      <c r="R1964" s="28"/>
      <c r="S1964" s="28"/>
      <c r="T1964" s="28"/>
      <c r="U1964" s="4"/>
      <c r="V1964" s="3"/>
      <c r="W1964" s="3"/>
    </row>
    <row r="1965" spans="1:23" s="5" customFormat="1">
      <c r="A1965" s="6"/>
      <c r="B1965" s="33"/>
      <c r="C1965" s="35"/>
      <c r="E1965" s="39"/>
      <c r="G1965" s="40"/>
      <c r="H1965" s="15"/>
      <c r="I1965" s="17"/>
      <c r="J1965" s="10"/>
      <c r="M1965" s="39"/>
      <c r="O1965" s="39"/>
      <c r="Q1965" s="39"/>
      <c r="R1965" s="28"/>
      <c r="S1965" s="28"/>
      <c r="T1965" s="28"/>
      <c r="U1965" s="4"/>
      <c r="V1965" s="3"/>
      <c r="W1965" s="3"/>
    </row>
    <row r="1966" spans="1:23" s="5" customFormat="1">
      <c r="A1966" s="6"/>
      <c r="B1966" s="33"/>
      <c r="C1966" s="35"/>
      <c r="E1966" s="39"/>
      <c r="G1966" s="40"/>
      <c r="H1966" s="15"/>
      <c r="I1966" s="17"/>
      <c r="J1966" s="10"/>
      <c r="M1966" s="39"/>
      <c r="O1966" s="39"/>
      <c r="Q1966" s="39"/>
      <c r="R1966" s="28"/>
      <c r="S1966" s="28"/>
      <c r="T1966" s="28"/>
      <c r="U1966" s="4"/>
      <c r="V1966" s="3"/>
      <c r="W1966" s="3"/>
    </row>
    <row r="1967" spans="1:23" s="5" customFormat="1">
      <c r="A1967" s="6"/>
      <c r="B1967" s="33"/>
      <c r="C1967" s="35"/>
      <c r="E1967" s="39"/>
      <c r="G1967" s="40"/>
      <c r="H1967" s="15"/>
      <c r="I1967" s="17"/>
      <c r="J1967" s="10"/>
      <c r="M1967" s="39"/>
      <c r="O1967" s="39"/>
      <c r="Q1967" s="39"/>
      <c r="R1967" s="28"/>
      <c r="S1967" s="28"/>
      <c r="T1967" s="28"/>
      <c r="U1967" s="4"/>
      <c r="V1967" s="3"/>
      <c r="W1967" s="3"/>
    </row>
    <row r="1968" spans="1:23" s="5" customFormat="1">
      <c r="A1968" s="6"/>
      <c r="B1968" s="33"/>
      <c r="C1968" s="35"/>
      <c r="E1968" s="39"/>
      <c r="G1968" s="40"/>
      <c r="H1968" s="14"/>
      <c r="I1968" s="17"/>
      <c r="J1968" s="10"/>
      <c r="M1968" s="39"/>
      <c r="O1968" s="39"/>
      <c r="Q1968" s="39"/>
      <c r="R1968" s="28"/>
      <c r="S1968" s="28"/>
      <c r="T1968" s="28"/>
      <c r="U1968" s="4"/>
      <c r="V1968" s="3"/>
      <c r="W1968" s="3"/>
    </row>
    <row r="1969" spans="1:23" s="5" customFormat="1">
      <c r="A1969" s="6"/>
      <c r="B1969" s="33"/>
      <c r="C1969" s="35"/>
      <c r="E1969" s="39"/>
      <c r="G1969" s="40"/>
      <c r="H1969" s="15"/>
      <c r="I1969" s="17"/>
      <c r="J1969" s="10"/>
      <c r="M1969" s="39"/>
      <c r="O1969" s="39"/>
      <c r="Q1969" s="39"/>
      <c r="R1969" s="28"/>
      <c r="S1969" s="28"/>
      <c r="T1969" s="28"/>
      <c r="U1969" s="4"/>
      <c r="V1969" s="3"/>
      <c r="W1969" s="3"/>
    </row>
    <row r="1970" spans="1:23" s="5" customFormat="1">
      <c r="A1970" s="6"/>
      <c r="B1970" s="33"/>
      <c r="C1970" s="35"/>
      <c r="E1970" s="39"/>
      <c r="G1970" s="40"/>
      <c r="H1970" s="15"/>
      <c r="I1970" s="17"/>
      <c r="J1970" s="10"/>
      <c r="M1970" s="39"/>
      <c r="O1970" s="39"/>
      <c r="Q1970" s="39"/>
      <c r="R1970" s="28"/>
      <c r="S1970" s="28"/>
      <c r="T1970" s="28"/>
      <c r="U1970" s="4"/>
      <c r="V1970" s="3"/>
      <c r="W1970" s="3"/>
    </row>
    <row r="1971" spans="1:23" s="5" customFormat="1">
      <c r="A1971" s="6"/>
      <c r="B1971" s="33"/>
      <c r="C1971" s="35"/>
      <c r="E1971" s="39"/>
      <c r="G1971" s="40"/>
      <c r="H1971" s="14"/>
      <c r="I1971" s="17"/>
      <c r="J1971" s="10"/>
      <c r="M1971" s="39"/>
      <c r="O1971" s="39"/>
      <c r="Q1971" s="39"/>
      <c r="R1971" s="28"/>
      <c r="S1971" s="28"/>
      <c r="T1971" s="28"/>
      <c r="U1971" s="4"/>
      <c r="V1971" s="3"/>
      <c r="W1971" s="3"/>
    </row>
    <row r="1972" spans="1:23" s="5" customFormat="1">
      <c r="A1972" s="6"/>
      <c r="B1972" s="33"/>
      <c r="C1972" s="35"/>
      <c r="E1972" s="39"/>
      <c r="G1972" s="40"/>
      <c r="H1972" s="15"/>
      <c r="I1972" s="17"/>
      <c r="J1972" s="10"/>
      <c r="M1972" s="39"/>
      <c r="O1972" s="39"/>
      <c r="Q1972" s="39"/>
      <c r="R1972" s="28"/>
      <c r="S1972" s="28"/>
      <c r="T1972" s="28"/>
      <c r="U1972" s="4"/>
      <c r="V1972" s="3"/>
      <c r="W1972" s="3"/>
    </row>
    <row r="1973" spans="1:23" s="5" customFormat="1">
      <c r="A1973" s="6"/>
      <c r="B1973" s="33"/>
      <c r="C1973" s="35"/>
      <c r="E1973" s="39"/>
      <c r="G1973" s="40"/>
      <c r="H1973" s="14"/>
      <c r="I1973" s="17"/>
      <c r="J1973" s="10"/>
      <c r="M1973" s="39"/>
      <c r="O1973" s="39"/>
      <c r="Q1973" s="39"/>
      <c r="R1973" s="28"/>
      <c r="S1973" s="28"/>
      <c r="T1973" s="28"/>
      <c r="U1973" s="4"/>
      <c r="V1973" s="3"/>
      <c r="W1973" s="3"/>
    </row>
    <row r="1974" spans="1:23" s="5" customFormat="1">
      <c r="A1974" s="6"/>
      <c r="B1974" s="33"/>
      <c r="C1974" s="35"/>
      <c r="E1974" s="39"/>
      <c r="G1974" s="40"/>
      <c r="H1974" s="15"/>
      <c r="I1974" s="17"/>
      <c r="J1974" s="10"/>
      <c r="M1974" s="39"/>
      <c r="O1974" s="39"/>
      <c r="Q1974" s="39"/>
      <c r="R1974" s="28"/>
      <c r="S1974" s="28"/>
      <c r="T1974" s="28"/>
      <c r="U1974" s="4"/>
      <c r="V1974" s="3"/>
      <c r="W1974" s="3"/>
    </row>
    <row r="1975" spans="1:23" s="5" customFormat="1">
      <c r="A1975" s="6"/>
      <c r="B1975" s="33"/>
      <c r="C1975" s="35"/>
      <c r="E1975" s="39"/>
      <c r="G1975" s="40"/>
      <c r="H1975" s="14"/>
      <c r="I1975" s="17"/>
      <c r="J1975" s="10"/>
      <c r="M1975" s="39"/>
      <c r="O1975" s="39"/>
      <c r="Q1975" s="39"/>
      <c r="R1975" s="28"/>
      <c r="S1975" s="28"/>
      <c r="T1975" s="28"/>
      <c r="U1975" s="4"/>
      <c r="V1975" s="3"/>
      <c r="W1975" s="3"/>
    </row>
    <row r="1976" spans="1:23" s="5" customFormat="1">
      <c r="A1976" s="6"/>
      <c r="B1976" s="33"/>
      <c r="C1976" s="35"/>
      <c r="E1976" s="39"/>
      <c r="G1976" s="40"/>
      <c r="H1976" s="15"/>
      <c r="I1976" s="17"/>
      <c r="J1976" s="10"/>
      <c r="M1976" s="39"/>
      <c r="O1976" s="39"/>
      <c r="Q1976" s="39"/>
      <c r="R1976" s="28"/>
      <c r="S1976" s="28"/>
      <c r="T1976" s="28"/>
      <c r="U1976" s="4"/>
      <c r="V1976" s="3"/>
      <c r="W1976" s="3"/>
    </row>
    <row r="1977" spans="1:23" s="5" customFormat="1">
      <c r="A1977" s="6"/>
      <c r="B1977" s="33"/>
      <c r="C1977" s="35"/>
      <c r="E1977" s="39"/>
      <c r="G1977" s="40"/>
      <c r="H1977" s="14"/>
      <c r="I1977" s="17"/>
      <c r="J1977" s="10"/>
      <c r="M1977" s="39"/>
      <c r="O1977" s="39"/>
      <c r="Q1977" s="39"/>
      <c r="R1977" s="28"/>
      <c r="S1977" s="28"/>
      <c r="T1977" s="28"/>
      <c r="U1977" s="4"/>
      <c r="V1977" s="3"/>
      <c r="W1977" s="3"/>
    </row>
    <row r="1978" spans="1:23" s="5" customFormat="1">
      <c r="A1978" s="6"/>
      <c r="B1978" s="33"/>
      <c r="C1978" s="35"/>
      <c r="E1978" s="39"/>
      <c r="G1978" s="40"/>
      <c r="H1978" s="14"/>
      <c r="I1978" s="17"/>
      <c r="J1978" s="10"/>
      <c r="M1978" s="39"/>
      <c r="O1978" s="39"/>
      <c r="Q1978" s="39"/>
      <c r="R1978" s="28"/>
      <c r="S1978" s="28"/>
      <c r="T1978" s="28"/>
      <c r="U1978" s="4"/>
      <c r="V1978" s="3"/>
      <c r="W1978" s="3"/>
    </row>
    <row r="1979" spans="1:23" s="5" customFormat="1">
      <c r="A1979" s="6"/>
      <c r="B1979" s="33"/>
      <c r="C1979" s="35"/>
      <c r="E1979" s="39"/>
      <c r="G1979" s="40"/>
      <c r="H1979" s="14"/>
      <c r="I1979" s="17"/>
      <c r="J1979" s="10"/>
      <c r="M1979" s="39"/>
      <c r="O1979" s="39"/>
      <c r="Q1979" s="39"/>
      <c r="R1979" s="28"/>
      <c r="S1979" s="28"/>
      <c r="T1979" s="28"/>
      <c r="U1979" s="4"/>
      <c r="V1979" s="3"/>
      <c r="W1979" s="3"/>
    </row>
    <row r="1980" spans="1:23" s="5" customFormat="1">
      <c r="A1980" s="6"/>
      <c r="B1980" s="33"/>
      <c r="C1980" s="35"/>
      <c r="E1980" s="39"/>
      <c r="G1980" s="40"/>
      <c r="H1980" s="14"/>
      <c r="I1980" s="17"/>
      <c r="J1980" s="10"/>
      <c r="M1980" s="39"/>
      <c r="O1980" s="39"/>
      <c r="Q1980" s="39"/>
      <c r="R1980" s="28"/>
      <c r="S1980" s="28"/>
      <c r="T1980" s="28"/>
      <c r="U1980" s="4"/>
      <c r="V1980" s="3"/>
      <c r="W1980" s="3"/>
    </row>
    <row r="1981" spans="1:23" s="5" customFormat="1">
      <c r="A1981" s="6"/>
      <c r="B1981" s="33"/>
      <c r="C1981" s="35"/>
      <c r="E1981" s="39"/>
      <c r="G1981" s="40"/>
      <c r="H1981" s="15"/>
      <c r="I1981" s="17"/>
      <c r="J1981" s="10"/>
      <c r="M1981" s="39"/>
      <c r="O1981" s="39"/>
      <c r="Q1981" s="39"/>
      <c r="R1981" s="28"/>
      <c r="S1981" s="28"/>
      <c r="T1981" s="28"/>
      <c r="U1981" s="4"/>
      <c r="V1981" s="3"/>
      <c r="W1981" s="3"/>
    </row>
    <row r="1982" spans="1:23" s="5" customFormat="1">
      <c r="A1982" s="6"/>
      <c r="B1982" s="33"/>
      <c r="C1982" s="35"/>
      <c r="E1982" s="39"/>
      <c r="G1982" s="40"/>
      <c r="H1982" s="14"/>
      <c r="I1982" s="17"/>
      <c r="J1982" s="10"/>
      <c r="M1982" s="39"/>
      <c r="O1982" s="39"/>
      <c r="Q1982" s="39"/>
      <c r="R1982" s="28"/>
      <c r="S1982" s="28"/>
      <c r="T1982" s="28"/>
      <c r="U1982" s="4"/>
      <c r="V1982" s="3"/>
      <c r="W1982" s="3"/>
    </row>
    <row r="1983" spans="1:23" s="5" customFormat="1">
      <c r="A1983" s="6"/>
      <c r="B1983" s="33"/>
      <c r="C1983" s="35"/>
      <c r="E1983" s="39"/>
      <c r="G1983" s="40"/>
      <c r="H1983" s="14"/>
      <c r="I1983" s="17"/>
      <c r="J1983" s="10"/>
      <c r="M1983" s="39"/>
      <c r="O1983" s="39"/>
      <c r="Q1983" s="39"/>
      <c r="R1983" s="28"/>
      <c r="S1983" s="28"/>
      <c r="T1983" s="28"/>
      <c r="U1983" s="4"/>
      <c r="V1983" s="3"/>
      <c r="W1983" s="3"/>
    </row>
    <row r="1984" spans="1:23" s="5" customFormat="1">
      <c r="A1984" s="6"/>
      <c r="B1984" s="33"/>
      <c r="C1984" s="35"/>
      <c r="E1984" s="39"/>
      <c r="G1984" s="40"/>
      <c r="H1984" s="14"/>
      <c r="I1984" s="17"/>
      <c r="J1984" s="10"/>
      <c r="M1984" s="39"/>
      <c r="O1984" s="39"/>
      <c r="Q1984" s="39"/>
      <c r="R1984" s="28"/>
      <c r="S1984" s="28"/>
      <c r="T1984" s="28"/>
      <c r="U1984" s="4"/>
      <c r="V1984" s="3"/>
      <c r="W1984" s="3"/>
    </row>
    <row r="1985" spans="1:23" s="5" customFormat="1">
      <c r="A1985" s="6"/>
      <c r="B1985" s="33"/>
      <c r="C1985" s="35"/>
      <c r="E1985" s="39"/>
      <c r="G1985" s="40"/>
      <c r="H1985" s="15"/>
      <c r="I1985" s="17"/>
      <c r="J1985" s="10"/>
      <c r="M1985" s="39"/>
      <c r="O1985" s="39"/>
      <c r="Q1985" s="39"/>
      <c r="R1985" s="28"/>
      <c r="S1985" s="28"/>
      <c r="T1985" s="28"/>
      <c r="U1985" s="4"/>
      <c r="V1985" s="3"/>
      <c r="W1985" s="3"/>
    </row>
    <row r="1986" spans="1:23" s="5" customFormat="1">
      <c r="A1986" s="6"/>
      <c r="B1986" s="33"/>
      <c r="C1986" s="35"/>
      <c r="E1986" s="39"/>
      <c r="G1986" s="40"/>
      <c r="H1986" s="14"/>
      <c r="I1986" s="17"/>
      <c r="J1986" s="10"/>
      <c r="M1986" s="39"/>
      <c r="O1986" s="39"/>
      <c r="Q1986" s="39"/>
      <c r="R1986" s="28"/>
      <c r="S1986" s="28"/>
      <c r="T1986" s="28"/>
      <c r="U1986" s="4"/>
      <c r="V1986" s="3"/>
      <c r="W1986" s="3"/>
    </row>
    <row r="1987" spans="1:23" s="5" customFormat="1">
      <c r="A1987" s="6"/>
      <c r="B1987" s="33"/>
      <c r="C1987" s="35"/>
      <c r="E1987" s="39"/>
      <c r="G1987" s="40"/>
      <c r="H1987" s="15"/>
      <c r="I1987" s="17"/>
      <c r="J1987" s="10"/>
      <c r="M1987" s="39"/>
      <c r="O1987" s="39"/>
      <c r="Q1987" s="39"/>
      <c r="R1987" s="28"/>
      <c r="S1987" s="28"/>
      <c r="T1987" s="28"/>
      <c r="U1987" s="4"/>
      <c r="V1987" s="3"/>
      <c r="W1987" s="3"/>
    </row>
    <row r="1988" spans="1:23" s="5" customFormat="1">
      <c r="A1988" s="6"/>
      <c r="B1988" s="33"/>
      <c r="C1988" s="35"/>
      <c r="E1988" s="39"/>
      <c r="G1988" s="40"/>
      <c r="H1988" s="14"/>
      <c r="I1988" s="17"/>
      <c r="J1988" s="10"/>
      <c r="M1988" s="39"/>
      <c r="O1988" s="39"/>
      <c r="Q1988" s="39"/>
      <c r="R1988" s="28"/>
      <c r="S1988" s="28"/>
      <c r="T1988" s="28"/>
      <c r="U1988" s="4"/>
      <c r="V1988" s="3"/>
      <c r="W1988" s="3"/>
    </row>
    <row r="1989" spans="1:23" s="5" customFormat="1">
      <c r="A1989" s="6"/>
      <c r="B1989" s="33"/>
      <c r="C1989" s="35"/>
      <c r="E1989" s="39"/>
      <c r="G1989" s="40"/>
      <c r="H1989" s="14"/>
      <c r="I1989" s="17"/>
      <c r="J1989" s="10"/>
      <c r="M1989" s="39"/>
      <c r="O1989" s="39"/>
      <c r="Q1989" s="39"/>
      <c r="R1989" s="28"/>
      <c r="S1989" s="28"/>
      <c r="T1989" s="28"/>
      <c r="U1989" s="4"/>
      <c r="V1989" s="3"/>
      <c r="W1989" s="3"/>
    </row>
    <row r="1990" spans="1:23" s="5" customFormat="1">
      <c r="A1990" s="6"/>
      <c r="B1990" s="33"/>
      <c r="C1990" s="35"/>
      <c r="E1990" s="39"/>
      <c r="G1990" s="40"/>
      <c r="H1990" s="14"/>
      <c r="I1990" s="17"/>
      <c r="J1990" s="10"/>
      <c r="M1990" s="39"/>
      <c r="O1990" s="39"/>
      <c r="Q1990" s="39"/>
      <c r="R1990" s="28"/>
      <c r="S1990" s="28"/>
      <c r="T1990" s="28"/>
      <c r="U1990" s="4"/>
      <c r="V1990" s="3"/>
      <c r="W1990" s="3"/>
    </row>
    <row r="1991" spans="1:23" s="5" customFormat="1">
      <c r="A1991" s="6"/>
      <c r="B1991" s="33"/>
      <c r="C1991" s="35"/>
      <c r="E1991" s="39"/>
      <c r="G1991" s="40"/>
      <c r="H1991" s="14"/>
      <c r="I1991" s="17"/>
      <c r="J1991" s="10"/>
      <c r="M1991" s="39"/>
      <c r="O1991" s="39"/>
      <c r="Q1991" s="39"/>
      <c r="R1991" s="28"/>
      <c r="S1991" s="28"/>
      <c r="T1991" s="28"/>
      <c r="U1991" s="4"/>
      <c r="V1991" s="3"/>
      <c r="W1991" s="3"/>
    </row>
    <row r="1992" spans="1:23" s="5" customFormat="1">
      <c r="A1992" s="6"/>
      <c r="B1992" s="33"/>
      <c r="C1992" s="35"/>
      <c r="E1992" s="39"/>
      <c r="G1992" s="40"/>
      <c r="H1992" s="14"/>
      <c r="I1992" s="17"/>
      <c r="J1992" s="10"/>
      <c r="M1992" s="39"/>
      <c r="O1992" s="39"/>
      <c r="Q1992" s="39"/>
      <c r="R1992" s="28"/>
      <c r="S1992" s="28"/>
      <c r="T1992" s="28"/>
      <c r="U1992" s="4"/>
      <c r="V1992" s="3"/>
      <c r="W1992" s="3"/>
    </row>
    <row r="1993" spans="1:23" s="5" customFormat="1">
      <c r="A1993" s="6"/>
      <c r="B1993" s="33"/>
      <c r="C1993" s="35"/>
      <c r="E1993" s="39"/>
      <c r="G1993" s="40"/>
      <c r="H1993" s="14"/>
      <c r="I1993" s="17"/>
      <c r="J1993" s="10"/>
      <c r="M1993" s="39"/>
      <c r="O1993" s="39"/>
      <c r="Q1993" s="39"/>
      <c r="R1993" s="28"/>
      <c r="S1993" s="28"/>
      <c r="T1993" s="28"/>
      <c r="U1993" s="4"/>
      <c r="V1993" s="3"/>
      <c r="W1993" s="3"/>
    </row>
    <row r="1994" spans="1:23" s="5" customFormat="1">
      <c r="A1994" s="6"/>
      <c r="B1994" s="33"/>
      <c r="C1994" s="35"/>
      <c r="E1994" s="39"/>
      <c r="G1994" s="40"/>
      <c r="H1994" s="14"/>
      <c r="I1994" s="17"/>
      <c r="J1994" s="10"/>
      <c r="M1994" s="39"/>
      <c r="O1994" s="39"/>
      <c r="Q1994" s="39"/>
      <c r="R1994" s="28"/>
      <c r="S1994" s="28"/>
      <c r="T1994" s="28"/>
      <c r="U1994" s="4"/>
      <c r="V1994" s="3"/>
      <c r="W1994" s="3"/>
    </row>
    <row r="1995" spans="1:23" s="5" customFormat="1">
      <c r="A1995" s="6"/>
      <c r="B1995" s="33"/>
      <c r="C1995" s="35"/>
      <c r="E1995" s="39"/>
      <c r="G1995" s="40"/>
      <c r="H1995" s="14"/>
      <c r="I1995" s="17"/>
      <c r="J1995" s="10"/>
      <c r="M1995" s="39"/>
      <c r="O1995" s="39"/>
      <c r="Q1995" s="39"/>
      <c r="R1995" s="28"/>
      <c r="S1995" s="28"/>
      <c r="T1995" s="28"/>
      <c r="U1995" s="4"/>
      <c r="V1995" s="3"/>
      <c r="W1995" s="3"/>
    </row>
    <row r="1996" spans="1:23" s="5" customFormat="1">
      <c r="A1996" s="6"/>
      <c r="B1996" s="33"/>
      <c r="C1996" s="35"/>
      <c r="E1996" s="39"/>
      <c r="G1996" s="40"/>
      <c r="H1996" s="14"/>
      <c r="I1996" s="17"/>
      <c r="J1996" s="10"/>
      <c r="M1996" s="39"/>
      <c r="O1996" s="39"/>
      <c r="Q1996" s="39"/>
      <c r="R1996" s="28"/>
      <c r="S1996" s="28"/>
      <c r="T1996" s="28"/>
      <c r="U1996" s="4"/>
      <c r="V1996" s="3"/>
      <c r="W1996" s="3"/>
    </row>
    <row r="1997" spans="1:23" s="5" customFormat="1">
      <c r="A1997" s="6"/>
      <c r="B1997" s="33"/>
      <c r="C1997" s="35"/>
      <c r="E1997" s="39"/>
      <c r="G1997" s="40"/>
      <c r="H1997" s="14"/>
      <c r="I1997" s="17"/>
      <c r="J1997" s="10"/>
      <c r="M1997" s="39"/>
      <c r="O1997" s="39"/>
      <c r="Q1997" s="39"/>
      <c r="R1997" s="28"/>
      <c r="S1997" s="28"/>
      <c r="T1997" s="28"/>
      <c r="U1997" s="4"/>
      <c r="V1997" s="3"/>
      <c r="W1997" s="3"/>
    </row>
    <row r="1998" spans="1:23" s="5" customFormat="1">
      <c r="A1998" s="6"/>
      <c r="B1998" s="33"/>
      <c r="C1998" s="35"/>
      <c r="E1998" s="39"/>
      <c r="G1998" s="40"/>
      <c r="H1998" s="15"/>
      <c r="I1998" s="17"/>
      <c r="J1998" s="10"/>
      <c r="M1998" s="39"/>
      <c r="O1998" s="39"/>
      <c r="Q1998" s="39"/>
      <c r="R1998" s="28"/>
      <c r="S1998" s="28"/>
      <c r="T1998" s="28"/>
      <c r="U1998" s="4"/>
      <c r="V1998" s="3"/>
      <c r="W1998" s="3"/>
    </row>
    <row r="1999" spans="1:23" s="5" customFormat="1">
      <c r="A1999" s="6"/>
      <c r="B1999" s="33"/>
      <c r="C1999" s="35"/>
      <c r="E1999" s="39"/>
      <c r="G1999" s="40"/>
      <c r="H1999" s="14"/>
      <c r="I1999" s="17"/>
      <c r="J1999" s="10"/>
      <c r="M1999" s="39"/>
      <c r="O1999" s="39"/>
      <c r="Q1999" s="39"/>
      <c r="R1999" s="28"/>
      <c r="S1999" s="28"/>
      <c r="T1999" s="28"/>
      <c r="U1999" s="4"/>
      <c r="V1999" s="3"/>
      <c r="W1999" s="3"/>
    </row>
    <row r="2000" spans="1:23" s="5" customFormat="1">
      <c r="A2000" s="6"/>
      <c r="B2000" s="33"/>
      <c r="C2000" s="35"/>
      <c r="E2000" s="39"/>
      <c r="G2000" s="40"/>
      <c r="H2000" s="14"/>
      <c r="I2000" s="17"/>
      <c r="J2000" s="10"/>
      <c r="M2000" s="39"/>
      <c r="O2000" s="39"/>
      <c r="Q2000" s="39"/>
      <c r="R2000" s="28"/>
      <c r="S2000" s="28"/>
      <c r="T2000" s="28"/>
      <c r="U2000" s="4"/>
      <c r="V2000" s="3"/>
      <c r="W2000" s="3"/>
    </row>
    <row r="2001" spans="1:23" s="5" customFormat="1">
      <c r="A2001" s="6"/>
      <c r="B2001" s="33"/>
      <c r="C2001" s="35"/>
      <c r="E2001" s="39"/>
      <c r="G2001" s="40"/>
      <c r="H2001" s="15"/>
      <c r="I2001" s="17"/>
      <c r="J2001" s="10"/>
      <c r="M2001" s="39"/>
      <c r="O2001" s="39"/>
      <c r="Q2001" s="39"/>
      <c r="R2001" s="28"/>
      <c r="S2001" s="28"/>
      <c r="T2001" s="28"/>
      <c r="U2001" s="4"/>
      <c r="V2001" s="3"/>
      <c r="W2001" s="3"/>
    </row>
    <row r="2002" spans="1:23" s="5" customFormat="1">
      <c r="A2002" s="6"/>
      <c r="B2002" s="33"/>
      <c r="C2002" s="35"/>
      <c r="E2002" s="39"/>
      <c r="G2002" s="40"/>
      <c r="H2002" s="14"/>
      <c r="I2002" s="17"/>
      <c r="J2002" s="10"/>
      <c r="M2002" s="39"/>
      <c r="O2002" s="39"/>
      <c r="Q2002" s="39"/>
      <c r="R2002" s="28"/>
      <c r="S2002" s="28"/>
      <c r="T2002" s="28"/>
      <c r="U2002" s="4"/>
      <c r="V2002" s="3"/>
      <c r="W2002" s="3"/>
    </row>
    <row r="2003" spans="1:23" s="5" customFormat="1">
      <c r="A2003" s="6"/>
      <c r="B2003" s="33"/>
      <c r="C2003" s="35"/>
      <c r="E2003" s="39"/>
      <c r="G2003" s="40"/>
      <c r="H2003" s="14"/>
      <c r="I2003" s="17"/>
      <c r="J2003" s="10"/>
      <c r="M2003" s="39"/>
      <c r="O2003" s="39"/>
      <c r="Q2003" s="39"/>
      <c r="R2003" s="28"/>
      <c r="S2003" s="28"/>
      <c r="T2003" s="28"/>
      <c r="U2003" s="4"/>
      <c r="V2003" s="3"/>
      <c r="W2003" s="3"/>
    </row>
    <row r="2004" spans="1:23" s="5" customFormat="1">
      <c r="A2004" s="6"/>
      <c r="B2004" s="33"/>
      <c r="C2004" s="35"/>
      <c r="E2004" s="39"/>
      <c r="G2004" s="40"/>
      <c r="H2004" s="14"/>
      <c r="I2004" s="17"/>
      <c r="J2004" s="10"/>
      <c r="M2004" s="39"/>
      <c r="O2004" s="39"/>
      <c r="Q2004" s="39"/>
      <c r="R2004" s="28"/>
      <c r="S2004" s="28"/>
      <c r="T2004" s="28"/>
      <c r="U2004" s="4"/>
      <c r="V2004" s="3"/>
      <c r="W2004" s="3"/>
    </row>
    <row r="2005" spans="1:23" s="5" customFormat="1">
      <c r="A2005" s="6"/>
      <c r="B2005" s="33"/>
      <c r="C2005" s="35"/>
      <c r="E2005" s="39"/>
      <c r="G2005" s="40"/>
      <c r="H2005" s="14"/>
      <c r="I2005" s="17"/>
      <c r="J2005" s="10"/>
      <c r="M2005" s="39"/>
      <c r="O2005" s="39"/>
      <c r="Q2005" s="39"/>
      <c r="R2005" s="28"/>
      <c r="S2005" s="28"/>
      <c r="T2005" s="28"/>
      <c r="U2005" s="4"/>
      <c r="V2005" s="3"/>
      <c r="W2005" s="3"/>
    </row>
    <row r="2006" spans="1:23" s="5" customFormat="1">
      <c r="A2006" s="6"/>
      <c r="B2006" s="33"/>
      <c r="C2006" s="35"/>
      <c r="E2006" s="39"/>
      <c r="G2006" s="40"/>
      <c r="H2006" s="14"/>
      <c r="I2006" s="17"/>
      <c r="J2006" s="10"/>
      <c r="M2006" s="39"/>
      <c r="O2006" s="39"/>
      <c r="Q2006" s="39"/>
      <c r="R2006" s="28"/>
      <c r="S2006" s="28"/>
      <c r="T2006" s="28"/>
      <c r="U2006" s="4"/>
      <c r="V2006" s="3"/>
      <c r="W2006" s="3"/>
    </row>
    <row r="2007" spans="1:23" s="5" customFormat="1">
      <c r="A2007" s="6"/>
      <c r="B2007" s="33"/>
      <c r="C2007" s="35"/>
      <c r="E2007" s="39"/>
      <c r="G2007" s="40"/>
      <c r="H2007" s="14"/>
      <c r="I2007" s="17"/>
      <c r="J2007" s="10"/>
      <c r="M2007" s="39"/>
      <c r="O2007" s="39"/>
      <c r="Q2007" s="39"/>
      <c r="R2007" s="28"/>
      <c r="S2007" s="28"/>
      <c r="T2007" s="28"/>
      <c r="U2007" s="4"/>
      <c r="V2007" s="3"/>
      <c r="W2007" s="3"/>
    </row>
    <row r="2008" spans="1:23" s="5" customFormat="1">
      <c r="A2008" s="6"/>
      <c r="B2008" s="33"/>
      <c r="C2008" s="35"/>
      <c r="E2008" s="39"/>
      <c r="G2008" s="40"/>
      <c r="H2008" s="14"/>
      <c r="I2008" s="17"/>
      <c r="J2008" s="10"/>
      <c r="M2008" s="39"/>
      <c r="O2008" s="39"/>
      <c r="Q2008" s="39"/>
      <c r="R2008" s="28"/>
      <c r="S2008" s="28"/>
      <c r="T2008" s="28"/>
      <c r="U2008" s="4"/>
      <c r="V2008" s="3"/>
      <c r="W2008" s="3"/>
    </row>
    <row r="2009" spans="1:23" s="5" customFormat="1">
      <c r="A2009" s="6"/>
      <c r="B2009" s="33"/>
      <c r="C2009" s="35"/>
      <c r="E2009" s="39"/>
      <c r="G2009" s="40"/>
      <c r="H2009" s="14"/>
      <c r="I2009" s="17"/>
      <c r="J2009" s="10"/>
      <c r="M2009" s="39"/>
      <c r="O2009" s="39"/>
      <c r="Q2009" s="39"/>
      <c r="R2009" s="28"/>
      <c r="S2009" s="28"/>
      <c r="T2009" s="28"/>
      <c r="U2009" s="4"/>
      <c r="V2009" s="3"/>
      <c r="W2009" s="3"/>
    </row>
    <row r="2010" spans="1:23" s="5" customFormat="1">
      <c r="A2010" s="6"/>
      <c r="B2010" s="33"/>
      <c r="C2010" s="35"/>
      <c r="E2010" s="39"/>
      <c r="G2010" s="40"/>
      <c r="H2010" s="14"/>
      <c r="I2010" s="17"/>
      <c r="J2010" s="10"/>
      <c r="M2010" s="39"/>
      <c r="O2010" s="39"/>
      <c r="Q2010" s="39"/>
      <c r="R2010" s="28"/>
      <c r="S2010" s="28"/>
      <c r="T2010" s="28"/>
      <c r="U2010" s="4"/>
      <c r="V2010" s="3"/>
      <c r="W2010" s="3"/>
    </row>
    <row r="2011" spans="1:23" s="5" customFormat="1">
      <c r="A2011" s="6"/>
      <c r="B2011" s="33"/>
      <c r="C2011" s="35"/>
      <c r="E2011" s="39"/>
      <c r="G2011" s="40"/>
      <c r="H2011" s="14"/>
      <c r="I2011" s="17"/>
      <c r="J2011" s="10"/>
      <c r="M2011" s="39"/>
      <c r="O2011" s="39"/>
      <c r="Q2011" s="39"/>
      <c r="R2011" s="28"/>
      <c r="S2011" s="28"/>
      <c r="T2011" s="28"/>
      <c r="U2011" s="4"/>
      <c r="V2011" s="3"/>
      <c r="W2011" s="3"/>
    </row>
    <row r="2012" spans="1:23" s="5" customFormat="1">
      <c r="A2012" s="6"/>
      <c r="B2012" s="33"/>
      <c r="C2012" s="35"/>
      <c r="E2012" s="39"/>
      <c r="G2012" s="40"/>
      <c r="H2012" s="14"/>
      <c r="I2012" s="17"/>
      <c r="J2012" s="10"/>
      <c r="M2012" s="39"/>
      <c r="O2012" s="39"/>
      <c r="Q2012" s="39"/>
      <c r="R2012" s="28"/>
      <c r="S2012" s="28"/>
      <c r="T2012" s="28"/>
      <c r="U2012" s="4"/>
      <c r="V2012" s="3"/>
      <c r="W2012" s="3"/>
    </row>
    <row r="2013" spans="1:23" s="5" customFormat="1">
      <c r="A2013" s="6"/>
      <c r="B2013" s="33"/>
      <c r="C2013" s="35"/>
      <c r="E2013" s="39"/>
      <c r="G2013" s="40"/>
      <c r="H2013" s="14"/>
      <c r="I2013" s="17"/>
      <c r="J2013" s="10"/>
      <c r="M2013" s="39"/>
      <c r="O2013" s="39"/>
      <c r="Q2013" s="39"/>
      <c r="R2013" s="28"/>
      <c r="S2013" s="28"/>
      <c r="T2013" s="28"/>
      <c r="U2013" s="4"/>
      <c r="V2013" s="3"/>
      <c r="W2013" s="3"/>
    </row>
    <row r="2014" spans="1:23" s="5" customFormat="1">
      <c r="A2014" s="6"/>
      <c r="B2014" s="33"/>
      <c r="C2014" s="35"/>
      <c r="E2014" s="39"/>
      <c r="G2014" s="40"/>
      <c r="H2014" s="14"/>
      <c r="I2014" s="17"/>
      <c r="J2014" s="10"/>
      <c r="M2014" s="39"/>
      <c r="O2014" s="39"/>
      <c r="Q2014" s="39"/>
      <c r="R2014" s="28"/>
      <c r="S2014" s="28"/>
      <c r="T2014" s="28"/>
      <c r="U2014" s="4"/>
      <c r="V2014" s="3"/>
      <c r="W2014" s="3"/>
    </row>
    <row r="2015" spans="1:23" s="5" customFormat="1">
      <c r="A2015" s="6"/>
      <c r="B2015" s="33"/>
      <c r="C2015" s="35"/>
      <c r="E2015" s="39"/>
      <c r="G2015" s="40"/>
      <c r="H2015" s="15"/>
      <c r="I2015" s="17"/>
      <c r="J2015" s="10"/>
      <c r="M2015" s="39"/>
      <c r="O2015" s="39"/>
      <c r="Q2015" s="39"/>
      <c r="R2015" s="28"/>
      <c r="S2015" s="28"/>
      <c r="T2015" s="28"/>
      <c r="U2015" s="4"/>
      <c r="V2015" s="3"/>
      <c r="W2015" s="3"/>
    </row>
    <row r="2016" spans="1:23" s="5" customFormat="1">
      <c r="A2016" s="6"/>
      <c r="B2016" s="33"/>
      <c r="C2016" s="35"/>
      <c r="E2016" s="39"/>
      <c r="G2016" s="40"/>
      <c r="H2016" s="15"/>
      <c r="I2016" s="17"/>
      <c r="J2016" s="10"/>
      <c r="M2016" s="39"/>
      <c r="O2016" s="39"/>
      <c r="Q2016" s="39"/>
      <c r="R2016" s="28"/>
      <c r="S2016" s="28"/>
      <c r="T2016" s="28"/>
      <c r="U2016" s="4"/>
      <c r="V2016" s="3"/>
      <c r="W2016" s="3"/>
    </row>
    <row r="2017" spans="1:23" s="5" customFormat="1">
      <c r="A2017" s="6"/>
      <c r="B2017" s="33"/>
      <c r="C2017" s="35"/>
      <c r="E2017" s="39"/>
      <c r="G2017" s="40"/>
      <c r="H2017" s="15"/>
      <c r="I2017" s="17"/>
      <c r="J2017" s="10"/>
      <c r="M2017" s="39"/>
      <c r="O2017" s="39"/>
      <c r="Q2017" s="39"/>
      <c r="R2017" s="28"/>
      <c r="S2017" s="28"/>
      <c r="T2017" s="28"/>
      <c r="U2017" s="4"/>
      <c r="V2017" s="3"/>
      <c r="W2017" s="3"/>
    </row>
    <row r="2018" spans="1:23" s="5" customFormat="1">
      <c r="A2018" s="6"/>
      <c r="B2018" s="33"/>
      <c r="C2018" s="35"/>
      <c r="E2018" s="39"/>
      <c r="G2018" s="40"/>
      <c r="H2018" s="14"/>
      <c r="I2018" s="17"/>
      <c r="J2018" s="10"/>
      <c r="M2018" s="39"/>
      <c r="O2018" s="39"/>
      <c r="Q2018" s="39"/>
      <c r="R2018" s="28"/>
      <c r="S2018" s="28"/>
      <c r="T2018" s="28"/>
      <c r="U2018" s="4"/>
      <c r="V2018" s="3"/>
      <c r="W2018" s="3"/>
    </row>
    <row r="2019" spans="1:23" s="5" customFormat="1">
      <c r="A2019" s="6"/>
      <c r="B2019" s="33"/>
      <c r="C2019" s="35"/>
      <c r="E2019" s="39"/>
      <c r="G2019" s="40"/>
      <c r="H2019" s="14"/>
      <c r="I2019" s="17"/>
      <c r="J2019" s="10"/>
      <c r="M2019" s="39"/>
      <c r="O2019" s="39"/>
      <c r="Q2019" s="39"/>
      <c r="R2019" s="28"/>
      <c r="S2019" s="28"/>
      <c r="T2019" s="28"/>
      <c r="U2019" s="4"/>
      <c r="V2019" s="3"/>
      <c r="W2019" s="3"/>
    </row>
    <row r="2020" spans="1:23" s="5" customFormat="1">
      <c r="A2020" s="6"/>
      <c r="B2020" s="33"/>
      <c r="C2020" s="35"/>
      <c r="E2020" s="39"/>
      <c r="G2020" s="40"/>
      <c r="H2020" s="15"/>
      <c r="I2020" s="17"/>
      <c r="J2020" s="10"/>
      <c r="M2020" s="39"/>
      <c r="O2020" s="39"/>
      <c r="Q2020" s="39"/>
      <c r="R2020" s="28"/>
      <c r="S2020" s="28"/>
      <c r="T2020" s="28"/>
      <c r="U2020" s="4"/>
      <c r="V2020" s="3"/>
      <c r="W2020" s="3"/>
    </row>
    <row r="2021" spans="1:23" s="5" customFormat="1">
      <c r="A2021" s="6"/>
      <c r="B2021" s="33"/>
      <c r="C2021" s="35"/>
      <c r="E2021" s="39"/>
      <c r="G2021" s="40"/>
      <c r="H2021" s="15"/>
      <c r="I2021" s="17"/>
      <c r="J2021" s="10"/>
      <c r="M2021" s="39"/>
      <c r="O2021" s="39"/>
      <c r="Q2021" s="39"/>
      <c r="R2021" s="28"/>
      <c r="S2021" s="28"/>
      <c r="T2021" s="28"/>
      <c r="U2021" s="4"/>
      <c r="V2021" s="3"/>
      <c r="W2021" s="3"/>
    </row>
    <row r="2022" spans="1:23" s="5" customFormat="1">
      <c r="A2022" s="6"/>
      <c r="B2022" s="33"/>
      <c r="C2022" s="35"/>
      <c r="E2022" s="39"/>
      <c r="G2022" s="40"/>
      <c r="H2022" s="15"/>
      <c r="I2022" s="17"/>
      <c r="J2022" s="10"/>
      <c r="M2022" s="39"/>
      <c r="O2022" s="39"/>
      <c r="Q2022" s="39"/>
      <c r="R2022" s="28"/>
      <c r="S2022" s="28"/>
      <c r="T2022" s="28"/>
      <c r="U2022" s="4"/>
      <c r="V2022" s="3"/>
      <c r="W2022" s="3"/>
    </row>
    <row r="2023" spans="1:23" s="5" customFormat="1">
      <c r="A2023" s="6"/>
      <c r="B2023" s="33"/>
      <c r="C2023" s="35"/>
      <c r="E2023" s="39"/>
      <c r="G2023" s="40"/>
      <c r="H2023" s="15"/>
      <c r="I2023" s="17"/>
      <c r="J2023" s="10"/>
      <c r="M2023" s="39"/>
      <c r="O2023" s="39"/>
      <c r="Q2023" s="39"/>
      <c r="R2023" s="28"/>
      <c r="S2023" s="28"/>
      <c r="T2023" s="28"/>
      <c r="U2023" s="4"/>
      <c r="V2023" s="3"/>
      <c r="W2023" s="3"/>
    </row>
    <row r="2024" spans="1:23" s="5" customFormat="1">
      <c r="A2024" s="6"/>
      <c r="B2024" s="33"/>
      <c r="C2024" s="35"/>
      <c r="E2024" s="39"/>
      <c r="G2024" s="40"/>
      <c r="H2024" s="14"/>
      <c r="I2024" s="17"/>
      <c r="J2024" s="10"/>
      <c r="M2024" s="39"/>
      <c r="O2024" s="39"/>
      <c r="Q2024" s="39"/>
      <c r="R2024" s="28"/>
      <c r="S2024" s="28"/>
      <c r="T2024" s="28"/>
      <c r="U2024" s="4"/>
      <c r="V2024" s="3"/>
      <c r="W2024" s="3"/>
    </row>
    <row r="2025" spans="1:23" s="5" customFormat="1">
      <c r="A2025" s="6"/>
      <c r="B2025" s="33"/>
      <c r="C2025" s="35"/>
      <c r="E2025" s="39"/>
      <c r="G2025" s="40"/>
      <c r="H2025" s="15"/>
      <c r="I2025" s="17"/>
      <c r="J2025" s="10"/>
      <c r="M2025" s="39"/>
      <c r="O2025" s="39"/>
      <c r="Q2025" s="39"/>
      <c r="R2025" s="28"/>
      <c r="S2025" s="28"/>
      <c r="T2025" s="28"/>
      <c r="U2025" s="4"/>
      <c r="V2025" s="3"/>
      <c r="W2025" s="3"/>
    </row>
    <row r="2026" spans="1:23" s="5" customFormat="1">
      <c r="A2026" s="6"/>
      <c r="B2026" s="33"/>
      <c r="C2026" s="35"/>
      <c r="E2026" s="39"/>
      <c r="G2026" s="40"/>
      <c r="H2026" s="14"/>
      <c r="I2026" s="17"/>
      <c r="J2026" s="10"/>
      <c r="M2026" s="39"/>
      <c r="O2026" s="39"/>
      <c r="Q2026" s="39"/>
      <c r="R2026" s="28"/>
      <c r="S2026" s="28"/>
      <c r="T2026" s="28"/>
      <c r="U2026" s="4"/>
      <c r="V2026" s="3"/>
      <c r="W2026" s="3"/>
    </row>
    <row r="2027" spans="1:23" s="5" customFormat="1">
      <c r="A2027" s="6"/>
      <c r="B2027" s="33"/>
      <c r="C2027" s="35"/>
      <c r="E2027" s="39"/>
      <c r="G2027" s="40"/>
      <c r="H2027" s="14"/>
      <c r="I2027" s="17"/>
      <c r="J2027" s="10"/>
      <c r="M2027" s="39"/>
      <c r="O2027" s="39"/>
      <c r="Q2027" s="39"/>
      <c r="R2027" s="28"/>
      <c r="S2027" s="28"/>
      <c r="T2027" s="28"/>
      <c r="U2027" s="4"/>
      <c r="V2027" s="3"/>
      <c r="W2027" s="3"/>
    </row>
    <row r="2028" spans="1:23" s="5" customFormat="1">
      <c r="A2028" s="6"/>
      <c r="B2028" s="33"/>
      <c r="C2028" s="35"/>
      <c r="E2028" s="39"/>
      <c r="G2028" s="40"/>
      <c r="H2028" s="15"/>
      <c r="I2028" s="17"/>
      <c r="J2028" s="10"/>
      <c r="M2028" s="39"/>
      <c r="O2028" s="39"/>
      <c r="Q2028" s="39"/>
      <c r="R2028" s="28"/>
      <c r="S2028" s="28"/>
      <c r="T2028" s="28"/>
      <c r="U2028" s="4"/>
      <c r="V2028" s="3"/>
      <c r="W2028" s="3"/>
    </row>
    <row r="2029" spans="1:23" s="5" customFormat="1">
      <c r="A2029" s="6"/>
      <c r="B2029" s="33"/>
      <c r="C2029" s="35"/>
      <c r="E2029" s="39"/>
      <c r="G2029" s="40"/>
      <c r="H2029" s="15"/>
      <c r="I2029" s="17"/>
      <c r="J2029" s="10"/>
      <c r="M2029" s="39"/>
      <c r="O2029" s="39"/>
      <c r="Q2029" s="39"/>
      <c r="R2029" s="28"/>
      <c r="S2029" s="28"/>
      <c r="T2029" s="28"/>
      <c r="U2029" s="4"/>
      <c r="V2029" s="3"/>
      <c r="W2029" s="3"/>
    </row>
    <row r="2030" spans="1:23" s="5" customFormat="1">
      <c r="A2030" s="6"/>
      <c r="B2030" s="33"/>
      <c r="C2030" s="35"/>
      <c r="E2030" s="39"/>
      <c r="G2030" s="40"/>
      <c r="H2030" s="15"/>
      <c r="I2030" s="17"/>
      <c r="J2030" s="10"/>
      <c r="M2030" s="39"/>
      <c r="O2030" s="39"/>
      <c r="Q2030" s="39"/>
      <c r="R2030" s="28"/>
      <c r="S2030" s="28"/>
      <c r="T2030" s="28"/>
      <c r="U2030" s="4"/>
      <c r="V2030" s="3"/>
      <c r="W2030" s="3"/>
    </row>
    <row r="2031" spans="1:23" s="5" customFormat="1">
      <c r="A2031" s="6"/>
      <c r="B2031" s="33"/>
      <c r="C2031" s="35"/>
      <c r="E2031" s="39"/>
      <c r="G2031" s="40"/>
      <c r="H2031" s="15"/>
      <c r="I2031" s="17"/>
      <c r="J2031" s="10"/>
      <c r="M2031" s="39"/>
      <c r="O2031" s="39"/>
      <c r="Q2031" s="39"/>
      <c r="R2031" s="28"/>
      <c r="S2031" s="28"/>
      <c r="T2031" s="28"/>
      <c r="U2031" s="4"/>
      <c r="V2031" s="3"/>
      <c r="W2031" s="3"/>
    </row>
    <row r="2032" spans="1:23" s="5" customFormat="1">
      <c r="A2032" s="6"/>
      <c r="B2032" s="33"/>
      <c r="C2032" s="35"/>
      <c r="E2032" s="39"/>
      <c r="G2032" s="40"/>
      <c r="H2032" s="15"/>
      <c r="I2032" s="17"/>
      <c r="J2032" s="10"/>
      <c r="M2032" s="39"/>
      <c r="O2032" s="39"/>
      <c r="Q2032" s="39"/>
      <c r="R2032" s="28"/>
      <c r="S2032" s="28"/>
      <c r="T2032" s="28"/>
      <c r="U2032" s="4"/>
      <c r="V2032" s="3"/>
      <c r="W2032" s="3"/>
    </row>
    <row r="2033" spans="1:23" s="5" customFormat="1">
      <c r="A2033" s="6"/>
      <c r="B2033" s="33"/>
      <c r="C2033" s="35"/>
      <c r="E2033" s="39"/>
      <c r="G2033" s="40"/>
      <c r="H2033" s="15"/>
      <c r="I2033" s="17"/>
      <c r="J2033" s="10"/>
      <c r="M2033" s="39"/>
      <c r="O2033" s="39"/>
      <c r="Q2033" s="39"/>
      <c r="R2033" s="28"/>
      <c r="S2033" s="28"/>
      <c r="T2033" s="28"/>
      <c r="U2033" s="4"/>
      <c r="V2033" s="3"/>
      <c r="W2033" s="3"/>
    </row>
    <row r="2034" spans="1:23" s="5" customFormat="1">
      <c r="A2034" s="6"/>
      <c r="B2034" s="33"/>
      <c r="C2034" s="35"/>
      <c r="E2034" s="39"/>
      <c r="G2034" s="40"/>
      <c r="H2034" s="14"/>
      <c r="I2034" s="17"/>
      <c r="J2034" s="10"/>
      <c r="M2034" s="39"/>
      <c r="O2034" s="39"/>
      <c r="Q2034" s="39"/>
      <c r="R2034" s="28"/>
      <c r="S2034" s="28"/>
      <c r="T2034" s="28"/>
      <c r="U2034" s="4"/>
      <c r="V2034" s="3"/>
      <c r="W2034" s="3"/>
    </row>
    <row r="2035" spans="1:23" s="5" customFormat="1">
      <c r="A2035" s="6"/>
      <c r="B2035" s="33"/>
      <c r="C2035" s="35"/>
      <c r="E2035" s="39"/>
      <c r="G2035" s="40"/>
      <c r="H2035" s="14"/>
      <c r="I2035" s="17"/>
      <c r="J2035" s="10"/>
      <c r="M2035" s="39"/>
      <c r="O2035" s="39"/>
      <c r="Q2035" s="39"/>
      <c r="R2035" s="28"/>
      <c r="S2035" s="28"/>
      <c r="T2035" s="28"/>
      <c r="U2035" s="4"/>
      <c r="V2035" s="3"/>
      <c r="W2035" s="3"/>
    </row>
    <row r="2036" spans="1:23" s="5" customFormat="1">
      <c r="A2036" s="6"/>
      <c r="B2036" s="33"/>
      <c r="C2036" s="35"/>
      <c r="E2036" s="39"/>
      <c r="G2036" s="40"/>
      <c r="H2036" s="15"/>
      <c r="I2036" s="17"/>
      <c r="J2036" s="10"/>
      <c r="M2036" s="39"/>
      <c r="O2036" s="39"/>
      <c r="Q2036" s="39"/>
      <c r="R2036" s="28"/>
      <c r="S2036" s="28"/>
      <c r="T2036" s="28"/>
      <c r="U2036" s="4"/>
      <c r="V2036" s="3"/>
      <c r="W2036" s="3"/>
    </row>
    <row r="2037" spans="1:23" s="5" customFormat="1">
      <c r="A2037" s="6"/>
      <c r="B2037" s="33"/>
      <c r="C2037" s="35"/>
      <c r="E2037" s="39"/>
      <c r="G2037" s="40"/>
      <c r="H2037" s="15"/>
      <c r="I2037" s="17"/>
      <c r="J2037" s="10"/>
      <c r="M2037" s="39"/>
      <c r="O2037" s="39"/>
      <c r="Q2037" s="39"/>
      <c r="R2037" s="28"/>
      <c r="S2037" s="28"/>
      <c r="T2037" s="28"/>
      <c r="U2037" s="4"/>
      <c r="V2037" s="3"/>
      <c r="W2037" s="3"/>
    </row>
    <row r="2038" spans="1:23" s="5" customFormat="1">
      <c r="A2038" s="6"/>
      <c r="B2038" s="33"/>
      <c r="C2038" s="35"/>
      <c r="E2038" s="39"/>
      <c r="G2038" s="40"/>
      <c r="H2038" s="14"/>
      <c r="I2038" s="17"/>
      <c r="J2038" s="10"/>
      <c r="M2038" s="39"/>
      <c r="O2038" s="39"/>
      <c r="Q2038" s="39"/>
      <c r="R2038" s="28"/>
      <c r="S2038" s="28"/>
      <c r="T2038" s="28"/>
      <c r="U2038" s="4"/>
      <c r="V2038" s="3"/>
      <c r="W2038" s="3"/>
    </row>
    <row r="2039" spans="1:23" s="5" customFormat="1">
      <c r="A2039" s="6"/>
      <c r="B2039" s="33"/>
      <c r="C2039" s="35"/>
      <c r="E2039" s="39"/>
      <c r="G2039" s="40"/>
      <c r="H2039" s="14"/>
      <c r="I2039" s="17"/>
      <c r="J2039" s="10"/>
      <c r="M2039" s="39"/>
      <c r="O2039" s="39"/>
      <c r="Q2039" s="39"/>
      <c r="R2039" s="28"/>
      <c r="S2039" s="28"/>
      <c r="T2039" s="28"/>
      <c r="U2039" s="4"/>
      <c r="V2039" s="3"/>
      <c r="W2039" s="3"/>
    </row>
    <row r="2040" spans="1:23" s="5" customFormat="1">
      <c r="A2040" s="6"/>
      <c r="B2040" s="33"/>
      <c r="C2040" s="35"/>
      <c r="E2040" s="39"/>
      <c r="G2040" s="40"/>
      <c r="H2040" s="15"/>
      <c r="I2040" s="17"/>
      <c r="J2040" s="10"/>
      <c r="M2040" s="39"/>
      <c r="O2040" s="39"/>
      <c r="Q2040" s="39"/>
      <c r="R2040" s="28"/>
      <c r="S2040" s="28"/>
      <c r="T2040" s="28"/>
      <c r="U2040" s="4"/>
      <c r="V2040" s="3"/>
      <c r="W2040" s="3"/>
    </row>
    <row r="2041" spans="1:23" s="5" customFormat="1">
      <c r="A2041" s="6"/>
      <c r="B2041" s="33"/>
      <c r="C2041" s="35"/>
      <c r="E2041" s="39"/>
      <c r="G2041" s="40"/>
      <c r="H2041" s="14"/>
      <c r="I2041" s="17"/>
      <c r="J2041" s="10"/>
      <c r="M2041" s="39"/>
      <c r="O2041" s="39"/>
      <c r="Q2041" s="39"/>
      <c r="R2041" s="28"/>
      <c r="S2041" s="28"/>
      <c r="T2041" s="28"/>
      <c r="U2041" s="4"/>
      <c r="V2041" s="3"/>
      <c r="W2041" s="3"/>
    </row>
    <row r="2042" spans="1:23" s="5" customFormat="1">
      <c r="A2042" s="6"/>
      <c r="B2042" s="33"/>
      <c r="C2042" s="35"/>
      <c r="E2042" s="39"/>
      <c r="G2042" s="40"/>
      <c r="H2042" s="14"/>
      <c r="I2042" s="17"/>
      <c r="J2042" s="10"/>
      <c r="M2042" s="39"/>
      <c r="O2042" s="39"/>
      <c r="Q2042" s="39"/>
      <c r="R2042" s="28"/>
      <c r="S2042" s="28"/>
      <c r="T2042" s="28"/>
      <c r="U2042" s="4"/>
      <c r="V2042" s="3"/>
      <c r="W2042" s="3"/>
    </row>
    <row r="2043" spans="1:23" s="5" customFormat="1">
      <c r="A2043" s="6"/>
      <c r="B2043" s="33"/>
      <c r="C2043" s="35"/>
      <c r="E2043" s="39"/>
      <c r="G2043" s="40"/>
      <c r="H2043" s="14"/>
      <c r="I2043" s="17"/>
      <c r="J2043" s="10"/>
      <c r="M2043" s="39"/>
      <c r="O2043" s="39"/>
      <c r="Q2043" s="39"/>
      <c r="R2043" s="28"/>
      <c r="S2043" s="28"/>
      <c r="T2043" s="28"/>
      <c r="U2043" s="4"/>
      <c r="V2043" s="3"/>
      <c r="W2043" s="3"/>
    </row>
    <row r="2044" spans="1:23" s="5" customFormat="1">
      <c r="A2044" s="6"/>
      <c r="B2044" s="33"/>
      <c r="C2044" s="35"/>
      <c r="E2044" s="39"/>
      <c r="G2044" s="40"/>
      <c r="H2044" s="14"/>
      <c r="I2044" s="17"/>
      <c r="J2044" s="10"/>
      <c r="M2044" s="39"/>
      <c r="O2044" s="39"/>
      <c r="Q2044" s="39"/>
      <c r="R2044" s="28"/>
      <c r="S2044" s="28"/>
      <c r="T2044" s="28"/>
      <c r="U2044" s="4"/>
      <c r="V2044" s="3"/>
      <c r="W2044" s="3"/>
    </row>
    <row r="2045" spans="1:23" s="5" customFormat="1">
      <c r="A2045" s="6"/>
      <c r="B2045" s="33"/>
      <c r="C2045" s="35"/>
      <c r="E2045" s="39"/>
      <c r="G2045" s="40"/>
      <c r="H2045" s="15"/>
      <c r="I2045" s="17"/>
      <c r="J2045" s="10"/>
      <c r="M2045" s="39"/>
      <c r="O2045" s="39"/>
      <c r="Q2045" s="39"/>
      <c r="R2045" s="28"/>
      <c r="S2045" s="28"/>
      <c r="T2045" s="28"/>
      <c r="U2045" s="4"/>
      <c r="V2045" s="3"/>
      <c r="W2045" s="3"/>
    </row>
    <row r="2046" spans="1:23" s="5" customFormat="1">
      <c r="A2046" s="6"/>
      <c r="B2046" s="33"/>
      <c r="C2046" s="35"/>
      <c r="E2046" s="39"/>
      <c r="G2046" s="40"/>
      <c r="H2046" s="15"/>
      <c r="I2046" s="17"/>
      <c r="J2046" s="10"/>
      <c r="M2046" s="39"/>
      <c r="O2046" s="39"/>
      <c r="Q2046" s="39"/>
      <c r="R2046" s="28"/>
      <c r="S2046" s="28"/>
      <c r="T2046" s="28"/>
      <c r="U2046" s="4"/>
      <c r="V2046" s="3"/>
      <c r="W2046" s="3"/>
    </row>
    <row r="2047" spans="1:23" s="5" customFormat="1">
      <c r="A2047" s="6"/>
      <c r="B2047" s="33"/>
      <c r="C2047" s="35"/>
      <c r="E2047" s="39"/>
      <c r="G2047" s="40"/>
      <c r="H2047" s="15"/>
      <c r="I2047" s="17"/>
      <c r="J2047" s="10"/>
      <c r="M2047" s="39"/>
      <c r="O2047" s="39"/>
      <c r="Q2047" s="39"/>
      <c r="R2047" s="28"/>
      <c r="S2047" s="28"/>
      <c r="T2047" s="28"/>
      <c r="U2047" s="4"/>
      <c r="V2047" s="3"/>
      <c r="W2047" s="3"/>
    </row>
    <row r="2048" spans="1:23" s="5" customFormat="1">
      <c r="A2048" s="6"/>
      <c r="B2048" s="33"/>
      <c r="C2048" s="35"/>
      <c r="E2048" s="39"/>
      <c r="G2048" s="40"/>
      <c r="H2048" s="15"/>
      <c r="I2048" s="17"/>
      <c r="J2048" s="10"/>
      <c r="M2048" s="39"/>
      <c r="O2048" s="39"/>
      <c r="Q2048" s="39"/>
      <c r="R2048" s="28"/>
      <c r="S2048" s="28"/>
      <c r="T2048" s="28"/>
      <c r="U2048" s="4"/>
      <c r="V2048" s="3"/>
      <c r="W2048" s="3"/>
    </row>
    <row r="2049" spans="1:23" s="5" customFormat="1">
      <c r="A2049" s="6"/>
      <c r="B2049" s="33"/>
      <c r="C2049" s="35"/>
      <c r="E2049" s="39"/>
      <c r="G2049" s="40"/>
      <c r="H2049" s="15"/>
      <c r="I2049" s="17"/>
      <c r="J2049" s="10"/>
      <c r="M2049" s="39"/>
      <c r="O2049" s="39"/>
      <c r="Q2049" s="39"/>
      <c r="R2049" s="28"/>
      <c r="S2049" s="28"/>
      <c r="T2049" s="28"/>
      <c r="U2049" s="4"/>
      <c r="V2049" s="3"/>
      <c r="W2049" s="3"/>
    </row>
    <row r="2050" spans="1:23" s="5" customFormat="1">
      <c r="A2050" s="6"/>
      <c r="B2050" s="33"/>
      <c r="C2050" s="35"/>
      <c r="E2050" s="39"/>
      <c r="G2050" s="40"/>
      <c r="H2050" s="15"/>
      <c r="I2050" s="17"/>
      <c r="J2050" s="10"/>
      <c r="M2050" s="39"/>
      <c r="O2050" s="39"/>
      <c r="Q2050" s="39"/>
      <c r="R2050" s="28"/>
      <c r="S2050" s="28"/>
      <c r="T2050" s="28"/>
      <c r="U2050" s="4"/>
      <c r="V2050" s="3"/>
      <c r="W2050" s="3"/>
    </row>
    <row r="2051" spans="1:23" s="5" customFormat="1">
      <c r="A2051" s="6"/>
      <c r="B2051" s="33"/>
      <c r="C2051" s="35"/>
      <c r="E2051" s="39"/>
      <c r="G2051" s="40"/>
      <c r="H2051" s="14"/>
      <c r="I2051" s="17"/>
      <c r="J2051" s="10"/>
      <c r="M2051" s="39"/>
      <c r="O2051" s="39"/>
      <c r="Q2051" s="39"/>
      <c r="R2051" s="28"/>
      <c r="S2051" s="28"/>
      <c r="T2051" s="28"/>
      <c r="U2051" s="4"/>
      <c r="V2051" s="3"/>
      <c r="W2051" s="3"/>
    </row>
    <row r="2052" spans="1:23" s="5" customFormat="1">
      <c r="A2052" s="6"/>
      <c r="B2052" s="33"/>
      <c r="C2052" s="35"/>
      <c r="E2052" s="39"/>
      <c r="G2052" s="40"/>
      <c r="H2052" s="14"/>
      <c r="I2052" s="17"/>
      <c r="J2052" s="10"/>
      <c r="M2052" s="39"/>
      <c r="O2052" s="39"/>
      <c r="Q2052" s="39"/>
      <c r="R2052" s="28"/>
      <c r="S2052" s="28"/>
      <c r="T2052" s="28"/>
      <c r="U2052" s="4"/>
      <c r="V2052" s="3"/>
      <c r="W2052" s="3"/>
    </row>
    <row r="2053" spans="1:23" s="5" customFormat="1">
      <c r="A2053" s="6"/>
      <c r="B2053" s="33"/>
      <c r="C2053" s="35"/>
      <c r="E2053" s="39"/>
      <c r="G2053" s="40"/>
      <c r="H2053" s="15"/>
      <c r="I2053" s="17"/>
      <c r="J2053" s="10"/>
      <c r="M2053" s="39"/>
      <c r="O2053" s="39"/>
      <c r="Q2053" s="39"/>
      <c r="R2053" s="28"/>
      <c r="S2053" s="28"/>
      <c r="T2053" s="28"/>
      <c r="U2053" s="4"/>
      <c r="V2053" s="3"/>
      <c r="W2053" s="3"/>
    </row>
    <row r="2054" spans="1:23" s="5" customFormat="1">
      <c r="A2054" s="6"/>
      <c r="B2054" s="33"/>
      <c r="C2054" s="35"/>
      <c r="E2054" s="39"/>
      <c r="G2054" s="40"/>
      <c r="H2054" s="14"/>
      <c r="I2054" s="17"/>
      <c r="J2054" s="10"/>
      <c r="M2054" s="39"/>
      <c r="O2054" s="39"/>
      <c r="Q2054" s="39"/>
      <c r="R2054" s="28"/>
      <c r="S2054" s="28"/>
      <c r="T2054" s="28"/>
      <c r="U2054" s="4"/>
      <c r="V2054" s="3"/>
      <c r="W2054" s="3"/>
    </row>
    <row r="2055" spans="1:23" s="5" customFormat="1">
      <c r="A2055" s="6"/>
      <c r="B2055" s="33"/>
      <c r="C2055" s="35"/>
      <c r="E2055" s="39"/>
      <c r="G2055" s="40"/>
      <c r="H2055" s="14"/>
      <c r="I2055" s="17"/>
      <c r="J2055" s="10"/>
      <c r="M2055" s="39"/>
      <c r="O2055" s="39"/>
      <c r="Q2055" s="39"/>
      <c r="R2055" s="28"/>
      <c r="S2055" s="28"/>
      <c r="T2055" s="28"/>
      <c r="U2055" s="4"/>
      <c r="V2055" s="3"/>
      <c r="W2055" s="3"/>
    </row>
    <row r="2056" spans="1:23" s="5" customFormat="1">
      <c r="A2056" s="6"/>
      <c r="B2056" s="33"/>
      <c r="C2056" s="35"/>
      <c r="E2056" s="39"/>
      <c r="G2056" s="40"/>
      <c r="H2056" s="15"/>
      <c r="I2056" s="17"/>
      <c r="J2056" s="10"/>
      <c r="M2056" s="39"/>
      <c r="O2056" s="39"/>
      <c r="Q2056" s="39"/>
      <c r="R2056" s="28"/>
      <c r="S2056" s="28"/>
      <c r="T2056" s="28"/>
      <c r="U2056" s="4"/>
      <c r="V2056" s="3"/>
      <c r="W2056" s="3"/>
    </row>
    <row r="2057" spans="1:23" s="5" customFormat="1">
      <c r="A2057" s="6"/>
      <c r="B2057" s="33"/>
      <c r="C2057" s="35"/>
      <c r="E2057" s="39"/>
      <c r="G2057" s="40"/>
      <c r="H2057" s="15"/>
      <c r="I2057" s="17"/>
      <c r="J2057" s="10"/>
      <c r="M2057" s="39"/>
      <c r="O2057" s="39"/>
      <c r="Q2057" s="39"/>
      <c r="R2057" s="28"/>
      <c r="S2057" s="28"/>
      <c r="T2057" s="28"/>
      <c r="U2057" s="4"/>
      <c r="V2057" s="3"/>
      <c r="W2057" s="3"/>
    </row>
    <row r="2058" spans="1:23" s="5" customFormat="1">
      <c r="A2058" s="6"/>
      <c r="B2058" s="33"/>
      <c r="C2058" s="35"/>
      <c r="E2058" s="39"/>
      <c r="G2058" s="40"/>
      <c r="H2058" s="14"/>
      <c r="I2058" s="17"/>
      <c r="J2058" s="10"/>
      <c r="M2058" s="39"/>
      <c r="O2058" s="39"/>
      <c r="Q2058" s="39"/>
      <c r="R2058" s="28"/>
      <c r="S2058" s="28"/>
      <c r="T2058" s="28"/>
      <c r="U2058" s="4"/>
      <c r="V2058" s="3"/>
      <c r="W2058" s="3"/>
    </row>
    <row r="2059" spans="1:23" s="5" customFormat="1">
      <c r="A2059" s="6"/>
      <c r="B2059" s="33"/>
      <c r="C2059" s="35"/>
      <c r="E2059" s="39"/>
      <c r="G2059" s="40"/>
      <c r="H2059" s="14"/>
      <c r="I2059" s="17"/>
      <c r="J2059" s="10"/>
      <c r="M2059" s="39"/>
      <c r="O2059" s="39"/>
      <c r="Q2059" s="39"/>
      <c r="R2059" s="28"/>
      <c r="S2059" s="28"/>
      <c r="T2059" s="28"/>
      <c r="U2059" s="4"/>
      <c r="V2059" s="3"/>
      <c r="W2059" s="3"/>
    </row>
    <row r="2060" spans="1:23" s="5" customFormat="1">
      <c r="A2060" s="6"/>
      <c r="B2060" s="33"/>
      <c r="C2060" s="35"/>
      <c r="E2060" s="39"/>
      <c r="G2060" s="40"/>
      <c r="H2060" s="15"/>
      <c r="I2060" s="17"/>
      <c r="J2060" s="10"/>
      <c r="M2060" s="39"/>
      <c r="O2060" s="39"/>
      <c r="Q2060" s="39"/>
      <c r="R2060" s="28"/>
      <c r="S2060" s="28"/>
      <c r="T2060" s="28"/>
      <c r="U2060" s="4"/>
      <c r="V2060" s="3"/>
      <c r="W2060" s="3"/>
    </row>
    <row r="2061" spans="1:23" s="5" customFormat="1">
      <c r="A2061" s="6"/>
      <c r="B2061" s="33"/>
      <c r="C2061" s="35"/>
      <c r="E2061" s="39"/>
      <c r="G2061" s="40"/>
      <c r="H2061" s="14"/>
      <c r="I2061" s="17"/>
      <c r="J2061" s="10"/>
      <c r="M2061" s="39"/>
      <c r="O2061" s="39"/>
      <c r="Q2061" s="39"/>
      <c r="R2061" s="28"/>
      <c r="S2061" s="28"/>
      <c r="T2061" s="28"/>
      <c r="U2061" s="4"/>
      <c r="V2061" s="3"/>
      <c r="W2061" s="3"/>
    </row>
    <row r="2062" spans="1:23" s="5" customFormat="1">
      <c r="A2062" s="6"/>
      <c r="B2062" s="33"/>
      <c r="C2062" s="35"/>
      <c r="E2062" s="39"/>
      <c r="G2062" s="40"/>
      <c r="H2062" s="14"/>
      <c r="I2062" s="17"/>
      <c r="J2062" s="10"/>
      <c r="M2062" s="39"/>
      <c r="O2062" s="39"/>
      <c r="Q2062" s="39"/>
      <c r="R2062" s="28"/>
      <c r="S2062" s="28"/>
      <c r="T2062" s="28"/>
      <c r="U2062" s="4"/>
      <c r="V2062" s="3"/>
      <c r="W2062" s="3"/>
    </row>
    <row r="2063" spans="1:23" s="5" customFormat="1">
      <c r="A2063" s="6"/>
      <c r="B2063" s="33"/>
      <c r="C2063" s="35"/>
      <c r="E2063" s="39"/>
      <c r="G2063" s="40"/>
      <c r="H2063" s="14"/>
      <c r="I2063" s="17"/>
      <c r="J2063" s="10"/>
      <c r="M2063" s="39"/>
      <c r="O2063" s="39"/>
      <c r="Q2063" s="39"/>
      <c r="R2063" s="28"/>
      <c r="S2063" s="28"/>
      <c r="T2063" s="28"/>
      <c r="U2063" s="4"/>
      <c r="V2063" s="3"/>
      <c r="W2063" s="3"/>
    </row>
    <row r="2064" spans="1:23" s="5" customFormat="1">
      <c r="A2064" s="6"/>
      <c r="B2064" s="33"/>
      <c r="C2064" s="35"/>
      <c r="E2064" s="39"/>
      <c r="G2064" s="40"/>
      <c r="H2064" s="15"/>
      <c r="I2064" s="17"/>
      <c r="J2064" s="10"/>
      <c r="M2064" s="39"/>
      <c r="O2064" s="39"/>
      <c r="Q2064" s="39"/>
      <c r="R2064" s="28"/>
      <c r="S2064" s="28"/>
      <c r="T2064" s="28"/>
      <c r="U2064" s="4"/>
      <c r="V2064" s="3"/>
      <c r="W2064" s="3"/>
    </row>
    <row r="2065" spans="1:23" s="5" customFormat="1">
      <c r="A2065" s="6"/>
      <c r="B2065" s="33"/>
      <c r="C2065" s="35"/>
      <c r="E2065" s="39"/>
      <c r="G2065" s="40"/>
      <c r="H2065" s="15"/>
      <c r="I2065" s="17"/>
      <c r="J2065" s="10"/>
      <c r="M2065" s="39"/>
      <c r="O2065" s="39"/>
      <c r="Q2065" s="39"/>
      <c r="R2065" s="28"/>
      <c r="S2065" s="28"/>
      <c r="T2065" s="28"/>
      <c r="U2065" s="4"/>
      <c r="V2065" s="3"/>
      <c r="W2065" s="3"/>
    </row>
    <row r="2066" spans="1:23" s="5" customFormat="1">
      <c r="A2066" s="6"/>
      <c r="B2066" s="33"/>
      <c r="C2066" s="35"/>
      <c r="E2066" s="39"/>
      <c r="G2066" s="40"/>
      <c r="H2066" s="15"/>
      <c r="I2066" s="17"/>
      <c r="J2066" s="10"/>
      <c r="M2066" s="39"/>
      <c r="O2066" s="39"/>
      <c r="Q2066" s="39"/>
      <c r="R2066" s="28"/>
      <c r="S2066" s="28"/>
      <c r="T2066" s="28"/>
      <c r="U2066" s="4"/>
      <c r="V2066" s="3"/>
      <c r="W2066" s="3"/>
    </row>
    <row r="2067" spans="1:23" s="5" customFormat="1">
      <c r="A2067" s="6"/>
      <c r="B2067" s="33"/>
      <c r="C2067" s="35"/>
      <c r="E2067" s="39"/>
      <c r="G2067" s="40"/>
      <c r="H2067" s="15"/>
      <c r="I2067" s="17"/>
      <c r="J2067" s="10"/>
      <c r="M2067" s="39"/>
      <c r="O2067" s="39"/>
      <c r="Q2067" s="39"/>
      <c r="R2067" s="28"/>
      <c r="S2067" s="28"/>
      <c r="T2067" s="28"/>
      <c r="U2067" s="4"/>
      <c r="V2067" s="3"/>
      <c r="W2067" s="3"/>
    </row>
    <row r="2068" spans="1:23" s="5" customFormat="1">
      <c r="A2068" s="6"/>
      <c r="B2068" s="33"/>
      <c r="C2068" s="35"/>
      <c r="E2068" s="39"/>
      <c r="G2068" s="40"/>
      <c r="H2068" s="15"/>
      <c r="I2068" s="17"/>
      <c r="J2068" s="10"/>
      <c r="M2068" s="39"/>
      <c r="O2068" s="39"/>
      <c r="Q2068" s="39"/>
      <c r="R2068" s="28"/>
      <c r="S2068" s="28"/>
      <c r="T2068" s="28"/>
      <c r="U2068" s="4"/>
      <c r="V2068" s="3"/>
      <c r="W2068" s="3"/>
    </row>
    <row r="2069" spans="1:23" s="5" customFormat="1">
      <c r="A2069" s="6"/>
      <c r="B2069" s="33"/>
      <c r="C2069" s="35"/>
      <c r="E2069" s="39"/>
      <c r="G2069" s="40"/>
      <c r="H2069" s="15"/>
      <c r="I2069" s="17"/>
      <c r="J2069" s="10"/>
      <c r="M2069" s="39"/>
      <c r="O2069" s="39"/>
      <c r="Q2069" s="39"/>
      <c r="R2069" s="28"/>
      <c r="S2069" s="28"/>
      <c r="T2069" s="28"/>
      <c r="U2069" s="4"/>
      <c r="V2069" s="3"/>
      <c r="W2069" s="3"/>
    </row>
    <row r="2070" spans="1:23" s="5" customFormat="1">
      <c r="A2070" s="6"/>
      <c r="B2070" s="33"/>
      <c r="C2070" s="35"/>
      <c r="E2070" s="39"/>
      <c r="G2070" s="40"/>
      <c r="H2070" s="14"/>
      <c r="I2070" s="17"/>
      <c r="J2070" s="10"/>
      <c r="M2070" s="39"/>
      <c r="O2070" s="39"/>
      <c r="Q2070" s="39"/>
      <c r="R2070" s="28"/>
      <c r="S2070" s="28"/>
      <c r="T2070" s="28"/>
      <c r="U2070" s="4"/>
      <c r="V2070" s="3"/>
      <c r="W2070" s="3"/>
    </row>
    <row r="2071" spans="1:23" s="5" customFormat="1">
      <c r="A2071" s="6"/>
      <c r="B2071" s="33"/>
      <c r="C2071" s="35"/>
      <c r="E2071" s="39"/>
      <c r="G2071" s="40"/>
      <c r="H2071" s="14"/>
      <c r="I2071" s="17"/>
      <c r="J2071" s="10"/>
      <c r="M2071" s="39"/>
      <c r="O2071" s="39"/>
      <c r="Q2071" s="39"/>
      <c r="R2071" s="28"/>
      <c r="S2071" s="28"/>
      <c r="T2071" s="28"/>
      <c r="U2071" s="4"/>
      <c r="V2071" s="3"/>
      <c r="W2071" s="3"/>
    </row>
    <row r="2072" spans="1:23" s="5" customFormat="1">
      <c r="A2072" s="6"/>
      <c r="B2072" s="33"/>
      <c r="C2072" s="35"/>
      <c r="E2072" s="39"/>
      <c r="G2072" s="40"/>
      <c r="H2072" s="14"/>
      <c r="I2072" s="17"/>
      <c r="J2072" s="10"/>
      <c r="M2072" s="39"/>
      <c r="O2072" s="39"/>
      <c r="Q2072" s="39"/>
      <c r="R2072" s="28"/>
      <c r="S2072" s="28"/>
      <c r="T2072" s="28"/>
      <c r="U2072" s="4"/>
      <c r="V2072" s="3"/>
      <c r="W2072" s="3"/>
    </row>
    <row r="2073" spans="1:23" s="5" customFormat="1">
      <c r="A2073" s="6"/>
      <c r="B2073" s="33"/>
      <c r="C2073" s="35"/>
      <c r="E2073" s="39"/>
      <c r="G2073" s="40"/>
      <c r="H2073" s="14"/>
      <c r="I2073" s="17"/>
      <c r="J2073" s="10"/>
      <c r="M2073" s="39"/>
      <c r="O2073" s="39"/>
      <c r="Q2073" s="39"/>
      <c r="R2073" s="28"/>
      <c r="S2073" s="28"/>
      <c r="T2073" s="28"/>
      <c r="U2073" s="4"/>
      <c r="V2073" s="3"/>
      <c r="W2073" s="3"/>
    </row>
    <row r="2074" spans="1:23" s="5" customFormat="1">
      <c r="A2074" s="6"/>
      <c r="B2074" s="33"/>
      <c r="C2074" s="35"/>
      <c r="E2074" s="39"/>
      <c r="G2074" s="40"/>
      <c r="H2074" s="15"/>
      <c r="I2074" s="17"/>
      <c r="J2074" s="10"/>
      <c r="M2074" s="39"/>
      <c r="O2074" s="39"/>
      <c r="Q2074" s="39"/>
      <c r="R2074" s="28"/>
      <c r="S2074" s="28"/>
      <c r="T2074" s="28"/>
      <c r="U2074" s="4"/>
      <c r="V2074" s="3"/>
      <c r="W2074" s="3"/>
    </row>
    <row r="2075" spans="1:23" s="5" customFormat="1">
      <c r="A2075" s="6"/>
      <c r="B2075" s="33"/>
      <c r="C2075" s="35"/>
      <c r="E2075" s="39"/>
      <c r="G2075" s="40"/>
      <c r="H2075" s="14"/>
      <c r="I2075" s="17"/>
      <c r="J2075" s="10"/>
      <c r="M2075" s="39"/>
      <c r="O2075" s="39"/>
      <c r="Q2075" s="39"/>
      <c r="R2075" s="28"/>
      <c r="S2075" s="28"/>
      <c r="T2075" s="28"/>
      <c r="U2075" s="4"/>
      <c r="V2075" s="3"/>
      <c r="W2075" s="3"/>
    </row>
    <row r="2076" spans="1:23" s="5" customFormat="1">
      <c r="A2076" s="6"/>
      <c r="B2076" s="33"/>
      <c r="C2076" s="35"/>
      <c r="E2076" s="39"/>
      <c r="G2076" s="40"/>
      <c r="H2076" s="15"/>
      <c r="I2076" s="17"/>
      <c r="J2076" s="10"/>
      <c r="M2076" s="39"/>
      <c r="O2076" s="39"/>
      <c r="Q2076" s="39"/>
      <c r="R2076" s="28"/>
      <c r="S2076" s="28"/>
      <c r="T2076" s="28"/>
      <c r="U2076" s="4"/>
      <c r="V2076" s="3"/>
      <c r="W2076" s="3"/>
    </row>
    <row r="2077" spans="1:23" s="5" customFormat="1">
      <c r="A2077" s="6"/>
      <c r="B2077" s="33"/>
      <c r="C2077" s="35"/>
      <c r="E2077" s="39"/>
      <c r="G2077" s="40"/>
      <c r="H2077" s="14"/>
      <c r="I2077" s="17"/>
      <c r="J2077" s="10"/>
      <c r="M2077" s="39"/>
      <c r="O2077" s="39"/>
      <c r="Q2077" s="39"/>
      <c r="R2077" s="28"/>
      <c r="S2077" s="28"/>
      <c r="T2077" s="28"/>
      <c r="U2077" s="4"/>
      <c r="V2077" s="3"/>
      <c r="W2077" s="3"/>
    </row>
    <row r="2078" spans="1:23" s="5" customFormat="1">
      <c r="A2078" s="6"/>
      <c r="B2078" s="33"/>
      <c r="C2078" s="35"/>
      <c r="E2078" s="39"/>
      <c r="G2078" s="40"/>
      <c r="H2078" s="15"/>
      <c r="I2078" s="17"/>
      <c r="J2078" s="10"/>
      <c r="M2078" s="39"/>
      <c r="O2078" s="39"/>
      <c r="Q2078" s="39"/>
      <c r="R2078" s="28"/>
      <c r="S2078" s="28"/>
      <c r="T2078" s="28"/>
      <c r="U2078" s="4"/>
      <c r="V2078" s="3"/>
      <c r="W2078" s="3"/>
    </row>
    <row r="2079" spans="1:23" s="5" customFormat="1">
      <c r="A2079" s="6"/>
      <c r="B2079" s="33"/>
      <c r="C2079" s="35"/>
      <c r="E2079" s="39"/>
      <c r="G2079" s="40"/>
      <c r="H2079" s="15"/>
      <c r="I2079" s="17"/>
      <c r="J2079" s="10"/>
      <c r="M2079" s="39"/>
      <c r="O2079" s="39"/>
      <c r="Q2079" s="39"/>
      <c r="R2079" s="28"/>
      <c r="S2079" s="28"/>
      <c r="T2079" s="28"/>
      <c r="U2079" s="4"/>
      <c r="V2079" s="3"/>
      <c r="W2079" s="3"/>
    </row>
    <row r="2080" spans="1:23" s="5" customFormat="1">
      <c r="A2080" s="6"/>
      <c r="B2080" s="33"/>
      <c r="C2080" s="35"/>
      <c r="E2080" s="39"/>
      <c r="G2080" s="40"/>
      <c r="H2080" s="15"/>
      <c r="I2080" s="17"/>
      <c r="J2080" s="10"/>
      <c r="M2080" s="39"/>
      <c r="O2080" s="39"/>
      <c r="Q2080" s="39"/>
      <c r="R2080" s="28"/>
      <c r="S2080" s="28"/>
      <c r="T2080" s="28"/>
      <c r="U2080" s="4"/>
      <c r="V2080" s="3"/>
      <c r="W2080" s="3"/>
    </row>
    <row r="2081" spans="1:23" s="5" customFormat="1">
      <c r="A2081" s="6"/>
      <c r="B2081" s="33"/>
      <c r="C2081" s="35"/>
      <c r="E2081" s="39"/>
      <c r="G2081" s="40"/>
      <c r="H2081" s="15"/>
      <c r="I2081" s="17"/>
      <c r="J2081" s="10"/>
      <c r="M2081" s="39"/>
      <c r="O2081" s="39"/>
      <c r="Q2081" s="39"/>
      <c r="R2081" s="28"/>
      <c r="S2081" s="28"/>
      <c r="T2081" s="28"/>
      <c r="U2081" s="4"/>
      <c r="V2081" s="3"/>
      <c r="W2081" s="3"/>
    </row>
    <row r="2082" spans="1:23" s="5" customFormat="1">
      <c r="A2082" s="6"/>
      <c r="B2082" s="33"/>
      <c r="C2082" s="35"/>
      <c r="E2082" s="39"/>
      <c r="G2082" s="40"/>
      <c r="H2082" s="15"/>
      <c r="I2082" s="17"/>
      <c r="J2082" s="10"/>
      <c r="M2082" s="39"/>
      <c r="O2082" s="39"/>
      <c r="Q2082" s="39"/>
      <c r="R2082" s="28"/>
      <c r="S2082" s="28"/>
      <c r="T2082" s="28"/>
      <c r="U2082" s="4"/>
      <c r="V2082" s="3"/>
      <c r="W2082" s="3"/>
    </row>
    <row r="2083" spans="1:23" s="5" customFormat="1">
      <c r="A2083" s="6"/>
      <c r="B2083" s="33"/>
      <c r="C2083" s="35"/>
      <c r="E2083" s="39"/>
      <c r="G2083" s="40"/>
      <c r="H2083" s="15"/>
      <c r="I2083" s="17"/>
      <c r="J2083" s="10"/>
      <c r="M2083" s="39"/>
      <c r="O2083" s="39"/>
      <c r="Q2083" s="39"/>
      <c r="R2083" s="28"/>
      <c r="S2083" s="28"/>
      <c r="T2083" s="28"/>
      <c r="U2083" s="4"/>
      <c r="V2083" s="3"/>
      <c r="W2083" s="3"/>
    </row>
    <row r="2084" spans="1:23" s="5" customFormat="1">
      <c r="A2084" s="6"/>
      <c r="B2084" s="33"/>
      <c r="C2084" s="35"/>
      <c r="E2084" s="39"/>
      <c r="G2084" s="40"/>
      <c r="H2084" s="14"/>
      <c r="I2084" s="17"/>
      <c r="J2084" s="10"/>
      <c r="M2084" s="39"/>
      <c r="O2084" s="39"/>
      <c r="Q2084" s="39"/>
      <c r="R2084" s="28"/>
      <c r="S2084" s="28"/>
      <c r="T2084" s="28"/>
      <c r="U2084" s="4"/>
      <c r="V2084" s="3"/>
      <c r="W2084" s="3"/>
    </row>
    <row r="2085" spans="1:23" s="5" customFormat="1">
      <c r="A2085" s="6"/>
      <c r="B2085" s="33"/>
      <c r="C2085" s="35"/>
      <c r="E2085" s="39"/>
      <c r="G2085" s="40"/>
      <c r="H2085" s="14"/>
      <c r="I2085" s="17"/>
      <c r="J2085" s="10"/>
      <c r="M2085" s="39"/>
      <c r="O2085" s="39"/>
      <c r="Q2085" s="39"/>
      <c r="R2085" s="28"/>
      <c r="S2085" s="28"/>
      <c r="T2085" s="28"/>
      <c r="U2085" s="4"/>
      <c r="V2085" s="3"/>
      <c r="W2085" s="3"/>
    </row>
    <row r="2086" spans="1:23" s="5" customFormat="1">
      <c r="A2086" s="6"/>
      <c r="B2086" s="33"/>
      <c r="C2086" s="35"/>
      <c r="E2086" s="39"/>
      <c r="G2086" s="40"/>
      <c r="H2086" s="15"/>
      <c r="I2086" s="17"/>
      <c r="J2086" s="10"/>
      <c r="M2086" s="39"/>
      <c r="O2086" s="39"/>
      <c r="Q2086" s="39"/>
      <c r="R2086" s="28"/>
      <c r="S2086" s="28"/>
      <c r="T2086" s="28"/>
      <c r="U2086" s="4"/>
      <c r="V2086" s="3"/>
      <c r="W2086" s="3"/>
    </row>
    <row r="2087" spans="1:23" s="5" customFormat="1">
      <c r="A2087" s="6"/>
      <c r="B2087" s="33"/>
      <c r="C2087" s="35"/>
      <c r="E2087" s="39"/>
      <c r="G2087" s="40"/>
      <c r="H2087" s="15"/>
      <c r="I2087" s="17"/>
      <c r="J2087" s="10"/>
      <c r="M2087" s="39"/>
      <c r="O2087" s="39"/>
      <c r="Q2087" s="39"/>
      <c r="R2087" s="28"/>
      <c r="S2087" s="28"/>
      <c r="T2087" s="28"/>
      <c r="U2087" s="4"/>
      <c r="V2087" s="3"/>
      <c r="W2087" s="3"/>
    </row>
    <row r="2088" spans="1:23" s="5" customFormat="1">
      <c r="A2088" s="6"/>
      <c r="B2088" s="33"/>
      <c r="C2088" s="35"/>
      <c r="E2088" s="39"/>
      <c r="G2088" s="40"/>
      <c r="H2088" s="14"/>
      <c r="I2088" s="17"/>
      <c r="J2088" s="10"/>
      <c r="M2088" s="39"/>
      <c r="O2088" s="39"/>
      <c r="Q2088" s="39"/>
      <c r="R2088" s="28"/>
      <c r="S2088" s="28"/>
      <c r="T2088" s="28"/>
      <c r="U2088" s="4"/>
      <c r="V2088" s="3"/>
      <c r="W2088" s="3"/>
    </row>
    <row r="2089" spans="1:23" s="5" customFormat="1">
      <c r="A2089" s="6"/>
      <c r="B2089" s="33"/>
      <c r="C2089" s="35"/>
      <c r="E2089" s="39"/>
      <c r="G2089" s="40"/>
      <c r="H2089" s="15"/>
      <c r="I2089" s="17"/>
      <c r="J2089" s="10"/>
      <c r="M2089" s="39"/>
      <c r="O2089" s="39"/>
      <c r="Q2089" s="39"/>
      <c r="R2089" s="28"/>
      <c r="S2089" s="28"/>
      <c r="T2089" s="28"/>
      <c r="U2089" s="4"/>
      <c r="V2089" s="3"/>
      <c r="W2089" s="3"/>
    </row>
    <row r="2090" spans="1:23" s="5" customFormat="1">
      <c r="A2090" s="6"/>
      <c r="B2090" s="33"/>
      <c r="C2090" s="35"/>
      <c r="E2090" s="39"/>
      <c r="G2090" s="40"/>
      <c r="H2090" s="14"/>
      <c r="I2090" s="17"/>
      <c r="J2090" s="10"/>
      <c r="M2090" s="39"/>
      <c r="O2090" s="39"/>
      <c r="Q2090" s="39"/>
      <c r="R2090" s="28"/>
      <c r="S2090" s="28"/>
      <c r="T2090" s="28"/>
      <c r="U2090" s="4"/>
      <c r="V2090" s="3"/>
      <c r="W2090" s="3"/>
    </row>
    <row r="2091" spans="1:23" s="5" customFormat="1">
      <c r="A2091" s="6"/>
      <c r="B2091" s="33"/>
      <c r="C2091" s="35"/>
      <c r="E2091" s="39"/>
      <c r="G2091" s="40"/>
      <c r="H2091" s="14"/>
      <c r="I2091" s="17"/>
      <c r="J2091" s="10"/>
      <c r="M2091" s="39"/>
      <c r="O2091" s="39"/>
      <c r="Q2091" s="39"/>
      <c r="R2091" s="28"/>
      <c r="S2091" s="28"/>
      <c r="T2091" s="28"/>
      <c r="U2091" s="4"/>
      <c r="V2091" s="3"/>
      <c r="W2091" s="3"/>
    </row>
    <row r="2092" spans="1:23" s="5" customFormat="1">
      <c r="A2092" s="6"/>
      <c r="B2092" s="33"/>
      <c r="C2092" s="35"/>
      <c r="E2092" s="39"/>
      <c r="G2092" s="40"/>
      <c r="H2092" s="15"/>
      <c r="I2092" s="17"/>
      <c r="J2092" s="10"/>
      <c r="M2092" s="39"/>
      <c r="O2092" s="39"/>
      <c r="Q2092" s="39"/>
      <c r="R2092" s="28"/>
      <c r="S2092" s="28"/>
      <c r="T2092" s="28"/>
      <c r="U2092" s="4"/>
      <c r="V2092" s="3"/>
      <c r="W2092" s="3"/>
    </row>
    <row r="2093" spans="1:23" s="5" customFormat="1">
      <c r="A2093" s="6"/>
      <c r="B2093" s="33"/>
      <c r="C2093" s="35"/>
      <c r="E2093" s="39"/>
      <c r="G2093" s="40"/>
      <c r="H2093" s="14"/>
      <c r="I2093" s="17"/>
      <c r="J2093" s="10"/>
      <c r="M2093" s="39"/>
      <c r="O2093" s="39"/>
      <c r="Q2093" s="39"/>
      <c r="R2093" s="28"/>
      <c r="S2093" s="28"/>
      <c r="T2093" s="28"/>
      <c r="U2093" s="4"/>
      <c r="V2093" s="3"/>
      <c r="W2093" s="3"/>
    </row>
    <row r="2094" spans="1:23" s="5" customFormat="1">
      <c r="A2094" s="6"/>
      <c r="B2094" s="33"/>
      <c r="C2094" s="35"/>
      <c r="E2094" s="39"/>
      <c r="G2094" s="40"/>
      <c r="H2094" s="14"/>
      <c r="I2094" s="17"/>
      <c r="J2094" s="10"/>
      <c r="M2094" s="39"/>
      <c r="O2094" s="39"/>
      <c r="Q2094" s="39"/>
      <c r="R2094" s="28"/>
      <c r="S2094" s="28"/>
      <c r="T2094" s="28"/>
      <c r="U2094" s="4"/>
      <c r="V2094" s="3"/>
      <c r="W2094" s="3"/>
    </row>
    <row r="2095" spans="1:23" s="5" customFormat="1">
      <c r="A2095" s="6"/>
      <c r="B2095" s="33"/>
      <c r="C2095" s="35"/>
      <c r="E2095" s="39"/>
      <c r="G2095" s="40"/>
      <c r="H2095" s="14"/>
      <c r="I2095" s="17"/>
      <c r="J2095" s="10"/>
      <c r="M2095" s="39"/>
      <c r="O2095" s="39"/>
      <c r="Q2095" s="39"/>
      <c r="R2095" s="28"/>
      <c r="S2095" s="28"/>
      <c r="T2095" s="28"/>
      <c r="U2095" s="4"/>
      <c r="V2095" s="3"/>
      <c r="W2095" s="3"/>
    </row>
    <row r="2096" spans="1:23" s="5" customFormat="1">
      <c r="A2096" s="6"/>
      <c r="B2096" s="33"/>
      <c r="C2096" s="35"/>
      <c r="E2096" s="39"/>
      <c r="G2096" s="40"/>
      <c r="H2096" s="15"/>
      <c r="I2096" s="17"/>
      <c r="J2096" s="10"/>
      <c r="M2096" s="39"/>
      <c r="O2096" s="39"/>
      <c r="Q2096" s="39"/>
      <c r="R2096" s="28"/>
      <c r="S2096" s="28"/>
      <c r="T2096" s="28"/>
      <c r="U2096" s="4"/>
      <c r="V2096" s="3"/>
      <c r="W2096" s="3"/>
    </row>
    <row r="2097" spans="1:23" s="5" customFormat="1">
      <c r="A2097" s="6"/>
      <c r="B2097" s="33"/>
      <c r="C2097" s="35"/>
      <c r="E2097" s="39"/>
      <c r="G2097" s="40"/>
      <c r="H2097" s="14"/>
      <c r="I2097" s="17"/>
      <c r="J2097" s="10"/>
      <c r="M2097" s="39"/>
      <c r="O2097" s="39"/>
      <c r="Q2097" s="39"/>
      <c r="R2097" s="28"/>
      <c r="S2097" s="28"/>
      <c r="T2097" s="28"/>
      <c r="U2097" s="4"/>
      <c r="V2097" s="3"/>
      <c r="W2097" s="3"/>
    </row>
    <row r="2098" spans="1:23" s="5" customFormat="1">
      <c r="A2098" s="6"/>
      <c r="B2098" s="33"/>
      <c r="C2098" s="35"/>
      <c r="E2098" s="39"/>
      <c r="G2098" s="40"/>
      <c r="H2098" s="15"/>
      <c r="I2098" s="17"/>
      <c r="J2098" s="10"/>
      <c r="M2098" s="39"/>
      <c r="O2098" s="39"/>
      <c r="Q2098" s="39"/>
      <c r="R2098" s="28"/>
      <c r="S2098" s="28"/>
      <c r="T2098" s="28"/>
      <c r="U2098" s="4"/>
      <c r="V2098" s="3"/>
      <c r="W2098" s="3"/>
    </row>
    <row r="2099" spans="1:23" s="5" customFormat="1">
      <c r="A2099" s="6"/>
      <c r="B2099" s="33"/>
      <c r="C2099" s="35"/>
      <c r="E2099" s="39"/>
      <c r="G2099" s="40"/>
      <c r="H2099" s="14"/>
      <c r="I2099" s="17"/>
      <c r="J2099" s="10"/>
      <c r="M2099" s="39"/>
      <c r="O2099" s="39"/>
      <c r="Q2099" s="39"/>
      <c r="R2099" s="28"/>
      <c r="S2099" s="28"/>
      <c r="T2099" s="28"/>
      <c r="U2099" s="4"/>
      <c r="V2099" s="3"/>
      <c r="W2099" s="3"/>
    </row>
    <row r="2100" spans="1:23" s="5" customFormat="1">
      <c r="A2100" s="6"/>
      <c r="B2100" s="33"/>
      <c r="C2100" s="35"/>
      <c r="E2100" s="39"/>
      <c r="G2100" s="40"/>
      <c r="H2100" s="15"/>
      <c r="I2100" s="17"/>
      <c r="J2100" s="10"/>
      <c r="M2100" s="39"/>
      <c r="O2100" s="39"/>
      <c r="Q2100" s="39"/>
      <c r="R2100" s="28"/>
      <c r="S2100" s="28"/>
      <c r="T2100" s="28"/>
      <c r="U2100" s="4"/>
      <c r="V2100" s="3"/>
      <c r="W2100" s="3"/>
    </row>
    <row r="2101" spans="1:23" s="5" customFormat="1">
      <c r="A2101" s="6"/>
      <c r="B2101" s="33"/>
      <c r="C2101" s="35"/>
      <c r="E2101" s="39"/>
      <c r="G2101" s="40"/>
      <c r="H2101" s="15"/>
      <c r="I2101" s="17"/>
      <c r="J2101" s="10"/>
      <c r="M2101" s="39"/>
      <c r="O2101" s="39"/>
      <c r="Q2101" s="39"/>
      <c r="R2101" s="28"/>
      <c r="S2101" s="28"/>
      <c r="T2101" s="28"/>
      <c r="U2101" s="4"/>
      <c r="V2101" s="3"/>
      <c r="W2101" s="3"/>
    </row>
    <row r="2102" spans="1:23" s="5" customFormat="1">
      <c r="A2102" s="6"/>
      <c r="B2102" s="33"/>
      <c r="C2102" s="35"/>
      <c r="E2102" s="39"/>
      <c r="G2102" s="40"/>
      <c r="H2102" s="14"/>
      <c r="I2102" s="17"/>
      <c r="J2102" s="10"/>
      <c r="M2102" s="39"/>
      <c r="O2102" s="39"/>
      <c r="Q2102" s="39"/>
      <c r="R2102" s="28"/>
      <c r="S2102" s="28"/>
      <c r="T2102" s="28"/>
      <c r="U2102" s="4"/>
      <c r="V2102" s="3"/>
      <c r="W2102" s="3"/>
    </row>
    <row r="2103" spans="1:23" s="5" customFormat="1">
      <c r="A2103" s="6"/>
      <c r="B2103" s="33"/>
      <c r="C2103" s="35"/>
      <c r="E2103" s="39"/>
      <c r="G2103" s="40"/>
      <c r="H2103" s="15"/>
      <c r="I2103" s="17"/>
      <c r="J2103" s="10"/>
      <c r="M2103" s="39"/>
      <c r="O2103" s="39"/>
      <c r="Q2103" s="39"/>
      <c r="R2103" s="28"/>
      <c r="S2103" s="28"/>
      <c r="T2103" s="28"/>
      <c r="U2103" s="4"/>
      <c r="V2103" s="3"/>
      <c r="W2103" s="3"/>
    </row>
    <row r="2104" spans="1:23" s="5" customFormat="1">
      <c r="A2104" s="6"/>
      <c r="B2104" s="33"/>
      <c r="C2104" s="35"/>
      <c r="E2104" s="39"/>
      <c r="G2104" s="40"/>
      <c r="H2104" s="14"/>
      <c r="I2104" s="17"/>
      <c r="J2104" s="10"/>
      <c r="M2104" s="39"/>
      <c r="O2104" s="39"/>
      <c r="Q2104" s="39"/>
      <c r="R2104" s="28"/>
      <c r="S2104" s="28"/>
      <c r="T2104" s="28"/>
      <c r="U2104" s="4"/>
      <c r="V2104" s="3"/>
      <c r="W2104" s="3"/>
    </row>
    <row r="2105" spans="1:23" s="5" customFormat="1">
      <c r="A2105" s="6"/>
      <c r="B2105" s="33"/>
      <c r="C2105" s="35"/>
      <c r="E2105" s="39"/>
      <c r="G2105" s="40"/>
      <c r="H2105" s="14"/>
      <c r="I2105" s="17"/>
      <c r="J2105" s="10"/>
      <c r="M2105" s="39"/>
      <c r="O2105" s="39"/>
      <c r="Q2105" s="39"/>
      <c r="R2105" s="28"/>
      <c r="S2105" s="28"/>
      <c r="T2105" s="28"/>
      <c r="U2105" s="4"/>
      <c r="V2105" s="3"/>
      <c r="W2105" s="3"/>
    </row>
    <row r="2106" spans="1:23" s="5" customFormat="1">
      <c r="A2106" s="6"/>
      <c r="B2106" s="33"/>
      <c r="C2106" s="35"/>
      <c r="E2106" s="39"/>
      <c r="G2106" s="40"/>
      <c r="H2106" s="14"/>
      <c r="I2106" s="17"/>
      <c r="J2106" s="10"/>
      <c r="M2106" s="39"/>
      <c r="O2106" s="39"/>
      <c r="Q2106" s="39"/>
      <c r="R2106" s="28"/>
      <c r="S2106" s="29"/>
      <c r="T2106" s="28"/>
      <c r="U2106" s="4"/>
      <c r="V2106" s="3"/>
      <c r="W2106" s="3"/>
    </row>
    <row r="2107" spans="1:23" s="5" customFormat="1">
      <c r="A2107" s="6"/>
      <c r="B2107" s="33"/>
      <c r="C2107" s="35"/>
      <c r="E2107" s="39"/>
      <c r="G2107" s="40"/>
      <c r="H2107" s="14"/>
      <c r="I2107" s="17"/>
      <c r="J2107" s="10"/>
      <c r="M2107" s="39"/>
      <c r="O2107" s="39"/>
      <c r="Q2107" s="39"/>
      <c r="R2107" s="28"/>
      <c r="S2107" s="28"/>
      <c r="T2107" s="28"/>
      <c r="U2107" s="4"/>
      <c r="V2107" s="3"/>
      <c r="W2107" s="3"/>
    </row>
    <row r="2108" spans="1:23" s="5" customFormat="1">
      <c r="A2108" s="6"/>
      <c r="B2108" s="33"/>
      <c r="C2108" s="35"/>
      <c r="E2108" s="39"/>
      <c r="G2108" s="40"/>
      <c r="H2108" s="15"/>
      <c r="I2108" s="17"/>
      <c r="J2108" s="10"/>
      <c r="M2108" s="39"/>
      <c r="O2108" s="39"/>
      <c r="Q2108" s="39"/>
      <c r="R2108" s="28"/>
      <c r="S2108" s="28"/>
      <c r="T2108" s="28"/>
      <c r="U2108" s="4"/>
      <c r="V2108" s="3"/>
      <c r="W2108" s="3"/>
    </row>
    <row r="2109" spans="1:23" s="5" customFormat="1">
      <c r="A2109" s="6"/>
      <c r="B2109" s="33"/>
      <c r="C2109" s="35"/>
      <c r="E2109" s="39"/>
      <c r="G2109" s="40"/>
      <c r="H2109" s="14"/>
      <c r="I2109" s="17"/>
      <c r="J2109" s="10"/>
      <c r="M2109" s="39"/>
      <c r="O2109" s="39"/>
      <c r="Q2109" s="39"/>
      <c r="R2109" s="28"/>
      <c r="S2109" s="28"/>
      <c r="T2109" s="28"/>
      <c r="U2109" s="4"/>
      <c r="V2109" s="3"/>
      <c r="W2109" s="3"/>
    </row>
    <row r="2110" spans="1:23" s="5" customFormat="1">
      <c r="A2110" s="6"/>
      <c r="B2110" s="33"/>
      <c r="C2110" s="35"/>
      <c r="E2110" s="39"/>
      <c r="G2110" s="40"/>
      <c r="H2110" s="14"/>
      <c r="I2110" s="17"/>
      <c r="J2110" s="10"/>
      <c r="M2110" s="39"/>
      <c r="O2110" s="39"/>
      <c r="Q2110" s="39"/>
      <c r="R2110" s="28"/>
      <c r="S2110" s="28"/>
      <c r="T2110" s="28"/>
      <c r="U2110" s="4"/>
      <c r="V2110" s="3"/>
      <c r="W2110" s="3"/>
    </row>
    <row r="2111" spans="1:23" s="5" customFormat="1">
      <c r="A2111" s="6"/>
      <c r="B2111" s="33"/>
      <c r="C2111" s="35"/>
      <c r="E2111" s="39"/>
      <c r="G2111" s="40"/>
      <c r="H2111" s="14"/>
      <c r="I2111" s="17"/>
      <c r="J2111" s="10"/>
      <c r="M2111" s="39"/>
      <c r="O2111" s="39"/>
      <c r="Q2111" s="39"/>
      <c r="R2111" s="28"/>
      <c r="S2111" s="28"/>
      <c r="T2111" s="28"/>
      <c r="U2111" s="4"/>
      <c r="V2111" s="3"/>
      <c r="W2111" s="3"/>
    </row>
    <row r="2112" spans="1:23" s="5" customFormat="1">
      <c r="A2112" s="6"/>
      <c r="B2112" s="33"/>
      <c r="C2112" s="35"/>
      <c r="E2112" s="39"/>
      <c r="G2112" s="40"/>
      <c r="H2112" s="14"/>
      <c r="I2112" s="17"/>
      <c r="J2112" s="10"/>
      <c r="M2112" s="39"/>
      <c r="O2112" s="39"/>
      <c r="Q2112" s="39"/>
      <c r="R2112" s="28"/>
      <c r="S2112" s="29"/>
      <c r="T2112" s="28"/>
      <c r="U2112" s="4"/>
      <c r="V2112" s="3"/>
      <c r="W2112" s="3"/>
    </row>
    <row r="2113" spans="1:23" s="5" customFormat="1">
      <c r="A2113" s="6"/>
      <c r="B2113" s="33"/>
      <c r="C2113" s="35"/>
      <c r="E2113" s="39"/>
      <c r="G2113" s="40"/>
      <c r="H2113" s="15"/>
      <c r="I2113" s="17"/>
      <c r="J2113" s="10"/>
      <c r="M2113" s="39"/>
      <c r="O2113" s="39"/>
      <c r="Q2113" s="39"/>
      <c r="R2113" s="28"/>
      <c r="S2113" s="28"/>
      <c r="T2113" s="28"/>
      <c r="U2113" s="4"/>
      <c r="V2113" s="3"/>
      <c r="W2113" s="3"/>
    </row>
    <row r="2114" spans="1:23" s="5" customFormat="1">
      <c r="A2114" s="6"/>
      <c r="B2114" s="33"/>
      <c r="C2114" s="35"/>
      <c r="E2114" s="39"/>
      <c r="G2114" s="40"/>
      <c r="H2114" s="15"/>
      <c r="I2114" s="17"/>
      <c r="J2114" s="10"/>
      <c r="M2114" s="39"/>
      <c r="O2114" s="39"/>
      <c r="Q2114" s="39"/>
      <c r="R2114" s="28"/>
      <c r="S2114" s="28"/>
      <c r="T2114" s="28"/>
      <c r="U2114" s="4"/>
      <c r="V2114" s="3"/>
      <c r="W2114" s="3"/>
    </row>
    <row r="2115" spans="1:23" s="5" customFormat="1">
      <c r="A2115" s="6"/>
      <c r="B2115" s="33"/>
      <c r="C2115" s="35"/>
      <c r="E2115" s="39"/>
      <c r="G2115" s="40"/>
      <c r="H2115" s="15"/>
      <c r="I2115" s="17"/>
      <c r="J2115" s="10"/>
      <c r="M2115" s="39"/>
      <c r="O2115" s="39"/>
      <c r="Q2115" s="39"/>
      <c r="R2115" s="28"/>
      <c r="S2115" s="28"/>
      <c r="T2115" s="28"/>
      <c r="U2115" s="4"/>
      <c r="V2115" s="3"/>
      <c r="W2115" s="3"/>
    </row>
    <row r="2116" spans="1:23" s="5" customFormat="1">
      <c r="A2116" s="6"/>
      <c r="B2116" s="33"/>
      <c r="C2116" s="35"/>
      <c r="E2116" s="39"/>
      <c r="G2116" s="40"/>
      <c r="H2116" s="14"/>
      <c r="I2116" s="17"/>
      <c r="J2116" s="10"/>
      <c r="M2116" s="39"/>
      <c r="O2116" s="39"/>
      <c r="Q2116" s="39"/>
      <c r="R2116" s="28"/>
      <c r="S2116" s="28"/>
      <c r="T2116" s="28"/>
      <c r="U2116" s="4"/>
      <c r="V2116" s="3"/>
      <c r="W2116" s="3"/>
    </row>
    <row r="2117" spans="1:23" s="5" customFormat="1">
      <c r="A2117" s="6"/>
      <c r="B2117" s="33"/>
      <c r="C2117" s="35"/>
      <c r="E2117" s="39"/>
      <c r="G2117" s="40"/>
      <c r="H2117" s="15"/>
      <c r="I2117" s="17"/>
      <c r="J2117" s="10"/>
      <c r="M2117" s="39"/>
      <c r="O2117" s="39"/>
      <c r="Q2117" s="39"/>
      <c r="R2117" s="28"/>
      <c r="S2117" s="28"/>
      <c r="T2117" s="28"/>
      <c r="U2117" s="4"/>
      <c r="V2117" s="3"/>
      <c r="W2117" s="3"/>
    </row>
    <row r="2118" spans="1:23" s="5" customFormat="1">
      <c r="A2118" s="6"/>
      <c r="B2118" s="33"/>
      <c r="C2118" s="35"/>
      <c r="E2118" s="39"/>
      <c r="G2118" s="40"/>
      <c r="H2118" s="15"/>
      <c r="I2118" s="17"/>
      <c r="J2118" s="10"/>
      <c r="M2118" s="39"/>
      <c r="O2118" s="39"/>
      <c r="Q2118" s="39"/>
      <c r="R2118" s="28"/>
      <c r="S2118" s="28"/>
      <c r="T2118" s="28"/>
      <c r="U2118" s="4"/>
      <c r="V2118" s="3"/>
      <c r="W2118" s="3"/>
    </row>
    <row r="2119" spans="1:23" s="5" customFormat="1">
      <c r="A2119" s="6"/>
      <c r="B2119" s="33"/>
      <c r="C2119" s="35"/>
      <c r="E2119" s="39"/>
      <c r="G2119" s="40"/>
      <c r="H2119" s="15"/>
      <c r="I2119" s="17"/>
      <c r="J2119" s="10"/>
      <c r="M2119" s="39"/>
      <c r="O2119" s="39"/>
      <c r="Q2119" s="39"/>
      <c r="R2119" s="28"/>
      <c r="S2119" s="28"/>
      <c r="T2119" s="28"/>
      <c r="U2119" s="4"/>
      <c r="V2119" s="3"/>
      <c r="W2119" s="3"/>
    </row>
    <row r="2120" spans="1:23" s="5" customFormat="1">
      <c r="A2120" s="6"/>
      <c r="B2120" s="33"/>
      <c r="C2120" s="35"/>
      <c r="E2120" s="39"/>
      <c r="G2120" s="40"/>
      <c r="H2120" s="14"/>
      <c r="I2120" s="17"/>
      <c r="J2120" s="10"/>
      <c r="M2120" s="39"/>
      <c r="O2120" s="39"/>
      <c r="Q2120" s="39"/>
      <c r="R2120" s="28"/>
      <c r="S2120" s="28"/>
      <c r="T2120" s="28"/>
      <c r="U2120" s="4"/>
      <c r="V2120" s="3"/>
      <c r="W2120" s="3"/>
    </row>
    <row r="2121" spans="1:23" s="5" customFormat="1">
      <c r="A2121" s="6"/>
      <c r="B2121" s="33"/>
      <c r="C2121" s="35"/>
      <c r="E2121" s="39"/>
      <c r="G2121" s="40"/>
      <c r="H2121" s="15"/>
      <c r="I2121" s="17"/>
      <c r="J2121" s="10"/>
      <c r="M2121" s="39"/>
      <c r="O2121" s="39"/>
      <c r="Q2121" s="39"/>
      <c r="R2121" s="28"/>
      <c r="S2121" s="28"/>
      <c r="T2121" s="28"/>
      <c r="U2121" s="4"/>
      <c r="V2121" s="3"/>
      <c r="W2121" s="3"/>
    </row>
    <row r="2122" spans="1:23" s="5" customFormat="1">
      <c r="A2122" s="6"/>
      <c r="B2122" s="33"/>
      <c r="C2122" s="35"/>
      <c r="E2122" s="39"/>
      <c r="G2122" s="40"/>
      <c r="H2122" s="15"/>
      <c r="I2122" s="17"/>
      <c r="J2122" s="10"/>
      <c r="M2122" s="39"/>
      <c r="O2122" s="39"/>
      <c r="Q2122" s="39"/>
      <c r="R2122" s="28"/>
      <c r="S2122" s="28"/>
      <c r="T2122" s="28"/>
      <c r="U2122" s="4"/>
      <c r="V2122" s="3"/>
      <c r="W2122" s="3"/>
    </row>
    <row r="2123" spans="1:23" s="5" customFormat="1">
      <c r="A2123" s="6"/>
      <c r="B2123" s="33"/>
      <c r="C2123" s="35"/>
      <c r="E2123" s="39"/>
      <c r="G2123" s="40"/>
      <c r="H2123" s="15"/>
      <c r="I2123" s="17"/>
      <c r="J2123" s="10"/>
      <c r="M2123" s="39"/>
      <c r="O2123" s="39"/>
      <c r="Q2123" s="39"/>
      <c r="R2123" s="28"/>
      <c r="S2123" s="28"/>
      <c r="T2123" s="28"/>
      <c r="U2123" s="4"/>
      <c r="V2123" s="3"/>
      <c r="W2123" s="3"/>
    </row>
    <row r="2124" spans="1:23" s="5" customFormat="1">
      <c r="A2124" s="6"/>
      <c r="B2124" s="33"/>
      <c r="C2124" s="35"/>
      <c r="E2124" s="39"/>
      <c r="G2124" s="40"/>
      <c r="H2124" s="15"/>
      <c r="I2124" s="17"/>
      <c r="J2124" s="10"/>
      <c r="M2124" s="39"/>
      <c r="O2124" s="39"/>
      <c r="Q2124" s="39"/>
      <c r="R2124" s="28"/>
      <c r="S2124" s="28"/>
      <c r="T2124" s="28"/>
      <c r="U2124" s="4"/>
      <c r="V2124" s="3"/>
      <c r="W2124" s="3"/>
    </row>
    <row r="2125" spans="1:23" s="5" customFormat="1">
      <c r="A2125" s="6"/>
      <c r="B2125" s="33"/>
      <c r="C2125" s="35"/>
      <c r="E2125" s="39"/>
      <c r="G2125" s="40"/>
      <c r="H2125" s="15"/>
      <c r="I2125" s="17"/>
      <c r="J2125" s="10"/>
      <c r="M2125" s="39"/>
      <c r="O2125" s="39"/>
      <c r="Q2125" s="39"/>
      <c r="R2125" s="28"/>
      <c r="S2125" s="28"/>
      <c r="T2125" s="28"/>
      <c r="U2125" s="4"/>
      <c r="V2125" s="3"/>
      <c r="W2125" s="3"/>
    </row>
    <row r="2126" spans="1:23" s="5" customFormat="1">
      <c r="A2126" s="6"/>
      <c r="B2126" s="33"/>
      <c r="C2126" s="35"/>
      <c r="E2126" s="39"/>
      <c r="G2126" s="40"/>
      <c r="H2126" s="15"/>
      <c r="I2126" s="17"/>
      <c r="J2126" s="10"/>
      <c r="M2126" s="39"/>
      <c r="O2126" s="39"/>
      <c r="Q2126" s="39"/>
      <c r="R2126" s="28"/>
      <c r="S2126" s="28"/>
      <c r="T2126" s="28"/>
      <c r="U2126" s="4"/>
      <c r="V2126" s="3"/>
      <c r="W2126" s="3"/>
    </row>
    <row r="2127" spans="1:23" s="5" customFormat="1">
      <c r="A2127" s="6"/>
      <c r="B2127" s="33"/>
      <c r="C2127" s="35"/>
      <c r="E2127" s="39"/>
      <c r="G2127" s="40"/>
      <c r="H2127" s="14"/>
      <c r="I2127" s="17"/>
      <c r="J2127" s="10"/>
      <c r="M2127" s="39"/>
      <c r="O2127" s="39"/>
      <c r="Q2127" s="39"/>
      <c r="R2127" s="28"/>
      <c r="S2127" s="28"/>
      <c r="T2127" s="28"/>
      <c r="U2127" s="4"/>
      <c r="V2127" s="3"/>
      <c r="W2127" s="3"/>
    </row>
    <row r="2128" spans="1:23" s="5" customFormat="1">
      <c r="A2128" s="6"/>
      <c r="B2128" s="33"/>
      <c r="C2128" s="35"/>
      <c r="E2128" s="39"/>
      <c r="G2128" s="40"/>
      <c r="H2128" s="15"/>
      <c r="I2128" s="17"/>
      <c r="J2128" s="10"/>
      <c r="M2128" s="39"/>
      <c r="O2128" s="39"/>
      <c r="Q2128" s="39"/>
      <c r="R2128" s="28"/>
      <c r="S2128" s="28"/>
      <c r="T2128" s="28"/>
      <c r="U2128" s="4"/>
      <c r="V2128" s="3"/>
      <c r="W2128" s="3"/>
    </row>
    <row r="2129" spans="1:23" s="5" customFormat="1">
      <c r="A2129" s="6"/>
      <c r="B2129" s="33"/>
      <c r="C2129" s="35"/>
      <c r="E2129" s="39"/>
      <c r="G2129" s="40"/>
      <c r="H2129" s="15"/>
      <c r="I2129" s="17"/>
      <c r="J2129" s="10"/>
      <c r="M2129" s="39"/>
      <c r="O2129" s="39"/>
      <c r="Q2129" s="39"/>
      <c r="R2129" s="28"/>
      <c r="S2129" s="28"/>
      <c r="T2129" s="28"/>
      <c r="U2129" s="4"/>
      <c r="V2129" s="3"/>
      <c r="W2129" s="3"/>
    </row>
    <row r="2130" spans="1:23" s="5" customFormat="1">
      <c r="A2130" s="6"/>
      <c r="B2130" s="33"/>
      <c r="C2130" s="35"/>
      <c r="E2130" s="39"/>
      <c r="G2130" s="40"/>
      <c r="H2130" s="15"/>
      <c r="I2130" s="17"/>
      <c r="J2130" s="10"/>
      <c r="M2130" s="39"/>
      <c r="O2130" s="39"/>
      <c r="Q2130" s="39"/>
      <c r="R2130" s="28"/>
      <c r="S2130" s="28"/>
      <c r="T2130" s="28"/>
      <c r="U2130" s="4"/>
      <c r="V2130" s="3"/>
      <c r="W2130" s="3"/>
    </row>
    <row r="2131" spans="1:23" s="5" customFormat="1">
      <c r="A2131" s="6"/>
      <c r="B2131" s="33"/>
      <c r="C2131" s="35"/>
      <c r="E2131" s="39"/>
      <c r="G2131" s="40"/>
      <c r="H2131" s="15"/>
      <c r="I2131" s="17"/>
      <c r="J2131" s="10"/>
      <c r="M2131" s="39"/>
      <c r="O2131" s="39"/>
      <c r="Q2131" s="39"/>
      <c r="R2131" s="28"/>
      <c r="S2131" s="28"/>
      <c r="T2131" s="28"/>
      <c r="U2131" s="4"/>
      <c r="V2131" s="3"/>
      <c r="W2131" s="3"/>
    </row>
    <row r="2132" spans="1:23" s="5" customFormat="1">
      <c r="A2132" s="6"/>
      <c r="B2132" s="33"/>
      <c r="C2132" s="35"/>
      <c r="E2132" s="39"/>
      <c r="G2132" s="40"/>
      <c r="H2132" s="14"/>
      <c r="I2132" s="17"/>
      <c r="J2132" s="10"/>
      <c r="M2132" s="39"/>
      <c r="O2132" s="39"/>
      <c r="Q2132" s="39"/>
      <c r="R2132" s="28"/>
      <c r="S2132" s="28"/>
      <c r="T2132" s="28"/>
      <c r="U2132" s="4"/>
      <c r="V2132" s="3"/>
      <c r="W2132" s="3"/>
    </row>
    <row r="2133" spans="1:23" s="5" customFormat="1">
      <c r="A2133" s="6"/>
      <c r="B2133" s="33"/>
      <c r="C2133" s="35"/>
      <c r="E2133" s="39"/>
      <c r="G2133" s="40"/>
      <c r="H2133" s="14"/>
      <c r="I2133" s="17"/>
      <c r="J2133" s="10"/>
      <c r="M2133" s="39"/>
      <c r="O2133" s="39"/>
      <c r="Q2133" s="39"/>
      <c r="R2133" s="28"/>
      <c r="S2133" s="28"/>
      <c r="T2133" s="28"/>
      <c r="U2133" s="4"/>
      <c r="V2133" s="3"/>
      <c r="W2133" s="3"/>
    </row>
    <row r="2134" spans="1:23" s="5" customFormat="1">
      <c r="A2134" s="6"/>
      <c r="B2134" s="33"/>
      <c r="C2134" s="35"/>
      <c r="E2134" s="39"/>
      <c r="G2134" s="40"/>
      <c r="H2134" s="14"/>
      <c r="I2134" s="17"/>
      <c r="J2134" s="10"/>
      <c r="M2134" s="39"/>
      <c r="O2134" s="39"/>
      <c r="Q2134" s="39"/>
      <c r="R2134" s="28"/>
      <c r="S2134" s="28"/>
      <c r="T2134" s="28"/>
      <c r="U2134" s="4"/>
      <c r="V2134" s="3"/>
      <c r="W2134" s="3"/>
    </row>
    <row r="2135" spans="1:23" s="5" customFormat="1">
      <c r="A2135" s="6"/>
      <c r="B2135" s="33"/>
      <c r="C2135" s="35"/>
      <c r="E2135" s="39"/>
      <c r="G2135" s="40"/>
      <c r="H2135" s="14"/>
      <c r="I2135" s="17"/>
      <c r="J2135" s="10"/>
      <c r="M2135" s="39"/>
      <c r="O2135" s="39"/>
      <c r="Q2135" s="39"/>
      <c r="R2135" s="28"/>
      <c r="S2135" s="28"/>
      <c r="T2135" s="28"/>
      <c r="U2135" s="4"/>
      <c r="V2135" s="3"/>
      <c r="W2135" s="3"/>
    </row>
    <row r="2136" spans="1:23" s="5" customFormat="1">
      <c r="A2136" s="6"/>
      <c r="B2136" s="33"/>
      <c r="C2136" s="35"/>
      <c r="E2136" s="39"/>
      <c r="G2136" s="40"/>
      <c r="H2136" s="15"/>
      <c r="I2136" s="17"/>
      <c r="J2136" s="10"/>
      <c r="M2136" s="39"/>
      <c r="O2136" s="39"/>
      <c r="Q2136" s="39"/>
      <c r="R2136" s="28"/>
      <c r="S2136" s="28"/>
      <c r="T2136" s="28"/>
      <c r="U2136" s="4"/>
      <c r="V2136" s="3"/>
      <c r="W2136" s="3"/>
    </row>
    <row r="2137" spans="1:23" s="5" customFormat="1">
      <c r="A2137" s="6"/>
      <c r="B2137" s="33"/>
      <c r="C2137" s="35"/>
      <c r="E2137" s="39"/>
      <c r="G2137" s="40"/>
      <c r="H2137" s="15"/>
      <c r="I2137" s="17"/>
      <c r="J2137" s="10"/>
      <c r="M2137" s="39"/>
      <c r="O2137" s="39"/>
      <c r="Q2137" s="39"/>
      <c r="R2137" s="28"/>
      <c r="S2137" s="28"/>
      <c r="T2137" s="28"/>
      <c r="U2137" s="4"/>
      <c r="V2137" s="3"/>
      <c r="W2137" s="3"/>
    </row>
    <row r="2138" spans="1:23" s="5" customFormat="1">
      <c r="A2138" s="6"/>
      <c r="B2138" s="33"/>
      <c r="C2138" s="35"/>
      <c r="E2138" s="39"/>
      <c r="G2138" s="40"/>
      <c r="H2138" s="14"/>
      <c r="I2138" s="17"/>
      <c r="J2138" s="10"/>
      <c r="M2138" s="39"/>
      <c r="O2138" s="39"/>
      <c r="Q2138" s="39"/>
      <c r="R2138" s="28"/>
      <c r="S2138" s="28"/>
      <c r="T2138" s="28"/>
      <c r="U2138" s="4"/>
      <c r="V2138" s="3"/>
      <c r="W2138" s="3"/>
    </row>
    <row r="2139" spans="1:23" s="5" customFormat="1">
      <c r="A2139" s="6"/>
      <c r="B2139" s="33"/>
      <c r="C2139" s="35"/>
      <c r="E2139" s="39"/>
      <c r="G2139" s="40"/>
      <c r="H2139" s="14"/>
      <c r="I2139" s="17"/>
      <c r="J2139" s="10"/>
      <c r="M2139" s="39"/>
      <c r="O2139" s="39"/>
      <c r="Q2139" s="39"/>
      <c r="R2139" s="28"/>
      <c r="S2139" s="28"/>
      <c r="T2139" s="28"/>
      <c r="U2139" s="4"/>
      <c r="V2139" s="3"/>
      <c r="W2139" s="3"/>
    </row>
    <row r="2140" spans="1:23" s="5" customFormat="1">
      <c r="A2140" s="6"/>
      <c r="B2140" s="33"/>
      <c r="C2140" s="35"/>
      <c r="E2140" s="39"/>
      <c r="G2140" s="40"/>
      <c r="H2140" s="15"/>
      <c r="I2140" s="17"/>
      <c r="J2140" s="10"/>
      <c r="M2140" s="39"/>
      <c r="O2140" s="39"/>
      <c r="Q2140" s="39"/>
      <c r="R2140" s="28"/>
      <c r="S2140" s="28"/>
      <c r="T2140" s="28"/>
      <c r="U2140" s="4"/>
      <c r="V2140" s="3"/>
      <c r="W2140" s="3"/>
    </row>
    <row r="2141" spans="1:23" s="5" customFormat="1">
      <c r="A2141" s="6"/>
      <c r="B2141" s="33"/>
      <c r="C2141" s="35"/>
      <c r="E2141" s="39"/>
      <c r="G2141" s="40"/>
      <c r="H2141" s="14"/>
      <c r="I2141" s="17"/>
      <c r="J2141" s="10"/>
      <c r="M2141" s="39"/>
      <c r="O2141" s="39"/>
      <c r="Q2141" s="39"/>
      <c r="R2141" s="28"/>
      <c r="S2141" s="28"/>
      <c r="T2141" s="28"/>
      <c r="U2141" s="4"/>
      <c r="V2141" s="3"/>
      <c r="W2141" s="3"/>
    </row>
    <row r="2142" spans="1:23" s="5" customFormat="1">
      <c r="A2142" s="6"/>
      <c r="B2142" s="33"/>
      <c r="C2142" s="35"/>
      <c r="E2142" s="39"/>
      <c r="G2142" s="40"/>
      <c r="H2142" s="15"/>
      <c r="I2142" s="17"/>
      <c r="J2142" s="10"/>
      <c r="M2142" s="39"/>
      <c r="O2142" s="39"/>
      <c r="Q2142" s="39"/>
      <c r="R2142" s="28"/>
      <c r="S2142" s="28"/>
      <c r="T2142" s="28"/>
      <c r="U2142" s="4"/>
      <c r="V2142" s="3"/>
      <c r="W2142" s="3"/>
    </row>
    <row r="2143" spans="1:23" s="5" customFormat="1">
      <c r="A2143" s="6"/>
      <c r="B2143" s="33"/>
      <c r="C2143" s="35"/>
      <c r="E2143" s="39"/>
      <c r="G2143" s="40"/>
      <c r="H2143" s="14"/>
      <c r="I2143" s="17"/>
      <c r="J2143" s="10"/>
      <c r="M2143" s="39"/>
      <c r="O2143" s="39"/>
      <c r="Q2143" s="39"/>
      <c r="R2143" s="28"/>
      <c r="S2143" s="29"/>
      <c r="T2143" s="28"/>
      <c r="U2143" s="4"/>
      <c r="V2143" s="3"/>
      <c r="W2143" s="3"/>
    </row>
    <row r="2144" spans="1:23" s="5" customFormat="1">
      <c r="A2144" s="6"/>
      <c r="B2144" s="33"/>
      <c r="C2144" s="35"/>
      <c r="E2144" s="39"/>
      <c r="G2144" s="40"/>
      <c r="H2144" s="15"/>
      <c r="I2144" s="17"/>
      <c r="J2144" s="10"/>
      <c r="M2144" s="39"/>
      <c r="O2144" s="39"/>
      <c r="Q2144" s="39"/>
      <c r="R2144" s="28"/>
      <c r="S2144" s="28"/>
      <c r="T2144" s="28"/>
      <c r="U2144" s="4"/>
      <c r="V2144" s="3"/>
      <c r="W2144" s="3"/>
    </row>
    <row r="2145" spans="1:23" s="5" customFormat="1">
      <c r="A2145" s="6"/>
      <c r="B2145" s="33"/>
      <c r="C2145" s="35"/>
      <c r="E2145" s="39"/>
      <c r="G2145" s="40"/>
      <c r="H2145" s="15"/>
      <c r="I2145" s="17"/>
      <c r="J2145" s="10"/>
      <c r="M2145" s="39"/>
      <c r="O2145" s="39"/>
      <c r="Q2145" s="39"/>
      <c r="R2145" s="28"/>
      <c r="S2145" s="28"/>
      <c r="T2145" s="28"/>
      <c r="U2145" s="4"/>
      <c r="V2145" s="3"/>
      <c r="W2145" s="3"/>
    </row>
    <row r="2146" spans="1:23" s="5" customFormat="1">
      <c r="A2146" s="6"/>
      <c r="B2146" s="33"/>
      <c r="C2146" s="35"/>
      <c r="E2146" s="39"/>
      <c r="G2146" s="40"/>
      <c r="H2146" s="14"/>
      <c r="I2146" s="17"/>
      <c r="J2146" s="10"/>
      <c r="M2146" s="39"/>
      <c r="O2146" s="39"/>
      <c r="Q2146" s="39"/>
      <c r="R2146" s="28"/>
      <c r="S2146" s="28"/>
      <c r="T2146" s="28"/>
      <c r="U2146" s="4"/>
      <c r="V2146" s="3"/>
      <c r="W2146" s="3"/>
    </row>
    <row r="2147" spans="1:23" s="5" customFormat="1">
      <c r="A2147" s="6"/>
      <c r="B2147" s="33"/>
      <c r="C2147" s="35"/>
      <c r="E2147" s="39"/>
      <c r="G2147" s="40"/>
      <c r="H2147" s="15"/>
      <c r="I2147" s="17"/>
      <c r="J2147" s="10"/>
      <c r="M2147" s="39"/>
      <c r="O2147" s="39"/>
      <c r="Q2147" s="39"/>
      <c r="R2147" s="28"/>
      <c r="S2147" s="28"/>
      <c r="T2147" s="28"/>
      <c r="U2147" s="4"/>
      <c r="V2147" s="3"/>
      <c r="W2147" s="3"/>
    </row>
    <row r="2148" spans="1:23" s="5" customFormat="1">
      <c r="A2148" s="6"/>
      <c r="B2148" s="33"/>
      <c r="C2148" s="35"/>
      <c r="E2148" s="39"/>
      <c r="G2148" s="40"/>
      <c r="H2148" s="14"/>
      <c r="I2148" s="17"/>
      <c r="J2148" s="10"/>
      <c r="M2148" s="39"/>
      <c r="O2148" s="39"/>
      <c r="Q2148" s="39"/>
      <c r="R2148" s="28"/>
      <c r="S2148" s="28"/>
      <c r="T2148" s="28"/>
      <c r="U2148" s="4"/>
      <c r="V2148" s="3"/>
      <c r="W2148" s="3"/>
    </row>
    <row r="2149" spans="1:23" s="5" customFormat="1">
      <c r="A2149" s="6"/>
      <c r="B2149" s="33"/>
      <c r="C2149" s="35"/>
      <c r="E2149" s="39"/>
      <c r="G2149" s="40"/>
      <c r="H2149" s="15"/>
      <c r="I2149" s="17"/>
      <c r="J2149" s="10"/>
      <c r="M2149" s="39"/>
      <c r="O2149" s="39"/>
      <c r="Q2149" s="39"/>
      <c r="R2149" s="28"/>
      <c r="S2149" s="28"/>
      <c r="T2149" s="28"/>
      <c r="U2149" s="4"/>
      <c r="V2149" s="3"/>
      <c r="W2149" s="3"/>
    </row>
    <row r="2150" spans="1:23" s="5" customFormat="1">
      <c r="A2150" s="6"/>
      <c r="B2150" s="33"/>
      <c r="C2150" s="35"/>
      <c r="E2150" s="39"/>
      <c r="G2150" s="40"/>
      <c r="H2150" s="15"/>
      <c r="I2150" s="17"/>
      <c r="J2150" s="10"/>
      <c r="M2150" s="39"/>
      <c r="O2150" s="39"/>
      <c r="Q2150" s="39"/>
      <c r="R2150" s="28"/>
      <c r="S2150" s="28"/>
      <c r="T2150" s="28"/>
      <c r="U2150" s="4"/>
      <c r="V2150" s="3"/>
      <c r="W2150" s="3"/>
    </row>
    <row r="2151" spans="1:23" s="5" customFormat="1">
      <c r="A2151" s="6"/>
      <c r="B2151" s="33"/>
      <c r="C2151" s="35"/>
      <c r="E2151" s="39"/>
      <c r="G2151" s="40"/>
      <c r="H2151" s="14"/>
      <c r="I2151" s="17"/>
      <c r="J2151" s="10"/>
      <c r="M2151" s="39"/>
      <c r="O2151" s="39"/>
      <c r="Q2151" s="39"/>
      <c r="R2151" s="28"/>
      <c r="S2151" s="28"/>
      <c r="T2151" s="28"/>
      <c r="U2151" s="4"/>
      <c r="V2151" s="3"/>
      <c r="W2151" s="3"/>
    </row>
    <row r="2152" spans="1:23" s="5" customFormat="1">
      <c r="A2152" s="6"/>
      <c r="B2152" s="33"/>
      <c r="C2152" s="35"/>
      <c r="E2152" s="39"/>
      <c r="G2152" s="40"/>
      <c r="H2152" s="15"/>
      <c r="I2152" s="17"/>
      <c r="J2152" s="10"/>
      <c r="M2152" s="39"/>
      <c r="O2152" s="39"/>
      <c r="Q2152" s="39"/>
      <c r="R2152" s="28"/>
      <c r="S2152" s="28"/>
      <c r="T2152" s="28"/>
      <c r="U2152" s="4"/>
      <c r="V2152" s="3"/>
      <c r="W2152" s="3"/>
    </row>
    <row r="2153" spans="1:23" s="5" customFormat="1">
      <c r="A2153" s="6"/>
      <c r="B2153" s="33"/>
      <c r="C2153" s="35"/>
      <c r="E2153" s="39"/>
      <c r="G2153" s="40"/>
      <c r="H2153" s="15"/>
      <c r="I2153" s="17"/>
      <c r="J2153" s="10"/>
      <c r="M2153" s="39"/>
      <c r="O2153" s="39"/>
      <c r="Q2153" s="39"/>
      <c r="R2153" s="28"/>
      <c r="S2153" s="28"/>
      <c r="T2153" s="28"/>
      <c r="U2153" s="4"/>
      <c r="V2153" s="3"/>
      <c r="W2153" s="3"/>
    </row>
    <row r="2154" spans="1:23" s="5" customFormat="1">
      <c r="A2154" s="20"/>
      <c r="B2154" s="33"/>
      <c r="C2154" s="35"/>
      <c r="D2154" s="1"/>
      <c r="E2154" s="39"/>
      <c r="F2154" s="1"/>
      <c r="G2154" s="40"/>
      <c r="H2154" s="12"/>
      <c r="I2154" s="17"/>
      <c r="J2154" s="12"/>
      <c r="L2154" s="1"/>
      <c r="M2154" s="39"/>
      <c r="N2154" s="1"/>
      <c r="O2154" s="39"/>
      <c r="P2154" s="1"/>
      <c r="Q2154" s="39"/>
      <c r="R2154" s="28"/>
      <c r="S2154" s="28"/>
      <c r="T2154" s="28"/>
      <c r="U2154" s="4"/>
      <c r="V2154" s="3"/>
      <c r="W2154" s="3"/>
    </row>
    <row r="2155" spans="1:23" s="5" customFormat="1">
      <c r="A2155" s="6"/>
      <c r="B2155" s="33"/>
      <c r="C2155" s="35"/>
      <c r="E2155" s="39"/>
      <c r="G2155" s="40"/>
      <c r="H2155" s="15"/>
      <c r="I2155" s="17"/>
      <c r="J2155" s="10"/>
      <c r="M2155" s="39"/>
      <c r="O2155" s="39"/>
      <c r="Q2155" s="39"/>
      <c r="R2155" s="28"/>
      <c r="S2155" s="28"/>
      <c r="T2155" s="28"/>
      <c r="U2155" s="4"/>
      <c r="V2155" s="3"/>
      <c r="W2155" s="3"/>
    </row>
    <row r="2156" spans="1:23" s="5" customFormat="1">
      <c r="A2156" s="6"/>
      <c r="B2156" s="33"/>
      <c r="C2156" s="35"/>
      <c r="E2156" s="39"/>
      <c r="G2156" s="40"/>
      <c r="H2156" s="15"/>
      <c r="I2156" s="17"/>
      <c r="J2156" s="10"/>
      <c r="M2156" s="39"/>
      <c r="O2156" s="39"/>
      <c r="Q2156" s="39"/>
      <c r="R2156" s="28"/>
      <c r="S2156" s="28"/>
      <c r="T2156" s="28"/>
      <c r="U2156" s="4"/>
      <c r="V2156" s="3"/>
      <c r="W2156" s="3"/>
    </row>
    <row r="2157" spans="1:23" s="5" customFormat="1">
      <c r="A2157" s="6"/>
      <c r="B2157" s="33"/>
      <c r="C2157" s="35"/>
      <c r="E2157" s="39"/>
      <c r="G2157" s="40"/>
      <c r="H2157" s="15"/>
      <c r="I2157" s="17"/>
      <c r="J2157" s="10"/>
      <c r="M2157" s="39"/>
      <c r="O2157" s="39"/>
      <c r="Q2157" s="39"/>
      <c r="R2157" s="28"/>
      <c r="S2157" s="28"/>
      <c r="T2157" s="28"/>
      <c r="U2157" s="4"/>
      <c r="V2157" s="3"/>
      <c r="W2157" s="3"/>
    </row>
    <row r="2158" spans="1:23" s="5" customFormat="1">
      <c r="A2158" s="6"/>
      <c r="B2158" s="33"/>
      <c r="C2158" s="35"/>
      <c r="E2158" s="39"/>
      <c r="G2158" s="40"/>
      <c r="H2158" s="14"/>
      <c r="I2158" s="17"/>
      <c r="J2158" s="10"/>
      <c r="M2158" s="39"/>
      <c r="O2158" s="39"/>
      <c r="Q2158" s="39"/>
      <c r="R2158" s="28"/>
      <c r="S2158" s="28"/>
      <c r="T2158" s="28"/>
      <c r="U2158" s="4"/>
      <c r="V2158" s="3"/>
      <c r="W2158" s="3"/>
    </row>
    <row r="2159" spans="1:23" s="5" customFormat="1">
      <c r="A2159" s="6"/>
      <c r="B2159" s="33"/>
      <c r="C2159" s="35"/>
      <c r="E2159" s="39"/>
      <c r="G2159" s="40"/>
      <c r="H2159" s="15"/>
      <c r="I2159" s="17"/>
      <c r="J2159" s="10"/>
      <c r="M2159" s="39"/>
      <c r="O2159" s="39"/>
      <c r="Q2159" s="39"/>
      <c r="R2159" s="28"/>
      <c r="S2159" s="28"/>
      <c r="T2159" s="28"/>
      <c r="U2159" s="4"/>
      <c r="V2159" s="3"/>
      <c r="W2159" s="3"/>
    </row>
    <row r="2160" spans="1:23" s="5" customFormat="1">
      <c r="A2160" s="6"/>
      <c r="B2160" s="33"/>
      <c r="C2160" s="35"/>
      <c r="E2160" s="39"/>
      <c r="G2160" s="40"/>
      <c r="H2160" s="14"/>
      <c r="I2160" s="17"/>
      <c r="J2160" s="10"/>
      <c r="M2160" s="39"/>
      <c r="O2160" s="39"/>
      <c r="Q2160" s="39"/>
      <c r="R2160" s="28"/>
      <c r="S2160" s="28"/>
      <c r="T2160" s="28"/>
      <c r="U2160" s="4"/>
      <c r="V2160" s="3"/>
      <c r="W2160" s="3"/>
    </row>
    <row r="2161" spans="1:23" s="5" customFormat="1">
      <c r="A2161" s="6"/>
      <c r="B2161" s="33"/>
      <c r="C2161" s="35"/>
      <c r="E2161" s="39"/>
      <c r="G2161" s="40"/>
      <c r="H2161" s="15"/>
      <c r="I2161" s="17"/>
      <c r="J2161" s="10"/>
      <c r="M2161" s="39"/>
      <c r="O2161" s="39"/>
      <c r="Q2161" s="39"/>
      <c r="R2161" s="28"/>
      <c r="S2161" s="28"/>
      <c r="T2161" s="28"/>
      <c r="U2161" s="4"/>
      <c r="V2161" s="3"/>
      <c r="W2161" s="3"/>
    </row>
    <row r="2162" spans="1:23" s="5" customFormat="1">
      <c r="A2162" s="6"/>
      <c r="B2162" s="33"/>
      <c r="C2162" s="35"/>
      <c r="E2162" s="39"/>
      <c r="G2162" s="40"/>
      <c r="H2162" s="15"/>
      <c r="I2162" s="17"/>
      <c r="J2162" s="10"/>
      <c r="M2162" s="39"/>
      <c r="O2162" s="39"/>
      <c r="Q2162" s="39"/>
      <c r="R2162" s="28"/>
      <c r="S2162" s="28"/>
      <c r="T2162" s="28"/>
      <c r="U2162" s="4"/>
      <c r="V2162" s="3"/>
      <c r="W2162" s="3"/>
    </row>
    <row r="2163" spans="1:23" s="5" customFormat="1">
      <c r="A2163" s="6"/>
      <c r="B2163" s="33"/>
      <c r="C2163" s="35"/>
      <c r="E2163" s="39"/>
      <c r="G2163" s="40"/>
      <c r="H2163" s="14"/>
      <c r="I2163" s="17"/>
      <c r="J2163" s="10"/>
      <c r="M2163" s="39"/>
      <c r="O2163" s="39"/>
      <c r="Q2163" s="39"/>
      <c r="R2163" s="28"/>
      <c r="S2163" s="28"/>
      <c r="T2163" s="28"/>
      <c r="U2163" s="4"/>
      <c r="V2163" s="3"/>
      <c r="W2163" s="3"/>
    </row>
    <row r="2164" spans="1:23" s="5" customFormat="1">
      <c r="A2164" s="6"/>
      <c r="B2164" s="33"/>
      <c r="C2164" s="35"/>
      <c r="E2164" s="39"/>
      <c r="G2164" s="40"/>
      <c r="H2164" s="14"/>
      <c r="I2164" s="17"/>
      <c r="J2164" s="10"/>
      <c r="M2164" s="39"/>
      <c r="O2164" s="39"/>
      <c r="Q2164" s="39"/>
      <c r="R2164" s="28"/>
      <c r="S2164" s="28"/>
      <c r="T2164" s="28"/>
      <c r="U2164" s="4"/>
      <c r="V2164" s="3"/>
      <c r="W2164" s="3"/>
    </row>
    <row r="2165" spans="1:23" s="5" customFormat="1">
      <c r="A2165" s="6"/>
      <c r="B2165" s="33"/>
      <c r="C2165" s="35"/>
      <c r="E2165" s="39"/>
      <c r="G2165" s="40"/>
      <c r="H2165" s="15"/>
      <c r="I2165" s="17"/>
      <c r="J2165" s="10"/>
      <c r="M2165" s="39"/>
      <c r="O2165" s="39"/>
      <c r="Q2165" s="39"/>
      <c r="R2165" s="28"/>
      <c r="S2165" s="28"/>
      <c r="T2165" s="28"/>
      <c r="U2165" s="4"/>
      <c r="V2165" s="3"/>
      <c r="W2165" s="3"/>
    </row>
    <row r="2166" spans="1:23" s="5" customFormat="1">
      <c r="A2166" s="6"/>
      <c r="B2166" s="33"/>
      <c r="C2166" s="35"/>
      <c r="E2166" s="39"/>
      <c r="G2166" s="40"/>
      <c r="H2166" s="15"/>
      <c r="I2166" s="17"/>
      <c r="J2166" s="10"/>
      <c r="M2166" s="39"/>
      <c r="O2166" s="39"/>
      <c r="Q2166" s="39"/>
      <c r="R2166" s="28"/>
      <c r="S2166" s="28"/>
      <c r="T2166" s="28"/>
      <c r="U2166" s="4"/>
      <c r="V2166" s="3"/>
      <c r="W2166" s="3"/>
    </row>
    <row r="2167" spans="1:23" s="5" customFormat="1">
      <c r="A2167" s="6"/>
      <c r="B2167" s="33"/>
      <c r="C2167" s="35"/>
      <c r="E2167" s="39"/>
      <c r="G2167" s="40"/>
      <c r="H2167" s="15"/>
      <c r="I2167" s="17"/>
      <c r="J2167" s="10"/>
      <c r="M2167" s="39"/>
      <c r="O2167" s="39"/>
      <c r="Q2167" s="39"/>
      <c r="R2167" s="28"/>
      <c r="S2167" s="29"/>
      <c r="T2167" s="28"/>
      <c r="U2167" s="4"/>
      <c r="V2167" s="3"/>
      <c r="W2167" s="3"/>
    </row>
    <row r="2168" spans="1:23" s="5" customFormat="1">
      <c r="A2168" s="6"/>
      <c r="B2168" s="33"/>
      <c r="C2168" s="35"/>
      <c r="E2168" s="39"/>
      <c r="G2168" s="40"/>
      <c r="H2168" s="15"/>
      <c r="I2168" s="17"/>
      <c r="J2168" s="10"/>
      <c r="M2168" s="39"/>
      <c r="O2168" s="39"/>
      <c r="Q2168" s="39"/>
      <c r="R2168" s="28"/>
      <c r="S2168" s="29"/>
      <c r="T2168" s="28"/>
      <c r="U2168" s="4"/>
      <c r="V2168" s="3"/>
      <c r="W2168" s="3"/>
    </row>
    <row r="2169" spans="1:23" s="5" customFormat="1">
      <c r="A2169" s="6"/>
      <c r="B2169" s="33"/>
      <c r="C2169" s="35"/>
      <c r="E2169" s="39"/>
      <c r="G2169" s="40"/>
      <c r="H2169" s="15"/>
      <c r="I2169" s="17"/>
      <c r="J2169" s="10"/>
      <c r="M2169" s="39"/>
      <c r="O2169" s="39"/>
      <c r="Q2169" s="39"/>
      <c r="R2169" s="28"/>
      <c r="S2169" s="28"/>
      <c r="T2169" s="28"/>
      <c r="U2169" s="4"/>
      <c r="V2169" s="3"/>
      <c r="W2169" s="3"/>
    </row>
    <row r="2170" spans="1:23" s="5" customFormat="1">
      <c r="A2170" s="6"/>
      <c r="B2170" s="33"/>
      <c r="C2170" s="35"/>
      <c r="E2170" s="39"/>
      <c r="G2170" s="40"/>
      <c r="H2170" s="15"/>
      <c r="I2170" s="17"/>
      <c r="J2170" s="10"/>
      <c r="M2170" s="39"/>
      <c r="O2170" s="39"/>
      <c r="Q2170" s="39"/>
      <c r="R2170" s="28"/>
      <c r="S2170" s="28"/>
      <c r="T2170" s="28"/>
      <c r="U2170" s="4"/>
      <c r="V2170" s="3"/>
      <c r="W2170" s="3"/>
    </row>
    <row r="2171" spans="1:23" s="5" customFormat="1">
      <c r="A2171" s="6"/>
      <c r="B2171" s="33"/>
      <c r="C2171" s="35"/>
      <c r="E2171" s="39"/>
      <c r="G2171" s="40"/>
      <c r="H2171" s="15"/>
      <c r="I2171" s="17"/>
      <c r="J2171" s="10"/>
      <c r="M2171" s="39"/>
      <c r="O2171" s="39"/>
      <c r="Q2171" s="39"/>
      <c r="R2171" s="28"/>
      <c r="S2171" s="28"/>
      <c r="T2171" s="28"/>
      <c r="U2171" s="4"/>
      <c r="V2171" s="3"/>
      <c r="W2171" s="3"/>
    </row>
    <row r="2172" spans="1:23" s="5" customFormat="1">
      <c r="A2172" s="6"/>
      <c r="B2172" s="33"/>
      <c r="C2172" s="35"/>
      <c r="E2172" s="39"/>
      <c r="G2172" s="40"/>
      <c r="H2172" s="15"/>
      <c r="I2172" s="17"/>
      <c r="J2172" s="10"/>
      <c r="M2172" s="39"/>
      <c r="O2172" s="39"/>
      <c r="Q2172" s="39"/>
      <c r="R2172" s="28"/>
      <c r="S2172" s="28"/>
      <c r="T2172" s="28"/>
      <c r="U2172" s="4"/>
      <c r="V2172" s="3"/>
      <c r="W2172" s="3"/>
    </row>
    <row r="2173" spans="1:23" s="5" customFormat="1">
      <c r="A2173" s="6"/>
      <c r="B2173" s="33"/>
      <c r="C2173" s="35"/>
      <c r="E2173" s="39"/>
      <c r="G2173" s="40"/>
      <c r="H2173" s="15"/>
      <c r="I2173" s="17"/>
      <c r="J2173" s="10"/>
      <c r="M2173" s="39"/>
      <c r="O2173" s="39"/>
      <c r="Q2173" s="39"/>
      <c r="R2173" s="28"/>
      <c r="S2173" s="28"/>
      <c r="T2173" s="28"/>
      <c r="U2173" s="4"/>
      <c r="V2173" s="3"/>
      <c r="W2173" s="3"/>
    </row>
    <row r="2174" spans="1:23" s="5" customFormat="1">
      <c r="A2174" s="6"/>
      <c r="B2174" s="33"/>
      <c r="C2174" s="35"/>
      <c r="E2174" s="39"/>
      <c r="G2174" s="40"/>
      <c r="H2174" s="15"/>
      <c r="I2174" s="17"/>
      <c r="J2174" s="10"/>
      <c r="M2174" s="39"/>
      <c r="O2174" s="39"/>
      <c r="Q2174" s="39"/>
      <c r="R2174" s="28"/>
      <c r="S2174" s="28"/>
      <c r="T2174" s="28"/>
      <c r="U2174" s="4"/>
      <c r="V2174" s="3"/>
      <c r="W2174" s="3"/>
    </row>
    <row r="2175" spans="1:23" s="5" customFormat="1">
      <c r="A2175" s="6"/>
      <c r="B2175" s="33"/>
      <c r="C2175" s="35"/>
      <c r="E2175" s="39"/>
      <c r="G2175" s="40"/>
      <c r="H2175" s="15"/>
      <c r="I2175" s="17"/>
      <c r="J2175" s="10"/>
      <c r="M2175" s="39"/>
      <c r="O2175" s="39"/>
      <c r="Q2175" s="39"/>
      <c r="R2175" s="28"/>
      <c r="S2175" s="28"/>
      <c r="T2175" s="28"/>
      <c r="U2175" s="4"/>
      <c r="V2175" s="3"/>
      <c r="W2175" s="3"/>
    </row>
    <row r="2176" spans="1:23" s="5" customFormat="1">
      <c r="A2176" s="6"/>
      <c r="B2176" s="33"/>
      <c r="C2176" s="35"/>
      <c r="E2176" s="39"/>
      <c r="G2176" s="40"/>
      <c r="H2176" s="15"/>
      <c r="I2176" s="17"/>
      <c r="J2176" s="10"/>
      <c r="M2176" s="39"/>
      <c r="O2176" s="39"/>
      <c r="Q2176" s="39"/>
      <c r="R2176" s="28"/>
      <c r="S2176" s="28"/>
      <c r="T2176" s="28"/>
      <c r="U2176" s="4"/>
      <c r="V2176" s="3"/>
      <c r="W2176" s="3"/>
    </row>
    <row r="2177" spans="1:24" s="5" customFormat="1">
      <c r="A2177" s="6"/>
      <c r="B2177" s="33"/>
      <c r="C2177" s="35"/>
      <c r="E2177" s="39"/>
      <c r="G2177" s="40"/>
      <c r="H2177" s="14"/>
      <c r="I2177" s="17"/>
      <c r="J2177" s="10"/>
      <c r="M2177" s="39"/>
      <c r="O2177" s="39"/>
      <c r="Q2177" s="39"/>
      <c r="R2177" s="28"/>
      <c r="S2177" s="28"/>
      <c r="T2177" s="28"/>
      <c r="U2177" s="4"/>
      <c r="V2177" s="3"/>
      <c r="W2177" s="3"/>
    </row>
    <row r="2178" spans="1:24" s="5" customFormat="1">
      <c r="A2178" s="6"/>
      <c r="B2178" s="33"/>
      <c r="C2178" s="35"/>
      <c r="E2178" s="39"/>
      <c r="G2178" s="40"/>
      <c r="H2178" s="15"/>
      <c r="I2178" s="17"/>
      <c r="J2178" s="10"/>
      <c r="M2178" s="39"/>
      <c r="O2178" s="39"/>
      <c r="Q2178" s="39"/>
      <c r="R2178" s="28"/>
      <c r="S2178" s="28"/>
      <c r="T2178" s="28"/>
      <c r="U2178" s="4"/>
      <c r="V2178" s="3"/>
      <c r="W2178" s="3"/>
    </row>
    <row r="2179" spans="1:24" s="5" customFormat="1">
      <c r="A2179" s="6"/>
      <c r="B2179" s="33"/>
      <c r="C2179" s="35"/>
      <c r="E2179" s="39"/>
      <c r="G2179" s="40"/>
      <c r="H2179" s="15"/>
      <c r="I2179" s="17"/>
      <c r="J2179" s="10"/>
      <c r="M2179" s="39"/>
      <c r="O2179" s="39"/>
      <c r="Q2179" s="39"/>
      <c r="R2179" s="28"/>
      <c r="S2179" s="28"/>
      <c r="T2179" s="28"/>
      <c r="U2179" s="4"/>
      <c r="V2179" s="3"/>
      <c r="W2179" s="3"/>
    </row>
    <row r="2180" spans="1:24" s="5" customFormat="1">
      <c r="A2180" s="6"/>
      <c r="B2180" s="33"/>
      <c r="C2180" s="35"/>
      <c r="E2180" s="39"/>
      <c r="G2180" s="40"/>
      <c r="H2180" s="15"/>
      <c r="I2180" s="17"/>
      <c r="J2180" s="10"/>
      <c r="M2180" s="39"/>
      <c r="O2180" s="39"/>
      <c r="Q2180" s="39"/>
      <c r="R2180" s="28"/>
      <c r="S2180" s="28"/>
      <c r="T2180" s="28"/>
      <c r="U2180" s="4"/>
      <c r="V2180" s="3"/>
      <c r="W2180" s="3"/>
    </row>
    <row r="2181" spans="1:24" s="5" customFormat="1">
      <c r="A2181" s="6"/>
      <c r="B2181" s="33"/>
      <c r="C2181" s="35"/>
      <c r="E2181" s="39"/>
      <c r="G2181" s="40"/>
      <c r="H2181" s="15"/>
      <c r="I2181" s="17"/>
      <c r="J2181" s="10"/>
      <c r="M2181" s="39"/>
      <c r="O2181" s="39"/>
      <c r="Q2181" s="39"/>
      <c r="R2181" s="28"/>
      <c r="S2181" s="28"/>
      <c r="T2181" s="28"/>
      <c r="U2181" s="4"/>
      <c r="V2181" s="3"/>
      <c r="W2181" s="3"/>
    </row>
    <row r="2182" spans="1:24" s="5" customFormat="1">
      <c r="A2182" s="6"/>
      <c r="B2182" s="33"/>
      <c r="C2182" s="35"/>
      <c r="E2182" s="39"/>
      <c r="G2182" s="40"/>
      <c r="H2182" s="15"/>
      <c r="I2182" s="17"/>
      <c r="J2182" s="10"/>
      <c r="M2182" s="39"/>
      <c r="O2182" s="39"/>
      <c r="Q2182" s="39"/>
      <c r="R2182" s="28"/>
      <c r="S2182" s="28"/>
      <c r="T2182" s="28"/>
      <c r="U2182" s="4"/>
      <c r="V2182" s="3"/>
      <c r="W2182" s="3"/>
    </row>
    <row r="2183" spans="1:24" s="5" customFormat="1">
      <c r="A2183" s="6"/>
      <c r="B2183" s="33"/>
      <c r="C2183" s="35"/>
      <c r="E2183" s="39"/>
      <c r="G2183" s="40"/>
      <c r="H2183" s="15"/>
      <c r="I2183" s="17"/>
      <c r="J2183" s="10"/>
      <c r="M2183" s="39"/>
      <c r="O2183" s="39"/>
      <c r="Q2183" s="39"/>
      <c r="R2183" s="28"/>
      <c r="S2183" s="28"/>
      <c r="T2183" s="28"/>
      <c r="U2183" s="4"/>
      <c r="V2183" s="3"/>
      <c r="W2183" s="3"/>
    </row>
    <row r="2184" spans="1:24" s="5" customFormat="1">
      <c r="A2184" s="6"/>
      <c r="B2184" s="33"/>
      <c r="C2184" s="35"/>
      <c r="E2184" s="39"/>
      <c r="G2184" s="40"/>
      <c r="H2184" s="15"/>
      <c r="I2184" s="17"/>
      <c r="J2184" s="10"/>
      <c r="M2184" s="39"/>
      <c r="O2184" s="39"/>
      <c r="Q2184" s="39"/>
      <c r="R2184" s="28"/>
      <c r="S2184" s="28"/>
      <c r="T2184" s="28"/>
      <c r="U2184" s="4"/>
      <c r="V2184" s="3"/>
      <c r="W2184" s="3"/>
    </row>
    <row r="2185" spans="1:24" s="5" customFormat="1">
      <c r="A2185" s="6"/>
      <c r="B2185" s="33"/>
      <c r="C2185" s="35"/>
      <c r="E2185" s="39"/>
      <c r="G2185" s="40"/>
      <c r="H2185" s="15"/>
      <c r="I2185" s="17"/>
      <c r="J2185" s="10"/>
      <c r="M2185" s="39"/>
      <c r="O2185" s="39"/>
      <c r="Q2185" s="39"/>
      <c r="R2185" s="28"/>
      <c r="S2185" s="28"/>
      <c r="T2185" s="28"/>
      <c r="U2185" s="4"/>
      <c r="V2185" s="3"/>
      <c r="W2185" s="3"/>
    </row>
    <row r="2186" spans="1:24" s="5" customFormat="1">
      <c r="A2186" s="6"/>
      <c r="B2186" s="33"/>
      <c r="C2186" s="35"/>
      <c r="E2186" s="39"/>
      <c r="G2186" s="40"/>
      <c r="H2186" s="15"/>
      <c r="I2186" s="17"/>
      <c r="J2186" s="10"/>
      <c r="M2186" s="39"/>
      <c r="O2186" s="39"/>
      <c r="Q2186" s="39"/>
      <c r="R2186" s="28"/>
      <c r="S2186" s="28"/>
      <c r="T2186" s="28"/>
      <c r="U2186" s="4"/>
      <c r="V2186" s="3"/>
      <c r="W2186" s="3"/>
    </row>
    <row r="2187" spans="1:24" s="5" customFormat="1">
      <c r="A2187" s="6"/>
      <c r="B2187" s="33"/>
      <c r="C2187" s="35"/>
      <c r="E2187" s="39"/>
      <c r="G2187" s="40"/>
      <c r="H2187" s="15"/>
      <c r="I2187" s="17"/>
      <c r="J2187" s="10"/>
      <c r="M2187" s="39"/>
      <c r="O2187" s="39"/>
      <c r="Q2187" s="39"/>
      <c r="R2187" s="28"/>
      <c r="S2187" s="28"/>
      <c r="T2187" s="28"/>
      <c r="U2187" s="4"/>
      <c r="V2187" s="3"/>
      <c r="W2187" s="3"/>
    </row>
    <row r="2188" spans="1:24" s="5" customFormat="1">
      <c r="A2188" s="6"/>
      <c r="B2188" s="33"/>
      <c r="C2188" s="35"/>
      <c r="E2188" s="39"/>
      <c r="G2188" s="40"/>
      <c r="H2188" s="14"/>
      <c r="I2188" s="17"/>
      <c r="J2188" s="10"/>
      <c r="M2188" s="39"/>
      <c r="O2188" s="39"/>
      <c r="Q2188" s="39"/>
      <c r="R2188" s="28"/>
      <c r="S2188" s="28"/>
      <c r="T2188" s="28"/>
      <c r="U2188" s="4"/>
      <c r="V2188" s="3"/>
      <c r="W2188" s="3"/>
    </row>
    <row r="2189" spans="1:24" s="5" customFormat="1">
      <c r="A2189" s="6"/>
      <c r="B2189" s="33"/>
      <c r="C2189" s="35"/>
      <c r="E2189" s="39"/>
      <c r="G2189" s="40"/>
      <c r="H2189" s="14"/>
      <c r="I2189" s="17"/>
      <c r="J2189" s="10"/>
      <c r="M2189" s="39"/>
      <c r="O2189" s="39"/>
      <c r="Q2189" s="39"/>
      <c r="R2189" s="28"/>
      <c r="S2189" s="28"/>
      <c r="T2189" s="28"/>
      <c r="U2189" s="4"/>
      <c r="V2189" s="3"/>
      <c r="W2189" s="3"/>
    </row>
    <row r="2190" spans="1:24" s="5" customFormat="1">
      <c r="A2190" s="6"/>
      <c r="B2190" s="33"/>
      <c r="C2190" s="35"/>
      <c r="E2190" s="39"/>
      <c r="G2190" s="40"/>
      <c r="H2190" s="15"/>
      <c r="I2190" s="17"/>
      <c r="J2190" s="10"/>
      <c r="M2190" s="39"/>
      <c r="O2190" s="39"/>
      <c r="Q2190" s="39"/>
      <c r="R2190" s="28"/>
      <c r="S2190" s="28"/>
      <c r="T2190" s="28"/>
      <c r="U2190" s="4"/>
      <c r="V2190" s="3"/>
      <c r="W2190" s="3"/>
      <c r="X2190" s="1"/>
    </row>
    <row r="2191" spans="1:24" s="5" customFormat="1">
      <c r="A2191" s="6"/>
      <c r="B2191" s="33"/>
      <c r="C2191" s="35"/>
      <c r="E2191" s="39"/>
      <c r="G2191" s="40"/>
      <c r="H2191" s="14"/>
      <c r="I2191" s="17"/>
      <c r="J2191" s="10"/>
      <c r="M2191" s="39"/>
      <c r="O2191" s="39"/>
      <c r="Q2191" s="39"/>
      <c r="R2191" s="28"/>
      <c r="S2191" s="28"/>
      <c r="T2191" s="28"/>
      <c r="U2191" s="4"/>
      <c r="V2191" s="3"/>
      <c r="W2191" s="3"/>
    </row>
    <row r="2192" spans="1:24" s="5" customFormat="1">
      <c r="A2192" s="6"/>
      <c r="B2192" s="33"/>
      <c r="C2192" s="35"/>
      <c r="E2192" s="39"/>
      <c r="G2192" s="40"/>
      <c r="H2192" s="15"/>
      <c r="I2192" s="17"/>
      <c r="J2192" s="10"/>
      <c r="M2192" s="39"/>
      <c r="O2192" s="39"/>
      <c r="Q2192" s="39"/>
      <c r="R2192" s="28"/>
      <c r="S2192" s="28"/>
      <c r="T2192" s="28"/>
      <c r="U2192" s="4"/>
      <c r="V2192" s="3"/>
      <c r="W2192" s="3"/>
    </row>
    <row r="2193" spans="1:23" s="5" customFormat="1">
      <c r="A2193" s="6"/>
      <c r="B2193" s="33"/>
      <c r="C2193" s="35"/>
      <c r="E2193" s="39"/>
      <c r="G2193" s="40"/>
      <c r="H2193" s="15"/>
      <c r="I2193" s="17"/>
      <c r="J2193" s="10"/>
      <c r="M2193" s="39"/>
      <c r="O2193" s="39"/>
      <c r="Q2193" s="39"/>
      <c r="R2193" s="28"/>
      <c r="S2193" s="28"/>
      <c r="T2193" s="28"/>
      <c r="U2193" s="4"/>
      <c r="V2193" s="3"/>
      <c r="W2193" s="3"/>
    </row>
    <row r="2194" spans="1:23" s="5" customFormat="1">
      <c r="A2194" s="6"/>
      <c r="B2194" s="33"/>
      <c r="C2194" s="35"/>
      <c r="E2194" s="39"/>
      <c r="G2194" s="40"/>
      <c r="H2194" s="15"/>
      <c r="I2194" s="17"/>
      <c r="J2194" s="10"/>
      <c r="K2194" s="1"/>
      <c r="M2194" s="39"/>
      <c r="O2194" s="39"/>
      <c r="Q2194" s="39"/>
      <c r="R2194" s="29"/>
      <c r="S2194" s="29"/>
      <c r="T2194" s="28"/>
      <c r="U2194" s="4"/>
      <c r="V2194" s="3"/>
      <c r="W2194" s="3"/>
    </row>
    <row r="2195" spans="1:23" s="5" customFormat="1">
      <c r="A2195" s="6"/>
      <c r="B2195" s="33"/>
      <c r="C2195" s="35"/>
      <c r="E2195" s="39"/>
      <c r="G2195" s="40"/>
      <c r="H2195" s="14"/>
      <c r="I2195" s="17"/>
      <c r="J2195" s="10"/>
      <c r="M2195" s="39"/>
      <c r="O2195" s="39"/>
      <c r="Q2195" s="39"/>
      <c r="R2195" s="28"/>
      <c r="S2195" s="28"/>
      <c r="T2195" s="28"/>
      <c r="U2195" s="4"/>
      <c r="V2195" s="3"/>
      <c r="W2195" s="3"/>
    </row>
    <row r="2196" spans="1:23" s="5" customFormat="1">
      <c r="A2196" s="6"/>
      <c r="B2196" s="33"/>
      <c r="C2196" s="35"/>
      <c r="E2196" s="39"/>
      <c r="G2196" s="40"/>
      <c r="H2196" s="15"/>
      <c r="I2196" s="17"/>
      <c r="J2196" s="10"/>
      <c r="M2196" s="39"/>
      <c r="O2196" s="39"/>
      <c r="Q2196" s="39"/>
      <c r="R2196" s="28"/>
      <c r="S2196" s="28"/>
      <c r="T2196" s="28"/>
      <c r="U2196" s="4"/>
      <c r="V2196" s="3"/>
      <c r="W2196" s="3"/>
    </row>
    <row r="2197" spans="1:23" s="5" customFormat="1">
      <c r="A2197" s="6"/>
      <c r="B2197" s="33"/>
      <c r="C2197" s="35"/>
      <c r="E2197" s="39"/>
      <c r="G2197" s="40"/>
      <c r="H2197" s="15"/>
      <c r="I2197" s="17"/>
      <c r="J2197" s="10"/>
      <c r="M2197" s="39"/>
      <c r="O2197" s="39"/>
      <c r="Q2197" s="39"/>
      <c r="R2197" s="28"/>
      <c r="S2197" s="28"/>
      <c r="T2197" s="28"/>
      <c r="U2197" s="4"/>
      <c r="V2197" s="3"/>
      <c r="W2197" s="3"/>
    </row>
    <row r="2198" spans="1:23" s="5" customFormat="1">
      <c r="A2198" s="6"/>
      <c r="B2198" s="33"/>
      <c r="C2198" s="35"/>
      <c r="E2198" s="39"/>
      <c r="G2198" s="40"/>
      <c r="H2198" s="15"/>
      <c r="I2198" s="17"/>
      <c r="J2198" s="10"/>
      <c r="M2198" s="39"/>
      <c r="O2198" s="39"/>
      <c r="Q2198" s="39"/>
      <c r="R2198" s="28"/>
      <c r="S2198" s="28"/>
      <c r="T2198" s="28"/>
      <c r="U2198" s="4"/>
      <c r="V2198" s="3"/>
      <c r="W2198" s="3"/>
    </row>
    <row r="2199" spans="1:23" s="5" customFormat="1">
      <c r="A2199" s="6"/>
      <c r="B2199" s="33"/>
      <c r="C2199" s="35"/>
      <c r="E2199" s="39"/>
      <c r="G2199" s="40"/>
      <c r="H2199" s="14"/>
      <c r="I2199" s="17"/>
      <c r="J2199" s="10"/>
      <c r="M2199" s="39"/>
      <c r="O2199" s="39"/>
      <c r="Q2199" s="39"/>
      <c r="R2199" s="28"/>
      <c r="S2199" s="28"/>
      <c r="T2199" s="28"/>
      <c r="U2199" s="4"/>
      <c r="V2199" s="3"/>
      <c r="W2199" s="3"/>
    </row>
    <row r="2200" spans="1:23" s="5" customFormat="1">
      <c r="A2200" s="6"/>
      <c r="B2200" s="33"/>
      <c r="C2200" s="35"/>
      <c r="E2200" s="39"/>
      <c r="G2200" s="40"/>
      <c r="H2200" s="14"/>
      <c r="I2200" s="17"/>
      <c r="J2200" s="10"/>
      <c r="M2200" s="39"/>
      <c r="O2200" s="39"/>
      <c r="Q2200" s="39"/>
      <c r="R2200" s="28"/>
      <c r="S2200" s="28"/>
      <c r="T2200" s="28"/>
      <c r="U2200" s="4"/>
      <c r="V2200" s="3"/>
      <c r="W2200" s="3"/>
    </row>
    <row r="2201" spans="1:23" s="5" customFormat="1">
      <c r="A2201" s="6"/>
      <c r="B2201" s="33"/>
      <c r="C2201" s="35"/>
      <c r="E2201" s="39"/>
      <c r="G2201" s="40"/>
      <c r="H2201" s="15"/>
      <c r="I2201" s="17"/>
      <c r="J2201" s="10"/>
      <c r="M2201" s="39"/>
      <c r="O2201" s="39"/>
      <c r="Q2201" s="39"/>
      <c r="R2201" s="28"/>
      <c r="S2201" s="28"/>
      <c r="T2201" s="28"/>
      <c r="U2201" s="4"/>
      <c r="V2201" s="3"/>
      <c r="W2201" s="3"/>
    </row>
    <row r="2202" spans="1:23" s="5" customFormat="1">
      <c r="A2202" s="6"/>
      <c r="B2202" s="33"/>
      <c r="C2202" s="35"/>
      <c r="E2202" s="39"/>
      <c r="G2202" s="40"/>
      <c r="H2202" s="15"/>
      <c r="I2202" s="17"/>
      <c r="J2202" s="10"/>
      <c r="M2202" s="39"/>
      <c r="O2202" s="39"/>
      <c r="Q2202" s="39"/>
      <c r="R2202" s="28"/>
      <c r="S2202" s="28"/>
      <c r="T2202" s="28"/>
      <c r="U2202" s="4"/>
      <c r="V2202" s="3"/>
      <c r="W2202" s="3"/>
    </row>
    <row r="2203" spans="1:23" s="5" customFormat="1">
      <c r="A2203" s="6"/>
      <c r="B2203" s="33"/>
      <c r="C2203" s="35"/>
      <c r="E2203" s="39"/>
      <c r="G2203" s="40"/>
      <c r="H2203" s="15"/>
      <c r="I2203" s="17"/>
      <c r="J2203" s="10"/>
      <c r="M2203" s="39"/>
      <c r="O2203" s="39"/>
      <c r="Q2203" s="39"/>
      <c r="R2203" s="28"/>
      <c r="S2203" s="28"/>
      <c r="T2203" s="28"/>
      <c r="U2203" s="4"/>
      <c r="V2203" s="3"/>
      <c r="W2203" s="3"/>
    </row>
    <row r="2204" spans="1:23" s="5" customFormat="1">
      <c r="A2204" s="6"/>
      <c r="B2204" s="33"/>
      <c r="C2204" s="35"/>
      <c r="E2204" s="39"/>
      <c r="G2204" s="40"/>
      <c r="H2204" s="15"/>
      <c r="I2204" s="17"/>
      <c r="J2204" s="10"/>
      <c r="M2204" s="39"/>
      <c r="O2204" s="39"/>
      <c r="Q2204" s="39"/>
      <c r="R2204" s="28"/>
      <c r="S2204" s="28"/>
      <c r="T2204" s="28"/>
      <c r="U2204" s="4"/>
      <c r="V2204" s="3"/>
      <c r="W2204" s="3"/>
    </row>
    <row r="2205" spans="1:23" s="5" customFormat="1">
      <c r="A2205" s="6"/>
      <c r="B2205" s="33"/>
      <c r="C2205" s="35"/>
      <c r="E2205" s="39"/>
      <c r="G2205" s="40"/>
      <c r="H2205" s="15"/>
      <c r="I2205" s="17"/>
      <c r="J2205" s="10"/>
      <c r="M2205" s="39"/>
      <c r="O2205" s="39"/>
      <c r="Q2205" s="39"/>
      <c r="R2205" s="28"/>
      <c r="S2205" s="28"/>
      <c r="T2205" s="28"/>
      <c r="U2205" s="4"/>
      <c r="V2205" s="3"/>
      <c r="W2205" s="3"/>
    </row>
    <row r="2206" spans="1:23" s="5" customFormat="1">
      <c r="A2206" s="6"/>
      <c r="B2206" s="33"/>
      <c r="C2206" s="35"/>
      <c r="E2206" s="39"/>
      <c r="G2206" s="40"/>
      <c r="H2206" s="15"/>
      <c r="I2206" s="17"/>
      <c r="J2206" s="10"/>
      <c r="M2206" s="39"/>
      <c r="O2206" s="39"/>
      <c r="Q2206" s="39"/>
      <c r="R2206" s="28"/>
      <c r="S2206" s="28"/>
      <c r="T2206" s="28"/>
      <c r="U2206" s="4"/>
      <c r="V2206" s="3"/>
      <c r="W2206" s="3"/>
    </row>
    <row r="2207" spans="1:23" s="5" customFormat="1">
      <c r="A2207" s="6"/>
      <c r="B2207" s="33"/>
      <c r="C2207" s="35"/>
      <c r="E2207" s="39"/>
      <c r="G2207" s="40"/>
      <c r="H2207" s="15"/>
      <c r="I2207" s="17"/>
      <c r="J2207" s="10"/>
      <c r="M2207" s="39"/>
      <c r="O2207" s="39"/>
      <c r="Q2207" s="39"/>
      <c r="R2207" s="28"/>
      <c r="S2207" s="28"/>
      <c r="T2207" s="28"/>
      <c r="U2207" s="4"/>
      <c r="V2207" s="3"/>
      <c r="W2207" s="3"/>
    </row>
    <row r="2208" spans="1:23" s="5" customFormat="1">
      <c r="A2208" s="6"/>
      <c r="B2208" s="33"/>
      <c r="C2208" s="35"/>
      <c r="E2208" s="39"/>
      <c r="G2208" s="40"/>
      <c r="H2208" s="15"/>
      <c r="I2208" s="17"/>
      <c r="J2208" s="10"/>
      <c r="M2208" s="39"/>
      <c r="O2208" s="39"/>
      <c r="Q2208" s="39"/>
      <c r="R2208" s="28"/>
      <c r="S2208" s="28"/>
      <c r="T2208" s="28"/>
      <c r="U2208" s="4"/>
      <c r="V2208" s="3"/>
      <c r="W2208" s="3"/>
    </row>
    <row r="2209" spans="1:23" s="5" customFormat="1">
      <c r="A2209" s="6"/>
      <c r="B2209" s="33"/>
      <c r="C2209" s="35"/>
      <c r="E2209" s="39"/>
      <c r="G2209" s="40"/>
      <c r="H2209" s="15"/>
      <c r="I2209" s="17"/>
      <c r="J2209" s="10"/>
      <c r="M2209" s="39"/>
      <c r="O2209" s="39"/>
      <c r="Q2209" s="39"/>
      <c r="R2209" s="28"/>
      <c r="S2209" s="28"/>
      <c r="T2209" s="28"/>
      <c r="U2209" s="4"/>
      <c r="V2209" s="3"/>
      <c r="W2209" s="3"/>
    </row>
    <row r="2210" spans="1:23" s="5" customFormat="1">
      <c r="A2210" s="6"/>
      <c r="B2210" s="33"/>
      <c r="C2210" s="35"/>
      <c r="E2210" s="39"/>
      <c r="G2210" s="40"/>
      <c r="H2210" s="15"/>
      <c r="I2210" s="17"/>
      <c r="J2210" s="10"/>
      <c r="M2210" s="39"/>
      <c r="O2210" s="39"/>
      <c r="Q2210" s="39"/>
      <c r="R2210" s="28"/>
      <c r="S2210" s="28"/>
      <c r="T2210" s="28"/>
      <c r="U2210" s="4"/>
      <c r="V2210" s="3"/>
      <c r="W2210" s="3"/>
    </row>
    <row r="2211" spans="1:23" s="5" customFormat="1">
      <c r="A2211" s="6"/>
      <c r="B2211" s="33"/>
      <c r="C2211" s="35"/>
      <c r="E2211" s="39"/>
      <c r="G2211" s="40"/>
      <c r="H2211" s="14"/>
      <c r="I2211" s="17"/>
      <c r="J2211" s="10"/>
      <c r="M2211" s="39"/>
      <c r="O2211" s="39"/>
      <c r="Q2211" s="39"/>
      <c r="R2211" s="28"/>
      <c r="S2211" s="28"/>
      <c r="T2211" s="28"/>
      <c r="U2211" s="4"/>
      <c r="V2211" s="3"/>
      <c r="W2211" s="3"/>
    </row>
    <row r="2212" spans="1:23" s="5" customFormat="1">
      <c r="A2212" s="6"/>
      <c r="B2212" s="33"/>
      <c r="C2212" s="35"/>
      <c r="E2212" s="39"/>
      <c r="G2212" s="40"/>
      <c r="H2212" s="15"/>
      <c r="I2212" s="17"/>
      <c r="J2212" s="10"/>
      <c r="M2212" s="39"/>
      <c r="O2212" s="39"/>
      <c r="Q2212" s="39"/>
      <c r="R2212" s="28"/>
      <c r="S2212" s="28"/>
      <c r="T2212" s="28"/>
      <c r="U2212" s="4"/>
      <c r="V2212" s="3"/>
      <c r="W2212" s="3"/>
    </row>
    <row r="2213" spans="1:23" s="5" customFormat="1">
      <c r="A2213" s="6"/>
      <c r="B2213" s="33"/>
      <c r="C2213" s="35"/>
      <c r="E2213" s="39"/>
      <c r="G2213" s="40"/>
      <c r="H2213" s="15"/>
      <c r="I2213" s="17"/>
      <c r="J2213" s="10"/>
      <c r="M2213" s="39"/>
      <c r="O2213" s="39"/>
      <c r="Q2213" s="39"/>
      <c r="R2213" s="28"/>
      <c r="S2213" s="28"/>
      <c r="T2213" s="28"/>
      <c r="U2213" s="4"/>
      <c r="V2213" s="3"/>
      <c r="W2213" s="3"/>
    </row>
    <row r="2214" spans="1:23" s="5" customFormat="1">
      <c r="A2214" s="6"/>
      <c r="B2214" s="33"/>
      <c r="C2214" s="35"/>
      <c r="E2214" s="39"/>
      <c r="G2214" s="40"/>
      <c r="H2214" s="15"/>
      <c r="I2214" s="17"/>
      <c r="J2214" s="10"/>
      <c r="M2214" s="39"/>
      <c r="O2214" s="39"/>
      <c r="Q2214" s="39"/>
      <c r="R2214" s="28"/>
      <c r="S2214" s="28"/>
      <c r="T2214" s="28"/>
      <c r="U2214" s="4"/>
      <c r="V2214" s="3"/>
      <c r="W2214" s="3"/>
    </row>
    <row r="2215" spans="1:23" s="5" customFormat="1">
      <c r="A2215" s="6"/>
      <c r="B2215" s="33"/>
      <c r="C2215" s="35"/>
      <c r="E2215" s="39"/>
      <c r="G2215" s="40"/>
      <c r="H2215" s="15"/>
      <c r="I2215" s="17"/>
      <c r="J2215" s="10"/>
      <c r="M2215" s="39"/>
      <c r="O2215" s="39"/>
      <c r="Q2215" s="39"/>
      <c r="R2215" s="28"/>
      <c r="S2215" s="28"/>
      <c r="T2215" s="28"/>
      <c r="U2215" s="4"/>
      <c r="V2215" s="3"/>
      <c r="W2215" s="3"/>
    </row>
    <row r="2216" spans="1:23" s="5" customFormat="1">
      <c r="A2216" s="6"/>
      <c r="B2216" s="33"/>
      <c r="C2216" s="35"/>
      <c r="E2216" s="39"/>
      <c r="G2216" s="40"/>
      <c r="H2216" s="15"/>
      <c r="I2216" s="17"/>
      <c r="J2216" s="10"/>
      <c r="M2216" s="39"/>
      <c r="O2216" s="39"/>
      <c r="Q2216" s="39"/>
      <c r="R2216" s="28"/>
      <c r="S2216" s="28"/>
      <c r="T2216" s="28"/>
      <c r="U2216" s="4"/>
      <c r="V2216" s="3"/>
      <c r="W2216" s="3"/>
    </row>
    <row r="2217" spans="1:23" s="5" customFormat="1">
      <c r="A2217" s="6"/>
      <c r="B2217" s="33"/>
      <c r="C2217" s="35"/>
      <c r="E2217" s="39"/>
      <c r="G2217" s="40"/>
      <c r="H2217" s="15"/>
      <c r="I2217" s="17"/>
      <c r="J2217" s="10"/>
      <c r="M2217" s="39"/>
      <c r="O2217" s="39"/>
      <c r="Q2217" s="39"/>
      <c r="R2217" s="28"/>
      <c r="S2217" s="28"/>
      <c r="T2217" s="28"/>
      <c r="U2217" s="4"/>
      <c r="V2217" s="3"/>
      <c r="W2217" s="3"/>
    </row>
    <row r="2218" spans="1:23" s="5" customFormat="1">
      <c r="A2218" s="6"/>
      <c r="B2218" s="33"/>
      <c r="C2218" s="35"/>
      <c r="E2218" s="39"/>
      <c r="G2218" s="40"/>
      <c r="H2218" s="15"/>
      <c r="I2218" s="17"/>
      <c r="J2218" s="10"/>
      <c r="M2218" s="39"/>
      <c r="O2218" s="39"/>
      <c r="Q2218" s="39"/>
      <c r="R2218" s="28"/>
      <c r="S2218" s="28"/>
      <c r="T2218" s="28"/>
      <c r="U2218" s="4"/>
      <c r="V2218" s="3"/>
      <c r="W2218" s="3"/>
    </row>
    <row r="2219" spans="1:23" s="5" customFormat="1">
      <c r="A2219" s="6"/>
      <c r="B2219" s="33"/>
      <c r="C2219" s="35"/>
      <c r="E2219" s="39"/>
      <c r="G2219" s="40"/>
      <c r="H2219" s="15"/>
      <c r="I2219" s="17"/>
      <c r="J2219" s="10"/>
      <c r="M2219" s="39"/>
      <c r="O2219" s="39"/>
      <c r="Q2219" s="39"/>
      <c r="R2219" s="28"/>
      <c r="S2219" s="28"/>
      <c r="T2219" s="28"/>
      <c r="U2219" s="4"/>
      <c r="V2219" s="3"/>
      <c r="W2219" s="3"/>
    </row>
    <row r="2220" spans="1:23" s="5" customFormat="1">
      <c r="A2220" s="6"/>
      <c r="B2220" s="33"/>
      <c r="C2220" s="35"/>
      <c r="E2220" s="39"/>
      <c r="G2220" s="40"/>
      <c r="H2220" s="15"/>
      <c r="I2220" s="17"/>
      <c r="J2220" s="10"/>
      <c r="M2220" s="39"/>
      <c r="O2220" s="39"/>
      <c r="Q2220" s="39"/>
      <c r="R2220" s="28"/>
      <c r="S2220" s="28"/>
      <c r="T2220" s="28"/>
      <c r="U2220" s="4"/>
      <c r="V2220" s="3"/>
      <c r="W2220" s="3"/>
    </row>
    <row r="2221" spans="1:23" s="5" customFormat="1">
      <c r="A2221" s="6"/>
      <c r="B2221" s="33"/>
      <c r="C2221" s="35"/>
      <c r="E2221" s="39"/>
      <c r="G2221" s="40"/>
      <c r="H2221" s="15"/>
      <c r="I2221" s="17"/>
      <c r="J2221" s="10"/>
      <c r="M2221" s="39"/>
      <c r="O2221" s="39"/>
      <c r="Q2221" s="39"/>
      <c r="R2221" s="28"/>
      <c r="S2221" s="28"/>
      <c r="T2221" s="28"/>
      <c r="U2221" s="4"/>
      <c r="V2221" s="3"/>
      <c r="W2221" s="3"/>
    </row>
    <row r="2222" spans="1:23" s="5" customFormat="1">
      <c r="A2222" s="6"/>
      <c r="B2222" s="33"/>
      <c r="C2222" s="35"/>
      <c r="E2222" s="39"/>
      <c r="G2222" s="40"/>
      <c r="H2222" s="14"/>
      <c r="I2222" s="17"/>
      <c r="J2222" s="10"/>
      <c r="M2222" s="39"/>
      <c r="O2222" s="39"/>
      <c r="Q2222" s="39"/>
      <c r="R2222" s="28"/>
      <c r="S2222" s="28"/>
      <c r="T2222" s="28"/>
      <c r="U2222" s="4"/>
      <c r="V2222" s="3"/>
      <c r="W2222" s="3"/>
    </row>
    <row r="2223" spans="1:23" s="5" customFormat="1">
      <c r="A2223" s="6"/>
      <c r="B2223" s="33"/>
      <c r="C2223" s="35"/>
      <c r="E2223" s="39"/>
      <c r="G2223" s="40"/>
      <c r="H2223" s="15"/>
      <c r="I2223" s="17"/>
      <c r="J2223" s="10"/>
      <c r="M2223" s="39"/>
      <c r="O2223" s="39"/>
      <c r="Q2223" s="39"/>
      <c r="R2223" s="28"/>
      <c r="S2223" s="28"/>
      <c r="T2223" s="28"/>
      <c r="U2223" s="4"/>
      <c r="V2223" s="3"/>
      <c r="W2223" s="3"/>
    </row>
    <row r="2224" spans="1:23" s="5" customFormat="1">
      <c r="A2224" s="6"/>
      <c r="B2224" s="33"/>
      <c r="C2224" s="35"/>
      <c r="E2224" s="39"/>
      <c r="G2224" s="40"/>
      <c r="H2224" s="14"/>
      <c r="I2224" s="17"/>
      <c r="J2224" s="10"/>
      <c r="M2224" s="39"/>
      <c r="O2224" s="39"/>
      <c r="Q2224" s="39"/>
      <c r="R2224" s="28"/>
      <c r="S2224" s="28"/>
      <c r="T2224" s="28"/>
      <c r="U2224" s="4"/>
      <c r="V2224" s="3"/>
      <c r="W2224" s="3"/>
    </row>
    <row r="2225" spans="1:23" s="5" customFormat="1">
      <c r="A2225" s="6"/>
      <c r="B2225" s="33"/>
      <c r="C2225" s="35"/>
      <c r="E2225" s="39"/>
      <c r="G2225" s="40"/>
      <c r="H2225" s="14"/>
      <c r="I2225" s="17"/>
      <c r="J2225" s="10"/>
      <c r="M2225" s="39"/>
      <c r="O2225" s="39"/>
      <c r="Q2225" s="39"/>
      <c r="R2225" s="28"/>
      <c r="S2225" s="28"/>
      <c r="T2225" s="28"/>
      <c r="U2225" s="4"/>
      <c r="V2225" s="3"/>
      <c r="W2225" s="3"/>
    </row>
    <row r="2226" spans="1:23" s="5" customFormat="1">
      <c r="A2226" s="6"/>
      <c r="B2226" s="33"/>
      <c r="C2226" s="35"/>
      <c r="E2226" s="39"/>
      <c r="G2226" s="40"/>
      <c r="H2226" s="14"/>
      <c r="I2226" s="17"/>
      <c r="J2226" s="10"/>
      <c r="M2226" s="39"/>
      <c r="O2226" s="39"/>
      <c r="Q2226" s="39"/>
      <c r="R2226" s="28"/>
      <c r="S2226" s="29"/>
      <c r="T2226" s="28"/>
      <c r="U2226" s="4"/>
      <c r="V2226" s="3"/>
      <c r="W2226" s="3"/>
    </row>
    <row r="2227" spans="1:23" s="5" customFormat="1">
      <c r="A2227" s="6"/>
      <c r="B2227" s="33"/>
      <c r="C2227" s="35"/>
      <c r="E2227" s="39"/>
      <c r="G2227" s="40"/>
      <c r="H2227" s="14"/>
      <c r="I2227" s="17"/>
      <c r="J2227" s="10"/>
      <c r="M2227" s="39"/>
      <c r="O2227" s="39"/>
      <c r="Q2227" s="39"/>
      <c r="R2227" s="28"/>
      <c r="S2227" s="28"/>
      <c r="T2227" s="28"/>
      <c r="U2227" s="4"/>
      <c r="V2227" s="3"/>
      <c r="W2227" s="3"/>
    </row>
    <row r="2228" spans="1:23" s="5" customFormat="1">
      <c r="A2228" s="6"/>
      <c r="B2228" s="33"/>
      <c r="C2228" s="35"/>
      <c r="E2228" s="39"/>
      <c r="G2228" s="40"/>
      <c r="H2228" s="15"/>
      <c r="I2228" s="17"/>
      <c r="J2228" s="10"/>
      <c r="M2228" s="39"/>
      <c r="O2228" s="39"/>
      <c r="Q2228" s="39"/>
      <c r="R2228" s="28"/>
      <c r="S2228" s="28"/>
      <c r="T2228" s="28"/>
      <c r="U2228" s="4"/>
      <c r="V2228" s="3"/>
      <c r="W2228" s="3"/>
    </row>
    <row r="2229" spans="1:23" s="5" customFormat="1">
      <c r="A2229" s="6"/>
      <c r="B2229" s="33"/>
      <c r="C2229" s="35"/>
      <c r="E2229" s="39"/>
      <c r="G2229" s="40"/>
      <c r="H2229" s="15"/>
      <c r="I2229" s="17"/>
      <c r="J2229" s="10"/>
      <c r="M2229" s="39"/>
      <c r="O2229" s="39"/>
      <c r="Q2229" s="39"/>
      <c r="R2229" s="28"/>
      <c r="S2229" s="28"/>
      <c r="T2229" s="28"/>
      <c r="U2229" s="4"/>
      <c r="V2229" s="3"/>
      <c r="W2229" s="3"/>
    </row>
    <row r="2230" spans="1:23" s="5" customFormat="1">
      <c r="A2230" s="6"/>
      <c r="B2230" s="33"/>
      <c r="C2230" s="35"/>
      <c r="E2230" s="39"/>
      <c r="G2230" s="40"/>
      <c r="H2230" s="15"/>
      <c r="I2230" s="17"/>
      <c r="J2230" s="10"/>
      <c r="M2230" s="39"/>
      <c r="O2230" s="39"/>
      <c r="Q2230" s="39"/>
      <c r="R2230" s="28"/>
      <c r="S2230" s="28"/>
      <c r="T2230" s="28"/>
      <c r="U2230" s="4"/>
      <c r="V2230" s="3"/>
      <c r="W2230" s="3"/>
    </row>
    <row r="2231" spans="1:23" s="5" customFormat="1">
      <c r="A2231" s="6"/>
      <c r="B2231" s="33"/>
      <c r="C2231" s="35"/>
      <c r="E2231" s="39"/>
      <c r="G2231" s="40"/>
      <c r="H2231" s="15"/>
      <c r="I2231" s="17"/>
      <c r="J2231" s="10"/>
      <c r="M2231" s="39"/>
      <c r="O2231" s="39"/>
      <c r="Q2231" s="39"/>
      <c r="R2231" s="28"/>
      <c r="S2231" s="28"/>
      <c r="T2231" s="28"/>
      <c r="U2231" s="4"/>
      <c r="V2231" s="3"/>
      <c r="W2231" s="3"/>
    </row>
    <row r="2232" spans="1:23" s="5" customFormat="1">
      <c r="A2232" s="6"/>
      <c r="B2232" s="33"/>
      <c r="C2232" s="35"/>
      <c r="E2232" s="39"/>
      <c r="G2232" s="40"/>
      <c r="H2232" s="15"/>
      <c r="I2232" s="17"/>
      <c r="J2232" s="10"/>
      <c r="M2232" s="39"/>
      <c r="O2232" s="39"/>
      <c r="Q2232" s="39"/>
      <c r="R2232" s="28"/>
      <c r="S2232" s="28"/>
      <c r="T2232" s="28"/>
      <c r="U2232" s="4"/>
      <c r="V2232" s="3"/>
      <c r="W2232" s="3"/>
    </row>
    <row r="2233" spans="1:23" s="5" customFormat="1">
      <c r="A2233" s="6"/>
      <c r="B2233" s="33"/>
      <c r="C2233" s="35"/>
      <c r="E2233" s="39"/>
      <c r="G2233" s="40"/>
      <c r="H2233" s="15"/>
      <c r="I2233" s="17"/>
      <c r="J2233" s="10"/>
      <c r="M2233" s="39"/>
      <c r="O2233" s="39"/>
      <c r="Q2233" s="39"/>
      <c r="R2233" s="28"/>
      <c r="S2233" s="28"/>
      <c r="T2233" s="28"/>
      <c r="U2233" s="4"/>
      <c r="V2233" s="3"/>
      <c r="W2233" s="3"/>
    </row>
    <row r="2234" spans="1:23" s="5" customFormat="1">
      <c r="A2234" s="6"/>
      <c r="B2234" s="33"/>
      <c r="C2234" s="35"/>
      <c r="E2234" s="39"/>
      <c r="G2234" s="40"/>
      <c r="H2234" s="15"/>
      <c r="I2234" s="17"/>
      <c r="J2234" s="10"/>
      <c r="M2234" s="39"/>
      <c r="O2234" s="39"/>
      <c r="Q2234" s="39"/>
      <c r="R2234" s="28"/>
      <c r="S2234" s="28"/>
      <c r="T2234" s="28"/>
      <c r="U2234" s="4"/>
      <c r="V2234" s="3"/>
      <c r="W2234" s="3"/>
    </row>
    <row r="2235" spans="1:23" s="5" customFormat="1">
      <c r="A2235" s="6"/>
      <c r="B2235" s="33"/>
      <c r="C2235" s="35"/>
      <c r="E2235" s="39"/>
      <c r="G2235" s="40"/>
      <c r="H2235" s="15"/>
      <c r="I2235" s="17"/>
      <c r="J2235" s="10"/>
      <c r="M2235" s="39"/>
      <c r="O2235" s="39"/>
      <c r="Q2235" s="39"/>
      <c r="R2235" s="28"/>
      <c r="S2235" s="28"/>
      <c r="T2235" s="28"/>
      <c r="U2235" s="4"/>
      <c r="V2235" s="3"/>
      <c r="W2235" s="3"/>
    </row>
    <row r="2236" spans="1:23" s="5" customFormat="1">
      <c r="A2236" s="6"/>
      <c r="B2236" s="33"/>
      <c r="C2236" s="35"/>
      <c r="E2236" s="39"/>
      <c r="G2236" s="40"/>
      <c r="H2236" s="15"/>
      <c r="I2236" s="17"/>
      <c r="J2236" s="10"/>
      <c r="M2236" s="39"/>
      <c r="O2236" s="39"/>
      <c r="Q2236" s="39"/>
      <c r="R2236" s="28"/>
      <c r="S2236" s="28"/>
      <c r="T2236" s="28"/>
      <c r="U2236" s="4"/>
      <c r="V2236" s="3"/>
      <c r="W2236" s="3"/>
    </row>
    <row r="2237" spans="1:23" s="5" customFormat="1">
      <c r="A2237" s="6"/>
      <c r="B2237" s="33"/>
      <c r="C2237" s="35"/>
      <c r="E2237" s="39"/>
      <c r="G2237" s="40"/>
      <c r="H2237" s="15"/>
      <c r="I2237" s="17"/>
      <c r="J2237" s="10"/>
      <c r="M2237" s="39"/>
      <c r="O2237" s="39"/>
      <c r="Q2237" s="39"/>
      <c r="R2237" s="28"/>
      <c r="S2237" s="28"/>
      <c r="T2237" s="28"/>
      <c r="U2237" s="4"/>
      <c r="V2237" s="3"/>
      <c r="W2237" s="3"/>
    </row>
    <row r="2238" spans="1:23" s="5" customFormat="1">
      <c r="A2238" s="6"/>
      <c r="B2238" s="33"/>
      <c r="C2238" s="35"/>
      <c r="E2238" s="39"/>
      <c r="G2238" s="40"/>
      <c r="H2238" s="14"/>
      <c r="I2238" s="17"/>
      <c r="J2238" s="10"/>
      <c r="M2238" s="39"/>
      <c r="O2238" s="39"/>
      <c r="Q2238" s="39"/>
      <c r="R2238" s="28"/>
      <c r="S2238" s="28"/>
      <c r="T2238" s="28"/>
      <c r="U2238" s="4"/>
      <c r="V2238" s="3"/>
      <c r="W2238" s="3"/>
    </row>
    <row r="2239" spans="1:23" s="5" customFormat="1">
      <c r="A2239" s="6"/>
      <c r="B2239" s="33"/>
      <c r="C2239" s="35"/>
      <c r="E2239" s="39"/>
      <c r="G2239" s="40"/>
      <c r="H2239" s="15"/>
      <c r="I2239" s="17"/>
      <c r="J2239" s="10"/>
      <c r="M2239" s="39"/>
      <c r="O2239" s="39"/>
      <c r="Q2239" s="39"/>
      <c r="R2239" s="28"/>
      <c r="S2239" s="28"/>
      <c r="T2239" s="28"/>
      <c r="U2239" s="4"/>
      <c r="V2239" s="3"/>
      <c r="W2239" s="3"/>
    </row>
    <row r="2240" spans="1:23" s="5" customFormat="1">
      <c r="A2240" s="6"/>
      <c r="B2240" s="33"/>
      <c r="C2240" s="35"/>
      <c r="E2240" s="39"/>
      <c r="G2240" s="40"/>
      <c r="H2240" s="15"/>
      <c r="I2240" s="17"/>
      <c r="J2240" s="10"/>
      <c r="M2240" s="39"/>
      <c r="O2240" s="39"/>
      <c r="Q2240" s="39"/>
      <c r="R2240" s="28"/>
      <c r="S2240" s="28"/>
      <c r="T2240" s="28"/>
      <c r="U2240" s="4"/>
      <c r="V2240" s="3"/>
      <c r="W2240" s="3"/>
    </row>
    <row r="2241" spans="1:23" s="5" customFormat="1">
      <c r="A2241" s="6"/>
      <c r="B2241" s="33"/>
      <c r="C2241" s="35"/>
      <c r="E2241" s="39"/>
      <c r="G2241" s="40"/>
      <c r="H2241" s="15"/>
      <c r="I2241" s="17"/>
      <c r="J2241" s="10"/>
      <c r="M2241" s="39"/>
      <c r="O2241" s="39"/>
      <c r="Q2241" s="39"/>
      <c r="R2241" s="28"/>
      <c r="S2241" s="28"/>
      <c r="T2241" s="28"/>
      <c r="U2241" s="4"/>
      <c r="V2241" s="3"/>
      <c r="W2241" s="3"/>
    </row>
    <row r="2242" spans="1:23" s="5" customFormat="1">
      <c r="A2242" s="6"/>
      <c r="B2242" s="33"/>
      <c r="C2242" s="35"/>
      <c r="E2242" s="39"/>
      <c r="G2242" s="40"/>
      <c r="H2242" s="15"/>
      <c r="I2242" s="17"/>
      <c r="J2242" s="10"/>
      <c r="M2242" s="39"/>
      <c r="O2242" s="39"/>
      <c r="Q2242" s="39"/>
      <c r="R2242" s="28"/>
      <c r="S2242" s="28"/>
      <c r="T2242" s="28"/>
      <c r="U2242" s="4"/>
      <c r="V2242" s="3"/>
      <c r="W2242" s="3"/>
    </row>
    <row r="2243" spans="1:23" s="5" customFormat="1">
      <c r="A2243" s="6"/>
      <c r="B2243" s="33"/>
      <c r="C2243" s="35"/>
      <c r="E2243" s="39"/>
      <c r="G2243" s="40"/>
      <c r="H2243" s="15"/>
      <c r="I2243" s="17"/>
      <c r="J2243" s="10"/>
      <c r="M2243" s="39"/>
      <c r="O2243" s="39"/>
      <c r="Q2243" s="39"/>
      <c r="R2243" s="28"/>
      <c r="S2243" s="28"/>
      <c r="T2243" s="28"/>
      <c r="U2243" s="4"/>
      <c r="V2243" s="3"/>
      <c r="W2243" s="3"/>
    </row>
    <row r="2244" spans="1:23" s="5" customFormat="1">
      <c r="A2244" s="6"/>
      <c r="B2244" s="33"/>
      <c r="C2244" s="35"/>
      <c r="E2244" s="39"/>
      <c r="G2244" s="40"/>
      <c r="H2244" s="14"/>
      <c r="I2244" s="17"/>
      <c r="J2244" s="10"/>
      <c r="M2244" s="39"/>
      <c r="O2244" s="39"/>
      <c r="Q2244" s="39"/>
      <c r="R2244" s="28"/>
      <c r="S2244" s="28"/>
      <c r="T2244" s="28"/>
      <c r="U2244" s="4"/>
      <c r="V2244" s="3"/>
      <c r="W2244" s="3"/>
    </row>
    <row r="2245" spans="1:23" s="5" customFormat="1">
      <c r="A2245" s="6"/>
      <c r="B2245" s="33"/>
      <c r="C2245" s="35"/>
      <c r="E2245" s="39"/>
      <c r="G2245" s="40"/>
      <c r="H2245" s="15"/>
      <c r="I2245" s="17"/>
      <c r="J2245" s="10"/>
      <c r="M2245" s="39"/>
      <c r="O2245" s="39"/>
      <c r="Q2245" s="39"/>
      <c r="R2245" s="28"/>
      <c r="S2245" s="28"/>
      <c r="T2245" s="28"/>
      <c r="U2245" s="4"/>
      <c r="V2245" s="3"/>
      <c r="W2245" s="3"/>
    </row>
    <row r="2246" spans="1:23" s="5" customFormat="1">
      <c r="A2246" s="6"/>
      <c r="B2246" s="33"/>
      <c r="C2246" s="35"/>
      <c r="E2246" s="39"/>
      <c r="G2246" s="40"/>
      <c r="H2246" s="15"/>
      <c r="I2246" s="17"/>
      <c r="J2246" s="10"/>
      <c r="M2246" s="39"/>
      <c r="O2246" s="39"/>
      <c r="Q2246" s="39"/>
      <c r="R2246" s="28"/>
      <c r="S2246" s="28"/>
      <c r="T2246" s="28"/>
      <c r="U2246" s="4"/>
      <c r="V2246" s="3"/>
      <c r="W2246" s="3"/>
    </row>
    <row r="2247" spans="1:23" s="5" customFormat="1">
      <c r="A2247" s="6"/>
      <c r="B2247" s="33"/>
      <c r="C2247" s="35"/>
      <c r="E2247" s="39"/>
      <c r="G2247" s="40"/>
      <c r="H2247" s="15"/>
      <c r="I2247" s="17"/>
      <c r="J2247" s="10"/>
      <c r="M2247" s="39"/>
      <c r="O2247" s="39"/>
      <c r="Q2247" s="39"/>
      <c r="R2247" s="28"/>
      <c r="S2247" s="28"/>
      <c r="T2247" s="28"/>
      <c r="U2247" s="4"/>
      <c r="V2247" s="3"/>
      <c r="W2247" s="3"/>
    </row>
    <row r="2248" spans="1:23" s="5" customFormat="1">
      <c r="A2248" s="6"/>
      <c r="B2248" s="33"/>
      <c r="C2248" s="35"/>
      <c r="E2248" s="39"/>
      <c r="G2248" s="40"/>
      <c r="H2248" s="14"/>
      <c r="I2248" s="17"/>
      <c r="J2248" s="10"/>
      <c r="M2248" s="39"/>
      <c r="O2248" s="39"/>
      <c r="Q2248" s="39"/>
      <c r="R2248" s="28"/>
      <c r="S2248" s="28"/>
      <c r="T2248" s="28"/>
      <c r="U2248" s="4"/>
      <c r="V2248" s="3"/>
      <c r="W2248" s="3"/>
    </row>
    <row r="2249" spans="1:23" s="5" customFormat="1">
      <c r="A2249" s="6"/>
      <c r="B2249" s="33"/>
      <c r="C2249" s="35"/>
      <c r="E2249" s="39"/>
      <c r="G2249" s="40"/>
      <c r="H2249" s="15"/>
      <c r="I2249" s="17"/>
      <c r="J2249" s="10"/>
      <c r="M2249" s="39"/>
      <c r="O2249" s="39"/>
      <c r="Q2249" s="39"/>
      <c r="R2249" s="28"/>
      <c r="S2249" s="28"/>
      <c r="T2249" s="28"/>
      <c r="U2249" s="4"/>
      <c r="V2249" s="3"/>
      <c r="W2249" s="3"/>
    </row>
    <row r="2250" spans="1:23" s="5" customFormat="1">
      <c r="A2250" s="6"/>
      <c r="B2250" s="33"/>
      <c r="C2250" s="35"/>
      <c r="E2250" s="39"/>
      <c r="G2250" s="40"/>
      <c r="H2250" s="15"/>
      <c r="I2250" s="17"/>
      <c r="J2250" s="10"/>
      <c r="M2250" s="39"/>
      <c r="O2250" s="39"/>
      <c r="Q2250" s="39"/>
      <c r="R2250" s="28"/>
      <c r="S2250" s="28"/>
      <c r="T2250" s="28"/>
      <c r="U2250" s="4"/>
      <c r="V2250" s="3"/>
      <c r="W2250" s="3"/>
    </row>
    <row r="2251" spans="1:23" s="5" customFormat="1">
      <c r="A2251" s="6"/>
      <c r="B2251" s="33"/>
      <c r="C2251" s="35"/>
      <c r="E2251" s="39"/>
      <c r="G2251" s="40"/>
      <c r="H2251" s="15"/>
      <c r="I2251" s="17"/>
      <c r="J2251" s="10"/>
      <c r="M2251" s="39"/>
      <c r="O2251" s="39"/>
      <c r="Q2251" s="39"/>
      <c r="R2251" s="28"/>
      <c r="S2251" s="28"/>
      <c r="T2251" s="28"/>
      <c r="U2251" s="4"/>
      <c r="V2251" s="3"/>
      <c r="W2251" s="3"/>
    </row>
    <row r="2252" spans="1:23" s="5" customFormat="1">
      <c r="A2252" s="6"/>
      <c r="B2252" s="33"/>
      <c r="C2252" s="35"/>
      <c r="E2252" s="39"/>
      <c r="G2252" s="40"/>
      <c r="H2252" s="15"/>
      <c r="I2252" s="17"/>
      <c r="J2252" s="10"/>
      <c r="M2252" s="39"/>
      <c r="O2252" s="39"/>
      <c r="Q2252" s="39"/>
      <c r="R2252" s="28"/>
      <c r="S2252" s="28"/>
      <c r="T2252" s="28"/>
      <c r="U2252" s="4"/>
      <c r="V2252" s="3"/>
      <c r="W2252" s="3"/>
    </row>
    <row r="2253" spans="1:23" s="5" customFormat="1">
      <c r="A2253" s="6"/>
      <c r="B2253" s="33"/>
      <c r="C2253" s="35"/>
      <c r="E2253" s="39"/>
      <c r="G2253" s="40"/>
      <c r="H2253" s="15"/>
      <c r="I2253" s="17"/>
      <c r="J2253" s="10"/>
      <c r="M2253" s="39"/>
      <c r="O2253" s="39"/>
      <c r="Q2253" s="39"/>
      <c r="R2253" s="28"/>
      <c r="S2253" s="28"/>
      <c r="T2253" s="28"/>
      <c r="U2253" s="4"/>
      <c r="V2253" s="3"/>
      <c r="W2253" s="3"/>
    </row>
    <row r="2254" spans="1:23" s="5" customFormat="1">
      <c r="A2254" s="6"/>
      <c r="B2254" s="33"/>
      <c r="C2254" s="35"/>
      <c r="E2254" s="39"/>
      <c r="G2254" s="40"/>
      <c r="H2254" s="15"/>
      <c r="I2254" s="17"/>
      <c r="J2254" s="10"/>
      <c r="M2254" s="39"/>
      <c r="O2254" s="39"/>
      <c r="Q2254" s="39"/>
      <c r="R2254" s="28"/>
      <c r="S2254" s="28"/>
      <c r="T2254" s="28"/>
      <c r="U2254" s="4"/>
      <c r="V2254" s="3"/>
      <c r="W2254" s="3"/>
    </row>
    <row r="2255" spans="1:23" s="5" customFormat="1">
      <c r="A2255" s="6"/>
      <c r="B2255" s="33"/>
      <c r="C2255" s="35"/>
      <c r="E2255" s="39"/>
      <c r="G2255" s="40"/>
      <c r="H2255" s="15"/>
      <c r="I2255" s="17"/>
      <c r="J2255" s="10"/>
      <c r="M2255" s="39"/>
      <c r="O2255" s="39"/>
      <c r="Q2255" s="39"/>
      <c r="R2255" s="28"/>
      <c r="S2255" s="28"/>
      <c r="T2255" s="28"/>
      <c r="U2255" s="4"/>
      <c r="V2255" s="3"/>
      <c r="W2255" s="3"/>
    </row>
    <row r="2256" spans="1:23" s="5" customFormat="1">
      <c r="A2256" s="6"/>
      <c r="B2256" s="33"/>
      <c r="C2256" s="35"/>
      <c r="E2256" s="39"/>
      <c r="G2256" s="40"/>
      <c r="H2256" s="15"/>
      <c r="I2256" s="17"/>
      <c r="J2256" s="10"/>
      <c r="M2256" s="39"/>
      <c r="O2256" s="39"/>
      <c r="Q2256" s="39"/>
      <c r="R2256" s="28"/>
      <c r="S2256" s="28"/>
      <c r="T2256" s="28"/>
      <c r="U2256" s="4"/>
      <c r="V2256" s="3"/>
      <c r="W2256" s="3"/>
    </row>
    <row r="2257" spans="1:23" s="5" customFormat="1">
      <c r="A2257" s="6"/>
      <c r="B2257" s="33"/>
      <c r="C2257" s="35"/>
      <c r="E2257" s="39"/>
      <c r="G2257" s="40"/>
      <c r="H2257" s="15"/>
      <c r="I2257" s="17"/>
      <c r="J2257" s="10"/>
      <c r="M2257" s="39"/>
      <c r="O2257" s="39"/>
      <c r="Q2257" s="39"/>
      <c r="R2257" s="28"/>
      <c r="S2257" s="28"/>
      <c r="T2257" s="28"/>
      <c r="U2257" s="4"/>
      <c r="V2257" s="3"/>
      <c r="W2257" s="3"/>
    </row>
    <row r="2258" spans="1:23" s="5" customFormat="1">
      <c r="A2258" s="6"/>
      <c r="B2258" s="33"/>
      <c r="C2258" s="35"/>
      <c r="E2258" s="39"/>
      <c r="G2258" s="40"/>
      <c r="H2258" s="15"/>
      <c r="I2258" s="17"/>
      <c r="J2258" s="10"/>
      <c r="M2258" s="39"/>
      <c r="O2258" s="39"/>
      <c r="Q2258" s="39"/>
      <c r="R2258" s="28"/>
      <c r="S2258" s="28"/>
      <c r="T2258" s="28"/>
      <c r="U2258" s="4"/>
      <c r="V2258" s="3"/>
      <c r="W2258" s="3"/>
    </row>
    <row r="2259" spans="1:23" s="5" customFormat="1">
      <c r="A2259" s="6"/>
      <c r="B2259" s="33"/>
      <c r="C2259" s="35"/>
      <c r="E2259" s="39"/>
      <c r="G2259" s="40"/>
      <c r="H2259" s="14"/>
      <c r="I2259" s="17"/>
      <c r="J2259" s="10"/>
      <c r="M2259" s="39"/>
      <c r="O2259" s="39"/>
      <c r="Q2259" s="39"/>
      <c r="R2259" s="28"/>
      <c r="S2259" s="28"/>
      <c r="T2259" s="28"/>
      <c r="U2259" s="4"/>
      <c r="V2259" s="3"/>
      <c r="W2259" s="3"/>
    </row>
    <row r="2260" spans="1:23" s="5" customFormat="1">
      <c r="A2260" s="6"/>
      <c r="B2260" s="33"/>
      <c r="C2260" s="35"/>
      <c r="E2260" s="39"/>
      <c r="G2260" s="40"/>
      <c r="H2260" s="15"/>
      <c r="I2260" s="17"/>
      <c r="J2260" s="10"/>
      <c r="M2260" s="39"/>
      <c r="O2260" s="39"/>
      <c r="Q2260" s="39"/>
      <c r="R2260" s="28"/>
      <c r="S2260" s="28"/>
      <c r="T2260" s="28"/>
      <c r="U2260" s="4"/>
      <c r="V2260" s="3"/>
      <c r="W2260" s="3"/>
    </row>
    <row r="2261" spans="1:23" s="5" customFormat="1">
      <c r="A2261" s="6"/>
      <c r="B2261" s="33"/>
      <c r="C2261" s="35"/>
      <c r="E2261" s="39"/>
      <c r="G2261" s="40"/>
      <c r="H2261" s="15"/>
      <c r="I2261" s="17"/>
      <c r="J2261" s="10"/>
      <c r="M2261" s="39"/>
      <c r="O2261" s="39"/>
      <c r="Q2261" s="39"/>
      <c r="R2261" s="28"/>
      <c r="S2261" s="28"/>
      <c r="T2261" s="28"/>
      <c r="U2261" s="4"/>
      <c r="V2261" s="3"/>
      <c r="W2261" s="3"/>
    </row>
    <row r="2262" spans="1:23" s="5" customFormat="1">
      <c r="A2262" s="6"/>
      <c r="B2262" s="33"/>
      <c r="C2262" s="35"/>
      <c r="E2262" s="39"/>
      <c r="G2262" s="40"/>
      <c r="H2262" s="15"/>
      <c r="I2262" s="17"/>
      <c r="J2262" s="10"/>
      <c r="M2262" s="39"/>
      <c r="O2262" s="39"/>
      <c r="Q2262" s="39"/>
      <c r="R2262" s="28"/>
      <c r="S2262" s="28"/>
      <c r="T2262" s="28"/>
      <c r="U2262" s="4"/>
      <c r="V2262" s="3"/>
      <c r="W2262" s="3"/>
    </row>
    <row r="2263" spans="1:23" s="5" customFormat="1">
      <c r="A2263" s="6"/>
      <c r="B2263" s="33"/>
      <c r="C2263" s="35"/>
      <c r="E2263" s="39"/>
      <c r="G2263" s="40"/>
      <c r="H2263" s="15"/>
      <c r="I2263" s="17"/>
      <c r="J2263" s="10"/>
      <c r="M2263" s="39"/>
      <c r="O2263" s="39"/>
      <c r="Q2263" s="39"/>
      <c r="R2263" s="28"/>
      <c r="S2263" s="28"/>
      <c r="T2263" s="28"/>
      <c r="U2263" s="4"/>
      <c r="V2263" s="3"/>
      <c r="W2263" s="3"/>
    </row>
    <row r="2264" spans="1:23" s="5" customFormat="1">
      <c r="A2264" s="6"/>
      <c r="B2264" s="33"/>
      <c r="C2264" s="35"/>
      <c r="E2264" s="39"/>
      <c r="G2264" s="40"/>
      <c r="H2264" s="15"/>
      <c r="I2264" s="17"/>
      <c r="J2264" s="10"/>
      <c r="M2264" s="39"/>
      <c r="O2264" s="39"/>
      <c r="Q2264" s="39"/>
      <c r="R2264" s="28"/>
      <c r="S2264" s="28"/>
      <c r="T2264" s="28"/>
      <c r="U2264" s="4"/>
      <c r="V2264" s="3"/>
      <c r="W2264" s="3"/>
    </row>
    <row r="2265" spans="1:23" s="5" customFormat="1">
      <c r="A2265" s="6"/>
      <c r="B2265" s="33"/>
      <c r="C2265" s="35"/>
      <c r="E2265" s="39"/>
      <c r="G2265" s="40"/>
      <c r="H2265" s="15"/>
      <c r="I2265" s="17"/>
      <c r="J2265" s="10"/>
      <c r="M2265" s="39"/>
      <c r="O2265" s="39"/>
      <c r="Q2265" s="39"/>
      <c r="R2265" s="28"/>
      <c r="S2265" s="28"/>
      <c r="T2265" s="28"/>
      <c r="U2265" s="4"/>
      <c r="V2265" s="3"/>
      <c r="W2265" s="3"/>
    </row>
    <row r="2266" spans="1:23" s="5" customFormat="1">
      <c r="A2266" s="6"/>
      <c r="B2266" s="33"/>
      <c r="C2266" s="35"/>
      <c r="E2266" s="39"/>
      <c r="G2266" s="40"/>
      <c r="H2266" s="15"/>
      <c r="I2266" s="17"/>
      <c r="J2266" s="10"/>
      <c r="M2266" s="39"/>
      <c r="O2266" s="39"/>
      <c r="Q2266" s="39"/>
      <c r="R2266" s="28"/>
      <c r="S2266" s="28"/>
      <c r="T2266" s="28"/>
      <c r="U2266" s="4"/>
      <c r="V2266" s="3"/>
      <c r="W2266" s="3"/>
    </row>
    <row r="2267" spans="1:23" s="5" customFormat="1">
      <c r="A2267" s="6"/>
      <c r="B2267" s="33"/>
      <c r="C2267" s="35"/>
      <c r="E2267" s="39"/>
      <c r="G2267" s="40"/>
      <c r="H2267" s="15"/>
      <c r="I2267" s="17"/>
      <c r="J2267" s="10"/>
      <c r="M2267" s="39"/>
      <c r="O2267" s="39"/>
      <c r="Q2267" s="39"/>
      <c r="R2267" s="28"/>
      <c r="S2267" s="29"/>
      <c r="T2267" s="28"/>
      <c r="U2267" s="4"/>
      <c r="V2267" s="3"/>
      <c r="W2267" s="3"/>
    </row>
    <row r="2268" spans="1:23" s="5" customFormat="1">
      <c r="A2268" s="6"/>
      <c r="B2268" s="33"/>
      <c r="C2268" s="35"/>
      <c r="E2268" s="39"/>
      <c r="G2268" s="40"/>
      <c r="H2268" s="15"/>
      <c r="I2268" s="17"/>
      <c r="J2268" s="10"/>
      <c r="M2268" s="39"/>
      <c r="O2268" s="39"/>
      <c r="Q2268" s="39"/>
      <c r="R2268" s="28"/>
      <c r="S2268" s="28"/>
      <c r="T2268" s="28"/>
      <c r="U2268" s="4"/>
      <c r="V2268" s="3"/>
      <c r="W2268" s="3"/>
    </row>
    <row r="2269" spans="1:23" s="5" customFormat="1">
      <c r="A2269" s="6"/>
      <c r="B2269" s="33"/>
      <c r="C2269" s="35"/>
      <c r="E2269" s="39"/>
      <c r="G2269" s="40"/>
      <c r="H2269" s="15"/>
      <c r="I2269" s="17"/>
      <c r="J2269" s="10"/>
      <c r="M2269" s="39"/>
      <c r="O2269" s="39"/>
      <c r="Q2269" s="39"/>
      <c r="R2269" s="28"/>
      <c r="S2269" s="28"/>
      <c r="T2269" s="28"/>
      <c r="U2269" s="4"/>
      <c r="V2269" s="3"/>
      <c r="W2269" s="3"/>
    </row>
    <row r="2270" spans="1:23" s="5" customFormat="1">
      <c r="A2270" s="6"/>
      <c r="B2270" s="33"/>
      <c r="C2270" s="35"/>
      <c r="E2270" s="39"/>
      <c r="G2270" s="40"/>
      <c r="H2270" s="15"/>
      <c r="I2270" s="17"/>
      <c r="J2270" s="10"/>
      <c r="M2270" s="39"/>
      <c r="O2270" s="39"/>
      <c r="Q2270" s="39"/>
      <c r="R2270" s="28"/>
      <c r="S2270" s="28"/>
      <c r="T2270" s="28"/>
      <c r="U2270" s="4"/>
      <c r="V2270" s="3"/>
      <c r="W2270" s="3"/>
    </row>
    <row r="2271" spans="1:23" s="5" customFormat="1">
      <c r="A2271" s="20"/>
      <c r="B2271" s="33"/>
      <c r="C2271" s="35"/>
      <c r="E2271" s="39"/>
      <c r="F2271" s="1"/>
      <c r="G2271" s="40"/>
      <c r="H2271" s="12"/>
      <c r="I2271" s="9"/>
      <c r="J2271" s="12"/>
      <c r="M2271" s="39"/>
      <c r="O2271" s="39"/>
      <c r="Q2271" s="39"/>
      <c r="R2271" s="29"/>
      <c r="S2271" s="28"/>
      <c r="T2271" s="28"/>
      <c r="U2271" s="4"/>
      <c r="V2271" s="3"/>
      <c r="W2271" s="3"/>
    </row>
    <row r="2272" spans="1:23" s="5" customFormat="1">
      <c r="A2272" s="6"/>
      <c r="B2272" s="33"/>
      <c r="C2272" s="35"/>
      <c r="E2272" s="39"/>
      <c r="G2272" s="40"/>
      <c r="H2272" s="14"/>
      <c r="I2272" s="17"/>
      <c r="J2272" s="10"/>
      <c r="M2272" s="39"/>
      <c r="O2272" s="39"/>
      <c r="Q2272" s="39"/>
      <c r="R2272" s="28"/>
      <c r="S2272" s="28"/>
      <c r="T2272" s="28"/>
      <c r="U2272" s="4"/>
      <c r="V2272" s="3"/>
      <c r="W2272" s="3"/>
    </row>
    <row r="2273" spans="1:23" s="5" customFormat="1">
      <c r="A2273" s="6"/>
      <c r="B2273" s="33"/>
      <c r="C2273" s="35"/>
      <c r="E2273" s="39"/>
      <c r="G2273" s="40"/>
      <c r="H2273" s="15"/>
      <c r="I2273" s="17"/>
      <c r="J2273" s="10"/>
      <c r="M2273" s="39"/>
      <c r="O2273" s="39"/>
      <c r="Q2273" s="39"/>
      <c r="R2273" s="28"/>
      <c r="S2273" s="28"/>
      <c r="T2273" s="28"/>
      <c r="U2273" s="4"/>
      <c r="V2273" s="3"/>
      <c r="W2273" s="3"/>
    </row>
    <row r="2274" spans="1:23" s="5" customFormat="1">
      <c r="A2274" s="6"/>
      <c r="B2274" s="33"/>
      <c r="C2274" s="35"/>
      <c r="E2274" s="39"/>
      <c r="G2274" s="40"/>
      <c r="H2274" s="15"/>
      <c r="I2274" s="17"/>
      <c r="J2274" s="10"/>
      <c r="M2274" s="39"/>
      <c r="O2274" s="39"/>
      <c r="Q2274" s="39"/>
      <c r="R2274" s="28"/>
      <c r="S2274" s="28"/>
      <c r="T2274" s="28"/>
      <c r="U2274" s="4"/>
      <c r="V2274" s="3"/>
      <c r="W2274" s="3"/>
    </row>
    <row r="2275" spans="1:23" s="5" customFormat="1">
      <c r="A2275" s="6"/>
      <c r="B2275" s="33"/>
      <c r="C2275" s="35"/>
      <c r="E2275" s="39"/>
      <c r="G2275" s="40"/>
      <c r="H2275" s="14"/>
      <c r="I2275" s="17"/>
      <c r="J2275" s="10"/>
      <c r="M2275" s="39"/>
      <c r="O2275" s="39"/>
      <c r="Q2275" s="39"/>
      <c r="R2275" s="28"/>
      <c r="S2275" s="28"/>
      <c r="T2275" s="28"/>
      <c r="U2275" s="4"/>
      <c r="V2275" s="3"/>
      <c r="W2275" s="3"/>
    </row>
    <row r="2276" spans="1:23" s="5" customFormat="1">
      <c r="A2276" s="6"/>
      <c r="B2276" s="33"/>
      <c r="C2276" s="35"/>
      <c r="E2276" s="39"/>
      <c r="G2276" s="40"/>
      <c r="H2276" s="15"/>
      <c r="I2276" s="17"/>
      <c r="J2276" s="10"/>
      <c r="M2276" s="39"/>
      <c r="O2276" s="39"/>
      <c r="Q2276" s="39"/>
      <c r="R2276" s="28"/>
      <c r="S2276" s="28"/>
      <c r="T2276" s="28"/>
      <c r="U2276" s="4"/>
      <c r="V2276" s="3"/>
      <c r="W2276" s="3"/>
    </row>
    <row r="2277" spans="1:23" s="5" customFormat="1">
      <c r="A2277" s="6"/>
      <c r="B2277" s="33"/>
      <c r="C2277" s="35"/>
      <c r="E2277" s="39"/>
      <c r="G2277" s="40"/>
      <c r="H2277" s="15"/>
      <c r="I2277" s="17"/>
      <c r="J2277" s="10"/>
      <c r="M2277" s="39"/>
      <c r="O2277" s="39"/>
      <c r="Q2277" s="39"/>
      <c r="R2277" s="28"/>
      <c r="S2277" s="28"/>
      <c r="T2277" s="28"/>
      <c r="U2277" s="4"/>
      <c r="V2277" s="3"/>
      <c r="W2277" s="3"/>
    </row>
    <row r="2278" spans="1:23" s="5" customFormat="1">
      <c r="A2278" s="6"/>
      <c r="B2278" s="33"/>
      <c r="C2278" s="35"/>
      <c r="E2278" s="39"/>
      <c r="G2278" s="40"/>
      <c r="H2278" s="14"/>
      <c r="I2278" s="17"/>
      <c r="J2278" s="10"/>
      <c r="M2278" s="39"/>
      <c r="O2278" s="39"/>
      <c r="Q2278" s="39"/>
      <c r="R2278" s="28"/>
      <c r="S2278" s="28"/>
      <c r="T2278" s="28"/>
      <c r="U2278" s="4"/>
      <c r="V2278" s="3"/>
      <c r="W2278" s="3"/>
    </row>
    <row r="2279" spans="1:23" s="5" customFormat="1">
      <c r="A2279" s="6"/>
      <c r="B2279" s="33"/>
      <c r="C2279" s="35"/>
      <c r="E2279" s="39"/>
      <c r="G2279" s="40"/>
      <c r="H2279" s="15"/>
      <c r="I2279" s="17"/>
      <c r="J2279" s="10"/>
      <c r="M2279" s="39"/>
      <c r="O2279" s="39"/>
      <c r="Q2279" s="39"/>
      <c r="R2279" s="28"/>
      <c r="S2279" s="28"/>
      <c r="T2279" s="28"/>
      <c r="U2279" s="4"/>
      <c r="V2279" s="3"/>
      <c r="W2279" s="3"/>
    </row>
    <row r="2280" spans="1:23" s="5" customFormat="1">
      <c r="A2280" s="6"/>
      <c r="B2280" s="33"/>
      <c r="C2280" s="35"/>
      <c r="E2280" s="39"/>
      <c r="G2280" s="40"/>
      <c r="H2280" s="14"/>
      <c r="I2280" s="17"/>
      <c r="J2280" s="10"/>
      <c r="M2280" s="39"/>
      <c r="O2280" s="39"/>
      <c r="Q2280" s="39"/>
      <c r="R2280" s="28"/>
      <c r="S2280" s="28"/>
      <c r="T2280" s="28"/>
      <c r="U2280" s="4"/>
      <c r="V2280" s="3"/>
      <c r="W2280" s="3"/>
    </row>
    <row r="2281" spans="1:23" s="5" customFormat="1">
      <c r="A2281" s="6"/>
      <c r="B2281" s="33"/>
      <c r="C2281" s="35"/>
      <c r="E2281" s="39"/>
      <c r="G2281" s="40"/>
      <c r="H2281" s="15"/>
      <c r="I2281" s="17"/>
      <c r="J2281" s="10"/>
      <c r="M2281" s="39"/>
      <c r="O2281" s="39"/>
      <c r="Q2281" s="39"/>
      <c r="R2281" s="28"/>
      <c r="S2281" s="28"/>
      <c r="T2281" s="28"/>
      <c r="U2281" s="4"/>
      <c r="V2281" s="3"/>
      <c r="W2281" s="3"/>
    </row>
    <row r="2282" spans="1:23" s="5" customFormat="1">
      <c r="A2282" s="6"/>
      <c r="B2282" s="33"/>
      <c r="C2282" s="35"/>
      <c r="E2282" s="39"/>
      <c r="G2282" s="40"/>
      <c r="H2282" s="14"/>
      <c r="I2282" s="17"/>
      <c r="J2282" s="10"/>
      <c r="M2282" s="39"/>
      <c r="O2282" s="39"/>
      <c r="Q2282" s="39"/>
      <c r="R2282" s="28"/>
      <c r="S2282" s="28"/>
      <c r="T2282" s="28"/>
      <c r="U2282" s="4"/>
      <c r="V2282" s="3"/>
      <c r="W2282" s="3"/>
    </row>
    <row r="2283" spans="1:23" s="5" customFormat="1">
      <c r="A2283" s="6"/>
      <c r="B2283" s="33"/>
      <c r="C2283" s="35"/>
      <c r="E2283" s="39"/>
      <c r="G2283" s="40"/>
      <c r="H2283" s="15"/>
      <c r="I2283" s="17"/>
      <c r="J2283" s="10"/>
      <c r="M2283" s="39"/>
      <c r="O2283" s="39"/>
      <c r="Q2283" s="39"/>
      <c r="R2283" s="28"/>
      <c r="S2283" s="28"/>
      <c r="T2283" s="28"/>
      <c r="U2283" s="4"/>
      <c r="V2283" s="3"/>
      <c r="W2283" s="3"/>
    </row>
    <row r="2284" spans="1:23" s="5" customFormat="1">
      <c r="A2284" s="6"/>
      <c r="B2284" s="33"/>
      <c r="C2284" s="35"/>
      <c r="E2284" s="39"/>
      <c r="G2284" s="40"/>
      <c r="H2284" s="14"/>
      <c r="I2284" s="17"/>
      <c r="J2284" s="10"/>
      <c r="M2284" s="39"/>
      <c r="O2284" s="39"/>
      <c r="Q2284" s="39"/>
      <c r="R2284" s="28"/>
      <c r="S2284" s="28"/>
      <c r="T2284" s="28"/>
      <c r="U2284" s="4"/>
      <c r="V2284" s="3"/>
      <c r="W2284" s="3"/>
    </row>
    <row r="2285" spans="1:23" s="5" customFormat="1">
      <c r="A2285" s="6"/>
      <c r="B2285" s="33"/>
      <c r="C2285" s="35"/>
      <c r="E2285" s="39"/>
      <c r="G2285" s="40"/>
      <c r="H2285" s="15"/>
      <c r="I2285" s="17"/>
      <c r="J2285" s="10"/>
      <c r="M2285" s="39"/>
      <c r="O2285" s="39"/>
      <c r="Q2285" s="39"/>
      <c r="R2285" s="28"/>
      <c r="S2285" s="28"/>
      <c r="T2285" s="28"/>
      <c r="U2285" s="4"/>
      <c r="V2285" s="3"/>
      <c r="W2285" s="3"/>
    </row>
    <row r="2286" spans="1:23" s="5" customFormat="1">
      <c r="A2286" s="6"/>
      <c r="B2286" s="33"/>
      <c r="C2286" s="35"/>
      <c r="E2286" s="39"/>
      <c r="G2286" s="40"/>
      <c r="H2286" s="15"/>
      <c r="I2286" s="17"/>
      <c r="J2286" s="10"/>
      <c r="M2286" s="39"/>
      <c r="O2286" s="39"/>
      <c r="Q2286" s="39"/>
      <c r="R2286" s="28"/>
      <c r="S2286" s="28"/>
      <c r="T2286" s="28"/>
      <c r="U2286" s="4"/>
      <c r="V2286" s="3"/>
      <c r="W2286" s="3"/>
    </row>
    <row r="2287" spans="1:23" s="5" customFormat="1">
      <c r="A2287" s="6"/>
      <c r="B2287" s="33"/>
      <c r="C2287" s="35"/>
      <c r="E2287" s="39"/>
      <c r="G2287" s="40"/>
      <c r="H2287" s="16"/>
      <c r="I2287" s="17"/>
      <c r="J2287" s="10"/>
      <c r="M2287" s="39"/>
      <c r="O2287" s="39"/>
      <c r="Q2287" s="39"/>
      <c r="R2287" s="28"/>
      <c r="S2287" s="28"/>
      <c r="T2287" s="28"/>
      <c r="U2287" s="4"/>
      <c r="V2287" s="3"/>
      <c r="W2287" s="3"/>
    </row>
    <row r="2288" spans="1:23" s="5" customFormat="1">
      <c r="A2288" s="6"/>
      <c r="B2288" s="33"/>
      <c r="C2288" s="35"/>
      <c r="E2288" s="39"/>
      <c r="G2288" s="40"/>
      <c r="H2288" s="15"/>
      <c r="I2288" s="17"/>
      <c r="J2288" s="10"/>
      <c r="M2288" s="39"/>
      <c r="O2288" s="39"/>
      <c r="Q2288" s="39"/>
      <c r="R2288" s="28"/>
      <c r="S2288" s="28"/>
      <c r="T2288" s="28"/>
      <c r="U2288" s="4"/>
      <c r="V2288" s="3"/>
      <c r="W2288" s="3"/>
    </row>
    <row r="2289" spans="1:23" s="5" customFormat="1">
      <c r="A2289" s="6"/>
      <c r="B2289" s="33"/>
      <c r="C2289" s="35"/>
      <c r="E2289" s="39"/>
      <c r="G2289" s="40"/>
      <c r="H2289" s="15"/>
      <c r="I2289" s="17"/>
      <c r="J2289" s="10"/>
      <c r="M2289" s="39"/>
      <c r="O2289" s="39"/>
      <c r="Q2289" s="39"/>
      <c r="R2289" s="28"/>
      <c r="S2289" s="28"/>
      <c r="T2289" s="28"/>
      <c r="U2289" s="4"/>
      <c r="V2289" s="3"/>
      <c r="W2289" s="3"/>
    </row>
    <row r="2290" spans="1:23" s="5" customFormat="1">
      <c r="A2290" s="6"/>
      <c r="B2290" s="33"/>
      <c r="C2290" s="35"/>
      <c r="E2290" s="39"/>
      <c r="G2290" s="40"/>
      <c r="H2290" s="14"/>
      <c r="I2290" s="17"/>
      <c r="J2290" s="10"/>
      <c r="M2290" s="39"/>
      <c r="O2290" s="39"/>
      <c r="Q2290" s="39"/>
      <c r="R2290" s="28"/>
      <c r="S2290" s="28"/>
      <c r="T2290" s="28"/>
      <c r="U2290" s="4"/>
      <c r="V2290" s="3"/>
      <c r="W2290" s="3"/>
    </row>
    <row r="2291" spans="1:23" s="5" customFormat="1">
      <c r="A2291" s="6"/>
      <c r="B2291" s="33"/>
      <c r="C2291" s="35"/>
      <c r="E2291" s="39"/>
      <c r="G2291" s="40"/>
      <c r="H2291" s="15"/>
      <c r="I2291" s="17"/>
      <c r="J2291" s="10"/>
      <c r="M2291" s="39"/>
      <c r="O2291" s="39"/>
      <c r="Q2291" s="39"/>
      <c r="R2291" s="28"/>
      <c r="S2291" s="28"/>
      <c r="T2291" s="28"/>
      <c r="U2291" s="4"/>
      <c r="V2291" s="3"/>
      <c r="W2291" s="3"/>
    </row>
    <row r="2292" spans="1:23" s="5" customFormat="1">
      <c r="A2292" s="6"/>
      <c r="B2292" s="33"/>
      <c r="C2292" s="35"/>
      <c r="E2292" s="39"/>
      <c r="G2292" s="40"/>
      <c r="H2292" s="15"/>
      <c r="I2292" s="17"/>
      <c r="J2292" s="10"/>
      <c r="M2292" s="39"/>
      <c r="O2292" s="39"/>
      <c r="Q2292" s="39"/>
      <c r="R2292" s="28"/>
      <c r="S2292" s="28"/>
      <c r="T2292" s="28"/>
      <c r="U2292" s="4"/>
      <c r="V2292" s="3"/>
      <c r="W2292" s="3"/>
    </row>
    <row r="2293" spans="1:23" s="5" customFormat="1">
      <c r="A2293" s="6"/>
      <c r="B2293" s="33"/>
      <c r="C2293" s="35"/>
      <c r="E2293" s="39"/>
      <c r="G2293" s="40"/>
      <c r="H2293" s="15"/>
      <c r="I2293" s="17"/>
      <c r="J2293" s="10"/>
      <c r="M2293" s="39"/>
      <c r="O2293" s="39"/>
      <c r="Q2293" s="39"/>
      <c r="R2293" s="28"/>
      <c r="S2293" s="28"/>
      <c r="T2293" s="28"/>
      <c r="U2293" s="4"/>
      <c r="V2293" s="3"/>
      <c r="W2293" s="3"/>
    </row>
    <row r="2294" spans="1:23" s="5" customFormat="1">
      <c r="A2294" s="6"/>
      <c r="B2294" s="33"/>
      <c r="C2294" s="35"/>
      <c r="E2294" s="39"/>
      <c r="G2294" s="40"/>
      <c r="H2294" s="15"/>
      <c r="I2294" s="17"/>
      <c r="J2294" s="10"/>
      <c r="M2294" s="39"/>
      <c r="O2294" s="39"/>
      <c r="Q2294" s="39"/>
      <c r="R2294" s="28"/>
      <c r="S2294" s="28"/>
      <c r="T2294" s="28"/>
      <c r="U2294" s="4"/>
      <c r="V2294" s="3"/>
      <c r="W2294" s="3"/>
    </row>
    <row r="2295" spans="1:23" s="5" customFormat="1">
      <c r="A2295" s="6"/>
      <c r="B2295" s="33"/>
      <c r="C2295" s="35"/>
      <c r="E2295" s="39"/>
      <c r="G2295" s="40"/>
      <c r="H2295" s="15"/>
      <c r="I2295" s="17"/>
      <c r="J2295" s="10"/>
      <c r="M2295" s="39"/>
      <c r="O2295" s="39"/>
      <c r="Q2295" s="39"/>
      <c r="R2295" s="28"/>
      <c r="S2295" s="28"/>
      <c r="T2295" s="28"/>
      <c r="U2295" s="4"/>
      <c r="V2295" s="3"/>
      <c r="W2295" s="3"/>
    </row>
    <row r="2296" spans="1:23" s="5" customFormat="1">
      <c r="A2296" s="6"/>
      <c r="B2296" s="33"/>
      <c r="C2296" s="35"/>
      <c r="E2296" s="39"/>
      <c r="G2296" s="40"/>
      <c r="H2296" s="15"/>
      <c r="I2296" s="17"/>
      <c r="J2296" s="10"/>
      <c r="M2296" s="39"/>
      <c r="O2296" s="39"/>
      <c r="Q2296" s="39"/>
      <c r="R2296" s="28"/>
      <c r="S2296" s="28"/>
      <c r="T2296" s="28"/>
      <c r="U2296" s="4"/>
      <c r="V2296" s="3"/>
      <c r="W2296" s="3"/>
    </row>
    <row r="2297" spans="1:23" s="5" customFormat="1">
      <c r="A2297" s="6"/>
      <c r="B2297" s="33"/>
      <c r="C2297" s="35"/>
      <c r="E2297" s="39"/>
      <c r="G2297" s="40"/>
      <c r="H2297" s="15"/>
      <c r="I2297" s="17"/>
      <c r="J2297" s="10"/>
      <c r="M2297" s="39"/>
      <c r="O2297" s="39"/>
      <c r="Q2297" s="39"/>
      <c r="R2297" s="28"/>
      <c r="S2297" s="28"/>
      <c r="T2297" s="28"/>
      <c r="U2297" s="4"/>
      <c r="V2297" s="3"/>
      <c r="W2297" s="3"/>
    </row>
    <row r="2298" spans="1:23" s="5" customFormat="1">
      <c r="A2298" s="6"/>
      <c r="B2298" s="33"/>
      <c r="C2298" s="35"/>
      <c r="E2298" s="39"/>
      <c r="G2298" s="40"/>
      <c r="H2298" s="15"/>
      <c r="I2298" s="17"/>
      <c r="J2298" s="10"/>
      <c r="M2298" s="39"/>
      <c r="O2298" s="39"/>
      <c r="Q2298" s="39"/>
      <c r="R2298" s="28"/>
      <c r="S2298" s="28"/>
      <c r="T2298" s="28"/>
      <c r="U2298" s="4"/>
      <c r="V2298" s="3"/>
      <c r="W2298" s="3"/>
    </row>
    <row r="2299" spans="1:23" s="5" customFormat="1">
      <c r="A2299" s="6"/>
      <c r="B2299" s="33"/>
      <c r="C2299" s="35"/>
      <c r="E2299" s="39"/>
      <c r="G2299" s="40"/>
      <c r="H2299" s="15"/>
      <c r="I2299" s="17"/>
      <c r="J2299" s="10"/>
      <c r="M2299" s="39"/>
      <c r="O2299" s="39"/>
      <c r="Q2299" s="39"/>
      <c r="R2299" s="28"/>
      <c r="S2299" s="28"/>
      <c r="T2299" s="28"/>
      <c r="U2299" s="4"/>
      <c r="V2299" s="3"/>
      <c r="W2299" s="3"/>
    </row>
    <row r="2300" spans="1:23" s="5" customFormat="1">
      <c r="A2300" s="6"/>
      <c r="B2300" s="33"/>
      <c r="C2300" s="35"/>
      <c r="E2300" s="39"/>
      <c r="G2300" s="40"/>
      <c r="H2300" s="15"/>
      <c r="I2300" s="17"/>
      <c r="J2300" s="10"/>
      <c r="M2300" s="39"/>
      <c r="O2300" s="39"/>
      <c r="Q2300" s="39"/>
      <c r="R2300" s="28"/>
      <c r="S2300" s="28"/>
      <c r="T2300" s="28"/>
      <c r="U2300" s="4"/>
      <c r="V2300" s="3"/>
      <c r="W2300" s="3"/>
    </row>
    <row r="2301" spans="1:23" s="5" customFormat="1">
      <c r="A2301" s="6"/>
      <c r="B2301" s="33"/>
      <c r="C2301" s="35"/>
      <c r="E2301" s="39"/>
      <c r="G2301" s="40"/>
      <c r="H2301" s="15"/>
      <c r="I2301" s="17"/>
      <c r="J2301" s="10"/>
      <c r="M2301" s="39"/>
      <c r="O2301" s="39"/>
      <c r="Q2301" s="39"/>
      <c r="R2301" s="28"/>
      <c r="S2301" s="28"/>
      <c r="T2301" s="28"/>
      <c r="U2301" s="4"/>
      <c r="V2301" s="3"/>
      <c r="W2301" s="3"/>
    </row>
    <row r="2302" spans="1:23" s="5" customFormat="1">
      <c r="A2302" s="6"/>
      <c r="B2302" s="33"/>
      <c r="C2302" s="35"/>
      <c r="E2302" s="39"/>
      <c r="G2302" s="40"/>
      <c r="H2302" s="14"/>
      <c r="I2302" s="17"/>
      <c r="J2302" s="10"/>
      <c r="M2302" s="39"/>
      <c r="O2302" s="39"/>
      <c r="Q2302" s="39"/>
      <c r="R2302" s="28"/>
      <c r="S2302" s="28"/>
      <c r="T2302" s="28"/>
      <c r="U2302" s="4"/>
      <c r="V2302" s="3"/>
      <c r="W2302" s="3"/>
    </row>
    <row r="2303" spans="1:23" s="5" customFormat="1">
      <c r="A2303" s="6"/>
      <c r="B2303" s="33"/>
      <c r="C2303" s="35"/>
      <c r="E2303" s="39"/>
      <c r="G2303" s="40"/>
      <c r="H2303" s="14"/>
      <c r="I2303" s="17"/>
      <c r="J2303" s="10"/>
      <c r="M2303" s="39"/>
      <c r="O2303" s="39"/>
      <c r="Q2303" s="39"/>
      <c r="R2303" s="28"/>
      <c r="S2303" s="28"/>
      <c r="T2303" s="28"/>
      <c r="U2303" s="4"/>
      <c r="V2303" s="3"/>
      <c r="W2303" s="3"/>
    </row>
    <row r="2304" spans="1:23" s="5" customFormat="1">
      <c r="A2304" s="6"/>
      <c r="B2304" s="33"/>
      <c r="C2304" s="35"/>
      <c r="E2304" s="39"/>
      <c r="G2304" s="40"/>
      <c r="H2304" s="15"/>
      <c r="I2304" s="17"/>
      <c r="J2304" s="10"/>
      <c r="M2304" s="39"/>
      <c r="O2304" s="39"/>
      <c r="Q2304" s="39"/>
      <c r="R2304" s="28"/>
      <c r="S2304" s="28"/>
      <c r="T2304" s="28"/>
      <c r="U2304" s="4"/>
      <c r="V2304" s="3"/>
      <c r="W2304" s="3"/>
    </row>
    <row r="2305" spans="1:23" s="5" customFormat="1">
      <c r="A2305" s="6"/>
      <c r="B2305" s="33"/>
      <c r="C2305" s="35"/>
      <c r="E2305" s="39"/>
      <c r="G2305" s="40"/>
      <c r="H2305" s="15"/>
      <c r="I2305" s="17"/>
      <c r="J2305" s="10"/>
      <c r="M2305" s="39"/>
      <c r="O2305" s="39"/>
      <c r="Q2305" s="39"/>
      <c r="R2305" s="28"/>
      <c r="S2305" s="28"/>
      <c r="T2305" s="28"/>
      <c r="U2305" s="4"/>
      <c r="V2305" s="3"/>
      <c r="W2305" s="3"/>
    </row>
    <row r="2306" spans="1:23" s="5" customFormat="1">
      <c r="A2306" s="6"/>
      <c r="B2306" s="33"/>
      <c r="C2306" s="35"/>
      <c r="E2306" s="39"/>
      <c r="G2306" s="40"/>
      <c r="H2306" s="15"/>
      <c r="I2306" s="17"/>
      <c r="J2306" s="10"/>
      <c r="M2306" s="39"/>
      <c r="O2306" s="39"/>
      <c r="Q2306" s="39"/>
      <c r="R2306" s="28"/>
      <c r="S2306" s="28"/>
      <c r="T2306" s="28"/>
      <c r="U2306" s="4"/>
      <c r="V2306" s="3"/>
      <c r="W2306" s="3"/>
    </row>
    <row r="2307" spans="1:23" s="5" customFormat="1">
      <c r="A2307" s="6"/>
      <c r="B2307" s="33"/>
      <c r="C2307" s="35"/>
      <c r="E2307" s="39"/>
      <c r="G2307" s="40"/>
      <c r="H2307" s="15"/>
      <c r="I2307" s="17"/>
      <c r="J2307" s="10"/>
      <c r="M2307" s="39"/>
      <c r="O2307" s="39"/>
      <c r="Q2307" s="39"/>
      <c r="R2307" s="28"/>
      <c r="S2307" s="28"/>
      <c r="T2307" s="28"/>
      <c r="U2307" s="4"/>
      <c r="V2307" s="3"/>
      <c r="W2307" s="3"/>
    </row>
    <row r="2308" spans="1:23" s="5" customFormat="1">
      <c r="A2308" s="6"/>
      <c r="B2308" s="33"/>
      <c r="C2308" s="35"/>
      <c r="E2308" s="39"/>
      <c r="G2308" s="40"/>
      <c r="H2308" s="15"/>
      <c r="I2308" s="17"/>
      <c r="J2308" s="10"/>
      <c r="M2308" s="39"/>
      <c r="O2308" s="39"/>
      <c r="Q2308" s="39"/>
      <c r="R2308" s="28"/>
      <c r="S2308" s="28"/>
      <c r="T2308" s="28"/>
      <c r="U2308" s="4"/>
      <c r="V2308" s="3"/>
      <c r="W2308" s="3"/>
    </row>
    <row r="2309" spans="1:23" s="5" customFormat="1">
      <c r="A2309" s="6"/>
      <c r="B2309" s="33"/>
      <c r="C2309" s="35"/>
      <c r="E2309" s="39"/>
      <c r="G2309" s="40"/>
      <c r="H2309" s="15"/>
      <c r="I2309" s="17"/>
      <c r="J2309" s="10"/>
      <c r="M2309" s="39"/>
      <c r="O2309" s="39"/>
      <c r="Q2309" s="39"/>
      <c r="R2309" s="28"/>
      <c r="S2309" s="28"/>
      <c r="T2309" s="28"/>
      <c r="U2309" s="4"/>
      <c r="V2309" s="3"/>
      <c r="W2309" s="3"/>
    </row>
    <row r="2310" spans="1:23" s="5" customFormat="1">
      <c r="A2310" s="6"/>
      <c r="B2310" s="33"/>
      <c r="C2310" s="35"/>
      <c r="E2310" s="39"/>
      <c r="G2310" s="40"/>
      <c r="H2310" s="15"/>
      <c r="I2310" s="17"/>
      <c r="J2310" s="10"/>
      <c r="M2310" s="39"/>
      <c r="O2310" s="39"/>
      <c r="Q2310" s="39"/>
      <c r="R2310" s="28"/>
      <c r="S2310" s="28"/>
      <c r="T2310" s="28"/>
      <c r="U2310" s="4"/>
      <c r="V2310" s="3"/>
      <c r="W2310" s="3"/>
    </row>
    <row r="2311" spans="1:23" s="5" customFormat="1">
      <c r="A2311" s="6"/>
      <c r="B2311" s="33"/>
      <c r="C2311" s="35"/>
      <c r="E2311" s="39"/>
      <c r="G2311" s="40"/>
      <c r="H2311" s="14"/>
      <c r="I2311" s="17"/>
      <c r="J2311" s="10"/>
      <c r="M2311" s="39"/>
      <c r="O2311" s="39"/>
      <c r="Q2311" s="39"/>
      <c r="R2311" s="28"/>
      <c r="S2311" s="28"/>
      <c r="T2311" s="28"/>
      <c r="U2311" s="4"/>
      <c r="V2311" s="3"/>
      <c r="W2311" s="3"/>
    </row>
    <row r="2312" spans="1:23" s="5" customFormat="1">
      <c r="A2312" s="6"/>
      <c r="B2312" s="33"/>
      <c r="C2312" s="35"/>
      <c r="E2312" s="39"/>
      <c r="G2312" s="40"/>
      <c r="H2312" s="15"/>
      <c r="I2312" s="17"/>
      <c r="J2312" s="10"/>
      <c r="M2312" s="39"/>
      <c r="O2312" s="39"/>
      <c r="Q2312" s="39"/>
      <c r="R2312" s="28"/>
      <c r="S2312" s="28"/>
      <c r="T2312" s="28"/>
      <c r="U2312" s="4"/>
      <c r="V2312" s="3"/>
      <c r="W2312" s="3"/>
    </row>
    <row r="2313" spans="1:23" s="5" customFormat="1">
      <c r="A2313" s="6"/>
      <c r="B2313" s="33"/>
      <c r="C2313" s="35"/>
      <c r="E2313" s="39"/>
      <c r="G2313" s="40"/>
      <c r="H2313" s="14"/>
      <c r="I2313" s="17"/>
      <c r="J2313" s="10"/>
      <c r="M2313" s="39"/>
      <c r="O2313" s="39"/>
      <c r="Q2313" s="39"/>
      <c r="R2313" s="28"/>
      <c r="S2313" s="28"/>
      <c r="T2313" s="28"/>
      <c r="U2313" s="4"/>
      <c r="V2313" s="3"/>
      <c r="W2313" s="3"/>
    </row>
    <row r="2314" spans="1:23" s="5" customFormat="1">
      <c r="A2314" s="6"/>
      <c r="B2314" s="33"/>
      <c r="C2314" s="35"/>
      <c r="E2314" s="39"/>
      <c r="G2314" s="40"/>
      <c r="H2314" s="15"/>
      <c r="I2314" s="17"/>
      <c r="J2314" s="10"/>
      <c r="M2314" s="39"/>
      <c r="O2314" s="39"/>
      <c r="Q2314" s="39"/>
      <c r="R2314" s="28"/>
      <c r="S2314" s="28"/>
      <c r="T2314" s="28"/>
      <c r="U2314" s="4"/>
      <c r="V2314" s="3"/>
      <c r="W2314" s="3"/>
    </row>
    <row r="2315" spans="1:23" s="5" customFormat="1">
      <c r="A2315" s="6"/>
      <c r="B2315" s="33"/>
      <c r="C2315" s="35"/>
      <c r="E2315" s="39"/>
      <c r="G2315" s="40"/>
      <c r="H2315" s="15"/>
      <c r="I2315" s="17"/>
      <c r="J2315" s="10"/>
      <c r="M2315" s="39"/>
      <c r="O2315" s="39"/>
      <c r="Q2315" s="39"/>
      <c r="R2315" s="28"/>
      <c r="S2315" s="28"/>
      <c r="T2315" s="28"/>
      <c r="U2315" s="4"/>
      <c r="V2315" s="3"/>
      <c r="W2315" s="3"/>
    </row>
    <row r="2316" spans="1:23" s="5" customFormat="1">
      <c r="A2316" s="6"/>
      <c r="B2316" s="33"/>
      <c r="C2316" s="35"/>
      <c r="E2316" s="39"/>
      <c r="G2316" s="40"/>
      <c r="H2316" s="15"/>
      <c r="I2316" s="17"/>
      <c r="J2316" s="10"/>
      <c r="M2316" s="39"/>
      <c r="O2316" s="39"/>
      <c r="Q2316" s="39"/>
      <c r="R2316" s="28"/>
      <c r="S2316" s="28"/>
      <c r="T2316" s="28"/>
      <c r="U2316" s="4"/>
      <c r="V2316" s="3"/>
      <c r="W2316" s="3"/>
    </row>
    <row r="2317" spans="1:23" s="5" customFormat="1">
      <c r="A2317" s="6"/>
      <c r="B2317" s="33"/>
      <c r="C2317" s="35"/>
      <c r="E2317" s="39"/>
      <c r="G2317" s="40"/>
      <c r="H2317" s="15"/>
      <c r="I2317" s="17"/>
      <c r="J2317" s="10"/>
      <c r="M2317" s="39"/>
      <c r="O2317" s="39"/>
      <c r="Q2317" s="39"/>
      <c r="R2317" s="28"/>
      <c r="S2317" s="28"/>
      <c r="T2317" s="28"/>
      <c r="U2317" s="4"/>
      <c r="V2317" s="3"/>
      <c r="W2317" s="3"/>
    </row>
    <row r="2318" spans="1:23" s="5" customFormat="1">
      <c r="A2318" s="6"/>
      <c r="B2318" s="33"/>
      <c r="C2318" s="35"/>
      <c r="E2318" s="39"/>
      <c r="G2318" s="40"/>
      <c r="H2318" s="15"/>
      <c r="I2318" s="17"/>
      <c r="J2318" s="10"/>
      <c r="M2318" s="39"/>
      <c r="O2318" s="39"/>
      <c r="Q2318" s="39"/>
      <c r="R2318" s="28"/>
      <c r="S2318" s="28"/>
      <c r="T2318" s="28"/>
      <c r="U2318" s="4"/>
      <c r="V2318" s="3"/>
      <c r="W2318" s="3"/>
    </row>
    <row r="2319" spans="1:23" s="5" customFormat="1">
      <c r="A2319" s="6"/>
      <c r="B2319" s="33"/>
      <c r="C2319" s="35"/>
      <c r="E2319" s="39"/>
      <c r="G2319" s="40"/>
      <c r="H2319" s="14"/>
      <c r="I2319" s="17"/>
      <c r="J2319" s="10"/>
      <c r="M2319" s="39"/>
      <c r="O2319" s="39"/>
      <c r="Q2319" s="39"/>
      <c r="R2319" s="28"/>
      <c r="S2319" s="28"/>
      <c r="T2319" s="28"/>
      <c r="U2319" s="4"/>
      <c r="V2319" s="3"/>
      <c r="W2319" s="3"/>
    </row>
    <row r="2320" spans="1:23" s="5" customFormat="1">
      <c r="A2320" s="6"/>
      <c r="B2320" s="33"/>
      <c r="C2320" s="35"/>
      <c r="E2320" s="39"/>
      <c r="G2320" s="40"/>
      <c r="H2320" s="15"/>
      <c r="I2320" s="17"/>
      <c r="J2320" s="10"/>
      <c r="M2320" s="39"/>
      <c r="O2320" s="39"/>
      <c r="Q2320" s="39"/>
      <c r="R2320" s="28"/>
      <c r="S2320" s="28"/>
      <c r="T2320" s="28"/>
      <c r="U2320" s="4"/>
      <c r="V2320" s="3"/>
      <c r="W2320" s="3"/>
    </row>
    <row r="2321" spans="1:23" s="5" customFormat="1">
      <c r="A2321" s="6"/>
      <c r="B2321" s="33"/>
      <c r="C2321" s="35"/>
      <c r="E2321" s="39"/>
      <c r="G2321" s="40"/>
      <c r="H2321" s="15"/>
      <c r="I2321" s="17"/>
      <c r="J2321" s="10"/>
      <c r="M2321" s="39"/>
      <c r="O2321" s="39"/>
      <c r="Q2321" s="39"/>
      <c r="R2321" s="28"/>
      <c r="S2321" s="29"/>
      <c r="T2321" s="28"/>
      <c r="U2321" s="4"/>
      <c r="V2321" s="3"/>
      <c r="W2321" s="3"/>
    </row>
    <row r="2322" spans="1:23" s="5" customFormat="1">
      <c r="A2322" s="6"/>
      <c r="B2322" s="33"/>
      <c r="C2322" s="35"/>
      <c r="E2322" s="39"/>
      <c r="G2322" s="40"/>
      <c r="H2322" s="14"/>
      <c r="I2322" s="17"/>
      <c r="J2322" s="10"/>
      <c r="M2322" s="39"/>
      <c r="O2322" s="39"/>
      <c r="Q2322" s="39"/>
      <c r="R2322" s="28"/>
      <c r="S2322" s="28"/>
      <c r="T2322" s="28"/>
      <c r="U2322" s="4"/>
      <c r="V2322" s="3"/>
      <c r="W2322" s="3"/>
    </row>
    <row r="2323" spans="1:23" s="5" customFormat="1">
      <c r="A2323" s="6"/>
      <c r="B2323" s="33"/>
      <c r="C2323" s="35"/>
      <c r="E2323" s="39"/>
      <c r="G2323" s="40"/>
      <c r="H2323" s="15"/>
      <c r="I2323" s="17"/>
      <c r="J2323" s="10"/>
      <c r="M2323" s="39"/>
      <c r="O2323" s="39"/>
      <c r="Q2323" s="39"/>
      <c r="R2323" s="28"/>
      <c r="S2323" s="28"/>
      <c r="T2323" s="28"/>
      <c r="U2323" s="4"/>
      <c r="V2323" s="3"/>
      <c r="W2323" s="3"/>
    </row>
    <row r="2324" spans="1:23" s="5" customFormat="1">
      <c r="A2324" s="6"/>
      <c r="B2324" s="33"/>
      <c r="C2324" s="35"/>
      <c r="E2324" s="39"/>
      <c r="G2324" s="40"/>
      <c r="H2324" s="15"/>
      <c r="I2324" s="17"/>
      <c r="J2324" s="10"/>
      <c r="M2324" s="39"/>
      <c r="O2324" s="39"/>
      <c r="Q2324" s="39"/>
      <c r="R2324" s="28"/>
      <c r="S2324" s="28"/>
      <c r="T2324" s="28"/>
      <c r="U2324" s="4"/>
      <c r="V2324" s="3"/>
      <c r="W2324" s="3"/>
    </row>
    <row r="2325" spans="1:23" s="5" customFormat="1">
      <c r="A2325" s="6"/>
      <c r="B2325" s="33"/>
      <c r="C2325" s="35"/>
      <c r="E2325" s="39"/>
      <c r="G2325" s="40"/>
      <c r="H2325" s="15"/>
      <c r="I2325" s="17"/>
      <c r="J2325" s="10"/>
      <c r="M2325" s="39"/>
      <c r="O2325" s="39"/>
      <c r="Q2325" s="39"/>
      <c r="R2325" s="28"/>
      <c r="S2325" s="28"/>
      <c r="T2325" s="28"/>
      <c r="U2325" s="4"/>
      <c r="V2325" s="3"/>
      <c r="W2325" s="3"/>
    </row>
    <row r="2326" spans="1:23" s="5" customFormat="1">
      <c r="A2326" s="6"/>
      <c r="B2326" s="33"/>
      <c r="C2326" s="35"/>
      <c r="E2326" s="39"/>
      <c r="G2326" s="40"/>
      <c r="H2326" s="15"/>
      <c r="I2326" s="17"/>
      <c r="J2326" s="10"/>
      <c r="M2326" s="39"/>
      <c r="O2326" s="39"/>
      <c r="Q2326" s="39"/>
      <c r="R2326" s="28"/>
      <c r="S2326" s="28"/>
      <c r="T2326" s="28"/>
      <c r="U2326" s="4"/>
      <c r="V2326" s="3"/>
      <c r="W2326" s="3"/>
    </row>
    <row r="2327" spans="1:23" s="5" customFormat="1">
      <c r="A2327" s="6"/>
      <c r="B2327" s="33"/>
      <c r="C2327" s="35"/>
      <c r="E2327" s="39"/>
      <c r="G2327" s="40"/>
      <c r="H2327" s="14"/>
      <c r="I2327" s="17"/>
      <c r="J2327" s="10"/>
      <c r="M2327" s="39"/>
      <c r="O2327" s="39"/>
      <c r="Q2327" s="39"/>
      <c r="R2327" s="28"/>
      <c r="S2327" s="29"/>
      <c r="T2327" s="28"/>
      <c r="U2327" s="4"/>
      <c r="V2327" s="3"/>
      <c r="W2327" s="3"/>
    </row>
    <row r="2328" spans="1:23" s="5" customFormat="1">
      <c r="A2328" s="6"/>
      <c r="B2328" s="33"/>
      <c r="C2328" s="35"/>
      <c r="E2328" s="39"/>
      <c r="G2328" s="40"/>
      <c r="H2328" s="14"/>
      <c r="I2328" s="17"/>
      <c r="J2328" s="10"/>
      <c r="M2328" s="39"/>
      <c r="O2328" s="39"/>
      <c r="Q2328" s="39"/>
      <c r="R2328" s="28"/>
      <c r="S2328" s="28"/>
      <c r="T2328" s="28"/>
      <c r="U2328" s="4"/>
      <c r="V2328" s="3"/>
      <c r="W2328" s="3"/>
    </row>
    <row r="2329" spans="1:23" s="5" customFormat="1">
      <c r="A2329" s="20"/>
      <c r="B2329" s="33"/>
      <c r="C2329" s="35"/>
      <c r="E2329" s="39"/>
      <c r="F2329" s="1"/>
      <c r="G2329" s="40"/>
      <c r="H2329" s="12"/>
      <c r="I2329" s="9"/>
      <c r="J2329" s="12"/>
      <c r="M2329" s="39"/>
      <c r="O2329" s="39"/>
      <c r="Q2329" s="39"/>
      <c r="R2329" s="29"/>
      <c r="S2329" s="28"/>
      <c r="T2329" s="28"/>
      <c r="U2329" s="4"/>
      <c r="V2329" s="3"/>
      <c r="W2329" s="3"/>
    </row>
    <row r="2330" spans="1:23" s="5" customFormat="1">
      <c r="A2330" s="6"/>
      <c r="B2330" s="33"/>
      <c r="C2330" s="35"/>
      <c r="E2330" s="39"/>
      <c r="G2330" s="40"/>
      <c r="H2330" s="15"/>
      <c r="I2330" s="17"/>
      <c r="J2330" s="10"/>
      <c r="M2330" s="39"/>
      <c r="O2330" s="39"/>
      <c r="Q2330" s="39"/>
      <c r="R2330" s="28"/>
      <c r="S2330" s="28"/>
      <c r="T2330" s="28"/>
      <c r="U2330" s="4"/>
      <c r="V2330" s="3"/>
      <c r="W2330" s="3"/>
    </row>
    <row r="2331" spans="1:23" s="5" customFormat="1">
      <c r="A2331" s="6"/>
      <c r="B2331" s="33"/>
      <c r="C2331" s="35"/>
      <c r="E2331" s="39"/>
      <c r="G2331" s="40"/>
      <c r="H2331" s="14"/>
      <c r="I2331" s="17"/>
      <c r="J2331" s="10"/>
      <c r="M2331" s="39"/>
      <c r="O2331" s="39"/>
      <c r="Q2331" s="39"/>
      <c r="R2331" s="28"/>
      <c r="S2331" s="28"/>
      <c r="T2331" s="28"/>
      <c r="U2331" s="4"/>
      <c r="V2331" s="3"/>
      <c r="W2331" s="3"/>
    </row>
    <row r="2332" spans="1:23" s="5" customFormat="1">
      <c r="A2332" s="6"/>
      <c r="B2332" s="33"/>
      <c r="C2332" s="35"/>
      <c r="E2332" s="39"/>
      <c r="G2332" s="40"/>
      <c r="H2332" s="14"/>
      <c r="I2332" s="17"/>
      <c r="J2332" s="10"/>
      <c r="M2332" s="39"/>
      <c r="O2332" s="39"/>
      <c r="Q2332" s="39"/>
      <c r="R2332" s="28"/>
      <c r="S2332" s="28"/>
      <c r="T2332" s="28"/>
      <c r="U2332" s="4"/>
      <c r="V2332" s="3"/>
      <c r="W2332" s="3"/>
    </row>
    <row r="2333" spans="1:23" s="5" customFormat="1">
      <c r="A2333" s="6"/>
      <c r="B2333" s="33"/>
      <c r="C2333" s="35"/>
      <c r="E2333" s="39"/>
      <c r="G2333" s="40"/>
      <c r="H2333" s="15"/>
      <c r="I2333" s="17"/>
      <c r="J2333" s="10"/>
      <c r="M2333" s="39"/>
      <c r="O2333" s="39"/>
      <c r="Q2333" s="39"/>
      <c r="R2333" s="28"/>
      <c r="S2333" s="28"/>
      <c r="T2333" s="28"/>
      <c r="U2333" s="4"/>
      <c r="V2333" s="3"/>
      <c r="W2333" s="3"/>
    </row>
    <row r="2334" spans="1:23" s="5" customFormat="1">
      <c r="A2334" s="6"/>
      <c r="B2334" s="33"/>
      <c r="C2334" s="35"/>
      <c r="E2334" s="39"/>
      <c r="G2334" s="40"/>
      <c r="H2334" s="15"/>
      <c r="I2334" s="17"/>
      <c r="J2334" s="10"/>
      <c r="M2334" s="39"/>
      <c r="O2334" s="39"/>
      <c r="Q2334" s="39"/>
      <c r="R2334" s="28"/>
      <c r="S2334" s="28"/>
      <c r="T2334" s="28"/>
      <c r="U2334" s="4"/>
      <c r="V2334" s="3"/>
      <c r="W2334" s="3"/>
    </row>
    <row r="2335" spans="1:23" s="5" customFormat="1">
      <c r="A2335" s="6"/>
      <c r="B2335" s="33"/>
      <c r="C2335" s="35"/>
      <c r="E2335" s="39"/>
      <c r="G2335" s="40"/>
      <c r="H2335" s="15"/>
      <c r="I2335" s="17"/>
      <c r="J2335" s="10"/>
      <c r="M2335" s="39"/>
      <c r="O2335" s="39"/>
      <c r="Q2335" s="39"/>
      <c r="R2335" s="28"/>
      <c r="S2335" s="28"/>
      <c r="T2335" s="28"/>
      <c r="U2335" s="4"/>
      <c r="V2335" s="3"/>
      <c r="W2335" s="3"/>
    </row>
    <row r="2336" spans="1:23" s="5" customFormat="1">
      <c r="A2336" s="6"/>
      <c r="B2336" s="33"/>
      <c r="C2336" s="35"/>
      <c r="E2336" s="39"/>
      <c r="G2336" s="40"/>
      <c r="H2336" s="15"/>
      <c r="I2336" s="17"/>
      <c r="J2336" s="10"/>
      <c r="M2336" s="39"/>
      <c r="O2336" s="39"/>
      <c r="Q2336" s="39"/>
      <c r="R2336" s="28"/>
      <c r="S2336" s="28"/>
      <c r="T2336" s="28"/>
      <c r="U2336" s="4"/>
      <c r="V2336" s="3"/>
      <c r="W2336" s="3"/>
    </row>
    <row r="2337" spans="1:23" s="5" customFormat="1">
      <c r="A2337" s="6"/>
      <c r="B2337" s="33"/>
      <c r="C2337" s="35"/>
      <c r="E2337" s="39"/>
      <c r="G2337" s="40"/>
      <c r="H2337" s="15"/>
      <c r="I2337" s="17"/>
      <c r="J2337" s="10"/>
      <c r="M2337" s="39"/>
      <c r="O2337" s="39"/>
      <c r="Q2337" s="39"/>
      <c r="R2337" s="28"/>
      <c r="S2337" s="28"/>
      <c r="T2337" s="28"/>
      <c r="U2337" s="4"/>
      <c r="V2337" s="3"/>
      <c r="W2337" s="3"/>
    </row>
    <row r="2338" spans="1:23" s="5" customFormat="1">
      <c r="A2338" s="6"/>
      <c r="B2338" s="33"/>
      <c r="C2338" s="35"/>
      <c r="E2338" s="39"/>
      <c r="G2338" s="40"/>
      <c r="H2338" s="15"/>
      <c r="I2338" s="17"/>
      <c r="J2338" s="10"/>
      <c r="M2338" s="39"/>
      <c r="O2338" s="39"/>
      <c r="Q2338" s="39"/>
      <c r="R2338" s="28"/>
      <c r="S2338" s="28"/>
      <c r="T2338" s="28"/>
      <c r="U2338" s="4"/>
      <c r="V2338" s="3"/>
      <c r="W2338" s="3"/>
    </row>
    <row r="2339" spans="1:23" s="5" customFormat="1">
      <c r="A2339" s="6"/>
      <c r="B2339" s="33"/>
      <c r="C2339" s="35"/>
      <c r="E2339" s="39"/>
      <c r="G2339" s="40"/>
      <c r="H2339" s="15"/>
      <c r="I2339" s="17"/>
      <c r="J2339" s="10"/>
      <c r="M2339" s="39"/>
      <c r="O2339" s="39"/>
      <c r="Q2339" s="39"/>
      <c r="R2339" s="28"/>
      <c r="S2339" s="28"/>
      <c r="T2339" s="28"/>
      <c r="U2339" s="4"/>
      <c r="V2339" s="3"/>
      <c r="W2339" s="3"/>
    </row>
    <row r="2340" spans="1:23" s="5" customFormat="1">
      <c r="A2340" s="6"/>
      <c r="B2340" s="33"/>
      <c r="C2340" s="35"/>
      <c r="E2340" s="39"/>
      <c r="G2340" s="40"/>
      <c r="H2340" s="15"/>
      <c r="I2340" s="17"/>
      <c r="J2340" s="10"/>
      <c r="M2340" s="39"/>
      <c r="O2340" s="39"/>
      <c r="Q2340" s="39"/>
      <c r="R2340" s="28"/>
      <c r="S2340" s="28"/>
      <c r="T2340" s="28"/>
      <c r="U2340" s="4"/>
      <c r="V2340" s="3"/>
      <c r="W2340" s="3"/>
    </row>
    <row r="2341" spans="1:23" s="5" customFormat="1">
      <c r="A2341" s="6"/>
      <c r="B2341" s="33"/>
      <c r="C2341" s="35"/>
      <c r="E2341" s="39"/>
      <c r="G2341" s="40"/>
      <c r="H2341" s="14"/>
      <c r="I2341" s="17"/>
      <c r="J2341" s="10"/>
      <c r="M2341" s="39"/>
      <c r="O2341" s="39"/>
      <c r="Q2341" s="39"/>
      <c r="R2341" s="28"/>
      <c r="S2341" s="28"/>
      <c r="T2341" s="28"/>
      <c r="U2341" s="4"/>
      <c r="V2341" s="3"/>
      <c r="W2341" s="3"/>
    </row>
    <row r="2342" spans="1:23" s="5" customFormat="1">
      <c r="A2342" s="6"/>
      <c r="B2342" s="33"/>
      <c r="C2342" s="35"/>
      <c r="E2342" s="39"/>
      <c r="G2342" s="40"/>
      <c r="H2342" s="14"/>
      <c r="I2342" s="17"/>
      <c r="J2342" s="10"/>
      <c r="M2342" s="39"/>
      <c r="O2342" s="39"/>
      <c r="Q2342" s="39"/>
      <c r="R2342" s="28"/>
      <c r="S2342" s="28"/>
      <c r="T2342" s="28"/>
      <c r="U2342" s="4"/>
      <c r="V2342" s="3"/>
      <c r="W2342" s="3"/>
    </row>
    <row r="2343" spans="1:23" s="5" customFormat="1">
      <c r="A2343" s="6"/>
      <c r="B2343" s="33"/>
      <c r="C2343" s="35"/>
      <c r="E2343" s="39"/>
      <c r="G2343" s="40"/>
      <c r="H2343" s="14"/>
      <c r="I2343" s="17"/>
      <c r="J2343" s="10"/>
      <c r="M2343" s="39"/>
      <c r="O2343" s="39"/>
      <c r="Q2343" s="39"/>
      <c r="R2343" s="28"/>
      <c r="S2343" s="28"/>
      <c r="T2343" s="28"/>
      <c r="U2343" s="4"/>
      <c r="V2343" s="3"/>
      <c r="W2343" s="3"/>
    </row>
    <row r="2344" spans="1:23" s="5" customFormat="1">
      <c r="A2344" s="6"/>
      <c r="B2344" s="33"/>
      <c r="C2344" s="35"/>
      <c r="E2344" s="39"/>
      <c r="G2344" s="40"/>
      <c r="H2344" s="14"/>
      <c r="I2344" s="17"/>
      <c r="J2344" s="10"/>
      <c r="M2344" s="39"/>
      <c r="O2344" s="39"/>
      <c r="Q2344" s="39"/>
      <c r="R2344" s="28"/>
      <c r="S2344" s="28"/>
      <c r="T2344" s="28"/>
      <c r="U2344" s="4"/>
      <c r="V2344" s="3"/>
      <c r="W2344" s="3"/>
    </row>
    <row r="2345" spans="1:23" s="5" customFormat="1">
      <c r="A2345" s="6"/>
      <c r="B2345" s="33"/>
      <c r="C2345" s="35"/>
      <c r="E2345" s="39"/>
      <c r="G2345" s="40"/>
      <c r="H2345" s="14"/>
      <c r="I2345" s="17"/>
      <c r="J2345" s="10"/>
      <c r="M2345" s="39"/>
      <c r="O2345" s="39"/>
      <c r="Q2345" s="39"/>
      <c r="R2345" s="28"/>
      <c r="S2345" s="28"/>
      <c r="T2345" s="28"/>
      <c r="U2345" s="4"/>
      <c r="V2345" s="3"/>
      <c r="W2345" s="3"/>
    </row>
    <row r="2346" spans="1:23" s="5" customFormat="1">
      <c r="A2346" s="6"/>
      <c r="B2346" s="33"/>
      <c r="C2346" s="35"/>
      <c r="E2346" s="39"/>
      <c r="G2346" s="40"/>
      <c r="H2346" s="14"/>
      <c r="I2346" s="17"/>
      <c r="J2346" s="10"/>
      <c r="M2346" s="39"/>
      <c r="O2346" s="39"/>
      <c r="Q2346" s="39"/>
      <c r="R2346" s="28"/>
      <c r="S2346" s="28"/>
      <c r="T2346" s="28"/>
      <c r="U2346" s="4"/>
      <c r="V2346" s="3"/>
      <c r="W2346" s="3"/>
    </row>
    <row r="2347" spans="1:23" s="5" customFormat="1">
      <c r="A2347" s="6"/>
      <c r="B2347" s="33"/>
      <c r="C2347" s="35"/>
      <c r="E2347" s="39"/>
      <c r="G2347" s="40"/>
      <c r="H2347" s="15"/>
      <c r="I2347" s="17"/>
      <c r="J2347" s="10"/>
      <c r="M2347" s="39"/>
      <c r="O2347" s="39"/>
      <c r="Q2347" s="39"/>
      <c r="R2347" s="28"/>
      <c r="S2347" s="28"/>
      <c r="T2347" s="28"/>
      <c r="U2347" s="4"/>
      <c r="V2347" s="3"/>
      <c r="W2347" s="3"/>
    </row>
    <row r="2348" spans="1:23" s="5" customFormat="1">
      <c r="A2348" s="6"/>
      <c r="B2348" s="33"/>
      <c r="C2348" s="35"/>
      <c r="E2348" s="39"/>
      <c r="G2348" s="40"/>
      <c r="H2348" s="15"/>
      <c r="I2348" s="17"/>
      <c r="J2348" s="10"/>
      <c r="M2348" s="39"/>
      <c r="O2348" s="39"/>
      <c r="Q2348" s="39"/>
      <c r="R2348" s="28"/>
      <c r="S2348" s="28"/>
      <c r="T2348" s="28"/>
      <c r="U2348" s="4"/>
      <c r="V2348" s="3"/>
      <c r="W2348" s="3"/>
    </row>
    <row r="2349" spans="1:23" s="5" customFormat="1">
      <c r="A2349" s="6"/>
      <c r="B2349" s="33"/>
      <c r="C2349" s="35"/>
      <c r="E2349" s="39"/>
      <c r="G2349" s="40"/>
      <c r="H2349" s="15"/>
      <c r="I2349" s="17"/>
      <c r="J2349" s="10"/>
      <c r="M2349" s="39"/>
      <c r="O2349" s="39"/>
      <c r="Q2349" s="39"/>
      <c r="R2349" s="28"/>
      <c r="S2349" s="28"/>
      <c r="T2349" s="28"/>
      <c r="U2349" s="4"/>
      <c r="V2349" s="3"/>
      <c r="W2349" s="3"/>
    </row>
    <row r="2350" spans="1:23" s="5" customFormat="1">
      <c r="A2350" s="6"/>
      <c r="B2350" s="33"/>
      <c r="C2350" s="35"/>
      <c r="E2350" s="39"/>
      <c r="G2350" s="40"/>
      <c r="H2350" s="15"/>
      <c r="I2350" s="17"/>
      <c r="J2350" s="10"/>
      <c r="M2350" s="39"/>
      <c r="O2350" s="39"/>
      <c r="Q2350" s="39"/>
      <c r="R2350" s="28"/>
      <c r="S2350" s="28"/>
      <c r="T2350" s="28"/>
      <c r="U2350" s="4"/>
      <c r="V2350" s="3"/>
      <c r="W2350" s="3"/>
    </row>
    <row r="2351" spans="1:23" s="5" customFormat="1">
      <c r="A2351" s="6"/>
      <c r="B2351" s="33"/>
      <c r="C2351" s="35"/>
      <c r="E2351" s="39"/>
      <c r="G2351" s="40"/>
      <c r="H2351" s="15"/>
      <c r="I2351" s="17"/>
      <c r="J2351" s="10"/>
      <c r="M2351" s="39"/>
      <c r="O2351" s="39"/>
      <c r="Q2351" s="39"/>
      <c r="R2351" s="28"/>
      <c r="S2351" s="28"/>
      <c r="T2351" s="28"/>
      <c r="U2351" s="4"/>
      <c r="V2351" s="3"/>
      <c r="W2351" s="3"/>
    </row>
    <row r="2352" spans="1:23" s="5" customFormat="1">
      <c r="A2352" s="6"/>
      <c r="B2352" s="33"/>
      <c r="C2352" s="35"/>
      <c r="E2352" s="39"/>
      <c r="G2352" s="40"/>
      <c r="H2352" s="14"/>
      <c r="I2352" s="17"/>
      <c r="J2352" s="10"/>
      <c r="M2352" s="39"/>
      <c r="O2352" s="39"/>
      <c r="Q2352" s="39"/>
      <c r="R2352" s="28"/>
      <c r="S2352" s="28"/>
      <c r="T2352" s="28"/>
      <c r="U2352" s="4"/>
      <c r="V2352" s="3"/>
      <c r="W2352" s="3"/>
    </row>
    <row r="2353" spans="1:23" s="5" customFormat="1">
      <c r="A2353" s="6"/>
      <c r="B2353" s="33"/>
      <c r="C2353" s="35"/>
      <c r="E2353" s="39"/>
      <c r="G2353" s="40"/>
      <c r="H2353" s="15"/>
      <c r="I2353" s="17"/>
      <c r="J2353" s="10"/>
      <c r="M2353" s="39"/>
      <c r="O2353" s="39"/>
      <c r="Q2353" s="39"/>
      <c r="R2353" s="28"/>
      <c r="S2353" s="28"/>
      <c r="T2353" s="28"/>
      <c r="U2353" s="4"/>
      <c r="V2353" s="3"/>
      <c r="W2353" s="3"/>
    </row>
    <row r="2354" spans="1:23" s="5" customFormat="1">
      <c r="A2354" s="6"/>
      <c r="B2354" s="33"/>
      <c r="C2354" s="35"/>
      <c r="E2354" s="39"/>
      <c r="G2354" s="40"/>
      <c r="H2354" s="15"/>
      <c r="I2354" s="17"/>
      <c r="J2354" s="10"/>
      <c r="M2354" s="39"/>
      <c r="O2354" s="39"/>
      <c r="Q2354" s="39"/>
      <c r="R2354" s="28"/>
      <c r="S2354" s="28"/>
      <c r="T2354" s="28"/>
      <c r="U2354" s="4"/>
      <c r="V2354" s="3"/>
      <c r="W2354" s="3"/>
    </row>
    <row r="2355" spans="1:23" s="5" customFormat="1">
      <c r="A2355" s="6"/>
      <c r="B2355" s="33"/>
      <c r="C2355" s="35"/>
      <c r="E2355" s="39"/>
      <c r="G2355" s="40"/>
      <c r="H2355" s="15"/>
      <c r="I2355" s="17"/>
      <c r="J2355" s="10"/>
      <c r="M2355" s="39"/>
      <c r="O2355" s="39"/>
      <c r="Q2355" s="39"/>
      <c r="R2355" s="28"/>
      <c r="S2355" s="28"/>
      <c r="T2355" s="28"/>
      <c r="U2355" s="4"/>
      <c r="V2355" s="3"/>
      <c r="W2355" s="3"/>
    </row>
    <row r="2356" spans="1:23" s="5" customFormat="1">
      <c r="A2356" s="6"/>
      <c r="B2356" s="33"/>
      <c r="C2356" s="35"/>
      <c r="E2356" s="39"/>
      <c r="G2356" s="40"/>
      <c r="H2356" s="15"/>
      <c r="I2356" s="17"/>
      <c r="J2356" s="10"/>
      <c r="M2356" s="39"/>
      <c r="O2356" s="39"/>
      <c r="Q2356" s="39"/>
      <c r="R2356" s="28"/>
      <c r="S2356" s="28"/>
      <c r="T2356" s="28"/>
      <c r="U2356" s="4"/>
      <c r="V2356" s="3"/>
      <c r="W2356" s="3"/>
    </row>
    <row r="2357" spans="1:23" s="5" customFormat="1">
      <c r="A2357" s="6"/>
      <c r="B2357" s="33"/>
      <c r="C2357" s="35"/>
      <c r="E2357" s="39"/>
      <c r="G2357" s="40"/>
      <c r="H2357" s="15"/>
      <c r="I2357" s="17"/>
      <c r="J2357" s="10"/>
      <c r="M2357" s="39"/>
      <c r="O2357" s="39"/>
      <c r="Q2357" s="39"/>
      <c r="R2357" s="28"/>
      <c r="S2357" s="28"/>
      <c r="T2357" s="28"/>
      <c r="U2357" s="4"/>
      <c r="V2357" s="3"/>
      <c r="W2357" s="3"/>
    </row>
    <row r="2358" spans="1:23" s="5" customFormat="1">
      <c r="A2358" s="6"/>
      <c r="B2358" s="33"/>
      <c r="C2358" s="35"/>
      <c r="E2358" s="39"/>
      <c r="G2358" s="40"/>
      <c r="H2358" s="15"/>
      <c r="I2358" s="17"/>
      <c r="J2358" s="10"/>
      <c r="M2358" s="39"/>
      <c r="O2358" s="39"/>
      <c r="Q2358" s="39"/>
      <c r="R2358" s="28"/>
      <c r="S2358" s="28"/>
      <c r="T2358" s="28"/>
      <c r="U2358" s="4"/>
      <c r="V2358" s="3"/>
      <c r="W2358" s="3"/>
    </row>
    <row r="2359" spans="1:23" s="5" customFormat="1">
      <c r="A2359" s="6"/>
      <c r="B2359" s="33"/>
      <c r="C2359" s="35"/>
      <c r="E2359" s="39"/>
      <c r="G2359" s="40"/>
      <c r="H2359" s="14"/>
      <c r="I2359" s="17"/>
      <c r="J2359" s="10"/>
      <c r="M2359" s="39"/>
      <c r="O2359" s="39"/>
      <c r="Q2359" s="39"/>
      <c r="R2359" s="28"/>
      <c r="S2359" s="28"/>
      <c r="T2359" s="28"/>
      <c r="U2359" s="4"/>
      <c r="V2359" s="3"/>
      <c r="W2359" s="3"/>
    </row>
    <row r="2360" spans="1:23" s="5" customFormat="1">
      <c r="A2360" s="6"/>
      <c r="B2360" s="33"/>
      <c r="C2360" s="35"/>
      <c r="E2360" s="39"/>
      <c r="G2360" s="40"/>
      <c r="H2360" s="15"/>
      <c r="I2360" s="17"/>
      <c r="J2360" s="10"/>
      <c r="M2360" s="39"/>
      <c r="O2360" s="39"/>
      <c r="Q2360" s="39"/>
      <c r="R2360" s="28"/>
      <c r="S2360" s="28"/>
      <c r="T2360" s="28"/>
      <c r="U2360" s="4"/>
      <c r="V2360" s="3"/>
      <c r="W2360" s="3"/>
    </row>
    <row r="2361" spans="1:23" s="5" customFormat="1">
      <c r="A2361" s="6"/>
      <c r="B2361" s="33"/>
      <c r="C2361" s="35"/>
      <c r="E2361" s="39"/>
      <c r="G2361" s="40"/>
      <c r="H2361" s="14"/>
      <c r="I2361" s="17"/>
      <c r="J2361" s="10"/>
      <c r="M2361" s="39"/>
      <c r="O2361" s="39"/>
      <c r="Q2361" s="39"/>
      <c r="R2361" s="28"/>
      <c r="S2361" s="28"/>
      <c r="T2361" s="28"/>
      <c r="U2361" s="4"/>
      <c r="V2361" s="3"/>
      <c r="W2361" s="3"/>
    </row>
    <row r="2362" spans="1:23" s="5" customFormat="1">
      <c r="A2362" s="6"/>
      <c r="B2362" s="33"/>
      <c r="C2362" s="35"/>
      <c r="E2362" s="39"/>
      <c r="G2362" s="40"/>
      <c r="H2362" s="14"/>
      <c r="I2362" s="17"/>
      <c r="J2362" s="10"/>
      <c r="M2362" s="39"/>
      <c r="O2362" s="39"/>
      <c r="Q2362" s="39"/>
      <c r="R2362" s="28"/>
      <c r="S2362" s="28"/>
      <c r="T2362" s="28"/>
      <c r="U2362" s="4"/>
      <c r="V2362" s="3"/>
      <c r="W2362" s="3"/>
    </row>
    <row r="2363" spans="1:23" s="5" customFormat="1">
      <c r="A2363" s="6"/>
      <c r="B2363" s="33"/>
      <c r="C2363" s="35"/>
      <c r="E2363" s="39"/>
      <c r="G2363" s="40"/>
      <c r="H2363" s="15"/>
      <c r="I2363" s="17"/>
      <c r="J2363" s="10"/>
      <c r="M2363" s="39"/>
      <c r="O2363" s="39"/>
      <c r="Q2363" s="39"/>
      <c r="R2363" s="28"/>
      <c r="S2363" s="28"/>
      <c r="T2363" s="28"/>
      <c r="U2363" s="4"/>
      <c r="V2363" s="3"/>
      <c r="W2363" s="3"/>
    </row>
    <row r="2364" spans="1:23" s="5" customFormat="1">
      <c r="A2364" s="6"/>
      <c r="B2364" s="33"/>
      <c r="C2364" s="35"/>
      <c r="E2364" s="39"/>
      <c r="G2364" s="40"/>
      <c r="H2364" s="15"/>
      <c r="I2364" s="17"/>
      <c r="J2364" s="10"/>
      <c r="M2364" s="39"/>
      <c r="O2364" s="39"/>
      <c r="Q2364" s="39"/>
      <c r="R2364" s="28"/>
      <c r="S2364" s="28"/>
      <c r="T2364" s="28"/>
      <c r="U2364" s="4"/>
      <c r="V2364" s="3"/>
      <c r="W2364" s="3"/>
    </row>
    <row r="2365" spans="1:23" s="5" customFormat="1">
      <c r="A2365" s="6"/>
      <c r="B2365" s="33"/>
      <c r="C2365" s="35"/>
      <c r="E2365" s="39"/>
      <c r="G2365" s="40"/>
      <c r="H2365" s="15"/>
      <c r="I2365" s="17"/>
      <c r="J2365" s="10"/>
      <c r="M2365" s="39"/>
      <c r="O2365" s="39"/>
      <c r="Q2365" s="39"/>
      <c r="R2365" s="28"/>
      <c r="S2365" s="28"/>
      <c r="T2365" s="28"/>
      <c r="U2365" s="4"/>
      <c r="V2365" s="3"/>
      <c r="W2365" s="3"/>
    </row>
    <row r="2366" spans="1:23" s="5" customFormat="1">
      <c r="A2366" s="6"/>
      <c r="B2366" s="33"/>
      <c r="C2366" s="35"/>
      <c r="E2366" s="39"/>
      <c r="G2366" s="40"/>
      <c r="H2366" s="15"/>
      <c r="I2366" s="17"/>
      <c r="J2366" s="10"/>
      <c r="M2366" s="39"/>
      <c r="O2366" s="39"/>
      <c r="Q2366" s="39"/>
      <c r="R2366" s="28"/>
      <c r="S2366" s="28"/>
      <c r="T2366" s="28"/>
      <c r="U2366" s="4"/>
      <c r="V2366" s="3"/>
      <c r="W2366" s="3"/>
    </row>
    <row r="2367" spans="1:23" s="5" customFormat="1">
      <c r="A2367" s="6"/>
      <c r="B2367" s="33"/>
      <c r="C2367" s="35"/>
      <c r="E2367" s="39"/>
      <c r="G2367" s="40"/>
      <c r="H2367" s="14"/>
      <c r="I2367" s="17"/>
      <c r="J2367" s="10"/>
      <c r="M2367" s="39"/>
      <c r="O2367" s="39"/>
      <c r="Q2367" s="39"/>
      <c r="R2367" s="28"/>
      <c r="S2367" s="28"/>
      <c r="T2367" s="28"/>
      <c r="U2367" s="4"/>
      <c r="V2367" s="3"/>
      <c r="W2367" s="3"/>
    </row>
    <row r="2368" spans="1:23" s="5" customFormat="1">
      <c r="A2368" s="6"/>
      <c r="B2368" s="33"/>
      <c r="C2368" s="35"/>
      <c r="E2368" s="39"/>
      <c r="G2368" s="40"/>
      <c r="H2368" s="14"/>
      <c r="I2368" s="17"/>
      <c r="J2368" s="10"/>
      <c r="M2368" s="39"/>
      <c r="O2368" s="39"/>
      <c r="Q2368" s="39"/>
      <c r="R2368" s="28"/>
      <c r="S2368" s="28"/>
      <c r="T2368" s="28"/>
      <c r="U2368" s="4"/>
      <c r="V2368" s="3"/>
      <c r="W2368" s="3"/>
    </row>
    <row r="2369" spans="1:23" s="5" customFormat="1">
      <c r="A2369" s="6"/>
      <c r="B2369" s="33"/>
      <c r="C2369" s="35"/>
      <c r="E2369" s="39"/>
      <c r="G2369" s="40"/>
      <c r="H2369" s="14"/>
      <c r="I2369" s="17"/>
      <c r="J2369" s="10"/>
      <c r="M2369" s="39"/>
      <c r="O2369" s="39"/>
      <c r="Q2369" s="39"/>
      <c r="R2369" s="28"/>
      <c r="S2369" s="28"/>
      <c r="T2369" s="28"/>
      <c r="U2369" s="4"/>
      <c r="V2369" s="3"/>
      <c r="W2369" s="3"/>
    </row>
    <row r="2370" spans="1:23" s="5" customFormat="1">
      <c r="A2370" s="20"/>
      <c r="B2370" s="33"/>
      <c r="C2370" s="35"/>
      <c r="E2370" s="39"/>
      <c r="F2370" s="1"/>
      <c r="G2370" s="40"/>
      <c r="H2370" s="12"/>
      <c r="I2370" s="9"/>
      <c r="J2370" s="12"/>
      <c r="M2370" s="39"/>
      <c r="O2370" s="39"/>
      <c r="Q2370" s="39"/>
      <c r="R2370" s="29"/>
      <c r="S2370" s="28"/>
      <c r="T2370" s="28"/>
      <c r="U2370" s="4"/>
      <c r="V2370" s="3"/>
      <c r="W2370" s="3"/>
    </row>
    <row r="2371" spans="1:23" s="5" customFormat="1">
      <c r="A2371" s="6"/>
      <c r="B2371" s="33"/>
      <c r="C2371" s="35"/>
      <c r="E2371" s="39"/>
      <c r="G2371" s="40"/>
      <c r="H2371" s="15"/>
      <c r="I2371" s="17"/>
      <c r="J2371" s="10"/>
      <c r="M2371" s="39"/>
      <c r="O2371" s="39"/>
      <c r="Q2371" s="39"/>
      <c r="R2371" s="28"/>
      <c r="S2371" s="28"/>
      <c r="T2371" s="28"/>
      <c r="U2371" s="4"/>
      <c r="V2371" s="3"/>
      <c r="W2371" s="3"/>
    </row>
    <row r="2372" spans="1:23" s="5" customFormat="1">
      <c r="A2372" s="6"/>
      <c r="B2372" s="33"/>
      <c r="C2372" s="35"/>
      <c r="E2372" s="39"/>
      <c r="G2372" s="40"/>
      <c r="H2372" s="14"/>
      <c r="I2372" s="17"/>
      <c r="J2372" s="10"/>
      <c r="M2372" s="39"/>
      <c r="O2372" s="39"/>
      <c r="Q2372" s="39"/>
      <c r="R2372" s="28"/>
      <c r="S2372" s="28"/>
      <c r="T2372" s="28"/>
      <c r="U2372" s="4"/>
      <c r="V2372" s="3"/>
      <c r="W2372" s="3"/>
    </row>
    <row r="2373" spans="1:23" s="5" customFormat="1">
      <c r="A2373" s="6"/>
      <c r="B2373" s="33"/>
      <c r="C2373" s="35"/>
      <c r="E2373" s="39"/>
      <c r="G2373" s="40"/>
      <c r="H2373" s="15"/>
      <c r="I2373" s="17"/>
      <c r="J2373" s="10"/>
      <c r="M2373" s="39"/>
      <c r="O2373" s="39"/>
      <c r="Q2373" s="39"/>
      <c r="R2373" s="28"/>
      <c r="S2373" s="28"/>
      <c r="T2373" s="28"/>
      <c r="U2373" s="4"/>
      <c r="V2373" s="3"/>
      <c r="W2373" s="3"/>
    </row>
    <row r="2374" spans="1:23" s="5" customFormat="1">
      <c r="A2374" s="6"/>
      <c r="B2374" s="33"/>
      <c r="C2374" s="35"/>
      <c r="E2374" s="39"/>
      <c r="G2374" s="40"/>
      <c r="H2374" s="14"/>
      <c r="I2374" s="17"/>
      <c r="J2374" s="10"/>
      <c r="M2374" s="39"/>
      <c r="O2374" s="39"/>
      <c r="Q2374" s="39"/>
      <c r="R2374" s="28"/>
      <c r="S2374" s="28"/>
      <c r="T2374" s="28"/>
      <c r="U2374" s="4"/>
      <c r="V2374" s="3"/>
      <c r="W2374" s="3"/>
    </row>
    <row r="2375" spans="1:23" s="5" customFormat="1">
      <c r="A2375" s="6"/>
      <c r="B2375" s="33"/>
      <c r="C2375" s="35"/>
      <c r="E2375" s="39"/>
      <c r="G2375" s="40"/>
      <c r="H2375" s="14"/>
      <c r="I2375" s="17"/>
      <c r="J2375" s="10"/>
      <c r="M2375" s="39"/>
      <c r="O2375" s="39"/>
      <c r="Q2375" s="39"/>
      <c r="R2375" s="28"/>
      <c r="S2375" s="28"/>
      <c r="T2375" s="28"/>
      <c r="U2375" s="4"/>
      <c r="V2375" s="3"/>
      <c r="W2375" s="3"/>
    </row>
    <row r="2376" spans="1:23" s="5" customFormat="1">
      <c r="A2376" s="6"/>
      <c r="B2376" s="33"/>
      <c r="C2376" s="35"/>
      <c r="E2376" s="39"/>
      <c r="G2376" s="40"/>
      <c r="H2376" s="15"/>
      <c r="I2376" s="17"/>
      <c r="J2376" s="10"/>
      <c r="M2376" s="39"/>
      <c r="O2376" s="39"/>
      <c r="Q2376" s="39"/>
      <c r="R2376" s="28"/>
      <c r="S2376" s="28"/>
      <c r="T2376" s="28"/>
      <c r="U2376" s="4"/>
      <c r="V2376" s="3"/>
      <c r="W2376" s="3"/>
    </row>
    <row r="2377" spans="1:23" s="5" customFormat="1">
      <c r="A2377" s="6"/>
      <c r="B2377" s="33"/>
      <c r="C2377" s="35"/>
      <c r="E2377" s="39"/>
      <c r="G2377" s="40"/>
      <c r="H2377" s="15"/>
      <c r="I2377" s="17"/>
      <c r="J2377" s="10"/>
      <c r="M2377" s="39"/>
      <c r="O2377" s="39"/>
      <c r="Q2377" s="39"/>
      <c r="R2377" s="28"/>
      <c r="S2377" s="28"/>
      <c r="T2377" s="28"/>
      <c r="U2377" s="4"/>
      <c r="V2377" s="3"/>
      <c r="W2377" s="3"/>
    </row>
    <row r="2378" spans="1:23" s="5" customFormat="1">
      <c r="A2378" s="6"/>
      <c r="B2378" s="33"/>
      <c r="C2378" s="35"/>
      <c r="E2378" s="39"/>
      <c r="G2378" s="40"/>
      <c r="H2378" s="14"/>
      <c r="I2378" s="17"/>
      <c r="J2378" s="10"/>
      <c r="M2378" s="39"/>
      <c r="O2378" s="39"/>
      <c r="Q2378" s="39"/>
      <c r="R2378" s="28"/>
      <c r="S2378" s="28"/>
      <c r="T2378" s="28"/>
      <c r="U2378" s="4"/>
      <c r="V2378" s="3"/>
      <c r="W2378" s="3"/>
    </row>
    <row r="2379" spans="1:23" s="5" customFormat="1">
      <c r="A2379" s="6"/>
      <c r="B2379" s="33"/>
      <c r="C2379" s="35"/>
      <c r="E2379" s="39"/>
      <c r="G2379" s="40"/>
      <c r="H2379" s="15"/>
      <c r="I2379" s="17"/>
      <c r="J2379" s="10"/>
      <c r="M2379" s="39"/>
      <c r="O2379" s="39"/>
      <c r="Q2379" s="39"/>
      <c r="R2379" s="28"/>
      <c r="S2379" s="28"/>
      <c r="T2379" s="28"/>
      <c r="U2379" s="4"/>
      <c r="V2379" s="3"/>
      <c r="W2379" s="3"/>
    </row>
    <row r="2380" spans="1:23" s="5" customFormat="1">
      <c r="A2380" s="6"/>
      <c r="B2380" s="33"/>
      <c r="C2380" s="35"/>
      <c r="E2380" s="39"/>
      <c r="G2380" s="40"/>
      <c r="H2380" s="15"/>
      <c r="I2380" s="17"/>
      <c r="J2380" s="10"/>
      <c r="M2380" s="39"/>
      <c r="O2380" s="39"/>
      <c r="Q2380" s="39"/>
      <c r="R2380" s="28"/>
      <c r="S2380" s="28"/>
      <c r="T2380" s="28"/>
      <c r="U2380" s="4"/>
      <c r="V2380" s="3"/>
      <c r="W2380" s="3"/>
    </row>
    <row r="2381" spans="1:23" s="5" customFormat="1">
      <c r="A2381" s="6"/>
      <c r="B2381" s="33"/>
      <c r="C2381" s="35"/>
      <c r="E2381" s="39"/>
      <c r="G2381" s="40"/>
      <c r="H2381" s="14"/>
      <c r="I2381" s="17"/>
      <c r="J2381" s="10"/>
      <c r="M2381" s="39"/>
      <c r="O2381" s="39"/>
      <c r="Q2381" s="39"/>
      <c r="R2381" s="28"/>
      <c r="S2381" s="28"/>
      <c r="T2381" s="28"/>
      <c r="U2381" s="4"/>
      <c r="V2381" s="3"/>
      <c r="W2381" s="3"/>
    </row>
    <row r="2382" spans="1:23" s="5" customFormat="1">
      <c r="A2382" s="6"/>
      <c r="B2382" s="33"/>
      <c r="C2382" s="35"/>
      <c r="E2382" s="39"/>
      <c r="G2382" s="40"/>
      <c r="H2382" s="14"/>
      <c r="I2382" s="17"/>
      <c r="J2382" s="10"/>
      <c r="M2382" s="39"/>
      <c r="O2382" s="39"/>
      <c r="Q2382" s="39"/>
      <c r="R2382" s="28"/>
      <c r="S2382" s="28"/>
      <c r="T2382" s="28"/>
      <c r="U2382" s="4"/>
      <c r="V2382" s="3"/>
      <c r="W2382" s="3"/>
    </row>
    <row r="2383" spans="1:23" s="5" customFormat="1">
      <c r="A2383" s="20"/>
      <c r="B2383" s="33"/>
      <c r="C2383" s="35"/>
      <c r="E2383" s="39"/>
      <c r="F2383" s="1"/>
      <c r="G2383" s="40"/>
      <c r="H2383" s="12"/>
      <c r="I2383" s="9"/>
      <c r="J2383" s="12"/>
      <c r="M2383" s="39"/>
      <c r="O2383" s="39"/>
      <c r="Q2383" s="39"/>
      <c r="R2383" s="29"/>
      <c r="S2383" s="28"/>
      <c r="T2383" s="28"/>
      <c r="U2383" s="4"/>
      <c r="V2383" s="3"/>
      <c r="W2383" s="3"/>
    </row>
    <row r="2384" spans="1:23" s="5" customFormat="1">
      <c r="A2384" s="6"/>
      <c r="B2384" s="33"/>
      <c r="C2384" s="35"/>
      <c r="E2384" s="39"/>
      <c r="G2384" s="40"/>
      <c r="H2384" s="15"/>
      <c r="I2384" s="17"/>
      <c r="J2384" s="10"/>
      <c r="M2384" s="39"/>
      <c r="O2384" s="39"/>
      <c r="Q2384" s="39"/>
      <c r="R2384" s="28"/>
      <c r="S2384" s="28"/>
      <c r="T2384" s="28"/>
      <c r="U2384" s="4"/>
      <c r="V2384" s="3"/>
      <c r="W2384" s="3"/>
    </row>
    <row r="2385" spans="1:23" s="5" customFormat="1">
      <c r="A2385" s="6"/>
      <c r="B2385" s="33"/>
      <c r="C2385" s="35"/>
      <c r="E2385" s="39"/>
      <c r="G2385" s="40"/>
      <c r="H2385" s="14"/>
      <c r="I2385" s="17"/>
      <c r="J2385" s="10"/>
      <c r="M2385" s="39"/>
      <c r="O2385" s="39"/>
      <c r="Q2385" s="39"/>
      <c r="R2385" s="28"/>
      <c r="S2385" s="28"/>
      <c r="T2385" s="28"/>
      <c r="U2385" s="4"/>
      <c r="V2385" s="3"/>
      <c r="W2385" s="3"/>
    </row>
    <row r="2386" spans="1:23" s="5" customFormat="1">
      <c r="A2386" s="6"/>
      <c r="B2386" s="33"/>
      <c r="C2386" s="35"/>
      <c r="E2386" s="39"/>
      <c r="G2386" s="40"/>
      <c r="H2386" s="15"/>
      <c r="I2386" s="17"/>
      <c r="J2386" s="10"/>
      <c r="M2386" s="39"/>
      <c r="O2386" s="39"/>
      <c r="Q2386" s="39"/>
      <c r="R2386" s="28"/>
      <c r="S2386" s="28"/>
      <c r="T2386" s="28"/>
      <c r="U2386" s="4"/>
      <c r="V2386" s="3"/>
      <c r="W2386" s="3"/>
    </row>
    <row r="2387" spans="1:23" s="5" customFormat="1">
      <c r="A2387" s="6"/>
      <c r="B2387" s="33"/>
      <c r="C2387" s="35"/>
      <c r="E2387" s="39"/>
      <c r="G2387" s="40"/>
      <c r="H2387" s="15"/>
      <c r="I2387" s="17"/>
      <c r="J2387" s="10"/>
      <c r="M2387" s="39"/>
      <c r="O2387" s="39"/>
      <c r="Q2387" s="39"/>
      <c r="R2387" s="28"/>
      <c r="S2387" s="28"/>
      <c r="T2387" s="28"/>
      <c r="U2387" s="4"/>
      <c r="V2387" s="3"/>
      <c r="W2387" s="3"/>
    </row>
    <row r="2388" spans="1:23" s="5" customFormat="1">
      <c r="A2388" s="6"/>
      <c r="B2388" s="33"/>
      <c r="C2388" s="35"/>
      <c r="E2388" s="39"/>
      <c r="G2388" s="40"/>
      <c r="H2388" s="14"/>
      <c r="I2388" s="17"/>
      <c r="J2388" s="10"/>
      <c r="M2388" s="39"/>
      <c r="O2388" s="39"/>
      <c r="Q2388" s="39"/>
      <c r="R2388" s="28"/>
      <c r="S2388" s="28"/>
      <c r="T2388" s="28"/>
      <c r="U2388" s="4"/>
      <c r="V2388" s="3"/>
      <c r="W2388" s="3"/>
    </row>
    <row r="2389" spans="1:23" s="5" customFormat="1">
      <c r="A2389" s="6"/>
      <c r="B2389" s="33"/>
      <c r="C2389" s="35"/>
      <c r="E2389" s="39"/>
      <c r="G2389" s="40"/>
      <c r="H2389" s="15"/>
      <c r="I2389" s="17"/>
      <c r="J2389" s="10"/>
      <c r="M2389" s="39"/>
      <c r="O2389" s="39"/>
      <c r="Q2389" s="39"/>
      <c r="R2389" s="28"/>
      <c r="S2389" s="28"/>
      <c r="T2389" s="28"/>
      <c r="U2389" s="4"/>
      <c r="V2389" s="3"/>
      <c r="W2389" s="3"/>
    </row>
    <row r="2390" spans="1:23" s="5" customFormat="1">
      <c r="A2390" s="6"/>
      <c r="B2390" s="33"/>
      <c r="C2390" s="35"/>
      <c r="E2390" s="39"/>
      <c r="G2390" s="40"/>
      <c r="H2390" s="15"/>
      <c r="I2390" s="17"/>
      <c r="J2390" s="10"/>
      <c r="M2390" s="39"/>
      <c r="O2390" s="39"/>
      <c r="Q2390" s="39"/>
      <c r="R2390" s="28"/>
      <c r="S2390" s="28"/>
      <c r="T2390" s="28"/>
      <c r="U2390" s="4"/>
      <c r="V2390" s="3"/>
      <c r="W2390" s="3"/>
    </row>
    <row r="2391" spans="1:23" s="5" customFormat="1">
      <c r="A2391" s="6"/>
      <c r="B2391" s="33"/>
      <c r="C2391" s="35"/>
      <c r="E2391" s="39"/>
      <c r="G2391" s="40"/>
      <c r="H2391" s="15"/>
      <c r="I2391" s="17"/>
      <c r="J2391" s="10"/>
      <c r="M2391" s="39"/>
      <c r="O2391" s="39"/>
      <c r="Q2391" s="39"/>
      <c r="R2391" s="28"/>
      <c r="S2391" s="28"/>
      <c r="T2391" s="28"/>
      <c r="U2391" s="4"/>
      <c r="V2391" s="3"/>
      <c r="W2391" s="3"/>
    </row>
    <row r="2392" spans="1:23" s="5" customFormat="1">
      <c r="A2392" s="6"/>
      <c r="B2392" s="33"/>
      <c r="C2392" s="35"/>
      <c r="E2392" s="39"/>
      <c r="G2392" s="40"/>
      <c r="H2392" s="14"/>
      <c r="I2392" s="17"/>
      <c r="J2392" s="10"/>
      <c r="M2392" s="39"/>
      <c r="O2392" s="39"/>
      <c r="Q2392" s="39"/>
      <c r="R2392" s="28"/>
      <c r="S2392" s="28"/>
      <c r="T2392" s="28"/>
      <c r="U2392" s="4"/>
      <c r="V2392" s="3"/>
      <c r="W2392" s="3"/>
    </row>
    <row r="2393" spans="1:23" s="5" customFormat="1">
      <c r="A2393" s="6"/>
      <c r="B2393" s="33"/>
      <c r="C2393" s="35"/>
      <c r="E2393" s="39"/>
      <c r="G2393" s="40"/>
      <c r="H2393" s="15"/>
      <c r="I2393" s="17"/>
      <c r="J2393" s="10"/>
      <c r="M2393" s="39"/>
      <c r="O2393" s="39"/>
      <c r="Q2393" s="39"/>
      <c r="R2393" s="28"/>
      <c r="S2393" s="28"/>
      <c r="T2393" s="28"/>
      <c r="U2393" s="4"/>
      <c r="V2393" s="3"/>
      <c r="W2393" s="3"/>
    </row>
    <row r="2394" spans="1:23" s="5" customFormat="1">
      <c r="A2394" s="6"/>
      <c r="B2394" s="33"/>
      <c r="C2394" s="35"/>
      <c r="E2394" s="39"/>
      <c r="G2394" s="40"/>
      <c r="H2394" s="15"/>
      <c r="I2394" s="17"/>
      <c r="J2394" s="10"/>
      <c r="M2394" s="39"/>
      <c r="O2394" s="39"/>
      <c r="Q2394" s="39"/>
      <c r="R2394" s="28"/>
      <c r="S2394" s="28"/>
      <c r="T2394" s="28"/>
      <c r="U2394" s="4"/>
      <c r="V2394" s="3"/>
      <c r="W2394" s="3"/>
    </row>
    <row r="2395" spans="1:23" s="5" customFormat="1">
      <c r="A2395" s="6"/>
      <c r="B2395" s="33"/>
      <c r="C2395" s="35"/>
      <c r="E2395" s="39"/>
      <c r="G2395" s="40"/>
      <c r="H2395" s="14"/>
      <c r="I2395" s="17"/>
      <c r="J2395" s="10"/>
      <c r="M2395" s="39"/>
      <c r="O2395" s="39"/>
      <c r="Q2395" s="39"/>
      <c r="R2395" s="28"/>
      <c r="S2395" s="28"/>
      <c r="T2395" s="28"/>
      <c r="U2395" s="4"/>
      <c r="V2395" s="3"/>
      <c r="W2395" s="3"/>
    </row>
    <row r="2396" spans="1:23" s="5" customFormat="1">
      <c r="A2396" s="6"/>
      <c r="B2396" s="33"/>
      <c r="C2396" s="35"/>
      <c r="E2396" s="39"/>
      <c r="G2396" s="40"/>
      <c r="H2396" s="15"/>
      <c r="I2396" s="17"/>
      <c r="J2396" s="10"/>
      <c r="M2396" s="39"/>
      <c r="O2396" s="39"/>
      <c r="Q2396" s="39"/>
      <c r="R2396" s="28"/>
      <c r="S2396" s="28"/>
      <c r="T2396" s="28"/>
      <c r="U2396" s="4"/>
      <c r="V2396" s="3"/>
      <c r="W2396" s="3"/>
    </row>
    <row r="2397" spans="1:23" s="5" customFormat="1">
      <c r="A2397" s="6"/>
      <c r="B2397" s="33"/>
      <c r="C2397" s="35"/>
      <c r="E2397" s="39"/>
      <c r="G2397" s="40"/>
      <c r="H2397" s="15"/>
      <c r="I2397" s="17"/>
      <c r="J2397" s="10"/>
      <c r="M2397" s="39"/>
      <c r="O2397" s="39"/>
      <c r="Q2397" s="39"/>
      <c r="R2397" s="28"/>
      <c r="S2397" s="28"/>
      <c r="T2397" s="28"/>
      <c r="U2397" s="4"/>
      <c r="V2397" s="3"/>
      <c r="W2397" s="3"/>
    </row>
    <row r="2398" spans="1:23" s="5" customFormat="1">
      <c r="A2398" s="6"/>
      <c r="B2398" s="33"/>
      <c r="C2398" s="35"/>
      <c r="E2398" s="39"/>
      <c r="G2398" s="40"/>
      <c r="H2398" s="14"/>
      <c r="I2398" s="17"/>
      <c r="J2398" s="10"/>
      <c r="M2398" s="39"/>
      <c r="O2398" s="39"/>
      <c r="Q2398" s="39"/>
      <c r="R2398" s="28"/>
      <c r="S2398" s="28"/>
      <c r="T2398" s="28"/>
      <c r="U2398" s="4"/>
      <c r="V2398" s="3"/>
      <c r="W2398" s="3"/>
    </row>
    <row r="2399" spans="1:23" s="5" customFormat="1">
      <c r="A2399" s="6"/>
      <c r="B2399" s="33"/>
      <c r="C2399" s="35"/>
      <c r="E2399" s="39"/>
      <c r="G2399" s="40"/>
      <c r="H2399" s="14"/>
      <c r="I2399" s="17"/>
      <c r="J2399" s="10"/>
      <c r="M2399" s="39"/>
      <c r="O2399" s="39"/>
      <c r="Q2399" s="39"/>
      <c r="R2399" s="28"/>
      <c r="S2399" s="28"/>
      <c r="T2399" s="28"/>
      <c r="U2399" s="4"/>
      <c r="V2399" s="3"/>
      <c r="W2399" s="3"/>
    </row>
    <row r="2400" spans="1:23" s="5" customFormat="1">
      <c r="A2400" s="6"/>
      <c r="B2400" s="33"/>
      <c r="C2400" s="35"/>
      <c r="E2400" s="39"/>
      <c r="G2400" s="40"/>
      <c r="H2400" s="14"/>
      <c r="I2400" s="17"/>
      <c r="J2400" s="10"/>
      <c r="M2400" s="39"/>
      <c r="O2400" s="39"/>
      <c r="Q2400" s="39"/>
      <c r="R2400" s="28"/>
      <c r="S2400" s="28"/>
      <c r="T2400" s="28"/>
      <c r="U2400" s="4"/>
      <c r="V2400" s="3"/>
      <c r="W2400" s="3"/>
    </row>
    <row r="2401" spans="1:23" s="5" customFormat="1">
      <c r="A2401" s="6"/>
      <c r="B2401" s="33"/>
      <c r="C2401" s="35"/>
      <c r="E2401" s="39"/>
      <c r="G2401" s="40"/>
      <c r="H2401" s="15"/>
      <c r="I2401" s="17"/>
      <c r="J2401" s="10"/>
      <c r="M2401" s="39"/>
      <c r="O2401" s="39"/>
      <c r="Q2401" s="39"/>
      <c r="R2401" s="28"/>
      <c r="S2401" s="28"/>
      <c r="T2401" s="28"/>
      <c r="U2401" s="4"/>
      <c r="V2401" s="3"/>
      <c r="W2401" s="3"/>
    </row>
    <row r="2402" spans="1:23" s="5" customFormat="1">
      <c r="A2402" s="6"/>
      <c r="B2402" s="33"/>
      <c r="C2402" s="35"/>
      <c r="E2402" s="39"/>
      <c r="G2402" s="40"/>
      <c r="H2402" s="14"/>
      <c r="I2402" s="17"/>
      <c r="J2402" s="10"/>
      <c r="M2402" s="39"/>
      <c r="O2402" s="39"/>
      <c r="Q2402" s="39"/>
      <c r="R2402" s="28"/>
      <c r="S2402" s="28"/>
      <c r="T2402" s="28"/>
      <c r="U2402" s="4"/>
      <c r="V2402" s="3"/>
      <c r="W2402" s="3"/>
    </row>
    <row r="2403" spans="1:23" s="5" customFormat="1">
      <c r="A2403" s="6"/>
      <c r="B2403" s="33"/>
      <c r="C2403" s="35"/>
      <c r="E2403" s="39"/>
      <c r="G2403" s="40"/>
      <c r="H2403" s="15"/>
      <c r="I2403" s="17"/>
      <c r="J2403" s="10"/>
      <c r="M2403" s="39"/>
      <c r="O2403" s="39"/>
      <c r="Q2403" s="39"/>
      <c r="R2403" s="28"/>
      <c r="S2403" s="28"/>
      <c r="T2403" s="28"/>
      <c r="U2403" s="4"/>
      <c r="V2403" s="3"/>
      <c r="W2403" s="3"/>
    </row>
    <row r="2404" spans="1:23" s="5" customFormat="1">
      <c r="A2404" s="6"/>
      <c r="B2404" s="33"/>
      <c r="C2404" s="35"/>
      <c r="E2404" s="39"/>
      <c r="G2404" s="40"/>
      <c r="H2404" s="15"/>
      <c r="I2404" s="17"/>
      <c r="J2404" s="10"/>
      <c r="M2404" s="39"/>
      <c r="O2404" s="39"/>
      <c r="Q2404" s="39"/>
      <c r="R2404" s="28"/>
      <c r="S2404" s="28"/>
      <c r="T2404" s="28"/>
      <c r="U2404" s="4"/>
      <c r="V2404" s="3"/>
      <c r="W2404" s="3"/>
    </row>
    <row r="2405" spans="1:23" s="5" customFormat="1">
      <c r="A2405" s="6"/>
      <c r="B2405" s="33"/>
      <c r="C2405" s="35"/>
      <c r="E2405" s="39"/>
      <c r="G2405" s="40"/>
      <c r="H2405" s="15"/>
      <c r="I2405" s="17"/>
      <c r="J2405" s="10"/>
      <c r="M2405" s="39"/>
      <c r="O2405" s="39"/>
      <c r="Q2405" s="39"/>
      <c r="R2405" s="28"/>
      <c r="S2405" s="28"/>
      <c r="T2405" s="28"/>
      <c r="U2405" s="4"/>
      <c r="V2405" s="3"/>
      <c r="W2405" s="3"/>
    </row>
    <row r="2406" spans="1:23" s="5" customFormat="1">
      <c r="A2406" s="6"/>
      <c r="B2406" s="33"/>
      <c r="C2406" s="35"/>
      <c r="E2406" s="39"/>
      <c r="G2406" s="40"/>
      <c r="H2406" s="15"/>
      <c r="I2406" s="17"/>
      <c r="J2406" s="10"/>
      <c r="M2406" s="39"/>
      <c r="O2406" s="39"/>
      <c r="Q2406" s="39"/>
      <c r="R2406" s="28"/>
      <c r="S2406" s="28"/>
      <c r="T2406" s="28"/>
      <c r="U2406" s="4"/>
      <c r="V2406" s="3"/>
      <c r="W2406" s="3"/>
    </row>
    <row r="2407" spans="1:23" s="5" customFormat="1">
      <c r="A2407" s="6"/>
      <c r="B2407" s="33"/>
      <c r="C2407" s="35"/>
      <c r="E2407" s="39"/>
      <c r="G2407" s="40"/>
      <c r="H2407" s="15"/>
      <c r="I2407" s="17"/>
      <c r="J2407" s="10"/>
      <c r="M2407" s="39"/>
      <c r="O2407" s="39"/>
      <c r="Q2407" s="39"/>
      <c r="R2407" s="28"/>
      <c r="S2407" s="28"/>
      <c r="T2407" s="28"/>
      <c r="U2407" s="4"/>
      <c r="V2407" s="3"/>
      <c r="W2407" s="3"/>
    </row>
    <row r="2408" spans="1:23" s="5" customFormat="1">
      <c r="A2408" s="6"/>
      <c r="B2408" s="33"/>
      <c r="C2408" s="35"/>
      <c r="E2408" s="39"/>
      <c r="G2408" s="40"/>
      <c r="H2408" s="15"/>
      <c r="I2408" s="17"/>
      <c r="J2408" s="10"/>
      <c r="M2408" s="39"/>
      <c r="O2408" s="39"/>
      <c r="Q2408" s="39"/>
      <c r="R2408" s="28"/>
      <c r="S2408" s="28"/>
      <c r="T2408" s="28"/>
      <c r="U2408" s="4"/>
      <c r="V2408" s="3"/>
      <c r="W2408" s="3"/>
    </row>
    <row r="2409" spans="1:23" s="5" customFormat="1">
      <c r="A2409" s="6"/>
      <c r="B2409" s="33"/>
      <c r="C2409" s="35"/>
      <c r="E2409" s="39"/>
      <c r="G2409" s="40"/>
      <c r="H2409" s="14"/>
      <c r="I2409" s="17"/>
      <c r="J2409" s="10"/>
      <c r="M2409" s="39"/>
      <c r="O2409" s="39"/>
      <c r="Q2409" s="39"/>
      <c r="R2409" s="28"/>
      <c r="S2409" s="28"/>
      <c r="T2409" s="28"/>
      <c r="U2409" s="4"/>
      <c r="V2409" s="3"/>
      <c r="W2409" s="3"/>
    </row>
    <row r="2410" spans="1:23" s="5" customFormat="1">
      <c r="A2410" s="6"/>
      <c r="B2410" s="33"/>
      <c r="C2410" s="35"/>
      <c r="E2410" s="39"/>
      <c r="G2410" s="40"/>
      <c r="H2410" s="14"/>
      <c r="I2410" s="17"/>
      <c r="J2410" s="10"/>
      <c r="M2410" s="39"/>
      <c r="O2410" s="39"/>
      <c r="Q2410" s="39"/>
      <c r="R2410" s="28"/>
      <c r="S2410" s="28"/>
      <c r="T2410" s="28"/>
      <c r="U2410" s="4"/>
      <c r="V2410" s="3"/>
      <c r="W2410" s="3"/>
    </row>
    <row r="2411" spans="1:23" s="5" customFormat="1">
      <c r="A2411" s="6"/>
      <c r="B2411" s="33"/>
      <c r="C2411" s="35"/>
      <c r="E2411" s="39"/>
      <c r="G2411" s="40"/>
      <c r="H2411" s="14"/>
      <c r="I2411" s="17"/>
      <c r="J2411" s="10"/>
      <c r="M2411" s="39"/>
      <c r="O2411" s="39"/>
      <c r="Q2411" s="39"/>
      <c r="R2411" s="28"/>
      <c r="S2411" s="28"/>
      <c r="T2411" s="28"/>
      <c r="U2411" s="4"/>
      <c r="V2411" s="3"/>
      <c r="W2411" s="3"/>
    </row>
    <row r="2412" spans="1:23" s="5" customFormat="1">
      <c r="A2412" s="6"/>
      <c r="B2412" s="33"/>
      <c r="C2412" s="35"/>
      <c r="E2412" s="39"/>
      <c r="G2412" s="40"/>
      <c r="H2412" s="15"/>
      <c r="I2412" s="17"/>
      <c r="J2412" s="10"/>
      <c r="M2412" s="39"/>
      <c r="O2412" s="39"/>
      <c r="Q2412" s="39"/>
      <c r="R2412" s="28"/>
      <c r="S2412" s="28"/>
      <c r="T2412" s="28"/>
      <c r="U2412" s="4"/>
      <c r="V2412" s="3"/>
      <c r="W2412" s="3"/>
    </row>
    <row r="2413" spans="1:23" s="5" customFormat="1">
      <c r="A2413" s="6"/>
      <c r="B2413" s="33"/>
      <c r="C2413" s="35"/>
      <c r="E2413" s="39"/>
      <c r="G2413" s="40"/>
      <c r="H2413" s="14"/>
      <c r="I2413" s="17"/>
      <c r="J2413" s="10"/>
      <c r="M2413" s="39"/>
      <c r="O2413" s="39"/>
      <c r="Q2413" s="39"/>
      <c r="R2413" s="28"/>
      <c r="S2413" s="28"/>
      <c r="T2413" s="28"/>
      <c r="U2413" s="4"/>
      <c r="V2413" s="3"/>
      <c r="W2413" s="3"/>
    </row>
    <row r="2414" spans="1:23" s="5" customFormat="1">
      <c r="A2414" s="6"/>
      <c r="B2414" s="33"/>
      <c r="C2414" s="35"/>
      <c r="E2414" s="39"/>
      <c r="G2414" s="40"/>
      <c r="H2414" s="15"/>
      <c r="I2414" s="17"/>
      <c r="J2414" s="10"/>
      <c r="M2414" s="39"/>
      <c r="O2414" s="39"/>
      <c r="Q2414" s="39"/>
      <c r="R2414" s="28"/>
      <c r="S2414" s="28"/>
      <c r="T2414" s="28"/>
      <c r="U2414" s="4"/>
      <c r="V2414" s="3"/>
      <c r="W2414" s="3"/>
    </row>
    <row r="2415" spans="1:23" s="5" customFormat="1">
      <c r="A2415" s="6"/>
      <c r="B2415" s="33"/>
      <c r="C2415" s="35"/>
      <c r="E2415" s="39"/>
      <c r="G2415" s="40"/>
      <c r="H2415" s="14"/>
      <c r="I2415" s="17"/>
      <c r="J2415" s="10"/>
      <c r="M2415" s="39"/>
      <c r="O2415" s="39"/>
      <c r="Q2415" s="39"/>
      <c r="R2415" s="28"/>
      <c r="S2415" s="28"/>
      <c r="T2415" s="28"/>
      <c r="U2415" s="4"/>
      <c r="V2415" s="3"/>
      <c r="W2415" s="3"/>
    </row>
    <row r="2416" spans="1:23" s="5" customFormat="1">
      <c r="A2416" s="6"/>
      <c r="B2416" s="33"/>
      <c r="C2416" s="35"/>
      <c r="E2416" s="39"/>
      <c r="G2416" s="40"/>
      <c r="H2416" s="14"/>
      <c r="I2416" s="17"/>
      <c r="J2416" s="10"/>
      <c r="M2416" s="39"/>
      <c r="O2416" s="39"/>
      <c r="Q2416" s="39"/>
      <c r="R2416" s="28"/>
      <c r="S2416" s="28"/>
      <c r="T2416" s="28"/>
      <c r="U2416" s="4"/>
      <c r="V2416" s="3"/>
      <c r="W2416" s="3"/>
    </row>
    <row r="2417" spans="1:23" s="5" customFormat="1">
      <c r="A2417" s="6"/>
      <c r="B2417" s="33"/>
      <c r="C2417" s="35"/>
      <c r="E2417" s="39"/>
      <c r="G2417" s="40"/>
      <c r="H2417" s="14"/>
      <c r="I2417" s="17"/>
      <c r="J2417" s="10"/>
      <c r="M2417" s="39"/>
      <c r="O2417" s="39"/>
      <c r="Q2417" s="39"/>
      <c r="R2417" s="28"/>
      <c r="S2417" s="28"/>
      <c r="T2417" s="28"/>
      <c r="U2417" s="4"/>
      <c r="V2417" s="3"/>
      <c r="W2417" s="3"/>
    </row>
    <row r="2418" spans="1:23" s="5" customFormat="1">
      <c r="A2418" s="6"/>
      <c r="B2418" s="33"/>
      <c r="C2418" s="35"/>
      <c r="E2418" s="39"/>
      <c r="G2418" s="40"/>
      <c r="H2418" s="14"/>
      <c r="I2418" s="17"/>
      <c r="J2418" s="10"/>
      <c r="M2418" s="39"/>
      <c r="O2418" s="39"/>
      <c r="Q2418" s="39"/>
      <c r="R2418" s="28"/>
      <c r="S2418" s="28"/>
      <c r="T2418" s="28"/>
      <c r="U2418" s="4"/>
      <c r="V2418" s="3"/>
      <c r="W2418" s="3"/>
    </row>
    <row r="2419" spans="1:23" s="5" customFormat="1">
      <c r="A2419" s="6"/>
      <c r="B2419" s="33"/>
      <c r="C2419" s="35"/>
      <c r="E2419" s="39"/>
      <c r="G2419" s="40"/>
      <c r="H2419" s="15"/>
      <c r="I2419" s="17"/>
      <c r="J2419" s="10"/>
      <c r="M2419" s="39"/>
      <c r="O2419" s="39"/>
      <c r="Q2419" s="39"/>
      <c r="R2419" s="28"/>
      <c r="S2419" s="28"/>
      <c r="T2419" s="28"/>
      <c r="U2419" s="4"/>
      <c r="V2419" s="3"/>
      <c r="W2419" s="3"/>
    </row>
    <row r="2420" spans="1:23" s="5" customFormat="1">
      <c r="A2420" s="6"/>
      <c r="B2420" s="33"/>
      <c r="C2420" s="35"/>
      <c r="E2420" s="39"/>
      <c r="G2420" s="40"/>
      <c r="H2420" s="15"/>
      <c r="I2420" s="17"/>
      <c r="J2420" s="10"/>
      <c r="M2420" s="39"/>
      <c r="O2420" s="39"/>
      <c r="Q2420" s="39"/>
      <c r="R2420" s="28"/>
      <c r="S2420" s="28"/>
      <c r="T2420" s="28"/>
      <c r="U2420" s="4"/>
      <c r="V2420" s="3"/>
      <c r="W2420" s="3"/>
    </row>
    <row r="2421" spans="1:23" s="5" customFormat="1">
      <c r="A2421" s="6"/>
      <c r="B2421" s="33"/>
      <c r="C2421" s="35"/>
      <c r="E2421" s="39"/>
      <c r="G2421" s="40"/>
      <c r="H2421" s="14"/>
      <c r="I2421" s="17"/>
      <c r="J2421" s="10"/>
      <c r="M2421" s="39"/>
      <c r="O2421" s="39"/>
      <c r="Q2421" s="39"/>
      <c r="R2421" s="28"/>
      <c r="S2421" s="28"/>
      <c r="T2421" s="28"/>
      <c r="U2421" s="4"/>
      <c r="V2421" s="3"/>
      <c r="W2421" s="3"/>
    </row>
    <row r="2422" spans="1:23" s="5" customFormat="1">
      <c r="A2422" s="6"/>
      <c r="B2422" s="33"/>
      <c r="C2422" s="35"/>
      <c r="E2422" s="39"/>
      <c r="G2422" s="40"/>
      <c r="H2422" s="14"/>
      <c r="I2422" s="17"/>
      <c r="J2422" s="10"/>
      <c r="M2422" s="39"/>
      <c r="O2422" s="39"/>
      <c r="Q2422" s="39"/>
      <c r="R2422" s="28"/>
      <c r="S2422" s="28"/>
      <c r="T2422" s="28"/>
      <c r="U2422" s="4"/>
      <c r="V2422" s="3"/>
      <c r="W2422" s="3"/>
    </row>
    <row r="2423" spans="1:23" s="5" customFormat="1">
      <c r="A2423" s="6"/>
      <c r="B2423" s="33"/>
      <c r="C2423" s="35"/>
      <c r="E2423" s="39"/>
      <c r="G2423" s="40"/>
      <c r="H2423" s="14"/>
      <c r="I2423" s="17"/>
      <c r="J2423" s="10"/>
      <c r="M2423" s="39"/>
      <c r="O2423" s="39"/>
      <c r="Q2423" s="39"/>
      <c r="R2423" s="28"/>
      <c r="S2423" s="28"/>
      <c r="T2423" s="28"/>
      <c r="U2423" s="4"/>
      <c r="V2423" s="3"/>
      <c r="W2423" s="3"/>
    </row>
    <row r="2424" spans="1:23" s="5" customFormat="1">
      <c r="A2424" s="6"/>
      <c r="B2424" s="33"/>
      <c r="C2424" s="35"/>
      <c r="E2424" s="39"/>
      <c r="G2424" s="40"/>
      <c r="H2424" s="14"/>
      <c r="I2424" s="17"/>
      <c r="J2424" s="10"/>
      <c r="M2424" s="39"/>
      <c r="O2424" s="39"/>
      <c r="Q2424" s="39"/>
      <c r="R2424" s="28"/>
      <c r="S2424" s="28"/>
      <c r="T2424" s="28"/>
      <c r="U2424" s="4"/>
      <c r="V2424" s="3"/>
      <c r="W2424" s="3"/>
    </row>
    <row r="2425" spans="1:23" s="5" customFormat="1">
      <c r="A2425" s="6"/>
      <c r="B2425" s="33"/>
      <c r="C2425" s="35"/>
      <c r="E2425" s="39"/>
      <c r="G2425" s="40"/>
      <c r="H2425" s="14"/>
      <c r="I2425" s="17"/>
      <c r="J2425" s="10"/>
      <c r="M2425" s="39"/>
      <c r="O2425" s="39"/>
      <c r="Q2425" s="39"/>
      <c r="R2425" s="28"/>
      <c r="S2425" s="28"/>
      <c r="T2425" s="28"/>
      <c r="U2425" s="4"/>
      <c r="V2425" s="3"/>
      <c r="W2425" s="3"/>
    </row>
    <row r="2426" spans="1:23" s="5" customFormat="1">
      <c r="A2426" s="6"/>
      <c r="B2426" s="33"/>
      <c r="C2426" s="35"/>
      <c r="E2426" s="39"/>
      <c r="G2426" s="40"/>
      <c r="H2426" s="14"/>
      <c r="I2426" s="17"/>
      <c r="J2426" s="10"/>
      <c r="M2426" s="39"/>
      <c r="O2426" s="39"/>
      <c r="Q2426" s="39"/>
      <c r="R2426" s="28"/>
      <c r="S2426" s="28"/>
      <c r="T2426" s="28"/>
      <c r="U2426" s="4"/>
      <c r="V2426" s="3"/>
      <c r="W2426" s="3"/>
    </row>
    <row r="2427" spans="1:23" s="5" customFormat="1">
      <c r="A2427" s="6"/>
      <c r="B2427" s="33"/>
      <c r="C2427" s="35"/>
      <c r="E2427" s="39"/>
      <c r="G2427" s="40"/>
      <c r="H2427" s="15"/>
      <c r="I2427" s="17"/>
      <c r="J2427" s="10"/>
      <c r="M2427" s="39"/>
      <c r="O2427" s="39"/>
      <c r="Q2427" s="39"/>
      <c r="R2427" s="28"/>
      <c r="S2427" s="28"/>
      <c r="T2427" s="28"/>
      <c r="U2427" s="4"/>
      <c r="V2427" s="3"/>
      <c r="W2427" s="3"/>
    </row>
    <row r="2428" spans="1:23" s="5" customFormat="1">
      <c r="A2428" s="6"/>
      <c r="B2428" s="33"/>
      <c r="C2428" s="35"/>
      <c r="E2428" s="39"/>
      <c r="G2428" s="40"/>
      <c r="H2428" s="14"/>
      <c r="I2428" s="17"/>
      <c r="J2428" s="10"/>
      <c r="M2428" s="39"/>
      <c r="O2428" s="39"/>
      <c r="Q2428" s="39"/>
      <c r="R2428" s="28"/>
      <c r="S2428" s="28"/>
      <c r="T2428" s="28"/>
      <c r="U2428" s="4"/>
      <c r="V2428" s="3"/>
      <c r="W2428" s="3"/>
    </row>
    <row r="2429" spans="1:23" s="5" customFormat="1">
      <c r="A2429" s="6"/>
      <c r="B2429" s="33"/>
      <c r="C2429" s="35"/>
      <c r="E2429" s="39"/>
      <c r="G2429" s="40"/>
      <c r="H2429" s="15"/>
      <c r="I2429" s="17"/>
      <c r="J2429" s="10"/>
      <c r="M2429" s="39"/>
      <c r="O2429" s="39"/>
      <c r="Q2429" s="39"/>
      <c r="R2429" s="28"/>
      <c r="S2429" s="28"/>
      <c r="T2429" s="28"/>
      <c r="U2429" s="4"/>
      <c r="V2429" s="3"/>
      <c r="W2429" s="3"/>
    </row>
    <row r="2430" spans="1:23" s="5" customFormat="1">
      <c r="A2430" s="6"/>
      <c r="B2430" s="33"/>
      <c r="C2430" s="35"/>
      <c r="E2430" s="39"/>
      <c r="G2430" s="40"/>
      <c r="H2430" s="14"/>
      <c r="I2430" s="17"/>
      <c r="J2430" s="10"/>
      <c r="M2430" s="39"/>
      <c r="O2430" s="39"/>
      <c r="Q2430" s="39"/>
      <c r="R2430" s="28"/>
      <c r="S2430" s="28"/>
      <c r="T2430" s="28"/>
      <c r="U2430" s="4"/>
      <c r="V2430" s="3"/>
      <c r="W2430" s="3"/>
    </row>
    <row r="2431" spans="1:23" s="5" customFormat="1">
      <c r="A2431" s="6"/>
      <c r="B2431" s="33"/>
      <c r="C2431" s="35"/>
      <c r="E2431" s="39"/>
      <c r="G2431" s="40"/>
      <c r="H2431" s="14"/>
      <c r="I2431" s="17"/>
      <c r="J2431" s="10"/>
      <c r="M2431" s="39"/>
      <c r="O2431" s="39"/>
      <c r="Q2431" s="39"/>
      <c r="R2431" s="28"/>
      <c r="S2431" s="28"/>
      <c r="T2431" s="28"/>
      <c r="U2431" s="4"/>
      <c r="V2431" s="3"/>
      <c r="W2431" s="3"/>
    </row>
    <row r="2432" spans="1:23" s="5" customFormat="1">
      <c r="A2432" s="6"/>
      <c r="B2432" s="33"/>
      <c r="C2432" s="35"/>
      <c r="E2432" s="39"/>
      <c r="G2432" s="40"/>
      <c r="H2432" s="14"/>
      <c r="I2432" s="17"/>
      <c r="J2432" s="10"/>
      <c r="M2432" s="39"/>
      <c r="O2432" s="39"/>
      <c r="Q2432" s="39"/>
      <c r="R2432" s="28"/>
      <c r="S2432" s="28"/>
      <c r="T2432" s="28"/>
      <c r="U2432" s="4"/>
      <c r="V2432" s="3"/>
      <c r="W2432" s="3"/>
    </row>
    <row r="2433" spans="1:23" s="5" customFormat="1">
      <c r="A2433" s="6"/>
      <c r="B2433" s="33"/>
      <c r="C2433" s="35"/>
      <c r="E2433" s="39"/>
      <c r="G2433" s="40"/>
      <c r="H2433" s="14"/>
      <c r="I2433" s="17"/>
      <c r="J2433" s="10"/>
      <c r="M2433" s="39"/>
      <c r="O2433" s="39"/>
      <c r="Q2433" s="39"/>
      <c r="R2433" s="28"/>
      <c r="S2433" s="28"/>
      <c r="T2433" s="28"/>
      <c r="U2433" s="4"/>
      <c r="V2433" s="3"/>
      <c r="W2433" s="3"/>
    </row>
    <row r="2434" spans="1:23" s="5" customFormat="1">
      <c r="A2434" s="6"/>
      <c r="B2434" s="33"/>
      <c r="C2434" s="35"/>
      <c r="E2434" s="39"/>
      <c r="G2434" s="40"/>
      <c r="H2434" s="14"/>
      <c r="I2434" s="17"/>
      <c r="J2434" s="10"/>
      <c r="M2434" s="39"/>
      <c r="O2434" s="39"/>
      <c r="Q2434" s="39"/>
      <c r="R2434" s="28"/>
      <c r="S2434" s="28"/>
      <c r="T2434" s="28"/>
      <c r="U2434" s="4"/>
      <c r="V2434" s="3"/>
      <c r="W2434" s="3"/>
    </row>
    <row r="2435" spans="1:23" s="5" customFormat="1">
      <c r="A2435" s="6"/>
      <c r="B2435" s="33"/>
      <c r="C2435" s="35"/>
      <c r="E2435" s="39"/>
      <c r="G2435" s="40"/>
      <c r="H2435" s="15"/>
      <c r="I2435" s="17"/>
      <c r="J2435" s="10"/>
      <c r="M2435" s="39"/>
      <c r="O2435" s="39"/>
      <c r="Q2435" s="39"/>
      <c r="R2435" s="28"/>
      <c r="S2435" s="28"/>
      <c r="T2435" s="28"/>
      <c r="U2435" s="4"/>
      <c r="V2435" s="3"/>
      <c r="W2435" s="3"/>
    </row>
    <row r="2436" spans="1:23" s="5" customFormat="1">
      <c r="A2436" s="6"/>
      <c r="B2436" s="33"/>
      <c r="C2436" s="35"/>
      <c r="E2436" s="39"/>
      <c r="G2436" s="40"/>
      <c r="H2436" s="15"/>
      <c r="I2436" s="17"/>
      <c r="J2436" s="10"/>
      <c r="M2436" s="39"/>
      <c r="O2436" s="39"/>
      <c r="Q2436" s="39"/>
      <c r="R2436" s="28"/>
      <c r="S2436" s="28"/>
      <c r="T2436" s="28"/>
      <c r="U2436" s="4"/>
      <c r="V2436" s="3"/>
      <c r="W2436" s="3"/>
    </row>
    <row r="2437" spans="1:23" s="5" customFormat="1">
      <c r="A2437" s="6"/>
      <c r="B2437" s="33"/>
      <c r="C2437" s="35"/>
      <c r="E2437" s="39"/>
      <c r="G2437" s="40"/>
      <c r="H2437" s="15"/>
      <c r="I2437" s="17"/>
      <c r="J2437" s="10"/>
      <c r="M2437" s="39"/>
      <c r="O2437" s="39"/>
      <c r="Q2437" s="39"/>
      <c r="R2437" s="28"/>
      <c r="S2437" s="28"/>
      <c r="T2437" s="28"/>
      <c r="U2437" s="4"/>
      <c r="V2437" s="3"/>
      <c r="W2437" s="3"/>
    </row>
    <row r="2438" spans="1:23" s="5" customFormat="1">
      <c r="A2438" s="6"/>
      <c r="B2438" s="33"/>
      <c r="C2438" s="35"/>
      <c r="E2438" s="39"/>
      <c r="G2438" s="40"/>
      <c r="H2438" s="15"/>
      <c r="I2438" s="17"/>
      <c r="J2438" s="10"/>
      <c r="M2438" s="39"/>
      <c r="O2438" s="39"/>
      <c r="Q2438" s="39"/>
      <c r="R2438" s="28"/>
      <c r="S2438" s="28"/>
      <c r="T2438" s="28"/>
      <c r="U2438" s="4"/>
      <c r="V2438" s="3"/>
      <c r="W2438" s="3"/>
    </row>
    <row r="2439" spans="1:23" s="5" customFormat="1">
      <c r="A2439" s="6"/>
      <c r="B2439" s="33"/>
      <c r="C2439" s="35"/>
      <c r="E2439" s="39"/>
      <c r="G2439" s="40"/>
      <c r="H2439" s="15"/>
      <c r="I2439" s="17"/>
      <c r="J2439" s="10"/>
      <c r="M2439" s="39"/>
      <c r="O2439" s="39"/>
      <c r="Q2439" s="39"/>
      <c r="R2439" s="28"/>
      <c r="S2439" s="28"/>
      <c r="T2439" s="28"/>
      <c r="U2439" s="4"/>
      <c r="V2439" s="3"/>
      <c r="W2439" s="3"/>
    </row>
    <row r="2440" spans="1:23" s="5" customFormat="1">
      <c r="A2440" s="6"/>
      <c r="B2440" s="33"/>
      <c r="C2440" s="35"/>
      <c r="E2440" s="39"/>
      <c r="G2440" s="40"/>
      <c r="H2440" s="15"/>
      <c r="I2440" s="17"/>
      <c r="J2440" s="10"/>
      <c r="M2440" s="39"/>
      <c r="O2440" s="39"/>
      <c r="Q2440" s="39"/>
      <c r="R2440" s="28"/>
      <c r="S2440" s="28"/>
      <c r="T2440" s="28"/>
      <c r="U2440" s="4"/>
      <c r="V2440" s="3"/>
      <c r="W2440" s="3"/>
    </row>
    <row r="2441" spans="1:23" s="5" customFormat="1">
      <c r="A2441" s="6"/>
      <c r="B2441" s="33"/>
      <c r="C2441" s="35"/>
      <c r="E2441" s="39"/>
      <c r="G2441" s="40"/>
      <c r="H2441" s="15"/>
      <c r="I2441" s="17"/>
      <c r="J2441" s="10"/>
      <c r="M2441" s="39"/>
      <c r="O2441" s="39"/>
      <c r="Q2441" s="39"/>
      <c r="R2441" s="28"/>
      <c r="S2441" s="28"/>
      <c r="T2441" s="28"/>
      <c r="U2441" s="4"/>
      <c r="V2441" s="3"/>
      <c r="W2441" s="3"/>
    </row>
    <row r="2442" spans="1:23" s="5" customFormat="1">
      <c r="A2442" s="6"/>
      <c r="B2442" s="33"/>
      <c r="C2442" s="35"/>
      <c r="E2442" s="39"/>
      <c r="G2442" s="40"/>
      <c r="H2442" s="14"/>
      <c r="I2442" s="17"/>
      <c r="J2442" s="10"/>
      <c r="M2442" s="39"/>
      <c r="O2442" s="39"/>
      <c r="Q2442" s="39"/>
      <c r="R2442" s="28"/>
      <c r="S2442" s="28"/>
      <c r="T2442" s="28"/>
      <c r="U2442" s="4"/>
      <c r="V2442" s="3"/>
      <c r="W2442" s="3"/>
    </row>
    <row r="2443" spans="1:23" s="5" customFormat="1">
      <c r="A2443" s="6"/>
      <c r="B2443" s="33"/>
      <c r="C2443" s="35"/>
      <c r="E2443" s="39"/>
      <c r="G2443" s="40"/>
      <c r="H2443" s="14"/>
      <c r="I2443" s="17"/>
      <c r="J2443" s="10"/>
      <c r="M2443" s="39"/>
      <c r="O2443" s="39"/>
      <c r="Q2443" s="39"/>
      <c r="R2443" s="28"/>
      <c r="S2443" s="28"/>
      <c r="T2443" s="28"/>
      <c r="U2443" s="4"/>
      <c r="V2443" s="3"/>
      <c r="W2443" s="3"/>
    </row>
    <row r="2444" spans="1:23" s="5" customFormat="1">
      <c r="A2444" s="6"/>
      <c r="B2444" s="33"/>
      <c r="C2444" s="35"/>
      <c r="E2444" s="39"/>
      <c r="G2444" s="40"/>
      <c r="H2444" s="15"/>
      <c r="I2444" s="17"/>
      <c r="J2444" s="10"/>
      <c r="M2444" s="39"/>
      <c r="O2444" s="39"/>
      <c r="Q2444" s="39"/>
      <c r="R2444" s="28"/>
      <c r="S2444" s="28"/>
      <c r="T2444" s="28"/>
      <c r="U2444" s="4"/>
      <c r="V2444" s="3"/>
      <c r="W2444" s="3"/>
    </row>
    <row r="2445" spans="1:23" s="5" customFormat="1">
      <c r="A2445" s="6"/>
      <c r="B2445" s="33"/>
      <c r="C2445" s="35"/>
      <c r="E2445" s="39"/>
      <c r="G2445" s="40"/>
      <c r="H2445" s="15"/>
      <c r="I2445" s="17"/>
      <c r="J2445" s="10"/>
      <c r="M2445" s="39"/>
      <c r="O2445" s="39"/>
      <c r="Q2445" s="39"/>
      <c r="R2445" s="28"/>
      <c r="S2445" s="28"/>
      <c r="T2445" s="28"/>
      <c r="U2445" s="4"/>
      <c r="V2445" s="3"/>
      <c r="W2445" s="3"/>
    </row>
    <row r="2446" spans="1:23" s="5" customFormat="1">
      <c r="A2446" s="6"/>
      <c r="B2446" s="33"/>
      <c r="C2446" s="35"/>
      <c r="E2446" s="39"/>
      <c r="G2446" s="40"/>
      <c r="H2446" s="15"/>
      <c r="I2446" s="17"/>
      <c r="J2446" s="10"/>
      <c r="M2446" s="39"/>
      <c r="O2446" s="39"/>
      <c r="Q2446" s="39"/>
      <c r="R2446" s="28"/>
      <c r="S2446" s="28"/>
      <c r="T2446" s="28"/>
      <c r="U2446" s="4"/>
      <c r="V2446" s="3"/>
      <c r="W2446" s="3"/>
    </row>
    <row r="2447" spans="1:23" s="5" customFormat="1">
      <c r="A2447" s="6"/>
      <c r="B2447" s="33"/>
      <c r="C2447" s="35"/>
      <c r="E2447" s="39"/>
      <c r="G2447" s="40"/>
      <c r="H2447" s="14"/>
      <c r="I2447" s="17"/>
      <c r="J2447" s="10"/>
      <c r="M2447" s="39"/>
      <c r="O2447" s="39"/>
      <c r="Q2447" s="39"/>
      <c r="R2447" s="28"/>
      <c r="S2447" s="28"/>
      <c r="T2447" s="28"/>
      <c r="U2447" s="4"/>
      <c r="V2447" s="3"/>
      <c r="W2447" s="3"/>
    </row>
    <row r="2448" spans="1:23" s="5" customFormat="1">
      <c r="A2448" s="6"/>
      <c r="B2448" s="33"/>
      <c r="C2448" s="35"/>
      <c r="E2448" s="39"/>
      <c r="G2448" s="40"/>
      <c r="H2448" s="14"/>
      <c r="I2448" s="17"/>
      <c r="J2448" s="10"/>
      <c r="M2448" s="39"/>
      <c r="O2448" s="39"/>
      <c r="Q2448" s="39"/>
      <c r="R2448" s="28"/>
      <c r="S2448" s="28"/>
      <c r="T2448" s="28"/>
      <c r="U2448" s="4"/>
      <c r="V2448" s="3"/>
      <c r="W2448" s="3"/>
    </row>
    <row r="2449" spans="1:23" s="5" customFormat="1">
      <c r="A2449" s="6"/>
      <c r="B2449" s="33"/>
      <c r="C2449" s="35"/>
      <c r="E2449" s="39"/>
      <c r="G2449" s="40"/>
      <c r="H2449" s="14"/>
      <c r="I2449" s="17"/>
      <c r="J2449" s="10"/>
      <c r="M2449" s="39"/>
      <c r="O2449" s="39"/>
      <c r="Q2449" s="39"/>
      <c r="R2449" s="28"/>
      <c r="S2449" s="28"/>
      <c r="T2449" s="28"/>
      <c r="U2449" s="4"/>
      <c r="V2449" s="3"/>
      <c r="W2449" s="3"/>
    </row>
    <row r="2450" spans="1:23" s="5" customFormat="1">
      <c r="A2450" s="6"/>
      <c r="B2450" s="33"/>
      <c r="C2450" s="35"/>
      <c r="E2450" s="39"/>
      <c r="G2450" s="40"/>
      <c r="H2450" s="14"/>
      <c r="I2450" s="17"/>
      <c r="J2450" s="10"/>
      <c r="M2450" s="39"/>
      <c r="O2450" s="39"/>
      <c r="Q2450" s="39"/>
      <c r="R2450" s="28"/>
      <c r="S2450" s="28"/>
      <c r="T2450" s="28"/>
      <c r="U2450" s="4"/>
      <c r="V2450" s="3"/>
      <c r="W2450" s="3"/>
    </row>
    <row r="2451" spans="1:23" s="5" customFormat="1">
      <c r="A2451" s="6"/>
      <c r="B2451" s="33"/>
      <c r="C2451" s="35"/>
      <c r="E2451" s="39"/>
      <c r="G2451" s="40"/>
      <c r="H2451" s="14"/>
      <c r="I2451" s="17"/>
      <c r="J2451" s="10"/>
      <c r="M2451" s="39"/>
      <c r="O2451" s="39"/>
      <c r="Q2451" s="39"/>
      <c r="R2451" s="28"/>
      <c r="S2451" s="28"/>
      <c r="T2451" s="28"/>
      <c r="U2451" s="4"/>
      <c r="V2451" s="3"/>
      <c r="W2451" s="3"/>
    </row>
    <row r="2452" spans="1:23" s="5" customFormat="1">
      <c r="A2452" s="6"/>
      <c r="B2452" s="33"/>
      <c r="C2452" s="35"/>
      <c r="E2452" s="39"/>
      <c r="G2452" s="40"/>
      <c r="H2452" s="14"/>
      <c r="I2452" s="17"/>
      <c r="J2452" s="10"/>
      <c r="M2452" s="39"/>
      <c r="O2452" s="39"/>
      <c r="Q2452" s="39"/>
      <c r="R2452" s="28"/>
      <c r="S2452" s="28"/>
      <c r="T2452" s="28"/>
      <c r="U2452" s="4"/>
      <c r="V2452" s="3"/>
      <c r="W2452" s="3"/>
    </row>
    <row r="2453" spans="1:23" s="5" customFormat="1">
      <c r="A2453" s="6"/>
      <c r="B2453" s="33"/>
      <c r="C2453" s="35"/>
      <c r="E2453" s="39"/>
      <c r="G2453" s="40"/>
      <c r="H2453" s="15"/>
      <c r="I2453" s="17"/>
      <c r="J2453" s="10"/>
      <c r="M2453" s="39"/>
      <c r="O2453" s="39"/>
      <c r="Q2453" s="39"/>
      <c r="R2453" s="28"/>
      <c r="S2453" s="28"/>
      <c r="T2453" s="28"/>
      <c r="U2453" s="4"/>
      <c r="V2453" s="3"/>
      <c r="W2453" s="3"/>
    </row>
    <row r="2454" spans="1:23" s="5" customFormat="1">
      <c r="A2454" s="6"/>
      <c r="B2454" s="33"/>
      <c r="C2454" s="35"/>
      <c r="E2454" s="39"/>
      <c r="G2454" s="40"/>
      <c r="H2454" s="15"/>
      <c r="I2454" s="17"/>
      <c r="J2454" s="10"/>
      <c r="M2454" s="39"/>
      <c r="O2454" s="39"/>
      <c r="Q2454" s="39"/>
      <c r="R2454" s="28"/>
      <c r="S2454" s="28"/>
      <c r="T2454" s="28"/>
      <c r="U2454" s="4"/>
      <c r="V2454" s="3"/>
      <c r="W2454" s="3"/>
    </row>
    <row r="2455" spans="1:23" s="5" customFormat="1">
      <c r="A2455" s="6"/>
      <c r="B2455" s="33"/>
      <c r="C2455" s="35"/>
      <c r="E2455" s="39"/>
      <c r="G2455" s="40"/>
      <c r="H2455" s="15"/>
      <c r="I2455" s="17"/>
      <c r="J2455" s="10"/>
      <c r="M2455" s="39"/>
      <c r="O2455" s="39"/>
      <c r="Q2455" s="39"/>
      <c r="R2455" s="28"/>
      <c r="S2455" s="28"/>
      <c r="T2455" s="28"/>
      <c r="U2455" s="4"/>
      <c r="V2455" s="3"/>
      <c r="W2455" s="3"/>
    </row>
    <row r="2456" spans="1:23" s="5" customFormat="1">
      <c r="A2456" s="6"/>
      <c r="B2456" s="33"/>
      <c r="C2456" s="35"/>
      <c r="E2456" s="39"/>
      <c r="G2456" s="40"/>
      <c r="H2456" s="15"/>
      <c r="I2456" s="17"/>
      <c r="J2456" s="10"/>
      <c r="M2456" s="39"/>
      <c r="O2456" s="39"/>
      <c r="Q2456" s="39"/>
      <c r="R2456" s="28"/>
      <c r="S2456" s="28"/>
      <c r="T2456" s="28"/>
      <c r="U2456" s="4"/>
      <c r="V2456" s="3"/>
      <c r="W2456" s="3"/>
    </row>
    <row r="2457" spans="1:23" s="5" customFormat="1">
      <c r="A2457" s="6"/>
      <c r="B2457" s="33"/>
      <c r="C2457" s="35"/>
      <c r="E2457" s="39"/>
      <c r="G2457" s="40"/>
      <c r="H2457" s="15"/>
      <c r="I2457" s="17"/>
      <c r="J2457" s="10"/>
      <c r="M2457" s="39"/>
      <c r="O2457" s="39"/>
      <c r="Q2457" s="39"/>
      <c r="R2457" s="28"/>
      <c r="S2457" s="28"/>
      <c r="T2457" s="28"/>
      <c r="U2457" s="4"/>
      <c r="V2457" s="3"/>
      <c r="W2457" s="3"/>
    </row>
    <row r="2458" spans="1:23" s="5" customFormat="1">
      <c r="A2458" s="6"/>
      <c r="B2458" s="33"/>
      <c r="C2458" s="35"/>
      <c r="E2458" s="39"/>
      <c r="G2458" s="40"/>
      <c r="H2458" s="15"/>
      <c r="I2458" s="17"/>
      <c r="J2458" s="10"/>
      <c r="M2458" s="39"/>
      <c r="O2458" s="39"/>
      <c r="Q2458" s="39"/>
      <c r="R2458" s="28"/>
      <c r="S2458" s="28"/>
      <c r="T2458" s="28"/>
      <c r="U2458" s="4"/>
      <c r="V2458" s="3"/>
      <c r="W2458" s="3"/>
    </row>
    <row r="2459" spans="1:23" s="5" customFormat="1">
      <c r="A2459" s="6"/>
      <c r="B2459" s="33"/>
      <c r="C2459" s="35"/>
      <c r="E2459" s="39"/>
      <c r="G2459" s="40"/>
      <c r="H2459" s="14"/>
      <c r="I2459" s="17"/>
      <c r="J2459" s="10"/>
      <c r="M2459" s="39"/>
      <c r="O2459" s="39"/>
      <c r="Q2459" s="39"/>
      <c r="R2459" s="28"/>
      <c r="S2459" s="28"/>
      <c r="T2459" s="28"/>
      <c r="U2459" s="4"/>
      <c r="V2459" s="3"/>
      <c r="W2459" s="3"/>
    </row>
    <row r="2460" spans="1:23" s="5" customFormat="1">
      <c r="A2460" s="6"/>
      <c r="B2460" s="33"/>
      <c r="C2460" s="35"/>
      <c r="E2460" s="39"/>
      <c r="G2460" s="40"/>
      <c r="H2460" s="14"/>
      <c r="I2460" s="17"/>
      <c r="J2460" s="10"/>
      <c r="M2460" s="39"/>
      <c r="O2460" s="39"/>
      <c r="Q2460" s="39"/>
      <c r="R2460" s="28"/>
      <c r="S2460" s="28"/>
      <c r="T2460" s="28"/>
      <c r="U2460" s="4"/>
      <c r="V2460" s="3"/>
      <c r="W2460" s="3"/>
    </row>
    <row r="2461" spans="1:23" s="5" customFormat="1">
      <c r="A2461" s="6"/>
      <c r="B2461" s="33"/>
      <c r="C2461" s="35"/>
      <c r="E2461" s="39"/>
      <c r="G2461" s="40"/>
      <c r="H2461" s="15"/>
      <c r="I2461" s="17"/>
      <c r="J2461" s="10"/>
      <c r="M2461" s="39"/>
      <c r="O2461" s="39"/>
      <c r="Q2461" s="39"/>
      <c r="R2461" s="28"/>
      <c r="S2461" s="28"/>
      <c r="T2461" s="28"/>
      <c r="U2461" s="4"/>
      <c r="V2461" s="3"/>
      <c r="W2461" s="3"/>
    </row>
    <row r="2462" spans="1:23" s="5" customFormat="1">
      <c r="A2462" s="6"/>
      <c r="B2462" s="33"/>
      <c r="C2462" s="35"/>
      <c r="E2462" s="39"/>
      <c r="G2462" s="40"/>
      <c r="H2462" s="15"/>
      <c r="I2462" s="17"/>
      <c r="J2462" s="10"/>
      <c r="M2462" s="39"/>
      <c r="O2462" s="39"/>
      <c r="Q2462" s="39"/>
      <c r="R2462" s="28"/>
      <c r="S2462" s="28"/>
      <c r="T2462" s="28"/>
      <c r="U2462" s="4"/>
      <c r="V2462" s="3"/>
      <c r="W2462" s="3"/>
    </row>
    <row r="2463" spans="1:23" s="5" customFormat="1">
      <c r="A2463" s="6"/>
      <c r="B2463" s="33"/>
      <c r="C2463" s="35"/>
      <c r="E2463" s="39"/>
      <c r="G2463" s="40"/>
      <c r="H2463" s="15"/>
      <c r="I2463" s="17"/>
      <c r="J2463" s="10"/>
      <c r="M2463" s="39"/>
      <c r="O2463" s="39"/>
      <c r="Q2463" s="39"/>
      <c r="R2463" s="28"/>
      <c r="S2463" s="28"/>
      <c r="T2463" s="28"/>
      <c r="U2463" s="4"/>
      <c r="V2463" s="3"/>
      <c r="W2463" s="3"/>
    </row>
    <row r="2464" spans="1:23" s="5" customFormat="1">
      <c r="A2464" s="6"/>
      <c r="B2464" s="33"/>
      <c r="C2464" s="35"/>
      <c r="E2464" s="39"/>
      <c r="G2464" s="40"/>
      <c r="H2464" s="15"/>
      <c r="I2464" s="17"/>
      <c r="J2464" s="10"/>
      <c r="M2464" s="39"/>
      <c r="O2464" s="39"/>
      <c r="Q2464" s="39"/>
      <c r="R2464" s="28"/>
      <c r="S2464" s="28"/>
      <c r="T2464" s="28"/>
      <c r="U2464" s="4"/>
      <c r="V2464" s="3"/>
      <c r="W2464" s="3"/>
    </row>
    <row r="2465" spans="1:23" s="5" customFormat="1">
      <c r="A2465" s="20"/>
      <c r="B2465" s="33"/>
      <c r="C2465" s="35"/>
      <c r="D2465" s="1"/>
      <c r="E2465" s="39"/>
      <c r="F2465" s="1"/>
      <c r="G2465" s="40"/>
      <c r="H2465" s="12"/>
      <c r="I2465" s="9"/>
      <c r="J2465" s="12"/>
      <c r="L2465" s="1"/>
      <c r="M2465" s="39"/>
      <c r="N2465" s="1"/>
      <c r="O2465" s="39"/>
      <c r="P2465" s="1"/>
      <c r="Q2465" s="39"/>
      <c r="R2465" s="28"/>
      <c r="S2465" s="28"/>
      <c r="T2465" s="28"/>
      <c r="U2465" s="4"/>
      <c r="V2465" s="3"/>
      <c r="W2465" s="3"/>
    </row>
    <row r="2466" spans="1:23" s="5" customFormat="1">
      <c r="A2466" s="20"/>
      <c r="B2466" s="36"/>
      <c r="C2466" s="35"/>
      <c r="E2466" s="39"/>
      <c r="F2466" s="1"/>
      <c r="G2466" s="40"/>
      <c r="H2466" s="12"/>
      <c r="I2466" s="9"/>
      <c r="J2466" s="12"/>
      <c r="M2466" s="39"/>
      <c r="O2466" s="39"/>
      <c r="Q2466" s="39"/>
      <c r="R2466" s="28"/>
      <c r="S2466" s="29"/>
      <c r="T2466" s="28"/>
      <c r="U2466" s="4"/>
      <c r="V2466" s="3"/>
      <c r="W2466" s="3"/>
    </row>
    <row r="2467" spans="1:23" s="5" customFormat="1">
      <c r="A2467" s="6"/>
      <c r="B2467" s="33"/>
      <c r="C2467" s="35"/>
      <c r="E2467" s="39"/>
      <c r="G2467" s="40"/>
      <c r="H2467" s="14"/>
      <c r="I2467" s="17"/>
      <c r="J2467" s="10"/>
      <c r="M2467" s="39"/>
      <c r="O2467" s="39"/>
      <c r="Q2467" s="39"/>
      <c r="R2467" s="28"/>
      <c r="S2467" s="28"/>
      <c r="T2467" s="28"/>
      <c r="U2467" s="4"/>
      <c r="V2467" s="3"/>
      <c r="W2467" s="3"/>
    </row>
    <row r="2468" spans="1:23" s="5" customFormat="1">
      <c r="A2468" s="6"/>
      <c r="B2468" s="33"/>
      <c r="C2468" s="35"/>
      <c r="E2468" s="39"/>
      <c r="G2468" s="40"/>
      <c r="H2468" s="15"/>
      <c r="I2468" s="17"/>
      <c r="J2468" s="10"/>
      <c r="M2468" s="39"/>
      <c r="O2468" s="39"/>
      <c r="Q2468" s="39"/>
      <c r="R2468" s="28"/>
      <c r="S2468" s="28"/>
      <c r="T2468" s="28"/>
      <c r="U2468" s="4"/>
      <c r="V2468" s="3"/>
      <c r="W2468" s="3"/>
    </row>
    <row r="2469" spans="1:23" s="5" customFormat="1">
      <c r="A2469" s="6"/>
      <c r="B2469" s="33"/>
      <c r="C2469" s="35"/>
      <c r="E2469" s="39"/>
      <c r="G2469" s="40"/>
      <c r="H2469" s="14"/>
      <c r="I2469" s="17"/>
      <c r="J2469" s="10"/>
      <c r="M2469" s="39"/>
      <c r="O2469" s="39"/>
      <c r="Q2469" s="39"/>
      <c r="R2469" s="28"/>
      <c r="S2469" s="28"/>
      <c r="T2469" s="28"/>
      <c r="U2469" s="4"/>
      <c r="V2469" s="3"/>
      <c r="W2469" s="3"/>
    </row>
    <row r="2470" spans="1:23" s="5" customFormat="1">
      <c r="A2470" s="6"/>
      <c r="B2470" s="33"/>
      <c r="C2470" s="35"/>
      <c r="E2470" s="39"/>
      <c r="G2470" s="40"/>
      <c r="H2470" s="15"/>
      <c r="I2470" s="17"/>
      <c r="J2470" s="10"/>
      <c r="M2470" s="39"/>
      <c r="O2470" s="39"/>
      <c r="Q2470" s="39"/>
      <c r="R2470" s="28"/>
      <c r="S2470" s="28"/>
      <c r="T2470" s="28"/>
      <c r="U2470" s="4"/>
      <c r="V2470" s="3"/>
      <c r="W2470" s="3"/>
    </row>
    <row r="2471" spans="1:23" s="5" customFormat="1">
      <c r="A2471" s="6"/>
      <c r="B2471" s="33"/>
      <c r="C2471" s="35"/>
      <c r="E2471" s="39"/>
      <c r="G2471" s="40"/>
      <c r="H2471" s="15"/>
      <c r="I2471" s="17"/>
      <c r="J2471" s="10"/>
      <c r="M2471" s="39"/>
      <c r="O2471" s="39"/>
      <c r="Q2471" s="39"/>
      <c r="R2471" s="28"/>
      <c r="S2471" s="28"/>
      <c r="T2471" s="28"/>
      <c r="U2471" s="4"/>
      <c r="V2471" s="3"/>
      <c r="W2471" s="3"/>
    </row>
    <row r="2472" spans="1:23" s="5" customFormat="1">
      <c r="A2472" s="6"/>
      <c r="B2472" s="33"/>
      <c r="C2472" s="35"/>
      <c r="E2472" s="39"/>
      <c r="G2472" s="40"/>
      <c r="H2472" s="15"/>
      <c r="I2472" s="17"/>
      <c r="J2472" s="10"/>
      <c r="M2472" s="39"/>
      <c r="O2472" s="39"/>
      <c r="Q2472" s="39"/>
      <c r="R2472" s="28"/>
      <c r="S2472" s="28"/>
      <c r="T2472" s="28"/>
      <c r="U2472" s="4"/>
      <c r="V2472" s="3"/>
      <c r="W2472" s="3"/>
    </row>
    <row r="2473" spans="1:23" s="5" customFormat="1">
      <c r="A2473" s="6"/>
      <c r="B2473" s="33"/>
      <c r="C2473" s="35"/>
      <c r="E2473" s="39"/>
      <c r="G2473" s="40"/>
      <c r="H2473" s="15"/>
      <c r="I2473" s="17"/>
      <c r="J2473" s="10"/>
      <c r="M2473" s="39"/>
      <c r="O2473" s="39"/>
      <c r="Q2473" s="39"/>
      <c r="R2473" s="28"/>
      <c r="S2473" s="28"/>
      <c r="T2473" s="28"/>
      <c r="U2473" s="4"/>
      <c r="V2473" s="3"/>
      <c r="W2473" s="3"/>
    </row>
    <row r="2474" spans="1:23" s="5" customFormat="1">
      <c r="A2474" s="6"/>
      <c r="B2474" s="33"/>
      <c r="C2474" s="35"/>
      <c r="E2474" s="39"/>
      <c r="G2474" s="40"/>
      <c r="H2474" s="14"/>
      <c r="I2474" s="17"/>
      <c r="J2474" s="10"/>
      <c r="M2474" s="39"/>
      <c r="O2474" s="39"/>
      <c r="Q2474" s="39"/>
      <c r="R2474" s="28"/>
      <c r="S2474" s="28"/>
      <c r="T2474" s="28"/>
      <c r="U2474" s="4"/>
      <c r="V2474" s="3"/>
      <c r="W2474" s="3"/>
    </row>
    <row r="2475" spans="1:23" s="5" customFormat="1">
      <c r="A2475" s="6"/>
      <c r="B2475" s="33"/>
      <c r="C2475" s="35"/>
      <c r="E2475" s="39"/>
      <c r="G2475" s="40"/>
      <c r="H2475" s="14"/>
      <c r="I2475" s="17"/>
      <c r="J2475" s="10"/>
      <c r="M2475" s="39"/>
      <c r="O2475" s="39"/>
      <c r="Q2475" s="39"/>
      <c r="R2475" s="28"/>
      <c r="S2475" s="28"/>
      <c r="T2475" s="28"/>
      <c r="U2475" s="4"/>
      <c r="V2475" s="3"/>
      <c r="W2475" s="3"/>
    </row>
    <row r="2476" spans="1:23" s="5" customFormat="1">
      <c r="A2476" s="6"/>
      <c r="B2476" s="33"/>
      <c r="C2476" s="35"/>
      <c r="E2476" s="39"/>
      <c r="G2476" s="40"/>
      <c r="H2476" s="15"/>
      <c r="I2476" s="17"/>
      <c r="J2476" s="10"/>
      <c r="M2476" s="39"/>
      <c r="O2476" s="39"/>
      <c r="Q2476" s="39"/>
      <c r="R2476" s="28"/>
      <c r="S2476" s="28"/>
      <c r="T2476" s="28"/>
      <c r="U2476" s="4"/>
      <c r="V2476" s="3"/>
      <c r="W2476" s="3"/>
    </row>
    <row r="2477" spans="1:23" s="5" customFormat="1">
      <c r="A2477" s="6"/>
      <c r="B2477" s="33"/>
      <c r="C2477" s="35"/>
      <c r="E2477" s="39"/>
      <c r="G2477" s="40"/>
      <c r="H2477" s="14"/>
      <c r="I2477" s="17"/>
      <c r="J2477" s="10"/>
      <c r="M2477" s="39"/>
      <c r="O2477" s="39"/>
      <c r="Q2477" s="39"/>
      <c r="R2477" s="28"/>
      <c r="S2477" s="28"/>
      <c r="T2477" s="28"/>
      <c r="U2477" s="4"/>
      <c r="V2477" s="3"/>
      <c r="W2477" s="3"/>
    </row>
    <row r="2478" spans="1:23" s="5" customFormat="1">
      <c r="A2478" s="6"/>
      <c r="B2478" s="33"/>
      <c r="C2478" s="35"/>
      <c r="E2478" s="39"/>
      <c r="G2478" s="40"/>
      <c r="H2478" s="14"/>
      <c r="I2478" s="17"/>
      <c r="J2478" s="10"/>
      <c r="M2478" s="39"/>
      <c r="O2478" s="39"/>
      <c r="Q2478" s="39"/>
      <c r="R2478" s="28"/>
      <c r="S2478" s="28"/>
      <c r="T2478" s="28"/>
      <c r="U2478" s="4"/>
      <c r="V2478" s="3"/>
      <c r="W2478" s="3"/>
    </row>
    <row r="2479" spans="1:23" s="5" customFormat="1">
      <c r="A2479" s="6"/>
      <c r="B2479" s="33"/>
      <c r="C2479" s="35"/>
      <c r="E2479" s="39"/>
      <c r="G2479" s="40"/>
      <c r="H2479" s="15"/>
      <c r="I2479" s="17"/>
      <c r="J2479" s="10"/>
      <c r="M2479" s="39"/>
      <c r="O2479" s="39"/>
      <c r="Q2479" s="39"/>
      <c r="R2479" s="28"/>
      <c r="S2479" s="28"/>
      <c r="T2479" s="28"/>
      <c r="U2479" s="4"/>
      <c r="V2479" s="3"/>
      <c r="W2479" s="3"/>
    </row>
    <row r="2480" spans="1:23" s="5" customFormat="1">
      <c r="A2480" s="6"/>
      <c r="B2480" s="33"/>
      <c r="C2480" s="35"/>
      <c r="E2480" s="39"/>
      <c r="G2480" s="40"/>
      <c r="H2480" s="14"/>
      <c r="I2480" s="17"/>
      <c r="J2480" s="10"/>
      <c r="M2480" s="39"/>
      <c r="O2480" s="39"/>
      <c r="Q2480" s="39"/>
      <c r="R2480" s="28"/>
      <c r="S2480" s="28"/>
      <c r="T2480" s="28"/>
      <c r="U2480" s="4"/>
      <c r="V2480" s="3"/>
      <c r="W2480" s="3"/>
    </row>
    <row r="2481" spans="1:23" s="5" customFormat="1">
      <c r="A2481" s="6"/>
      <c r="B2481" s="33"/>
      <c r="C2481" s="35"/>
      <c r="E2481" s="39"/>
      <c r="G2481" s="40"/>
      <c r="H2481" s="15"/>
      <c r="I2481" s="17"/>
      <c r="J2481" s="10"/>
      <c r="M2481" s="39"/>
      <c r="O2481" s="39"/>
      <c r="Q2481" s="39"/>
      <c r="R2481" s="28"/>
      <c r="S2481" s="28"/>
      <c r="T2481" s="28"/>
      <c r="U2481" s="4"/>
      <c r="V2481" s="3"/>
      <c r="W2481" s="3"/>
    </row>
    <row r="2482" spans="1:23" s="5" customFormat="1">
      <c r="A2482" s="6"/>
      <c r="B2482" s="33"/>
      <c r="C2482" s="35"/>
      <c r="E2482" s="39"/>
      <c r="G2482" s="40"/>
      <c r="H2482" s="15"/>
      <c r="I2482" s="17"/>
      <c r="J2482" s="10"/>
      <c r="M2482" s="39"/>
      <c r="O2482" s="39"/>
      <c r="Q2482" s="39"/>
      <c r="R2482" s="28"/>
      <c r="S2482" s="28"/>
      <c r="T2482" s="28"/>
      <c r="U2482" s="4"/>
      <c r="V2482" s="3"/>
      <c r="W2482" s="3"/>
    </row>
    <row r="2483" spans="1:23" s="5" customFormat="1">
      <c r="A2483" s="6"/>
      <c r="B2483" s="33"/>
      <c r="C2483" s="35"/>
      <c r="E2483" s="39"/>
      <c r="G2483" s="40"/>
      <c r="H2483" s="14"/>
      <c r="I2483" s="17"/>
      <c r="J2483" s="10"/>
      <c r="M2483" s="39"/>
      <c r="O2483" s="39"/>
      <c r="Q2483" s="39"/>
      <c r="R2483" s="28"/>
      <c r="S2483" s="28"/>
      <c r="T2483" s="28"/>
      <c r="U2483" s="4"/>
      <c r="V2483" s="3"/>
      <c r="W2483" s="3"/>
    </row>
    <row r="2484" spans="1:23" s="5" customFormat="1">
      <c r="A2484" s="6"/>
      <c r="B2484" s="33"/>
      <c r="C2484" s="35"/>
      <c r="E2484" s="39"/>
      <c r="G2484" s="40"/>
      <c r="H2484" s="15"/>
      <c r="I2484" s="17"/>
      <c r="J2484" s="10"/>
      <c r="M2484" s="39"/>
      <c r="O2484" s="39"/>
      <c r="Q2484" s="39"/>
      <c r="R2484" s="28"/>
      <c r="S2484" s="28"/>
      <c r="T2484" s="28"/>
      <c r="U2484" s="4"/>
      <c r="V2484" s="3"/>
      <c r="W2484" s="3"/>
    </row>
    <row r="2485" spans="1:23" s="5" customFormat="1">
      <c r="A2485" s="6"/>
      <c r="B2485" s="33"/>
      <c r="C2485" s="35"/>
      <c r="E2485" s="39"/>
      <c r="G2485" s="40"/>
      <c r="H2485" s="14"/>
      <c r="I2485" s="17"/>
      <c r="J2485" s="10"/>
      <c r="M2485" s="39"/>
      <c r="O2485" s="39"/>
      <c r="Q2485" s="39"/>
      <c r="R2485" s="28"/>
      <c r="S2485" s="28"/>
      <c r="T2485" s="28"/>
      <c r="U2485" s="4"/>
      <c r="V2485" s="3"/>
      <c r="W2485" s="3"/>
    </row>
    <row r="2486" spans="1:23" s="5" customFormat="1">
      <c r="A2486" s="6"/>
      <c r="B2486" s="33"/>
      <c r="C2486" s="35"/>
      <c r="E2486" s="39"/>
      <c r="G2486" s="40"/>
      <c r="H2486" s="14"/>
      <c r="I2486" s="17"/>
      <c r="J2486" s="10"/>
      <c r="M2486" s="39"/>
      <c r="O2486" s="39"/>
      <c r="Q2486" s="39"/>
      <c r="R2486" s="28"/>
      <c r="S2486" s="28"/>
      <c r="T2486" s="28"/>
      <c r="U2486" s="4"/>
      <c r="V2486" s="3"/>
      <c r="W2486" s="3"/>
    </row>
    <row r="2487" spans="1:23" s="5" customFormat="1">
      <c r="A2487" s="6"/>
      <c r="B2487" s="33"/>
      <c r="C2487" s="35"/>
      <c r="E2487" s="39"/>
      <c r="G2487" s="40"/>
      <c r="H2487" s="14"/>
      <c r="I2487" s="17"/>
      <c r="J2487" s="10"/>
      <c r="M2487" s="39"/>
      <c r="O2487" s="39"/>
      <c r="Q2487" s="39"/>
      <c r="R2487" s="28"/>
      <c r="S2487" s="28"/>
      <c r="T2487" s="28"/>
      <c r="U2487" s="4"/>
      <c r="V2487" s="3"/>
      <c r="W2487" s="3"/>
    </row>
    <row r="2488" spans="1:23" s="5" customFormat="1">
      <c r="A2488" s="6"/>
      <c r="B2488" s="33"/>
      <c r="C2488" s="35"/>
      <c r="E2488" s="39"/>
      <c r="G2488" s="40"/>
      <c r="H2488" s="14"/>
      <c r="I2488" s="17"/>
      <c r="J2488" s="10"/>
      <c r="M2488" s="39"/>
      <c r="O2488" s="39"/>
      <c r="Q2488" s="39"/>
      <c r="R2488" s="28"/>
      <c r="S2488" s="28"/>
      <c r="T2488" s="28"/>
      <c r="U2488" s="4"/>
      <c r="V2488" s="3"/>
      <c r="W2488" s="3"/>
    </row>
    <row r="2489" spans="1:23" s="5" customFormat="1">
      <c r="A2489" s="6"/>
      <c r="B2489" s="33"/>
      <c r="C2489" s="35"/>
      <c r="E2489" s="39"/>
      <c r="G2489" s="40"/>
      <c r="H2489" s="15"/>
      <c r="I2489" s="17"/>
      <c r="J2489" s="10"/>
      <c r="M2489" s="39"/>
      <c r="O2489" s="39"/>
      <c r="Q2489" s="39"/>
      <c r="R2489" s="28"/>
      <c r="S2489" s="28"/>
      <c r="T2489" s="28"/>
      <c r="U2489" s="4"/>
      <c r="V2489" s="3"/>
      <c r="W2489" s="3"/>
    </row>
    <row r="2490" spans="1:23" s="5" customFormat="1">
      <c r="A2490" s="6"/>
      <c r="B2490" s="33"/>
      <c r="C2490" s="35"/>
      <c r="E2490" s="39"/>
      <c r="G2490" s="40"/>
      <c r="H2490" s="14"/>
      <c r="I2490" s="17"/>
      <c r="J2490" s="10"/>
      <c r="M2490" s="39"/>
      <c r="O2490" s="39"/>
      <c r="Q2490" s="39"/>
      <c r="R2490" s="28"/>
      <c r="S2490" s="28"/>
      <c r="T2490" s="28"/>
      <c r="U2490" s="4"/>
      <c r="V2490" s="3"/>
      <c r="W2490" s="3"/>
    </row>
    <row r="2491" spans="1:23" s="5" customFormat="1">
      <c r="A2491" s="6"/>
      <c r="B2491" s="33"/>
      <c r="C2491" s="35"/>
      <c r="E2491" s="39"/>
      <c r="G2491" s="40"/>
      <c r="H2491" s="15"/>
      <c r="I2491" s="17"/>
      <c r="J2491" s="10"/>
      <c r="M2491" s="39"/>
      <c r="O2491" s="39"/>
      <c r="Q2491" s="39"/>
      <c r="R2491" s="28"/>
      <c r="S2491" s="28"/>
      <c r="T2491" s="28"/>
      <c r="U2491" s="4"/>
      <c r="V2491" s="3"/>
      <c r="W2491" s="3"/>
    </row>
    <row r="2492" spans="1:23" s="5" customFormat="1">
      <c r="A2492" s="6"/>
      <c r="B2492" s="33"/>
      <c r="C2492" s="35"/>
      <c r="E2492" s="39"/>
      <c r="G2492" s="40"/>
      <c r="H2492" s="15"/>
      <c r="I2492" s="17"/>
      <c r="J2492" s="10"/>
      <c r="M2492" s="39"/>
      <c r="O2492" s="39"/>
      <c r="Q2492" s="39"/>
      <c r="R2492" s="28"/>
      <c r="S2492" s="28"/>
      <c r="T2492" s="28"/>
      <c r="U2492" s="4"/>
      <c r="V2492" s="3"/>
      <c r="W2492" s="3"/>
    </row>
    <row r="2493" spans="1:23" s="5" customFormat="1">
      <c r="A2493" s="6"/>
      <c r="B2493" s="33"/>
      <c r="C2493" s="35"/>
      <c r="E2493" s="39"/>
      <c r="G2493" s="40"/>
      <c r="H2493" s="14"/>
      <c r="I2493" s="17"/>
      <c r="J2493" s="10"/>
      <c r="M2493" s="39"/>
      <c r="O2493" s="39"/>
      <c r="Q2493" s="39"/>
      <c r="R2493" s="28"/>
      <c r="S2493" s="28"/>
      <c r="T2493" s="28"/>
      <c r="U2493" s="4"/>
      <c r="V2493" s="3"/>
      <c r="W2493" s="3"/>
    </row>
    <row r="2494" spans="1:23" s="5" customFormat="1">
      <c r="A2494" s="6"/>
      <c r="B2494" s="33"/>
      <c r="C2494" s="35"/>
      <c r="E2494" s="39"/>
      <c r="G2494" s="40"/>
      <c r="H2494" s="14"/>
      <c r="I2494" s="17"/>
      <c r="J2494" s="10"/>
      <c r="M2494" s="39"/>
      <c r="O2494" s="39"/>
      <c r="Q2494" s="39"/>
      <c r="R2494" s="28"/>
      <c r="S2494" s="28"/>
      <c r="T2494" s="28"/>
      <c r="U2494" s="4"/>
      <c r="V2494" s="3"/>
      <c r="W2494" s="3"/>
    </row>
    <row r="2495" spans="1:23" s="5" customFormat="1">
      <c r="A2495" s="6"/>
      <c r="B2495" s="33"/>
      <c r="C2495" s="35"/>
      <c r="E2495" s="39"/>
      <c r="G2495" s="40"/>
      <c r="H2495" s="15"/>
      <c r="I2495" s="17"/>
      <c r="J2495" s="10"/>
      <c r="M2495" s="39"/>
      <c r="O2495" s="39"/>
      <c r="Q2495" s="39"/>
      <c r="R2495" s="28"/>
      <c r="S2495" s="28"/>
      <c r="T2495" s="28"/>
      <c r="U2495" s="4"/>
      <c r="V2495" s="3"/>
      <c r="W2495" s="3"/>
    </row>
    <row r="2496" spans="1:23" s="5" customFormat="1">
      <c r="A2496" s="6"/>
      <c r="B2496" s="33"/>
      <c r="C2496" s="35"/>
      <c r="E2496" s="39"/>
      <c r="G2496" s="40"/>
      <c r="H2496" s="15"/>
      <c r="I2496" s="17"/>
      <c r="J2496" s="10"/>
      <c r="M2496" s="39"/>
      <c r="O2496" s="39"/>
      <c r="Q2496" s="39"/>
      <c r="R2496" s="28"/>
      <c r="S2496" s="28"/>
      <c r="T2496" s="28"/>
      <c r="U2496" s="4"/>
      <c r="V2496" s="3"/>
      <c r="W2496" s="3"/>
    </row>
    <row r="2497" spans="1:23" s="5" customFormat="1">
      <c r="A2497" s="6"/>
      <c r="B2497" s="33"/>
      <c r="C2497" s="35"/>
      <c r="E2497" s="39"/>
      <c r="G2497" s="40"/>
      <c r="H2497" s="15"/>
      <c r="I2497" s="17"/>
      <c r="J2497" s="10"/>
      <c r="M2497" s="39"/>
      <c r="O2497" s="39"/>
      <c r="Q2497" s="39"/>
      <c r="R2497" s="28"/>
      <c r="S2497" s="28"/>
      <c r="T2497" s="28"/>
      <c r="U2497" s="4"/>
      <c r="V2497" s="3"/>
      <c r="W2497" s="3"/>
    </row>
    <row r="2498" spans="1:23" s="5" customFormat="1">
      <c r="A2498" s="6"/>
      <c r="B2498" s="33"/>
      <c r="C2498" s="35"/>
      <c r="E2498" s="39"/>
      <c r="G2498" s="40"/>
      <c r="H2498" s="14"/>
      <c r="I2498" s="17"/>
      <c r="J2498" s="10"/>
      <c r="M2498" s="39"/>
      <c r="O2498" s="39"/>
      <c r="Q2498" s="39"/>
      <c r="R2498" s="28"/>
      <c r="S2498" s="28"/>
      <c r="T2498" s="28"/>
      <c r="U2498" s="4"/>
      <c r="V2498" s="3"/>
      <c r="W2498" s="3"/>
    </row>
    <row r="2499" spans="1:23" s="5" customFormat="1">
      <c r="A2499" s="20"/>
      <c r="B2499" s="33"/>
      <c r="C2499" s="35"/>
      <c r="D2499" s="1"/>
      <c r="E2499" s="39"/>
      <c r="F2499" s="1"/>
      <c r="G2499" s="40"/>
      <c r="H2499" s="12"/>
      <c r="I2499" s="9"/>
      <c r="J2499" s="11"/>
      <c r="L2499" s="1"/>
      <c r="M2499" s="39"/>
      <c r="N2499" s="1"/>
      <c r="O2499" s="39"/>
      <c r="P2499" s="1"/>
      <c r="Q2499" s="39"/>
      <c r="R2499" s="28"/>
      <c r="S2499" s="28"/>
      <c r="T2499" s="28"/>
      <c r="U2499" s="4"/>
      <c r="V2499" s="3"/>
      <c r="W2499" s="3"/>
    </row>
    <row r="2500" spans="1:23" s="5" customFormat="1">
      <c r="A2500" s="6"/>
      <c r="B2500" s="33"/>
      <c r="C2500" s="35"/>
      <c r="E2500" s="39"/>
      <c r="G2500" s="40"/>
      <c r="H2500" s="14"/>
      <c r="I2500" s="17"/>
      <c r="J2500" s="10"/>
      <c r="M2500" s="39"/>
      <c r="O2500" s="39"/>
      <c r="Q2500" s="39"/>
      <c r="R2500" s="28"/>
      <c r="S2500" s="28"/>
      <c r="T2500" s="28"/>
      <c r="U2500" s="4"/>
      <c r="V2500" s="3"/>
      <c r="W2500" s="3"/>
    </row>
    <row r="2501" spans="1:23" s="5" customFormat="1">
      <c r="A2501" s="20"/>
      <c r="B2501" s="33"/>
      <c r="C2501" s="35"/>
      <c r="E2501" s="39"/>
      <c r="F2501" s="1"/>
      <c r="G2501" s="40"/>
      <c r="H2501" s="12"/>
      <c r="I2501" s="9"/>
      <c r="J2501" s="12"/>
      <c r="M2501" s="39"/>
      <c r="O2501" s="39"/>
      <c r="Q2501" s="39"/>
      <c r="R2501" s="29"/>
      <c r="S2501" s="28"/>
      <c r="T2501" s="28"/>
      <c r="U2501" s="4"/>
      <c r="V2501" s="3"/>
      <c r="W2501" s="3"/>
    </row>
    <row r="2502" spans="1:23" s="5" customFormat="1">
      <c r="A2502" s="20"/>
      <c r="B2502" s="33"/>
      <c r="C2502" s="35"/>
      <c r="E2502" s="39"/>
      <c r="F2502" s="1"/>
      <c r="G2502" s="40"/>
      <c r="H2502" s="12"/>
      <c r="I2502" s="9"/>
      <c r="J2502" s="12"/>
      <c r="M2502" s="39"/>
      <c r="O2502" s="39"/>
      <c r="Q2502" s="39"/>
      <c r="R2502" s="29"/>
      <c r="S2502" s="28"/>
      <c r="T2502" s="28"/>
      <c r="U2502" s="4"/>
      <c r="V2502" s="3"/>
      <c r="W2502" s="3"/>
    </row>
    <row r="2503" spans="1:23" s="5" customFormat="1">
      <c r="A2503" s="20"/>
      <c r="B2503" s="33"/>
      <c r="C2503" s="35"/>
      <c r="E2503" s="39"/>
      <c r="F2503" s="1"/>
      <c r="G2503" s="40"/>
      <c r="H2503" s="12"/>
      <c r="I2503" s="9"/>
      <c r="J2503" s="12"/>
      <c r="M2503" s="39"/>
      <c r="O2503" s="39"/>
      <c r="Q2503" s="39"/>
      <c r="R2503" s="29"/>
      <c r="S2503" s="28"/>
      <c r="T2503" s="28"/>
      <c r="U2503" s="4"/>
      <c r="V2503" s="3"/>
      <c r="W2503" s="3"/>
    </row>
    <row r="2504" spans="1:23" s="5" customFormat="1">
      <c r="A2504" s="20"/>
      <c r="B2504" s="33"/>
      <c r="C2504" s="35"/>
      <c r="E2504" s="39"/>
      <c r="F2504" s="1"/>
      <c r="G2504" s="40"/>
      <c r="H2504" s="12"/>
      <c r="I2504" s="9"/>
      <c r="J2504" s="12"/>
      <c r="M2504" s="39"/>
      <c r="O2504" s="39"/>
      <c r="Q2504" s="39"/>
      <c r="R2504" s="29"/>
      <c r="S2504" s="28"/>
      <c r="T2504" s="28"/>
      <c r="U2504" s="4"/>
      <c r="V2504" s="3"/>
      <c r="W2504" s="3"/>
    </row>
    <row r="2505" spans="1:23" s="5" customFormat="1">
      <c r="A2505" s="20"/>
      <c r="B2505" s="36"/>
      <c r="C2505" s="35"/>
      <c r="E2505" s="39"/>
      <c r="F2505" s="1"/>
      <c r="G2505" s="40"/>
      <c r="H2505" s="12"/>
      <c r="I2505" s="9"/>
      <c r="J2505" s="12"/>
      <c r="M2505" s="39"/>
      <c r="O2505" s="39"/>
      <c r="Q2505" s="39"/>
      <c r="R2505" s="28"/>
      <c r="S2505" s="28"/>
      <c r="T2505" s="28"/>
      <c r="U2505" s="4"/>
      <c r="V2505" s="3"/>
      <c r="W2505" s="3"/>
    </row>
    <row r="2506" spans="1:23" s="5" customFormat="1">
      <c r="A2506" s="20"/>
      <c r="B2506" s="33"/>
      <c r="C2506" s="35"/>
      <c r="E2506" s="39"/>
      <c r="F2506" s="1"/>
      <c r="G2506" s="40"/>
      <c r="H2506" s="12"/>
      <c r="I2506" s="9"/>
      <c r="J2506" s="12"/>
      <c r="M2506" s="39"/>
      <c r="O2506" s="39"/>
      <c r="Q2506" s="39"/>
      <c r="R2506" s="29"/>
      <c r="S2506" s="28"/>
      <c r="T2506" s="28"/>
      <c r="U2506" s="4"/>
      <c r="V2506" s="3"/>
      <c r="W2506" s="3"/>
    </row>
    <row r="2507" spans="1:23" s="5" customFormat="1">
      <c r="A2507" s="20"/>
      <c r="B2507" s="33"/>
      <c r="C2507" s="35"/>
      <c r="E2507" s="39"/>
      <c r="F2507" s="1"/>
      <c r="G2507" s="40"/>
      <c r="H2507" s="12"/>
      <c r="I2507" s="9"/>
      <c r="J2507" s="12"/>
      <c r="M2507" s="39"/>
      <c r="O2507" s="39"/>
      <c r="Q2507" s="39"/>
      <c r="R2507" s="29"/>
      <c r="S2507" s="28"/>
      <c r="T2507" s="28"/>
      <c r="U2507" s="4"/>
      <c r="V2507" s="3"/>
      <c r="W2507" s="3"/>
    </row>
    <row r="2508" spans="1:23" s="5" customFormat="1">
      <c r="A2508" s="20"/>
      <c r="B2508" s="33"/>
      <c r="C2508" s="35"/>
      <c r="E2508" s="39"/>
      <c r="F2508" s="1"/>
      <c r="G2508" s="40"/>
      <c r="H2508" s="12"/>
      <c r="I2508" s="9"/>
      <c r="J2508" s="12"/>
      <c r="M2508" s="39"/>
      <c r="O2508" s="39"/>
      <c r="Q2508" s="39"/>
      <c r="R2508" s="29"/>
      <c r="S2508" s="28"/>
      <c r="T2508" s="28"/>
      <c r="U2508" s="4"/>
      <c r="V2508" s="3"/>
      <c r="W2508" s="3"/>
    </row>
    <row r="2509" spans="1:23" s="5" customFormat="1">
      <c r="A2509" s="20"/>
      <c r="B2509" s="33"/>
      <c r="C2509" s="35"/>
      <c r="E2509" s="39"/>
      <c r="F2509" s="1"/>
      <c r="G2509" s="40"/>
      <c r="H2509" s="12"/>
      <c r="I2509" s="9"/>
      <c r="J2509" s="12"/>
      <c r="M2509" s="39"/>
      <c r="O2509" s="39"/>
      <c r="Q2509" s="39"/>
      <c r="R2509" s="29"/>
      <c r="S2509" s="28"/>
      <c r="T2509" s="28"/>
      <c r="U2509" s="4"/>
      <c r="V2509" s="3"/>
      <c r="W2509" s="3"/>
    </row>
    <row r="2510" spans="1:23" s="5" customFormat="1">
      <c r="A2510" s="20"/>
      <c r="B2510" s="36"/>
      <c r="C2510" s="35"/>
      <c r="E2510" s="39"/>
      <c r="F2510" s="1"/>
      <c r="G2510" s="40"/>
      <c r="H2510" s="12"/>
      <c r="I2510" s="9"/>
      <c r="J2510" s="12"/>
      <c r="M2510" s="39"/>
      <c r="O2510" s="39"/>
      <c r="Q2510" s="39"/>
      <c r="R2510" s="28"/>
      <c r="S2510" s="28"/>
      <c r="T2510" s="28"/>
      <c r="U2510" s="4"/>
      <c r="V2510" s="3"/>
      <c r="W2510" s="3"/>
    </row>
    <row r="2511" spans="1:23" s="5" customFormat="1">
      <c r="A2511" s="20"/>
      <c r="B2511" s="33"/>
      <c r="C2511" s="35"/>
      <c r="E2511" s="39"/>
      <c r="F2511" s="1"/>
      <c r="G2511" s="40"/>
      <c r="H2511" s="12"/>
      <c r="I2511" s="9"/>
      <c r="J2511" s="12"/>
      <c r="M2511" s="39"/>
      <c r="O2511" s="39"/>
      <c r="Q2511" s="39"/>
      <c r="R2511" s="29"/>
      <c r="S2511" s="28"/>
      <c r="T2511" s="28"/>
      <c r="U2511" s="4"/>
      <c r="V2511" s="3"/>
      <c r="W2511" s="3"/>
    </row>
    <row r="2512" spans="1:23" s="5" customFormat="1">
      <c r="A2512" s="20"/>
      <c r="B2512" s="33"/>
      <c r="C2512" s="35"/>
      <c r="E2512" s="39"/>
      <c r="F2512" s="1"/>
      <c r="G2512" s="40"/>
      <c r="H2512" s="12"/>
      <c r="I2512" s="9"/>
      <c r="J2512" s="12"/>
      <c r="M2512" s="39"/>
      <c r="O2512" s="39"/>
      <c r="Q2512" s="39"/>
      <c r="R2512" s="29"/>
      <c r="S2512" s="28"/>
      <c r="T2512" s="28"/>
      <c r="U2512" s="4"/>
      <c r="V2512" s="3"/>
      <c r="W2512" s="3"/>
    </row>
    <row r="2513" spans="1:23" s="5" customFormat="1">
      <c r="A2513" s="20"/>
      <c r="B2513" s="33"/>
      <c r="C2513" s="35"/>
      <c r="E2513" s="39"/>
      <c r="F2513" s="1"/>
      <c r="G2513" s="40"/>
      <c r="H2513" s="12"/>
      <c r="I2513" s="9"/>
      <c r="J2513" s="12"/>
      <c r="M2513" s="39"/>
      <c r="O2513" s="39"/>
      <c r="Q2513" s="39"/>
      <c r="R2513" s="29"/>
      <c r="S2513" s="28"/>
      <c r="T2513" s="28"/>
      <c r="U2513" s="4"/>
      <c r="V2513" s="3"/>
      <c r="W2513" s="3"/>
    </row>
    <row r="2514" spans="1:23" s="5" customFormat="1">
      <c r="A2514" s="20"/>
      <c r="B2514" s="33"/>
      <c r="C2514" s="35"/>
      <c r="E2514" s="39"/>
      <c r="F2514" s="1"/>
      <c r="G2514" s="40"/>
      <c r="H2514" s="12"/>
      <c r="I2514" s="9"/>
      <c r="J2514" s="12"/>
      <c r="M2514" s="39"/>
      <c r="O2514" s="39"/>
      <c r="Q2514" s="39"/>
      <c r="R2514" s="29"/>
      <c r="S2514" s="28"/>
      <c r="T2514" s="28"/>
      <c r="U2514" s="4"/>
      <c r="V2514" s="3"/>
      <c r="W2514" s="3"/>
    </row>
    <row r="2515" spans="1:23" s="5" customFormat="1">
      <c r="A2515" s="20"/>
      <c r="B2515" s="33"/>
      <c r="C2515" s="35"/>
      <c r="E2515" s="39"/>
      <c r="F2515" s="1"/>
      <c r="G2515" s="40"/>
      <c r="H2515" s="12"/>
      <c r="I2515" s="9"/>
      <c r="J2515" s="12"/>
      <c r="M2515" s="39"/>
      <c r="O2515" s="39"/>
      <c r="Q2515" s="39"/>
      <c r="R2515" s="29"/>
      <c r="S2515" s="28"/>
      <c r="T2515" s="28"/>
      <c r="U2515" s="4"/>
      <c r="V2515" s="3"/>
      <c r="W2515" s="3"/>
    </row>
    <row r="2516" spans="1:23" s="5" customFormat="1">
      <c r="A2516" s="20"/>
      <c r="B2516" s="33"/>
      <c r="C2516" s="35"/>
      <c r="D2516" s="1"/>
      <c r="E2516" s="39"/>
      <c r="F2516" s="1"/>
      <c r="G2516" s="40"/>
      <c r="H2516" s="12"/>
      <c r="I2516" s="9"/>
      <c r="J2516" s="12"/>
      <c r="L2516" s="1"/>
      <c r="M2516" s="39"/>
      <c r="N2516" s="1"/>
      <c r="O2516" s="39"/>
      <c r="P2516" s="1"/>
      <c r="Q2516" s="39"/>
      <c r="R2516" s="28"/>
      <c r="S2516" s="28"/>
      <c r="T2516" s="28"/>
      <c r="U2516" s="4"/>
      <c r="V2516" s="3"/>
      <c r="W2516" s="3"/>
    </row>
    <row r="2517" spans="1:23" s="5" customFormat="1">
      <c r="A2517" s="20"/>
      <c r="B2517" s="33"/>
      <c r="C2517" s="35"/>
      <c r="E2517" s="39"/>
      <c r="F2517" s="1"/>
      <c r="G2517" s="40"/>
      <c r="H2517" s="12"/>
      <c r="I2517" s="9"/>
      <c r="J2517" s="12"/>
      <c r="M2517" s="39"/>
      <c r="O2517" s="39"/>
      <c r="Q2517" s="39"/>
      <c r="R2517" s="29"/>
      <c r="S2517" s="28"/>
      <c r="T2517" s="28"/>
      <c r="U2517" s="4"/>
      <c r="V2517" s="3"/>
      <c r="W2517" s="3"/>
    </row>
    <row r="2518" spans="1:23" s="5" customFormat="1">
      <c r="A2518" s="20"/>
      <c r="B2518" s="33"/>
      <c r="C2518" s="35"/>
      <c r="E2518" s="39"/>
      <c r="F2518" s="1"/>
      <c r="G2518" s="40"/>
      <c r="H2518" s="12"/>
      <c r="I2518" s="9"/>
      <c r="J2518" s="12"/>
      <c r="M2518" s="39"/>
      <c r="O2518" s="39"/>
      <c r="Q2518" s="39"/>
      <c r="R2518" s="29"/>
      <c r="S2518" s="28"/>
      <c r="T2518" s="28"/>
      <c r="U2518" s="4"/>
      <c r="V2518" s="3"/>
      <c r="W2518" s="3"/>
    </row>
    <row r="2519" spans="1:23" s="5" customFormat="1">
      <c r="A2519" s="20"/>
      <c r="B2519" s="33"/>
      <c r="C2519" s="35"/>
      <c r="E2519" s="39"/>
      <c r="F2519" s="1"/>
      <c r="G2519" s="40"/>
      <c r="H2519" s="12"/>
      <c r="I2519" s="9"/>
      <c r="J2519" s="12"/>
      <c r="M2519" s="39"/>
      <c r="O2519" s="39"/>
      <c r="Q2519" s="39"/>
      <c r="R2519" s="29"/>
      <c r="S2519" s="28"/>
      <c r="T2519" s="28"/>
      <c r="U2519" s="4"/>
      <c r="V2519" s="3"/>
      <c r="W2519" s="3"/>
    </row>
    <row r="2520" spans="1:23" s="5" customFormat="1">
      <c r="A2520" s="20"/>
      <c r="B2520" s="33"/>
      <c r="C2520" s="35"/>
      <c r="D2520" s="1"/>
      <c r="E2520" s="39"/>
      <c r="F2520" s="1"/>
      <c r="G2520" s="40"/>
      <c r="H2520" s="12"/>
      <c r="I2520" s="9"/>
      <c r="J2520" s="11"/>
      <c r="L2520" s="1"/>
      <c r="M2520" s="39"/>
      <c r="N2520" s="1"/>
      <c r="O2520" s="39"/>
      <c r="P2520" s="1"/>
      <c r="Q2520" s="39"/>
      <c r="R2520" s="28"/>
      <c r="S2520" s="28"/>
      <c r="T2520" s="28"/>
      <c r="U2520" s="4"/>
      <c r="V2520" s="3"/>
      <c r="W2520" s="3"/>
    </row>
    <row r="2521" spans="1:23" s="5" customFormat="1">
      <c r="A2521" s="20"/>
      <c r="B2521" s="33"/>
      <c r="C2521" s="35"/>
      <c r="E2521" s="39"/>
      <c r="F2521" s="1"/>
      <c r="G2521" s="40"/>
      <c r="H2521" s="12"/>
      <c r="I2521" s="9"/>
      <c r="J2521" s="12"/>
      <c r="M2521" s="39"/>
      <c r="O2521" s="39"/>
      <c r="Q2521" s="39"/>
      <c r="R2521" s="29"/>
      <c r="S2521" s="28"/>
      <c r="T2521" s="28"/>
      <c r="U2521" s="4"/>
      <c r="V2521" s="3"/>
      <c r="W2521" s="3"/>
    </row>
    <row r="2522" spans="1:23" s="5" customFormat="1">
      <c r="A2522" s="20"/>
      <c r="B2522" s="33"/>
      <c r="C2522" s="35"/>
      <c r="D2522" s="1"/>
      <c r="E2522" s="39"/>
      <c r="F2522" s="1"/>
      <c r="G2522" s="40"/>
      <c r="H2522" s="12"/>
      <c r="I2522" s="9"/>
      <c r="J2522" s="12"/>
      <c r="L2522" s="1"/>
      <c r="M2522" s="39"/>
      <c r="N2522" s="1"/>
      <c r="O2522" s="39"/>
      <c r="P2522" s="1"/>
      <c r="Q2522" s="39"/>
      <c r="R2522" s="28"/>
      <c r="S2522" s="29"/>
      <c r="T2522" s="28"/>
      <c r="U2522" s="4"/>
      <c r="V2522" s="3"/>
      <c r="W2522" s="3"/>
    </row>
    <row r="2523" spans="1:23" s="5" customFormat="1">
      <c r="A2523" s="20"/>
      <c r="B2523" s="33"/>
      <c r="C2523" s="35"/>
      <c r="E2523" s="39"/>
      <c r="F2523" s="1"/>
      <c r="G2523" s="40"/>
      <c r="H2523" s="12"/>
      <c r="I2523" s="9"/>
      <c r="J2523" s="12"/>
      <c r="M2523" s="39"/>
      <c r="O2523" s="39"/>
      <c r="Q2523" s="39"/>
      <c r="R2523" s="29"/>
      <c r="S2523" s="28"/>
      <c r="T2523" s="28"/>
      <c r="U2523" s="4"/>
      <c r="V2523" s="3"/>
      <c r="W2523" s="3"/>
    </row>
    <row r="2524" spans="1:23" s="5" customFormat="1">
      <c r="A2524" s="20"/>
      <c r="B2524" s="33"/>
      <c r="C2524" s="35"/>
      <c r="E2524" s="39"/>
      <c r="F2524" s="1"/>
      <c r="G2524" s="40"/>
      <c r="H2524" s="12"/>
      <c r="I2524" s="9"/>
      <c r="J2524" s="12"/>
      <c r="M2524" s="39"/>
      <c r="O2524" s="39"/>
      <c r="Q2524" s="39"/>
      <c r="R2524" s="29"/>
      <c r="S2524" s="28"/>
      <c r="T2524" s="28"/>
      <c r="U2524" s="4"/>
      <c r="V2524" s="3"/>
      <c r="W2524" s="3"/>
    </row>
    <row r="2525" spans="1:23" s="5" customFormat="1">
      <c r="A2525" s="20"/>
      <c r="B2525" s="33"/>
      <c r="C2525" s="35"/>
      <c r="E2525" s="39"/>
      <c r="F2525" s="1"/>
      <c r="G2525" s="40"/>
      <c r="H2525" s="12"/>
      <c r="I2525" s="9"/>
      <c r="J2525" s="12"/>
      <c r="M2525" s="39"/>
      <c r="O2525" s="39"/>
      <c r="Q2525" s="39"/>
      <c r="R2525" s="29"/>
      <c r="S2525" s="28"/>
      <c r="T2525" s="28"/>
      <c r="U2525" s="4"/>
      <c r="V2525" s="3"/>
      <c r="W2525" s="3"/>
    </row>
    <row r="2526" spans="1:23" s="5" customFormat="1">
      <c r="A2526" s="20"/>
      <c r="B2526" s="33"/>
      <c r="C2526" s="35"/>
      <c r="E2526" s="39"/>
      <c r="F2526" s="1"/>
      <c r="G2526" s="40"/>
      <c r="H2526" s="12"/>
      <c r="I2526" s="9"/>
      <c r="J2526" s="12"/>
      <c r="M2526" s="39"/>
      <c r="O2526" s="39"/>
      <c r="Q2526" s="39"/>
      <c r="R2526" s="29"/>
      <c r="S2526" s="28"/>
      <c r="T2526" s="28"/>
      <c r="U2526" s="4"/>
      <c r="V2526" s="3"/>
      <c r="W2526" s="3"/>
    </row>
    <row r="2527" spans="1:23" s="5" customFormat="1">
      <c r="A2527" s="20"/>
      <c r="B2527" s="33"/>
      <c r="C2527" s="35"/>
      <c r="E2527" s="39"/>
      <c r="F2527" s="1"/>
      <c r="G2527" s="40"/>
      <c r="H2527" s="12"/>
      <c r="I2527" s="9"/>
      <c r="J2527" s="12"/>
      <c r="M2527" s="39"/>
      <c r="O2527" s="39"/>
      <c r="Q2527" s="39"/>
      <c r="R2527" s="29"/>
      <c r="S2527" s="28"/>
      <c r="T2527" s="28"/>
      <c r="U2527" s="4"/>
      <c r="V2527" s="3"/>
      <c r="W2527" s="3"/>
    </row>
    <row r="2528" spans="1:23" s="5" customFormat="1">
      <c r="A2528" s="20"/>
      <c r="B2528" s="33"/>
      <c r="C2528" s="35"/>
      <c r="E2528" s="39"/>
      <c r="F2528" s="1"/>
      <c r="G2528" s="40"/>
      <c r="H2528" s="12"/>
      <c r="I2528" s="9"/>
      <c r="J2528" s="12"/>
      <c r="M2528" s="39"/>
      <c r="O2528" s="39"/>
      <c r="Q2528" s="39"/>
      <c r="R2528" s="29"/>
      <c r="S2528" s="28"/>
      <c r="T2528" s="28"/>
      <c r="U2528" s="4"/>
      <c r="V2528" s="3"/>
      <c r="W2528" s="3"/>
    </row>
    <row r="2529" spans="1:23" s="5" customFormat="1">
      <c r="A2529" s="20"/>
      <c r="B2529" s="33"/>
      <c r="C2529" s="35"/>
      <c r="E2529" s="39"/>
      <c r="F2529" s="1"/>
      <c r="G2529" s="40"/>
      <c r="H2529" s="12"/>
      <c r="I2529" s="9"/>
      <c r="J2529" s="12"/>
      <c r="M2529" s="39"/>
      <c r="O2529" s="39"/>
      <c r="Q2529" s="39"/>
      <c r="R2529" s="29"/>
      <c r="S2529" s="28"/>
      <c r="T2529" s="28"/>
      <c r="U2529" s="4"/>
      <c r="V2529" s="3"/>
      <c r="W2529" s="3"/>
    </row>
    <row r="2530" spans="1:23" s="5" customFormat="1">
      <c r="A2530" s="20"/>
      <c r="B2530" s="33"/>
      <c r="C2530" s="35"/>
      <c r="E2530" s="39"/>
      <c r="F2530" s="1"/>
      <c r="G2530" s="40"/>
      <c r="H2530" s="12"/>
      <c r="I2530" s="9"/>
      <c r="J2530" s="12"/>
      <c r="M2530" s="39"/>
      <c r="O2530" s="39"/>
      <c r="Q2530" s="39"/>
      <c r="R2530" s="29"/>
      <c r="S2530" s="28"/>
      <c r="T2530" s="28"/>
      <c r="U2530" s="4"/>
      <c r="V2530" s="3"/>
      <c r="W2530" s="3"/>
    </row>
    <row r="2531" spans="1:23" s="5" customFormat="1">
      <c r="A2531" s="20"/>
      <c r="B2531" s="33"/>
      <c r="C2531" s="35"/>
      <c r="E2531" s="39"/>
      <c r="F2531" s="1"/>
      <c r="G2531" s="40"/>
      <c r="H2531" s="12"/>
      <c r="I2531" s="9"/>
      <c r="J2531" s="12"/>
      <c r="M2531" s="39"/>
      <c r="O2531" s="39"/>
      <c r="Q2531" s="39"/>
      <c r="R2531" s="29"/>
      <c r="S2531" s="28"/>
      <c r="T2531" s="28"/>
      <c r="U2531" s="4"/>
      <c r="V2531" s="3"/>
      <c r="W2531" s="3"/>
    </row>
    <row r="2532" spans="1:23" s="5" customFormat="1">
      <c r="A2532" s="20"/>
      <c r="B2532" s="33"/>
      <c r="C2532" s="35"/>
      <c r="E2532" s="39"/>
      <c r="F2532" s="1"/>
      <c r="G2532" s="40"/>
      <c r="H2532" s="12"/>
      <c r="I2532" s="9"/>
      <c r="J2532" s="12"/>
      <c r="M2532" s="39"/>
      <c r="O2532" s="39"/>
      <c r="Q2532" s="39"/>
      <c r="R2532" s="29"/>
      <c r="S2532" s="28"/>
      <c r="T2532" s="28"/>
      <c r="U2532" s="4"/>
      <c r="V2532" s="3"/>
      <c r="W2532" s="3"/>
    </row>
    <row r="2533" spans="1:23" s="5" customFormat="1">
      <c r="A2533" s="20"/>
      <c r="B2533" s="33"/>
      <c r="C2533" s="35"/>
      <c r="E2533" s="39"/>
      <c r="F2533" s="1"/>
      <c r="G2533" s="40"/>
      <c r="H2533" s="12"/>
      <c r="I2533" s="9"/>
      <c r="J2533" s="12"/>
      <c r="M2533" s="39"/>
      <c r="O2533" s="39"/>
      <c r="Q2533" s="39"/>
      <c r="R2533" s="29"/>
      <c r="S2533" s="28"/>
      <c r="T2533" s="28"/>
      <c r="U2533" s="4"/>
      <c r="V2533" s="3"/>
      <c r="W2533" s="3"/>
    </row>
    <row r="2534" spans="1:23" s="5" customFormat="1">
      <c r="A2534" s="20"/>
      <c r="B2534" s="33"/>
      <c r="C2534" s="35"/>
      <c r="E2534" s="39"/>
      <c r="F2534" s="1"/>
      <c r="G2534" s="40"/>
      <c r="H2534" s="12"/>
      <c r="I2534" s="9"/>
      <c r="J2534" s="12"/>
      <c r="M2534" s="39"/>
      <c r="O2534" s="39"/>
      <c r="Q2534" s="39"/>
      <c r="R2534" s="29"/>
      <c r="S2534" s="28"/>
      <c r="T2534" s="28"/>
      <c r="U2534" s="4"/>
      <c r="V2534" s="3"/>
      <c r="W2534" s="3"/>
    </row>
    <row r="2535" spans="1:23" s="5" customFormat="1">
      <c r="A2535" s="20"/>
      <c r="B2535" s="33"/>
      <c r="C2535" s="35"/>
      <c r="E2535" s="39"/>
      <c r="F2535" s="1"/>
      <c r="G2535" s="40"/>
      <c r="H2535" s="12"/>
      <c r="I2535" s="9"/>
      <c r="J2535" s="12"/>
      <c r="M2535" s="39"/>
      <c r="O2535" s="39"/>
      <c r="Q2535" s="39"/>
      <c r="R2535" s="29"/>
      <c r="S2535" s="28"/>
      <c r="T2535" s="28"/>
      <c r="U2535" s="4"/>
      <c r="V2535" s="3"/>
      <c r="W2535" s="3"/>
    </row>
    <row r="2536" spans="1:23" s="5" customFormat="1">
      <c r="A2536" s="20"/>
      <c r="B2536" s="33"/>
      <c r="C2536" s="35"/>
      <c r="E2536" s="39"/>
      <c r="F2536" s="1"/>
      <c r="G2536" s="40"/>
      <c r="H2536" s="12"/>
      <c r="I2536" s="9"/>
      <c r="J2536" s="12"/>
      <c r="M2536" s="39"/>
      <c r="O2536" s="39"/>
      <c r="Q2536" s="39"/>
      <c r="R2536" s="29"/>
      <c r="S2536" s="28"/>
      <c r="T2536" s="28"/>
      <c r="U2536" s="4"/>
      <c r="V2536" s="3"/>
      <c r="W2536" s="3"/>
    </row>
    <row r="2537" spans="1:23" s="5" customFormat="1">
      <c r="A2537" s="20"/>
      <c r="B2537" s="33"/>
      <c r="C2537" s="35"/>
      <c r="E2537" s="39"/>
      <c r="F2537" s="1"/>
      <c r="G2537" s="40"/>
      <c r="H2537" s="12"/>
      <c r="I2537" s="9"/>
      <c r="J2537" s="12"/>
      <c r="M2537" s="39"/>
      <c r="O2537" s="39"/>
      <c r="Q2537" s="39"/>
      <c r="R2537" s="29"/>
      <c r="S2537" s="28"/>
      <c r="T2537" s="28"/>
      <c r="U2537" s="4"/>
      <c r="V2537" s="3"/>
      <c r="W2537" s="3"/>
    </row>
    <row r="2538" spans="1:23" s="5" customFormat="1">
      <c r="A2538" s="20"/>
      <c r="B2538" s="33"/>
      <c r="C2538" s="35"/>
      <c r="E2538" s="39"/>
      <c r="F2538" s="1"/>
      <c r="G2538" s="40"/>
      <c r="H2538" s="12"/>
      <c r="I2538" s="9"/>
      <c r="J2538" s="12"/>
      <c r="M2538" s="39"/>
      <c r="O2538" s="39"/>
      <c r="Q2538" s="39"/>
      <c r="R2538" s="29"/>
      <c r="S2538" s="28"/>
      <c r="T2538" s="28"/>
      <c r="U2538" s="4"/>
      <c r="V2538" s="3"/>
      <c r="W2538" s="3"/>
    </row>
    <row r="2539" spans="1:23" s="5" customFormat="1">
      <c r="A2539" s="20"/>
      <c r="B2539" s="36"/>
      <c r="C2539" s="35"/>
      <c r="E2539" s="39"/>
      <c r="F2539" s="1"/>
      <c r="G2539" s="40"/>
      <c r="H2539" s="12"/>
      <c r="I2539" s="9"/>
      <c r="J2539" s="12"/>
      <c r="M2539" s="39"/>
      <c r="O2539" s="39"/>
      <c r="Q2539" s="39"/>
      <c r="R2539" s="28"/>
      <c r="S2539" s="28"/>
      <c r="T2539" s="28"/>
      <c r="U2539" s="4"/>
      <c r="V2539" s="3"/>
      <c r="W2539" s="3"/>
    </row>
    <row r="2540" spans="1:23" s="5" customFormat="1">
      <c r="A2540" s="20"/>
      <c r="B2540" s="33"/>
      <c r="C2540" s="35"/>
      <c r="E2540" s="39"/>
      <c r="F2540" s="1"/>
      <c r="G2540" s="40"/>
      <c r="H2540" s="12"/>
      <c r="I2540" s="9"/>
      <c r="J2540" s="12"/>
      <c r="M2540" s="39"/>
      <c r="O2540" s="39"/>
      <c r="Q2540" s="39"/>
      <c r="R2540" s="29"/>
      <c r="S2540" s="28"/>
      <c r="T2540" s="28"/>
      <c r="U2540" s="4"/>
      <c r="V2540" s="3"/>
      <c r="W2540" s="3"/>
    </row>
    <row r="2541" spans="1:23" s="5" customFormat="1">
      <c r="A2541" s="20"/>
      <c r="B2541" s="33"/>
      <c r="C2541" s="35"/>
      <c r="E2541" s="39"/>
      <c r="F2541" s="1"/>
      <c r="G2541" s="40"/>
      <c r="H2541" s="12"/>
      <c r="I2541" s="9"/>
      <c r="J2541" s="12"/>
      <c r="M2541" s="39"/>
      <c r="O2541" s="39"/>
      <c r="Q2541" s="39"/>
      <c r="R2541" s="29"/>
      <c r="S2541" s="28"/>
      <c r="T2541" s="28"/>
      <c r="U2541" s="4"/>
      <c r="V2541" s="3"/>
      <c r="W2541" s="3"/>
    </row>
    <row r="2542" spans="1:23" s="5" customFormat="1">
      <c r="A2542" s="20"/>
      <c r="B2542" s="33"/>
      <c r="C2542" s="35"/>
      <c r="E2542" s="39"/>
      <c r="F2542" s="1"/>
      <c r="G2542" s="40"/>
      <c r="H2542" s="12"/>
      <c r="I2542" s="9"/>
      <c r="J2542" s="12"/>
      <c r="M2542" s="39"/>
      <c r="O2542" s="39"/>
      <c r="Q2542" s="39"/>
      <c r="R2542" s="29"/>
      <c r="S2542" s="28"/>
      <c r="T2542" s="28"/>
      <c r="U2542" s="4"/>
      <c r="V2542" s="3"/>
      <c r="W2542" s="3"/>
    </row>
    <row r="2543" spans="1:23" s="5" customFormat="1">
      <c r="A2543" s="20"/>
      <c r="B2543" s="33"/>
      <c r="C2543" s="35"/>
      <c r="D2543" s="1"/>
      <c r="E2543" s="39"/>
      <c r="F2543" s="1"/>
      <c r="G2543" s="40"/>
      <c r="H2543" s="12"/>
      <c r="I2543" s="9"/>
      <c r="J2543" s="12"/>
      <c r="L2543" s="1"/>
      <c r="M2543" s="39"/>
      <c r="N2543" s="1"/>
      <c r="O2543" s="39"/>
      <c r="P2543" s="1"/>
      <c r="Q2543" s="39"/>
      <c r="R2543" s="28"/>
      <c r="S2543" s="29"/>
      <c r="T2543" s="28"/>
      <c r="U2543" s="4"/>
      <c r="V2543" s="3"/>
      <c r="W2543" s="3"/>
    </row>
    <row r="2544" spans="1:23" s="5" customFormat="1">
      <c r="A2544" s="6"/>
      <c r="B2544" s="33"/>
      <c r="C2544" s="35"/>
      <c r="E2544" s="39"/>
      <c r="G2544" s="40"/>
      <c r="H2544" s="15"/>
      <c r="I2544" s="17"/>
      <c r="J2544" s="10"/>
      <c r="K2544" s="1"/>
      <c r="M2544" s="39"/>
      <c r="O2544" s="39"/>
      <c r="Q2544" s="39"/>
      <c r="R2544" s="29"/>
      <c r="S2544" s="29"/>
      <c r="T2544" s="28"/>
      <c r="U2544" s="4"/>
      <c r="V2544" s="3"/>
      <c r="W2544" s="3"/>
    </row>
    <row r="2545" spans="1:23" s="5" customFormat="1">
      <c r="A2545" s="20"/>
      <c r="B2545" s="33"/>
      <c r="C2545" s="35"/>
      <c r="E2545" s="39"/>
      <c r="F2545" s="1"/>
      <c r="G2545" s="40"/>
      <c r="H2545" s="12"/>
      <c r="I2545" s="9"/>
      <c r="J2545" s="12"/>
      <c r="M2545" s="39"/>
      <c r="O2545" s="39"/>
      <c r="Q2545" s="39"/>
      <c r="R2545" s="29"/>
      <c r="S2545" s="28"/>
      <c r="T2545" s="28"/>
      <c r="U2545" s="4"/>
      <c r="V2545" s="3"/>
      <c r="W2545" s="3"/>
    </row>
    <row r="2546" spans="1:23" s="5" customFormat="1">
      <c r="A2546" s="6"/>
      <c r="B2546" s="33"/>
      <c r="C2546" s="35"/>
      <c r="E2546" s="39"/>
      <c r="G2546" s="40"/>
      <c r="H2546" s="14"/>
      <c r="I2546" s="17"/>
      <c r="J2546" s="10"/>
      <c r="M2546" s="39"/>
      <c r="O2546" s="39"/>
      <c r="Q2546" s="39"/>
      <c r="R2546" s="28"/>
      <c r="S2546" s="28"/>
      <c r="T2546" s="28"/>
      <c r="U2546" s="4"/>
      <c r="V2546" s="3"/>
      <c r="W2546" s="3"/>
    </row>
    <row r="2547" spans="1:23" s="5" customFormat="1">
      <c r="A2547" s="6"/>
      <c r="B2547" s="33"/>
      <c r="C2547" s="35"/>
      <c r="E2547" s="39"/>
      <c r="G2547" s="40"/>
      <c r="H2547" s="14"/>
      <c r="I2547" s="17"/>
      <c r="J2547" s="10"/>
      <c r="M2547" s="39"/>
      <c r="O2547" s="39"/>
      <c r="Q2547" s="39"/>
      <c r="R2547" s="28"/>
      <c r="S2547" s="28"/>
      <c r="T2547" s="28"/>
      <c r="U2547" s="4"/>
      <c r="V2547" s="3"/>
      <c r="W2547" s="3"/>
    </row>
    <row r="2548" spans="1:23" s="5" customFormat="1">
      <c r="A2548" s="6"/>
      <c r="B2548" s="33"/>
      <c r="C2548" s="35"/>
      <c r="E2548" s="39"/>
      <c r="G2548" s="40"/>
      <c r="H2548" s="15"/>
      <c r="I2548" s="17"/>
      <c r="J2548" s="10"/>
      <c r="M2548" s="39"/>
      <c r="O2548" s="39"/>
      <c r="Q2548" s="39"/>
      <c r="R2548" s="28"/>
      <c r="S2548" s="28"/>
      <c r="T2548" s="28"/>
      <c r="U2548" s="4"/>
      <c r="V2548" s="3"/>
      <c r="W2548" s="3"/>
    </row>
    <row r="2549" spans="1:23" s="5" customFormat="1">
      <c r="A2549" s="6"/>
      <c r="B2549" s="33"/>
      <c r="C2549" s="35"/>
      <c r="E2549" s="39"/>
      <c r="G2549" s="40"/>
      <c r="H2549" s="15"/>
      <c r="I2549" s="17"/>
      <c r="J2549" s="10"/>
      <c r="M2549" s="39"/>
      <c r="O2549" s="39"/>
      <c r="Q2549" s="39"/>
      <c r="R2549" s="28"/>
      <c r="S2549" s="28"/>
      <c r="T2549" s="28"/>
      <c r="U2549" s="4"/>
      <c r="V2549" s="3"/>
      <c r="W2549" s="3"/>
    </row>
    <row r="2550" spans="1:23" s="5" customFormat="1">
      <c r="A2550" s="6"/>
      <c r="B2550" s="33"/>
      <c r="C2550" s="35"/>
      <c r="E2550" s="39"/>
      <c r="G2550" s="40"/>
      <c r="H2550" s="14"/>
      <c r="I2550" s="17"/>
      <c r="J2550" s="10"/>
      <c r="M2550" s="39"/>
      <c r="O2550" s="39"/>
      <c r="Q2550" s="39"/>
      <c r="R2550" s="28"/>
      <c r="S2550" s="28"/>
      <c r="T2550" s="28"/>
      <c r="U2550" s="4"/>
      <c r="V2550" s="3"/>
      <c r="W2550" s="3"/>
    </row>
    <row r="2551" spans="1:23" s="5" customFormat="1">
      <c r="A2551" s="6"/>
      <c r="B2551" s="33"/>
      <c r="C2551" s="35"/>
      <c r="E2551" s="39"/>
      <c r="G2551" s="40"/>
      <c r="H2551" s="15"/>
      <c r="I2551" s="17"/>
      <c r="J2551" s="10"/>
      <c r="M2551" s="39"/>
      <c r="O2551" s="39"/>
      <c r="Q2551" s="39"/>
      <c r="R2551" s="28"/>
      <c r="S2551" s="28"/>
      <c r="T2551" s="28"/>
      <c r="U2551" s="4"/>
      <c r="V2551" s="3"/>
      <c r="W2551" s="3"/>
    </row>
    <row r="2552" spans="1:23" s="5" customFormat="1">
      <c r="A2552" s="6"/>
      <c r="B2552" s="33"/>
      <c r="C2552" s="35"/>
      <c r="E2552" s="39"/>
      <c r="G2552" s="40"/>
      <c r="H2552" s="15"/>
      <c r="I2552" s="17"/>
      <c r="J2552" s="10"/>
      <c r="M2552" s="39"/>
      <c r="O2552" s="39"/>
      <c r="Q2552" s="39"/>
      <c r="R2552" s="28"/>
      <c r="S2552" s="28"/>
      <c r="T2552" s="28"/>
      <c r="U2552" s="4"/>
      <c r="V2552" s="3"/>
      <c r="W2552" s="3"/>
    </row>
    <row r="2553" spans="1:23" s="5" customFormat="1">
      <c r="A2553" s="6"/>
      <c r="B2553" s="33"/>
      <c r="C2553" s="35"/>
      <c r="E2553" s="39"/>
      <c r="G2553" s="40"/>
      <c r="H2553" s="15"/>
      <c r="I2553" s="17"/>
      <c r="J2553" s="10"/>
      <c r="M2553" s="39"/>
      <c r="O2553" s="39"/>
      <c r="Q2553" s="39"/>
      <c r="R2553" s="28"/>
      <c r="S2553" s="28"/>
      <c r="T2553" s="28"/>
      <c r="U2553" s="4"/>
      <c r="V2553" s="3"/>
      <c r="W2553" s="3"/>
    </row>
    <row r="2554" spans="1:23" s="5" customFormat="1">
      <c r="A2554" s="6"/>
      <c r="B2554" s="33"/>
      <c r="C2554" s="35"/>
      <c r="E2554" s="39"/>
      <c r="G2554" s="40"/>
      <c r="H2554" s="14"/>
      <c r="I2554" s="17"/>
      <c r="J2554" s="10"/>
      <c r="M2554" s="39"/>
      <c r="O2554" s="39"/>
      <c r="Q2554" s="39"/>
      <c r="R2554" s="28"/>
      <c r="S2554" s="28"/>
      <c r="T2554" s="28"/>
      <c r="U2554" s="4"/>
      <c r="V2554" s="3"/>
      <c r="W2554" s="3"/>
    </row>
    <row r="2555" spans="1:23" s="5" customFormat="1">
      <c r="A2555" s="6"/>
      <c r="B2555" s="33"/>
      <c r="C2555" s="35"/>
      <c r="E2555" s="39"/>
      <c r="G2555" s="40"/>
      <c r="H2555" s="15"/>
      <c r="I2555" s="17"/>
      <c r="J2555" s="10"/>
      <c r="M2555" s="39"/>
      <c r="O2555" s="39"/>
      <c r="Q2555" s="39"/>
      <c r="R2555" s="28"/>
      <c r="S2555" s="28"/>
      <c r="T2555" s="28"/>
      <c r="U2555" s="4"/>
      <c r="V2555" s="3"/>
      <c r="W2555" s="3"/>
    </row>
    <row r="2556" spans="1:23" s="5" customFormat="1">
      <c r="A2556" s="6"/>
      <c r="B2556" s="33"/>
      <c r="C2556" s="35"/>
      <c r="E2556" s="39"/>
      <c r="G2556" s="40"/>
      <c r="H2556" s="15"/>
      <c r="I2556" s="17"/>
      <c r="J2556" s="10"/>
      <c r="M2556" s="39"/>
      <c r="O2556" s="39"/>
      <c r="Q2556" s="39"/>
      <c r="R2556" s="28"/>
      <c r="S2556" s="28"/>
      <c r="T2556" s="28"/>
      <c r="U2556" s="4"/>
      <c r="V2556" s="3"/>
      <c r="W2556" s="3"/>
    </row>
    <row r="2557" spans="1:23" s="5" customFormat="1">
      <c r="A2557" s="6"/>
      <c r="B2557" s="33"/>
      <c r="C2557" s="35"/>
      <c r="E2557" s="39"/>
      <c r="G2557" s="40"/>
      <c r="H2557" s="14"/>
      <c r="I2557" s="17"/>
      <c r="J2557" s="10"/>
      <c r="M2557" s="39"/>
      <c r="O2557" s="39"/>
      <c r="Q2557" s="39"/>
      <c r="R2557" s="28"/>
      <c r="S2557" s="28"/>
      <c r="T2557" s="28"/>
      <c r="U2557" s="4"/>
      <c r="V2557" s="3"/>
      <c r="W2557" s="3"/>
    </row>
    <row r="2558" spans="1:23" s="5" customFormat="1">
      <c r="A2558" s="6"/>
      <c r="B2558" s="33"/>
      <c r="C2558" s="35"/>
      <c r="E2558" s="39"/>
      <c r="G2558" s="40"/>
      <c r="H2558" s="14"/>
      <c r="I2558" s="17"/>
      <c r="J2558" s="10"/>
      <c r="M2558" s="39"/>
      <c r="O2558" s="39"/>
      <c r="Q2558" s="39"/>
      <c r="R2558" s="28"/>
      <c r="S2558" s="28"/>
      <c r="T2558" s="28"/>
      <c r="U2558" s="4"/>
      <c r="V2558" s="3"/>
      <c r="W2558" s="3"/>
    </row>
    <row r="2559" spans="1:23" s="5" customFormat="1">
      <c r="A2559" s="6"/>
      <c r="B2559" s="33"/>
      <c r="C2559" s="35"/>
      <c r="E2559" s="39"/>
      <c r="G2559" s="40"/>
      <c r="H2559" s="14"/>
      <c r="I2559" s="17"/>
      <c r="J2559" s="10"/>
      <c r="M2559" s="39"/>
      <c r="O2559" s="39"/>
      <c r="Q2559" s="39"/>
      <c r="R2559" s="28"/>
      <c r="S2559" s="28"/>
      <c r="T2559" s="28"/>
      <c r="U2559" s="4"/>
      <c r="V2559" s="3"/>
      <c r="W2559" s="3"/>
    </row>
    <row r="2560" spans="1:23" s="5" customFormat="1">
      <c r="A2560" s="6"/>
      <c r="B2560" s="33"/>
      <c r="C2560" s="35"/>
      <c r="E2560" s="39"/>
      <c r="G2560" s="40"/>
      <c r="H2560" s="15"/>
      <c r="I2560" s="17"/>
      <c r="J2560" s="10"/>
      <c r="M2560" s="39"/>
      <c r="O2560" s="39"/>
      <c r="Q2560" s="39"/>
      <c r="R2560" s="28"/>
      <c r="S2560" s="28"/>
      <c r="T2560" s="28"/>
      <c r="U2560" s="4"/>
      <c r="V2560" s="3"/>
      <c r="W2560" s="3"/>
    </row>
    <row r="2561" spans="1:23" s="5" customFormat="1">
      <c r="A2561" s="6"/>
      <c r="B2561" s="33"/>
      <c r="C2561" s="35"/>
      <c r="E2561" s="39"/>
      <c r="G2561" s="40"/>
      <c r="H2561" s="15"/>
      <c r="I2561" s="17"/>
      <c r="J2561" s="10"/>
      <c r="M2561" s="39"/>
      <c r="O2561" s="39"/>
      <c r="Q2561" s="39"/>
      <c r="R2561" s="28"/>
      <c r="S2561" s="28"/>
      <c r="T2561" s="28"/>
      <c r="U2561" s="4"/>
      <c r="V2561" s="3"/>
      <c r="W2561" s="3"/>
    </row>
    <row r="2562" spans="1:23" s="5" customFormat="1">
      <c r="A2562" s="6"/>
      <c r="B2562" s="33"/>
      <c r="C2562" s="35"/>
      <c r="E2562" s="39"/>
      <c r="G2562" s="40"/>
      <c r="H2562" s="15"/>
      <c r="I2562" s="17"/>
      <c r="J2562" s="10"/>
      <c r="M2562" s="39"/>
      <c r="O2562" s="39"/>
      <c r="Q2562" s="39"/>
      <c r="R2562" s="28"/>
      <c r="S2562" s="28"/>
      <c r="T2562" s="28"/>
      <c r="U2562" s="4"/>
      <c r="V2562" s="3"/>
      <c r="W2562" s="3"/>
    </row>
    <row r="2563" spans="1:23" s="5" customFormat="1">
      <c r="A2563" s="6"/>
      <c r="B2563" s="33"/>
      <c r="C2563" s="35"/>
      <c r="E2563" s="39"/>
      <c r="G2563" s="40"/>
      <c r="H2563" s="15"/>
      <c r="I2563" s="17"/>
      <c r="J2563" s="10"/>
      <c r="M2563" s="39"/>
      <c r="O2563" s="39"/>
      <c r="Q2563" s="39"/>
      <c r="R2563" s="28"/>
      <c r="S2563" s="28"/>
      <c r="T2563" s="28"/>
      <c r="U2563" s="4"/>
      <c r="V2563" s="3"/>
      <c r="W2563" s="3"/>
    </row>
    <row r="2564" spans="1:23" s="5" customFormat="1">
      <c r="A2564" s="6"/>
      <c r="B2564" s="33"/>
      <c r="C2564" s="35"/>
      <c r="E2564" s="39"/>
      <c r="G2564" s="40"/>
      <c r="H2564" s="15"/>
      <c r="I2564" s="17"/>
      <c r="J2564" s="10"/>
      <c r="M2564" s="39"/>
      <c r="O2564" s="39"/>
      <c r="Q2564" s="39"/>
      <c r="R2564" s="28"/>
      <c r="S2564" s="28"/>
      <c r="T2564" s="28"/>
      <c r="U2564" s="4"/>
      <c r="V2564" s="3"/>
      <c r="W2564" s="3"/>
    </row>
    <row r="2565" spans="1:23" s="5" customFormat="1">
      <c r="A2565" s="6"/>
      <c r="B2565" s="33"/>
      <c r="C2565" s="35"/>
      <c r="E2565" s="39"/>
      <c r="G2565" s="40"/>
      <c r="H2565" s="15"/>
      <c r="I2565" s="17"/>
      <c r="J2565" s="10"/>
      <c r="M2565" s="39"/>
      <c r="O2565" s="39"/>
      <c r="Q2565" s="39"/>
      <c r="R2565" s="28"/>
      <c r="S2565" s="28"/>
      <c r="T2565" s="28"/>
      <c r="U2565" s="4"/>
      <c r="V2565" s="3"/>
      <c r="W2565" s="3"/>
    </row>
    <row r="2566" spans="1:23" s="5" customFormat="1">
      <c r="A2566" s="6"/>
      <c r="B2566" s="33"/>
      <c r="C2566" s="35"/>
      <c r="E2566" s="39"/>
      <c r="G2566" s="40"/>
      <c r="H2566" s="15"/>
      <c r="I2566" s="17"/>
      <c r="J2566" s="10"/>
      <c r="M2566" s="39"/>
      <c r="O2566" s="39"/>
      <c r="Q2566" s="39"/>
      <c r="R2566" s="28"/>
      <c r="S2566" s="28"/>
      <c r="T2566" s="28"/>
      <c r="U2566" s="4"/>
      <c r="V2566" s="3"/>
      <c r="W2566" s="3"/>
    </row>
    <row r="2567" spans="1:23" s="5" customFormat="1">
      <c r="A2567" s="6"/>
      <c r="B2567" s="33"/>
      <c r="C2567" s="35"/>
      <c r="E2567" s="39"/>
      <c r="G2567" s="40"/>
      <c r="H2567" s="14"/>
      <c r="I2567" s="17"/>
      <c r="J2567" s="10"/>
      <c r="M2567" s="39"/>
      <c r="O2567" s="39"/>
      <c r="Q2567" s="39"/>
      <c r="R2567" s="28"/>
      <c r="S2567" s="28"/>
      <c r="T2567" s="28"/>
      <c r="U2567" s="4"/>
      <c r="V2567" s="3"/>
      <c r="W2567" s="3"/>
    </row>
    <row r="2568" spans="1:23" s="5" customFormat="1">
      <c r="A2568" s="6"/>
      <c r="B2568" s="33"/>
      <c r="C2568" s="35"/>
      <c r="E2568" s="39"/>
      <c r="G2568" s="40"/>
      <c r="H2568" s="15"/>
      <c r="I2568" s="17"/>
      <c r="J2568" s="10"/>
      <c r="M2568" s="39"/>
      <c r="O2568" s="39"/>
      <c r="Q2568" s="39"/>
      <c r="R2568" s="28"/>
      <c r="S2568" s="28"/>
      <c r="T2568" s="28"/>
      <c r="U2568" s="4"/>
      <c r="V2568" s="3"/>
      <c r="W2568" s="3"/>
    </row>
    <row r="2569" spans="1:23" s="5" customFormat="1">
      <c r="A2569" s="6"/>
      <c r="B2569" s="33"/>
      <c r="C2569" s="35"/>
      <c r="E2569" s="39"/>
      <c r="G2569" s="40"/>
      <c r="H2569" s="15"/>
      <c r="I2569" s="17"/>
      <c r="J2569" s="10"/>
      <c r="M2569" s="39"/>
      <c r="O2569" s="39"/>
      <c r="Q2569" s="39"/>
      <c r="R2569" s="28"/>
      <c r="S2569" s="28"/>
      <c r="T2569" s="28"/>
      <c r="U2569" s="4"/>
      <c r="V2569" s="3"/>
      <c r="W2569" s="3"/>
    </row>
    <row r="2570" spans="1:23" s="5" customFormat="1">
      <c r="A2570" s="6"/>
      <c r="B2570" s="33"/>
      <c r="C2570" s="35"/>
      <c r="E2570" s="39"/>
      <c r="G2570" s="40"/>
      <c r="H2570" s="15"/>
      <c r="I2570" s="17"/>
      <c r="J2570" s="10"/>
      <c r="M2570" s="39"/>
      <c r="O2570" s="39"/>
      <c r="Q2570" s="39"/>
      <c r="R2570" s="28"/>
      <c r="S2570" s="28"/>
      <c r="T2570" s="28"/>
      <c r="U2570" s="4"/>
      <c r="V2570" s="3"/>
      <c r="W2570" s="3"/>
    </row>
    <row r="2571" spans="1:23" s="5" customFormat="1">
      <c r="A2571" s="6"/>
      <c r="B2571" s="33"/>
      <c r="C2571" s="35"/>
      <c r="E2571" s="39"/>
      <c r="G2571" s="40"/>
      <c r="H2571" s="15"/>
      <c r="I2571" s="17"/>
      <c r="J2571" s="10"/>
      <c r="M2571" s="39"/>
      <c r="O2571" s="39"/>
      <c r="Q2571" s="39"/>
      <c r="R2571" s="28"/>
      <c r="S2571" s="28"/>
      <c r="T2571" s="28"/>
      <c r="U2571" s="4"/>
      <c r="V2571" s="3"/>
      <c r="W2571" s="3"/>
    </row>
    <row r="2572" spans="1:23" s="5" customFormat="1">
      <c r="A2572" s="6"/>
      <c r="B2572" s="33"/>
      <c r="C2572" s="35"/>
      <c r="E2572" s="39"/>
      <c r="G2572" s="40"/>
      <c r="H2572" s="15"/>
      <c r="I2572" s="17"/>
      <c r="J2572" s="10"/>
      <c r="M2572" s="39"/>
      <c r="O2572" s="39"/>
      <c r="Q2572" s="39"/>
      <c r="R2572" s="28"/>
      <c r="S2572" s="28"/>
      <c r="T2572" s="28"/>
      <c r="U2572" s="4"/>
      <c r="V2572" s="3"/>
      <c r="W2572" s="3"/>
    </row>
    <row r="2573" spans="1:23" s="5" customFormat="1">
      <c r="A2573" s="6"/>
      <c r="B2573" s="33"/>
      <c r="C2573" s="35"/>
      <c r="E2573" s="39"/>
      <c r="G2573" s="40"/>
      <c r="H2573" s="15"/>
      <c r="I2573" s="17"/>
      <c r="J2573" s="10"/>
      <c r="M2573" s="39"/>
      <c r="O2573" s="39"/>
      <c r="Q2573" s="39"/>
      <c r="R2573" s="28"/>
      <c r="S2573" s="28"/>
      <c r="T2573" s="28"/>
      <c r="U2573" s="4"/>
      <c r="V2573" s="3"/>
      <c r="W2573" s="3"/>
    </row>
    <row r="2574" spans="1:23" s="5" customFormat="1">
      <c r="A2574" s="6"/>
      <c r="B2574" s="33"/>
      <c r="C2574" s="35"/>
      <c r="E2574" s="39"/>
      <c r="G2574" s="40"/>
      <c r="H2574" s="14"/>
      <c r="I2574" s="17"/>
      <c r="J2574" s="10"/>
      <c r="M2574" s="39"/>
      <c r="O2574" s="39"/>
      <c r="Q2574" s="39"/>
      <c r="R2574" s="28"/>
      <c r="S2574" s="28"/>
      <c r="T2574" s="28"/>
      <c r="U2574" s="4"/>
      <c r="V2574" s="3"/>
      <c r="W2574" s="3"/>
    </row>
    <row r="2575" spans="1:23" s="5" customFormat="1">
      <c r="A2575" s="6"/>
      <c r="B2575" s="33"/>
      <c r="C2575" s="35"/>
      <c r="E2575" s="39"/>
      <c r="G2575" s="40"/>
      <c r="H2575" s="15"/>
      <c r="I2575" s="17"/>
      <c r="J2575" s="10"/>
      <c r="M2575" s="39"/>
      <c r="O2575" s="39"/>
      <c r="Q2575" s="39"/>
      <c r="R2575" s="28"/>
      <c r="S2575" s="28"/>
      <c r="T2575" s="28"/>
      <c r="U2575" s="4"/>
      <c r="V2575" s="3"/>
      <c r="W2575" s="3"/>
    </row>
    <row r="2576" spans="1:23" s="5" customFormat="1">
      <c r="A2576" s="6"/>
      <c r="B2576" s="33"/>
      <c r="C2576" s="35"/>
      <c r="E2576" s="39"/>
      <c r="G2576" s="40"/>
      <c r="H2576" s="15"/>
      <c r="I2576" s="17"/>
      <c r="J2576" s="10"/>
      <c r="M2576" s="39"/>
      <c r="O2576" s="39"/>
      <c r="Q2576" s="39"/>
      <c r="R2576" s="28"/>
      <c r="S2576" s="28"/>
      <c r="T2576" s="28"/>
      <c r="U2576" s="4"/>
      <c r="V2576" s="3"/>
      <c r="W2576" s="3"/>
    </row>
    <row r="2577" spans="1:23" s="5" customFormat="1">
      <c r="A2577" s="6"/>
      <c r="B2577" s="33"/>
      <c r="C2577" s="35"/>
      <c r="E2577" s="39"/>
      <c r="G2577" s="40"/>
      <c r="H2577" s="15"/>
      <c r="I2577" s="17"/>
      <c r="J2577" s="10"/>
      <c r="M2577" s="39"/>
      <c r="O2577" s="39"/>
      <c r="Q2577" s="39"/>
      <c r="R2577" s="28"/>
      <c r="S2577" s="28"/>
      <c r="T2577" s="28"/>
      <c r="U2577" s="4"/>
      <c r="V2577" s="3"/>
      <c r="W2577" s="3"/>
    </row>
    <row r="2578" spans="1:23" s="5" customFormat="1">
      <c r="A2578" s="6"/>
      <c r="B2578" s="33"/>
      <c r="C2578" s="35"/>
      <c r="E2578" s="39"/>
      <c r="G2578" s="40"/>
      <c r="H2578" s="14"/>
      <c r="I2578" s="17"/>
      <c r="J2578" s="10"/>
      <c r="M2578" s="39"/>
      <c r="O2578" s="39"/>
      <c r="Q2578" s="39"/>
      <c r="R2578" s="28"/>
      <c r="S2578" s="28"/>
      <c r="T2578" s="28"/>
      <c r="U2578" s="4"/>
      <c r="V2578" s="3"/>
      <c r="W2578" s="3"/>
    </row>
    <row r="2579" spans="1:23" s="5" customFormat="1">
      <c r="A2579" s="6"/>
      <c r="B2579" s="33"/>
      <c r="C2579" s="35"/>
      <c r="E2579" s="39"/>
      <c r="G2579" s="40"/>
      <c r="H2579" s="15"/>
      <c r="I2579" s="17"/>
      <c r="J2579" s="10"/>
      <c r="M2579" s="39"/>
      <c r="O2579" s="39"/>
      <c r="Q2579" s="39"/>
      <c r="R2579" s="28"/>
      <c r="S2579" s="28"/>
      <c r="T2579" s="28"/>
      <c r="U2579" s="4"/>
      <c r="V2579" s="3"/>
      <c r="W2579" s="3"/>
    </row>
    <row r="2580" spans="1:23" s="5" customFormat="1">
      <c r="A2580" s="6"/>
      <c r="B2580" s="33"/>
      <c r="C2580" s="35"/>
      <c r="E2580" s="39"/>
      <c r="G2580" s="40"/>
      <c r="H2580" s="14"/>
      <c r="I2580" s="17"/>
      <c r="J2580" s="10"/>
      <c r="M2580" s="39"/>
      <c r="O2580" s="39"/>
      <c r="Q2580" s="39"/>
      <c r="R2580" s="28"/>
      <c r="S2580" s="28"/>
      <c r="T2580" s="28"/>
      <c r="U2580" s="4"/>
      <c r="V2580" s="3"/>
      <c r="W2580" s="3"/>
    </row>
    <row r="2581" spans="1:23" s="5" customFormat="1">
      <c r="A2581" s="6"/>
      <c r="B2581" s="33"/>
      <c r="C2581" s="35"/>
      <c r="E2581" s="39"/>
      <c r="G2581" s="40"/>
      <c r="H2581" s="15"/>
      <c r="I2581" s="17"/>
      <c r="J2581" s="10"/>
      <c r="M2581" s="39"/>
      <c r="O2581" s="39"/>
      <c r="Q2581" s="39"/>
      <c r="R2581" s="28"/>
      <c r="S2581" s="28"/>
      <c r="T2581" s="28"/>
      <c r="U2581" s="4"/>
      <c r="V2581" s="3"/>
      <c r="W2581" s="3"/>
    </row>
    <row r="2582" spans="1:23" s="5" customFormat="1">
      <c r="A2582" s="6"/>
      <c r="B2582" s="33"/>
      <c r="C2582" s="35"/>
      <c r="E2582" s="39"/>
      <c r="G2582" s="40"/>
      <c r="H2582" s="15"/>
      <c r="I2582" s="17"/>
      <c r="J2582" s="10"/>
      <c r="M2582" s="39"/>
      <c r="O2582" s="39"/>
      <c r="Q2582" s="39"/>
      <c r="R2582" s="28"/>
      <c r="S2582" s="28"/>
      <c r="T2582" s="28"/>
      <c r="U2582" s="4"/>
      <c r="V2582" s="3"/>
      <c r="W2582" s="3"/>
    </row>
    <row r="2583" spans="1:23" s="5" customFormat="1">
      <c r="A2583" s="6"/>
      <c r="B2583" s="33"/>
      <c r="C2583" s="35"/>
      <c r="E2583" s="39"/>
      <c r="G2583" s="40"/>
      <c r="H2583" s="14"/>
      <c r="I2583" s="17"/>
      <c r="J2583" s="10"/>
      <c r="M2583" s="39"/>
      <c r="O2583" s="39"/>
      <c r="Q2583" s="39"/>
      <c r="R2583" s="28"/>
      <c r="S2583" s="28"/>
      <c r="T2583" s="28"/>
      <c r="U2583" s="4"/>
      <c r="V2583" s="3"/>
      <c r="W2583" s="3"/>
    </row>
    <row r="2584" spans="1:23" s="5" customFormat="1">
      <c r="A2584" s="6"/>
      <c r="B2584" s="33"/>
      <c r="C2584" s="35"/>
      <c r="E2584" s="39"/>
      <c r="G2584" s="40"/>
      <c r="H2584" s="15"/>
      <c r="I2584" s="17"/>
      <c r="J2584" s="10"/>
      <c r="M2584" s="39"/>
      <c r="O2584" s="39"/>
      <c r="Q2584" s="39"/>
      <c r="R2584" s="28"/>
      <c r="S2584" s="28"/>
      <c r="T2584" s="28"/>
      <c r="U2584" s="4"/>
      <c r="V2584" s="3"/>
      <c r="W2584" s="3"/>
    </row>
    <row r="2585" spans="1:23" s="5" customFormat="1">
      <c r="A2585" s="6"/>
      <c r="B2585" s="33"/>
      <c r="C2585" s="35"/>
      <c r="E2585" s="39"/>
      <c r="G2585" s="40"/>
      <c r="H2585" s="14"/>
      <c r="I2585" s="17"/>
      <c r="J2585" s="10"/>
      <c r="M2585" s="39"/>
      <c r="O2585" s="39"/>
      <c r="Q2585" s="39"/>
      <c r="R2585" s="28"/>
      <c r="S2585" s="29"/>
      <c r="T2585" s="28"/>
      <c r="U2585" s="4"/>
      <c r="V2585" s="3"/>
      <c r="W2585" s="3"/>
    </row>
    <row r="2586" spans="1:23" s="5" customFormat="1">
      <c r="A2586" s="20"/>
      <c r="B2586" s="33"/>
      <c r="C2586" s="35"/>
      <c r="E2586" s="39"/>
      <c r="F2586" s="1"/>
      <c r="G2586" s="40"/>
      <c r="H2586" s="12"/>
      <c r="I2586" s="9"/>
      <c r="J2586" s="12"/>
      <c r="M2586" s="39"/>
      <c r="O2586" s="39"/>
      <c r="Q2586" s="39"/>
      <c r="R2586" s="29"/>
      <c r="S2586" s="28"/>
      <c r="T2586" s="28"/>
      <c r="U2586" s="4"/>
      <c r="V2586" s="3"/>
      <c r="W2586" s="3"/>
    </row>
    <row r="2587" spans="1:23" s="5" customFormat="1">
      <c r="A2587" s="20"/>
      <c r="B2587" s="33"/>
      <c r="C2587" s="35"/>
      <c r="E2587" s="39"/>
      <c r="F2587" s="1"/>
      <c r="G2587" s="40"/>
      <c r="H2587" s="12"/>
      <c r="I2587" s="9"/>
      <c r="J2587" s="12"/>
      <c r="M2587" s="39"/>
      <c r="O2587" s="39"/>
      <c r="Q2587" s="39"/>
      <c r="R2587" s="29"/>
      <c r="S2587" s="28"/>
      <c r="T2587" s="28"/>
      <c r="U2587" s="4"/>
      <c r="V2587" s="3"/>
      <c r="W2587" s="3"/>
    </row>
    <row r="2588" spans="1:23" s="5" customFormat="1">
      <c r="A2588" s="20"/>
      <c r="B2588" s="33"/>
      <c r="C2588" s="35"/>
      <c r="E2588" s="39"/>
      <c r="F2588" s="1"/>
      <c r="G2588" s="40"/>
      <c r="H2588" s="12"/>
      <c r="I2588" s="9"/>
      <c r="J2588" s="12"/>
      <c r="M2588" s="39"/>
      <c r="O2588" s="39"/>
      <c r="Q2588" s="39"/>
      <c r="R2588" s="29"/>
      <c r="S2588" s="28"/>
      <c r="T2588" s="28"/>
      <c r="U2588" s="4"/>
      <c r="V2588" s="3"/>
      <c r="W2588" s="3"/>
    </row>
    <row r="2589" spans="1:23" s="5" customFormat="1">
      <c r="A2589" s="6"/>
      <c r="B2589" s="33"/>
      <c r="C2589" s="35"/>
      <c r="E2589" s="39"/>
      <c r="G2589" s="40"/>
      <c r="H2589" s="14"/>
      <c r="I2589" s="17"/>
      <c r="J2589" s="10"/>
      <c r="M2589" s="39"/>
      <c r="O2589" s="39"/>
      <c r="Q2589" s="39"/>
      <c r="R2589" s="28"/>
      <c r="S2589" s="28"/>
      <c r="T2589" s="28"/>
      <c r="U2589" s="4"/>
      <c r="V2589" s="3"/>
      <c r="W2589" s="3"/>
    </row>
    <row r="2590" spans="1:23" s="5" customFormat="1">
      <c r="A2590" s="6"/>
      <c r="B2590" s="33"/>
      <c r="C2590" s="35"/>
      <c r="E2590" s="39"/>
      <c r="G2590" s="40"/>
      <c r="H2590" s="14"/>
      <c r="I2590" s="17"/>
      <c r="J2590" s="10"/>
      <c r="M2590" s="39"/>
      <c r="O2590" s="39"/>
      <c r="Q2590" s="39"/>
      <c r="R2590" s="28"/>
      <c r="S2590" s="28"/>
      <c r="T2590" s="28"/>
      <c r="U2590" s="4"/>
      <c r="V2590" s="3"/>
      <c r="W2590" s="3"/>
    </row>
    <row r="2591" spans="1:23" s="5" customFormat="1">
      <c r="A2591" s="20"/>
      <c r="B2591" s="33"/>
      <c r="C2591" s="35"/>
      <c r="E2591" s="39"/>
      <c r="F2591" s="1"/>
      <c r="G2591" s="40"/>
      <c r="H2591" s="12"/>
      <c r="I2591" s="9"/>
      <c r="J2591" s="12"/>
      <c r="M2591" s="39"/>
      <c r="O2591" s="39"/>
      <c r="Q2591" s="39"/>
      <c r="R2591" s="29"/>
      <c r="S2591" s="28"/>
      <c r="T2591" s="28"/>
      <c r="U2591" s="4"/>
      <c r="V2591" s="3"/>
      <c r="W2591" s="3"/>
    </row>
    <row r="2592" spans="1:23" s="5" customFormat="1">
      <c r="A2592" s="20"/>
      <c r="B2592" s="33"/>
      <c r="C2592" s="35"/>
      <c r="E2592" s="39"/>
      <c r="F2592" s="1"/>
      <c r="G2592" s="40"/>
      <c r="H2592" s="12"/>
      <c r="I2592" s="9"/>
      <c r="J2592" s="12"/>
      <c r="M2592" s="39"/>
      <c r="O2592" s="39"/>
      <c r="Q2592" s="39"/>
      <c r="R2592" s="29"/>
      <c r="S2592" s="28"/>
      <c r="T2592" s="28"/>
      <c r="U2592" s="4"/>
      <c r="V2592" s="3"/>
      <c r="W2592" s="3"/>
    </row>
    <row r="2593" spans="1:23" s="5" customFormat="1">
      <c r="A2593" s="6"/>
      <c r="B2593" s="33"/>
      <c r="C2593" s="35"/>
      <c r="E2593" s="39"/>
      <c r="G2593" s="40"/>
      <c r="H2593" s="14"/>
      <c r="I2593" s="17"/>
      <c r="J2593" s="10"/>
      <c r="M2593" s="39"/>
      <c r="O2593" s="39"/>
      <c r="Q2593" s="39"/>
      <c r="R2593" s="28"/>
      <c r="S2593" s="28"/>
      <c r="T2593" s="28"/>
      <c r="U2593" s="4"/>
      <c r="V2593" s="3"/>
      <c r="W2593" s="3"/>
    </row>
    <row r="2594" spans="1:23" s="5" customFormat="1">
      <c r="A2594" s="6"/>
      <c r="B2594" s="33"/>
      <c r="C2594" s="35"/>
      <c r="E2594" s="39"/>
      <c r="G2594" s="40"/>
      <c r="H2594" s="14"/>
      <c r="I2594" s="17"/>
      <c r="J2594" s="10"/>
      <c r="M2594" s="39"/>
      <c r="O2594" s="39"/>
      <c r="Q2594" s="39"/>
      <c r="R2594" s="28"/>
      <c r="S2594" s="28"/>
      <c r="T2594" s="28"/>
      <c r="U2594" s="4"/>
      <c r="V2594" s="3"/>
      <c r="W2594" s="3"/>
    </row>
    <row r="2595" spans="1:23" s="5" customFormat="1">
      <c r="A2595" s="6"/>
      <c r="B2595" s="33"/>
      <c r="C2595" s="35"/>
      <c r="E2595" s="39"/>
      <c r="G2595" s="40"/>
      <c r="H2595" s="15"/>
      <c r="I2595" s="17"/>
      <c r="J2595" s="10"/>
      <c r="M2595" s="39"/>
      <c r="O2595" s="39"/>
      <c r="Q2595" s="39"/>
      <c r="R2595" s="28"/>
      <c r="S2595" s="28"/>
      <c r="T2595" s="28"/>
      <c r="U2595" s="4"/>
      <c r="V2595" s="3"/>
      <c r="W2595" s="3"/>
    </row>
    <row r="2596" spans="1:23" s="5" customFormat="1">
      <c r="A2596" s="6"/>
      <c r="B2596" s="33"/>
      <c r="C2596" s="35"/>
      <c r="E2596" s="39"/>
      <c r="G2596" s="40"/>
      <c r="H2596" s="14"/>
      <c r="I2596" s="17"/>
      <c r="J2596" s="10"/>
      <c r="M2596" s="39"/>
      <c r="O2596" s="39"/>
      <c r="Q2596" s="39"/>
      <c r="R2596" s="28"/>
      <c r="S2596" s="28"/>
      <c r="T2596" s="28"/>
      <c r="U2596" s="4"/>
      <c r="V2596" s="3"/>
      <c r="W2596" s="3"/>
    </row>
    <row r="2597" spans="1:23" s="5" customFormat="1">
      <c r="A2597" s="6"/>
      <c r="B2597" s="33"/>
      <c r="C2597" s="35"/>
      <c r="E2597" s="39"/>
      <c r="G2597" s="40"/>
      <c r="H2597" s="15"/>
      <c r="I2597" s="17"/>
      <c r="J2597" s="10"/>
      <c r="M2597" s="39"/>
      <c r="O2597" s="39"/>
      <c r="Q2597" s="39"/>
      <c r="R2597" s="28"/>
      <c r="S2597" s="28"/>
      <c r="T2597" s="28"/>
      <c r="U2597" s="4"/>
      <c r="V2597" s="3"/>
      <c r="W2597" s="3"/>
    </row>
    <row r="2598" spans="1:23" s="5" customFormat="1">
      <c r="A2598" s="6"/>
      <c r="B2598" s="33"/>
      <c r="C2598" s="35"/>
      <c r="E2598" s="39"/>
      <c r="G2598" s="40"/>
      <c r="H2598" s="15"/>
      <c r="I2598" s="17"/>
      <c r="J2598" s="10"/>
      <c r="M2598" s="39"/>
      <c r="O2598" s="39"/>
      <c r="Q2598" s="39"/>
      <c r="R2598" s="28"/>
      <c r="S2598" s="28"/>
      <c r="T2598" s="28"/>
      <c r="U2598" s="4"/>
      <c r="V2598" s="3"/>
      <c r="W2598" s="3"/>
    </row>
    <row r="2599" spans="1:23" s="5" customFormat="1">
      <c r="A2599" s="6"/>
      <c r="B2599" s="33"/>
      <c r="C2599" s="35"/>
      <c r="E2599" s="39"/>
      <c r="G2599" s="40"/>
      <c r="H2599" s="14"/>
      <c r="I2599" s="17"/>
      <c r="J2599" s="10"/>
      <c r="M2599" s="39"/>
      <c r="O2599" s="39"/>
      <c r="Q2599" s="39"/>
      <c r="R2599" s="28"/>
      <c r="S2599" s="28"/>
      <c r="T2599" s="28"/>
      <c r="U2599" s="4"/>
      <c r="V2599" s="3"/>
      <c r="W2599" s="3"/>
    </row>
    <row r="2600" spans="1:23" s="5" customFormat="1">
      <c r="A2600" s="6"/>
      <c r="B2600" s="33"/>
      <c r="C2600" s="35"/>
      <c r="E2600" s="39"/>
      <c r="G2600" s="40"/>
      <c r="H2600" s="15"/>
      <c r="I2600" s="17"/>
      <c r="J2600" s="10"/>
      <c r="M2600" s="39"/>
      <c r="O2600" s="39"/>
      <c r="Q2600" s="39"/>
      <c r="R2600" s="28"/>
      <c r="S2600" s="28"/>
      <c r="T2600" s="28"/>
      <c r="U2600" s="4"/>
      <c r="V2600" s="3"/>
      <c r="W2600" s="3"/>
    </row>
    <row r="2601" spans="1:23" s="5" customFormat="1">
      <c r="A2601" s="6"/>
      <c r="B2601" s="33"/>
      <c r="C2601" s="35"/>
      <c r="E2601" s="39"/>
      <c r="G2601" s="40"/>
      <c r="H2601" s="14"/>
      <c r="I2601" s="17"/>
      <c r="J2601" s="10"/>
      <c r="M2601" s="39"/>
      <c r="O2601" s="39"/>
      <c r="Q2601" s="39"/>
      <c r="R2601" s="28"/>
      <c r="S2601" s="28"/>
      <c r="T2601" s="28"/>
      <c r="U2601" s="4"/>
      <c r="V2601" s="3"/>
      <c r="W2601" s="3"/>
    </row>
    <row r="2602" spans="1:23" s="5" customFormat="1">
      <c r="A2602" s="6"/>
      <c r="B2602" s="33"/>
      <c r="C2602" s="35"/>
      <c r="E2602" s="39"/>
      <c r="G2602" s="40"/>
      <c r="H2602" s="14"/>
      <c r="I2602" s="17"/>
      <c r="J2602" s="10"/>
      <c r="M2602" s="39"/>
      <c r="O2602" s="39"/>
      <c r="Q2602" s="39"/>
      <c r="R2602" s="28"/>
      <c r="S2602" s="28"/>
      <c r="T2602" s="28"/>
      <c r="U2602" s="4"/>
      <c r="V2602" s="3"/>
      <c r="W2602" s="3"/>
    </row>
    <row r="2603" spans="1:23" s="5" customFormat="1">
      <c r="A2603" s="6"/>
      <c r="B2603" s="33"/>
      <c r="C2603" s="35"/>
      <c r="E2603" s="39"/>
      <c r="G2603" s="40"/>
      <c r="H2603" s="14"/>
      <c r="I2603" s="17"/>
      <c r="J2603" s="10"/>
      <c r="M2603" s="39"/>
      <c r="O2603" s="39"/>
      <c r="Q2603" s="39"/>
      <c r="R2603" s="28"/>
      <c r="S2603" s="28"/>
      <c r="T2603" s="28"/>
      <c r="U2603" s="4"/>
      <c r="V2603" s="3"/>
      <c r="W2603" s="3"/>
    </row>
    <row r="2604" spans="1:23" s="5" customFormat="1">
      <c r="A2604" s="6"/>
      <c r="B2604" s="33"/>
      <c r="C2604" s="35"/>
      <c r="E2604" s="39"/>
      <c r="G2604" s="40"/>
      <c r="H2604" s="14"/>
      <c r="I2604" s="17"/>
      <c r="J2604" s="10"/>
      <c r="M2604" s="39"/>
      <c r="O2604" s="39"/>
      <c r="Q2604" s="39"/>
      <c r="R2604" s="28"/>
      <c r="S2604" s="28"/>
      <c r="T2604" s="28"/>
      <c r="U2604" s="4"/>
      <c r="V2604" s="3"/>
      <c r="W2604" s="3"/>
    </row>
    <row r="2605" spans="1:23" s="5" customFormat="1">
      <c r="A2605" s="6"/>
      <c r="B2605" s="33"/>
      <c r="C2605" s="35"/>
      <c r="E2605" s="39"/>
      <c r="G2605" s="40"/>
      <c r="H2605" s="14"/>
      <c r="I2605" s="17"/>
      <c r="J2605" s="10"/>
      <c r="M2605" s="39"/>
      <c r="O2605" s="39"/>
      <c r="Q2605" s="39"/>
      <c r="R2605" s="28"/>
      <c r="S2605" s="28"/>
      <c r="T2605" s="28"/>
      <c r="U2605" s="4"/>
      <c r="V2605" s="3"/>
      <c r="W2605" s="3"/>
    </row>
    <row r="2606" spans="1:23" s="5" customFormat="1">
      <c r="A2606" s="6"/>
      <c r="B2606" s="33"/>
      <c r="C2606" s="35"/>
      <c r="E2606" s="39"/>
      <c r="G2606" s="40"/>
      <c r="H2606" s="15"/>
      <c r="I2606" s="17"/>
      <c r="J2606" s="10"/>
      <c r="M2606" s="39"/>
      <c r="O2606" s="39"/>
      <c r="Q2606" s="39"/>
      <c r="R2606" s="28"/>
      <c r="S2606" s="28"/>
      <c r="T2606" s="28"/>
      <c r="U2606" s="4"/>
      <c r="V2606" s="3"/>
      <c r="W2606" s="3"/>
    </row>
    <row r="2607" spans="1:23" s="5" customFormat="1">
      <c r="A2607" s="6"/>
      <c r="B2607" s="33"/>
      <c r="C2607" s="35"/>
      <c r="E2607" s="39"/>
      <c r="G2607" s="40"/>
      <c r="H2607" s="14"/>
      <c r="I2607" s="17"/>
      <c r="J2607" s="10"/>
      <c r="M2607" s="39"/>
      <c r="O2607" s="39"/>
      <c r="Q2607" s="39"/>
      <c r="R2607" s="28"/>
      <c r="S2607" s="28"/>
      <c r="T2607" s="28"/>
      <c r="U2607" s="4"/>
      <c r="V2607" s="3"/>
      <c r="W2607" s="3"/>
    </row>
    <row r="2608" spans="1:23" s="5" customFormat="1">
      <c r="A2608" s="6"/>
      <c r="B2608" s="33"/>
      <c r="C2608" s="35"/>
      <c r="E2608" s="39"/>
      <c r="G2608" s="40"/>
      <c r="H2608" s="14"/>
      <c r="I2608" s="17"/>
      <c r="J2608" s="10"/>
      <c r="M2608" s="39"/>
      <c r="O2608" s="39"/>
      <c r="Q2608" s="39"/>
      <c r="R2608" s="28"/>
      <c r="S2608" s="28"/>
      <c r="T2608" s="28"/>
      <c r="U2608" s="4"/>
      <c r="V2608" s="3"/>
      <c r="W2608" s="3"/>
    </row>
    <row r="2609" spans="1:23" s="5" customFormat="1">
      <c r="A2609" s="6"/>
      <c r="B2609" s="33"/>
      <c r="C2609" s="35"/>
      <c r="E2609" s="39"/>
      <c r="G2609" s="40"/>
      <c r="H2609" s="15"/>
      <c r="I2609" s="17"/>
      <c r="J2609" s="10"/>
      <c r="M2609" s="39"/>
      <c r="O2609" s="39"/>
      <c r="Q2609" s="39"/>
      <c r="R2609" s="28"/>
      <c r="S2609" s="28"/>
      <c r="T2609" s="28"/>
      <c r="U2609" s="4"/>
      <c r="V2609" s="3"/>
      <c r="W2609" s="3"/>
    </row>
    <row r="2610" spans="1:23" s="5" customFormat="1">
      <c r="A2610" s="20"/>
      <c r="B2610" s="33"/>
      <c r="C2610" s="35"/>
      <c r="D2610" s="1"/>
      <c r="E2610" s="39"/>
      <c r="F2610" s="1"/>
      <c r="G2610" s="40"/>
      <c r="H2610" s="12"/>
      <c r="I2610" s="9"/>
      <c r="J2610" s="12"/>
      <c r="L2610" s="1"/>
      <c r="M2610" s="39"/>
      <c r="N2610" s="1"/>
      <c r="O2610" s="39"/>
      <c r="P2610" s="1"/>
      <c r="Q2610" s="39"/>
      <c r="R2610" s="28"/>
      <c r="S2610" s="29"/>
      <c r="T2610" s="28"/>
      <c r="U2610" s="4"/>
      <c r="V2610" s="3"/>
      <c r="W2610" s="3"/>
    </row>
    <row r="2611" spans="1:23" s="5" customFormat="1">
      <c r="A2611" s="6"/>
      <c r="B2611" s="33"/>
      <c r="C2611" s="35"/>
      <c r="E2611" s="39"/>
      <c r="G2611" s="40"/>
      <c r="H2611" s="15"/>
      <c r="I2611" s="17"/>
      <c r="J2611" s="10"/>
      <c r="M2611" s="39"/>
      <c r="O2611" s="39"/>
      <c r="Q2611" s="39"/>
      <c r="R2611" s="28"/>
      <c r="S2611" s="28"/>
      <c r="T2611" s="28"/>
      <c r="U2611" s="4"/>
      <c r="V2611" s="3"/>
      <c r="W2611" s="3"/>
    </row>
    <row r="2612" spans="1:23" s="5" customFormat="1">
      <c r="A2612" s="6"/>
      <c r="B2612" s="33"/>
      <c r="C2612" s="35"/>
      <c r="E2612" s="39"/>
      <c r="G2612" s="40"/>
      <c r="H2612" s="14"/>
      <c r="I2612" s="17"/>
      <c r="J2612" s="10"/>
      <c r="M2612" s="39"/>
      <c r="O2612" s="39"/>
      <c r="Q2612" s="39"/>
      <c r="R2612" s="28"/>
      <c r="S2612" s="28"/>
      <c r="T2612" s="28"/>
      <c r="U2612" s="4"/>
      <c r="V2612" s="3"/>
      <c r="W2612" s="3"/>
    </row>
    <row r="2613" spans="1:23" s="5" customFormat="1">
      <c r="A2613" s="6"/>
      <c r="B2613" s="33"/>
      <c r="C2613" s="35"/>
      <c r="E2613" s="39"/>
      <c r="G2613" s="40"/>
      <c r="H2613" s="15"/>
      <c r="I2613" s="17"/>
      <c r="J2613" s="10"/>
      <c r="M2613" s="39"/>
      <c r="O2613" s="39"/>
      <c r="Q2613" s="39"/>
      <c r="R2613" s="28"/>
      <c r="S2613" s="28"/>
      <c r="T2613" s="28"/>
      <c r="U2613" s="4"/>
      <c r="V2613" s="3"/>
      <c r="W2613" s="3"/>
    </row>
    <row r="2614" spans="1:23" s="5" customFormat="1">
      <c r="A2614" s="6"/>
      <c r="B2614" s="33"/>
      <c r="C2614" s="35"/>
      <c r="E2614" s="39"/>
      <c r="G2614" s="40"/>
      <c r="H2614" s="15"/>
      <c r="I2614" s="17"/>
      <c r="J2614" s="10"/>
      <c r="M2614" s="39"/>
      <c r="O2614" s="39"/>
      <c r="Q2614" s="39"/>
      <c r="R2614" s="28"/>
      <c r="S2614" s="28"/>
      <c r="T2614" s="28"/>
      <c r="U2614" s="4"/>
      <c r="V2614" s="3"/>
      <c r="W2614" s="3"/>
    </row>
    <row r="2615" spans="1:23" s="5" customFormat="1">
      <c r="A2615" s="6"/>
      <c r="B2615" s="33"/>
      <c r="C2615" s="35"/>
      <c r="E2615" s="39"/>
      <c r="G2615" s="40"/>
      <c r="H2615" s="14"/>
      <c r="I2615" s="17"/>
      <c r="J2615" s="10"/>
      <c r="M2615" s="39"/>
      <c r="O2615" s="39"/>
      <c r="Q2615" s="39"/>
      <c r="R2615" s="28"/>
      <c r="S2615" s="28"/>
      <c r="T2615" s="28"/>
      <c r="U2615" s="4"/>
      <c r="V2615" s="3"/>
      <c r="W2615" s="3"/>
    </row>
    <row r="2616" spans="1:23" s="5" customFormat="1">
      <c r="A2616" s="6"/>
      <c r="B2616" s="33"/>
      <c r="C2616" s="35"/>
      <c r="E2616" s="39"/>
      <c r="G2616" s="40"/>
      <c r="H2616" s="14"/>
      <c r="I2616" s="17"/>
      <c r="J2616" s="10"/>
      <c r="M2616" s="39"/>
      <c r="O2616" s="39"/>
      <c r="Q2616" s="39"/>
      <c r="R2616" s="28"/>
      <c r="S2616" s="28"/>
      <c r="T2616" s="28"/>
      <c r="U2616" s="4"/>
      <c r="V2616" s="3"/>
      <c r="W2616" s="3"/>
    </row>
    <row r="2617" spans="1:23" s="5" customFormat="1">
      <c r="A2617" s="6"/>
      <c r="B2617" s="33"/>
      <c r="C2617" s="35"/>
      <c r="E2617" s="39"/>
      <c r="G2617" s="40"/>
      <c r="H2617" s="15"/>
      <c r="I2617" s="17"/>
      <c r="J2617" s="10"/>
      <c r="M2617" s="39"/>
      <c r="O2617" s="39"/>
      <c r="Q2617" s="39"/>
      <c r="R2617" s="28"/>
      <c r="S2617" s="28"/>
      <c r="T2617" s="28"/>
      <c r="U2617" s="4"/>
      <c r="V2617" s="3"/>
      <c r="W2617" s="3"/>
    </row>
    <row r="2618" spans="1:23" s="5" customFormat="1">
      <c r="A2618" s="6"/>
      <c r="B2618" s="33"/>
      <c r="C2618" s="35"/>
      <c r="E2618" s="39"/>
      <c r="G2618" s="40"/>
      <c r="H2618" s="14"/>
      <c r="I2618" s="17"/>
      <c r="J2618" s="10"/>
      <c r="M2618" s="39"/>
      <c r="O2618" s="39"/>
      <c r="Q2618" s="39"/>
      <c r="R2618" s="28"/>
      <c r="S2618" s="28"/>
      <c r="T2618" s="28"/>
      <c r="U2618" s="4"/>
      <c r="V2618" s="3"/>
      <c r="W2618" s="3"/>
    </row>
    <row r="2619" spans="1:23" s="5" customFormat="1">
      <c r="A2619" s="6"/>
      <c r="B2619" s="33"/>
      <c r="C2619" s="35"/>
      <c r="E2619" s="39"/>
      <c r="G2619" s="40"/>
      <c r="H2619" s="14"/>
      <c r="I2619" s="17"/>
      <c r="J2619" s="10"/>
      <c r="M2619" s="39"/>
      <c r="O2619" s="39"/>
      <c r="Q2619" s="39"/>
      <c r="R2619" s="28"/>
      <c r="S2619" s="28"/>
      <c r="T2619" s="28"/>
      <c r="U2619" s="4"/>
      <c r="V2619" s="3"/>
      <c r="W2619" s="3"/>
    </row>
    <row r="2620" spans="1:23" s="5" customFormat="1">
      <c r="A2620" s="6"/>
      <c r="B2620" s="33"/>
      <c r="C2620" s="35"/>
      <c r="E2620" s="39"/>
      <c r="G2620" s="40"/>
      <c r="H2620" s="14"/>
      <c r="I2620" s="17"/>
      <c r="J2620" s="10"/>
      <c r="M2620" s="39"/>
      <c r="O2620" s="39"/>
      <c r="Q2620" s="39"/>
      <c r="R2620" s="28"/>
      <c r="S2620" s="28"/>
      <c r="T2620" s="28"/>
      <c r="U2620" s="4"/>
      <c r="V2620" s="3"/>
      <c r="W2620" s="3"/>
    </row>
    <row r="2621" spans="1:23" s="5" customFormat="1">
      <c r="A2621" s="6"/>
      <c r="B2621" s="33"/>
      <c r="C2621" s="35"/>
      <c r="E2621" s="39"/>
      <c r="G2621" s="40"/>
      <c r="H2621" s="14"/>
      <c r="I2621" s="17"/>
      <c r="J2621" s="10"/>
      <c r="M2621" s="39"/>
      <c r="O2621" s="39"/>
      <c r="Q2621" s="39"/>
      <c r="R2621" s="28"/>
      <c r="S2621" s="28"/>
      <c r="T2621" s="28"/>
      <c r="U2621" s="4"/>
      <c r="V2621" s="3"/>
      <c r="W2621" s="3"/>
    </row>
    <row r="2622" spans="1:23" s="5" customFormat="1">
      <c r="A2622" s="6"/>
      <c r="B2622" s="33"/>
      <c r="C2622" s="35"/>
      <c r="E2622" s="39"/>
      <c r="G2622" s="40"/>
      <c r="H2622" s="14"/>
      <c r="I2622" s="17"/>
      <c r="J2622" s="10"/>
      <c r="M2622" s="39"/>
      <c r="O2622" s="39"/>
      <c r="Q2622" s="39"/>
      <c r="R2622" s="28"/>
      <c r="S2622" s="28"/>
      <c r="T2622" s="28"/>
      <c r="U2622" s="4"/>
      <c r="V2622" s="3"/>
      <c r="W2622" s="3"/>
    </row>
    <row r="2623" spans="1:23" s="5" customFormat="1">
      <c r="A2623" s="6"/>
      <c r="B2623" s="33"/>
      <c r="C2623" s="35"/>
      <c r="E2623" s="39"/>
      <c r="G2623" s="40"/>
      <c r="H2623" s="14"/>
      <c r="I2623" s="17"/>
      <c r="J2623" s="10"/>
      <c r="M2623" s="39"/>
      <c r="O2623" s="39"/>
      <c r="Q2623" s="39"/>
      <c r="R2623" s="28"/>
      <c r="S2623" s="28"/>
      <c r="T2623" s="28"/>
      <c r="U2623" s="4"/>
      <c r="V2623" s="3"/>
      <c r="W2623" s="3"/>
    </row>
    <row r="2624" spans="1:23" s="5" customFormat="1">
      <c r="A2624" s="6"/>
      <c r="B2624" s="33"/>
      <c r="C2624" s="35"/>
      <c r="E2624" s="39"/>
      <c r="G2624" s="40"/>
      <c r="H2624" s="14"/>
      <c r="I2624" s="17"/>
      <c r="J2624" s="10"/>
      <c r="M2624" s="39"/>
      <c r="O2624" s="39"/>
      <c r="Q2624" s="39"/>
      <c r="R2624" s="28"/>
      <c r="S2624" s="28"/>
      <c r="T2624" s="28"/>
      <c r="U2624" s="4"/>
      <c r="V2624" s="3"/>
      <c r="W2624" s="3"/>
    </row>
    <row r="2625" spans="1:23" s="5" customFormat="1">
      <c r="A2625" s="6"/>
      <c r="B2625" s="33"/>
      <c r="C2625" s="35"/>
      <c r="E2625" s="39"/>
      <c r="G2625" s="40"/>
      <c r="H2625" s="14"/>
      <c r="I2625" s="17"/>
      <c r="J2625" s="10"/>
      <c r="M2625" s="39"/>
      <c r="O2625" s="39"/>
      <c r="Q2625" s="39"/>
      <c r="R2625" s="28"/>
      <c r="S2625" s="28"/>
      <c r="T2625" s="28"/>
      <c r="U2625" s="4"/>
      <c r="V2625" s="3"/>
      <c r="W2625" s="3"/>
    </row>
    <row r="2626" spans="1:23" s="5" customFormat="1">
      <c r="A2626" s="6"/>
      <c r="B2626" s="33"/>
      <c r="C2626" s="35"/>
      <c r="E2626" s="39"/>
      <c r="G2626" s="40"/>
      <c r="H2626" s="15"/>
      <c r="I2626" s="17"/>
      <c r="J2626" s="10"/>
      <c r="M2626" s="39"/>
      <c r="O2626" s="39"/>
      <c r="Q2626" s="39"/>
      <c r="R2626" s="28"/>
      <c r="S2626" s="28"/>
      <c r="T2626" s="28"/>
      <c r="U2626" s="4"/>
      <c r="V2626" s="3"/>
      <c r="W2626" s="3"/>
    </row>
    <row r="2627" spans="1:23" s="5" customFormat="1">
      <c r="A2627" s="6"/>
      <c r="B2627" s="33"/>
      <c r="C2627" s="35"/>
      <c r="E2627" s="39"/>
      <c r="G2627" s="40"/>
      <c r="H2627" s="14"/>
      <c r="I2627" s="17"/>
      <c r="J2627" s="10"/>
      <c r="M2627" s="39"/>
      <c r="O2627" s="39"/>
      <c r="Q2627" s="39"/>
      <c r="R2627" s="28"/>
      <c r="S2627" s="28"/>
      <c r="T2627" s="28"/>
      <c r="U2627" s="4"/>
      <c r="V2627" s="3"/>
      <c r="W2627" s="3"/>
    </row>
    <row r="2628" spans="1:23" s="5" customFormat="1">
      <c r="A2628" s="6"/>
      <c r="B2628" s="33"/>
      <c r="C2628" s="35"/>
      <c r="E2628" s="39"/>
      <c r="G2628" s="40"/>
      <c r="H2628" s="14"/>
      <c r="I2628" s="17"/>
      <c r="J2628" s="10"/>
      <c r="M2628" s="39"/>
      <c r="O2628" s="39"/>
      <c r="Q2628" s="39"/>
      <c r="R2628" s="28"/>
      <c r="S2628" s="28"/>
      <c r="T2628" s="28"/>
      <c r="U2628" s="4"/>
      <c r="V2628" s="3"/>
      <c r="W2628" s="3"/>
    </row>
    <row r="2629" spans="1:23" s="5" customFormat="1">
      <c r="A2629" s="6"/>
      <c r="B2629" s="33"/>
      <c r="C2629" s="35"/>
      <c r="E2629" s="39"/>
      <c r="G2629" s="40"/>
      <c r="H2629" s="14"/>
      <c r="I2629" s="17"/>
      <c r="J2629" s="10"/>
      <c r="M2629" s="39"/>
      <c r="O2629" s="39"/>
      <c r="Q2629" s="39"/>
      <c r="R2629" s="28"/>
      <c r="S2629" s="28"/>
      <c r="T2629" s="28"/>
      <c r="U2629" s="4"/>
      <c r="V2629" s="3"/>
      <c r="W2629" s="3"/>
    </row>
    <row r="2630" spans="1:23" s="5" customFormat="1">
      <c r="A2630" s="6"/>
      <c r="B2630" s="33"/>
      <c r="C2630" s="35"/>
      <c r="E2630" s="39"/>
      <c r="G2630" s="40"/>
      <c r="H2630" s="15"/>
      <c r="I2630" s="17"/>
      <c r="J2630" s="10"/>
      <c r="M2630" s="39"/>
      <c r="O2630" s="39"/>
      <c r="Q2630" s="39"/>
      <c r="R2630" s="28"/>
      <c r="S2630" s="28"/>
      <c r="T2630" s="28"/>
      <c r="U2630" s="4"/>
      <c r="V2630" s="3"/>
      <c r="W2630" s="3"/>
    </row>
    <row r="2631" spans="1:23" s="5" customFormat="1">
      <c r="A2631" s="6"/>
      <c r="B2631" s="33"/>
      <c r="C2631" s="35"/>
      <c r="E2631" s="39"/>
      <c r="G2631" s="40"/>
      <c r="H2631" s="15"/>
      <c r="I2631" s="17"/>
      <c r="J2631" s="10"/>
      <c r="M2631" s="39"/>
      <c r="O2631" s="39"/>
      <c r="Q2631" s="39"/>
      <c r="R2631" s="28"/>
      <c r="S2631" s="28"/>
      <c r="T2631" s="28"/>
      <c r="U2631" s="4"/>
      <c r="V2631" s="3"/>
      <c r="W2631" s="3"/>
    </row>
    <row r="2632" spans="1:23" s="5" customFormat="1">
      <c r="A2632" s="6"/>
      <c r="B2632" s="33"/>
      <c r="C2632" s="35"/>
      <c r="E2632" s="39"/>
      <c r="G2632" s="40"/>
      <c r="H2632" s="14"/>
      <c r="I2632" s="17"/>
      <c r="J2632" s="10"/>
      <c r="M2632" s="39"/>
      <c r="O2632" s="39"/>
      <c r="Q2632" s="39"/>
      <c r="R2632" s="28"/>
      <c r="S2632" s="28"/>
      <c r="T2632" s="28"/>
      <c r="U2632" s="4"/>
      <c r="V2632" s="3"/>
      <c r="W2632" s="3"/>
    </row>
    <row r="2633" spans="1:23" s="5" customFormat="1">
      <c r="A2633" s="6"/>
      <c r="B2633" s="33"/>
      <c r="C2633" s="35"/>
      <c r="E2633" s="39"/>
      <c r="G2633" s="40"/>
      <c r="H2633" s="15"/>
      <c r="I2633" s="17"/>
      <c r="J2633" s="10"/>
      <c r="M2633" s="39"/>
      <c r="O2633" s="39"/>
      <c r="Q2633" s="39"/>
      <c r="R2633" s="28"/>
      <c r="S2633" s="28"/>
      <c r="T2633" s="28"/>
      <c r="U2633" s="4"/>
      <c r="V2633" s="3"/>
      <c r="W2633" s="3"/>
    </row>
    <row r="2634" spans="1:23" s="5" customFormat="1">
      <c r="A2634" s="6"/>
      <c r="B2634" s="33"/>
      <c r="C2634" s="35"/>
      <c r="E2634" s="39"/>
      <c r="G2634" s="40"/>
      <c r="H2634" s="15"/>
      <c r="I2634" s="17"/>
      <c r="J2634" s="10"/>
      <c r="M2634" s="39"/>
      <c r="O2634" s="39"/>
      <c r="Q2634" s="39"/>
      <c r="R2634" s="28"/>
      <c r="S2634" s="28"/>
      <c r="T2634" s="28"/>
      <c r="U2634" s="4"/>
      <c r="V2634" s="3"/>
      <c r="W2634" s="3"/>
    </row>
    <row r="2635" spans="1:23" s="5" customFormat="1">
      <c r="A2635" s="6"/>
      <c r="B2635" s="33"/>
      <c r="C2635" s="35"/>
      <c r="E2635" s="39"/>
      <c r="G2635" s="40"/>
      <c r="H2635" s="14"/>
      <c r="I2635" s="17"/>
      <c r="J2635" s="10"/>
      <c r="M2635" s="39"/>
      <c r="O2635" s="39"/>
      <c r="Q2635" s="39"/>
      <c r="R2635" s="28"/>
      <c r="S2635" s="28"/>
      <c r="T2635" s="28"/>
      <c r="U2635" s="4"/>
      <c r="V2635" s="3"/>
      <c r="W2635" s="3"/>
    </row>
    <row r="2636" spans="1:23" s="5" customFormat="1">
      <c r="A2636" s="6"/>
      <c r="B2636" s="33"/>
      <c r="C2636" s="35"/>
      <c r="E2636" s="39"/>
      <c r="G2636" s="40"/>
      <c r="H2636" s="14"/>
      <c r="I2636" s="17"/>
      <c r="J2636" s="10"/>
      <c r="M2636" s="39"/>
      <c r="O2636" s="39"/>
      <c r="Q2636" s="39"/>
      <c r="R2636" s="28"/>
      <c r="S2636" s="28"/>
      <c r="T2636" s="28"/>
      <c r="U2636" s="4"/>
      <c r="V2636" s="3"/>
      <c r="W2636" s="3"/>
    </row>
    <row r="2637" spans="1:23" s="5" customFormat="1">
      <c r="A2637" s="6"/>
      <c r="B2637" s="33"/>
      <c r="C2637" s="35"/>
      <c r="E2637" s="39"/>
      <c r="G2637" s="40"/>
      <c r="H2637" s="14"/>
      <c r="I2637" s="17"/>
      <c r="J2637" s="10"/>
      <c r="M2637" s="39"/>
      <c r="O2637" s="39"/>
      <c r="Q2637" s="39"/>
      <c r="R2637" s="28"/>
      <c r="S2637" s="28"/>
      <c r="T2637" s="28"/>
      <c r="U2637" s="4"/>
      <c r="V2637" s="3"/>
      <c r="W2637" s="3"/>
    </row>
    <row r="2638" spans="1:23" s="5" customFormat="1">
      <c r="A2638" s="6"/>
      <c r="B2638" s="33"/>
      <c r="C2638" s="35"/>
      <c r="E2638" s="39"/>
      <c r="G2638" s="40"/>
      <c r="H2638" s="14"/>
      <c r="I2638" s="17"/>
      <c r="J2638" s="10"/>
      <c r="M2638" s="39"/>
      <c r="O2638" s="39"/>
      <c r="Q2638" s="39"/>
      <c r="R2638" s="28"/>
      <c r="S2638" s="28"/>
      <c r="T2638" s="28"/>
      <c r="U2638" s="4"/>
      <c r="V2638" s="3"/>
      <c r="W2638" s="3"/>
    </row>
    <row r="2639" spans="1:23" s="5" customFormat="1">
      <c r="A2639" s="6"/>
      <c r="B2639" s="33"/>
      <c r="C2639" s="35"/>
      <c r="E2639" s="39"/>
      <c r="G2639" s="40"/>
      <c r="H2639" s="14"/>
      <c r="I2639" s="17"/>
      <c r="J2639" s="10"/>
      <c r="M2639" s="39"/>
      <c r="O2639" s="39"/>
      <c r="Q2639" s="39"/>
      <c r="R2639" s="28"/>
      <c r="S2639" s="28"/>
      <c r="T2639" s="28"/>
      <c r="U2639" s="4"/>
      <c r="V2639" s="3"/>
      <c r="W2639" s="3"/>
    </row>
    <row r="2640" spans="1:23" s="5" customFormat="1">
      <c r="A2640" s="6"/>
      <c r="B2640" s="33"/>
      <c r="C2640" s="35"/>
      <c r="E2640" s="39"/>
      <c r="G2640" s="40"/>
      <c r="H2640" s="15"/>
      <c r="I2640" s="17"/>
      <c r="J2640" s="10"/>
      <c r="M2640" s="39"/>
      <c r="O2640" s="39"/>
      <c r="Q2640" s="39"/>
      <c r="R2640" s="28"/>
      <c r="S2640" s="28"/>
      <c r="T2640" s="28"/>
      <c r="U2640" s="4"/>
      <c r="V2640" s="3"/>
      <c r="W2640" s="3"/>
    </row>
    <row r="2641" spans="1:23" s="5" customFormat="1">
      <c r="A2641" s="6"/>
      <c r="B2641" s="33"/>
      <c r="C2641" s="35"/>
      <c r="E2641" s="39"/>
      <c r="G2641" s="40"/>
      <c r="H2641" s="15"/>
      <c r="I2641" s="17"/>
      <c r="J2641" s="10"/>
      <c r="M2641" s="39"/>
      <c r="O2641" s="39"/>
      <c r="Q2641" s="39"/>
      <c r="R2641" s="28"/>
      <c r="S2641" s="28"/>
      <c r="T2641" s="28"/>
      <c r="U2641" s="4"/>
      <c r="V2641" s="3"/>
      <c r="W2641" s="3"/>
    </row>
    <row r="2642" spans="1:23" s="5" customFormat="1">
      <c r="A2642" s="6"/>
      <c r="B2642" s="33"/>
      <c r="C2642" s="35"/>
      <c r="E2642" s="39"/>
      <c r="G2642" s="40"/>
      <c r="H2642" s="14"/>
      <c r="I2642" s="17"/>
      <c r="J2642" s="10"/>
      <c r="M2642" s="39"/>
      <c r="O2642" s="39"/>
      <c r="Q2642" s="39"/>
      <c r="R2642" s="28"/>
      <c r="S2642" s="28"/>
      <c r="T2642" s="28"/>
      <c r="U2642" s="4"/>
      <c r="V2642" s="3"/>
      <c r="W2642" s="3"/>
    </row>
    <row r="2643" spans="1:23" s="5" customFormat="1">
      <c r="A2643" s="6"/>
      <c r="B2643" s="33"/>
      <c r="C2643" s="35"/>
      <c r="E2643" s="39"/>
      <c r="G2643" s="40"/>
      <c r="H2643" s="14"/>
      <c r="I2643" s="17"/>
      <c r="J2643" s="10"/>
      <c r="M2643" s="39"/>
      <c r="O2643" s="39"/>
      <c r="Q2643" s="39"/>
      <c r="R2643" s="28"/>
      <c r="S2643" s="28"/>
      <c r="T2643" s="28"/>
      <c r="U2643" s="4"/>
      <c r="V2643" s="3"/>
      <c r="W2643" s="3"/>
    </row>
    <row r="2644" spans="1:23" s="5" customFormat="1">
      <c r="A2644" s="6"/>
      <c r="B2644" s="33"/>
      <c r="C2644" s="35"/>
      <c r="E2644" s="39"/>
      <c r="G2644" s="40"/>
      <c r="H2644" s="14"/>
      <c r="I2644" s="17"/>
      <c r="J2644" s="10"/>
      <c r="M2644" s="39"/>
      <c r="O2644" s="39"/>
      <c r="Q2644" s="39"/>
      <c r="R2644" s="28"/>
      <c r="S2644" s="28"/>
      <c r="T2644" s="28"/>
      <c r="U2644" s="4"/>
      <c r="V2644" s="3"/>
      <c r="W2644" s="3"/>
    </row>
    <row r="2645" spans="1:23" s="5" customFormat="1">
      <c r="A2645" s="6"/>
      <c r="B2645" s="33"/>
      <c r="C2645" s="35"/>
      <c r="E2645" s="39"/>
      <c r="G2645" s="40"/>
      <c r="H2645" s="14"/>
      <c r="I2645" s="17"/>
      <c r="J2645" s="10"/>
      <c r="M2645" s="39"/>
      <c r="O2645" s="39"/>
      <c r="Q2645" s="39"/>
      <c r="R2645" s="28"/>
      <c r="S2645" s="28"/>
      <c r="T2645" s="28"/>
      <c r="U2645" s="4"/>
      <c r="V2645" s="3"/>
      <c r="W2645" s="3"/>
    </row>
    <row r="2646" spans="1:23" s="5" customFormat="1">
      <c r="A2646" s="6"/>
      <c r="B2646" s="33"/>
      <c r="C2646" s="35"/>
      <c r="E2646" s="39"/>
      <c r="G2646" s="40"/>
      <c r="H2646" s="14"/>
      <c r="I2646" s="17"/>
      <c r="J2646" s="10"/>
      <c r="M2646" s="39"/>
      <c r="O2646" s="39"/>
      <c r="Q2646" s="39"/>
      <c r="R2646" s="28"/>
      <c r="S2646" s="28"/>
      <c r="T2646" s="28"/>
      <c r="U2646" s="4"/>
      <c r="V2646" s="3"/>
      <c r="W2646" s="3"/>
    </row>
    <row r="2647" spans="1:23" s="5" customFormat="1">
      <c r="A2647" s="6"/>
      <c r="B2647" s="33"/>
      <c r="C2647" s="35"/>
      <c r="E2647" s="39"/>
      <c r="G2647" s="40"/>
      <c r="H2647" s="14"/>
      <c r="I2647" s="17"/>
      <c r="J2647" s="10"/>
      <c r="M2647" s="39"/>
      <c r="O2647" s="39"/>
      <c r="Q2647" s="39"/>
      <c r="R2647" s="28"/>
      <c r="S2647" s="28"/>
      <c r="T2647" s="28"/>
      <c r="U2647" s="4"/>
      <c r="V2647" s="3"/>
      <c r="W2647" s="3"/>
    </row>
    <row r="2648" spans="1:23" s="5" customFormat="1">
      <c r="A2648" s="6"/>
      <c r="B2648" s="33"/>
      <c r="C2648" s="35"/>
      <c r="E2648" s="39"/>
      <c r="G2648" s="40"/>
      <c r="H2648" s="14"/>
      <c r="I2648" s="17"/>
      <c r="J2648" s="10"/>
      <c r="M2648" s="39"/>
      <c r="O2648" s="39"/>
      <c r="Q2648" s="39"/>
      <c r="R2648" s="28"/>
      <c r="S2648" s="28"/>
      <c r="T2648" s="28"/>
      <c r="U2648" s="4"/>
      <c r="V2648" s="3"/>
      <c r="W2648" s="3"/>
    </row>
    <row r="2649" spans="1:23" s="5" customFormat="1">
      <c r="A2649" s="6"/>
      <c r="B2649" s="33"/>
      <c r="C2649" s="35"/>
      <c r="E2649" s="39"/>
      <c r="G2649" s="40"/>
      <c r="H2649" s="14"/>
      <c r="I2649" s="17"/>
      <c r="J2649" s="10"/>
      <c r="M2649" s="39"/>
      <c r="O2649" s="39"/>
      <c r="Q2649" s="39"/>
      <c r="R2649" s="28"/>
      <c r="S2649" s="28"/>
      <c r="T2649" s="28"/>
      <c r="U2649" s="4"/>
      <c r="V2649" s="3"/>
      <c r="W2649" s="3"/>
    </row>
    <row r="2650" spans="1:23" s="5" customFormat="1">
      <c r="A2650" s="6"/>
      <c r="B2650" s="33"/>
      <c r="C2650" s="35"/>
      <c r="E2650" s="39"/>
      <c r="G2650" s="40"/>
      <c r="H2650" s="14"/>
      <c r="I2650" s="17"/>
      <c r="J2650" s="10"/>
      <c r="M2650" s="39"/>
      <c r="O2650" s="39"/>
      <c r="Q2650" s="39"/>
      <c r="R2650" s="28"/>
      <c r="S2650" s="28"/>
      <c r="T2650" s="28"/>
      <c r="U2650" s="4"/>
      <c r="V2650" s="3"/>
      <c r="W2650" s="3"/>
    </row>
    <row r="2651" spans="1:23" s="5" customFormat="1">
      <c r="A2651" s="6"/>
      <c r="B2651" s="33"/>
      <c r="C2651" s="35"/>
      <c r="E2651" s="39"/>
      <c r="G2651" s="40"/>
      <c r="H2651" s="15"/>
      <c r="I2651" s="17"/>
      <c r="J2651" s="10"/>
      <c r="M2651" s="39"/>
      <c r="O2651" s="39"/>
      <c r="Q2651" s="39"/>
      <c r="R2651" s="28"/>
      <c r="S2651" s="28"/>
      <c r="T2651" s="28"/>
      <c r="U2651" s="4"/>
      <c r="V2651" s="3"/>
      <c r="W2651" s="3"/>
    </row>
    <row r="2652" spans="1:23" s="5" customFormat="1">
      <c r="A2652" s="6"/>
      <c r="B2652" s="33"/>
      <c r="C2652" s="35"/>
      <c r="E2652" s="39"/>
      <c r="G2652" s="40"/>
      <c r="H2652" s="14"/>
      <c r="I2652" s="17"/>
      <c r="J2652" s="10"/>
      <c r="M2652" s="39"/>
      <c r="O2652" s="39"/>
      <c r="Q2652" s="39"/>
      <c r="R2652" s="28"/>
      <c r="S2652" s="28"/>
      <c r="T2652" s="28"/>
      <c r="U2652" s="4"/>
      <c r="V2652" s="3"/>
      <c r="W2652" s="3"/>
    </row>
    <row r="2653" spans="1:23" s="5" customFormat="1">
      <c r="A2653" s="6"/>
      <c r="B2653" s="33"/>
      <c r="C2653" s="35"/>
      <c r="E2653" s="39"/>
      <c r="G2653" s="40"/>
      <c r="H2653" s="14"/>
      <c r="I2653" s="17"/>
      <c r="J2653" s="10"/>
      <c r="M2653" s="39"/>
      <c r="O2653" s="39"/>
      <c r="Q2653" s="39"/>
      <c r="R2653" s="28"/>
      <c r="S2653" s="28"/>
      <c r="T2653" s="28"/>
      <c r="U2653" s="4"/>
      <c r="V2653" s="3"/>
      <c r="W2653" s="3"/>
    </row>
    <row r="2654" spans="1:23" s="5" customFormat="1">
      <c r="A2654" s="6"/>
      <c r="B2654" s="33"/>
      <c r="C2654" s="35"/>
      <c r="E2654" s="39"/>
      <c r="G2654" s="40"/>
      <c r="H2654" s="14"/>
      <c r="I2654" s="17"/>
      <c r="J2654" s="10"/>
      <c r="M2654" s="39"/>
      <c r="O2654" s="39"/>
      <c r="Q2654" s="39"/>
      <c r="R2654" s="28"/>
      <c r="S2654" s="28"/>
      <c r="T2654" s="28"/>
      <c r="U2654" s="4"/>
      <c r="V2654" s="3"/>
      <c r="W2654" s="3"/>
    </row>
    <row r="2655" spans="1:23" s="5" customFormat="1">
      <c r="A2655" s="6"/>
      <c r="B2655" s="33"/>
      <c r="C2655" s="35"/>
      <c r="E2655" s="39"/>
      <c r="G2655" s="40"/>
      <c r="H2655" s="15"/>
      <c r="I2655" s="17"/>
      <c r="J2655" s="10"/>
      <c r="M2655" s="39"/>
      <c r="O2655" s="39"/>
      <c r="Q2655" s="39"/>
      <c r="R2655" s="28"/>
      <c r="S2655" s="28"/>
      <c r="T2655" s="28"/>
      <c r="U2655" s="4"/>
      <c r="V2655" s="3"/>
      <c r="W2655" s="3"/>
    </row>
    <row r="2656" spans="1:23" s="5" customFormat="1">
      <c r="A2656" s="6"/>
      <c r="B2656" s="33"/>
      <c r="C2656" s="35"/>
      <c r="E2656" s="39"/>
      <c r="G2656" s="40"/>
      <c r="H2656" s="14"/>
      <c r="I2656" s="17"/>
      <c r="J2656" s="10"/>
      <c r="M2656" s="39"/>
      <c r="O2656" s="39"/>
      <c r="Q2656" s="39"/>
      <c r="R2656" s="28"/>
      <c r="S2656" s="28"/>
      <c r="T2656" s="28"/>
      <c r="U2656" s="4"/>
      <c r="V2656" s="3"/>
      <c r="W2656" s="3"/>
    </row>
    <row r="2657" spans="1:23" s="5" customFormat="1">
      <c r="A2657" s="6"/>
      <c r="B2657" s="33"/>
      <c r="C2657" s="35"/>
      <c r="E2657" s="39"/>
      <c r="G2657" s="40"/>
      <c r="H2657" s="14"/>
      <c r="I2657" s="17"/>
      <c r="J2657" s="10"/>
      <c r="M2657" s="39"/>
      <c r="O2657" s="39"/>
      <c r="Q2657" s="39"/>
      <c r="R2657" s="28"/>
      <c r="S2657" s="28"/>
      <c r="T2657" s="28"/>
      <c r="U2657" s="4"/>
      <c r="V2657" s="3"/>
      <c r="W2657" s="3"/>
    </row>
    <row r="2658" spans="1:23" s="5" customFormat="1">
      <c r="A2658" s="6"/>
      <c r="B2658" s="33"/>
      <c r="C2658" s="35"/>
      <c r="E2658" s="39"/>
      <c r="G2658" s="40"/>
      <c r="H2658" s="15"/>
      <c r="I2658" s="17"/>
      <c r="J2658" s="10"/>
      <c r="M2658" s="39"/>
      <c r="O2658" s="39"/>
      <c r="Q2658" s="39"/>
      <c r="R2658" s="28"/>
      <c r="S2658" s="28"/>
      <c r="T2658" s="28"/>
      <c r="U2658" s="4"/>
      <c r="V2658" s="3"/>
      <c r="W2658" s="3"/>
    </row>
    <row r="2659" spans="1:23" s="5" customFormat="1">
      <c r="A2659" s="6"/>
      <c r="B2659" s="33"/>
      <c r="C2659" s="35"/>
      <c r="E2659" s="39"/>
      <c r="G2659" s="40"/>
      <c r="H2659" s="15"/>
      <c r="I2659" s="17"/>
      <c r="J2659" s="10"/>
      <c r="M2659" s="39"/>
      <c r="O2659" s="39"/>
      <c r="Q2659" s="39"/>
      <c r="R2659" s="28"/>
      <c r="S2659" s="28"/>
      <c r="T2659" s="28"/>
      <c r="U2659" s="4"/>
      <c r="V2659" s="3"/>
      <c r="W2659" s="3"/>
    </row>
    <row r="2660" spans="1:23" s="5" customFormat="1">
      <c r="A2660" s="6"/>
      <c r="B2660" s="33"/>
      <c r="C2660" s="35"/>
      <c r="E2660" s="39"/>
      <c r="G2660" s="40"/>
      <c r="H2660" s="15"/>
      <c r="I2660" s="17"/>
      <c r="J2660" s="10"/>
      <c r="M2660" s="39"/>
      <c r="O2660" s="39"/>
      <c r="Q2660" s="39"/>
      <c r="R2660" s="28"/>
      <c r="S2660" s="28"/>
      <c r="T2660" s="28"/>
      <c r="U2660" s="4"/>
      <c r="V2660" s="3"/>
      <c r="W2660" s="3"/>
    </row>
    <row r="2661" spans="1:23" s="5" customFormat="1">
      <c r="A2661" s="6"/>
      <c r="B2661" s="33"/>
      <c r="C2661" s="35"/>
      <c r="E2661" s="39"/>
      <c r="G2661" s="40"/>
      <c r="H2661" s="14"/>
      <c r="I2661" s="17"/>
      <c r="J2661" s="10"/>
      <c r="M2661" s="39"/>
      <c r="O2661" s="39"/>
      <c r="Q2661" s="39"/>
      <c r="R2661" s="28"/>
      <c r="S2661" s="28"/>
      <c r="T2661" s="28"/>
      <c r="U2661" s="4"/>
      <c r="V2661" s="3"/>
      <c r="W2661" s="3"/>
    </row>
    <row r="2662" spans="1:23" s="5" customFormat="1">
      <c r="A2662" s="6"/>
      <c r="B2662" s="33"/>
      <c r="C2662" s="35"/>
      <c r="E2662" s="39"/>
      <c r="G2662" s="40"/>
      <c r="H2662" s="14"/>
      <c r="I2662" s="17"/>
      <c r="J2662" s="10"/>
      <c r="M2662" s="39"/>
      <c r="O2662" s="39"/>
      <c r="Q2662" s="39"/>
      <c r="R2662" s="28"/>
      <c r="S2662" s="28"/>
      <c r="T2662" s="28"/>
      <c r="U2662" s="4"/>
      <c r="V2662" s="3"/>
      <c r="W2662" s="3"/>
    </row>
    <row r="2663" spans="1:23" s="5" customFormat="1">
      <c r="A2663" s="6"/>
      <c r="B2663" s="33"/>
      <c r="C2663" s="35"/>
      <c r="E2663" s="39"/>
      <c r="G2663" s="40"/>
      <c r="H2663" s="14"/>
      <c r="I2663" s="17"/>
      <c r="J2663" s="10"/>
      <c r="M2663" s="39"/>
      <c r="O2663" s="39"/>
      <c r="Q2663" s="39"/>
      <c r="R2663" s="28"/>
      <c r="S2663" s="28"/>
      <c r="T2663" s="28"/>
      <c r="U2663" s="4"/>
      <c r="V2663" s="3"/>
      <c r="W2663" s="3"/>
    </row>
    <row r="2664" spans="1:23" s="5" customFormat="1">
      <c r="A2664" s="6"/>
      <c r="B2664" s="33"/>
      <c r="C2664" s="35"/>
      <c r="E2664" s="39"/>
      <c r="G2664" s="40"/>
      <c r="H2664" s="14"/>
      <c r="I2664" s="17"/>
      <c r="J2664" s="10"/>
      <c r="M2664" s="39"/>
      <c r="O2664" s="39"/>
      <c r="Q2664" s="39"/>
      <c r="R2664" s="28"/>
      <c r="S2664" s="28"/>
      <c r="T2664" s="28"/>
      <c r="U2664" s="4"/>
      <c r="V2664" s="3"/>
      <c r="W2664" s="3"/>
    </row>
    <row r="2665" spans="1:23" s="5" customFormat="1">
      <c r="A2665" s="6"/>
      <c r="B2665" s="33"/>
      <c r="C2665" s="35"/>
      <c r="E2665" s="39"/>
      <c r="G2665" s="40"/>
      <c r="H2665" s="14"/>
      <c r="I2665" s="17"/>
      <c r="J2665" s="10"/>
      <c r="M2665" s="39"/>
      <c r="O2665" s="39"/>
      <c r="Q2665" s="39"/>
      <c r="R2665" s="28"/>
      <c r="S2665" s="28"/>
      <c r="T2665" s="28"/>
      <c r="U2665" s="4"/>
      <c r="V2665" s="3"/>
      <c r="W2665" s="3"/>
    </row>
    <row r="2666" spans="1:23" s="5" customFormat="1">
      <c r="A2666" s="6"/>
      <c r="B2666" s="33"/>
      <c r="C2666" s="35"/>
      <c r="E2666" s="39"/>
      <c r="G2666" s="40"/>
      <c r="H2666" s="15"/>
      <c r="I2666" s="17"/>
      <c r="J2666" s="10"/>
      <c r="M2666" s="39"/>
      <c r="O2666" s="39"/>
      <c r="Q2666" s="39"/>
      <c r="R2666" s="28"/>
      <c r="S2666" s="28"/>
      <c r="T2666" s="28"/>
      <c r="U2666" s="4"/>
      <c r="V2666" s="3"/>
      <c r="W2666" s="3"/>
    </row>
    <row r="2667" spans="1:23" s="5" customFormat="1">
      <c r="A2667" s="6"/>
      <c r="B2667" s="33"/>
      <c r="C2667" s="35"/>
      <c r="E2667" s="39"/>
      <c r="G2667" s="40"/>
      <c r="H2667" s="14"/>
      <c r="I2667" s="17"/>
      <c r="J2667" s="10"/>
      <c r="M2667" s="39"/>
      <c r="O2667" s="39"/>
      <c r="Q2667" s="39"/>
      <c r="R2667" s="28"/>
      <c r="S2667" s="28"/>
      <c r="T2667" s="28"/>
      <c r="U2667" s="4"/>
      <c r="V2667" s="3"/>
      <c r="W2667" s="3"/>
    </row>
    <row r="2668" spans="1:23" s="5" customFormat="1">
      <c r="A2668" s="6"/>
      <c r="B2668" s="33"/>
      <c r="C2668" s="35"/>
      <c r="E2668" s="39"/>
      <c r="G2668" s="40"/>
      <c r="H2668" s="14"/>
      <c r="I2668" s="17"/>
      <c r="J2668" s="10"/>
      <c r="M2668" s="39"/>
      <c r="O2668" s="39"/>
      <c r="Q2668" s="39"/>
      <c r="R2668" s="28"/>
      <c r="S2668" s="28"/>
      <c r="T2668" s="28"/>
      <c r="U2668" s="4"/>
      <c r="V2668" s="3"/>
      <c r="W2668" s="3"/>
    </row>
    <row r="2669" spans="1:23" s="5" customFormat="1">
      <c r="A2669" s="6"/>
      <c r="B2669" s="33"/>
      <c r="C2669" s="35"/>
      <c r="E2669" s="39"/>
      <c r="G2669" s="40"/>
      <c r="H2669" s="14"/>
      <c r="I2669" s="17"/>
      <c r="J2669" s="10"/>
      <c r="M2669" s="39"/>
      <c r="O2669" s="39"/>
      <c r="Q2669" s="39"/>
      <c r="R2669" s="28"/>
      <c r="S2669" s="28"/>
      <c r="T2669" s="28"/>
      <c r="U2669" s="4"/>
      <c r="V2669" s="3"/>
      <c r="W2669" s="3"/>
    </row>
    <row r="2670" spans="1:23" s="5" customFormat="1">
      <c r="A2670" s="6"/>
      <c r="B2670" s="33"/>
      <c r="C2670" s="35"/>
      <c r="E2670" s="39"/>
      <c r="G2670" s="40"/>
      <c r="H2670" s="15"/>
      <c r="I2670" s="17"/>
      <c r="J2670" s="10"/>
      <c r="M2670" s="39"/>
      <c r="O2670" s="39"/>
      <c r="Q2670" s="39"/>
      <c r="R2670" s="28"/>
      <c r="S2670" s="28"/>
      <c r="T2670" s="28"/>
      <c r="U2670" s="4"/>
      <c r="V2670" s="3"/>
      <c r="W2670" s="3"/>
    </row>
    <row r="2671" spans="1:23" s="5" customFormat="1">
      <c r="A2671" s="6"/>
      <c r="B2671" s="33"/>
      <c r="C2671" s="35"/>
      <c r="E2671" s="39"/>
      <c r="G2671" s="40"/>
      <c r="H2671" s="14"/>
      <c r="I2671" s="17"/>
      <c r="J2671" s="10"/>
      <c r="M2671" s="39"/>
      <c r="O2671" s="39"/>
      <c r="Q2671" s="39"/>
      <c r="R2671" s="28"/>
      <c r="S2671" s="28"/>
      <c r="T2671" s="28"/>
      <c r="U2671" s="4"/>
      <c r="V2671" s="3"/>
      <c r="W2671" s="3"/>
    </row>
    <row r="2672" spans="1:23" s="5" customFormat="1">
      <c r="A2672" s="6"/>
      <c r="B2672" s="33"/>
      <c r="C2672" s="35"/>
      <c r="E2672" s="39"/>
      <c r="G2672" s="40"/>
      <c r="H2672" s="15"/>
      <c r="I2672" s="17"/>
      <c r="J2672" s="10"/>
      <c r="M2672" s="39"/>
      <c r="O2672" s="39"/>
      <c r="Q2672" s="39"/>
      <c r="R2672" s="28"/>
      <c r="S2672" s="28"/>
      <c r="T2672" s="28"/>
      <c r="U2672" s="4"/>
      <c r="V2672" s="3"/>
      <c r="W2672" s="3"/>
    </row>
    <row r="2673" spans="1:23" s="5" customFormat="1">
      <c r="A2673" s="6"/>
      <c r="B2673" s="33"/>
      <c r="C2673" s="35"/>
      <c r="E2673" s="39"/>
      <c r="G2673" s="40"/>
      <c r="H2673" s="15"/>
      <c r="I2673" s="17"/>
      <c r="J2673" s="10"/>
      <c r="M2673" s="39"/>
      <c r="O2673" s="39"/>
      <c r="Q2673" s="39"/>
      <c r="R2673" s="28"/>
      <c r="S2673" s="28"/>
      <c r="T2673" s="28"/>
      <c r="U2673" s="4"/>
      <c r="V2673" s="3"/>
      <c r="W2673" s="3"/>
    </row>
    <row r="2674" spans="1:23" s="5" customFormat="1">
      <c r="A2674" s="6"/>
      <c r="B2674" s="33"/>
      <c r="C2674" s="35"/>
      <c r="E2674" s="39"/>
      <c r="G2674" s="40"/>
      <c r="H2674" s="15"/>
      <c r="I2674" s="17"/>
      <c r="J2674" s="10"/>
      <c r="M2674" s="39"/>
      <c r="O2674" s="39"/>
      <c r="Q2674" s="39"/>
      <c r="R2674" s="28"/>
      <c r="S2674" s="28"/>
      <c r="T2674" s="28"/>
      <c r="U2674" s="4"/>
      <c r="V2674" s="3"/>
      <c r="W2674" s="3"/>
    </row>
    <row r="2675" spans="1:23" s="5" customFormat="1">
      <c r="A2675" s="6"/>
      <c r="B2675" s="33"/>
      <c r="C2675" s="35"/>
      <c r="E2675" s="39"/>
      <c r="G2675" s="40"/>
      <c r="H2675" s="14"/>
      <c r="I2675" s="17"/>
      <c r="J2675" s="10"/>
      <c r="M2675" s="39"/>
      <c r="O2675" s="39"/>
      <c r="Q2675" s="39"/>
      <c r="R2675" s="28"/>
      <c r="S2675" s="28"/>
      <c r="T2675" s="28"/>
      <c r="U2675" s="4"/>
      <c r="V2675" s="3"/>
      <c r="W2675" s="3"/>
    </row>
    <row r="2676" spans="1:23" s="5" customFormat="1">
      <c r="A2676" s="6"/>
      <c r="B2676" s="33"/>
      <c r="C2676" s="35"/>
      <c r="E2676" s="39"/>
      <c r="G2676" s="40"/>
      <c r="H2676" s="14"/>
      <c r="I2676" s="17"/>
      <c r="J2676" s="10"/>
      <c r="M2676" s="39"/>
      <c r="O2676" s="39"/>
      <c r="Q2676" s="39"/>
      <c r="R2676" s="28"/>
      <c r="S2676" s="28"/>
      <c r="T2676" s="28"/>
      <c r="U2676" s="4"/>
      <c r="V2676" s="3"/>
      <c r="W2676" s="3"/>
    </row>
    <row r="2677" spans="1:23" s="5" customFormat="1">
      <c r="A2677" s="6"/>
      <c r="B2677" s="33"/>
      <c r="C2677" s="35"/>
      <c r="E2677" s="39"/>
      <c r="G2677" s="40"/>
      <c r="H2677" s="14"/>
      <c r="I2677" s="17"/>
      <c r="J2677" s="10"/>
      <c r="M2677" s="39"/>
      <c r="O2677" s="39"/>
      <c r="Q2677" s="39"/>
      <c r="R2677" s="28"/>
      <c r="S2677" s="28"/>
      <c r="T2677" s="28"/>
      <c r="U2677" s="4"/>
      <c r="V2677" s="3"/>
      <c r="W2677" s="3"/>
    </row>
    <row r="2678" spans="1:23" s="5" customFormat="1">
      <c r="A2678" s="6"/>
      <c r="B2678" s="33"/>
      <c r="C2678" s="35"/>
      <c r="E2678" s="39"/>
      <c r="G2678" s="40"/>
      <c r="H2678" s="14"/>
      <c r="I2678" s="17"/>
      <c r="J2678" s="10"/>
      <c r="M2678" s="39"/>
      <c r="O2678" s="39"/>
      <c r="Q2678" s="39"/>
      <c r="R2678" s="28"/>
      <c r="S2678" s="28"/>
      <c r="T2678" s="28"/>
      <c r="U2678" s="4"/>
      <c r="V2678" s="3"/>
      <c r="W2678" s="3"/>
    </row>
    <row r="2679" spans="1:23" s="5" customFormat="1">
      <c r="A2679" s="6"/>
      <c r="B2679" s="33"/>
      <c r="C2679" s="35"/>
      <c r="E2679" s="39"/>
      <c r="G2679" s="40"/>
      <c r="H2679" s="14"/>
      <c r="I2679" s="17"/>
      <c r="J2679" s="10"/>
      <c r="M2679" s="39"/>
      <c r="O2679" s="39"/>
      <c r="Q2679" s="39"/>
      <c r="R2679" s="28"/>
      <c r="S2679" s="28"/>
      <c r="T2679" s="28"/>
      <c r="U2679" s="4"/>
      <c r="V2679" s="3"/>
      <c r="W2679" s="3"/>
    </row>
    <row r="2680" spans="1:23" s="5" customFormat="1">
      <c r="A2680" s="6"/>
      <c r="B2680" s="33"/>
      <c r="C2680" s="35"/>
      <c r="E2680" s="39"/>
      <c r="G2680" s="40"/>
      <c r="H2680" s="14"/>
      <c r="I2680" s="17"/>
      <c r="J2680" s="10"/>
      <c r="M2680" s="39"/>
      <c r="O2680" s="39"/>
      <c r="Q2680" s="39"/>
      <c r="R2680" s="28"/>
      <c r="S2680" s="28"/>
      <c r="T2680" s="28"/>
      <c r="U2680" s="4"/>
      <c r="V2680" s="3"/>
      <c r="W2680" s="3"/>
    </row>
    <row r="2681" spans="1:23" s="5" customFormat="1">
      <c r="A2681" s="6"/>
      <c r="B2681" s="33"/>
      <c r="C2681" s="35"/>
      <c r="E2681" s="39"/>
      <c r="G2681" s="40"/>
      <c r="H2681" s="15"/>
      <c r="I2681" s="17"/>
      <c r="J2681" s="10"/>
      <c r="M2681" s="39"/>
      <c r="O2681" s="39"/>
      <c r="Q2681" s="39"/>
      <c r="R2681" s="28"/>
      <c r="S2681" s="28"/>
      <c r="T2681" s="28"/>
      <c r="U2681" s="4"/>
      <c r="V2681" s="3"/>
      <c r="W2681" s="3"/>
    </row>
    <row r="2682" spans="1:23" s="5" customFormat="1">
      <c r="A2682" s="6"/>
      <c r="B2682" s="33"/>
      <c r="C2682" s="35"/>
      <c r="E2682" s="39"/>
      <c r="G2682" s="40"/>
      <c r="H2682" s="15"/>
      <c r="I2682" s="17"/>
      <c r="J2682" s="10"/>
      <c r="M2682" s="39"/>
      <c r="O2682" s="39"/>
      <c r="Q2682" s="39"/>
      <c r="R2682" s="28"/>
      <c r="S2682" s="28"/>
      <c r="T2682" s="28"/>
      <c r="U2682" s="4"/>
      <c r="V2682" s="3"/>
      <c r="W2682" s="3"/>
    </row>
    <row r="2683" spans="1:23" s="5" customFormat="1">
      <c r="A2683" s="6"/>
      <c r="B2683" s="33"/>
      <c r="C2683" s="35"/>
      <c r="E2683" s="39"/>
      <c r="G2683" s="40"/>
      <c r="H2683" s="15"/>
      <c r="I2683" s="17"/>
      <c r="J2683" s="10"/>
      <c r="M2683" s="39"/>
      <c r="O2683" s="39"/>
      <c r="Q2683" s="39"/>
      <c r="R2683" s="28"/>
      <c r="S2683" s="28"/>
      <c r="T2683" s="28"/>
      <c r="U2683" s="4"/>
      <c r="V2683" s="3"/>
      <c r="W2683" s="3"/>
    </row>
    <row r="2684" spans="1:23" s="5" customFormat="1">
      <c r="A2684" s="6"/>
      <c r="B2684" s="33"/>
      <c r="C2684" s="35"/>
      <c r="E2684" s="39"/>
      <c r="G2684" s="40"/>
      <c r="H2684" s="14"/>
      <c r="I2684" s="17"/>
      <c r="J2684" s="10"/>
      <c r="M2684" s="39"/>
      <c r="O2684" s="39"/>
      <c r="Q2684" s="39"/>
      <c r="R2684" s="28"/>
      <c r="S2684" s="28"/>
      <c r="T2684" s="28"/>
      <c r="U2684" s="4"/>
      <c r="V2684" s="3"/>
      <c r="W2684" s="3"/>
    </row>
    <row r="2685" spans="1:23" s="5" customFormat="1">
      <c r="A2685" s="6"/>
      <c r="B2685" s="33"/>
      <c r="C2685" s="35"/>
      <c r="E2685" s="39"/>
      <c r="G2685" s="40"/>
      <c r="H2685" s="14"/>
      <c r="I2685" s="17"/>
      <c r="J2685" s="10"/>
      <c r="M2685" s="39"/>
      <c r="O2685" s="39"/>
      <c r="Q2685" s="39"/>
      <c r="R2685" s="28"/>
      <c r="S2685" s="28"/>
      <c r="T2685" s="28"/>
      <c r="U2685" s="4"/>
      <c r="V2685" s="3"/>
      <c r="W2685" s="3"/>
    </row>
    <row r="2686" spans="1:23" s="5" customFormat="1">
      <c r="A2686" s="6"/>
      <c r="B2686" s="33"/>
      <c r="C2686" s="35"/>
      <c r="E2686" s="39"/>
      <c r="G2686" s="40"/>
      <c r="H2686" s="14"/>
      <c r="I2686" s="17"/>
      <c r="J2686" s="10"/>
      <c r="M2686" s="39"/>
      <c r="O2686" s="39"/>
      <c r="Q2686" s="39"/>
      <c r="R2686" s="28"/>
      <c r="S2686" s="28"/>
      <c r="T2686" s="28"/>
      <c r="U2686" s="4"/>
      <c r="V2686" s="3"/>
      <c r="W2686" s="3"/>
    </row>
    <row r="2687" spans="1:23" s="5" customFormat="1">
      <c r="A2687" s="6"/>
      <c r="B2687" s="33"/>
      <c r="C2687" s="35"/>
      <c r="E2687" s="39"/>
      <c r="G2687" s="40"/>
      <c r="H2687" s="14"/>
      <c r="I2687" s="17"/>
      <c r="J2687" s="10"/>
      <c r="M2687" s="39"/>
      <c r="O2687" s="39"/>
      <c r="Q2687" s="39"/>
      <c r="R2687" s="28"/>
      <c r="S2687" s="28"/>
      <c r="T2687" s="28"/>
      <c r="U2687" s="4"/>
      <c r="V2687" s="3"/>
      <c r="W2687" s="3"/>
    </row>
    <row r="2688" spans="1:23" s="5" customFormat="1">
      <c r="A2688" s="6"/>
      <c r="B2688" s="33"/>
      <c r="C2688" s="35"/>
      <c r="E2688" s="39"/>
      <c r="G2688" s="40"/>
      <c r="H2688" s="14"/>
      <c r="I2688" s="17"/>
      <c r="J2688" s="10"/>
      <c r="M2688" s="39"/>
      <c r="O2688" s="39"/>
      <c r="Q2688" s="39"/>
      <c r="R2688" s="28"/>
      <c r="S2688" s="28"/>
      <c r="T2688" s="28"/>
      <c r="U2688" s="4"/>
      <c r="V2688" s="3"/>
      <c r="W2688" s="3"/>
    </row>
    <row r="2689" spans="1:23" s="5" customFormat="1">
      <c r="A2689" s="6"/>
      <c r="B2689" s="33"/>
      <c r="C2689" s="35"/>
      <c r="E2689" s="39"/>
      <c r="G2689" s="40"/>
      <c r="H2689" s="14"/>
      <c r="I2689" s="17"/>
      <c r="J2689" s="10"/>
      <c r="M2689" s="39"/>
      <c r="O2689" s="39"/>
      <c r="Q2689" s="39"/>
      <c r="R2689" s="28"/>
      <c r="S2689" s="28"/>
      <c r="T2689" s="28"/>
      <c r="U2689" s="4"/>
      <c r="V2689" s="3"/>
      <c r="W2689" s="3"/>
    </row>
    <row r="2690" spans="1:23" s="5" customFormat="1">
      <c r="A2690" s="6"/>
      <c r="B2690" s="33"/>
      <c r="C2690" s="35"/>
      <c r="E2690" s="39"/>
      <c r="G2690" s="40"/>
      <c r="H2690" s="14"/>
      <c r="I2690" s="17"/>
      <c r="J2690" s="10"/>
      <c r="M2690" s="39"/>
      <c r="O2690" s="39"/>
      <c r="Q2690" s="39"/>
      <c r="R2690" s="28"/>
      <c r="S2690" s="28"/>
      <c r="T2690" s="28"/>
      <c r="U2690" s="4"/>
      <c r="V2690" s="3"/>
      <c r="W2690" s="3"/>
    </row>
    <row r="2691" spans="1:23" s="5" customFormat="1">
      <c r="A2691" s="6"/>
      <c r="B2691" s="33"/>
      <c r="C2691" s="35"/>
      <c r="E2691" s="39"/>
      <c r="G2691" s="40"/>
      <c r="H2691" s="15"/>
      <c r="I2691" s="17"/>
      <c r="J2691" s="10"/>
      <c r="M2691" s="39"/>
      <c r="O2691" s="39"/>
      <c r="Q2691" s="39"/>
      <c r="R2691" s="28"/>
      <c r="S2691" s="28"/>
      <c r="T2691" s="28"/>
      <c r="U2691" s="4"/>
      <c r="V2691" s="3"/>
      <c r="W2691" s="3"/>
    </row>
    <row r="2692" spans="1:23" s="5" customFormat="1">
      <c r="A2692" s="6"/>
      <c r="B2692" s="33"/>
      <c r="C2692" s="35"/>
      <c r="E2692" s="39"/>
      <c r="G2692" s="40"/>
      <c r="H2692" s="14"/>
      <c r="I2692" s="17"/>
      <c r="J2692" s="10"/>
      <c r="M2692" s="39"/>
      <c r="O2692" s="39"/>
      <c r="Q2692" s="39"/>
      <c r="R2692" s="28"/>
      <c r="S2692" s="28"/>
      <c r="T2692" s="28"/>
      <c r="U2692" s="4"/>
      <c r="V2692" s="3"/>
      <c r="W2692" s="3"/>
    </row>
    <row r="2693" spans="1:23" s="5" customFormat="1">
      <c r="A2693" s="6"/>
      <c r="B2693" s="33"/>
      <c r="C2693" s="35"/>
      <c r="E2693" s="39"/>
      <c r="G2693" s="40"/>
      <c r="H2693" s="14"/>
      <c r="I2693" s="17"/>
      <c r="J2693" s="10"/>
      <c r="M2693" s="39"/>
      <c r="O2693" s="39"/>
      <c r="Q2693" s="39"/>
      <c r="R2693" s="28"/>
      <c r="S2693" s="28"/>
      <c r="T2693" s="28"/>
      <c r="U2693" s="4"/>
      <c r="V2693" s="3"/>
      <c r="W2693" s="3"/>
    </row>
    <row r="2694" spans="1:23" s="5" customFormat="1">
      <c r="A2694" s="6"/>
      <c r="B2694" s="33"/>
      <c r="C2694" s="35"/>
      <c r="E2694" s="39"/>
      <c r="G2694" s="40"/>
      <c r="H2694" s="15"/>
      <c r="I2694" s="17"/>
      <c r="J2694" s="10"/>
      <c r="M2694" s="39"/>
      <c r="O2694" s="39"/>
      <c r="Q2694" s="39"/>
      <c r="R2694" s="28"/>
      <c r="S2694" s="28"/>
      <c r="T2694" s="28"/>
      <c r="U2694" s="4"/>
      <c r="V2694" s="3"/>
      <c r="W2694" s="3"/>
    </row>
    <row r="2695" spans="1:23" s="5" customFormat="1">
      <c r="A2695" s="6"/>
      <c r="B2695" s="33"/>
      <c r="C2695" s="35"/>
      <c r="E2695" s="39"/>
      <c r="G2695" s="40"/>
      <c r="H2695" s="14"/>
      <c r="I2695" s="17"/>
      <c r="J2695" s="10"/>
      <c r="M2695" s="39"/>
      <c r="O2695" s="39"/>
      <c r="Q2695" s="39"/>
      <c r="R2695" s="28"/>
      <c r="S2695" s="28"/>
      <c r="T2695" s="28"/>
      <c r="U2695" s="4"/>
      <c r="V2695" s="3"/>
      <c r="W2695" s="3"/>
    </row>
    <row r="2696" spans="1:23" s="5" customFormat="1">
      <c r="A2696" s="6"/>
      <c r="B2696" s="33"/>
      <c r="C2696" s="35"/>
      <c r="E2696" s="39"/>
      <c r="G2696" s="40"/>
      <c r="H2696" s="14"/>
      <c r="I2696" s="17"/>
      <c r="J2696" s="10"/>
      <c r="M2696" s="39"/>
      <c r="O2696" s="39"/>
      <c r="Q2696" s="39"/>
      <c r="R2696" s="28"/>
      <c r="S2696" s="28"/>
      <c r="T2696" s="28"/>
      <c r="U2696" s="4"/>
      <c r="V2696" s="3"/>
      <c r="W2696" s="3"/>
    </row>
    <row r="2697" spans="1:23" s="5" customFormat="1">
      <c r="A2697" s="6"/>
      <c r="B2697" s="33"/>
      <c r="C2697" s="35"/>
      <c r="E2697" s="39"/>
      <c r="G2697" s="40"/>
      <c r="H2697" s="15"/>
      <c r="I2697" s="17"/>
      <c r="J2697" s="10"/>
      <c r="K2697" s="1"/>
      <c r="M2697" s="39"/>
      <c r="O2697" s="39"/>
      <c r="Q2697" s="39"/>
      <c r="R2697" s="29"/>
      <c r="S2697" s="29"/>
      <c r="T2697" s="28"/>
      <c r="U2697" s="4"/>
      <c r="V2697" s="3"/>
      <c r="W2697" s="3"/>
    </row>
    <row r="2698" spans="1:23" s="5" customFormat="1">
      <c r="A2698" s="6"/>
      <c r="B2698" s="33"/>
      <c r="C2698" s="35"/>
      <c r="E2698" s="39"/>
      <c r="G2698" s="40"/>
      <c r="H2698" s="14"/>
      <c r="I2698" s="17"/>
      <c r="J2698" s="10"/>
      <c r="M2698" s="39"/>
      <c r="O2698" s="39"/>
      <c r="Q2698" s="39"/>
      <c r="R2698" s="28"/>
      <c r="S2698" s="28"/>
      <c r="T2698" s="28"/>
      <c r="U2698" s="4"/>
      <c r="V2698" s="3"/>
      <c r="W2698" s="3"/>
    </row>
    <row r="2699" spans="1:23" s="5" customFormat="1">
      <c r="A2699" s="6"/>
      <c r="B2699" s="33"/>
      <c r="C2699" s="35"/>
      <c r="E2699" s="39"/>
      <c r="G2699" s="40"/>
      <c r="H2699" s="14"/>
      <c r="I2699" s="17"/>
      <c r="J2699" s="10"/>
      <c r="M2699" s="39"/>
      <c r="O2699" s="39"/>
      <c r="Q2699" s="39"/>
      <c r="R2699" s="28"/>
      <c r="S2699" s="28"/>
      <c r="T2699" s="28"/>
      <c r="U2699" s="4"/>
      <c r="V2699" s="3"/>
      <c r="W2699" s="3"/>
    </row>
    <row r="2700" spans="1:23" s="5" customFormat="1">
      <c r="A2700" s="6"/>
      <c r="B2700" s="33"/>
      <c r="C2700" s="35"/>
      <c r="E2700" s="39"/>
      <c r="G2700" s="40"/>
      <c r="H2700" s="14"/>
      <c r="I2700" s="17"/>
      <c r="J2700" s="10"/>
      <c r="M2700" s="39"/>
      <c r="O2700" s="39"/>
      <c r="Q2700" s="39"/>
      <c r="R2700" s="28"/>
      <c r="S2700" s="28"/>
      <c r="T2700" s="28"/>
      <c r="U2700" s="4"/>
      <c r="V2700" s="3"/>
      <c r="W2700" s="3"/>
    </row>
    <row r="2701" spans="1:23" s="5" customFormat="1">
      <c r="A2701" s="6"/>
      <c r="B2701" s="33"/>
      <c r="C2701" s="35"/>
      <c r="E2701" s="39"/>
      <c r="G2701" s="40"/>
      <c r="H2701" s="14"/>
      <c r="I2701" s="17"/>
      <c r="J2701" s="10"/>
      <c r="M2701" s="39"/>
      <c r="O2701" s="39"/>
      <c r="Q2701" s="39"/>
      <c r="R2701" s="28"/>
      <c r="S2701" s="28"/>
      <c r="T2701" s="28"/>
      <c r="U2701" s="4"/>
      <c r="V2701" s="3"/>
      <c r="W2701" s="3"/>
    </row>
    <row r="2702" spans="1:23" s="5" customFormat="1">
      <c r="A2702" s="20"/>
      <c r="B2702" s="36"/>
      <c r="C2702" s="35"/>
      <c r="E2702" s="39"/>
      <c r="F2702" s="1"/>
      <c r="G2702" s="40"/>
      <c r="H2702" s="12"/>
      <c r="I2702" s="9"/>
      <c r="J2702" s="12"/>
      <c r="M2702" s="39"/>
      <c r="O2702" s="39"/>
      <c r="Q2702" s="39"/>
      <c r="R2702" s="28"/>
      <c r="S2702" s="28"/>
      <c r="T2702" s="28"/>
      <c r="U2702" s="4"/>
      <c r="V2702" s="3"/>
      <c r="W2702" s="3"/>
    </row>
    <row r="2703" spans="1:23" s="5" customFormat="1">
      <c r="A2703" s="6"/>
      <c r="B2703" s="33"/>
      <c r="C2703" s="35"/>
      <c r="E2703" s="39"/>
      <c r="G2703" s="40"/>
      <c r="H2703" s="14"/>
      <c r="I2703" s="17"/>
      <c r="J2703" s="10"/>
      <c r="M2703" s="39"/>
      <c r="O2703" s="39"/>
      <c r="Q2703" s="39"/>
      <c r="R2703" s="28"/>
      <c r="S2703" s="28"/>
      <c r="T2703" s="28"/>
      <c r="U2703" s="4"/>
      <c r="V2703" s="3"/>
      <c r="W2703" s="3"/>
    </row>
    <row r="2704" spans="1:23" s="5" customFormat="1">
      <c r="A2704" s="6"/>
      <c r="B2704" s="33"/>
      <c r="C2704" s="35"/>
      <c r="E2704" s="39"/>
      <c r="G2704" s="40"/>
      <c r="H2704" s="14"/>
      <c r="I2704" s="17"/>
      <c r="J2704" s="10"/>
      <c r="M2704" s="39"/>
      <c r="O2704" s="39"/>
      <c r="Q2704" s="39"/>
      <c r="R2704" s="28"/>
      <c r="S2704" s="28"/>
      <c r="T2704" s="28"/>
      <c r="U2704" s="4"/>
      <c r="V2704" s="3"/>
      <c r="W2704" s="3"/>
    </row>
    <row r="2705" spans="1:23" s="5" customFormat="1">
      <c r="A2705" s="6"/>
      <c r="B2705" s="33"/>
      <c r="C2705" s="35"/>
      <c r="E2705" s="39"/>
      <c r="G2705" s="40"/>
      <c r="H2705" s="14"/>
      <c r="I2705" s="17"/>
      <c r="J2705" s="10"/>
      <c r="M2705" s="39"/>
      <c r="O2705" s="39"/>
      <c r="Q2705" s="39"/>
      <c r="R2705" s="28"/>
      <c r="S2705" s="28"/>
      <c r="T2705" s="28"/>
      <c r="U2705" s="4"/>
      <c r="V2705" s="3"/>
      <c r="W2705" s="3"/>
    </row>
    <row r="2706" spans="1:23" s="5" customFormat="1">
      <c r="A2706" s="6"/>
      <c r="B2706" s="33"/>
      <c r="C2706" s="35"/>
      <c r="E2706" s="39"/>
      <c r="G2706" s="40"/>
      <c r="H2706" s="15"/>
      <c r="I2706" s="17"/>
      <c r="J2706" s="10"/>
      <c r="M2706" s="39"/>
      <c r="O2706" s="39"/>
      <c r="Q2706" s="39"/>
      <c r="R2706" s="28"/>
      <c r="S2706" s="28"/>
      <c r="T2706" s="28"/>
      <c r="U2706" s="4"/>
      <c r="V2706" s="3"/>
      <c r="W2706" s="3"/>
    </row>
    <row r="2707" spans="1:23" s="5" customFormat="1">
      <c r="A2707" s="6"/>
      <c r="B2707" s="33"/>
      <c r="C2707" s="35"/>
      <c r="E2707" s="39"/>
      <c r="G2707" s="40"/>
      <c r="H2707" s="14"/>
      <c r="I2707" s="17"/>
      <c r="J2707" s="10"/>
      <c r="M2707" s="39"/>
      <c r="O2707" s="39"/>
      <c r="Q2707" s="39"/>
      <c r="R2707" s="28"/>
      <c r="S2707" s="28"/>
      <c r="T2707" s="28"/>
      <c r="U2707" s="4"/>
      <c r="V2707" s="3"/>
      <c r="W2707" s="3"/>
    </row>
    <row r="2708" spans="1:23" s="5" customFormat="1">
      <c r="A2708" s="6"/>
      <c r="B2708" s="33"/>
      <c r="C2708" s="35"/>
      <c r="E2708" s="39"/>
      <c r="G2708" s="40"/>
      <c r="H2708" s="15"/>
      <c r="I2708" s="17"/>
      <c r="J2708" s="10"/>
      <c r="M2708" s="39"/>
      <c r="O2708" s="39"/>
      <c r="Q2708" s="39"/>
      <c r="R2708" s="28"/>
      <c r="S2708" s="28"/>
      <c r="T2708" s="28"/>
      <c r="U2708" s="4"/>
      <c r="V2708" s="3"/>
      <c r="W2708" s="3"/>
    </row>
    <row r="2709" spans="1:23" s="5" customFormat="1">
      <c r="A2709" s="6"/>
      <c r="B2709" s="33"/>
      <c r="C2709" s="35"/>
      <c r="E2709" s="39"/>
      <c r="G2709" s="40"/>
      <c r="H2709" s="14"/>
      <c r="I2709" s="17"/>
      <c r="J2709" s="10"/>
      <c r="M2709" s="39"/>
      <c r="O2709" s="39"/>
      <c r="Q2709" s="39"/>
      <c r="R2709" s="28"/>
      <c r="S2709" s="28"/>
      <c r="T2709" s="28"/>
      <c r="U2709" s="4"/>
      <c r="V2709" s="3"/>
      <c r="W2709" s="3"/>
    </row>
    <row r="2710" spans="1:23" s="5" customFormat="1">
      <c r="A2710" s="6"/>
      <c r="B2710" s="33"/>
      <c r="C2710" s="35"/>
      <c r="E2710" s="39"/>
      <c r="G2710" s="40"/>
      <c r="H2710" s="14"/>
      <c r="I2710" s="17"/>
      <c r="J2710" s="10"/>
      <c r="M2710" s="39"/>
      <c r="O2710" s="39"/>
      <c r="Q2710" s="39"/>
      <c r="R2710" s="28"/>
      <c r="S2710" s="28"/>
      <c r="T2710" s="28"/>
      <c r="U2710" s="4"/>
      <c r="V2710" s="3"/>
      <c r="W2710" s="3"/>
    </row>
    <row r="2711" spans="1:23" s="5" customFormat="1">
      <c r="A2711" s="6"/>
      <c r="B2711" s="33"/>
      <c r="C2711" s="35"/>
      <c r="E2711" s="39"/>
      <c r="G2711" s="40"/>
      <c r="H2711" s="14"/>
      <c r="I2711" s="17"/>
      <c r="J2711" s="10"/>
      <c r="M2711" s="39"/>
      <c r="O2711" s="39"/>
      <c r="Q2711" s="39"/>
      <c r="R2711" s="28"/>
      <c r="S2711" s="28"/>
      <c r="T2711" s="28"/>
      <c r="U2711" s="4"/>
      <c r="V2711" s="3"/>
      <c r="W2711" s="3"/>
    </row>
    <row r="2712" spans="1:23" s="5" customFormat="1">
      <c r="A2712" s="6"/>
      <c r="B2712" s="33"/>
      <c r="C2712" s="35"/>
      <c r="E2712" s="39"/>
      <c r="G2712" s="40"/>
      <c r="H2712" s="15"/>
      <c r="I2712" s="17"/>
      <c r="J2712" s="10"/>
      <c r="M2712" s="39"/>
      <c r="O2712" s="39"/>
      <c r="Q2712" s="39"/>
      <c r="R2712" s="28"/>
      <c r="S2712" s="28"/>
      <c r="T2712" s="28"/>
      <c r="U2712" s="4"/>
      <c r="V2712" s="3"/>
      <c r="W2712" s="3"/>
    </row>
    <row r="2713" spans="1:23" s="5" customFormat="1">
      <c r="A2713" s="6"/>
      <c r="B2713" s="33"/>
      <c r="C2713" s="35"/>
      <c r="E2713" s="39"/>
      <c r="G2713" s="40"/>
      <c r="H2713" s="15"/>
      <c r="I2713" s="17"/>
      <c r="J2713" s="10"/>
      <c r="M2713" s="39"/>
      <c r="O2713" s="39"/>
      <c r="Q2713" s="39"/>
      <c r="R2713" s="28"/>
      <c r="S2713" s="28"/>
      <c r="T2713" s="28"/>
      <c r="U2713" s="4"/>
      <c r="V2713" s="3"/>
      <c r="W2713" s="3"/>
    </row>
    <row r="2714" spans="1:23" s="5" customFormat="1">
      <c r="A2714" s="6"/>
      <c r="B2714" s="33"/>
      <c r="C2714" s="35"/>
      <c r="E2714" s="39"/>
      <c r="G2714" s="40"/>
      <c r="H2714" s="15"/>
      <c r="I2714" s="17"/>
      <c r="J2714" s="10"/>
      <c r="M2714" s="39"/>
      <c r="O2714" s="39"/>
      <c r="Q2714" s="39"/>
      <c r="R2714" s="28"/>
      <c r="S2714" s="28"/>
      <c r="T2714" s="28"/>
      <c r="U2714" s="4"/>
      <c r="V2714" s="3"/>
      <c r="W2714" s="3"/>
    </row>
    <row r="2715" spans="1:23" s="5" customFormat="1">
      <c r="A2715" s="6"/>
      <c r="B2715" s="33"/>
      <c r="C2715" s="35"/>
      <c r="E2715" s="39"/>
      <c r="G2715" s="40"/>
      <c r="H2715" s="14"/>
      <c r="I2715" s="17"/>
      <c r="J2715" s="10"/>
      <c r="M2715" s="39"/>
      <c r="O2715" s="39"/>
      <c r="Q2715" s="39"/>
      <c r="R2715" s="28"/>
      <c r="S2715" s="28"/>
      <c r="T2715" s="28"/>
      <c r="U2715" s="4"/>
      <c r="V2715" s="3"/>
      <c r="W2715" s="3"/>
    </row>
    <row r="2716" spans="1:23" s="5" customFormat="1">
      <c r="A2716" s="6"/>
      <c r="B2716" s="33"/>
      <c r="C2716" s="35"/>
      <c r="E2716" s="39"/>
      <c r="G2716" s="40"/>
      <c r="H2716" s="14"/>
      <c r="I2716" s="17"/>
      <c r="J2716" s="10"/>
      <c r="M2716" s="39"/>
      <c r="O2716" s="39"/>
      <c r="Q2716" s="39"/>
      <c r="R2716" s="28"/>
      <c r="S2716" s="28"/>
      <c r="T2716" s="28"/>
      <c r="U2716" s="4"/>
      <c r="V2716" s="3"/>
      <c r="W2716" s="3"/>
    </row>
    <row r="2717" spans="1:23" s="5" customFormat="1">
      <c r="A2717" s="6"/>
      <c r="B2717" s="33"/>
      <c r="C2717" s="35"/>
      <c r="E2717" s="39"/>
      <c r="G2717" s="40"/>
      <c r="H2717" s="15"/>
      <c r="I2717" s="17"/>
      <c r="J2717" s="10"/>
      <c r="M2717" s="39"/>
      <c r="O2717" s="39"/>
      <c r="Q2717" s="39"/>
      <c r="R2717" s="28"/>
      <c r="S2717" s="28"/>
      <c r="T2717" s="28"/>
      <c r="U2717" s="4"/>
      <c r="V2717" s="3"/>
      <c r="W2717" s="3"/>
    </row>
    <row r="2718" spans="1:23" s="5" customFormat="1">
      <c r="A2718" s="6"/>
      <c r="B2718" s="33"/>
      <c r="C2718" s="35"/>
      <c r="E2718" s="39"/>
      <c r="G2718" s="40"/>
      <c r="H2718" s="15"/>
      <c r="I2718" s="17"/>
      <c r="J2718" s="10"/>
      <c r="M2718" s="39"/>
      <c r="O2718" s="39"/>
      <c r="Q2718" s="39"/>
      <c r="R2718" s="28"/>
      <c r="S2718" s="28"/>
      <c r="T2718" s="28"/>
      <c r="U2718" s="4"/>
      <c r="V2718" s="3"/>
      <c r="W2718" s="3"/>
    </row>
    <row r="2719" spans="1:23" s="5" customFormat="1">
      <c r="A2719" s="6"/>
      <c r="B2719" s="33"/>
      <c r="C2719" s="35"/>
      <c r="E2719" s="39"/>
      <c r="G2719" s="40"/>
      <c r="H2719" s="15"/>
      <c r="I2719" s="17"/>
      <c r="J2719" s="10"/>
      <c r="M2719" s="39"/>
      <c r="O2719" s="39"/>
      <c r="Q2719" s="39"/>
      <c r="R2719" s="28"/>
      <c r="S2719" s="28"/>
      <c r="T2719" s="28"/>
      <c r="U2719" s="4"/>
      <c r="V2719" s="3"/>
      <c r="W2719" s="3"/>
    </row>
    <row r="2720" spans="1:23" s="5" customFormat="1">
      <c r="A2720" s="6"/>
      <c r="B2720" s="33"/>
      <c r="C2720" s="35"/>
      <c r="E2720" s="39"/>
      <c r="G2720" s="40"/>
      <c r="H2720" s="15"/>
      <c r="I2720" s="17"/>
      <c r="J2720" s="10"/>
      <c r="M2720" s="39"/>
      <c r="O2720" s="39"/>
      <c r="Q2720" s="39"/>
      <c r="R2720" s="28"/>
      <c r="S2720" s="28"/>
      <c r="T2720" s="28"/>
      <c r="U2720" s="4"/>
      <c r="V2720" s="3"/>
      <c r="W2720" s="3"/>
    </row>
    <row r="2721" spans="1:23" s="5" customFormat="1">
      <c r="A2721" s="6"/>
      <c r="B2721" s="33"/>
      <c r="C2721" s="35"/>
      <c r="E2721" s="39"/>
      <c r="G2721" s="40"/>
      <c r="H2721" s="14"/>
      <c r="I2721" s="17"/>
      <c r="J2721" s="10"/>
      <c r="M2721" s="39"/>
      <c r="O2721" s="39"/>
      <c r="Q2721" s="39"/>
      <c r="R2721" s="28"/>
      <c r="S2721" s="28"/>
      <c r="T2721" s="28"/>
      <c r="U2721" s="4"/>
      <c r="V2721" s="3"/>
      <c r="W2721" s="3"/>
    </row>
    <row r="2722" spans="1:23" s="5" customFormat="1">
      <c r="A2722" s="6"/>
      <c r="B2722" s="33"/>
      <c r="C2722" s="35"/>
      <c r="E2722" s="39"/>
      <c r="G2722" s="40"/>
      <c r="H2722" s="15"/>
      <c r="I2722" s="17"/>
      <c r="J2722" s="10"/>
      <c r="M2722" s="39"/>
      <c r="O2722" s="39"/>
      <c r="Q2722" s="39"/>
      <c r="R2722" s="28"/>
      <c r="S2722" s="28"/>
      <c r="T2722" s="28"/>
      <c r="U2722" s="4"/>
      <c r="V2722" s="3"/>
      <c r="W2722" s="3"/>
    </row>
    <row r="2723" spans="1:23" s="5" customFormat="1">
      <c r="A2723" s="6"/>
      <c r="B2723" s="33"/>
      <c r="C2723" s="35"/>
      <c r="E2723" s="39"/>
      <c r="G2723" s="40"/>
      <c r="H2723" s="15"/>
      <c r="I2723" s="17"/>
      <c r="J2723" s="10"/>
      <c r="M2723" s="39"/>
      <c r="O2723" s="39"/>
      <c r="Q2723" s="39"/>
      <c r="R2723" s="28"/>
      <c r="S2723" s="28"/>
      <c r="T2723" s="28"/>
      <c r="U2723" s="4"/>
      <c r="V2723" s="3"/>
      <c r="W2723" s="3"/>
    </row>
    <row r="2724" spans="1:23" s="5" customFormat="1">
      <c r="A2724" s="6"/>
      <c r="B2724" s="33"/>
      <c r="C2724" s="35"/>
      <c r="E2724" s="39"/>
      <c r="G2724" s="40"/>
      <c r="H2724" s="15"/>
      <c r="I2724" s="17"/>
      <c r="J2724" s="10"/>
      <c r="M2724" s="39"/>
      <c r="O2724" s="39"/>
      <c r="Q2724" s="39"/>
      <c r="R2724" s="28"/>
      <c r="S2724" s="28"/>
      <c r="T2724" s="28"/>
      <c r="U2724" s="4"/>
      <c r="V2724" s="3"/>
      <c r="W2724" s="3"/>
    </row>
    <row r="2725" spans="1:23" s="5" customFormat="1">
      <c r="A2725" s="6"/>
      <c r="B2725" s="33"/>
      <c r="C2725" s="35"/>
      <c r="E2725" s="39"/>
      <c r="G2725" s="40"/>
      <c r="H2725" s="15"/>
      <c r="I2725" s="17"/>
      <c r="J2725" s="10"/>
      <c r="M2725" s="39"/>
      <c r="O2725" s="39"/>
      <c r="Q2725" s="39"/>
      <c r="R2725" s="28"/>
      <c r="S2725" s="28"/>
      <c r="T2725" s="28"/>
      <c r="U2725" s="4"/>
      <c r="V2725" s="3"/>
      <c r="W2725" s="3"/>
    </row>
    <row r="2726" spans="1:23" s="5" customFormat="1">
      <c r="A2726" s="6"/>
      <c r="B2726" s="33"/>
      <c r="C2726" s="35"/>
      <c r="E2726" s="39"/>
      <c r="G2726" s="40"/>
      <c r="H2726" s="15"/>
      <c r="I2726" s="17"/>
      <c r="J2726" s="10"/>
      <c r="M2726" s="39"/>
      <c r="O2726" s="39"/>
      <c r="Q2726" s="39"/>
      <c r="R2726" s="28"/>
      <c r="S2726" s="28"/>
      <c r="T2726" s="28"/>
      <c r="U2726" s="4"/>
      <c r="V2726" s="3"/>
      <c r="W2726" s="3"/>
    </row>
    <row r="2727" spans="1:23" s="5" customFormat="1">
      <c r="A2727" s="6"/>
      <c r="B2727" s="33"/>
      <c r="C2727" s="35"/>
      <c r="E2727" s="39"/>
      <c r="G2727" s="40"/>
      <c r="H2727" s="15"/>
      <c r="I2727" s="17"/>
      <c r="J2727" s="10"/>
      <c r="M2727" s="39"/>
      <c r="O2727" s="39"/>
      <c r="Q2727" s="39"/>
      <c r="R2727" s="28"/>
      <c r="S2727" s="28"/>
      <c r="T2727" s="28"/>
      <c r="U2727" s="4"/>
      <c r="V2727" s="3"/>
      <c r="W2727" s="3"/>
    </row>
    <row r="2728" spans="1:23" s="5" customFormat="1">
      <c r="A2728" s="6"/>
      <c r="B2728" s="33"/>
      <c r="C2728" s="35"/>
      <c r="E2728" s="39"/>
      <c r="G2728" s="40"/>
      <c r="H2728" s="15"/>
      <c r="I2728" s="17"/>
      <c r="J2728" s="10"/>
      <c r="M2728" s="39"/>
      <c r="O2728" s="39"/>
      <c r="Q2728" s="39"/>
      <c r="R2728" s="28"/>
      <c r="S2728" s="28"/>
      <c r="T2728" s="28"/>
      <c r="U2728" s="4"/>
      <c r="V2728" s="3"/>
      <c r="W2728" s="3"/>
    </row>
    <row r="2729" spans="1:23" s="5" customFormat="1">
      <c r="A2729" s="6"/>
      <c r="B2729" s="33"/>
      <c r="C2729" s="35"/>
      <c r="E2729" s="39"/>
      <c r="G2729" s="40"/>
      <c r="H2729" s="15"/>
      <c r="I2729" s="17"/>
      <c r="J2729" s="10"/>
      <c r="M2729" s="39"/>
      <c r="O2729" s="39"/>
      <c r="Q2729" s="39"/>
      <c r="R2729" s="28"/>
      <c r="S2729" s="28"/>
      <c r="T2729" s="28"/>
      <c r="U2729" s="4"/>
      <c r="V2729" s="3"/>
      <c r="W2729" s="3"/>
    </row>
    <row r="2730" spans="1:23" s="5" customFormat="1">
      <c r="A2730" s="6"/>
      <c r="B2730" s="33"/>
      <c r="C2730" s="35"/>
      <c r="E2730" s="39"/>
      <c r="G2730" s="40"/>
      <c r="H2730" s="14"/>
      <c r="I2730" s="17"/>
      <c r="J2730" s="10"/>
      <c r="M2730" s="39"/>
      <c r="O2730" s="39"/>
      <c r="Q2730" s="39"/>
      <c r="R2730" s="28"/>
      <c r="S2730" s="28"/>
      <c r="T2730" s="28"/>
      <c r="U2730" s="4"/>
      <c r="V2730" s="3"/>
      <c r="W2730" s="3"/>
    </row>
    <row r="2731" spans="1:23" s="5" customFormat="1">
      <c r="A2731" s="6"/>
      <c r="B2731" s="33"/>
      <c r="C2731" s="35"/>
      <c r="E2731" s="39"/>
      <c r="G2731" s="40"/>
      <c r="H2731" s="15"/>
      <c r="I2731" s="17"/>
      <c r="J2731" s="10"/>
      <c r="M2731" s="39"/>
      <c r="O2731" s="39"/>
      <c r="Q2731" s="39"/>
      <c r="R2731" s="28"/>
      <c r="S2731" s="28"/>
      <c r="T2731" s="28"/>
      <c r="U2731" s="4"/>
      <c r="V2731" s="3"/>
      <c r="W2731" s="3"/>
    </row>
    <row r="2732" spans="1:23" s="5" customFormat="1">
      <c r="A2732" s="6"/>
      <c r="B2732" s="33"/>
      <c r="C2732" s="35"/>
      <c r="E2732" s="39"/>
      <c r="G2732" s="40"/>
      <c r="H2732" s="15"/>
      <c r="I2732" s="17"/>
      <c r="J2732" s="10"/>
      <c r="M2732" s="39"/>
      <c r="O2732" s="39"/>
      <c r="Q2732" s="39"/>
      <c r="R2732" s="28"/>
      <c r="S2732" s="28"/>
      <c r="T2732" s="28"/>
      <c r="U2732" s="4"/>
      <c r="V2732" s="3"/>
      <c r="W2732" s="3"/>
    </row>
    <row r="2733" spans="1:23" s="5" customFormat="1">
      <c r="A2733" s="6"/>
      <c r="B2733" s="33"/>
      <c r="C2733" s="35"/>
      <c r="E2733" s="39"/>
      <c r="G2733" s="40"/>
      <c r="H2733" s="15"/>
      <c r="I2733" s="17"/>
      <c r="J2733" s="10"/>
      <c r="M2733" s="39"/>
      <c r="O2733" s="39"/>
      <c r="Q2733" s="39"/>
      <c r="R2733" s="28"/>
      <c r="S2733" s="28"/>
      <c r="T2733" s="28"/>
      <c r="U2733" s="4"/>
      <c r="V2733" s="3"/>
      <c r="W2733" s="3"/>
    </row>
    <row r="2734" spans="1:23" s="5" customFormat="1">
      <c r="A2734" s="6"/>
      <c r="B2734" s="33"/>
      <c r="C2734" s="35"/>
      <c r="E2734" s="39"/>
      <c r="G2734" s="40"/>
      <c r="H2734" s="15"/>
      <c r="I2734" s="17"/>
      <c r="J2734" s="10"/>
      <c r="M2734" s="39"/>
      <c r="O2734" s="39"/>
      <c r="Q2734" s="39"/>
      <c r="R2734" s="28"/>
      <c r="S2734" s="28"/>
      <c r="T2734" s="28"/>
      <c r="U2734" s="4"/>
      <c r="V2734" s="3"/>
      <c r="W2734" s="3"/>
    </row>
    <row r="2735" spans="1:23" s="5" customFormat="1">
      <c r="A2735" s="6"/>
      <c r="B2735" s="33"/>
      <c r="C2735" s="35"/>
      <c r="E2735" s="39"/>
      <c r="G2735" s="40"/>
      <c r="H2735" s="15"/>
      <c r="I2735" s="17"/>
      <c r="J2735" s="10"/>
      <c r="M2735" s="39"/>
      <c r="O2735" s="39"/>
      <c r="Q2735" s="39"/>
      <c r="R2735" s="28"/>
      <c r="S2735" s="28"/>
      <c r="T2735" s="28"/>
      <c r="U2735" s="4"/>
      <c r="V2735" s="3"/>
      <c r="W2735" s="3"/>
    </row>
    <row r="2736" spans="1:23" s="5" customFormat="1">
      <c r="A2736" s="6"/>
      <c r="B2736" s="33"/>
      <c r="C2736" s="35"/>
      <c r="E2736" s="39"/>
      <c r="G2736" s="40"/>
      <c r="H2736" s="16"/>
      <c r="I2736" s="17"/>
      <c r="J2736" s="10"/>
      <c r="M2736" s="39"/>
      <c r="O2736" s="39"/>
      <c r="Q2736" s="39"/>
      <c r="R2736" s="28"/>
      <c r="S2736" s="28"/>
      <c r="T2736" s="28"/>
      <c r="U2736" s="4"/>
      <c r="V2736" s="3"/>
      <c r="W2736" s="3"/>
    </row>
    <row r="2737" spans="1:23" s="5" customFormat="1">
      <c r="A2737" s="6"/>
      <c r="B2737" s="33"/>
      <c r="C2737" s="35"/>
      <c r="E2737" s="39"/>
      <c r="G2737" s="40"/>
      <c r="H2737" s="15"/>
      <c r="I2737" s="17"/>
      <c r="J2737" s="10"/>
      <c r="M2737" s="39"/>
      <c r="O2737" s="39"/>
      <c r="Q2737" s="39"/>
      <c r="R2737" s="28"/>
      <c r="S2737" s="28"/>
      <c r="T2737" s="28"/>
      <c r="U2737" s="4"/>
      <c r="V2737" s="3"/>
      <c r="W2737" s="3"/>
    </row>
    <row r="2738" spans="1:23" s="5" customFormat="1">
      <c r="A2738" s="6"/>
      <c r="B2738" s="33"/>
      <c r="C2738" s="35"/>
      <c r="E2738" s="39"/>
      <c r="G2738" s="40"/>
      <c r="H2738" s="15"/>
      <c r="I2738" s="17"/>
      <c r="J2738" s="10"/>
      <c r="M2738" s="39"/>
      <c r="O2738" s="39"/>
      <c r="Q2738" s="39"/>
      <c r="R2738" s="28"/>
      <c r="S2738" s="28"/>
      <c r="T2738" s="28"/>
      <c r="U2738" s="4"/>
      <c r="V2738" s="3"/>
      <c r="W2738" s="3"/>
    </row>
    <row r="2739" spans="1:23" s="5" customFormat="1">
      <c r="A2739" s="6"/>
      <c r="B2739" s="33"/>
      <c r="C2739" s="35"/>
      <c r="E2739" s="39"/>
      <c r="G2739" s="40"/>
      <c r="H2739" s="15"/>
      <c r="I2739" s="17"/>
      <c r="J2739" s="10"/>
      <c r="M2739" s="39"/>
      <c r="O2739" s="39"/>
      <c r="Q2739" s="39"/>
      <c r="R2739" s="28"/>
      <c r="S2739" s="28"/>
      <c r="T2739" s="28"/>
      <c r="U2739" s="4"/>
      <c r="V2739" s="3"/>
      <c r="W2739" s="3"/>
    </row>
    <row r="2740" spans="1:23" s="5" customFormat="1">
      <c r="A2740" s="6"/>
      <c r="B2740" s="33"/>
      <c r="C2740" s="35"/>
      <c r="E2740" s="39"/>
      <c r="G2740" s="40"/>
      <c r="H2740" s="14"/>
      <c r="I2740" s="17"/>
      <c r="J2740" s="10"/>
      <c r="M2740" s="39"/>
      <c r="O2740" s="39"/>
      <c r="Q2740" s="39"/>
      <c r="R2740" s="28"/>
      <c r="S2740" s="28"/>
      <c r="T2740" s="28"/>
      <c r="U2740" s="4"/>
      <c r="V2740" s="3"/>
      <c r="W2740" s="3"/>
    </row>
    <row r="2741" spans="1:23" s="5" customFormat="1">
      <c r="A2741" s="6"/>
      <c r="B2741" s="33"/>
      <c r="C2741" s="35"/>
      <c r="E2741" s="39"/>
      <c r="G2741" s="40"/>
      <c r="H2741" s="15"/>
      <c r="I2741" s="17"/>
      <c r="J2741" s="10"/>
      <c r="M2741" s="39"/>
      <c r="O2741" s="39"/>
      <c r="Q2741" s="39"/>
      <c r="R2741" s="28"/>
      <c r="S2741" s="28"/>
      <c r="T2741" s="28"/>
      <c r="U2741" s="4"/>
      <c r="V2741" s="3"/>
      <c r="W2741" s="3"/>
    </row>
    <row r="2742" spans="1:23" s="5" customFormat="1">
      <c r="A2742" s="6"/>
      <c r="B2742" s="33"/>
      <c r="C2742" s="35"/>
      <c r="E2742" s="39"/>
      <c r="G2742" s="40"/>
      <c r="H2742" s="15"/>
      <c r="I2742" s="17"/>
      <c r="J2742" s="10"/>
      <c r="M2742" s="39"/>
      <c r="O2742" s="39"/>
      <c r="Q2742" s="39"/>
      <c r="R2742" s="28"/>
      <c r="S2742" s="28"/>
      <c r="T2742" s="28"/>
      <c r="U2742" s="4"/>
      <c r="V2742" s="3"/>
      <c r="W2742" s="3"/>
    </row>
    <row r="2743" spans="1:23" s="5" customFormat="1">
      <c r="A2743" s="6"/>
      <c r="B2743" s="33"/>
      <c r="C2743" s="35"/>
      <c r="E2743" s="39"/>
      <c r="G2743" s="40"/>
      <c r="H2743" s="15"/>
      <c r="I2743" s="17"/>
      <c r="J2743" s="10"/>
      <c r="M2743" s="39"/>
      <c r="O2743" s="39"/>
      <c r="Q2743" s="39"/>
      <c r="R2743" s="28"/>
      <c r="S2743" s="28"/>
      <c r="T2743" s="28"/>
      <c r="U2743" s="4"/>
      <c r="V2743" s="3"/>
      <c r="W2743" s="3"/>
    </row>
    <row r="2744" spans="1:23" s="5" customFormat="1">
      <c r="A2744" s="6"/>
      <c r="B2744" s="33"/>
      <c r="C2744" s="35"/>
      <c r="E2744" s="39"/>
      <c r="G2744" s="40"/>
      <c r="H2744" s="15"/>
      <c r="I2744" s="17"/>
      <c r="J2744" s="10"/>
      <c r="M2744" s="39"/>
      <c r="O2744" s="39"/>
      <c r="Q2744" s="39"/>
      <c r="R2744" s="28"/>
      <c r="S2744" s="28"/>
      <c r="T2744" s="28"/>
      <c r="U2744" s="4"/>
      <c r="V2744" s="3"/>
      <c r="W2744" s="3"/>
    </row>
    <row r="2745" spans="1:23" s="5" customFormat="1">
      <c r="A2745" s="6"/>
      <c r="B2745" s="33"/>
      <c r="C2745" s="35"/>
      <c r="E2745" s="39"/>
      <c r="G2745" s="40"/>
      <c r="H2745" s="14"/>
      <c r="I2745" s="17"/>
      <c r="J2745" s="10"/>
      <c r="M2745" s="39"/>
      <c r="O2745" s="39"/>
      <c r="Q2745" s="39"/>
      <c r="R2745" s="28"/>
      <c r="S2745" s="28"/>
      <c r="T2745" s="28"/>
      <c r="U2745" s="4"/>
      <c r="V2745" s="3"/>
      <c r="W2745" s="3"/>
    </row>
    <row r="2746" spans="1:23" s="5" customFormat="1">
      <c r="A2746" s="6"/>
      <c r="B2746" s="33"/>
      <c r="C2746" s="35"/>
      <c r="E2746" s="39"/>
      <c r="G2746" s="40"/>
      <c r="H2746" s="14"/>
      <c r="I2746" s="17"/>
      <c r="J2746" s="10"/>
      <c r="M2746" s="39"/>
      <c r="O2746" s="39"/>
      <c r="Q2746" s="39"/>
      <c r="R2746" s="28"/>
      <c r="S2746" s="29"/>
      <c r="T2746" s="28"/>
      <c r="U2746" s="4"/>
      <c r="V2746" s="3"/>
      <c r="W2746" s="3"/>
    </row>
    <row r="2747" spans="1:23" s="5" customFormat="1">
      <c r="A2747" s="20"/>
      <c r="B2747" s="33"/>
      <c r="C2747" s="35"/>
      <c r="E2747" s="39"/>
      <c r="F2747" s="1"/>
      <c r="G2747" s="40"/>
      <c r="H2747" s="12"/>
      <c r="I2747" s="9"/>
      <c r="J2747" s="12"/>
      <c r="M2747" s="39"/>
      <c r="O2747" s="39"/>
      <c r="Q2747" s="39"/>
      <c r="R2747" s="29"/>
      <c r="S2747" s="28"/>
      <c r="T2747" s="28"/>
      <c r="U2747" s="4"/>
      <c r="V2747" s="3"/>
      <c r="W2747" s="3"/>
    </row>
    <row r="2748" spans="1:23" s="5" customFormat="1">
      <c r="A2748" s="20"/>
      <c r="B2748" s="33"/>
      <c r="C2748" s="35"/>
      <c r="E2748" s="39"/>
      <c r="F2748" s="1"/>
      <c r="G2748" s="40"/>
      <c r="H2748" s="12"/>
      <c r="I2748" s="9"/>
      <c r="J2748" s="12"/>
      <c r="M2748" s="39"/>
      <c r="O2748" s="39"/>
      <c r="Q2748" s="39"/>
      <c r="R2748" s="29"/>
      <c r="S2748" s="28"/>
      <c r="T2748" s="28"/>
      <c r="U2748" s="4"/>
      <c r="V2748" s="3"/>
      <c r="W2748" s="3"/>
    </row>
    <row r="2749" spans="1:23" s="5" customFormat="1">
      <c r="A2749" s="20"/>
      <c r="B2749" s="33"/>
      <c r="C2749" s="35"/>
      <c r="E2749" s="39"/>
      <c r="F2749" s="1"/>
      <c r="G2749" s="40"/>
      <c r="H2749" s="12"/>
      <c r="I2749" s="9"/>
      <c r="J2749" s="12"/>
      <c r="M2749" s="39"/>
      <c r="O2749" s="39"/>
      <c r="Q2749" s="39"/>
      <c r="R2749" s="29"/>
      <c r="S2749" s="28"/>
      <c r="T2749" s="28"/>
      <c r="U2749" s="4"/>
      <c r="V2749" s="3"/>
      <c r="W2749" s="3"/>
    </row>
    <row r="2750" spans="1:23" s="5" customFormat="1">
      <c r="A2750" s="20"/>
      <c r="B2750" s="33"/>
      <c r="C2750" s="35"/>
      <c r="E2750" s="39"/>
      <c r="F2750" s="1"/>
      <c r="G2750" s="40"/>
      <c r="H2750" s="12"/>
      <c r="I2750" s="9"/>
      <c r="J2750" s="12"/>
      <c r="M2750" s="39"/>
      <c r="O2750" s="39"/>
      <c r="Q2750" s="39"/>
      <c r="R2750" s="29"/>
      <c r="S2750" s="28"/>
      <c r="T2750" s="28"/>
      <c r="U2750" s="4"/>
      <c r="V2750" s="3"/>
      <c r="W2750" s="3"/>
    </row>
    <row r="2751" spans="1:23" s="5" customFormat="1">
      <c r="A2751" s="20"/>
      <c r="B2751" s="33"/>
      <c r="C2751" s="35"/>
      <c r="E2751" s="39"/>
      <c r="F2751" s="1"/>
      <c r="G2751" s="40"/>
      <c r="H2751" s="12"/>
      <c r="I2751" s="9"/>
      <c r="J2751" s="12"/>
      <c r="M2751" s="39"/>
      <c r="O2751" s="39"/>
      <c r="Q2751" s="39"/>
      <c r="R2751" s="29"/>
      <c r="S2751" s="28"/>
      <c r="T2751" s="28"/>
      <c r="U2751" s="4"/>
      <c r="V2751" s="3"/>
      <c r="W2751" s="3"/>
    </row>
    <row r="2752" spans="1:23" s="5" customFormat="1">
      <c r="A2752" s="20"/>
      <c r="B2752" s="36"/>
      <c r="C2752" s="35"/>
      <c r="E2752" s="39"/>
      <c r="F2752" s="1"/>
      <c r="G2752" s="40"/>
      <c r="H2752" s="12"/>
      <c r="I2752" s="9"/>
      <c r="J2752" s="12"/>
      <c r="M2752" s="39"/>
      <c r="O2752" s="39"/>
      <c r="Q2752" s="39"/>
      <c r="R2752" s="28"/>
      <c r="S2752" s="28"/>
      <c r="T2752" s="28"/>
      <c r="U2752" s="4"/>
      <c r="V2752" s="3"/>
      <c r="W2752" s="3"/>
    </row>
    <row r="2753" spans="1:23" s="5" customFormat="1">
      <c r="A2753" s="20"/>
      <c r="B2753" s="33"/>
      <c r="C2753" s="35"/>
      <c r="E2753" s="39"/>
      <c r="F2753" s="1"/>
      <c r="G2753" s="40"/>
      <c r="H2753" s="12"/>
      <c r="I2753" s="9"/>
      <c r="J2753" s="12"/>
      <c r="M2753" s="39"/>
      <c r="O2753" s="39"/>
      <c r="Q2753" s="39"/>
      <c r="R2753" s="29"/>
      <c r="S2753" s="28"/>
      <c r="T2753" s="28"/>
      <c r="U2753" s="4"/>
      <c r="V2753" s="3"/>
      <c r="W2753" s="3"/>
    </row>
    <row r="2754" spans="1:23" s="5" customFormat="1">
      <c r="A2754" s="20"/>
      <c r="B2754" s="33"/>
      <c r="C2754" s="35"/>
      <c r="E2754" s="39"/>
      <c r="F2754" s="1"/>
      <c r="G2754" s="40"/>
      <c r="H2754" s="12"/>
      <c r="I2754" s="9"/>
      <c r="J2754" s="12"/>
      <c r="M2754" s="39"/>
      <c r="O2754" s="39"/>
      <c r="Q2754" s="39"/>
      <c r="R2754" s="29"/>
      <c r="S2754" s="28"/>
      <c r="T2754" s="28"/>
      <c r="U2754" s="4"/>
      <c r="V2754" s="3"/>
      <c r="W2754" s="3"/>
    </row>
    <row r="2755" spans="1:23" s="5" customFormat="1">
      <c r="A2755" s="20"/>
      <c r="B2755" s="33"/>
      <c r="C2755" s="35"/>
      <c r="E2755" s="39"/>
      <c r="F2755" s="1"/>
      <c r="G2755" s="40"/>
      <c r="H2755" s="12"/>
      <c r="I2755" s="9"/>
      <c r="J2755" s="12"/>
      <c r="M2755" s="39"/>
      <c r="O2755" s="39"/>
      <c r="Q2755" s="39"/>
      <c r="R2755" s="29"/>
      <c r="S2755" s="28"/>
      <c r="T2755" s="28"/>
      <c r="U2755" s="4"/>
      <c r="V2755" s="3"/>
      <c r="W2755" s="3"/>
    </row>
    <row r="2756" spans="1:23" s="5" customFormat="1">
      <c r="A2756" s="20"/>
      <c r="B2756" s="33"/>
      <c r="C2756" s="35"/>
      <c r="E2756" s="39"/>
      <c r="F2756" s="1"/>
      <c r="G2756" s="40"/>
      <c r="H2756" s="12"/>
      <c r="I2756" s="9"/>
      <c r="J2756" s="12"/>
      <c r="M2756" s="39"/>
      <c r="O2756" s="39"/>
      <c r="Q2756" s="39"/>
      <c r="R2756" s="29"/>
      <c r="S2756" s="28"/>
      <c r="T2756" s="28"/>
      <c r="U2756" s="4"/>
      <c r="V2756" s="3"/>
      <c r="W2756" s="3"/>
    </row>
    <row r="2757" spans="1:23" s="5" customFormat="1">
      <c r="A2757" s="20"/>
      <c r="B2757" s="33"/>
      <c r="C2757" s="35"/>
      <c r="E2757" s="39"/>
      <c r="F2757" s="1"/>
      <c r="G2757" s="40"/>
      <c r="H2757" s="12"/>
      <c r="I2757" s="9"/>
      <c r="J2757" s="12"/>
      <c r="M2757" s="39"/>
      <c r="O2757" s="39"/>
      <c r="Q2757" s="39"/>
      <c r="R2757" s="29"/>
      <c r="S2757" s="28"/>
      <c r="T2757" s="28"/>
      <c r="U2757" s="4"/>
      <c r="V2757" s="3"/>
      <c r="W2757" s="3"/>
    </row>
    <row r="2758" spans="1:23" s="5" customFormat="1">
      <c r="A2758" s="20"/>
      <c r="B2758" s="33"/>
      <c r="C2758" s="35"/>
      <c r="E2758" s="39"/>
      <c r="F2758" s="1"/>
      <c r="G2758" s="40"/>
      <c r="H2758" s="12"/>
      <c r="I2758" s="9"/>
      <c r="J2758" s="12"/>
      <c r="M2758" s="39"/>
      <c r="O2758" s="39"/>
      <c r="Q2758" s="39"/>
      <c r="R2758" s="29"/>
      <c r="S2758" s="28"/>
      <c r="T2758" s="28"/>
      <c r="U2758" s="4"/>
      <c r="V2758" s="3"/>
      <c r="W2758" s="3"/>
    </row>
    <row r="2759" spans="1:23" s="5" customFormat="1">
      <c r="A2759" s="20"/>
      <c r="B2759" s="33"/>
      <c r="C2759" s="35"/>
      <c r="E2759" s="39"/>
      <c r="F2759" s="1"/>
      <c r="G2759" s="40"/>
      <c r="H2759" s="12"/>
      <c r="I2759" s="9"/>
      <c r="J2759" s="12"/>
      <c r="M2759" s="39"/>
      <c r="O2759" s="39"/>
      <c r="Q2759" s="39"/>
      <c r="R2759" s="29"/>
      <c r="S2759" s="28"/>
      <c r="T2759" s="28"/>
      <c r="U2759" s="4"/>
      <c r="V2759" s="3"/>
      <c r="W2759" s="3"/>
    </row>
    <row r="2760" spans="1:23" s="5" customFormat="1">
      <c r="A2760" s="20"/>
      <c r="B2760" s="33"/>
      <c r="C2760" s="35"/>
      <c r="E2760" s="39"/>
      <c r="F2760" s="1"/>
      <c r="G2760" s="40"/>
      <c r="H2760" s="12"/>
      <c r="I2760" s="9"/>
      <c r="J2760" s="12"/>
      <c r="M2760" s="39"/>
      <c r="O2760" s="39"/>
      <c r="Q2760" s="39"/>
      <c r="R2760" s="29"/>
      <c r="S2760" s="28"/>
      <c r="T2760" s="28"/>
      <c r="U2760" s="4"/>
      <c r="V2760" s="3"/>
      <c r="W2760" s="3"/>
    </row>
    <row r="2761" spans="1:23" s="5" customFormat="1">
      <c r="A2761" s="20"/>
      <c r="B2761" s="33"/>
      <c r="C2761" s="35"/>
      <c r="E2761" s="39"/>
      <c r="F2761" s="1"/>
      <c r="G2761" s="40"/>
      <c r="H2761" s="12"/>
      <c r="I2761" s="9"/>
      <c r="J2761" s="12"/>
      <c r="M2761" s="39"/>
      <c r="O2761" s="39"/>
      <c r="Q2761" s="39"/>
      <c r="R2761" s="29"/>
      <c r="S2761" s="28"/>
      <c r="T2761" s="28"/>
      <c r="U2761" s="4"/>
      <c r="V2761" s="3"/>
      <c r="W2761" s="3"/>
    </row>
    <row r="2762" spans="1:23" s="5" customFormat="1">
      <c r="A2762" s="20"/>
      <c r="B2762" s="36"/>
      <c r="C2762" s="35"/>
      <c r="E2762" s="39"/>
      <c r="F2762" s="1"/>
      <c r="G2762" s="40"/>
      <c r="H2762" s="12"/>
      <c r="I2762" s="9"/>
      <c r="J2762" s="12"/>
      <c r="M2762" s="39"/>
      <c r="O2762" s="39"/>
      <c r="Q2762" s="39"/>
      <c r="R2762" s="28"/>
      <c r="S2762" s="28"/>
      <c r="T2762" s="28"/>
      <c r="U2762" s="4"/>
      <c r="V2762" s="3"/>
      <c r="W2762" s="3"/>
    </row>
    <row r="2763" spans="1:23" s="5" customFormat="1">
      <c r="A2763" s="20"/>
      <c r="B2763" s="33"/>
      <c r="C2763" s="35"/>
      <c r="E2763" s="39"/>
      <c r="F2763" s="1"/>
      <c r="G2763" s="40"/>
      <c r="H2763" s="12"/>
      <c r="I2763" s="9"/>
      <c r="J2763" s="12"/>
      <c r="M2763" s="39"/>
      <c r="O2763" s="39"/>
      <c r="Q2763" s="39"/>
      <c r="R2763" s="29"/>
      <c r="S2763" s="28"/>
      <c r="T2763" s="28"/>
      <c r="U2763" s="4"/>
      <c r="V2763" s="3"/>
      <c r="W2763" s="3"/>
    </row>
    <row r="2764" spans="1:23" s="5" customFormat="1">
      <c r="A2764" s="20"/>
      <c r="B2764" s="36"/>
      <c r="C2764" s="35"/>
      <c r="E2764" s="39"/>
      <c r="F2764" s="1"/>
      <c r="G2764" s="40"/>
      <c r="H2764" s="12"/>
      <c r="I2764" s="9"/>
      <c r="J2764" s="12"/>
      <c r="M2764" s="39"/>
      <c r="O2764" s="39"/>
      <c r="Q2764" s="39"/>
      <c r="R2764" s="28"/>
      <c r="S2764" s="28"/>
      <c r="T2764" s="28"/>
      <c r="U2764" s="4"/>
      <c r="V2764" s="3"/>
      <c r="W2764" s="3"/>
    </row>
    <row r="2765" spans="1:23" s="5" customFormat="1">
      <c r="A2765" s="20"/>
      <c r="B2765" s="33"/>
      <c r="C2765" s="35"/>
      <c r="E2765" s="39"/>
      <c r="F2765" s="1"/>
      <c r="G2765" s="40"/>
      <c r="H2765" s="12"/>
      <c r="I2765" s="9"/>
      <c r="J2765" s="12"/>
      <c r="M2765" s="39"/>
      <c r="O2765" s="39"/>
      <c r="Q2765" s="39"/>
      <c r="R2765" s="29"/>
      <c r="S2765" s="28"/>
      <c r="T2765" s="28"/>
      <c r="U2765" s="4"/>
      <c r="V2765" s="3"/>
      <c r="W2765" s="3"/>
    </row>
    <row r="2766" spans="1:23" s="5" customFormat="1">
      <c r="A2766" s="20"/>
      <c r="B2766" s="33"/>
      <c r="C2766" s="35"/>
      <c r="E2766" s="39"/>
      <c r="F2766" s="1"/>
      <c r="G2766" s="40"/>
      <c r="H2766" s="12"/>
      <c r="I2766" s="9"/>
      <c r="J2766" s="12"/>
      <c r="M2766" s="39"/>
      <c r="O2766" s="39"/>
      <c r="Q2766" s="39"/>
      <c r="R2766" s="29"/>
      <c r="S2766" s="28"/>
      <c r="T2766" s="28"/>
      <c r="U2766" s="4"/>
      <c r="V2766" s="3"/>
      <c r="W2766" s="3"/>
    </row>
    <row r="2767" spans="1:23" s="5" customFormat="1">
      <c r="A2767" s="20"/>
      <c r="B2767" s="33"/>
      <c r="C2767" s="35"/>
      <c r="E2767" s="39"/>
      <c r="F2767" s="1"/>
      <c r="G2767" s="40"/>
      <c r="H2767" s="12"/>
      <c r="I2767" s="9"/>
      <c r="J2767" s="12"/>
      <c r="M2767" s="39"/>
      <c r="O2767" s="39"/>
      <c r="Q2767" s="39"/>
      <c r="R2767" s="29"/>
      <c r="S2767" s="29"/>
      <c r="T2767" s="28"/>
      <c r="U2767" s="4"/>
      <c r="V2767" s="3"/>
      <c r="W2767" s="3"/>
    </row>
    <row r="2768" spans="1:23" s="5" customFormat="1">
      <c r="A2768" s="20"/>
      <c r="B2768" s="33"/>
      <c r="C2768" s="35"/>
      <c r="E2768" s="39"/>
      <c r="F2768" s="1"/>
      <c r="G2768" s="40"/>
      <c r="H2768" s="12"/>
      <c r="I2768" s="9"/>
      <c r="J2768" s="12"/>
      <c r="M2768" s="39"/>
      <c r="O2768" s="39"/>
      <c r="Q2768" s="39"/>
      <c r="R2768" s="29"/>
      <c r="S2768" s="28"/>
      <c r="T2768" s="28"/>
      <c r="U2768" s="4"/>
      <c r="V2768" s="3"/>
      <c r="W2768" s="3"/>
    </row>
    <row r="2769" spans="1:23" s="5" customFormat="1">
      <c r="A2769" s="6"/>
      <c r="B2769" s="33"/>
      <c r="C2769" s="35"/>
      <c r="E2769" s="39"/>
      <c r="G2769" s="40"/>
      <c r="H2769" s="15"/>
      <c r="I2769" s="17"/>
      <c r="J2769" s="10"/>
      <c r="K2769" s="1"/>
      <c r="M2769" s="39"/>
      <c r="O2769" s="39"/>
      <c r="Q2769" s="39"/>
      <c r="R2769" s="29"/>
      <c r="S2769" s="29"/>
      <c r="T2769" s="28"/>
      <c r="U2769" s="4"/>
      <c r="V2769" s="3"/>
      <c r="W2769" s="3"/>
    </row>
    <row r="2770" spans="1:23" s="5" customFormat="1">
      <c r="A2770" s="20"/>
      <c r="B2770" s="33"/>
      <c r="C2770" s="35"/>
      <c r="E2770" s="39"/>
      <c r="F2770" s="1"/>
      <c r="G2770" s="40"/>
      <c r="H2770" s="12"/>
      <c r="I2770" s="9"/>
      <c r="J2770" s="12"/>
      <c r="M2770" s="39"/>
      <c r="O2770" s="39"/>
      <c r="Q2770" s="39"/>
      <c r="R2770" s="29"/>
      <c r="S2770" s="28"/>
      <c r="T2770" s="28"/>
      <c r="U2770" s="4"/>
      <c r="V2770" s="3"/>
      <c r="W2770" s="3"/>
    </row>
    <row r="2771" spans="1:23" s="5" customFormat="1">
      <c r="A2771" s="20"/>
      <c r="B2771" s="33"/>
      <c r="C2771" s="35"/>
      <c r="E2771" s="39"/>
      <c r="F2771" s="1"/>
      <c r="G2771" s="40"/>
      <c r="H2771" s="12"/>
      <c r="I2771" s="9"/>
      <c r="J2771" s="12"/>
      <c r="M2771" s="39"/>
      <c r="O2771" s="39"/>
      <c r="Q2771" s="39"/>
      <c r="R2771" s="29"/>
      <c r="S2771" s="28"/>
      <c r="T2771" s="28"/>
      <c r="U2771" s="4"/>
      <c r="V2771" s="3"/>
      <c r="W2771" s="3"/>
    </row>
    <row r="2772" spans="1:23" s="5" customFormat="1">
      <c r="A2772" s="20"/>
      <c r="B2772" s="33"/>
      <c r="C2772" s="35"/>
      <c r="E2772" s="39"/>
      <c r="F2772" s="1"/>
      <c r="G2772" s="40"/>
      <c r="H2772" s="12"/>
      <c r="I2772" s="9"/>
      <c r="J2772" s="12"/>
      <c r="M2772" s="39"/>
      <c r="O2772" s="39"/>
      <c r="Q2772" s="39"/>
      <c r="R2772" s="29"/>
      <c r="S2772" s="28"/>
      <c r="T2772" s="28"/>
      <c r="U2772" s="4"/>
      <c r="V2772" s="3"/>
      <c r="W2772" s="3"/>
    </row>
    <row r="2773" spans="1:23" s="5" customFormat="1">
      <c r="A2773" s="20"/>
      <c r="B2773" s="33"/>
      <c r="C2773" s="35"/>
      <c r="E2773" s="39"/>
      <c r="F2773" s="1"/>
      <c r="G2773" s="40"/>
      <c r="H2773" s="12"/>
      <c r="I2773" s="9"/>
      <c r="J2773" s="12"/>
      <c r="M2773" s="39"/>
      <c r="O2773" s="39"/>
      <c r="Q2773" s="39"/>
      <c r="R2773" s="29"/>
      <c r="S2773" s="28"/>
      <c r="T2773" s="28"/>
      <c r="U2773" s="4"/>
      <c r="V2773" s="3"/>
      <c r="W2773" s="3"/>
    </row>
    <row r="2774" spans="1:23" s="5" customFormat="1">
      <c r="A2774" s="20"/>
      <c r="B2774" s="33"/>
      <c r="C2774" s="35"/>
      <c r="D2774" s="1"/>
      <c r="E2774" s="39"/>
      <c r="F2774" s="1"/>
      <c r="G2774" s="40"/>
      <c r="H2774" s="12"/>
      <c r="I2774" s="9"/>
      <c r="J2774" s="12"/>
      <c r="L2774" s="1"/>
      <c r="M2774" s="39"/>
      <c r="N2774" s="1"/>
      <c r="O2774" s="39"/>
      <c r="P2774" s="1"/>
      <c r="Q2774" s="39"/>
      <c r="R2774" s="28"/>
      <c r="S2774" s="29"/>
      <c r="T2774" s="28"/>
      <c r="U2774" s="4"/>
      <c r="V2774" s="3"/>
      <c r="W2774" s="3"/>
    </row>
    <row r="2775" spans="1:23" s="5" customFormat="1">
      <c r="A2775" s="20"/>
      <c r="B2775" s="33"/>
      <c r="C2775" s="35"/>
      <c r="E2775" s="39"/>
      <c r="F2775" s="1"/>
      <c r="G2775" s="40"/>
      <c r="H2775" s="12"/>
      <c r="I2775" s="9"/>
      <c r="J2775" s="12"/>
      <c r="M2775" s="39"/>
      <c r="O2775" s="39"/>
      <c r="Q2775" s="39"/>
      <c r="R2775" s="29"/>
      <c r="S2775" s="28"/>
      <c r="T2775" s="28"/>
      <c r="U2775" s="4"/>
      <c r="V2775" s="3"/>
      <c r="W2775" s="3"/>
    </row>
    <row r="2776" spans="1:23" s="5" customFormat="1">
      <c r="A2776" s="20"/>
      <c r="B2776" s="33"/>
      <c r="C2776" s="35"/>
      <c r="E2776" s="39"/>
      <c r="F2776" s="1"/>
      <c r="G2776" s="40"/>
      <c r="H2776" s="12"/>
      <c r="I2776" s="9"/>
      <c r="J2776" s="12"/>
      <c r="M2776" s="39"/>
      <c r="O2776" s="39"/>
      <c r="Q2776" s="39"/>
      <c r="R2776" s="29"/>
      <c r="S2776" s="28"/>
      <c r="T2776" s="28"/>
      <c r="U2776" s="4"/>
      <c r="V2776" s="3"/>
      <c r="W2776" s="3"/>
    </row>
    <row r="2777" spans="1:23" s="5" customFormat="1">
      <c r="A2777" s="20"/>
      <c r="B2777" s="33"/>
      <c r="C2777" s="35"/>
      <c r="E2777" s="39"/>
      <c r="F2777" s="1"/>
      <c r="G2777" s="40"/>
      <c r="H2777" s="12"/>
      <c r="I2777" s="9"/>
      <c r="J2777" s="12"/>
      <c r="M2777" s="39"/>
      <c r="O2777" s="39"/>
      <c r="Q2777" s="39"/>
      <c r="R2777" s="29"/>
      <c r="S2777" s="28"/>
      <c r="T2777" s="28"/>
      <c r="U2777" s="4"/>
      <c r="V2777" s="3"/>
      <c r="W2777" s="3"/>
    </row>
    <row r="2778" spans="1:23" s="5" customFormat="1">
      <c r="A2778" s="20"/>
      <c r="B2778" s="33"/>
      <c r="C2778" s="35"/>
      <c r="E2778" s="39"/>
      <c r="F2778" s="1"/>
      <c r="G2778" s="40"/>
      <c r="H2778" s="12"/>
      <c r="I2778" s="9"/>
      <c r="J2778" s="12"/>
      <c r="M2778" s="39"/>
      <c r="O2778" s="39"/>
      <c r="Q2778" s="39"/>
      <c r="R2778" s="29"/>
      <c r="S2778" s="28"/>
      <c r="T2778" s="28"/>
      <c r="U2778" s="4"/>
      <c r="V2778" s="3"/>
      <c r="W2778" s="3"/>
    </row>
    <row r="2779" spans="1:23" s="5" customFormat="1">
      <c r="A2779" s="20"/>
      <c r="B2779" s="33"/>
      <c r="C2779" s="35"/>
      <c r="E2779" s="39"/>
      <c r="F2779" s="1"/>
      <c r="G2779" s="40"/>
      <c r="H2779" s="12"/>
      <c r="I2779" s="9"/>
      <c r="J2779" s="12"/>
      <c r="M2779" s="39"/>
      <c r="O2779" s="39"/>
      <c r="Q2779" s="39"/>
      <c r="R2779" s="29"/>
      <c r="S2779" s="28"/>
      <c r="T2779" s="28"/>
      <c r="U2779" s="4"/>
      <c r="V2779" s="3"/>
      <c r="W2779" s="3"/>
    </row>
    <row r="2780" spans="1:23" s="5" customFormat="1">
      <c r="A2780" s="20"/>
      <c r="B2780" s="33"/>
      <c r="C2780" s="35"/>
      <c r="E2780" s="39"/>
      <c r="F2780" s="1"/>
      <c r="G2780" s="40"/>
      <c r="H2780" s="12"/>
      <c r="I2780" s="9"/>
      <c r="J2780" s="12"/>
      <c r="M2780" s="39"/>
      <c r="O2780" s="39"/>
      <c r="Q2780" s="39"/>
      <c r="R2780" s="29"/>
      <c r="S2780" s="28"/>
      <c r="T2780" s="28"/>
      <c r="U2780" s="4"/>
      <c r="V2780" s="3"/>
      <c r="W2780" s="3"/>
    </row>
    <row r="2781" spans="1:23" s="5" customFormat="1">
      <c r="A2781" s="20"/>
      <c r="B2781" s="33"/>
      <c r="C2781" s="35"/>
      <c r="E2781" s="39"/>
      <c r="F2781" s="1"/>
      <c r="G2781" s="40"/>
      <c r="H2781" s="12"/>
      <c r="I2781" s="9"/>
      <c r="J2781" s="12"/>
      <c r="M2781" s="39"/>
      <c r="O2781" s="39"/>
      <c r="Q2781" s="39"/>
      <c r="R2781" s="29"/>
      <c r="S2781" s="28"/>
      <c r="T2781" s="28"/>
      <c r="U2781" s="4"/>
      <c r="V2781" s="3"/>
      <c r="W2781" s="3"/>
    </row>
    <row r="2782" spans="1:23" s="5" customFormat="1">
      <c r="A2782" s="20"/>
      <c r="B2782" s="33"/>
      <c r="C2782" s="35"/>
      <c r="E2782" s="39"/>
      <c r="F2782" s="1"/>
      <c r="G2782" s="40"/>
      <c r="H2782" s="12"/>
      <c r="I2782" s="9"/>
      <c r="J2782" s="12"/>
      <c r="M2782" s="39"/>
      <c r="O2782" s="39"/>
      <c r="Q2782" s="39"/>
      <c r="R2782" s="29"/>
      <c r="S2782" s="28"/>
      <c r="T2782" s="28"/>
      <c r="U2782" s="4"/>
      <c r="V2782" s="3"/>
      <c r="W2782" s="3"/>
    </row>
    <row r="2783" spans="1:23" s="5" customFormat="1">
      <c r="A2783" s="20"/>
      <c r="B2783" s="33"/>
      <c r="C2783" s="35"/>
      <c r="E2783" s="39"/>
      <c r="F2783" s="1"/>
      <c r="G2783" s="40"/>
      <c r="H2783" s="12"/>
      <c r="I2783" s="9"/>
      <c r="J2783" s="12"/>
      <c r="M2783" s="39"/>
      <c r="O2783" s="39"/>
      <c r="Q2783" s="39"/>
      <c r="R2783" s="29"/>
      <c r="S2783" s="28"/>
      <c r="T2783" s="28"/>
      <c r="U2783" s="4"/>
      <c r="V2783" s="3"/>
      <c r="W2783" s="3"/>
    </row>
    <row r="2784" spans="1:23" s="5" customFormat="1">
      <c r="A2784" s="6"/>
      <c r="B2784" s="33"/>
      <c r="C2784" s="35"/>
      <c r="E2784" s="39"/>
      <c r="G2784" s="40"/>
      <c r="H2784" s="14"/>
      <c r="I2784" s="17"/>
      <c r="J2784" s="10"/>
      <c r="M2784" s="39"/>
      <c r="O2784" s="39"/>
      <c r="Q2784" s="39"/>
      <c r="R2784" s="28"/>
      <c r="S2784" s="28"/>
      <c r="T2784" s="28"/>
      <c r="U2784" s="4"/>
      <c r="V2784" s="3"/>
      <c r="W2784" s="3"/>
    </row>
    <row r="2785" spans="1:23" s="5" customFormat="1">
      <c r="A2785" s="6"/>
      <c r="B2785" s="33"/>
      <c r="C2785" s="35"/>
      <c r="E2785" s="39"/>
      <c r="G2785" s="40"/>
      <c r="H2785" s="14"/>
      <c r="I2785" s="17"/>
      <c r="J2785" s="10"/>
      <c r="M2785" s="39"/>
      <c r="O2785" s="39"/>
      <c r="Q2785" s="39"/>
      <c r="R2785" s="28"/>
      <c r="S2785" s="28"/>
      <c r="T2785" s="28"/>
      <c r="U2785" s="4"/>
      <c r="V2785" s="3"/>
      <c r="W2785" s="3"/>
    </row>
    <row r="2786" spans="1:23" s="5" customFormat="1">
      <c r="A2786" s="6"/>
      <c r="B2786" s="33"/>
      <c r="C2786" s="35"/>
      <c r="E2786" s="39"/>
      <c r="G2786" s="40"/>
      <c r="H2786" s="15"/>
      <c r="I2786" s="17"/>
      <c r="J2786" s="10"/>
      <c r="M2786" s="39"/>
      <c r="O2786" s="39"/>
      <c r="Q2786" s="39"/>
      <c r="R2786" s="28"/>
      <c r="S2786" s="28"/>
      <c r="T2786" s="28"/>
      <c r="U2786" s="4"/>
      <c r="V2786" s="3"/>
      <c r="W2786" s="3"/>
    </row>
    <row r="2787" spans="1:23" s="5" customFormat="1">
      <c r="A2787" s="6"/>
      <c r="B2787" s="33"/>
      <c r="C2787" s="35"/>
      <c r="E2787" s="39"/>
      <c r="G2787" s="40"/>
      <c r="H2787" s="14"/>
      <c r="I2787" s="17"/>
      <c r="J2787" s="10"/>
      <c r="M2787" s="39"/>
      <c r="O2787" s="39"/>
      <c r="Q2787" s="39"/>
      <c r="R2787" s="28"/>
      <c r="S2787" s="28"/>
      <c r="T2787" s="28"/>
      <c r="U2787" s="4"/>
      <c r="V2787" s="3"/>
      <c r="W2787" s="3"/>
    </row>
    <row r="2788" spans="1:23" s="5" customFormat="1">
      <c r="A2788" s="6"/>
      <c r="B2788" s="33"/>
      <c r="C2788" s="35"/>
      <c r="E2788" s="39"/>
      <c r="G2788" s="40"/>
      <c r="H2788" s="15"/>
      <c r="I2788" s="17"/>
      <c r="J2788" s="10"/>
      <c r="M2788" s="39"/>
      <c r="O2788" s="39"/>
      <c r="Q2788" s="39"/>
      <c r="R2788" s="28"/>
      <c r="S2788" s="28"/>
      <c r="T2788" s="28"/>
      <c r="U2788" s="4"/>
      <c r="V2788" s="3"/>
      <c r="W2788" s="3"/>
    </row>
    <row r="2789" spans="1:23" s="5" customFormat="1">
      <c r="A2789" s="6"/>
      <c r="B2789" s="33"/>
      <c r="C2789" s="35"/>
      <c r="E2789" s="39"/>
      <c r="G2789" s="40"/>
      <c r="H2789" s="15"/>
      <c r="I2789" s="17"/>
      <c r="J2789" s="10"/>
      <c r="M2789" s="39"/>
      <c r="O2789" s="39"/>
      <c r="Q2789" s="39"/>
      <c r="R2789" s="28"/>
      <c r="S2789" s="28"/>
      <c r="T2789" s="28"/>
      <c r="U2789" s="4"/>
      <c r="V2789" s="3"/>
      <c r="W2789" s="3"/>
    </row>
    <row r="2790" spans="1:23" s="5" customFormat="1">
      <c r="A2790" s="6"/>
      <c r="B2790" s="33"/>
      <c r="C2790" s="35"/>
      <c r="E2790" s="39"/>
      <c r="G2790" s="40"/>
      <c r="H2790" s="15"/>
      <c r="I2790" s="17"/>
      <c r="J2790" s="10"/>
      <c r="M2790" s="39"/>
      <c r="O2790" s="39"/>
      <c r="Q2790" s="39"/>
      <c r="R2790" s="28"/>
      <c r="S2790" s="28"/>
      <c r="T2790" s="28"/>
      <c r="U2790" s="4"/>
      <c r="V2790" s="3"/>
      <c r="W2790" s="3"/>
    </row>
    <row r="2791" spans="1:23" s="5" customFormat="1">
      <c r="A2791" s="6"/>
      <c r="B2791" s="33"/>
      <c r="C2791" s="35"/>
      <c r="E2791" s="39"/>
      <c r="G2791" s="40"/>
      <c r="H2791" s="15"/>
      <c r="I2791" s="17"/>
      <c r="J2791" s="10"/>
      <c r="M2791" s="39"/>
      <c r="O2791" s="39"/>
      <c r="Q2791" s="39"/>
      <c r="R2791" s="28"/>
      <c r="S2791" s="28"/>
      <c r="T2791" s="28"/>
      <c r="U2791" s="4"/>
      <c r="V2791" s="3"/>
      <c r="W2791" s="3"/>
    </row>
    <row r="2792" spans="1:23" s="5" customFormat="1">
      <c r="A2792" s="6"/>
      <c r="B2792" s="33"/>
      <c r="C2792" s="35"/>
      <c r="E2792" s="39"/>
      <c r="G2792" s="40"/>
      <c r="H2792" s="14"/>
      <c r="I2792" s="17"/>
      <c r="J2792" s="10"/>
      <c r="M2792" s="39"/>
      <c r="O2792" s="39"/>
      <c r="Q2792" s="39"/>
      <c r="R2792" s="28"/>
      <c r="S2792" s="28"/>
      <c r="T2792" s="28"/>
      <c r="U2792" s="4"/>
      <c r="V2792" s="3"/>
      <c r="W2792" s="3"/>
    </row>
    <row r="2793" spans="1:23" s="5" customFormat="1">
      <c r="A2793" s="6"/>
      <c r="B2793" s="33"/>
      <c r="C2793" s="35"/>
      <c r="E2793" s="39"/>
      <c r="G2793" s="40"/>
      <c r="H2793" s="15"/>
      <c r="I2793" s="17"/>
      <c r="J2793" s="10"/>
      <c r="M2793" s="39"/>
      <c r="O2793" s="39"/>
      <c r="Q2793" s="39"/>
      <c r="R2793" s="28"/>
      <c r="S2793" s="28"/>
      <c r="T2793" s="28"/>
      <c r="U2793" s="4"/>
      <c r="V2793" s="3"/>
      <c r="W2793" s="3"/>
    </row>
    <row r="2794" spans="1:23" s="5" customFormat="1">
      <c r="A2794" s="6"/>
      <c r="B2794" s="33"/>
      <c r="C2794" s="35"/>
      <c r="E2794" s="39"/>
      <c r="G2794" s="40"/>
      <c r="H2794" s="15"/>
      <c r="I2794" s="17"/>
      <c r="J2794" s="10"/>
      <c r="M2794" s="39"/>
      <c r="O2794" s="39"/>
      <c r="Q2794" s="39"/>
      <c r="R2794" s="28"/>
      <c r="S2794" s="28"/>
      <c r="T2794" s="28"/>
      <c r="U2794" s="4"/>
      <c r="V2794" s="3"/>
      <c r="W2794" s="3"/>
    </row>
    <row r="2795" spans="1:23" s="5" customFormat="1">
      <c r="A2795" s="6"/>
      <c r="B2795" s="33"/>
      <c r="C2795" s="35"/>
      <c r="E2795" s="39"/>
      <c r="G2795" s="40"/>
      <c r="H2795" s="15"/>
      <c r="I2795" s="17"/>
      <c r="J2795" s="10"/>
      <c r="M2795" s="39"/>
      <c r="O2795" s="39"/>
      <c r="Q2795" s="39"/>
      <c r="R2795" s="28"/>
      <c r="S2795" s="28"/>
      <c r="T2795" s="28"/>
      <c r="U2795" s="4"/>
      <c r="V2795" s="3"/>
      <c r="W2795" s="3"/>
    </row>
    <row r="2796" spans="1:23" s="5" customFormat="1">
      <c r="A2796" s="6"/>
      <c r="B2796" s="33"/>
      <c r="C2796" s="35"/>
      <c r="E2796" s="39"/>
      <c r="G2796" s="40"/>
      <c r="H2796" s="15"/>
      <c r="I2796" s="17"/>
      <c r="J2796" s="10"/>
      <c r="M2796" s="39"/>
      <c r="O2796" s="39"/>
      <c r="Q2796" s="39"/>
      <c r="R2796" s="28"/>
      <c r="S2796" s="28"/>
      <c r="T2796" s="28"/>
      <c r="U2796" s="4"/>
      <c r="V2796" s="3"/>
      <c r="W2796" s="3"/>
    </row>
    <row r="2797" spans="1:23" s="5" customFormat="1">
      <c r="A2797" s="6"/>
      <c r="B2797" s="33"/>
      <c r="C2797" s="35"/>
      <c r="E2797" s="39"/>
      <c r="G2797" s="40"/>
      <c r="H2797" s="15"/>
      <c r="I2797" s="17"/>
      <c r="J2797" s="10"/>
      <c r="M2797" s="39"/>
      <c r="O2797" s="39"/>
      <c r="Q2797" s="39"/>
      <c r="R2797" s="28"/>
      <c r="S2797" s="28"/>
      <c r="T2797" s="28"/>
      <c r="U2797" s="4"/>
      <c r="V2797" s="3"/>
      <c r="W2797" s="3"/>
    </row>
    <row r="2798" spans="1:23" s="5" customFormat="1">
      <c r="A2798" s="6"/>
      <c r="B2798" s="33"/>
      <c r="C2798" s="35"/>
      <c r="E2798" s="39"/>
      <c r="G2798" s="40"/>
      <c r="H2798" s="14"/>
      <c r="I2798" s="17"/>
      <c r="J2798" s="10"/>
      <c r="M2798" s="39"/>
      <c r="O2798" s="39"/>
      <c r="Q2798" s="39"/>
      <c r="R2798" s="28"/>
      <c r="S2798" s="28"/>
      <c r="T2798" s="28"/>
      <c r="U2798" s="4"/>
      <c r="V2798" s="3"/>
      <c r="W2798" s="3"/>
    </row>
    <row r="2799" spans="1:23" s="5" customFormat="1">
      <c r="A2799" s="20"/>
      <c r="B2799" s="33"/>
      <c r="C2799" s="35"/>
      <c r="E2799" s="39"/>
      <c r="F2799" s="1"/>
      <c r="G2799" s="40"/>
      <c r="H2799" s="12"/>
      <c r="I2799" s="9"/>
      <c r="J2799" s="12"/>
      <c r="M2799" s="39"/>
      <c r="O2799" s="39"/>
      <c r="Q2799" s="39"/>
      <c r="R2799" s="29"/>
      <c r="S2799" s="28"/>
      <c r="T2799" s="28"/>
      <c r="U2799" s="4"/>
      <c r="V2799" s="3"/>
      <c r="W2799" s="3"/>
    </row>
    <row r="2800" spans="1:23" s="5" customFormat="1">
      <c r="A2800" s="6"/>
      <c r="B2800" s="33"/>
      <c r="C2800" s="35"/>
      <c r="E2800" s="39"/>
      <c r="G2800" s="40"/>
      <c r="H2800" s="15"/>
      <c r="I2800" s="17"/>
      <c r="J2800" s="10"/>
      <c r="M2800" s="39"/>
      <c r="O2800" s="39"/>
      <c r="Q2800" s="39"/>
      <c r="R2800" s="28"/>
      <c r="S2800" s="28"/>
      <c r="T2800" s="28"/>
      <c r="U2800" s="4"/>
      <c r="V2800" s="3"/>
      <c r="W2800" s="3"/>
    </row>
    <row r="2801" spans="1:23" s="5" customFormat="1">
      <c r="A2801" s="6"/>
      <c r="B2801" s="33"/>
      <c r="C2801" s="35"/>
      <c r="E2801" s="39"/>
      <c r="G2801" s="40"/>
      <c r="H2801" s="15"/>
      <c r="I2801" s="17"/>
      <c r="J2801" s="10"/>
      <c r="M2801" s="39"/>
      <c r="O2801" s="39"/>
      <c r="Q2801" s="39"/>
      <c r="R2801" s="28"/>
      <c r="S2801" s="28"/>
      <c r="T2801" s="28"/>
      <c r="U2801" s="4"/>
      <c r="V2801" s="3"/>
      <c r="W2801" s="3"/>
    </row>
    <row r="2802" spans="1:23" s="5" customFormat="1">
      <c r="A2802" s="6"/>
      <c r="B2802" s="33"/>
      <c r="C2802" s="35"/>
      <c r="E2802" s="39"/>
      <c r="G2802" s="40"/>
      <c r="H2802" s="14"/>
      <c r="I2802" s="17"/>
      <c r="J2802" s="10"/>
      <c r="M2802" s="39"/>
      <c r="O2802" s="39"/>
      <c r="Q2802" s="39"/>
      <c r="R2802" s="28"/>
      <c r="S2802" s="28"/>
      <c r="T2802" s="28"/>
      <c r="U2802" s="4"/>
      <c r="V2802" s="3"/>
      <c r="W2802" s="3"/>
    </row>
    <row r="2803" spans="1:23" s="5" customFormat="1">
      <c r="A2803" s="6"/>
      <c r="B2803" s="33"/>
      <c r="C2803" s="35"/>
      <c r="E2803" s="39"/>
      <c r="G2803" s="40"/>
      <c r="H2803" s="15"/>
      <c r="I2803" s="17"/>
      <c r="J2803" s="10"/>
      <c r="M2803" s="39"/>
      <c r="O2803" s="39"/>
      <c r="Q2803" s="39"/>
      <c r="R2803" s="28"/>
      <c r="S2803" s="28"/>
      <c r="T2803" s="28"/>
      <c r="U2803" s="4"/>
      <c r="V2803" s="3"/>
      <c r="W2803" s="3"/>
    </row>
    <row r="2804" spans="1:23" s="5" customFormat="1">
      <c r="A2804" s="6"/>
      <c r="B2804" s="33"/>
      <c r="C2804" s="35"/>
      <c r="E2804" s="39"/>
      <c r="G2804" s="40"/>
      <c r="H2804" s="15"/>
      <c r="I2804" s="17"/>
      <c r="J2804" s="10"/>
      <c r="M2804" s="39"/>
      <c r="O2804" s="39"/>
      <c r="Q2804" s="39"/>
      <c r="R2804" s="28"/>
      <c r="S2804" s="28"/>
      <c r="T2804" s="28"/>
      <c r="U2804" s="4"/>
      <c r="V2804" s="3"/>
      <c r="W2804" s="3"/>
    </row>
    <row r="2805" spans="1:23" s="5" customFormat="1">
      <c r="A2805" s="6"/>
      <c r="B2805" s="33"/>
      <c r="C2805" s="35"/>
      <c r="E2805" s="39"/>
      <c r="G2805" s="40"/>
      <c r="H2805" s="15"/>
      <c r="I2805" s="17"/>
      <c r="J2805" s="10"/>
      <c r="M2805" s="39"/>
      <c r="O2805" s="39"/>
      <c r="Q2805" s="39"/>
      <c r="R2805" s="28"/>
      <c r="S2805" s="28"/>
      <c r="T2805" s="28"/>
      <c r="U2805" s="4"/>
      <c r="V2805" s="3"/>
      <c r="W2805" s="3"/>
    </row>
    <row r="2806" spans="1:23" s="5" customFormat="1">
      <c r="A2806" s="6"/>
      <c r="B2806" s="33"/>
      <c r="C2806" s="35"/>
      <c r="E2806" s="39"/>
      <c r="G2806" s="40"/>
      <c r="H2806" s="14"/>
      <c r="I2806" s="17"/>
      <c r="J2806" s="10"/>
      <c r="M2806" s="39"/>
      <c r="O2806" s="39"/>
      <c r="Q2806" s="39"/>
      <c r="R2806" s="28"/>
      <c r="S2806" s="28"/>
      <c r="T2806" s="28"/>
      <c r="U2806" s="4"/>
      <c r="V2806" s="3"/>
      <c r="W2806" s="3"/>
    </row>
    <row r="2807" spans="1:23" s="5" customFormat="1">
      <c r="A2807" s="6"/>
      <c r="B2807" s="33"/>
      <c r="C2807" s="35"/>
      <c r="E2807" s="39"/>
      <c r="G2807" s="40"/>
      <c r="H2807" s="14"/>
      <c r="I2807" s="17"/>
      <c r="J2807" s="10"/>
      <c r="M2807" s="39"/>
      <c r="O2807" s="39"/>
      <c r="Q2807" s="39"/>
      <c r="R2807" s="28"/>
      <c r="S2807" s="28"/>
      <c r="T2807" s="28"/>
      <c r="U2807" s="4"/>
      <c r="V2807" s="3"/>
      <c r="W2807" s="3"/>
    </row>
    <row r="2808" spans="1:23" s="5" customFormat="1">
      <c r="A2808" s="6"/>
      <c r="B2808" s="33"/>
      <c r="C2808" s="35"/>
      <c r="E2808" s="39"/>
      <c r="G2808" s="40"/>
      <c r="H2808" s="15"/>
      <c r="I2808" s="17"/>
      <c r="J2808" s="10"/>
      <c r="M2808" s="39"/>
      <c r="O2808" s="39"/>
      <c r="Q2808" s="39"/>
      <c r="R2808" s="28"/>
      <c r="S2808" s="28"/>
      <c r="T2808" s="28"/>
      <c r="U2808" s="4"/>
      <c r="V2808" s="3"/>
      <c r="W2808" s="3"/>
    </row>
    <row r="2809" spans="1:23" s="5" customFormat="1">
      <c r="A2809" s="6"/>
      <c r="B2809" s="33"/>
      <c r="C2809" s="35"/>
      <c r="E2809" s="39"/>
      <c r="G2809" s="40"/>
      <c r="H2809" s="15"/>
      <c r="I2809" s="17"/>
      <c r="J2809" s="10"/>
      <c r="M2809" s="39"/>
      <c r="O2809" s="39"/>
      <c r="Q2809" s="39"/>
      <c r="R2809" s="28"/>
      <c r="S2809" s="28"/>
      <c r="T2809" s="28"/>
      <c r="U2809" s="4"/>
      <c r="V2809" s="3"/>
      <c r="W2809" s="3"/>
    </row>
    <row r="2810" spans="1:23" s="5" customFormat="1">
      <c r="A2810" s="6"/>
      <c r="B2810" s="33"/>
      <c r="C2810" s="35"/>
      <c r="E2810" s="39"/>
      <c r="G2810" s="40"/>
      <c r="H2810" s="15"/>
      <c r="I2810" s="17"/>
      <c r="J2810" s="10"/>
      <c r="M2810" s="39"/>
      <c r="O2810" s="39"/>
      <c r="Q2810" s="39"/>
      <c r="R2810" s="28"/>
      <c r="S2810" s="28"/>
      <c r="T2810" s="28"/>
      <c r="U2810" s="4"/>
      <c r="V2810" s="3"/>
      <c r="W2810" s="3"/>
    </row>
    <row r="2811" spans="1:23" s="5" customFormat="1">
      <c r="A2811" s="6"/>
      <c r="B2811" s="33"/>
      <c r="C2811" s="35"/>
      <c r="E2811" s="39"/>
      <c r="G2811" s="40"/>
      <c r="H2811" s="15"/>
      <c r="I2811" s="17"/>
      <c r="J2811" s="10"/>
      <c r="M2811" s="39"/>
      <c r="O2811" s="39"/>
      <c r="Q2811" s="39"/>
      <c r="R2811" s="28"/>
      <c r="S2811" s="28"/>
      <c r="T2811" s="28"/>
      <c r="U2811" s="4"/>
      <c r="V2811" s="3"/>
      <c r="W2811" s="3"/>
    </row>
    <row r="2812" spans="1:23" s="5" customFormat="1">
      <c r="A2812" s="6"/>
      <c r="B2812" s="33"/>
      <c r="C2812" s="35"/>
      <c r="E2812" s="39"/>
      <c r="G2812" s="40"/>
      <c r="H2812" s="14"/>
      <c r="I2812" s="17"/>
      <c r="J2812" s="10"/>
      <c r="M2812" s="39"/>
      <c r="O2812" s="39"/>
      <c r="Q2812" s="39"/>
      <c r="R2812" s="28"/>
      <c r="S2812" s="28"/>
      <c r="T2812" s="28"/>
      <c r="U2812" s="4"/>
      <c r="V2812" s="3"/>
      <c r="W2812" s="3"/>
    </row>
    <row r="2813" spans="1:23" s="5" customFormat="1">
      <c r="A2813" s="20"/>
      <c r="B2813" s="33"/>
      <c r="C2813" s="35"/>
      <c r="E2813" s="39"/>
      <c r="F2813" s="1"/>
      <c r="G2813" s="40"/>
      <c r="H2813" s="12"/>
      <c r="I2813" s="9"/>
      <c r="J2813" s="12"/>
      <c r="M2813" s="39"/>
      <c r="O2813" s="39"/>
      <c r="Q2813" s="39"/>
      <c r="R2813" s="29"/>
      <c r="S2813" s="28"/>
      <c r="T2813" s="28"/>
      <c r="U2813" s="4"/>
      <c r="V2813" s="3"/>
      <c r="W2813" s="3"/>
    </row>
    <row r="2814" spans="1:23" s="5" customFormat="1">
      <c r="A2814" s="6"/>
      <c r="B2814" s="33"/>
      <c r="C2814" s="35"/>
      <c r="E2814" s="39"/>
      <c r="G2814" s="40"/>
      <c r="H2814" s="15"/>
      <c r="I2814" s="17"/>
      <c r="J2814" s="10"/>
      <c r="M2814" s="39"/>
      <c r="O2814" s="39"/>
      <c r="Q2814" s="39"/>
      <c r="R2814" s="28"/>
      <c r="S2814" s="28"/>
      <c r="T2814" s="28"/>
      <c r="U2814" s="4"/>
      <c r="V2814" s="3"/>
      <c r="W2814" s="3"/>
    </row>
    <row r="2815" spans="1:23" s="5" customFormat="1">
      <c r="A2815" s="6"/>
      <c r="B2815" s="33"/>
      <c r="C2815" s="35"/>
      <c r="E2815" s="39"/>
      <c r="G2815" s="40"/>
      <c r="H2815" s="15"/>
      <c r="I2815" s="17"/>
      <c r="J2815" s="10"/>
      <c r="M2815" s="39"/>
      <c r="O2815" s="39"/>
      <c r="Q2815" s="39"/>
      <c r="R2815" s="28"/>
      <c r="S2815" s="28"/>
      <c r="T2815" s="28"/>
      <c r="U2815" s="4"/>
      <c r="V2815" s="3"/>
      <c r="W2815" s="3"/>
    </row>
    <row r="2816" spans="1:23" s="5" customFormat="1">
      <c r="A2816" s="6"/>
      <c r="B2816" s="33"/>
      <c r="C2816" s="35"/>
      <c r="E2816" s="39"/>
      <c r="G2816" s="40"/>
      <c r="H2816" s="14"/>
      <c r="I2816" s="17"/>
      <c r="J2816" s="10"/>
      <c r="M2816" s="39"/>
      <c r="O2816" s="39"/>
      <c r="Q2816" s="39"/>
      <c r="R2816" s="28"/>
      <c r="S2816" s="28"/>
      <c r="T2816" s="28"/>
      <c r="U2816" s="4"/>
      <c r="V2816" s="3"/>
      <c r="W2816" s="3"/>
    </row>
    <row r="2817" spans="1:23" s="5" customFormat="1">
      <c r="A2817" s="6"/>
      <c r="B2817" s="33"/>
      <c r="C2817" s="35"/>
      <c r="E2817" s="39"/>
      <c r="G2817" s="40"/>
      <c r="H2817" s="15"/>
      <c r="I2817" s="17"/>
      <c r="J2817" s="10"/>
      <c r="M2817" s="39"/>
      <c r="O2817" s="39"/>
      <c r="Q2817" s="39"/>
      <c r="R2817" s="28"/>
      <c r="S2817" s="28"/>
      <c r="T2817" s="28"/>
      <c r="U2817" s="4"/>
      <c r="V2817" s="3"/>
      <c r="W2817" s="3"/>
    </row>
    <row r="2818" spans="1:23" s="5" customFormat="1">
      <c r="A2818" s="6"/>
      <c r="B2818" s="33"/>
      <c r="C2818" s="35"/>
      <c r="E2818" s="39"/>
      <c r="G2818" s="40"/>
      <c r="H2818" s="15"/>
      <c r="I2818" s="17"/>
      <c r="J2818" s="10"/>
      <c r="M2818" s="39"/>
      <c r="O2818" s="39"/>
      <c r="Q2818" s="39"/>
      <c r="R2818" s="28"/>
      <c r="S2818" s="28"/>
      <c r="T2818" s="28"/>
      <c r="U2818" s="4"/>
      <c r="V2818" s="3"/>
      <c r="W2818" s="3"/>
    </row>
    <row r="2819" spans="1:23" s="5" customFormat="1">
      <c r="A2819" s="6"/>
      <c r="B2819" s="33"/>
      <c r="C2819" s="35"/>
      <c r="E2819" s="39"/>
      <c r="G2819" s="40"/>
      <c r="H2819" s="14"/>
      <c r="I2819" s="17"/>
      <c r="J2819" s="10"/>
      <c r="M2819" s="39"/>
      <c r="O2819" s="39"/>
      <c r="Q2819" s="39"/>
      <c r="R2819" s="28"/>
      <c r="S2819" s="28"/>
      <c r="T2819" s="28"/>
      <c r="U2819" s="4"/>
      <c r="V2819" s="3"/>
      <c r="W2819" s="3"/>
    </row>
    <row r="2820" spans="1:23" s="5" customFormat="1">
      <c r="A2820" s="20"/>
      <c r="B2820" s="33"/>
      <c r="C2820" s="35"/>
      <c r="E2820" s="39"/>
      <c r="F2820" s="1"/>
      <c r="G2820" s="40"/>
      <c r="H2820" s="12"/>
      <c r="I2820" s="9"/>
      <c r="J2820" s="12"/>
      <c r="M2820" s="39"/>
      <c r="O2820" s="39"/>
      <c r="Q2820" s="39"/>
      <c r="R2820" s="29"/>
      <c r="S2820" s="28"/>
      <c r="T2820" s="28"/>
      <c r="U2820" s="4"/>
      <c r="V2820" s="3"/>
      <c r="W2820" s="3"/>
    </row>
    <row r="2821" spans="1:23" s="5" customFormat="1">
      <c r="A2821" s="6"/>
      <c r="B2821" s="33"/>
      <c r="C2821" s="35"/>
      <c r="E2821" s="39"/>
      <c r="G2821" s="40"/>
      <c r="H2821" s="15"/>
      <c r="I2821" s="17"/>
      <c r="J2821" s="10"/>
      <c r="M2821" s="39"/>
      <c r="O2821" s="39"/>
      <c r="Q2821" s="39"/>
      <c r="R2821" s="28"/>
      <c r="S2821" s="28"/>
      <c r="T2821" s="28"/>
      <c r="U2821" s="4"/>
      <c r="V2821" s="3"/>
      <c r="W2821" s="3"/>
    </row>
    <row r="2822" spans="1:23" s="5" customFormat="1">
      <c r="A2822" s="6"/>
      <c r="B2822" s="33"/>
      <c r="C2822" s="35"/>
      <c r="E2822" s="39"/>
      <c r="G2822" s="40"/>
      <c r="H2822" s="15"/>
      <c r="I2822" s="17"/>
      <c r="J2822" s="10"/>
      <c r="M2822" s="39"/>
      <c r="O2822" s="39"/>
      <c r="Q2822" s="39"/>
      <c r="R2822" s="28"/>
      <c r="S2822" s="28"/>
      <c r="T2822" s="28"/>
      <c r="U2822" s="4"/>
      <c r="V2822" s="3"/>
      <c r="W2822" s="3"/>
    </row>
    <row r="2823" spans="1:23" s="5" customFormat="1">
      <c r="A2823" s="6"/>
      <c r="B2823" s="33"/>
      <c r="C2823" s="35"/>
      <c r="E2823" s="39"/>
      <c r="G2823" s="40"/>
      <c r="H2823" s="15"/>
      <c r="I2823" s="17"/>
      <c r="J2823" s="10"/>
      <c r="M2823" s="39"/>
      <c r="O2823" s="39"/>
      <c r="Q2823" s="39"/>
      <c r="R2823" s="28"/>
      <c r="S2823" s="28"/>
      <c r="T2823" s="28"/>
      <c r="U2823" s="4"/>
      <c r="V2823" s="3"/>
      <c r="W2823" s="3"/>
    </row>
    <row r="2824" spans="1:23" s="5" customFormat="1">
      <c r="A2824" s="6"/>
      <c r="B2824" s="33"/>
      <c r="C2824" s="35"/>
      <c r="E2824" s="39"/>
      <c r="G2824" s="40"/>
      <c r="H2824" s="15"/>
      <c r="I2824" s="17"/>
      <c r="J2824" s="10"/>
      <c r="M2824" s="39"/>
      <c r="O2824" s="39"/>
      <c r="Q2824" s="39"/>
      <c r="R2824" s="28"/>
      <c r="S2824" s="28"/>
      <c r="T2824" s="28"/>
      <c r="U2824" s="4"/>
      <c r="V2824" s="3"/>
      <c r="W2824" s="3"/>
    </row>
    <row r="2825" spans="1:23" s="5" customFormat="1">
      <c r="A2825" s="6"/>
      <c r="B2825" s="33"/>
      <c r="C2825" s="35"/>
      <c r="E2825" s="39"/>
      <c r="G2825" s="40"/>
      <c r="H2825" s="15"/>
      <c r="I2825" s="17"/>
      <c r="J2825" s="10"/>
      <c r="M2825" s="39"/>
      <c r="O2825" s="39"/>
      <c r="Q2825" s="39"/>
      <c r="R2825" s="28"/>
      <c r="S2825" s="28"/>
      <c r="T2825" s="28"/>
      <c r="U2825" s="4"/>
      <c r="V2825" s="3"/>
      <c r="W2825" s="3"/>
    </row>
    <row r="2826" spans="1:23" s="5" customFormat="1">
      <c r="A2826" s="6"/>
      <c r="B2826" s="33"/>
      <c r="C2826" s="35"/>
      <c r="E2826" s="39"/>
      <c r="G2826" s="40"/>
      <c r="H2826" s="15"/>
      <c r="I2826" s="17"/>
      <c r="J2826" s="10"/>
      <c r="M2826" s="39"/>
      <c r="O2826" s="39"/>
      <c r="Q2826" s="39"/>
      <c r="R2826" s="28"/>
      <c r="S2826" s="28"/>
      <c r="T2826" s="28"/>
      <c r="U2826" s="4"/>
      <c r="V2826" s="3"/>
      <c r="W2826" s="3"/>
    </row>
    <row r="2827" spans="1:23" s="5" customFormat="1">
      <c r="A2827" s="6"/>
      <c r="B2827" s="33"/>
      <c r="C2827" s="35"/>
      <c r="E2827" s="39"/>
      <c r="G2827" s="40"/>
      <c r="H2827" s="14"/>
      <c r="I2827" s="17"/>
      <c r="J2827" s="10"/>
      <c r="M2827" s="39"/>
      <c r="O2827" s="39"/>
      <c r="Q2827" s="39"/>
      <c r="R2827" s="28"/>
      <c r="S2827" s="28"/>
      <c r="T2827" s="28"/>
      <c r="U2827" s="4"/>
      <c r="V2827" s="3"/>
      <c r="W2827" s="3"/>
    </row>
    <row r="2828" spans="1:23" s="5" customFormat="1">
      <c r="A2828" s="6"/>
      <c r="B2828" s="33"/>
      <c r="C2828" s="35"/>
      <c r="E2828" s="39"/>
      <c r="G2828" s="40"/>
      <c r="H2828" s="15"/>
      <c r="I2828" s="17"/>
      <c r="J2828" s="10"/>
      <c r="M2828" s="39"/>
      <c r="O2828" s="39"/>
      <c r="Q2828" s="39"/>
      <c r="R2828" s="28"/>
      <c r="S2828" s="28"/>
      <c r="T2828" s="28"/>
      <c r="U2828" s="4"/>
      <c r="V2828" s="3"/>
      <c r="W2828" s="3"/>
    </row>
    <row r="2829" spans="1:23" s="5" customFormat="1">
      <c r="A2829" s="6"/>
      <c r="B2829" s="33"/>
      <c r="C2829" s="35"/>
      <c r="E2829" s="39"/>
      <c r="G2829" s="40"/>
      <c r="H2829" s="15"/>
      <c r="I2829" s="17"/>
      <c r="J2829" s="10"/>
      <c r="M2829" s="39"/>
      <c r="O2829" s="39"/>
      <c r="Q2829" s="39"/>
      <c r="R2829" s="28"/>
      <c r="S2829" s="28"/>
      <c r="T2829" s="28"/>
      <c r="U2829" s="4"/>
      <c r="V2829" s="3"/>
      <c r="W2829" s="3"/>
    </row>
    <row r="2830" spans="1:23" s="5" customFormat="1">
      <c r="A2830" s="6"/>
      <c r="B2830" s="33"/>
      <c r="C2830" s="35"/>
      <c r="E2830" s="39"/>
      <c r="G2830" s="40"/>
      <c r="H2830" s="15"/>
      <c r="I2830" s="17"/>
      <c r="J2830" s="10"/>
      <c r="M2830" s="39"/>
      <c r="O2830" s="39"/>
      <c r="Q2830" s="39"/>
      <c r="R2830" s="28"/>
      <c r="S2830" s="28"/>
      <c r="T2830" s="28"/>
      <c r="U2830" s="4"/>
      <c r="V2830" s="3"/>
      <c r="W2830" s="3"/>
    </row>
    <row r="2831" spans="1:23" s="5" customFormat="1">
      <c r="A2831" s="6"/>
      <c r="B2831" s="33"/>
      <c r="C2831" s="35"/>
      <c r="E2831" s="39"/>
      <c r="G2831" s="40"/>
      <c r="H2831" s="15"/>
      <c r="I2831" s="17"/>
      <c r="J2831" s="10"/>
      <c r="M2831" s="39"/>
      <c r="O2831" s="39"/>
      <c r="Q2831" s="39"/>
      <c r="R2831" s="28"/>
      <c r="S2831" s="28"/>
      <c r="T2831" s="28"/>
      <c r="U2831" s="4"/>
      <c r="V2831" s="3"/>
      <c r="W2831" s="3"/>
    </row>
    <row r="2832" spans="1:23" s="5" customFormat="1">
      <c r="A2832" s="6"/>
      <c r="B2832" s="33"/>
      <c r="C2832" s="35"/>
      <c r="E2832" s="39"/>
      <c r="G2832" s="40"/>
      <c r="H2832" s="15"/>
      <c r="I2832" s="17"/>
      <c r="J2832" s="10"/>
      <c r="M2832" s="39"/>
      <c r="O2832" s="39"/>
      <c r="Q2832" s="39"/>
      <c r="R2832" s="28"/>
      <c r="S2832" s="28"/>
      <c r="T2832" s="28"/>
      <c r="U2832" s="4"/>
      <c r="V2832" s="3"/>
      <c r="W2832" s="3"/>
    </row>
    <row r="2833" spans="1:23" s="5" customFormat="1">
      <c r="A2833" s="6"/>
      <c r="B2833" s="33"/>
      <c r="C2833" s="35"/>
      <c r="E2833" s="39"/>
      <c r="G2833" s="40"/>
      <c r="H2833" s="14"/>
      <c r="I2833" s="17"/>
      <c r="J2833" s="10"/>
      <c r="M2833" s="39"/>
      <c r="O2833" s="39"/>
      <c r="Q2833" s="39"/>
      <c r="R2833" s="28"/>
      <c r="S2833" s="28"/>
      <c r="T2833" s="28"/>
      <c r="U2833" s="4"/>
      <c r="V2833" s="3"/>
      <c r="W2833" s="3"/>
    </row>
    <row r="2834" spans="1:23" s="5" customFormat="1">
      <c r="A2834" s="6"/>
      <c r="B2834" s="33"/>
      <c r="C2834" s="35"/>
      <c r="E2834" s="39"/>
      <c r="G2834" s="40"/>
      <c r="H2834" s="15"/>
      <c r="I2834" s="17"/>
      <c r="J2834" s="10"/>
      <c r="M2834" s="39"/>
      <c r="O2834" s="39"/>
      <c r="Q2834" s="39"/>
      <c r="R2834" s="28"/>
      <c r="S2834" s="28"/>
      <c r="T2834" s="28"/>
      <c r="U2834" s="4"/>
      <c r="V2834" s="3"/>
      <c r="W2834" s="3"/>
    </row>
    <row r="2835" spans="1:23" s="5" customFormat="1">
      <c r="A2835" s="6"/>
      <c r="B2835" s="33"/>
      <c r="C2835" s="35"/>
      <c r="E2835" s="39"/>
      <c r="G2835" s="40"/>
      <c r="H2835" s="15"/>
      <c r="I2835" s="17"/>
      <c r="J2835" s="10"/>
      <c r="M2835" s="39"/>
      <c r="O2835" s="39"/>
      <c r="Q2835" s="39"/>
      <c r="R2835" s="28"/>
      <c r="S2835" s="28"/>
      <c r="T2835" s="28"/>
      <c r="U2835" s="4"/>
      <c r="V2835" s="3"/>
      <c r="W2835" s="3"/>
    </row>
    <row r="2836" spans="1:23" s="5" customFormat="1">
      <c r="A2836" s="6"/>
      <c r="B2836" s="33"/>
      <c r="C2836" s="35"/>
      <c r="E2836" s="39"/>
      <c r="G2836" s="40"/>
      <c r="H2836" s="15"/>
      <c r="I2836" s="17"/>
      <c r="J2836" s="10"/>
      <c r="M2836" s="39"/>
      <c r="O2836" s="39"/>
      <c r="Q2836" s="39"/>
      <c r="R2836" s="28"/>
      <c r="S2836" s="28"/>
      <c r="T2836" s="28"/>
      <c r="U2836" s="4"/>
      <c r="V2836" s="3"/>
      <c r="W2836" s="3"/>
    </row>
    <row r="2837" spans="1:23" s="5" customFormat="1">
      <c r="A2837" s="6"/>
      <c r="B2837" s="33"/>
      <c r="C2837" s="35"/>
      <c r="E2837" s="39"/>
      <c r="G2837" s="40"/>
      <c r="H2837" s="15"/>
      <c r="I2837" s="17"/>
      <c r="J2837" s="10"/>
      <c r="M2837" s="39"/>
      <c r="O2837" s="39"/>
      <c r="Q2837" s="39"/>
      <c r="R2837" s="28"/>
      <c r="S2837" s="28"/>
      <c r="T2837" s="28"/>
      <c r="U2837" s="4"/>
      <c r="V2837" s="3"/>
      <c r="W2837" s="3"/>
    </row>
    <row r="2838" spans="1:23" s="5" customFormat="1">
      <c r="A2838" s="6"/>
      <c r="B2838" s="33"/>
      <c r="C2838" s="35"/>
      <c r="E2838" s="39"/>
      <c r="G2838" s="40"/>
      <c r="H2838" s="15"/>
      <c r="I2838" s="17"/>
      <c r="J2838" s="10"/>
      <c r="M2838" s="39"/>
      <c r="O2838" s="39"/>
      <c r="Q2838" s="39"/>
      <c r="R2838" s="28"/>
      <c r="S2838" s="28"/>
      <c r="T2838" s="28"/>
      <c r="U2838" s="4"/>
      <c r="V2838" s="3"/>
      <c r="W2838" s="3"/>
    </row>
    <row r="2839" spans="1:23" s="5" customFormat="1">
      <c r="A2839" s="6"/>
      <c r="B2839" s="33"/>
      <c r="C2839" s="35"/>
      <c r="E2839" s="39"/>
      <c r="G2839" s="40"/>
      <c r="H2839" s="15"/>
      <c r="I2839" s="17"/>
      <c r="J2839" s="10"/>
      <c r="M2839" s="39"/>
      <c r="O2839" s="39"/>
      <c r="Q2839" s="39"/>
      <c r="R2839" s="28"/>
      <c r="S2839" s="28"/>
      <c r="T2839" s="28"/>
      <c r="U2839" s="4"/>
      <c r="V2839" s="3"/>
      <c r="W2839" s="3"/>
    </row>
    <row r="2840" spans="1:23" s="5" customFormat="1">
      <c r="A2840" s="6"/>
      <c r="B2840" s="33"/>
      <c r="C2840" s="35"/>
      <c r="E2840" s="39"/>
      <c r="G2840" s="40"/>
      <c r="H2840" s="14"/>
      <c r="I2840" s="17"/>
      <c r="J2840" s="10"/>
      <c r="M2840" s="39"/>
      <c r="O2840" s="39"/>
      <c r="Q2840" s="39"/>
      <c r="R2840" s="28"/>
      <c r="S2840" s="28"/>
      <c r="T2840" s="28"/>
      <c r="U2840" s="4"/>
      <c r="V2840" s="3"/>
      <c r="W2840" s="3"/>
    </row>
    <row r="2841" spans="1:23" s="5" customFormat="1">
      <c r="A2841" s="6"/>
      <c r="B2841" s="33"/>
      <c r="C2841" s="35"/>
      <c r="E2841" s="39"/>
      <c r="G2841" s="40"/>
      <c r="H2841" s="14"/>
      <c r="I2841" s="17"/>
      <c r="J2841" s="10"/>
      <c r="M2841" s="39"/>
      <c r="O2841" s="39"/>
      <c r="Q2841" s="39"/>
      <c r="R2841" s="28"/>
      <c r="S2841" s="28"/>
      <c r="T2841" s="28"/>
      <c r="U2841" s="4"/>
      <c r="V2841" s="3"/>
      <c r="W2841" s="3"/>
    </row>
    <row r="2842" spans="1:23" s="5" customFormat="1">
      <c r="A2842" s="6"/>
      <c r="B2842" s="33"/>
      <c r="C2842" s="35"/>
      <c r="E2842" s="39"/>
      <c r="G2842" s="40"/>
      <c r="H2842" s="15"/>
      <c r="I2842" s="17"/>
      <c r="J2842" s="10"/>
      <c r="M2842" s="39"/>
      <c r="O2842" s="39"/>
      <c r="Q2842" s="39"/>
      <c r="R2842" s="28"/>
      <c r="S2842" s="28"/>
      <c r="T2842" s="28"/>
      <c r="U2842" s="4"/>
      <c r="V2842" s="3"/>
      <c r="W2842" s="3"/>
    </row>
    <row r="2843" spans="1:23" s="5" customFormat="1">
      <c r="A2843" s="6"/>
      <c r="B2843" s="33"/>
      <c r="C2843" s="35"/>
      <c r="E2843" s="39"/>
      <c r="G2843" s="40"/>
      <c r="H2843" s="15"/>
      <c r="I2843" s="17"/>
      <c r="J2843" s="10"/>
      <c r="M2843" s="39"/>
      <c r="O2843" s="39"/>
      <c r="Q2843" s="39"/>
      <c r="R2843" s="28"/>
      <c r="S2843" s="28"/>
      <c r="T2843" s="28"/>
      <c r="U2843" s="4"/>
      <c r="V2843" s="3"/>
      <c r="W2843" s="3"/>
    </row>
    <row r="2844" spans="1:23" s="5" customFormat="1">
      <c r="A2844" s="6"/>
      <c r="B2844" s="33"/>
      <c r="C2844" s="35"/>
      <c r="E2844" s="39"/>
      <c r="G2844" s="40"/>
      <c r="H2844" s="15"/>
      <c r="I2844" s="17"/>
      <c r="J2844" s="10"/>
      <c r="M2844" s="39"/>
      <c r="O2844" s="39"/>
      <c r="Q2844" s="39"/>
      <c r="R2844" s="28"/>
      <c r="S2844" s="28"/>
      <c r="T2844" s="28"/>
      <c r="U2844" s="4"/>
      <c r="V2844" s="3"/>
      <c r="W2844" s="3"/>
    </row>
    <row r="2845" spans="1:23" s="5" customFormat="1">
      <c r="A2845" s="6"/>
      <c r="B2845" s="33"/>
      <c r="C2845" s="35"/>
      <c r="E2845" s="39"/>
      <c r="G2845" s="40"/>
      <c r="H2845" s="15"/>
      <c r="I2845" s="17"/>
      <c r="J2845" s="10"/>
      <c r="M2845" s="39"/>
      <c r="O2845" s="39"/>
      <c r="Q2845" s="39"/>
      <c r="R2845" s="28"/>
      <c r="S2845" s="28"/>
      <c r="T2845" s="28"/>
      <c r="U2845" s="4"/>
      <c r="V2845" s="3"/>
      <c r="W2845" s="3"/>
    </row>
    <row r="2846" spans="1:23" s="5" customFormat="1">
      <c r="A2846" s="6"/>
      <c r="B2846" s="33"/>
      <c r="C2846" s="35"/>
      <c r="E2846" s="39"/>
      <c r="G2846" s="40"/>
      <c r="H2846" s="14"/>
      <c r="I2846" s="17"/>
      <c r="J2846" s="10"/>
      <c r="M2846" s="39"/>
      <c r="O2846" s="39"/>
      <c r="Q2846" s="39"/>
      <c r="R2846" s="28"/>
      <c r="S2846" s="29"/>
      <c r="T2846" s="28"/>
      <c r="U2846" s="4"/>
      <c r="V2846" s="3"/>
      <c r="W2846" s="3"/>
    </row>
    <row r="2847" spans="1:23" s="5" customFormat="1">
      <c r="A2847" s="6"/>
      <c r="B2847" s="33"/>
      <c r="C2847" s="35"/>
      <c r="E2847" s="39"/>
      <c r="G2847" s="40"/>
      <c r="H2847" s="15"/>
      <c r="I2847" s="17"/>
      <c r="J2847" s="10"/>
      <c r="K2847" s="1"/>
      <c r="M2847" s="39"/>
      <c r="O2847" s="39"/>
      <c r="Q2847" s="39"/>
      <c r="R2847" s="29"/>
      <c r="S2847" s="29"/>
      <c r="T2847" s="28"/>
      <c r="U2847" s="4"/>
      <c r="V2847" s="3"/>
      <c r="W2847" s="3"/>
    </row>
    <row r="2848" spans="1:23" s="5" customFormat="1">
      <c r="A2848" s="20"/>
      <c r="B2848" s="33"/>
      <c r="C2848" s="35"/>
      <c r="D2848" s="1"/>
      <c r="E2848" s="39"/>
      <c r="F2848" s="1"/>
      <c r="G2848" s="40"/>
      <c r="H2848" s="12"/>
      <c r="I2848" s="9"/>
      <c r="J2848" s="12"/>
      <c r="L2848" s="1"/>
      <c r="M2848" s="39"/>
      <c r="N2848" s="1"/>
      <c r="O2848" s="39"/>
      <c r="P2848" s="1"/>
      <c r="Q2848" s="39"/>
      <c r="R2848" s="28"/>
      <c r="S2848" s="29"/>
      <c r="T2848" s="28"/>
      <c r="U2848" s="4"/>
      <c r="V2848" s="3"/>
      <c r="W2848" s="3"/>
    </row>
    <row r="2849" spans="1:23" s="5" customFormat="1">
      <c r="A2849" s="20"/>
      <c r="B2849" s="33"/>
      <c r="C2849" s="35"/>
      <c r="D2849" s="1"/>
      <c r="E2849" s="39"/>
      <c r="F2849" s="1"/>
      <c r="G2849" s="40"/>
      <c r="H2849" s="12"/>
      <c r="I2849" s="9"/>
      <c r="J2849" s="12"/>
      <c r="L2849" s="1"/>
      <c r="M2849" s="39"/>
      <c r="N2849" s="1"/>
      <c r="O2849" s="39"/>
      <c r="P2849" s="1"/>
      <c r="Q2849" s="39"/>
      <c r="R2849" s="28"/>
      <c r="S2849" s="29"/>
      <c r="T2849" s="28"/>
      <c r="U2849" s="4"/>
      <c r="V2849" s="3"/>
      <c r="W2849" s="3"/>
    </row>
    <row r="2850" spans="1:23" s="5" customFormat="1">
      <c r="A2850" s="6"/>
      <c r="B2850" s="33"/>
      <c r="C2850" s="35"/>
      <c r="E2850" s="39"/>
      <c r="G2850" s="40"/>
      <c r="H2850" s="14"/>
      <c r="I2850" s="17"/>
      <c r="J2850" s="10"/>
      <c r="M2850" s="39"/>
      <c r="O2850" s="39"/>
      <c r="Q2850" s="39"/>
      <c r="R2850" s="28"/>
      <c r="S2850" s="28"/>
      <c r="T2850" s="28"/>
      <c r="U2850" s="4"/>
      <c r="V2850" s="3"/>
      <c r="W2850" s="3"/>
    </row>
    <row r="2851" spans="1:23" s="5" customFormat="1">
      <c r="A2851" s="20"/>
      <c r="B2851" s="33"/>
      <c r="C2851" s="35"/>
      <c r="E2851" s="39"/>
      <c r="F2851" s="1"/>
      <c r="G2851" s="40"/>
      <c r="H2851" s="12"/>
      <c r="I2851" s="9"/>
      <c r="J2851" s="12"/>
      <c r="M2851" s="39"/>
      <c r="O2851" s="39"/>
      <c r="Q2851" s="39"/>
      <c r="R2851" s="29"/>
      <c r="S2851" s="28"/>
      <c r="T2851" s="28"/>
      <c r="U2851" s="4"/>
      <c r="V2851" s="3"/>
      <c r="W2851" s="3"/>
    </row>
    <row r="2852" spans="1:23" s="5" customFormat="1">
      <c r="A2852" s="6"/>
      <c r="B2852" s="33"/>
      <c r="C2852" s="35"/>
      <c r="E2852" s="39"/>
      <c r="G2852" s="40"/>
      <c r="H2852" s="15"/>
      <c r="I2852" s="17"/>
      <c r="J2852" s="10"/>
      <c r="M2852" s="39"/>
      <c r="O2852" s="39"/>
      <c r="Q2852" s="39"/>
      <c r="R2852" s="28"/>
      <c r="S2852" s="28"/>
      <c r="T2852" s="28"/>
      <c r="U2852" s="4"/>
      <c r="V2852" s="3"/>
      <c r="W2852" s="3"/>
    </row>
    <row r="2853" spans="1:23" s="5" customFormat="1">
      <c r="A2853" s="6"/>
      <c r="B2853" s="33"/>
      <c r="C2853" s="35"/>
      <c r="E2853" s="39"/>
      <c r="G2853" s="40"/>
      <c r="H2853" s="14"/>
      <c r="I2853" s="17"/>
      <c r="J2853" s="10"/>
      <c r="M2853" s="39"/>
      <c r="O2853" s="39"/>
      <c r="Q2853" s="39"/>
      <c r="R2853" s="28"/>
      <c r="S2853" s="28"/>
      <c r="T2853" s="28"/>
      <c r="U2853" s="4"/>
      <c r="V2853" s="3"/>
      <c r="W2853" s="3"/>
    </row>
    <row r="2854" spans="1:23" s="5" customFormat="1">
      <c r="A2854" s="6"/>
      <c r="B2854" s="33"/>
      <c r="C2854" s="35"/>
      <c r="E2854" s="39"/>
      <c r="G2854" s="40"/>
      <c r="H2854" s="15"/>
      <c r="I2854" s="17"/>
      <c r="J2854" s="10"/>
      <c r="M2854" s="39"/>
      <c r="O2854" s="39"/>
      <c r="Q2854" s="39"/>
      <c r="R2854" s="28"/>
      <c r="S2854" s="28"/>
      <c r="T2854" s="28"/>
      <c r="U2854" s="4"/>
      <c r="V2854" s="3"/>
      <c r="W2854" s="3"/>
    </row>
    <row r="2855" spans="1:23" s="5" customFormat="1">
      <c r="A2855" s="6"/>
      <c r="B2855" s="33"/>
      <c r="C2855" s="35"/>
      <c r="E2855" s="39"/>
      <c r="G2855" s="40"/>
      <c r="H2855" s="14"/>
      <c r="I2855" s="17"/>
      <c r="J2855" s="10"/>
      <c r="M2855" s="39"/>
      <c r="O2855" s="39"/>
      <c r="Q2855" s="39"/>
      <c r="R2855" s="28"/>
      <c r="S2855" s="28"/>
      <c r="T2855" s="28"/>
      <c r="U2855" s="4"/>
      <c r="V2855" s="3"/>
      <c r="W2855" s="3"/>
    </row>
    <row r="2856" spans="1:23" s="5" customFormat="1">
      <c r="A2856" s="6"/>
      <c r="B2856" s="33"/>
      <c r="C2856" s="35"/>
      <c r="E2856" s="39"/>
      <c r="G2856" s="40"/>
      <c r="H2856" s="15"/>
      <c r="I2856" s="17"/>
      <c r="J2856" s="10"/>
      <c r="M2856" s="39"/>
      <c r="O2856" s="39"/>
      <c r="Q2856" s="39"/>
      <c r="R2856" s="28"/>
      <c r="S2856" s="28"/>
      <c r="T2856" s="28"/>
      <c r="U2856" s="4"/>
      <c r="V2856" s="3"/>
      <c r="W2856" s="3"/>
    </row>
    <row r="2857" spans="1:23" s="5" customFormat="1">
      <c r="A2857" s="6"/>
      <c r="B2857" s="33"/>
      <c r="C2857" s="35"/>
      <c r="E2857" s="39"/>
      <c r="G2857" s="40"/>
      <c r="H2857" s="15"/>
      <c r="I2857" s="17"/>
      <c r="J2857" s="10"/>
      <c r="M2857" s="39"/>
      <c r="O2857" s="39"/>
      <c r="Q2857" s="39"/>
      <c r="R2857" s="28"/>
      <c r="S2857" s="28"/>
      <c r="T2857" s="28"/>
      <c r="U2857" s="4"/>
      <c r="V2857" s="3"/>
      <c r="W2857" s="3"/>
    </row>
    <row r="2858" spans="1:23" s="5" customFormat="1">
      <c r="A2858" s="6"/>
      <c r="B2858" s="33"/>
      <c r="C2858" s="35"/>
      <c r="E2858" s="39"/>
      <c r="G2858" s="40"/>
      <c r="H2858" s="15"/>
      <c r="I2858" s="17"/>
      <c r="J2858" s="10"/>
      <c r="M2858" s="39"/>
      <c r="O2858" s="39"/>
      <c r="Q2858" s="39"/>
      <c r="R2858" s="28"/>
      <c r="S2858" s="28"/>
      <c r="T2858" s="28"/>
      <c r="U2858" s="4"/>
      <c r="V2858" s="3"/>
      <c r="W2858" s="3"/>
    </row>
    <row r="2859" spans="1:23" s="5" customFormat="1">
      <c r="A2859" s="6"/>
      <c r="B2859" s="33"/>
      <c r="C2859" s="35"/>
      <c r="E2859" s="39"/>
      <c r="G2859" s="40"/>
      <c r="H2859" s="15"/>
      <c r="I2859" s="17"/>
      <c r="J2859" s="10"/>
      <c r="M2859" s="39"/>
      <c r="O2859" s="39"/>
      <c r="Q2859" s="39"/>
      <c r="R2859" s="28"/>
      <c r="S2859" s="28"/>
      <c r="T2859" s="28"/>
      <c r="U2859" s="4"/>
      <c r="V2859" s="3"/>
      <c r="W2859" s="3"/>
    </row>
    <row r="2860" spans="1:23" s="5" customFormat="1">
      <c r="A2860" s="6"/>
      <c r="B2860" s="33"/>
      <c r="C2860" s="35"/>
      <c r="E2860" s="39"/>
      <c r="G2860" s="40"/>
      <c r="H2860" s="15"/>
      <c r="I2860" s="17"/>
      <c r="J2860" s="10"/>
      <c r="M2860" s="39"/>
      <c r="O2860" s="39"/>
      <c r="Q2860" s="39"/>
      <c r="R2860" s="28"/>
      <c r="S2860" s="28"/>
      <c r="T2860" s="28"/>
      <c r="U2860" s="4"/>
      <c r="V2860" s="3"/>
      <c r="W2860" s="3"/>
    </row>
    <row r="2861" spans="1:23" s="5" customFormat="1">
      <c r="A2861" s="6"/>
      <c r="B2861" s="33"/>
      <c r="C2861" s="35"/>
      <c r="E2861" s="39"/>
      <c r="G2861" s="40"/>
      <c r="H2861" s="15"/>
      <c r="I2861" s="17"/>
      <c r="J2861" s="10"/>
      <c r="M2861" s="39"/>
      <c r="O2861" s="39"/>
      <c r="Q2861" s="39"/>
      <c r="R2861" s="28"/>
      <c r="S2861" s="28"/>
      <c r="T2861" s="28"/>
      <c r="U2861" s="4"/>
      <c r="V2861" s="3"/>
      <c r="W2861" s="3"/>
    </row>
    <row r="2862" spans="1:23" s="5" customFormat="1">
      <c r="A2862" s="6"/>
      <c r="B2862" s="33"/>
      <c r="C2862" s="35"/>
      <c r="E2862" s="39"/>
      <c r="G2862" s="40"/>
      <c r="H2862" s="15"/>
      <c r="I2862" s="17"/>
      <c r="J2862" s="10"/>
      <c r="M2862" s="39"/>
      <c r="O2862" s="39"/>
      <c r="Q2862" s="39"/>
      <c r="R2862" s="28"/>
      <c r="S2862" s="28"/>
      <c r="T2862" s="28"/>
      <c r="U2862" s="4"/>
      <c r="V2862" s="3"/>
      <c r="W2862" s="3"/>
    </row>
    <row r="2863" spans="1:23" s="5" customFormat="1">
      <c r="A2863" s="6"/>
      <c r="B2863" s="33"/>
      <c r="C2863" s="35"/>
      <c r="E2863" s="39"/>
      <c r="G2863" s="40"/>
      <c r="H2863" s="15"/>
      <c r="I2863" s="17"/>
      <c r="J2863" s="10"/>
      <c r="M2863" s="39"/>
      <c r="O2863" s="39"/>
      <c r="Q2863" s="39"/>
      <c r="R2863" s="28"/>
      <c r="S2863" s="28"/>
      <c r="T2863" s="28"/>
      <c r="U2863" s="4"/>
      <c r="V2863" s="3"/>
      <c r="W2863" s="3"/>
    </row>
    <row r="2864" spans="1:23" s="5" customFormat="1">
      <c r="A2864" s="6"/>
      <c r="B2864" s="33"/>
      <c r="C2864" s="35"/>
      <c r="E2864" s="39"/>
      <c r="G2864" s="40"/>
      <c r="H2864" s="15"/>
      <c r="I2864" s="17"/>
      <c r="J2864" s="10"/>
      <c r="M2864" s="39"/>
      <c r="O2864" s="39"/>
      <c r="Q2864" s="39"/>
      <c r="R2864" s="28"/>
      <c r="S2864" s="28"/>
      <c r="T2864" s="28"/>
      <c r="U2864" s="4"/>
      <c r="V2864" s="3"/>
      <c r="W2864" s="3"/>
    </row>
    <row r="2865" spans="1:23" s="5" customFormat="1">
      <c r="A2865" s="6"/>
      <c r="B2865" s="33"/>
      <c r="C2865" s="35"/>
      <c r="E2865" s="39"/>
      <c r="G2865" s="40"/>
      <c r="H2865" s="15"/>
      <c r="I2865" s="17"/>
      <c r="J2865" s="10"/>
      <c r="M2865" s="39"/>
      <c r="O2865" s="39"/>
      <c r="Q2865" s="39"/>
      <c r="R2865" s="28"/>
      <c r="S2865" s="28"/>
      <c r="T2865" s="28"/>
      <c r="U2865" s="4"/>
      <c r="V2865" s="3"/>
      <c r="W2865" s="3"/>
    </row>
    <row r="2866" spans="1:23" s="5" customFormat="1">
      <c r="A2866" s="6"/>
      <c r="B2866" s="33"/>
      <c r="C2866" s="35"/>
      <c r="E2866" s="39"/>
      <c r="G2866" s="40"/>
      <c r="H2866" s="15"/>
      <c r="I2866" s="17"/>
      <c r="J2866" s="10"/>
      <c r="M2866" s="39"/>
      <c r="O2866" s="39"/>
      <c r="Q2866" s="39"/>
      <c r="R2866" s="28"/>
      <c r="S2866" s="28"/>
      <c r="T2866" s="28"/>
      <c r="U2866" s="4"/>
      <c r="V2866" s="3"/>
      <c r="W2866" s="3"/>
    </row>
    <row r="2867" spans="1:23" s="5" customFormat="1">
      <c r="A2867" s="6"/>
      <c r="B2867" s="33"/>
      <c r="C2867" s="35"/>
      <c r="E2867" s="39"/>
      <c r="G2867" s="40"/>
      <c r="H2867" s="15"/>
      <c r="I2867" s="17"/>
      <c r="J2867" s="10"/>
      <c r="M2867" s="39"/>
      <c r="O2867" s="39"/>
      <c r="Q2867" s="39"/>
      <c r="R2867" s="28"/>
      <c r="S2867" s="28"/>
      <c r="T2867" s="28"/>
      <c r="U2867" s="4"/>
      <c r="V2867" s="3"/>
      <c r="W2867" s="3"/>
    </row>
    <row r="2868" spans="1:23" s="5" customFormat="1">
      <c r="A2868" s="6"/>
      <c r="B2868" s="33"/>
      <c r="C2868" s="35"/>
      <c r="E2868" s="39"/>
      <c r="G2868" s="40"/>
      <c r="H2868" s="15"/>
      <c r="I2868" s="17"/>
      <c r="J2868" s="10"/>
      <c r="M2868" s="39"/>
      <c r="O2868" s="39"/>
      <c r="Q2868" s="39"/>
      <c r="R2868" s="28"/>
      <c r="S2868" s="28"/>
      <c r="T2868" s="28"/>
      <c r="U2868" s="4"/>
      <c r="V2868" s="3"/>
      <c r="W2868" s="3"/>
    </row>
    <row r="2869" spans="1:23" s="5" customFormat="1">
      <c r="A2869" s="6"/>
      <c r="B2869" s="33"/>
      <c r="C2869" s="35"/>
      <c r="E2869" s="39"/>
      <c r="G2869" s="40"/>
      <c r="H2869" s="15"/>
      <c r="I2869" s="17"/>
      <c r="J2869" s="10"/>
      <c r="M2869" s="39"/>
      <c r="O2869" s="39"/>
      <c r="Q2869" s="39"/>
      <c r="R2869" s="28"/>
      <c r="S2869" s="28"/>
      <c r="T2869" s="28"/>
      <c r="U2869" s="4"/>
      <c r="V2869" s="3"/>
      <c r="W2869" s="3"/>
    </row>
    <row r="2870" spans="1:23" s="5" customFormat="1">
      <c r="A2870" s="6"/>
      <c r="B2870" s="33"/>
      <c r="C2870" s="35"/>
      <c r="E2870" s="39"/>
      <c r="G2870" s="40"/>
      <c r="H2870" s="15"/>
      <c r="I2870" s="17"/>
      <c r="J2870" s="10"/>
      <c r="M2870" s="39"/>
      <c r="O2870" s="39"/>
      <c r="Q2870" s="39"/>
      <c r="R2870" s="28"/>
      <c r="S2870" s="28"/>
      <c r="T2870" s="28"/>
      <c r="U2870" s="4"/>
      <c r="V2870" s="3"/>
      <c r="W2870" s="3"/>
    </row>
    <row r="2871" spans="1:23" s="5" customFormat="1">
      <c r="A2871" s="6"/>
      <c r="B2871" s="33"/>
      <c r="C2871" s="35"/>
      <c r="E2871" s="39"/>
      <c r="G2871" s="40"/>
      <c r="H2871" s="15"/>
      <c r="I2871" s="17"/>
      <c r="J2871" s="10"/>
      <c r="M2871" s="39"/>
      <c r="O2871" s="39"/>
      <c r="Q2871" s="39"/>
      <c r="R2871" s="28"/>
      <c r="S2871" s="28"/>
      <c r="T2871" s="28"/>
      <c r="U2871" s="4"/>
      <c r="V2871" s="3"/>
      <c r="W2871" s="3"/>
    </row>
    <row r="2872" spans="1:23" s="5" customFormat="1">
      <c r="A2872" s="6"/>
      <c r="B2872" s="33"/>
      <c r="C2872" s="35"/>
      <c r="E2872" s="39"/>
      <c r="G2872" s="40"/>
      <c r="H2872" s="15"/>
      <c r="I2872" s="17"/>
      <c r="J2872" s="10"/>
      <c r="M2872" s="39"/>
      <c r="O2872" s="39"/>
      <c r="Q2872" s="39"/>
      <c r="R2872" s="28"/>
      <c r="S2872" s="28"/>
      <c r="T2872" s="28"/>
      <c r="U2872" s="4"/>
      <c r="V2872" s="3"/>
      <c r="W2872" s="3"/>
    </row>
    <row r="2873" spans="1:23" s="5" customFormat="1">
      <c r="A2873" s="20"/>
      <c r="B2873" s="33"/>
      <c r="C2873" s="35"/>
      <c r="D2873" s="1"/>
      <c r="E2873" s="39"/>
      <c r="F2873" s="1"/>
      <c r="G2873" s="40"/>
      <c r="H2873" s="12"/>
      <c r="I2873" s="9"/>
      <c r="J2873" s="12"/>
      <c r="L2873" s="1"/>
      <c r="M2873" s="39"/>
      <c r="N2873" s="1"/>
      <c r="O2873" s="39"/>
      <c r="P2873" s="1"/>
      <c r="Q2873" s="39"/>
      <c r="R2873" s="28"/>
      <c r="S2873" s="28"/>
      <c r="T2873" s="28"/>
      <c r="U2873" s="4"/>
      <c r="V2873" s="3"/>
      <c r="W2873" s="3"/>
    </row>
    <row r="2874" spans="1:23" s="5" customFormat="1">
      <c r="A2874" s="6"/>
      <c r="B2874" s="33"/>
      <c r="C2874" s="35"/>
      <c r="E2874" s="39"/>
      <c r="G2874" s="40"/>
      <c r="H2874" s="15"/>
      <c r="I2874" s="17"/>
      <c r="J2874" s="10"/>
      <c r="M2874" s="39"/>
      <c r="O2874" s="39"/>
      <c r="Q2874" s="39"/>
      <c r="R2874" s="28"/>
      <c r="S2874" s="28"/>
      <c r="T2874" s="28"/>
      <c r="U2874" s="4"/>
      <c r="V2874" s="3"/>
      <c r="W2874" s="3"/>
    </row>
    <row r="2875" spans="1:23" s="5" customFormat="1">
      <c r="A2875" s="6"/>
      <c r="B2875" s="33"/>
      <c r="C2875" s="35"/>
      <c r="E2875" s="39"/>
      <c r="G2875" s="40"/>
      <c r="H2875" s="15"/>
      <c r="I2875" s="17"/>
      <c r="J2875" s="10"/>
      <c r="M2875" s="39"/>
      <c r="O2875" s="39"/>
      <c r="Q2875" s="39"/>
      <c r="R2875" s="28"/>
      <c r="S2875" s="28"/>
      <c r="T2875" s="28"/>
      <c r="U2875" s="4"/>
      <c r="V2875" s="3"/>
      <c r="W2875" s="3"/>
    </row>
    <row r="2876" spans="1:23" s="5" customFormat="1">
      <c r="A2876" s="6"/>
      <c r="B2876" s="33"/>
      <c r="C2876" s="35"/>
      <c r="E2876" s="39"/>
      <c r="G2876" s="40"/>
      <c r="H2876" s="15"/>
      <c r="I2876" s="17"/>
      <c r="J2876" s="10"/>
      <c r="M2876" s="39"/>
      <c r="O2876" s="39"/>
      <c r="Q2876" s="39"/>
      <c r="R2876" s="28"/>
      <c r="S2876" s="28"/>
      <c r="T2876" s="28"/>
      <c r="U2876" s="4"/>
      <c r="V2876" s="3"/>
      <c r="W2876" s="3"/>
    </row>
    <row r="2877" spans="1:23" s="5" customFormat="1">
      <c r="A2877" s="6"/>
      <c r="B2877" s="33"/>
      <c r="C2877" s="35"/>
      <c r="E2877" s="39"/>
      <c r="G2877" s="40"/>
      <c r="H2877" s="15"/>
      <c r="I2877" s="17"/>
      <c r="J2877" s="10"/>
      <c r="M2877" s="39"/>
      <c r="O2877" s="39"/>
      <c r="Q2877" s="39"/>
      <c r="R2877" s="28"/>
      <c r="S2877" s="28"/>
      <c r="T2877" s="28"/>
      <c r="U2877" s="4"/>
      <c r="V2877" s="3"/>
      <c r="W2877" s="3"/>
    </row>
    <row r="2878" spans="1:23" s="5" customFormat="1">
      <c r="A2878" s="6"/>
      <c r="B2878" s="33"/>
      <c r="C2878" s="35"/>
      <c r="E2878" s="39"/>
      <c r="G2878" s="40"/>
      <c r="H2878" s="15"/>
      <c r="I2878" s="17"/>
      <c r="J2878" s="10"/>
      <c r="M2878" s="39"/>
      <c r="O2878" s="39"/>
      <c r="Q2878" s="39"/>
      <c r="R2878" s="28"/>
      <c r="S2878" s="28"/>
      <c r="T2878" s="28"/>
      <c r="U2878" s="4"/>
      <c r="V2878" s="3"/>
      <c r="W2878" s="3"/>
    </row>
    <row r="2879" spans="1:23" s="5" customFormat="1">
      <c r="A2879" s="6"/>
      <c r="B2879" s="33"/>
      <c r="C2879" s="35"/>
      <c r="E2879" s="39"/>
      <c r="G2879" s="40"/>
      <c r="H2879" s="15"/>
      <c r="I2879" s="17"/>
      <c r="J2879" s="10"/>
      <c r="M2879" s="39"/>
      <c r="O2879" s="39"/>
      <c r="Q2879" s="39"/>
      <c r="R2879" s="28"/>
      <c r="S2879" s="28"/>
      <c r="T2879" s="28"/>
      <c r="U2879" s="4"/>
      <c r="V2879" s="3"/>
      <c r="W2879" s="3"/>
    </row>
    <row r="2880" spans="1:23" s="5" customFormat="1">
      <c r="A2880" s="6"/>
      <c r="B2880" s="33"/>
      <c r="C2880" s="35"/>
      <c r="E2880" s="39"/>
      <c r="G2880" s="40"/>
      <c r="H2880" s="15"/>
      <c r="I2880" s="17"/>
      <c r="J2880" s="10"/>
      <c r="M2880" s="39"/>
      <c r="O2880" s="39"/>
      <c r="Q2880" s="39"/>
      <c r="R2880" s="28"/>
      <c r="S2880" s="28"/>
      <c r="T2880" s="28"/>
      <c r="U2880" s="4"/>
      <c r="V2880" s="3"/>
      <c r="W2880" s="3"/>
    </row>
    <row r="2881" spans="1:23" s="5" customFormat="1">
      <c r="A2881" s="20"/>
      <c r="B2881" s="33"/>
      <c r="C2881" s="35"/>
      <c r="E2881" s="39"/>
      <c r="F2881" s="1"/>
      <c r="G2881" s="40"/>
      <c r="H2881" s="12"/>
      <c r="I2881" s="9"/>
      <c r="J2881" s="12"/>
      <c r="M2881" s="39"/>
      <c r="O2881" s="39"/>
      <c r="Q2881" s="39"/>
      <c r="R2881" s="29"/>
      <c r="S2881" s="28"/>
      <c r="T2881" s="28"/>
      <c r="U2881" s="4"/>
      <c r="V2881" s="3"/>
      <c r="W2881" s="3"/>
    </row>
    <row r="2882" spans="1:23" s="5" customFormat="1">
      <c r="A2882" s="6"/>
      <c r="B2882" s="33"/>
      <c r="C2882" s="35"/>
      <c r="E2882" s="39"/>
      <c r="G2882" s="40"/>
      <c r="H2882" s="14"/>
      <c r="I2882" s="17"/>
      <c r="J2882" s="10"/>
      <c r="M2882" s="39"/>
      <c r="O2882" s="39"/>
      <c r="Q2882" s="39"/>
      <c r="R2882" s="28"/>
      <c r="S2882" s="28"/>
      <c r="T2882" s="28"/>
      <c r="U2882" s="4"/>
      <c r="V2882" s="3"/>
      <c r="W2882" s="3"/>
    </row>
    <row r="2883" spans="1:23" s="5" customFormat="1">
      <c r="A2883" s="6"/>
      <c r="B2883" s="33"/>
      <c r="C2883" s="35"/>
      <c r="E2883" s="39"/>
      <c r="G2883" s="40"/>
      <c r="H2883" s="15"/>
      <c r="I2883" s="17"/>
      <c r="J2883" s="10"/>
      <c r="M2883" s="39"/>
      <c r="O2883" s="39"/>
      <c r="Q2883" s="39"/>
      <c r="R2883" s="28"/>
      <c r="S2883" s="28"/>
      <c r="T2883" s="28"/>
      <c r="U2883" s="4"/>
      <c r="V2883" s="3"/>
      <c r="W2883" s="3"/>
    </row>
    <row r="2884" spans="1:23" s="5" customFormat="1">
      <c r="A2884" s="6"/>
      <c r="B2884" s="33"/>
      <c r="C2884" s="35"/>
      <c r="E2884" s="39"/>
      <c r="G2884" s="40"/>
      <c r="H2884" s="14"/>
      <c r="I2884" s="17"/>
      <c r="J2884" s="10"/>
      <c r="M2884" s="39"/>
      <c r="O2884" s="39"/>
      <c r="Q2884" s="39"/>
      <c r="R2884" s="28"/>
      <c r="S2884" s="28"/>
      <c r="T2884" s="28"/>
      <c r="U2884" s="4"/>
      <c r="V2884" s="3"/>
      <c r="W2884" s="3"/>
    </row>
    <row r="2885" spans="1:23" s="5" customFormat="1">
      <c r="A2885" s="6"/>
      <c r="B2885" s="33"/>
      <c r="C2885" s="35"/>
      <c r="E2885" s="39"/>
      <c r="G2885" s="40"/>
      <c r="H2885" s="14"/>
      <c r="I2885" s="17"/>
      <c r="J2885" s="10"/>
      <c r="M2885" s="39"/>
      <c r="O2885" s="39"/>
      <c r="Q2885" s="39"/>
      <c r="R2885" s="28"/>
      <c r="S2885" s="28"/>
      <c r="T2885" s="28"/>
      <c r="U2885" s="4"/>
      <c r="V2885" s="3"/>
      <c r="W2885" s="3"/>
    </row>
    <row r="2886" spans="1:23" s="5" customFormat="1">
      <c r="A2886" s="6"/>
      <c r="B2886" s="33"/>
      <c r="C2886" s="35"/>
      <c r="E2886" s="39"/>
      <c r="G2886" s="40"/>
      <c r="H2886" s="14"/>
      <c r="I2886" s="17"/>
      <c r="J2886" s="10"/>
      <c r="M2886" s="39"/>
      <c r="O2886" s="39"/>
      <c r="Q2886" s="39"/>
      <c r="R2886" s="28"/>
      <c r="S2886" s="28"/>
      <c r="T2886" s="28"/>
      <c r="U2886" s="4"/>
      <c r="V2886" s="3"/>
      <c r="W2886" s="3"/>
    </row>
    <row r="2887" spans="1:23" s="5" customFormat="1">
      <c r="A2887" s="6"/>
      <c r="B2887" s="33"/>
      <c r="C2887" s="35"/>
      <c r="E2887" s="39"/>
      <c r="G2887" s="40"/>
      <c r="H2887" s="14"/>
      <c r="I2887" s="17"/>
      <c r="J2887" s="10"/>
      <c r="M2887" s="39"/>
      <c r="O2887" s="39"/>
      <c r="Q2887" s="39"/>
      <c r="R2887" s="28"/>
      <c r="S2887" s="29"/>
      <c r="T2887" s="28"/>
      <c r="U2887" s="4"/>
      <c r="V2887" s="3"/>
      <c r="W2887" s="3"/>
    </row>
    <row r="2888" spans="1:23" s="5" customFormat="1">
      <c r="A2888" s="6"/>
      <c r="B2888" s="33"/>
      <c r="C2888" s="35"/>
      <c r="E2888" s="39"/>
      <c r="G2888" s="40"/>
      <c r="H2888" s="14"/>
      <c r="I2888" s="17"/>
      <c r="J2888" s="10"/>
      <c r="M2888" s="39"/>
      <c r="O2888" s="39"/>
      <c r="Q2888" s="39"/>
      <c r="R2888" s="28"/>
      <c r="S2888" s="28"/>
      <c r="T2888" s="28"/>
      <c r="U2888" s="4"/>
      <c r="V2888" s="3"/>
      <c r="W2888" s="3"/>
    </row>
    <row r="2889" spans="1:23" s="5" customFormat="1">
      <c r="A2889" s="6"/>
      <c r="B2889" s="33"/>
      <c r="C2889" s="35"/>
      <c r="E2889" s="39"/>
      <c r="G2889" s="40"/>
      <c r="H2889" s="14"/>
      <c r="I2889" s="17"/>
      <c r="J2889" s="10"/>
      <c r="M2889" s="39"/>
      <c r="O2889" s="39"/>
      <c r="Q2889" s="39"/>
      <c r="R2889" s="28"/>
      <c r="S2889" s="28"/>
      <c r="T2889" s="28"/>
      <c r="U2889" s="4"/>
      <c r="V2889" s="3"/>
      <c r="W2889" s="3"/>
    </row>
    <row r="2890" spans="1:23" s="5" customFormat="1">
      <c r="A2890" s="6"/>
      <c r="B2890" s="33"/>
      <c r="C2890" s="35"/>
      <c r="E2890" s="39"/>
      <c r="G2890" s="40"/>
      <c r="H2890" s="15"/>
      <c r="I2890" s="17"/>
      <c r="J2890" s="10"/>
      <c r="K2890" s="1"/>
      <c r="M2890" s="39"/>
      <c r="O2890" s="39"/>
      <c r="Q2890" s="39"/>
      <c r="R2890" s="29"/>
      <c r="S2890" s="29"/>
      <c r="T2890" s="28"/>
      <c r="U2890" s="4"/>
      <c r="V2890" s="3"/>
      <c r="W2890" s="3"/>
    </row>
    <row r="2891" spans="1:23" s="5" customFormat="1">
      <c r="A2891" s="6"/>
      <c r="B2891" s="33"/>
      <c r="C2891" s="35"/>
      <c r="E2891" s="39"/>
      <c r="G2891" s="40"/>
      <c r="H2891" s="15"/>
      <c r="I2891" s="17"/>
      <c r="J2891" s="10"/>
      <c r="M2891" s="39"/>
      <c r="O2891" s="39"/>
      <c r="Q2891" s="39"/>
      <c r="R2891" s="28"/>
      <c r="S2891" s="28"/>
      <c r="T2891" s="28"/>
      <c r="U2891" s="4"/>
      <c r="V2891" s="3"/>
      <c r="W2891" s="3"/>
    </row>
    <row r="2892" spans="1:23" s="5" customFormat="1">
      <c r="A2892" s="6"/>
      <c r="B2892" s="33"/>
      <c r="C2892" s="35"/>
      <c r="E2892" s="39"/>
      <c r="G2892" s="40"/>
      <c r="H2892" s="14"/>
      <c r="I2892" s="17"/>
      <c r="J2892" s="10"/>
      <c r="M2892" s="39"/>
      <c r="O2892" s="39"/>
      <c r="Q2892" s="39"/>
      <c r="R2892" s="28"/>
      <c r="S2892" s="28"/>
      <c r="T2892" s="28"/>
      <c r="U2892" s="4"/>
      <c r="V2892" s="3"/>
      <c r="W2892" s="3"/>
    </row>
    <row r="2893" spans="1:23" s="5" customFormat="1">
      <c r="A2893" s="6"/>
      <c r="B2893" s="33"/>
      <c r="C2893" s="35"/>
      <c r="E2893" s="39"/>
      <c r="G2893" s="40"/>
      <c r="H2893" s="14"/>
      <c r="I2893" s="17"/>
      <c r="J2893" s="10"/>
      <c r="M2893" s="39"/>
      <c r="O2893" s="39"/>
      <c r="Q2893" s="39"/>
      <c r="R2893" s="28"/>
      <c r="S2893" s="28"/>
      <c r="T2893" s="28"/>
      <c r="U2893" s="4"/>
      <c r="V2893" s="3"/>
      <c r="W2893" s="3"/>
    </row>
    <row r="2894" spans="1:23" s="5" customFormat="1">
      <c r="A2894" s="6"/>
      <c r="B2894" s="33"/>
      <c r="C2894" s="35"/>
      <c r="E2894" s="39"/>
      <c r="G2894" s="40"/>
      <c r="H2894" s="14"/>
      <c r="I2894" s="17"/>
      <c r="J2894" s="10"/>
      <c r="M2894" s="39"/>
      <c r="O2894" s="39"/>
      <c r="Q2894" s="39"/>
      <c r="R2894" s="28"/>
      <c r="S2894" s="28"/>
      <c r="T2894" s="28"/>
      <c r="U2894" s="4"/>
      <c r="V2894" s="3"/>
      <c r="W2894" s="3"/>
    </row>
    <row r="2895" spans="1:23" s="5" customFormat="1">
      <c r="A2895" s="6"/>
      <c r="B2895" s="33"/>
      <c r="C2895" s="35"/>
      <c r="E2895" s="39"/>
      <c r="G2895" s="40"/>
      <c r="H2895" s="14"/>
      <c r="I2895" s="17"/>
      <c r="J2895" s="10"/>
      <c r="M2895" s="39"/>
      <c r="O2895" s="39"/>
      <c r="Q2895" s="39"/>
      <c r="R2895" s="28"/>
      <c r="S2895" s="28"/>
      <c r="T2895" s="28"/>
      <c r="U2895" s="4"/>
      <c r="V2895" s="3"/>
      <c r="W2895" s="3"/>
    </row>
    <row r="2896" spans="1:23" s="5" customFormat="1">
      <c r="A2896" s="6"/>
      <c r="B2896" s="33"/>
      <c r="C2896" s="35"/>
      <c r="E2896" s="39"/>
      <c r="G2896" s="40"/>
      <c r="H2896" s="15"/>
      <c r="I2896" s="17"/>
      <c r="J2896" s="10"/>
      <c r="M2896" s="39"/>
      <c r="O2896" s="39"/>
      <c r="Q2896" s="39"/>
      <c r="R2896" s="28"/>
      <c r="S2896" s="28"/>
      <c r="T2896" s="28"/>
      <c r="U2896" s="4"/>
      <c r="V2896" s="3"/>
      <c r="W2896" s="3"/>
    </row>
    <row r="2897" spans="1:23" s="5" customFormat="1">
      <c r="A2897" s="20"/>
      <c r="B2897" s="33"/>
      <c r="C2897" s="35"/>
      <c r="E2897" s="39"/>
      <c r="F2897" s="1"/>
      <c r="G2897" s="40"/>
      <c r="H2897" s="12"/>
      <c r="I2897" s="9"/>
      <c r="J2897" s="12"/>
      <c r="M2897" s="39"/>
      <c r="O2897" s="39"/>
      <c r="Q2897" s="39"/>
      <c r="R2897" s="29"/>
      <c r="S2897" s="28"/>
      <c r="T2897" s="28"/>
      <c r="U2897" s="4"/>
      <c r="V2897" s="3"/>
      <c r="W2897" s="3"/>
    </row>
    <row r="2898" spans="1:23" s="5" customFormat="1">
      <c r="A2898" s="6"/>
      <c r="B2898" s="33"/>
      <c r="C2898" s="35"/>
      <c r="E2898" s="39"/>
      <c r="G2898" s="40"/>
      <c r="H2898" s="15"/>
      <c r="I2898" s="17"/>
      <c r="J2898" s="10"/>
      <c r="M2898" s="39"/>
      <c r="O2898" s="39"/>
      <c r="Q2898" s="39"/>
      <c r="R2898" s="28"/>
      <c r="S2898" s="28"/>
      <c r="T2898" s="28"/>
      <c r="U2898" s="4"/>
      <c r="V2898" s="3"/>
      <c r="W2898" s="3"/>
    </row>
    <row r="2899" spans="1:23" s="5" customFormat="1">
      <c r="A2899" s="6"/>
      <c r="B2899" s="33"/>
      <c r="C2899" s="35"/>
      <c r="E2899" s="39"/>
      <c r="G2899" s="40"/>
      <c r="H2899" s="14"/>
      <c r="I2899" s="17"/>
      <c r="J2899" s="10"/>
      <c r="M2899" s="39"/>
      <c r="O2899" s="39"/>
      <c r="Q2899" s="39"/>
      <c r="R2899" s="28"/>
      <c r="S2899" s="28"/>
      <c r="T2899" s="28"/>
      <c r="U2899" s="4"/>
      <c r="V2899" s="3"/>
      <c r="W2899" s="3"/>
    </row>
    <row r="2900" spans="1:23" s="5" customFormat="1">
      <c r="A2900" s="6"/>
      <c r="B2900" s="33"/>
      <c r="C2900" s="35"/>
      <c r="E2900" s="39"/>
      <c r="G2900" s="40"/>
      <c r="H2900" s="15"/>
      <c r="I2900" s="17"/>
      <c r="J2900" s="10"/>
      <c r="M2900" s="39"/>
      <c r="O2900" s="39"/>
      <c r="Q2900" s="39"/>
      <c r="R2900" s="28"/>
      <c r="S2900" s="28"/>
      <c r="T2900" s="28"/>
      <c r="U2900" s="4"/>
      <c r="V2900" s="3"/>
      <c r="W2900" s="3"/>
    </row>
    <row r="2901" spans="1:23" s="5" customFormat="1">
      <c r="A2901" s="6"/>
      <c r="B2901" s="33"/>
      <c r="C2901" s="35"/>
      <c r="E2901" s="39"/>
      <c r="G2901" s="40"/>
      <c r="H2901" s="15"/>
      <c r="I2901" s="17"/>
      <c r="J2901" s="10"/>
      <c r="M2901" s="39"/>
      <c r="O2901" s="39"/>
      <c r="Q2901" s="39"/>
      <c r="R2901" s="28"/>
      <c r="S2901" s="28"/>
      <c r="T2901" s="28"/>
      <c r="U2901" s="4"/>
      <c r="V2901" s="3"/>
      <c r="W2901" s="3"/>
    </row>
    <row r="2902" spans="1:23" s="5" customFormat="1">
      <c r="A2902" s="6"/>
      <c r="B2902" s="33"/>
      <c r="C2902" s="35"/>
      <c r="E2902" s="39"/>
      <c r="G2902" s="40"/>
      <c r="H2902" s="15"/>
      <c r="I2902" s="17"/>
      <c r="J2902" s="10"/>
      <c r="M2902" s="39"/>
      <c r="O2902" s="39"/>
      <c r="Q2902" s="39"/>
      <c r="R2902" s="28"/>
      <c r="S2902" s="28"/>
      <c r="T2902" s="28"/>
      <c r="U2902" s="4"/>
      <c r="V2902" s="3"/>
      <c r="W2902" s="3"/>
    </row>
    <row r="2903" spans="1:23" s="5" customFormat="1">
      <c r="A2903" s="6"/>
      <c r="B2903" s="33"/>
      <c r="C2903" s="35"/>
      <c r="E2903" s="39"/>
      <c r="G2903" s="40"/>
      <c r="H2903" s="15"/>
      <c r="I2903" s="17"/>
      <c r="J2903" s="10"/>
      <c r="M2903" s="39"/>
      <c r="O2903" s="39"/>
      <c r="Q2903" s="39"/>
      <c r="R2903" s="28"/>
      <c r="S2903" s="28"/>
      <c r="T2903" s="28"/>
      <c r="U2903" s="4"/>
      <c r="V2903" s="3"/>
      <c r="W2903" s="3"/>
    </row>
    <row r="2904" spans="1:23" s="5" customFormat="1">
      <c r="A2904" s="6"/>
      <c r="B2904" s="33"/>
      <c r="C2904" s="35"/>
      <c r="E2904" s="39"/>
      <c r="G2904" s="40"/>
      <c r="H2904" s="14"/>
      <c r="I2904" s="17"/>
      <c r="J2904" s="10"/>
      <c r="M2904" s="39"/>
      <c r="O2904" s="39"/>
      <c r="Q2904" s="39"/>
      <c r="R2904" s="28"/>
      <c r="S2904" s="28"/>
      <c r="T2904" s="28"/>
      <c r="U2904" s="4"/>
      <c r="V2904" s="3"/>
      <c r="W2904" s="3"/>
    </row>
    <row r="2905" spans="1:23" s="5" customFormat="1">
      <c r="A2905" s="6"/>
      <c r="B2905" s="33"/>
      <c r="C2905" s="35"/>
      <c r="E2905" s="39"/>
      <c r="G2905" s="40"/>
      <c r="H2905" s="15"/>
      <c r="I2905" s="17"/>
      <c r="J2905" s="10"/>
      <c r="M2905" s="39"/>
      <c r="O2905" s="39"/>
      <c r="Q2905" s="39"/>
      <c r="R2905" s="28"/>
      <c r="S2905" s="28"/>
      <c r="T2905" s="28"/>
      <c r="U2905" s="4"/>
      <c r="V2905" s="3"/>
      <c r="W2905" s="3"/>
    </row>
    <row r="2906" spans="1:23" s="5" customFormat="1">
      <c r="A2906" s="6"/>
      <c r="B2906" s="33"/>
      <c r="C2906" s="35"/>
      <c r="E2906" s="39"/>
      <c r="G2906" s="40"/>
      <c r="H2906" s="15"/>
      <c r="I2906" s="17"/>
      <c r="J2906" s="10"/>
      <c r="M2906" s="39"/>
      <c r="O2906" s="39"/>
      <c r="Q2906" s="39"/>
      <c r="R2906" s="28"/>
      <c r="S2906" s="28"/>
      <c r="T2906" s="28"/>
      <c r="U2906" s="4"/>
      <c r="V2906" s="3"/>
      <c r="W2906" s="3"/>
    </row>
    <row r="2907" spans="1:23" s="5" customFormat="1">
      <c r="A2907" s="6"/>
      <c r="B2907" s="33"/>
      <c r="C2907" s="35"/>
      <c r="E2907" s="39"/>
      <c r="G2907" s="40"/>
      <c r="H2907" s="14"/>
      <c r="I2907" s="17"/>
      <c r="J2907" s="10"/>
      <c r="M2907" s="39"/>
      <c r="O2907" s="39"/>
      <c r="Q2907" s="39"/>
      <c r="R2907" s="28"/>
      <c r="S2907" s="28"/>
      <c r="T2907" s="28"/>
      <c r="U2907" s="4"/>
      <c r="V2907" s="3"/>
      <c r="W2907" s="3"/>
    </row>
    <row r="2908" spans="1:23" s="5" customFormat="1">
      <c r="A2908" s="6"/>
      <c r="B2908" s="33"/>
      <c r="C2908" s="35"/>
      <c r="E2908" s="39"/>
      <c r="G2908" s="40"/>
      <c r="H2908" s="14"/>
      <c r="I2908" s="17"/>
      <c r="J2908" s="10"/>
      <c r="M2908" s="39"/>
      <c r="O2908" s="39"/>
      <c r="Q2908" s="39"/>
      <c r="R2908" s="28"/>
      <c r="S2908" s="28"/>
      <c r="T2908" s="28"/>
      <c r="U2908" s="4"/>
      <c r="V2908" s="3"/>
      <c r="W2908" s="3"/>
    </row>
    <row r="2909" spans="1:23" s="5" customFormat="1">
      <c r="A2909" s="6"/>
      <c r="B2909" s="33"/>
      <c r="C2909" s="35"/>
      <c r="E2909" s="39"/>
      <c r="G2909" s="40"/>
      <c r="H2909" s="15"/>
      <c r="I2909" s="17"/>
      <c r="J2909" s="10"/>
      <c r="M2909" s="39"/>
      <c r="O2909" s="39"/>
      <c r="Q2909" s="39"/>
      <c r="R2909" s="28"/>
      <c r="S2909" s="28"/>
      <c r="T2909" s="28"/>
      <c r="U2909" s="4"/>
      <c r="V2909" s="3"/>
      <c r="W2909" s="3"/>
    </row>
    <row r="2910" spans="1:23" s="5" customFormat="1">
      <c r="A2910" s="6"/>
      <c r="B2910" s="33"/>
      <c r="C2910" s="35"/>
      <c r="E2910" s="39"/>
      <c r="G2910" s="40"/>
      <c r="H2910" s="15"/>
      <c r="I2910" s="17"/>
      <c r="J2910" s="10"/>
      <c r="M2910" s="39"/>
      <c r="O2910" s="39"/>
      <c r="Q2910" s="39"/>
      <c r="R2910" s="28"/>
      <c r="S2910" s="28"/>
      <c r="T2910" s="28"/>
      <c r="U2910" s="4"/>
      <c r="V2910" s="3"/>
      <c r="W2910" s="3"/>
    </row>
    <row r="2911" spans="1:23" s="5" customFormat="1">
      <c r="A2911" s="6"/>
      <c r="B2911" s="33"/>
      <c r="C2911" s="35"/>
      <c r="E2911" s="39"/>
      <c r="G2911" s="40"/>
      <c r="H2911" s="15"/>
      <c r="I2911" s="17"/>
      <c r="J2911" s="10"/>
      <c r="M2911" s="39"/>
      <c r="O2911" s="39"/>
      <c r="Q2911" s="39"/>
      <c r="R2911" s="28"/>
      <c r="S2911" s="28"/>
      <c r="T2911" s="28"/>
      <c r="U2911" s="4"/>
      <c r="V2911" s="3"/>
      <c r="W2911" s="3"/>
    </row>
    <row r="2912" spans="1:23" s="5" customFormat="1">
      <c r="A2912" s="6"/>
      <c r="B2912" s="33"/>
      <c r="C2912" s="35"/>
      <c r="E2912" s="39"/>
      <c r="G2912" s="40"/>
      <c r="H2912" s="14"/>
      <c r="I2912" s="17"/>
      <c r="J2912" s="10"/>
      <c r="M2912" s="39"/>
      <c r="O2912" s="39"/>
      <c r="Q2912" s="39"/>
      <c r="R2912" s="28"/>
      <c r="S2912" s="28"/>
      <c r="T2912" s="28"/>
      <c r="U2912" s="4"/>
      <c r="V2912" s="3"/>
      <c r="W2912" s="3"/>
    </row>
    <row r="2913" spans="1:23" s="5" customFormat="1">
      <c r="A2913" s="6"/>
      <c r="B2913" s="33"/>
      <c r="C2913" s="35"/>
      <c r="E2913" s="39"/>
      <c r="G2913" s="40"/>
      <c r="H2913" s="14"/>
      <c r="I2913" s="17"/>
      <c r="J2913" s="10"/>
      <c r="M2913" s="39"/>
      <c r="O2913" s="39"/>
      <c r="Q2913" s="39"/>
      <c r="R2913" s="28"/>
      <c r="S2913" s="28"/>
      <c r="T2913" s="28"/>
      <c r="U2913" s="4"/>
      <c r="V2913" s="3"/>
      <c r="W2913" s="3"/>
    </row>
    <row r="2914" spans="1:23" s="5" customFormat="1">
      <c r="A2914" s="6"/>
      <c r="B2914" s="33"/>
      <c r="C2914" s="35"/>
      <c r="E2914" s="39"/>
      <c r="G2914" s="40"/>
      <c r="H2914" s="14"/>
      <c r="I2914" s="17"/>
      <c r="J2914" s="10"/>
      <c r="M2914" s="39"/>
      <c r="O2914" s="39"/>
      <c r="Q2914" s="39"/>
      <c r="R2914" s="28"/>
      <c r="S2914" s="28"/>
      <c r="T2914" s="28"/>
      <c r="U2914" s="4"/>
      <c r="V2914" s="3"/>
      <c r="W2914" s="3"/>
    </row>
    <row r="2915" spans="1:23" s="5" customFormat="1">
      <c r="A2915" s="6"/>
      <c r="B2915" s="33"/>
      <c r="C2915" s="35"/>
      <c r="E2915" s="39"/>
      <c r="G2915" s="40"/>
      <c r="H2915" s="14"/>
      <c r="I2915" s="17"/>
      <c r="J2915" s="10"/>
      <c r="M2915" s="39"/>
      <c r="O2915" s="39"/>
      <c r="Q2915" s="39"/>
      <c r="R2915" s="28"/>
      <c r="S2915" s="28"/>
      <c r="T2915" s="28"/>
      <c r="U2915" s="4"/>
      <c r="V2915" s="3"/>
      <c r="W2915" s="3"/>
    </row>
    <row r="2916" spans="1:23" s="5" customFormat="1">
      <c r="A2916" s="6"/>
      <c r="B2916" s="33"/>
      <c r="C2916" s="35"/>
      <c r="E2916" s="39"/>
      <c r="G2916" s="40"/>
      <c r="H2916" s="14"/>
      <c r="I2916" s="17"/>
      <c r="J2916" s="10"/>
      <c r="M2916" s="39"/>
      <c r="O2916" s="39"/>
      <c r="Q2916" s="39"/>
      <c r="R2916" s="28"/>
      <c r="S2916" s="28"/>
      <c r="T2916" s="28"/>
      <c r="U2916" s="4"/>
      <c r="V2916" s="3"/>
      <c r="W2916" s="3"/>
    </row>
    <row r="2917" spans="1:23" s="5" customFormat="1">
      <c r="A2917" s="6"/>
      <c r="B2917" s="33"/>
      <c r="C2917" s="35"/>
      <c r="E2917" s="39"/>
      <c r="G2917" s="40"/>
      <c r="H2917" s="14"/>
      <c r="I2917" s="17"/>
      <c r="J2917" s="10"/>
      <c r="M2917" s="39"/>
      <c r="O2917" s="39"/>
      <c r="Q2917" s="39"/>
      <c r="R2917" s="28"/>
      <c r="S2917" s="28"/>
      <c r="T2917" s="28"/>
      <c r="U2917" s="4"/>
      <c r="V2917" s="3"/>
      <c r="W2917" s="3"/>
    </row>
    <row r="2918" spans="1:23" s="5" customFormat="1">
      <c r="A2918" s="6"/>
      <c r="B2918" s="33"/>
      <c r="C2918" s="35"/>
      <c r="E2918" s="39"/>
      <c r="G2918" s="40"/>
      <c r="H2918" s="15"/>
      <c r="I2918" s="17"/>
      <c r="J2918" s="10"/>
      <c r="M2918" s="39"/>
      <c r="O2918" s="39"/>
      <c r="Q2918" s="39"/>
      <c r="R2918" s="28"/>
      <c r="S2918" s="28"/>
      <c r="T2918" s="28"/>
      <c r="U2918" s="4"/>
      <c r="V2918" s="3"/>
      <c r="W2918" s="3"/>
    </row>
    <row r="2919" spans="1:23" s="5" customFormat="1">
      <c r="A2919" s="6"/>
      <c r="B2919" s="33"/>
      <c r="C2919" s="35"/>
      <c r="E2919" s="39"/>
      <c r="G2919" s="40"/>
      <c r="H2919" s="15"/>
      <c r="I2919" s="17"/>
      <c r="J2919" s="10"/>
      <c r="M2919" s="39"/>
      <c r="O2919" s="39"/>
      <c r="Q2919" s="39"/>
      <c r="R2919" s="28"/>
      <c r="S2919" s="28"/>
      <c r="T2919" s="28"/>
      <c r="U2919" s="4"/>
      <c r="V2919" s="3"/>
      <c r="W2919" s="3"/>
    </row>
    <row r="2920" spans="1:23" s="5" customFormat="1">
      <c r="A2920" s="6"/>
      <c r="B2920" s="33"/>
      <c r="C2920" s="35"/>
      <c r="E2920" s="39"/>
      <c r="G2920" s="40"/>
      <c r="H2920" s="15"/>
      <c r="I2920" s="17"/>
      <c r="J2920" s="10"/>
      <c r="M2920" s="39"/>
      <c r="O2920" s="39"/>
      <c r="Q2920" s="39"/>
      <c r="R2920" s="28"/>
      <c r="S2920" s="28"/>
      <c r="T2920" s="28"/>
      <c r="U2920" s="4"/>
      <c r="V2920" s="3"/>
      <c r="W2920" s="3"/>
    </row>
    <row r="2921" spans="1:23" s="5" customFormat="1">
      <c r="A2921" s="6"/>
      <c r="B2921" s="33"/>
      <c r="C2921" s="35"/>
      <c r="E2921" s="39"/>
      <c r="G2921" s="40"/>
      <c r="H2921" s="15"/>
      <c r="I2921" s="17"/>
      <c r="J2921" s="10"/>
      <c r="M2921" s="39"/>
      <c r="O2921" s="39"/>
      <c r="Q2921" s="39"/>
      <c r="R2921" s="28"/>
      <c r="S2921" s="28"/>
      <c r="T2921" s="28"/>
      <c r="U2921" s="4"/>
      <c r="V2921" s="3"/>
      <c r="W2921" s="3"/>
    </row>
    <row r="2922" spans="1:23" s="5" customFormat="1">
      <c r="A2922" s="6"/>
      <c r="B2922" s="33"/>
      <c r="C2922" s="35"/>
      <c r="E2922" s="39"/>
      <c r="G2922" s="40"/>
      <c r="H2922" s="14"/>
      <c r="I2922" s="17"/>
      <c r="J2922" s="10"/>
      <c r="M2922" s="39"/>
      <c r="O2922" s="39"/>
      <c r="Q2922" s="39"/>
      <c r="R2922" s="28"/>
      <c r="S2922" s="28"/>
      <c r="T2922" s="28"/>
      <c r="U2922" s="4"/>
      <c r="V2922" s="3"/>
      <c r="W2922" s="3"/>
    </row>
    <row r="2923" spans="1:23" s="5" customFormat="1">
      <c r="A2923" s="20"/>
      <c r="B2923" s="33"/>
      <c r="C2923" s="35"/>
      <c r="E2923" s="39"/>
      <c r="F2923" s="1"/>
      <c r="G2923" s="40"/>
      <c r="H2923" s="12"/>
      <c r="I2923" s="9"/>
      <c r="J2923" s="12"/>
      <c r="M2923" s="39"/>
      <c r="O2923" s="39"/>
      <c r="Q2923" s="39"/>
      <c r="R2923" s="29"/>
      <c r="S2923" s="28"/>
      <c r="T2923" s="28"/>
      <c r="U2923" s="4"/>
      <c r="V2923" s="3"/>
      <c r="W2923" s="3"/>
    </row>
    <row r="2924" spans="1:23" s="5" customFormat="1">
      <c r="A2924" s="6"/>
      <c r="B2924" s="33"/>
      <c r="C2924" s="35"/>
      <c r="E2924" s="39"/>
      <c r="G2924" s="40"/>
      <c r="H2924" s="14"/>
      <c r="I2924" s="17"/>
      <c r="J2924" s="10"/>
      <c r="M2924" s="39"/>
      <c r="O2924" s="39"/>
      <c r="Q2924" s="39"/>
      <c r="R2924" s="28"/>
      <c r="S2924" s="28"/>
      <c r="T2924" s="28"/>
      <c r="U2924" s="4"/>
      <c r="V2924" s="3"/>
      <c r="W2924" s="3"/>
    </row>
    <row r="2925" spans="1:23" s="5" customFormat="1">
      <c r="A2925" s="6"/>
      <c r="B2925" s="33"/>
      <c r="C2925" s="35"/>
      <c r="E2925" s="39"/>
      <c r="G2925" s="40"/>
      <c r="H2925" s="15"/>
      <c r="I2925" s="17"/>
      <c r="J2925" s="10"/>
      <c r="M2925" s="39"/>
      <c r="O2925" s="39"/>
      <c r="Q2925" s="39"/>
      <c r="R2925" s="28"/>
      <c r="S2925" s="28"/>
      <c r="T2925" s="28"/>
      <c r="U2925" s="4"/>
      <c r="V2925" s="3"/>
      <c r="W2925" s="3"/>
    </row>
    <row r="2926" spans="1:23" s="5" customFormat="1">
      <c r="A2926" s="6"/>
      <c r="B2926" s="33"/>
      <c r="C2926" s="35"/>
      <c r="E2926" s="39"/>
      <c r="G2926" s="40"/>
      <c r="H2926" s="14"/>
      <c r="I2926" s="17"/>
      <c r="J2926" s="10"/>
      <c r="M2926" s="39"/>
      <c r="O2926" s="39"/>
      <c r="Q2926" s="39"/>
      <c r="R2926" s="28"/>
      <c r="S2926" s="28"/>
      <c r="T2926" s="28"/>
      <c r="U2926" s="4"/>
      <c r="V2926" s="3"/>
      <c r="W2926" s="3"/>
    </row>
    <row r="2927" spans="1:23" s="5" customFormat="1">
      <c r="A2927" s="6"/>
      <c r="B2927" s="33"/>
      <c r="C2927" s="35"/>
      <c r="E2927" s="39"/>
      <c r="G2927" s="40"/>
      <c r="H2927" s="14"/>
      <c r="I2927" s="17"/>
      <c r="J2927" s="10"/>
      <c r="M2927" s="39"/>
      <c r="O2927" s="39"/>
      <c r="Q2927" s="39"/>
      <c r="R2927" s="28"/>
      <c r="S2927" s="28"/>
      <c r="T2927" s="28"/>
      <c r="U2927" s="4"/>
      <c r="V2927" s="3"/>
      <c r="W2927" s="3"/>
    </row>
    <row r="2928" spans="1:23" s="5" customFormat="1">
      <c r="A2928" s="6"/>
      <c r="B2928" s="33"/>
      <c r="C2928" s="35"/>
      <c r="E2928" s="39"/>
      <c r="G2928" s="40"/>
      <c r="H2928" s="14"/>
      <c r="I2928" s="17"/>
      <c r="J2928" s="10"/>
      <c r="M2928" s="39"/>
      <c r="O2928" s="39"/>
      <c r="Q2928" s="39"/>
      <c r="R2928" s="28"/>
      <c r="S2928" s="28"/>
      <c r="T2928" s="28"/>
      <c r="U2928" s="4"/>
      <c r="V2928" s="3"/>
      <c r="W2928" s="3"/>
    </row>
    <row r="2929" spans="1:23" s="5" customFormat="1">
      <c r="A2929" s="6"/>
      <c r="B2929" s="33"/>
      <c r="C2929" s="35"/>
      <c r="E2929" s="39"/>
      <c r="G2929" s="40"/>
      <c r="H2929" s="15"/>
      <c r="I2929" s="17"/>
      <c r="J2929" s="10"/>
      <c r="M2929" s="39"/>
      <c r="O2929" s="39"/>
      <c r="Q2929" s="39"/>
      <c r="R2929" s="28"/>
      <c r="S2929" s="28"/>
      <c r="T2929" s="28"/>
      <c r="U2929" s="4"/>
      <c r="V2929" s="3"/>
      <c r="W2929" s="3"/>
    </row>
    <row r="2930" spans="1:23" s="5" customFormat="1">
      <c r="A2930" s="6"/>
      <c r="B2930" s="33"/>
      <c r="C2930" s="35"/>
      <c r="E2930" s="39"/>
      <c r="G2930" s="40"/>
      <c r="H2930" s="15"/>
      <c r="I2930" s="17"/>
      <c r="J2930" s="10"/>
      <c r="M2930" s="39"/>
      <c r="O2930" s="39"/>
      <c r="Q2930" s="39"/>
      <c r="R2930" s="28"/>
      <c r="S2930" s="28"/>
      <c r="T2930" s="28"/>
      <c r="U2930" s="4"/>
      <c r="V2930" s="3"/>
      <c r="W2930" s="3"/>
    </row>
    <row r="2931" spans="1:23" s="5" customFormat="1">
      <c r="A2931" s="6"/>
      <c r="B2931" s="33"/>
      <c r="C2931" s="35"/>
      <c r="E2931" s="39"/>
      <c r="G2931" s="40"/>
      <c r="H2931" s="15"/>
      <c r="I2931" s="17"/>
      <c r="J2931" s="10"/>
      <c r="M2931" s="39"/>
      <c r="O2931" s="39"/>
      <c r="Q2931" s="39"/>
      <c r="R2931" s="28"/>
      <c r="S2931" s="28"/>
      <c r="T2931" s="28"/>
      <c r="U2931" s="4"/>
      <c r="V2931" s="3"/>
      <c r="W2931" s="3"/>
    </row>
    <row r="2932" spans="1:23" s="5" customFormat="1">
      <c r="A2932" s="6"/>
      <c r="B2932" s="33"/>
      <c r="C2932" s="35"/>
      <c r="E2932" s="39"/>
      <c r="G2932" s="40"/>
      <c r="H2932" s="14"/>
      <c r="I2932" s="17"/>
      <c r="J2932" s="10"/>
      <c r="M2932" s="39"/>
      <c r="O2932" s="39"/>
      <c r="Q2932" s="39"/>
      <c r="R2932" s="28"/>
      <c r="S2932" s="28"/>
      <c r="T2932" s="28"/>
      <c r="U2932" s="4"/>
      <c r="V2932" s="3"/>
      <c r="W2932" s="3"/>
    </row>
    <row r="2933" spans="1:23" s="5" customFormat="1">
      <c r="A2933" s="6"/>
      <c r="B2933" s="33"/>
      <c r="C2933" s="35"/>
      <c r="E2933" s="39"/>
      <c r="G2933" s="40"/>
      <c r="H2933" s="15"/>
      <c r="I2933" s="17"/>
      <c r="J2933" s="10"/>
      <c r="M2933" s="39"/>
      <c r="O2933" s="39"/>
      <c r="Q2933" s="39"/>
      <c r="R2933" s="28"/>
      <c r="S2933" s="28"/>
      <c r="T2933" s="28"/>
      <c r="U2933" s="4"/>
      <c r="V2933" s="3"/>
      <c r="W2933" s="3"/>
    </row>
    <row r="2934" spans="1:23" s="5" customFormat="1">
      <c r="A2934" s="6"/>
      <c r="B2934" s="33"/>
      <c r="C2934" s="35"/>
      <c r="E2934" s="39"/>
      <c r="G2934" s="40"/>
      <c r="H2934" s="14"/>
      <c r="I2934" s="17"/>
      <c r="J2934" s="10"/>
      <c r="M2934" s="39"/>
      <c r="O2934" s="39"/>
      <c r="Q2934" s="39"/>
      <c r="R2934" s="28"/>
      <c r="S2934" s="28"/>
      <c r="T2934" s="28"/>
      <c r="U2934" s="4"/>
      <c r="V2934" s="3"/>
      <c r="W2934" s="3"/>
    </row>
    <row r="2935" spans="1:23" s="5" customFormat="1">
      <c r="A2935" s="6"/>
      <c r="B2935" s="33"/>
      <c r="C2935" s="35"/>
      <c r="E2935" s="39"/>
      <c r="G2935" s="40"/>
      <c r="H2935" s="14"/>
      <c r="I2935" s="17"/>
      <c r="J2935" s="10"/>
      <c r="M2935" s="39"/>
      <c r="O2935" s="39"/>
      <c r="Q2935" s="39"/>
      <c r="R2935" s="28"/>
      <c r="S2935" s="28"/>
      <c r="T2935" s="28"/>
      <c r="U2935" s="4"/>
      <c r="V2935" s="3"/>
      <c r="W2935" s="3"/>
    </row>
    <row r="2936" spans="1:23" s="5" customFormat="1">
      <c r="A2936" s="6"/>
      <c r="B2936" s="33"/>
      <c r="C2936" s="35"/>
      <c r="E2936" s="39"/>
      <c r="G2936" s="40"/>
      <c r="H2936" s="15"/>
      <c r="I2936" s="17"/>
      <c r="J2936" s="10"/>
      <c r="M2936" s="39"/>
      <c r="O2936" s="39"/>
      <c r="Q2936" s="39"/>
      <c r="R2936" s="28"/>
      <c r="S2936" s="28"/>
      <c r="T2936" s="28"/>
      <c r="U2936" s="4"/>
      <c r="V2936" s="3"/>
      <c r="W2936" s="3"/>
    </row>
    <row r="2937" spans="1:23" s="5" customFormat="1">
      <c r="A2937" s="6"/>
      <c r="B2937" s="33"/>
      <c r="C2937" s="35"/>
      <c r="E2937" s="39"/>
      <c r="G2937" s="40"/>
      <c r="H2937" s="15"/>
      <c r="I2937" s="17"/>
      <c r="J2937" s="10"/>
      <c r="M2937" s="39"/>
      <c r="O2937" s="39"/>
      <c r="Q2937" s="39"/>
      <c r="R2937" s="28"/>
      <c r="S2937" s="28"/>
      <c r="T2937" s="28"/>
      <c r="U2937" s="4"/>
      <c r="V2937" s="3"/>
      <c r="W2937" s="3"/>
    </row>
    <row r="2938" spans="1:23" s="5" customFormat="1">
      <c r="A2938" s="6"/>
      <c r="B2938" s="33"/>
      <c r="C2938" s="35"/>
      <c r="E2938" s="39"/>
      <c r="G2938" s="40"/>
      <c r="H2938" s="15"/>
      <c r="I2938" s="17"/>
      <c r="J2938" s="10"/>
      <c r="M2938" s="39"/>
      <c r="O2938" s="39"/>
      <c r="Q2938" s="39"/>
      <c r="R2938" s="28"/>
      <c r="S2938" s="28"/>
      <c r="T2938" s="28"/>
      <c r="U2938" s="4"/>
      <c r="V2938" s="3"/>
      <c r="W2938" s="3"/>
    </row>
    <row r="2939" spans="1:23" s="5" customFormat="1">
      <c r="A2939" s="6"/>
      <c r="B2939" s="33"/>
      <c r="C2939" s="35"/>
      <c r="E2939" s="39"/>
      <c r="G2939" s="40"/>
      <c r="H2939" s="14"/>
      <c r="I2939" s="17"/>
      <c r="J2939" s="10"/>
      <c r="M2939" s="39"/>
      <c r="O2939" s="39"/>
      <c r="Q2939" s="39"/>
      <c r="R2939" s="28"/>
      <c r="S2939" s="28"/>
      <c r="T2939" s="28"/>
      <c r="U2939" s="4"/>
      <c r="V2939" s="3"/>
      <c r="W2939" s="3"/>
    </row>
    <row r="2940" spans="1:23" s="5" customFormat="1">
      <c r="A2940" s="6"/>
      <c r="B2940" s="33"/>
      <c r="C2940" s="35"/>
      <c r="E2940" s="39"/>
      <c r="G2940" s="40"/>
      <c r="H2940" s="14"/>
      <c r="I2940" s="17"/>
      <c r="J2940" s="10"/>
      <c r="M2940" s="39"/>
      <c r="O2940" s="39"/>
      <c r="Q2940" s="39"/>
      <c r="R2940" s="28"/>
      <c r="S2940" s="28"/>
      <c r="T2940" s="28"/>
      <c r="U2940" s="4"/>
      <c r="V2940" s="3"/>
      <c r="W2940" s="3"/>
    </row>
    <row r="2941" spans="1:23" s="5" customFormat="1">
      <c r="A2941" s="6"/>
      <c r="B2941" s="33"/>
      <c r="C2941" s="35"/>
      <c r="E2941" s="39"/>
      <c r="G2941" s="40"/>
      <c r="H2941" s="15"/>
      <c r="I2941" s="17"/>
      <c r="J2941" s="10"/>
      <c r="M2941" s="39"/>
      <c r="O2941" s="39"/>
      <c r="Q2941" s="39"/>
      <c r="R2941" s="28"/>
      <c r="S2941" s="28"/>
      <c r="T2941" s="28"/>
      <c r="U2941" s="4"/>
      <c r="V2941" s="3"/>
      <c r="W2941" s="3"/>
    </row>
    <row r="2942" spans="1:23" s="5" customFormat="1">
      <c r="A2942" s="6"/>
      <c r="B2942" s="33"/>
      <c r="C2942" s="35"/>
      <c r="E2942" s="39"/>
      <c r="G2942" s="40"/>
      <c r="H2942" s="14"/>
      <c r="I2942" s="17"/>
      <c r="J2942" s="10"/>
      <c r="M2942" s="39"/>
      <c r="O2942" s="39"/>
      <c r="Q2942" s="39"/>
      <c r="R2942" s="28"/>
      <c r="S2942" s="28"/>
      <c r="T2942" s="28"/>
      <c r="U2942" s="4"/>
      <c r="V2942" s="3"/>
      <c r="W2942" s="3"/>
    </row>
    <row r="2943" spans="1:23" s="5" customFormat="1">
      <c r="A2943" s="6"/>
      <c r="B2943" s="33"/>
      <c r="C2943" s="35"/>
      <c r="E2943" s="39"/>
      <c r="G2943" s="40"/>
      <c r="H2943" s="15"/>
      <c r="I2943" s="17"/>
      <c r="J2943" s="10"/>
      <c r="M2943" s="39"/>
      <c r="O2943" s="39"/>
      <c r="Q2943" s="39"/>
      <c r="R2943" s="28"/>
      <c r="S2943" s="28"/>
      <c r="T2943" s="28"/>
      <c r="U2943" s="4"/>
      <c r="V2943" s="3"/>
      <c r="W2943" s="3"/>
    </row>
    <row r="2944" spans="1:23" s="5" customFormat="1">
      <c r="A2944" s="6"/>
      <c r="B2944" s="33"/>
      <c r="C2944" s="35"/>
      <c r="E2944" s="39"/>
      <c r="G2944" s="40"/>
      <c r="H2944" s="15"/>
      <c r="I2944" s="17"/>
      <c r="J2944" s="10"/>
      <c r="M2944" s="39"/>
      <c r="O2944" s="39"/>
      <c r="Q2944" s="39"/>
      <c r="R2944" s="28"/>
      <c r="S2944" s="28"/>
      <c r="T2944" s="28"/>
      <c r="U2944" s="4"/>
      <c r="V2944" s="3"/>
      <c r="W2944" s="3"/>
    </row>
    <row r="2945" spans="1:23" s="5" customFormat="1">
      <c r="A2945" s="6"/>
      <c r="B2945" s="33"/>
      <c r="C2945" s="35"/>
      <c r="E2945" s="39"/>
      <c r="G2945" s="40"/>
      <c r="H2945" s="15"/>
      <c r="I2945" s="17"/>
      <c r="J2945" s="10"/>
      <c r="M2945" s="39"/>
      <c r="O2945" s="39"/>
      <c r="Q2945" s="39"/>
      <c r="R2945" s="28"/>
      <c r="S2945" s="28"/>
      <c r="T2945" s="28"/>
      <c r="U2945" s="4"/>
      <c r="V2945" s="3"/>
      <c r="W2945" s="3"/>
    </row>
    <row r="2946" spans="1:23" s="5" customFormat="1">
      <c r="A2946" s="6"/>
      <c r="B2946" s="33"/>
      <c r="C2946" s="35"/>
      <c r="E2946" s="39"/>
      <c r="G2946" s="40"/>
      <c r="H2946" s="14"/>
      <c r="I2946" s="17"/>
      <c r="J2946" s="10"/>
      <c r="M2946" s="39"/>
      <c r="O2946" s="39"/>
      <c r="Q2946" s="39"/>
      <c r="R2946" s="28"/>
      <c r="S2946" s="28"/>
      <c r="T2946" s="28"/>
      <c r="U2946" s="4"/>
      <c r="V2946" s="3"/>
      <c r="W2946" s="3"/>
    </row>
    <row r="2947" spans="1:23" s="5" customFormat="1">
      <c r="A2947" s="6"/>
      <c r="B2947" s="33"/>
      <c r="C2947" s="35"/>
      <c r="E2947" s="39"/>
      <c r="G2947" s="40"/>
      <c r="H2947" s="15"/>
      <c r="I2947" s="17"/>
      <c r="J2947" s="10"/>
      <c r="M2947" s="39"/>
      <c r="O2947" s="39"/>
      <c r="Q2947" s="39"/>
      <c r="R2947" s="28"/>
      <c r="S2947" s="28"/>
      <c r="T2947" s="28"/>
      <c r="U2947" s="4"/>
      <c r="V2947" s="3"/>
      <c r="W2947" s="3"/>
    </row>
    <row r="2948" spans="1:23" s="5" customFormat="1">
      <c r="A2948" s="6"/>
      <c r="B2948" s="33"/>
      <c r="C2948" s="35"/>
      <c r="E2948" s="39"/>
      <c r="G2948" s="40"/>
      <c r="H2948" s="15"/>
      <c r="I2948" s="17"/>
      <c r="J2948" s="10"/>
      <c r="M2948" s="39"/>
      <c r="O2948" s="39"/>
      <c r="Q2948" s="39"/>
      <c r="R2948" s="28"/>
      <c r="S2948" s="28"/>
      <c r="T2948" s="28"/>
      <c r="U2948" s="4"/>
      <c r="V2948" s="3"/>
      <c r="W2948" s="3"/>
    </row>
    <row r="2949" spans="1:23" s="5" customFormat="1">
      <c r="A2949" s="6"/>
      <c r="B2949" s="33"/>
      <c r="C2949" s="35"/>
      <c r="E2949" s="39"/>
      <c r="G2949" s="40"/>
      <c r="H2949" s="14"/>
      <c r="I2949" s="17"/>
      <c r="J2949" s="10"/>
      <c r="M2949" s="39"/>
      <c r="O2949" s="39"/>
      <c r="Q2949" s="39"/>
      <c r="R2949" s="28"/>
      <c r="S2949" s="28"/>
      <c r="T2949" s="28"/>
      <c r="U2949" s="4"/>
      <c r="V2949" s="3"/>
      <c r="W2949" s="3"/>
    </row>
    <row r="2950" spans="1:23" s="5" customFormat="1">
      <c r="A2950" s="6"/>
      <c r="B2950" s="33"/>
      <c r="C2950" s="35"/>
      <c r="E2950" s="39"/>
      <c r="G2950" s="40"/>
      <c r="H2950" s="14"/>
      <c r="I2950" s="17"/>
      <c r="J2950" s="10"/>
      <c r="M2950" s="39"/>
      <c r="O2950" s="39"/>
      <c r="Q2950" s="39"/>
      <c r="R2950" s="28"/>
      <c r="S2950" s="28"/>
      <c r="T2950" s="28"/>
      <c r="U2950" s="4"/>
      <c r="V2950" s="3"/>
      <c r="W2950" s="3"/>
    </row>
    <row r="2951" spans="1:23" s="5" customFormat="1">
      <c r="A2951" s="6"/>
      <c r="B2951" s="33"/>
      <c r="C2951" s="35"/>
      <c r="E2951" s="39"/>
      <c r="G2951" s="40"/>
      <c r="H2951" s="14"/>
      <c r="I2951" s="17"/>
      <c r="J2951" s="10"/>
      <c r="M2951" s="39"/>
      <c r="O2951" s="39"/>
      <c r="Q2951" s="39"/>
      <c r="R2951" s="28"/>
      <c r="S2951" s="28"/>
      <c r="T2951" s="28"/>
      <c r="U2951" s="4"/>
      <c r="V2951" s="3"/>
      <c r="W2951" s="3"/>
    </row>
    <row r="2952" spans="1:23" s="5" customFormat="1">
      <c r="A2952" s="6"/>
      <c r="B2952" s="33"/>
      <c r="C2952" s="35"/>
      <c r="E2952" s="39"/>
      <c r="G2952" s="40"/>
      <c r="H2952" s="14"/>
      <c r="I2952" s="17"/>
      <c r="J2952" s="10"/>
      <c r="M2952" s="39"/>
      <c r="O2952" s="39"/>
      <c r="Q2952" s="39"/>
      <c r="R2952" s="28"/>
      <c r="S2952" s="28"/>
      <c r="T2952" s="28"/>
      <c r="U2952" s="4"/>
      <c r="V2952" s="3"/>
      <c r="W2952" s="3"/>
    </row>
    <row r="2953" spans="1:23" s="5" customFormat="1">
      <c r="A2953" s="6"/>
      <c r="B2953" s="33"/>
      <c r="C2953" s="35"/>
      <c r="E2953" s="39"/>
      <c r="G2953" s="40"/>
      <c r="H2953" s="14"/>
      <c r="I2953" s="17"/>
      <c r="J2953" s="10"/>
      <c r="M2953" s="39"/>
      <c r="O2953" s="39"/>
      <c r="Q2953" s="39"/>
      <c r="R2953" s="28"/>
      <c r="S2953" s="28"/>
      <c r="T2953" s="28"/>
      <c r="U2953" s="4"/>
      <c r="V2953" s="3"/>
      <c r="W2953" s="3"/>
    </row>
    <row r="2954" spans="1:23" s="5" customFormat="1">
      <c r="A2954" s="6"/>
      <c r="B2954" s="33"/>
      <c r="C2954" s="35"/>
      <c r="E2954" s="39"/>
      <c r="G2954" s="40"/>
      <c r="H2954" s="14"/>
      <c r="I2954" s="17"/>
      <c r="J2954" s="10"/>
      <c r="M2954" s="39"/>
      <c r="O2954" s="39"/>
      <c r="Q2954" s="39"/>
      <c r="R2954" s="28"/>
      <c r="S2954" s="28"/>
      <c r="T2954" s="28"/>
      <c r="U2954" s="4"/>
      <c r="V2954" s="3"/>
      <c r="W2954" s="3"/>
    </row>
    <row r="2955" spans="1:23" s="5" customFormat="1">
      <c r="A2955" s="20"/>
      <c r="B2955" s="33"/>
      <c r="C2955" s="35"/>
      <c r="E2955" s="39"/>
      <c r="F2955" s="1"/>
      <c r="G2955" s="40"/>
      <c r="H2955" s="12"/>
      <c r="I2955" s="9"/>
      <c r="J2955" s="12"/>
      <c r="M2955" s="39"/>
      <c r="O2955" s="39"/>
      <c r="Q2955" s="39"/>
      <c r="R2955" s="29"/>
      <c r="S2955" s="28"/>
      <c r="T2955" s="28"/>
      <c r="U2955" s="4"/>
      <c r="V2955" s="3"/>
      <c r="W2955" s="3"/>
    </row>
    <row r="2956" spans="1:23" s="5" customFormat="1">
      <c r="A2956" s="6"/>
      <c r="B2956" s="33"/>
      <c r="C2956" s="35"/>
      <c r="E2956" s="39"/>
      <c r="G2956" s="40"/>
      <c r="H2956" s="15"/>
      <c r="I2956" s="17"/>
      <c r="J2956" s="10"/>
      <c r="M2956" s="39"/>
      <c r="O2956" s="39"/>
      <c r="Q2956" s="39"/>
      <c r="R2956" s="28"/>
      <c r="S2956" s="28"/>
      <c r="T2956" s="28"/>
      <c r="U2956" s="4"/>
      <c r="V2956" s="3"/>
      <c r="W2956" s="3"/>
    </row>
    <row r="2957" spans="1:23" s="5" customFormat="1">
      <c r="A2957" s="6"/>
      <c r="B2957" s="33"/>
      <c r="C2957" s="35"/>
      <c r="E2957" s="39"/>
      <c r="G2957" s="40"/>
      <c r="H2957" s="15"/>
      <c r="I2957" s="17"/>
      <c r="J2957" s="10"/>
      <c r="M2957" s="39"/>
      <c r="O2957" s="39"/>
      <c r="Q2957" s="39"/>
      <c r="R2957" s="28"/>
      <c r="S2957" s="28"/>
      <c r="T2957" s="28"/>
      <c r="U2957" s="4"/>
      <c r="V2957" s="3"/>
      <c r="W2957" s="3"/>
    </row>
    <row r="2958" spans="1:23" s="5" customFormat="1">
      <c r="A2958" s="6"/>
      <c r="B2958" s="33"/>
      <c r="C2958" s="35"/>
      <c r="E2958" s="39"/>
      <c r="G2958" s="40"/>
      <c r="H2958" s="15"/>
      <c r="I2958" s="17"/>
      <c r="J2958" s="10"/>
      <c r="M2958" s="39"/>
      <c r="O2958" s="39"/>
      <c r="Q2958" s="39"/>
      <c r="R2958" s="28"/>
      <c r="S2958" s="28"/>
      <c r="T2958" s="28"/>
      <c r="U2958" s="4"/>
      <c r="V2958" s="3"/>
      <c r="W2958" s="3"/>
    </row>
    <row r="2959" spans="1:23" s="5" customFormat="1">
      <c r="A2959" s="6"/>
      <c r="B2959" s="33"/>
      <c r="C2959" s="35"/>
      <c r="E2959" s="39"/>
      <c r="G2959" s="40"/>
      <c r="H2959" s="15"/>
      <c r="I2959" s="17"/>
      <c r="J2959" s="10"/>
      <c r="M2959" s="39"/>
      <c r="O2959" s="39"/>
      <c r="Q2959" s="39"/>
      <c r="R2959" s="28"/>
      <c r="S2959" s="28"/>
      <c r="T2959" s="28"/>
      <c r="U2959" s="4"/>
      <c r="V2959" s="3"/>
      <c r="W2959" s="3"/>
    </row>
    <row r="2960" spans="1:23" s="5" customFormat="1">
      <c r="A2960" s="6"/>
      <c r="B2960" s="33"/>
      <c r="C2960" s="35"/>
      <c r="E2960" s="39"/>
      <c r="G2960" s="40"/>
      <c r="H2960" s="14"/>
      <c r="I2960" s="17"/>
      <c r="J2960" s="10"/>
      <c r="M2960" s="39"/>
      <c r="O2960" s="39"/>
      <c r="Q2960" s="39"/>
      <c r="R2960" s="28"/>
      <c r="S2960" s="28"/>
      <c r="T2960" s="28"/>
      <c r="U2960" s="4"/>
      <c r="V2960" s="3"/>
      <c r="W2960" s="3"/>
    </row>
    <row r="2961" spans="1:23" s="5" customFormat="1">
      <c r="A2961" s="6"/>
      <c r="B2961" s="33"/>
      <c r="C2961" s="35"/>
      <c r="E2961" s="39"/>
      <c r="G2961" s="40"/>
      <c r="H2961" s="14"/>
      <c r="I2961" s="17"/>
      <c r="J2961" s="10"/>
      <c r="M2961" s="39"/>
      <c r="O2961" s="39"/>
      <c r="Q2961" s="39"/>
      <c r="R2961" s="28"/>
      <c r="S2961" s="28"/>
      <c r="T2961" s="28"/>
      <c r="U2961" s="4"/>
      <c r="V2961" s="3"/>
      <c r="W2961" s="3"/>
    </row>
    <row r="2962" spans="1:23" s="5" customFormat="1">
      <c r="A2962" s="6"/>
      <c r="B2962" s="33"/>
      <c r="C2962" s="35"/>
      <c r="E2962" s="39"/>
      <c r="G2962" s="40"/>
      <c r="H2962" s="15"/>
      <c r="I2962" s="17"/>
      <c r="J2962" s="10"/>
      <c r="M2962" s="39"/>
      <c r="O2962" s="39"/>
      <c r="Q2962" s="39"/>
      <c r="R2962" s="28"/>
      <c r="S2962" s="28"/>
      <c r="T2962" s="28"/>
      <c r="U2962" s="4"/>
      <c r="V2962" s="3"/>
      <c r="W2962" s="3"/>
    </row>
    <row r="2963" spans="1:23" s="5" customFormat="1">
      <c r="A2963" s="6"/>
      <c r="B2963" s="33"/>
      <c r="C2963" s="35"/>
      <c r="E2963" s="39"/>
      <c r="G2963" s="40"/>
      <c r="H2963" s="14"/>
      <c r="I2963" s="17"/>
      <c r="J2963" s="10"/>
      <c r="M2963" s="39"/>
      <c r="O2963" s="39"/>
      <c r="Q2963" s="39"/>
      <c r="R2963" s="28"/>
      <c r="S2963" s="28"/>
      <c r="T2963" s="28"/>
      <c r="U2963" s="4"/>
      <c r="V2963" s="3"/>
      <c r="W2963" s="3"/>
    </row>
    <row r="2964" spans="1:23" s="5" customFormat="1">
      <c r="A2964" s="6"/>
      <c r="B2964" s="33"/>
      <c r="C2964" s="35"/>
      <c r="E2964" s="39"/>
      <c r="G2964" s="40"/>
      <c r="H2964" s="14"/>
      <c r="I2964" s="17"/>
      <c r="J2964" s="10"/>
      <c r="M2964" s="39"/>
      <c r="O2964" s="39"/>
      <c r="Q2964" s="39"/>
      <c r="R2964" s="28"/>
      <c r="S2964" s="28"/>
      <c r="T2964" s="28"/>
      <c r="U2964" s="4"/>
      <c r="V2964" s="3"/>
      <c r="W2964" s="3"/>
    </row>
    <row r="2965" spans="1:23" s="5" customFormat="1">
      <c r="A2965" s="20"/>
      <c r="B2965" s="33"/>
      <c r="C2965" s="35"/>
      <c r="D2965" s="1"/>
      <c r="E2965" s="39"/>
      <c r="F2965" s="1"/>
      <c r="G2965" s="40"/>
      <c r="H2965" s="12"/>
      <c r="I2965" s="9"/>
      <c r="J2965" s="12"/>
      <c r="L2965" s="1"/>
      <c r="M2965" s="39"/>
      <c r="N2965" s="1"/>
      <c r="O2965" s="39"/>
      <c r="P2965" s="1"/>
      <c r="Q2965" s="39"/>
      <c r="R2965" s="28"/>
      <c r="S2965" s="29"/>
      <c r="T2965" s="28"/>
      <c r="U2965" s="4"/>
      <c r="V2965" s="3"/>
      <c r="W2965" s="3"/>
    </row>
    <row r="2966" spans="1:23" s="5" customFormat="1">
      <c r="A2966" s="6"/>
      <c r="B2966" s="33"/>
      <c r="C2966" s="35"/>
      <c r="E2966" s="39"/>
      <c r="G2966" s="40"/>
      <c r="H2966" s="15"/>
      <c r="I2966" s="17"/>
      <c r="J2966" s="10"/>
      <c r="M2966" s="39"/>
      <c r="O2966" s="39"/>
      <c r="Q2966" s="39"/>
      <c r="R2966" s="28"/>
      <c r="S2966" s="28"/>
      <c r="T2966" s="28"/>
      <c r="U2966" s="4"/>
      <c r="V2966" s="3"/>
      <c r="W2966" s="3"/>
    </row>
    <row r="2967" spans="1:23" s="5" customFormat="1">
      <c r="A2967" s="6"/>
      <c r="B2967" s="33"/>
      <c r="C2967" s="35"/>
      <c r="E2967" s="39"/>
      <c r="G2967" s="40"/>
      <c r="H2967" s="14"/>
      <c r="I2967" s="17"/>
      <c r="J2967" s="10"/>
      <c r="M2967" s="39"/>
      <c r="O2967" s="39"/>
      <c r="Q2967" s="39"/>
      <c r="R2967" s="28"/>
      <c r="S2967" s="28"/>
      <c r="T2967" s="28"/>
      <c r="U2967" s="4"/>
      <c r="V2967" s="3"/>
      <c r="W2967" s="3"/>
    </row>
    <row r="2968" spans="1:23" s="5" customFormat="1">
      <c r="A2968" s="6"/>
      <c r="B2968" s="33"/>
      <c r="C2968" s="35"/>
      <c r="E2968" s="39"/>
      <c r="G2968" s="40"/>
      <c r="H2968" s="15"/>
      <c r="I2968" s="17"/>
      <c r="J2968" s="10"/>
      <c r="M2968" s="39"/>
      <c r="O2968" s="39"/>
      <c r="Q2968" s="39"/>
      <c r="R2968" s="28"/>
      <c r="S2968" s="28"/>
      <c r="T2968" s="28"/>
      <c r="U2968" s="4"/>
      <c r="V2968" s="3"/>
      <c r="W2968" s="3"/>
    </row>
    <row r="2969" spans="1:23" s="5" customFormat="1">
      <c r="A2969" s="6"/>
      <c r="B2969" s="33"/>
      <c r="C2969" s="35"/>
      <c r="E2969" s="39"/>
      <c r="G2969" s="40"/>
      <c r="H2969" s="15"/>
      <c r="I2969" s="17"/>
      <c r="J2969" s="10"/>
      <c r="M2969" s="39"/>
      <c r="O2969" s="39"/>
      <c r="Q2969" s="39"/>
      <c r="R2969" s="28"/>
      <c r="S2969" s="28"/>
      <c r="T2969" s="28"/>
      <c r="U2969" s="4"/>
      <c r="V2969" s="3"/>
      <c r="W2969" s="3"/>
    </row>
    <row r="2970" spans="1:23" s="5" customFormat="1">
      <c r="A2970" s="6"/>
      <c r="B2970" s="33"/>
      <c r="C2970" s="35"/>
      <c r="E2970" s="39"/>
      <c r="G2970" s="40"/>
      <c r="H2970" s="15"/>
      <c r="I2970" s="17"/>
      <c r="J2970" s="10"/>
      <c r="M2970" s="39"/>
      <c r="O2970" s="39"/>
      <c r="Q2970" s="39"/>
      <c r="R2970" s="28"/>
      <c r="S2970" s="28"/>
      <c r="T2970" s="28"/>
      <c r="U2970" s="4"/>
      <c r="V2970" s="3"/>
      <c r="W2970" s="3"/>
    </row>
    <row r="2971" spans="1:23" s="5" customFormat="1">
      <c r="A2971" s="6"/>
      <c r="B2971" s="33"/>
      <c r="C2971" s="35"/>
      <c r="E2971" s="39"/>
      <c r="G2971" s="40"/>
      <c r="H2971" s="15"/>
      <c r="I2971" s="17"/>
      <c r="J2971" s="10"/>
      <c r="M2971" s="39"/>
      <c r="O2971" s="39"/>
      <c r="Q2971" s="39"/>
      <c r="R2971" s="28"/>
      <c r="S2971" s="28"/>
      <c r="T2971" s="28"/>
      <c r="U2971" s="4"/>
      <c r="V2971" s="3"/>
      <c r="W2971" s="3"/>
    </row>
    <row r="2972" spans="1:23" s="5" customFormat="1">
      <c r="A2972" s="6"/>
      <c r="B2972" s="33"/>
      <c r="C2972" s="35"/>
      <c r="E2972" s="39"/>
      <c r="G2972" s="40"/>
      <c r="H2972" s="15"/>
      <c r="I2972" s="17"/>
      <c r="J2972" s="10"/>
      <c r="M2972" s="39"/>
      <c r="O2972" s="39"/>
      <c r="Q2972" s="39"/>
      <c r="R2972" s="28"/>
      <c r="S2972" s="28"/>
      <c r="T2972" s="28"/>
      <c r="U2972" s="4"/>
      <c r="V2972" s="3"/>
      <c r="W2972" s="3"/>
    </row>
    <row r="2973" spans="1:23" s="5" customFormat="1">
      <c r="A2973" s="6"/>
      <c r="B2973" s="33"/>
      <c r="C2973" s="35"/>
      <c r="E2973" s="39"/>
      <c r="G2973" s="40"/>
      <c r="H2973" s="15"/>
      <c r="I2973" s="17"/>
      <c r="J2973" s="10"/>
      <c r="M2973" s="39"/>
      <c r="O2973" s="39"/>
      <c r="Q2973" s="39"/>
      <c r="R2973" s="28"/>
      <c r="S2973" s="28"/>
      <c r="T2973" s="28"/>
      <c r="U2973" s="4"/>
      <c r="V2973" s="3"/>
      <c r="W2973" s="3"/>
    </row>
    <row r="2974" spans="1:23" s="5" customFormat="1">
      <c r="A2974" s="6"/>
      <c r="B2974" s="33"/>
      <c r="C2974" s="35"/>
      <c r="E2974" s="39"/>
      <c r="G2974" s="40"/>
      <c r="H2974" s="15"/>
      <c r="I2974" s="17"/>
      <c r="J2974" s="10"/>
      <c r="M2974" s="39"/>
      <c r="O2974" s="39"/>
      <c r="Q2974" s="39"/>
      <c r="R2974" s="28"/>
      <c r="S2974" s="28"/>
      <c r="T2974" s="28"/>
      <c r="U2974" s="4"/>
      <c r="V2974" s="3"/>
      <c r="W2974" s="3"/>
    </row>
    <row r="2975" spans="1:23" s="5" customFormat="1">
      <c r="A2975" s="6"/>
      <c r="B2975" s="33"/>
      <c r="C2975" s="35"/>
      <c r="E2975" s="39"/>
      <c r="G2975" s="40"/>
      <c r="H2975" s="15"/>
      <c r="I2975" s="17"/>
      <c r="J2975" s="10"/>
      <c r="M2975" s="39"/>
      <c r="O2975" s="39"/>
      <c r="Q2975" s="39"/>
      <c r="R2975" s="28"/>
      <c r="S2975" s="28"/>
      <c r="T2975" s="28"/>
      <c r="U2975" s="4"/>
      <c r="V2975" s="3"/>
      <c r="W2975" s="3"/>
    </row>
    <row r="2976" spans="1:23" s="5" customFormat="1">
      <c r="A2976" s="6"/>
      <c r="B2976" s="33"/>
      <c r="C2976" s="35"/>
      <c r="E2976" s="39"/>
      <c r="G2976" s="40"/>
      <c r="H2976" s="14"/>
      <c r="I2976" s="17"/>
      <c r="J2976" s="10"/>
      <c r="M2976" s="39"/>
      <c r="O2976" s="39"/>
      <c r="Q2976" s="39"/>
      <c r="R2976" s="28"/>
      <c r="S2976" s="28"/>
      <c r="T2976" s="28"/>
      <c r="U2976" s="4"/>
      <c r="V2976" s="3"/>
      <c r="W2976" s="3"/>
    </row>
    <row r="2977" spans="1:23" s="5" customFormat="1">
      <c r="A2977" s="6"/>
      <c r="B2977" s="33"/>
      <c r="C2977" s="35"/>
      <c r="E2977" s="39"/>
      <c r="G2977" s="40"/>
      <c r="H2977" s="15"/>
      <c r="I2977" s="17"/>
      <c r="J2977" s="10"/>
      <c r="M2977" s="39"/>
      <c r="O2977" s="39"/>
      <c r="Q2977" s="39"/>
      <c r="R2977" s="28"/>
      <c r="S2977" s="28"/>
      <c r="T2977" s="28"/>
      <c r="U2977" s="4"/>
      <c r="V2977" s="3"/>
      <c r="W2977" s="3"/>
    </row>
    <row r="2978" spans="1:23" s="5" customFormat="1">
      <c r="A2978" s="6"/>
      <c r="B2978" s="33"/>
      <c r="C2978" s="35"/>
      <c r="E2978" s="39"/>
      <c r="G2978" s="40"/>
      <c r="H2978" s="14"/>
      <c r="I2978" s="17"/>
      <c r="J2978" s="10"/>
      <c r="M2978" s="39"/>
      <c r="O2978" s="39"/>
      <c r="Q2978" s="39"/>
      <c r="R2978" s="28"/>
      <c r="S2978" s="28"/>
      <c r="T2978" s="28"/>
      <c r="U2978" s="4"/>
      <c r="V2978" s="3"/>
      <c r="W2978" s="3"/>
    </row>
    <row r="2979" spans="1:23" s="5" customFormat="1">
      <c r="A2979" s="6"/>
      <c r="B2979" s="33"/>
      <c r="C2979" s="35"/>
      <c r="E2979" s="39"/>
      <c r="G2979" s="40"/>
      <c r="H2979" s="14"/>
      <c r="I2979" s="17"/>
      <c r="J2979" s="10"/>
      <c r="M2979" s="39"/>
      <c r="O2979" s="39"/>
      <c r="Q2979" s="39"/>
      <c r="R2979" s="28"/>
      <c r="S2979" s="28"/>
      <c r="T2979" s="28"/>
      <c r="U2979" s="4"/>
      <c r="V2979" s="3"/>
      <c r="W2979" s="3"/>
    </row>
    <row r="2980" spans="1:23" s="5" customFormat="1">
      <c r="A2980" s="6"/>
      <c r="B2980" s="33"/>
      <c r="C2980" s="35"/>
      <c r="E2980" s="39"/>
      <c r="G2980" s="40"/>
      <c r="H2980" s="14"/>
      <c r="I2980" s="17"/>
      <c r="J2980" s="10"/>
      <c r="M2980" s="39"/>
      <c r="O2980" s="39"/>
      <c r="Q2980" s="39"/>
      <c r="R2980" s="28"/>
      <c r="S2980" s="28"/>
      <c r="T2980" s="28"/>
      <c r="U2980" s="4"/>
      <c r="V2980" s="3"/>
      <c r="W2980" s="3"/>
    </row>
    <row r="2981" spans="1:23" s="5" customFormat="1">
      <c r="A2981" s="6"/>
      <c r="B2981" s="33"/>
      <c r="C2981" s="35"/>
      <c r="E2981" s="39"/>
      <c r="G2981" s="40"/>
      <c r="H2981" s="14"/>
      <c r="I2981" s="17"/>
      <c r="J2981" s="10"/>
      <c r="M2981" s="39"/>
      <c r="O2981" s="39"/>
      <c r="Q2981" s="39"/>
      <c r="R2981" s="28"/>
      <c r="S2981" s="28"/>
      <c r="T2981" s="28"/>
      <c r="U2981" s="4"/>
      <c r="V2981" s="3"/>
      <c r="W2981" s="3"/>
    </row>
    <row r="2982" spans="1:23" s="5" customFormat="1">
      <c r="A2982" s="6"/>
      <c r="B2982" s="33"/>
      <c r="C2982" s="35"/>
      <c r="E2982" s="39"/>
      <c r="G2982" s="40"/>
      <c r="H2982" s="14"/>
      <c r="I2982" s="17"/>
      <c r="J2982" s="10"/>
      <c r="M2982" s="39"/>
      <c r="O2982" s="39"/>
      <c r="Q2982" s="39"/>
      <c r="R2982" s="28"/>
      <c r="S2982" s="28"/>
      <c r="T2982" s="28"/>
      <c r="U2982" s="4"/>
      <c r="V2982" s="3"/>
      <c r="W2982" s="3"/>
    </row>
    <row r="2983" spans="1:23" s="5" customFormat="1">
      <c r="A2983" s="6"/>
      <c r="B2983" s="33"/>
      <c r="C2983" s="35"/>
      <c r="E2983" s="39"/>
      <c r="G2983" s="40"/>
      <c r="H2983" s="14"/>
      <c r="I2983" s="17"/>
      <c r="J2983" s="10"/>
      <c r="M2983" s="39"/>
      <c r="O2983" s="39"/>
      <c r="Q2983" s="39"/>
      <c r="R2983" s="28"/>
      <c r="S2983" s="28"/>
      <c r="T2983" s="28"/>
      <c r="U2983" s="4"/>
      <c r="V2983" s="3"/>
      <c r="W2983" s="3"/>
    </row>
    <row r="2984" spans="1:23" s="5" customFormat="1">
      <c r="A2984" s="6"/>
      <c r="B2984" s="33"/>
      <c r="C2984" s="35"/>
      <c r="E2984" s="39"/>
      <c r="G2984" s="40"/>
      <c r="H2984" s="14"/>
      <c r="I2984" s="17"/>
      <c r="J2984" s="10"/>
      <c r="M2984" s="39"/>
      <c r="O2984" s="39"/>
      <c r="Q2984" s="39"/>
      <c r="R2984" s="28"/>
      <c r="S2984" s="28"/>
      <c r="T2984" s="28"/>
      <c r="U2984" s="4"/>
      <c r="V2984" s="3"/>
      <c r="W2984" s="3"/>
    </row>
    <row r="2985" spans="1:23" s="5" customFormat="1">
      <c r="A2985" s="6"/>
      <c r="B2985" s="33"/>
      <c r="C2985" s="35"/>
      <c r="E2985" s="39"/>
      <c r="G2985" s="40"/>
      <c r="H2985" s="15"/>
      <c r="I2985" s="17"/>
      <c r="J2985" s="10"/>
      <c r="M2985" s="39"/>
      <c r="O2985" s="39"/>
      <c r="Q2985" s="39"/>
      <c r="R2985" s="28"/>
      <c r="S2985" s="28"/>
      <c r="T2985" s="28"/>
      <c r="U2985" s="4"/>
      <c r="V2985" s="3"/>
      <c r="W2985" s="3"/>
    </row>
    <row r="2986" spans="1:23" s="5" customFormat="1">
      <c r="A2986" s="6"/>
      <c r="B2986" s="33"/>
      <c r="C2986" s="35"/>
      <c r="E2986" s="39"/>
      <c r="G2986" s="40"/>
      <c r="H2986" s="15"/>
      <c r="I2986" s="17"/>
      <c r="J2986" s="10"/>
      <c r="M2986" s="39"/>
      <c r="O2986" s="39"/>
      <c r="Q2986" s="39"/>
      <c r="R2986" s="28"/>
      <c r="S2986" s="28"/>
      <c r="T2986" s="28"/>
      <c r="U2986" s="4"/>
      <c r="V2986" s="3"/>
      <c r="W2986" s="3"/>
    </row>
    <row r="2987" spans="1:23" s="5" customFormat="1">
      <c r="A2987" s="6"/>
      <c r="B2987" s="33"/>
      <c r="C2987" s="35"/>
      <c r="E2987" s="39"/>
      <c r="G2987" s="40"/>
      <c r="H2987" s="15"/>
      <c r="I2987" s="17"/>
      <c r="J2987" s="10"/>
      <c r="M2987" s="39"/>
      <c r="O2987" s="39"/>
      <c r="Q2987" s="39"/>
      <c r="R2987" s="28"/>
      <c r="S2987" s="28"/>
      <c r="T2987" s="28"/>
      <c r="U2987" s="4"/>
      <c r="V2987" s="3"/>
      <c r="W2987" s="3"/>
    </row>
    <row r="2988" spans="1:23" s="5" customFormat="1">
      <c r="A2988" s="6"/>
      <c r="B2988" s="33"/>
      <c r="C2988" s="35"/>
      <c r="E2988" s="39"/>
      <c r="G2988" s="40"/>
      <c r="H2988" s="14"/>
      <c r="I2988" s="17"/>
      <c r="J2988" s="10"/>
      <c r="M2988" s="39"/>
      <c r="O2988" s="39"/>
      <c r="Q2988" s="39"/>
      <c r="R2988" s="28"/>
      <c r="S2988" s="29"/>
      <c r="T2988" s="28"/>
      <c r="U2988" s="4"/>
      <c r="V2988" s="3"/>
      <c r="W2988" s="3"/>
    </row>
    <row r="2989" spans="1:23" s="5" customFormat="1">
      <c r="A2989" s="6"/>
      <c r="B2989" s="33"/>
      <c r="C2989" s="35"/>
      <c r="E2989" s="39"/>
      <c r="G2989" s="40"/>
      <c r="H2989" s="14"/>
      <c r="I2989" s="17"/>
      <c r="J2989" s="10"/>
      <c r="M2989" s="39"/>
      <c r="O2989" s="39"/>
      <c r="Q2989" s="39"/>
      <c r="R2989" s="28"/>
      <c r="S2989" s="28"/>
      <c r="T2989" s="28"/>
      <c r="U2989" s="4"/>
      <c r="V2989" s="3"/>
      <c r="W2989" s="3"/>
    </row>
    <row r="2990" spans="1:23" s="5" customFormat="1">
      <c r="A2990" s="6"/>
      <c r="B2990" s="33"/>
      <c r="C2990" s="35"/>
      <c r="E2990" s="39"/>
      <c r="G2990" s="40"/>
      <c r="H2990" s="15"/>
      <c r="I2990" s="17"/>
      <c r="J2990" s="10"/>
      <c r="M2990" s="39"/>
      <c r="O2990" s="39"/>
      <c r="Q2990" s="39"/>
      <c r="R2990" s="28"/>
      <c r="S2990" s="28"/>
      <c r="T2990" s="28"/>
      <c r="U2990" s="4"/>
      <c r="V2990" s="3"/>
      <c r="W2990" s="3"/>
    </row>
    <row r="2991" spans="1:23" s="5" customFormat="1">
      <c r="A2991" s="6"/>
      <c r="B2991" s="33"/>
      <c r="C2991" s="35"/>
      <c r="E2991" s="39"/>
      <c r="G2991" s="40"/>
      <c r="H2991" s="15"/>
      <c r="I2991" s="17"/>
      <c r="J2991" s="10"/>
      <c r="M2991" s="39"/>
      <c r="O2991" s="39"/>
      <c r="Q2991" s="39"/>
      <c r="R2991" s="28"/>
      <c r="S2991" s="28"/>
      <c r="T2991" s="28"/>
      <c r="U2991" s="4"/>
      <c r="V2991" s="3"/>
      <c r="W2991" s="3"/>
    </row>
    <row r="2992" spans="1:23" s="5" customFormat="1">
      <c r="A2992" s="6"/>
      <c r="B2992" s="33"/>
      <c r="C2992" s="35"/>
      <c r="E2992" s="39"/>
      <c r="G2992" s="40"/>
      <c r="H2992" s="15"/>
      <c r="I2992" s="17"/>
      <c r="J2992" s="10"/>
      <c r="M2992" s="39"/>
      <c r="O2992" s="39"/>
      <c r="Q2992" s="39"/>
      <c r="R2992" s="28"/>
      <c r="S2992" s="28"/>
      <c r="T2992" s="28"/>
      <c r="U2992" s="4"/>
      <c r="V2992" s="3"/>
      <c r="W2992" s="3"/>
    </row>
    <row r="2993" spans="1:23" s="5" customFormat="1">
      <c r="A2993" s="6"/>
      <c r="B2993" s="33"/>
      <c r="C2993" s="35"/>
      <c r="E2993" s="39"/>
      <c r="G2993" s="40"/>
      <c r="H2993" s="15"/>
      <c r="I2993" s="17"/>
      <c r="J2993" s="10"/>
      <c r="M2993" s="39"/>
      <c r="O2993" s="39"/>
      <c r="Q2993" s="39"/>
      <c r="R2993" s="28"/>
      <c r="S2993" s="28"/>
      <c r="T2993" s="28"/>
      <c r="U2993" s="4"/>
      <c r="V2993" s="3"/>
      <c r="W2993" s="3"/>
    </row>
    <row r="2994" spans="1:23" s="5" customFormat="1">
      <c r="A2994" s="6"/>
      <c r="B2994" s="33"/>
      <c r="C2994" s="35"/>
      <c r="E2994" s="39"/>
      <c r="G2994" s="40"/>
      <c r="H2994" s="15"/>
      <c r="I2994" s="17"/>
      <c r="J2994" s="10"/>
      <c r="M2994" s="39"/>
      <c r="O2994" s="39"/>
      <c r="Q2994" s="39"/>
      <c r="R2994" s="28"/>
      <c r="S2994" s="28"/>
      <c r="T2994" s="28"/>
      <c r="U2994" s="4"/>
      <c r="V2994" s="3"/>
      <c r="W2994" s="3"/>
    </row>
    <row r="2995" spans="1:23" s="5" customFormat="1">
      <c r="A2995" s="6"/>
      <c r="B2995" s="33"/>
      <c r="C2995" s="35"/>
      <c r="E2995" s="39"/>
      <c r="G2995" s="40"/>
      <c r="H2995" s="15"/>
      <c r="I2995" s="17"/>
      <c r="J2995" s="10"/>
      <c r="M2995" s="39"/>
      <c r="O2995" s="39"/>
      <c r="Q2995" s="39"/>
      <c r="R2995" s="28"/>
      <c r="S2995" s="28"/>
      <c r="T2995" s="28"/>
      <c r="U2995" s="4"/>
      <c r="V2995" s="3"/>
      <c r="W2995" s="3"/>
    </row>
    <row r="2996" spans="1:23" s="5" customFormat="1">
      <c r="A2996" s="6"/>
      <c r="B2996" s="33"/>
      <c r="C2996" s="35"/>
      <c r="E2996" s="39"/>
      <c r="G2996" s="40"/>
      <c r="H2996" s="15"/>
      <c r="I2996" s="17"/>
      <c r="J2996" s="10"/>
      <c r="M2996" s="39"/>
      <c r="O2996" s="39"/>
      <c r="Q2996" s="39"/>
      <c r="R2996" s="28"/>
      <c r="S2996" s="28"/>
      <c r="T2996" s="28"/>
      <c r="U2996" s="4"/>
      <c r="V2996" s="3"/>
      <c r="W2996" s="3"/>
    </row>
    <row r="2997" spans="1:23" s="5" customFormat="1">
      <c r="A2997" s="6"/>
      <c r="B2997" s="33"/>
      <c r="C2997" s="35"/>
      <c r="E2997" s="39"/>
      <c r="G2997" s="40"/>
      <c r="H2997" s="15"/>
      <c r="I2997" s="17"/>
      <c r="J2997" s="10"/>
      <c r="M2997" s="39"/>
      <c r="O2997" s="39"/>
      <c r="Q2997" s="39"/>
      <c r="R2997" s="28"/>
      <c r="S2997" s="28"/>
      <c r="T2997" s="28"/>
      <c r="U2997" s="4"/>
      <c r="V2997" s="3"/>
      <c r="W2997" s="3"/>
    </row>
    <row r="2998" spans="1:23" s="5" customFormat="1">
      <c r="A2998" s="6"/>
      <c r="B2998" s="33"/>
      <c r="C2998" s="35"/>
      <c r="E2998" s="39"/>
      <c r="G2998" s="40"/>
      <c r="H2998" s="15"/>
      <c r="I2998" s="17"/>
      <c r="J2998" s="10"/>
      <c r="M2998" s="39"/>
      <c r="O2998" s="39"/>
      <c r="Q2998" s="39"/>
      <c r="R2998" s="28"/>
      <c r="S2998" s="28"/>
      <c r="T2998" s="28"/>
      <c r="U2998" s="4"/>
      <c r="V2998" s="3"/>
      <c r="W2998" s="3"/>
    </row>
    <row r="2999" spans="1:23" s="5" customFormat="1">
      <c r="A2999" s="6"/>
      <c r="B2999" s="33"/>
      <c r="C2999" s="35"/>
      <c r="E2999" s="39"/>
      <c r="G2999" s="40"/>
      <c r="H2999" s="15"/>
      <c r="I2999" s="17"/>
      <c r="J2999" s="10"/>
      <c r="M2999" s="39"/>
      <c r="O2999" s="39"/>
      <c r="Q2999" s="39"/>
      <c r="R2999" s="28"/>
      <c r="S2999" s="28"/>
      <c r="T2999" s="28"/>
      <c r="U2999" s="4"/>
      <c r="V2999" s="3"/>
      <c r="W2999" s="3"/>
    </row>
    <row r="3000" spans="1:23" s="5" customFormat="1">
      <c r="A3000" s="6"/>
      <c r="B3000" s="33"/>
      <c r="C3000" s="35"/>
      <c r="E3000" s="39"/>
      <c r="G3000" s="40"/>
      <c r="H3000" s="15"/>
      <c r="I3000" s="17"/>
      <c r="J3000" s="10"/>
      <c r="M3000" s="39"/>
      <c r="O3000" s="39"/>
      <c r="Q3000" s="39"/>
      <c r="R3000" s="28"/>
      <c r="S3000" s="28"/>
      <c r="T3000" s="28"/>
      <c r="U3000" s="4"/>
      <c r="V3000" s="3"/>
      <c r="W3000" s="3"/>
    </row>
    <row r="3001" spans="1:23" s="5" customFormat="1">
      <c r="A3001" s="6"/>
      <c r="B3001" s="33"/>
      <c r="C3001" s="35"/>
      <c r="E3001" s="39"/>
      <c r="G3001" s="40"/>
      <c r="H3001" s="14"/>
      <c r="I3001" s="17"/>
      <c r="J3001" s="10"/>
      <c r="M3001" s="39"/>
      <c r="O3001" s="39"/>
      <c r="Q3001" s="39"/>
      <c r="R3001" s="28"/>
      <c r="S3001" s="28"/>
      <c r="T3001" s="28"/>
      <c r="U3001" s="4"/>
      <c r="V3001" s="3"/>
      <c r="W3001" s="3"/>
    </row>
    <row r="3002" spans="1:23" s="5" customFormat="1">
      <c r="A3002" s="20"/>
      <c r="B3002" s="33"/>
      <c r="C3002" s="35"/>
      <c r="D3002" s="1"/>
      <c r="E3002" s="39"/>
      <c r="F3002" s="1"/>
      <c r="G3002" s="40"/>
      <c r="H3002" s="12"/>
      <c r="I3002" s="9"/>
      <c r="J3002" s="12"/>
      <c r="L3002" s="1"/>
      <c r="M3002" s="39"/>
      <c r="N3002" s="1"/>
      <c r="O3002" s="39"/>
      <c r="P3002" s="1"/>
      <c r="Q3002" s="39"/>
      <c r="R3002" s="28"/>
      <c r="S3002" s="28"/>
      <c r="T3002" s="28"/>
      <c r="U3002" s="4"/>
      <c r="V3002" s="3"/>
      <c r="W3002" s="3"/>
    </row>
    <row r="3003" spans="1:23" s="5" customFormat="1">
      <c r="A3003" s="6"/>
      <c r="B3003" s="33"/>
      <c r="C3003" s="35"/>
      <c r="E3003" s="39"/>
      <c r="G3003" s="40"/>
      <c r="H3003" s="15"/>
      <c r="I3003" s="17"/>
      <c r="J3003" s="10"/>
      <c r="M3003" s="39"/>
      <c r="O3003" s="39"/>
      <c r="Q3003" s="39"/>
      <c r="R3003" s="28"/>
      <c r="S3003" s="28"/>
      <c r="T3003" s="28"/>
      <c r="U3003" s="4"/>
      <c r="V3003" s="3"/>
      <c r="W3003" s="3"/>
    </row>
    <row r="3004" spans="1:23" s="5" customFormat="1">
      <c r="A3004" s="6"/>
      <c r="B3004" s="33"/>
      <c r="C3004" s="35"/>
      <c r="E3004" s="39"/>
      <c r="G3004" s="40"/>
      <c r="H3004" s="15"/>
      <c r="I3004" s="17"/>
      <c r="J3004" s="10"/>
      <c r="M3004" s="39"/>
      <c r="O3004" s="39"/>
      <c r="Q3004" s="39"/>
      <c r="R3004" s="28"/>
      <c r="S3004" s="28"/>
      <c r="T3004" s="28"/>
      <c r="U3004" s="4"/>
      <c r="V3004" s="3"/>
      <c r="W3004" s="3"/>
    </row>
    <row r="3005" spans="1:23" s="5" customFormat="1">
      <c r="A3005" s="6"/>
      <c r="B3005" s="33"/>
      <c r="C3005" s="35"/>
      <c r="E3005" s="39"/>
      <c r="G3005" s="40"/>
      <c r="H3005" s="15"/>
      <c r="I3005" s="17"/>
      <c r="J3005" s="10"/>
      <c r="M3005" s="39"/>
      <c r="O3005" s="39"/>
      <c r="Q3005" s="39"/>
      <c r="R3005" s="28"/>
      <c r="S3005" s="28"/>
      <c r="T3005" s="28"/>
      <c r="U3005" s="4"/>
      <c r="V3005" s="3"/>
      <c r="W3005" s="3"/>
    </row>
    <row r="3006" spans="1:23" s="5" customFormat="1">
      <c r="A3006" s="6"/>
      <c r="B3006" s="33"/>
      <c r="C3006" s="35"/>
      <c r="E3006" s="39"/>
      <c r="G3006" s="40"/>
      <c r="H3006" s="15"/>
      <c r="I3006" s="17"/>
      <c r="J3006" s="10"/>
      <c r="M3006" s="39"/>
      <c r="O3006" s="39"/>
      <c r="Q3006" s="39"/>
      <c r="R3006" s="28"/>
      <c r="S3006" s="28"/>
      <c r="T3006" s="28"/>
      <c r="U3006" s="4"/>
      <c r="V3006" s="3"/>
      <c r="W3006" s="3"/>
    </row>
    <row r="3007" spans="1:23" s="5" customFormat="1">
      <c r="A3007" s="6"/>
      <c r="B3007" s="33"/>
      <c r="C3007" s="35"/>
      <c r="E3007" s="39"/>
      <c r="G3007" s="40"/>
      <c r="H3007" s="15"/>
      <c r="I3007" s="17"/>
      <c r="J3007" s="10"/>
      <c r="M3007" s="39"/>
      <c r="O3007" s="39"/>
      <c r="Q3007" s="39"/>
      <c r="R3007" s="28"/>
      <c r="S3007" s="28"/>
      <c r="T3007" s="28"/>
      <c r="U3007" s="4"/>
      <c r="V3007" s="3"/>
      <c r="W3007" s="3"/>
    </row>
    <row r="3008" spans="1:23" s="5" customFormat="1">
      <c r="A3008" s="6"/>
      <c r="B3008" s="33"/>
      <c r="C3008" s="35"/>
      <c r="E3008" s="39"/>
      <c r="G3008" s="40"/>
      <c r="H3008" s="14"/>
      <c r="I3008" s="17"/>
      <c r="J3008" s="10"/>
      <c r="M3008" s="39"/>
      <c r="O3008" s="39"/>
      <c r="Q3008" s="39"/>
      <c r="R3008" s="28"/>
      <c r="S3008" s="28"/>
      <c r="T3008" s="28"/>
      <c r="U3008" s="4"/>
      <c r="V3008" s="3"/>
      <c r="W3008" s="3"/>
    </row>
    <row r="3009" spans="1:23" s="5" customFormat="1">
      <c r="A3009" s="6"/>
      <c r="B3009" s="33"/>
      <c r="C3009" s="35"/>
      <c r="E3009" s="39"/>
      <c r="G3009" s="40"/>
      <c r="H3009" s="15"/>
      <c r="I3009" s="17"/>
      <c r="J3009" s="10"/>
      <c r="M3009" s="39"/>
      <c r="O3009" s="39"/>
      <c r="Q3009" s="39"/>
      <c r="R3009" s="28"/>
      <c r="S3009" s="28"/>
      <c r="T3009" s="28"/>
      <c r="U3009" s="4"/>
      <c r="V3009" s="3"/>
      <c r="W3009" s="3"/>
    </row>
    <row r="3010" spans="1:23" s="5" customFormat="1">
      <c r="A3010" s="6"/>
      <c r="B3010" s="33"/>
      <c r="C3010" s="35"/>
      <c r="E3010" s="39"/>
      <c r="G3010" s="40"/>
      <c r="H3010" s="15"/>
      <c r="I3010" s="17"/>
      <c r="J3010" s="10"/>
      <c r="M3010" s="39"/>
      <c r="O3010" s="39"/>
      <c r="Q3010" s="39"/>
      <c r="R3010" s="28"/>
      <c r="S3010" s="28"/>
      <c r="T3010" s="28"/>
      <c r="U3010" s="4"/>
      <c r="V3010" s="3"/>
      <c r="W3010" s="3"/>
    </row>
    <row r="3011" spans="1:23" s="5" customFormat="1">
      <c r="A3011" s="6"/>
      <c r="B3011" s="33"/>
      <c r="C3011" s="35"/>
      <c r="E3011" s="39"/>
      <c r="G3011" s="40"/>
      <c r="H3011" s="14"/>
      <c r="I3011" s="17"/>
      <c r="J3011" s="10"/>
      <c r="M3011" s="39"/>
      <c r="O3011" s="39"/>
      <c r="Q3011" s="39"/>
      <c r="R3011" s="28"/>
      <c r="S3011" s="28"/>
      <c r="T3011" s="28"/>
      <c r="U3011" s="4"/>
      <c r="V3011" s="3"/>
      <c r="W3011" s="3"/>
    </row>
    <row r="3012" spans="1:23" s="5" customFormat="1">
      <c r="A3012" s="6"/>
      <c r="B3012" s="33"/>
      <c r="C3012" s="35"/>
      <c r="E3012" s="39"/>
      <c r="G3012" s="40"/>
      <c r="H3012" s="15"/>
      <c r="I3012" s="17"/>
      <c r="J3012" s="10"/>
      <c r="M3012" s="39"/>
      <c r="O3012" s="39"/>
      <c r="Q3012" s="39"/>
      <c r="R3012" s="28"/>
      <c r="S3012" s="28"/>
      <c r="T3012" s="28"/>
      <c r="U3012" s="4"/>
      <c r="V3012" s="3"/>
      <c r="W3012" s="3"/>
    </row>
    <row r="3013" spans="1:23" s="5" customFormat="1">
      <c r="A3013" s="6"/>
      <c r="B3013" s="33"/>
      <c r="C3013" s="35"/>
      <c r="E3013" s="39"/>
      <c r="G3013" s="40"/>
      <c r="H3013" s="15"/>
      <c r="I3013" s="17"/>
      <c r="J3013" s="10"/>
      <c r="M3013" s="39"/>
      <c r="O3013" s="39"/>
      <c r="Q3013" s="39"/>
      <c r="R3013" s="28"/>
      <c r="S3013" s="28"/>
      <c r="T3013" s="28"/>
      <c r="U3013" s="4"/>
      <c r="V3013" s="3"/>
      <c r="W3013" s="3"/>
    </row>
    <row r="3014" spans="1:23" s="5" customFormat="1">
      <c r="A3014" s="6"/>
      <c r="B3014" s="33"/>
      <c r="C3014" s="35"/>
      <c r="E3014" s="39"/>
      <c r="G3014" s="40"/>
      <c r="H3014" s="15"/>
      <c r="I3014" s="17"/>
      <c r="J3014" s="10"/>
      <c r="M3014" s="39"/>
      <c r="O3014" s="39"/>
      <c r="Q3014" s="39"/>
      <c r="R3014" s="28"/>
      <c r="S3014" s="28"/>
      <c r="T3014" s="28"/>
      <c r="U3014" s="4"/>
      <c r="V3014" s="3"/>
      <c r="W3014" s="3"/>
    </row>
    <row r="3015" spans="1:23" s="5" customFormat="1">
      <c r="A3015" s="6"/>
      <c r="B3015" s="33"/>
      <c r="C3015" s="35"/>
      <c r="E3015" s="39"/>
      <c r="G3015" s="40"/>
      <c r="H3015" s="15"/>
      <c r="I3015" s="17"/>
      <c r="J3015" s="10"/>
      <c r="M3015" s="39"/>
      <c r="O3015" s="39"/>
      <c r="Q3015" s="39"/>
      <c r="R3015" s="28"/>
      <c r="S3015" s="28"/>
      <c r="T3015" s="28"/>
      <c r="U3015" s="4"/>
      <c r="V3015" s="3"/>
      <c r="W3015" s="3"/>
    </row>
    <row r="3016" spans="1:23" s="5" customFormat="1">
      <c r="A3016" s="6"/>
      <c r="B3016" s="33"/>
      <c r="C3016" s="35"/>
      <c r="E3016" s="39"/>
      <c r="G3016" s="40"/>
      <c r="H3016" s="15"/>
      <c r="I3016" s="17"/>
      <c r="J3016" s="10"/>
      <c r="M3016" s="39"/>
      <c r="O3016" s="39"/>
      <c r="Q3016" s="39"/>
      <c r="R3016" s="28"/>
      <c r="S3016" s="28"/>
      <c r="T3016" s="28"/>
      <c r="U3016" s="4"/>
      <c r="V3016" s="3"/>
      <c r="W3016" s="3"/>
    </row>
    <row r="3017" spans="1:23" s="5" customFormat="1">
      <c r="A3017" s="6"/>
      <c r="B3017" s="33"/>
      <c r="C3017" s="35"/>
      <c r="E3017" s="39"/>
      <c r="G3017" s="40"/>
      <c r="H3017" s="14"/>
      <c r="I3017" s="17"/>
      <c r="J3017" s="10"/>
      <c r="M3017" s="39"/>
      <c r="O3017" s="39"/>
      <c r="Q3017" s="39"/>
      <c r="R3017" s="28"/>
      <c r="S3017" s="28"/>
      <c r="T3017" s="28"/>
      <c r="U3017" s="4"/>
      <c r="V3017" s="3"/>
      <c r="W3017" s="3"/>
    </row>
    <row r="3018" spans="1:23" s="5" customFormat="1">
      <c r="A3018" s="6"/>
      <c r="B3018" s="33"/>
      <c r="C3018" s="35"/>
      <c r="E3018" s="39"/>
      <c r="G3018" s="40"/>
      <c r="H3018" s="14"/>
      <c r="I3018" s="17"/>
      <c r="J3018" s="10"/>
      <c r="M3018" s="39"/>
      <c r="O3018" s="39"/>
      <c r="Q3018" s="39"/>
      <c r="R3018" s="28"/>
      <c r="S3018" s="28"/>
      <c r="T3018" s="28"/>
      <c r="U3018" s="4"/>
      <c r="V3018" s="3"/>
      <c r="W3018" s="3"/>
    </row>
    <row r="3019" spans="1:23" s="5" customFormat="1">
      <c r="A3019" s="6"/>
      <c r="B3019" s="33"/>
      <c r="C3019" s="35"/>
      <c r="E3019" s="39"/>
      <c r="G3019" s="40"/>
      <c r="H3019" s="14"/>
      <c r="I3019" s="17"/>
      <c r="J3019" s="10"/>
      <c r="M3019" s="39"/>
      <c r="O3019" s="39"/>
      <c r="Q3019" s="39"/>
      <c r="R3019" s="28"/>
      <c r="S3019" s="28"/>
      <c r="T3019" s="28"/>
      <c r="U3019" s="4"/>
      <c r="V3019" s="3"/>
      <c r="W3019" s="3"/>
    </row>
    <row r="3020" spans="1:23" s="5" customFormat="1">
      <c r="A3020" s="6"/>
      <c r="B3020" s="33"/>
      <c r="C3020" s="35"/>
      <c r="E3020" s="39"/>
      <c r="G3020" s="40"/>
      <c r="H3020" s="15"/>
      <c r="I3020" s="17"/>
      <c r="J3020" s="10"/>
      <c r="M3020" s="39"/>
      <c r="O3020" s="39"/>
      <c r="Q3020" s="39"/>
      <c r="R3020" s="28"/>
      <c r="S3020" s="28"/>
      <c r="T3020" s="28"/>
      <c r="U3020" s="4"/>
      <c r="V3020" s="3"/>
      <c r="W3020" s="3"/>
    </row>
    <row r="3021" spans="1:23" s="5" customFormat="1">
      <c r="A3021" s="6"/>
      <c r="B3021" s="33"/>
      <c r="C3021" s="35"/>
      <c r="E3021" s="39"/>
      <c r="G3021" s="40"/>
      <c r="H3021" s="15"/>
      <c r="I3021" s="17"/>
      <c r="J3021" s="10"/>
      <c r="M3021" s="39"/>
      <c r="O3021" s="39"/>
      <c r="Q3021" s="39"/>
      <c r="R3021" s="28"/>
      <c r="S3021" s="28"/>
      <c r="T3021" s="28"/>
      <c r="U3021" s="4"/>
      <c r="V3021" s="3"/>
      <c r="W3021" s="3"/>
    </row>
    <row r="3022" spans="1:23" s="5" customFormat="1">
      <c r="A3022" s="6"/>
      <c r="B3022" s="33"/>
      <c r="C3022" s="35"/>
      <c r="E3022" s="39"/>
      <c r="G3022" s="40"/>
      <c r="H3022" s="15"/>
      <c r="I3022" s="17"/>
      <c r="J3022" s="10"/>
      <c r="M3022" s="39"/>
      <c r="O3022" s="39"/>
      <c r="Q3022" s="39"/>
      <c r="R3022" s="28"/>
      <c r="S3022" s="28"/>
      <c r="T3022" s="28"/>
      <c r="U3022" s="4"/>
      <c r="V3022" s="3"/>
      <c r="W3022" s="3"/>
    </row>
    <row r="3023" spans="1:23" s="5" customFormat="1">
      <c r="A3023" s="6"/>
      <c r="B3023" s="33"/>
      <c r="C3023" s="35"/>
      <c r="E3023" s="39"/>
      <c r="G3023" s="40"/>
      <c r="H3023" s="15"/>
      <c r="I3023" s="17"/>
      <c r="J3023" s="10"/>
      <c r="M3023" s="39"/>
      <c r="O3023" s="39"/>
      <c r="Q3023" s="39"/>
      <c r="R3023" s="28"/>
      <c r="S3023" s="28"/>
      <c r="T3023" s="28"/>
      <c r="U3023" s="4"/>
      <c r="V3023" s="3"/>
      <c r="W3023" s="3"/>
    </row>
    <row r="3024" spans="1:23" s="5" customFormat="1">
      <c r="A3024" s="6"/>
      <c r="B3024" s="33"/>
      <c r="C3024" s="35"/>
      <c r="E3024" s="39"/>
      <c r="G3024" s="40"/>
      <c r="H3024" s="15"/>
      <c r="I3024" s="17"/>
      <c r="J3024" s="10"/>
      <c r="M3024" s="39"/>
      <c r="O3024" s="39"/>
      <c r="Q3024" s="39"/>
      <c r="R3024" s="28"/>
      <c r="S3024" s="28"/>
      <c r="T3024" s="28"/>
      <c r="U3024" s="4"/>
      <c r="V3024" s="3"/>
      <c r="W3024" s="3"/>
    </row>
    <row r="3025" spans="1:23" s="5" customFormat="1">
      <c r="A3025" s="6"/>
      <c r="B3025" s="33"/>
      <c r="C3025" s="35"/>
      <c r="E3025" s="39"/>
      <c r="G3025" s="40"/>
      <c r="H3025" s="15"/>
      <c r="I3025" s="17"/>
      <c r="J3025" s="10"/>
      <c r="M3025" s="39"/>
      <c r="O3025" s="39"/>
      <c r="Q3025" s="39"/>
      <c r="R3025" s="28"/>
      <c r="S3025" s="28"/>
      <c r="T3025" s="28"/>
      <c r="U3025" s="4"/>
      <c r="V3025" s="3"/>
      <c r="W3025" s="3"/>
    </row>
    <row r="3026" spans="1:23" s="5" customFormat="1">
      <c r="A3026" s="20"/>
      <c r="B3026" s="33"/>
      <c r="C3026" s="35"/>
      <c r="E3026" s="39"/>
      <c r="F3026" s="1"/>
      <c r="G3026" s="40"/>
      <c r="H3026" s="12"/>
      <c r="I3026" s="9"/>
      <c r="J3026" s="12"/>
      <c r="M3026" s="39"/>
      <c r="O3026" s="39"/>
      <c r="Q3026" s="39"/>
      <c r="R3026" s="29"/>
      <c r="S3026" s="28"/>
      <c r="T3026" s="28"/>
      <c r="U3026" s="4"/>
      <c r="V3026" s="3"/>
      <c r="W3026" s="3"/>
    </row>
    <row r="3027" spans="1:23" s="5" customFormat="1">
      <c r="A3027" s="6"/>
      <c r="B3027" s="33"/>
      <c r="C3027" s="35"/>
      <c r="E3027" s="39"/>
      <c r="G3027" s="40"/>
      <c r="H3027" s="15"/>
      <c r="I3027" s="17"/>
      <c r="J3027" s="10"/>
      <c r="M3027" s="39"/>
      <c r="O3027" s="39"/>
      <c r="Q3027" s="39"/>
      <c r="R3027" s="28"/>
      <c r="S3027" s="28"/>
      <c r="T3027" s="28"/>
      <c r="U3027" s="4"/>
      <c r="V3027" s="3"/>
      <c r="W3027" s="3"/>
    </row>
    <row r="3028" spans="1:23" s="5" customFormat="1">
      <c r="A3028" s="6"/>
      <c r="B3028" s="33"/>
      <c r="C3028" s="35"/>
      <c r="E3028" s="39"/>
      <c r="G3028" s="40"/>
      <c r="H3028" s="15"/>
      <c r="I3028" s="17"/>
      <c r="J3028" s="10"/>
      <c r="M3028" s="39"/>
      <c r="O3028" s="39"/>
      <c r="Q3028" s="39"/>
      <c r="R3028" s="28"/>
      <c r="S3028" s="28"/>
      <c r="T3028" s="28"/>
      <c r="U3028" s="4"/>
      <c r="V3028" s="3"/>
      <c r="W3028" s="3"/>
    </row>
    <row r="3029" spans="1:23" s="5" customFormat="1">
      <c r="A3029" s="6"/>
      <c r="B3029" s="33"/>
      <c r="C3029" s="35"/>
      <c r="E3029" s="39"/>
      <c r="G3029" s="40"/>
      <c r="H3029" s="14"/>
      <c r="I3029" s="17"/>
      <c r="J3029" s="10"/>
      <c r="M3029" s="39"/>
      <c r="O3029" s="39"/>
      <c r="Q3029" s="39"/>
      <c r="R3029" s="28"/>
      <c r="S3029" s="28"/>
      <c r="T3029" s="28"/>
      <c r="U3029" s="4"/>
      <c r="V3029" s="3"/>
      <c r="W3029" s="3"/>
    </row>
    <row r="3030" spans="1:23" s="5" customFormat="1">
      <c r="A3030" s="6"/>
      <c r="B3030" s="33"/>
      <c r="C3030" s="35"/>
      <c r="E3030" s="39"/>
      <c r="G3030" s="40"/>
      <c r="H3030" s="14"/>
      <c r="I3030" s="17"/>
      <c r="J3030" s="10"/>
      <c r="M3030" s="39"/>
      <c r="O3030" s="39"/>
      <c r="Q3030" s="39"/>
      <c r="R3030" s="28"/>
      <c r="S3030" s="28"/>
      <c r="T3030" s="28"/>
      <c r="U3030" s="4"/>
      <c r="V3030" s="3"/>
      <c r="W3030" s="3"/>
    </row>
    <row r="3031" spans="1:23" s="5" customFormat="1">
      <c r="A3031" s="6"/>
      <c r="B3031" s="33"/>
      <c r="C3031" s="35"/>
      <c r="E3031" s="39"/>
      <c r="G3031" s="40"/>
      <c r="H3031" s="15"/>
      <c r="I3031" s="17"/>
      <c r="J3031" s="10"/>
      <c r="M3031" s="39"/>
      <c r="O3031" s="39"/>
      <c r="Q3031" s="39"/>
      <c r="R3031" s="28"/>
      <c r="S3031" s="28"/>
      <c r="T3031" s="28"/>
      <c r="U3031" s="4"/>
      <c r="V3031" s="3"/>
      <c r="W3031" s="3"/>
    </row>
    <row r="3032" spans="1:23" s="5" customFormat="1">
      <c r="A3032" s="6"/>
      <c r="B3032" s="33"/>
      <c r="C3032" s="35"/>
      <c r="E3032" s="39"/>
      <c r="G3032" s="40"/>
      <c r="H3032" s="15"/>
      <c r="I3032" s="17"/>
      <c r="J3032" s="10"/>
      <c r="M3032" s="39"/>
      <c r="O3032" s="39"/>
      <c r="Q3032" s="39"/>
      <c r="R3032" s="28"/>
      <c r="S3032" s="28"/>
      <c r="T3032" s="28"/>
      <c r="U3032" s="4"/>
      <c r="V3032" s="3"/>
      <c r="W3032" s="3"/>
    </row>
    <row r="3033" spans="1:23" s="5" customFormat="1">
      <c r="A3033" s="6"/>
      <c r="B3033" s="33"/>
      <c r="C3033" s="35"/>
      <c r="E3033" s="39"/>
      <c r="G3033" s="40"/>
      <c r="H3033" s="15"/>
      <c r="I3033" s="17"/>
      <c r="J3033" s="10"/>
      <c r="M3033" s="39"/>
      <c r="O3033" s="39"/>
      <c r="Q3033" s="39"/>
      <c r="R3033" s="28"/>
      <c r="S3033" s="28"/>
      <c r="T3033" s="28"/>
      <c r="U3033" s="4"/>
      <c r="V3033" s="3"/>
      <c r="W3033" s="3"/>
    </row>
    <row r="3034" spans="1:23" s="5" customFormat="1">
      <c r="A3034" s="6"/>
      <c r="B3034" s="33"/>
      <c r="C3034" s="35"/>
      <c r="E3034" s="39"/>
      <c r="G3034" s="40"/>
      <c r="H3034" s="15"/>
      <c r="I3034" s="17"/>
      <c r="J3034" s="10"/>
      <c r="M3034" s="39"/>
      <c r="O3034" s="39"/>
      <c r="Q3034" s="39"/>
      <c r="R3034" s="28"/>
      <c r="S3034" s="28"/>
      <c r="T3034" s="28"/>
      <c r="U3034" s="4"/>
      <c r="V3034" s="3"/>
      <c r="W3034" s="3"/>
    </row>
    <row r="3035" spans="1:23" s="5" customFormat="1">
      <c r="A3035" s="6"/>
      <c r="B3035" s="33"/>
      <c r="C3035" s="35"/>
      <c r="E3035" s="39"/>
      <c r="G3035" s="40"/>
      <c r="H3035" s="14"/>
      <c r="I3035" s="17"/>
      <c r="J3035" s="10"/>
      <c r="M3035" s="39"/>
      <c r="O3035" s="39"/>
      <c r="Q3035" s="39"/>
      <c r="R3035" s="28"/>
      <c r="S3035" s="28"/>
      <c r="T3035" s="28"/>
      <c r="U3035" s="4"/>
      <c r="V3035" s="3"/>
      <c r="W3035" s="3"/>
    </row>
    <row r="3036" spans="1:23" s="5" customFormat="1">
      <c r="A3036" s="6"/>
      <c r="B3036" s="33"/>
      <c r="C3036" s="35"/>
      <c r="E3036" s="39"/>
      <c r="G3036" s="40"/>
      <c r="H3036" s="15"/>
      <c r="I3036" s="17"/>
      <c r="J3036" s="10"/>
      <c r="M3036" s="39"/>
      <c r="O3036" s="39"/>
      <c r="Q3036" s="39"/>
      <c r="R3036" s="28"/>
      <c r="S3036" s="28"/>
      <c r="T3036" s="28"/>
      <c r="U3036" s="4"/>
      <c r="V3036" s="3"/>
      <c r="W3036" s="3"/>
    </row>
    <row r="3037" spans="1:23" s="5" customFormat="1">
      <c r="A3037" s="6"/>
      <c r="B3037" s="33"/>
      <c r="C3037" s="35"/>
      <c r="E3037" s="39"/>
      <c r="G3037" s="40"/>
      <c r="H3037" s="15"/>
      <c r="I3037" s="17"/>
      <c r="J3037" s="10"/>
      <c r="M3037" s="39"/>
      <c r="O3037" s="39"/>
      <c r="Q3037" s="39"/>
      <c r="R3037" s="28"/>
      <c r="S3037" s="28"/>
      <c r="T3037" s="28"/>
      <c r="U3037" s="4"/>
      <c r="V3037" s="3"/>
      <c r="W3037" s="3"/>
    </row>
    <row r="3038" spans="1:23" s="5" customFormat="1">
      <c r="A3038" s="6"/>
      <c r="B3038" s="33"/>
      <c r="C3038" s="35"/>
      <c r="E3038" s="39"/>
      <c r="G3038" s="40"/>
      <c r="H3038" s="15"/>
      <c r="I3038" s="17"/>
      <c r="J3038" s="10"/>
      <c r="M3038" s="39"/>
      <c r="O3038" s="39"/>
      <c r="Q3038" s="39"/>
      <c r="R3038" s="28"/>
      <c r="S3038" s="28"/>
      <c r="T3038" s="28"/>
      <c r="U3038" s="4"/>
      <c r="V3038" s="3"/>
      <c r="W3038" s="3"/>
    </row>
    <row r="3039" spans="1:23" s="5" customFormat="1">
      <c r="A3039" s="6"/>
      <c r="B3039" s="33"/>
      <c r="C3039" s="35"/>
      <c r="E3039" s="39"/>
      <c r="G3039" s="40"/>
      <c r="H3039" s="15"/>
      <c r="I3039" s="17"/>
      <c r="J3039" s="10"/>
      <c r="M3039" s="39"/>
      <c r="O3039" s="39"/>
      <c r="Q3039" s="39"/>
      <c r="R3039" s="28"/>
      <c r="S3039" s="28"/>
      <c r="T3039" s="28"/>
      <c r="U3039" s="4"/>
      <c r="V3039" s="3"/>
      <c r="W3039" s="3"/>
    </row>
    <row r="3040" spans="1:23" s="5" customFormat="1">
      <c r="A3040" s="6"/>
      <c r="B3040" s="33"/>
      <c r="C3040" s="35"/>
      <c r="E3040" s="39"/>
      <c r="G3040" s="40"/>
      <c r="H3040" s="14"/>
      <c r="I3040" s="17"/>
      <c r="J3040" s="10"/>
      <c r="M3040" s="39"/>
      <c r="O3040" s="39"/>
      <c r="Q3040" s="39"/>
      <c r="R3040" s="28"/>
      <c r="S3040" s="28"/>
      <c r="T3040" s="28"/>
      <c r="U3040" s="4"/>
      <c r="V3040" s="3"/>
      <c r="W3040" s="3"/>
    </row>
    <row r="3041" spans="1:23" s="5" customFormat="1">
      <c r="A3041" s="6"/>
      <c r="B3041" s="33"/>
      <c r="C3041" s="35"/>
      <c r="E3041" s="39"/>
      <c r="G3041" s="40"/>
      <c r="H3041" s="14"/>
      <c r="I3041" s="17"/>
      <c r="J3041" s="10"/>
      <c r="M3041" s="39"/>
      <c r="O3041" s="39"/>
      <c r="Q3041" s="39"/>
      <c r="R3041" s="28"/>
      <c r="S3041" s="28"/>
      <c r="T3041" s="28"/>
      <c r="U3041" s="4"/>
      <c r="V3041" s="3"/>
      <c r="W3041" s="3"/>
    </row>
    <row r="3042" spans="1:23" s="5" customFormat="1">
      <c r="A3042" s="6"/>
      <c r="B3042" s="33"/>
      <c r="C3042" s="35"/>
      <c r="E3042" s="39"/>
      <c r="G3042" s="40"/>
      <c r="H3042" s="14"/>
      <c r="I3042" s="17"/>
      <c r="J3042" s="10"/>
      <c r="M3042" s="39"/>
      <c r="O3042" s="39"/>
      <c r="Q3042" s="39"/>
      <c r="R3042" s="28"/>
      <c r="S3042" s="28"/>
      <c r="T3042" s="28"/>
      <c r="U3042" s="4"/>
      <c r="V3042" s="3"/>
      <c r="W3042" s="3"/>
    </row>
    <row r="3043" spans="1:23" s="5" customFormat="1">
      <c r="A3043" s="6"/>
      <c r="B3043" s="33"/>
      <c r="C3043" s="35"/>
      <c r="E3043" s="39"/>
      <c r="G3043" s="40"/>
      <c r="H3043" s="14"/>
      <c r="I3043" s="17"/>
      <c r="J3043" s="10"/>
      <c r="M3043" s="39"/>
      <c r="O3043" s="39"/>
      <c r="Q3043" s="39"/>
      <c r="R3043" s="28"/>
      <c r="S3043" s="29"/>
      <c r="T3043" s="28"/>
      <c r="U3043" s="4"/>
      <c r="V3043" s="3"/>
      <c r="W3043" s="3"/>
    </row>
    <row r="3044" spans="1:23" s="5" customFormat="1">
      <c r="A3044" s="6"/>
      <c r="B3044" s="33"/>
      <c r="C3044" s="35"/>
      <c r="E3044" s="39"/>
      <c r="G3044" s="40"/>
      <c r="H3044" s="14"/>
      <c r="I3044" s="17"/>
      <c r="J3044" s="10"/>
      <c r="M3044" s="39"/>
      <c r="O3044" s="39"/>
      <c r="Q3044" s="39"/>
      <c r="R3044" s="28"/>
      <c r="S3044" s="28"/>
      <c r="T3044" s="28"/>
      <c r="U3044" s="4"/>
      <c r="V3044" s="3"/>
      <c r="W3044" s="3"/>
    </row>
    <row r="3045" spans="1:23" s="5" customFormat="1">
      <c r="A3045" s="6"/>
      <c r="B3045" s="33"/>
      <c r="C3045" s="35"/>
      <c r="E3045" s="39"/>
      <c r="G3045" s="40"/>
      <c r="H3045" s="14"/>
      <c r="I3045" s="17"/>
      <c r="J3045" s="10"/>
      <c r="M3045" s="39"/>
      <c r="O3045" s="39"/>
      <c r="Q3045" s="39"/>
      <c r="R3045" s="28"/>
      <c r="S3045" s="28"/>
      <c r="T3045" s="28"/>
      <c r="U3045" s="4"/>
      <c r="V3045" s="3"/>
      <c r="W3045" s="3"/>
    </row>
    <row r="3046" spans="1:23" s="5" customFormat="1">
      <c r="A3046" s="6"/>
      <c r="B3046" s="33"/>
      <c r="C3046" s="35"/>
      <c r="E3046" s="39"/>
      <c r="G3046" s="40"/>
      <c r="H3046" s="15"/>
      <c r="I3046" s="17"/>
      <c r="J3046" s="10"/>
      <c r="M3046" s="39"/>
      <c r="O3046" s="39"/>
      <c r="Q3046" s="39"/>
      <c r="R3046" s="28"/>
      <c r="S3046" s="28"/>
      <c r="T3046" s="28"/>
      <c r="U3046" s="4"/>
      <c r="V3046" s="3"/>
      <c r="W3046" s="3"/>
    </row>
    <row r="3047" spans="1:23" s="5" customFormat="1">
      <c r="A3047" s="6"/>
      <c r="B3047" s="33"/>
      <c r="C3047" s="35"/>
      <c r="E3047" s="39"/>
      <c r="G3047" s="40"/>
      <c r="H3047" s="15"/>
      <c r="I3047" s="17"/>
      <c r="J3047" s="10"/>
      <c r="M3047" s="39"/>
      <c r="O3047" s="39"/>
      <c r="Q3047" s="39"/>
      <c r="R3047" s="28"/>
      <c r="S3047" s="28"/>
      <c r="T3047" s="28"/>
      <c r="U3047" s="4"/>
      <c r="V3047" s="3"/>
      <c r="W3047" s="3"/>
    </row>
    <row r="3048" spans="1:23" s="5" customFormat="1">
      <c r="A3048" s="6"/>
      <c r="B3048" s="33"/>
      <c r="C3048" s="35"/>
      <c r="E3048" s="39"/>
      <c r="G3048" s="40"/>
      <c r="H3048" s="14"/>
      <c r="I3048" s="17"/>
      <c r="J3048" s="10"/>
      <c r="M3048" s="39"/>
      <c r="O3048" s="39"/>
      <c r="Q3048" s="39"/>
      <c r="R3048" s="28"/>
      <c r="S3048" s="28"/>
      <c r="T3048" s="28"/>
      <c r="U3048" s="4"/>
      <c r="V3048" s="3"/>
      <c r="W3048" s="3"/>
    </row>
    <row r="3049" spans="1:23" s="5" customFormat="1">
      <c r="A3049" s="6"/>
      <c r="B3049" s="33"/>
      <c r="C3049" s="35"/>
      <c r="E3049" s="39"/>
      <c r="G3049" s="40"/>
      <c r="H3049" s="15"/>
      <c r="I3049" s="17"/>
      <c r="J3049" s="10"/>
      <c r="M3049" s="39"/>
      <c r="O3049" s="39"/>
      <c r="Q3049" s="39"/>
      <c r="R3049" s="28"/>
      <c r="S3049" s="28"/>
      <c r="T3049" s="28"/>
      <c r="U3049" s="4"/>
      <c r="V3049" s="3"/>
      <c r="W3049" s="3"/>
    </row>
    <row r="3050" spans="1:23" s="5" customFormat="1">
      <c r="A3050" s="6"/>
      <c r="B3050" s="33"/>
      <c r="C3050" s="35"/>
      <c r="E3050" s="39"/>
      <c r="G3050" s="40"/>
      <c r="H3050" s="15"/>
      <c r="I3050" s="17"/>
      <c r="J3050" s="10"/>
      <c r="M3050" s="39"/>
      <c r="O3050" s="39"/>
      <c r="Q3050" s="39"/>
      <c r="R3050" s="28"/>
      <c r="S3050" s="28"/>
      <c r="T3050" s="28"/>
      <c r="U3050" s="4"/>
      <c r="V3050" s="3"/>
      <c r="W3050" s="3"/>
    </row>
    <row r="3051" spans="1:23" s="5" customFormat="1">
      <c r="A3051" s="6"/>
      <c r="B3051" s="33"/>
      <c r="C3051" s="35"/>
      <c r="E3051" s="39"/>
      <c r="G3051" s="40"/>
      <c r="H3051" s="14"/>
      <c r="I3051" s="17"/>
      <c r="J3051" s="10"/>
      <c r="M3051" s="39"/>
      <c r="O3051" s="39"/>
      <c r="Q3051" s="39"/>
      <c r="R3051" s="28"/>
      <c r="S3051" s="28"/>
      <c r="T3051" s="28"/>
      <c r="U3051" s="4"/>
      <c r="V3051" s="3"/>
      <c r="W3051" s="3"/>
    </row>
    <row r="3052" spans="1:23" s="5" customFormat="1">
      <c r="A3052" s="6"/>
      <c r="B3052" s="33"/>
      <c r="C3052" s="35"/>
      <c r="E3052" s="39"/>
      <c r="G3052" s="40"/>
      <c r="H3052" s="14"/>
      <c r="I3052" s="17"/>
      <c r="J3052" s="10"/>
      <c r="M3052" s="39"/>
      <c r="O3052" s="39"/>
      <c r="Q3052" s="39"/>
      <c r="R3052" s="28"/>
      <c r="S3052" s="28"/>
      <c r="T3052" s="28"/>
      <c r="U3052" s="4"/>
      <c r="V3052" s="3"/>
      <c r="W3052" s="3"/>
    </row>
    <row r="3053" spans="1:23" s="5" customFormat="1">
      <c r="A3053" s="6"/>
      <c r="B3053" s="33"/>
      <c r="C3053" s="35"/>
      <c r="E3053" s="39"/>
      <c r="G3053" s="40"/>
      <c r="H3053" s="15"/>
      <c r="I3053" s="17"/>
      <c r="J3053" s="10"/>
      <c r="M3053" s="39"/>
      <c r="O3053" s="39"/>
      <c r="Q3053" s="39"/>
      <c r="R3053" s="28"/>
      <c r="S3053" s="28"/>
      <c r="T3053" s="28"/>
      <c r="U3053" s="4"/>
      <c r="V3053" s="3"/>
      <c r="W3053" s="3"/>
    </row>
    <row r="3054" spans="1:23" s="5" customFormat="1">
      <c r="A3054" s="6"/>
      <c r="B3054" s="33"/>
      <c r="C3054" s="35"/>
      <c r="E3054" s="39"/>
      <c r="G3054" s="40"/>
      <c r="H3054" s="15"/>
      <c r="I3054" s="17"/>
      <c r="J3054" s="10"/>
      <c r="M3054" s="39"/>
      <c r="O3054" s="39"/>
      <c r="Q3054" s="39"/>
      <c r="R3054" s="28"/>
      <c r="S3054" s="28"/>
      <c r="T3054" s="28"/>
      <c r="U3054" s="4"/>
      <c r="V3054" s="3"/>
      <c r="W3054" s="3"/>
    </row>
    <row r="3055" spans="1:23" s="5" customFormat="1">
      <c r="A3055" s="6"/>
      <c r="B3055" s="33"/>
      <c r="C3055" s="35"/>
      <c r="E3055" s="39"/>
      <c r="G3055" s="40"/>
      <c r="H3055" s="15"/>
      <c r="I3055" s="17"/>
      <c r="J3055" s="10"/>
      <c r="M3055" s="39"/>
      <c r="O3055" s="39"/>
      <c r="Q3055" s="39"/>
      <c r="R3055" s="28"/>
      <c r="S3055" s="28"/>
      <c r="T3055" s="28"/>
      <c r="U3055" s="4"/>
      <c r="V3055" s="3"/>
      <c r="W3055" s="3"/>
    </row>
    <row r="3056" spans="1:23" s="5" customFormat="1">
      <c r="A3056" s="6"/>
      <c r="B3056" s="33"/>
      <c r="C3056" s="35"/>
      <c r="E3056" s="39"/>
      <c r="G3056" s="40"/>
      <c r="H3056" s="15"/>
      <c r="I3056" s="17"/>
      <c r="J3056" s="10"/>
      <c r="M3056" s="39"/>
      <c r="O3056" s="39"/>
      <c r="Q3056" s="39"/>
      <c r="R3056" s="28"/>
      <c r="S3056" s="28"/>
      <c r="T3056" s="28"/>
      <c r="U3056" s="4"/>
      <c r="V3056" s="3"/>
      <c r="W3056" s="3"/>
    </row>
    <row r="3057" spans="1:23" s="5" customFormat="1">
      <c r="A3057" s="6"/>
      <c r="B3057" s="33"/>
      <c r="C3057" s="35"/>
      <c r="E3057" s="39"/>
      <c r="G3057" s="40"/>
      <c r="H3057" s="15"/>
      <c r="I3057" s="17"/>
      <c r="J3057" s="10"/>
      <c r="M3057" s="39"/>
      <c r="O3057" s="39"/>
      <c r="Q3057" s="39"/>
      <c r="R3057" s="28"/>
      <c r="S3057" s="28"/>
      <c r="T3057" s="28"/>
      <c r="U3057" s="4"/>
      <c r="V3057" s="3"/>
      <c r="W3057" s="3"/>
    </row>
    <row r="3058" spans="1:23" s="5" customFormat="1">
      <c r="A3058" s="6"/>
      <c r="B3058" s="33"/>
      <c r="C3058" s="35"/>
      <c r="E3058" s="39"/>
      <c r="G3058" s="40"/>
      <c r="H3058" s="14"/>
      <c r="I3058" s="17"/>
      <c r="J3058" s="10"/>
      <c r="M3058" s="39"/>
      <c r="O3058" s="39"/>
      <c r="Q3058" s="39"/>
      <c r="R3058" s="28"/>
      <c r="S3058" s="28"/>
      <c r="T3058" s="28"/>
      <c r="U3058" s="4"/>
      <c r="V3058" s="3"/>
      <c r="W3058" s="3"/>
    </row>
    <row r="3059" spans="1:23" s="5" customFormat="1">
      <c r="A3059" s="6"/>
      <c r="B3059" s="33"/>
      <c r="C3059" s="35"/>
      <c r="E3059" s="39"/>
      <c r="G3059" s="40"/>
      <c r="H3059" s="15"/>
      <c r="I3059" s="17"/>
      <c r="J3059" s="10"/>
      <c r="M3059" s="39"/>
      <c r="O3059" s="39"/>
      <c r="Q3059" s="39"/>
      <c r="R3059" s="28"/>
      <c r="S3059" s="28"/>
      <c r="T3059" s="28"/>
      <c r="U3059" s="4"/>
      <c r="V3059" s="3"/>
      <c r="W3059" s="3"/>
    </row>
    <row r="3060" spans="1:23" s="5" customFormat="1">
      <c r="A3060" s="6"/>
      <c r="B3060" s="33"/>
      <c r="C3060" s="35"/>
      <c r="E3060" s="39"/>
      <c r="G3060" s="40"/>
      <c r="H3060" s="14"/>
      <c r="I3060" s="17"/>
      <c r="J3060" s="10"/>
      <c r="M3060" s="39"/>
      <c r="O3060" s="39"/>
      <c r="Q3060" s="39"/>
      <c r="R3060" s="28"/>
      <c r="S3060" s="28"/>
      <c r="T3060" s="28"/>
      <c r="U3060" s="4"/>
      <c r="V3060" s="3"/>
      <c r="W3060" s="3"/>
    </row>
    <row r="3061" spans="1:23" s="5" customFormat="1">
      <c r="A3061" s="6"/>
      <c r="B3061" s="33"/>
      <c r="C3061" s="35"/>
      <c r="E3061" s="39"/>
      <c r="G3061" s="40"/>
      <c r="H3061" s="14"/>
      <c r="I3061" s="17"/>
      <c r="J3061" s="10"/>
      <c r="M3061" s="39"/>
      <c r="O3061" s="39"/>
      <c r="Q3061" s="39"/>
      <c r="R3061" s="28"/>
      <c r="S3061" s="28"/>
      <c r="T3061" s="28"/>
      <c r="U3061" s="4"/>
      <c r="V3061" s="3"/>
      <c r="W3061" s="3"/>
    </row>
    <row r="3062" spans="1:23" s="5" customFormat="1">
      <c r="A3062" s="6"/>
      <c r="B3062" s="33"/>
      <c r="C3062" s="35"/>
      <c r="E3062" s="39"/>
      <c r="G3062" s="40"/>
      <c r="H3062" s="14"/>
      <c r="I3062" s="17"/>
      <c r="J3062" s="10"/>
      <c r="M3062" s="39"/>
      <c r="O3062" s="39"/>
      <c r="Q3062" s="39"/>
      <c r="R3062" s="28"/>
      <c r="S3062" s="28"/>
      <c r="T3062" s="28"/>
      <c r="U3062" s="4"/>
      <c r="V3062" s="3"/>
      <c r="W3062" s="3"/>
    </row>
    <row r="3063" spans="1:23" s="5" customFormat="1">
      <c r="A3063" s="6"/>
      <c r="B3063" s="33"/>
      <c r="C3063" s="35"/>
      <c r="E3063" s="39"/>
      <c r="G3063" s="40"/>
      <c r="H3063" s="14"/>
      <c r="I3063" s="17"/>
      <c r="J3063" s="10"/>
      <c r="M3063" s="39"/>
      <c r="O3063" s="39"/>
      <c r="Q3063" s="39"/>
      <c r="R3063" s="28"/>
      <c r="S3063" s="28"/>
      <c r="T3063" s="28"/>
      <c r="U3063" s="4"/>
      <c r="V3063" s="3"/>
      <c r="W3063" s="3"/>
    </row>
    <row r="3064" spans="1:23" s="5" customFormat="1">
      <c r="A3064" s="6"/>
      <c r="B3064" s="33"/>
      <c r="C3064" s="35"/>
      <c r="E3064" s="39"/>
      <c r="G3064" s="40"/>
      <c r="H3064" s="14"/>
      <c r="I3064" s="17"/>
      <c r="J3064" s="10"/>
      <c r="M3064" s="39"/>
      <c r="O3064" s="39"/>
      <c r="Q3064" s="39"/>
      <c r="R3064" s="28"/>
      <c r="S3064" s="28"/>
      <c r="T3064" s="28"/>
      <c r="U3064" s="4"/>
      <c r="V3064" s="3"/>
      <c r="W3064" s="3"/>
    </row>
    <row r="3065" spans="1:23" s="5" customFormat="1">
      <c r="A3065" s="6"/>
      <c r="B3065" s="33"/>
      <c r="C3065" s="35"/>
      <c r="E3065" s="39"/>
      <c r="G3065" s="40"/>
      <c r="H3065" s="15"/>
      <c r="I3065" s="17"/>
      <c r="J3065" s="10"/>
      <c r="M3065" s="39"/>
      <c r="O3065" s="39"/>
      <c r="Q3065" s="39"/>
      <c r="R3065" s="28"/>
      <c r="S3065" s="28"/>
      <c r="T3065" s="28"/>
      <c r="U3065" s="4"/>
      <c r="V3065" s="3"/>
      <c r="W3065" s="3"/>
    </row>
    <row r="3066" spans="1:23" s="5" customFormat="1">
      <c r="A3066" s="6"/>
      <c r="B3066" s="33"/>
      <c r="C3066" s="35"/>
      <c r="E3066" s="39"/>
      <c r="G3066" s="40"/>
      <c r="H3066" s="15"/>
      <c r="I3066" s="17"/>
      <c r="J3066" s="10"/>
      <c r="M3066" s="39"/>
      <c r="O3066" s="39"/>
      <c r="Q3066" s="39"/>
      <c r="R3066" s="28"/>
      <c r="S3066" s="28"/>
      <c r="T3066" s="28"/>
      <c r="U3066" s="4"/>
      <c r="V3066" s="3"/>
      <c r="W3066" s="3"/>
    </row>
    <row r="3067" spans="1:23" s="5" customFormat="1">
      <c r="A3067" s="6"/>
      <c r="B3067" s="33"/>
      <c r="C3067" s="35"/>
      <c r="E3067" s="39"/>
      <c r="G3067" s="40"/>
      <c r="H3067" s="15"/>
      <c r="I3067" s="17"/>
      <c r="J3067" s="10"/>
      <c r="M3067" s="39"/>
      <c r="O3067" s="39"/>
      <c r="Q3067" s="39"/>
      <c r="R3067" s="28"/>
      <c r="S3067" s="28"/>
      <c r="T3067" s="28"/>
      <c r="U3067" s="4"/>
      <c r="V3067" s="3"/>
      <c r="W3067" s="3"/>
    </row>
    <row r="3068" spans="1:23" s="5" customFormat="1">
      <c r="A3068" s="6"/>
      <c r="B3068" s="33"/>
      <c r="C3068" s="35"/>
      <c r="E3068" s="39"/>
      <c r="G3068" s="40"/>
      <c r="H3068" s="14"/>
      <c r="I3068" s="17"/>
      <c r="J3068" s="10"/>
      <c r="M3068" s="39"/>
      <c r="O3068" s="39"/>
      <c r="Q3068" s="39"/>
      <c r="R3068" s="28"/>
      <c r="S3068" s="28"/>
      <c r="T3068" s="28"/>
      <c r="U3068" s="4"/>
      <c r="V3068" s="3"/>
      <c r="W3068" s="3"/>
    </row>
    <row r="3069" spans="1:23" s="5" customFormat="1">
      <c r="A3069" s="6"/>
      <c r="B3069" s="33"/>
      <c r="C3069" s="35"/>
      <c r="E3069" s="39"/>
      <c r="G3069" s="40"/>
      <c r="H3069" s="14"/>
      <c r="I3069" s="17"/>
      <c r="J3069" s="10"/>
      <c r="M3069" s="39"/>
      <c r="O3069" s="39"/>
      <c r="Q3069" s="39"/>
      <c r="R3069" s="28"/>
      <c r="S3069" s="28"/>
      <c r="T3069" s="28"/>
      <c r="U3069" s="4"/>
      <c r="V3069" s="3"/>
      <c r="W3069" s="3"/>
    </row>
    <row r="3070" spans="1:23" s="5" customFormat="1">
      <c r="A3070" s="6"/>
      <c r="B3070" s="33"/>
      <c r="C3070" s="35"/>
      <c r="E3070" s="39"/>
      <c r="G3070" s="40"/>
      <c r="H3070" s="14"/>
      <c r="I3070" s="17"/>
      <c r="J3070" s="10"/>
      <c r="M3070" s="39"/>
      <c r="O3070" s="39"/>
      <c r="Q3070" s="39"/>
      <c r="R3070" s="28"/>
      <c r="S3070" s="28"/>
      <c r="T3070" s="28"/>
      <c r="U3070" s="4"/>
      <c r="V3070" s="3"/>
      <c r="W3070" s="3"/>
    </row>
    <row r="3071" spans="1:23" s="5" customFormat="1">
      <c r="A3071" s="6"/>
      <c r="B3071" s="33"/>
      <c r="C3071" s="35"/>
      <c r="E3071" s="39"/>
      <c r="G3071" s="40"/>
      <c r="H3071" s="15"/>
      <c r="I3071" s="17"/>
      <c r="J3071" s="10"/>
      <c r="M3071" s="39"/>
      <c r="O3071" s="39"/>
      <c r="Q3071" s="39"/>
      <c r="R3071" s="28"/>
      <c r="S3071" s="28"/>
      <c r="T3071" s="28"/>
      <c r="U3071" s="4"/>
      <c r="V3071" s="3"/>
      <c r="W3071" s="3"/>
    </row>
    <row r="3072" spans="1:23" s="5" customFormat="1">
      <c r="A3072" s="6"/>
      <c r="B3072" s="33"/>
      <c r="C3072" s="35"/>
      <c r="E3072" s="39"/>
      <c r="G3072" s="40"/>
      <c r="H3072" s="15"/>
      <c r="I3072" s="17"/>
      <c r="J3072" s="10"/>
      <c r="M3072" s="39"/>
      <c r="O3072" s="39"/>
      <c r="Q3072" s="39"/>
      <c r="R3072" s="28"/>
      <c r="S3072" s="28"/>
      <c r="T3072" s="28"/>
      <c r="U3072" s="4"/>
      <c r="V3072" s="3"/>
      <c r="W3072" s="3"/>
    </row>
    <row r="3073" spans="1:23" s="5" customFormat="1">
      <c r="A3073" s="6"/>
      <c r="B3073" s="33"/>
      <c r="C3073" s="35"/>
      <c r="E3073" s="39"/>
      <c r="G3073" s="40"/>
      <c r="H3073" s="14"/>
      <c r="I3073" s="17"/>
      <c r="J3073" s="10"/>
      <c r="M3073" s="39"/>
      <c r="O3073" s="39"/>
      <c r="Q3073" s="39"/>
      <c r="R3073" s="28"/>
      <c r="S3073" s="28"/>
      <c r="T3073" s="28"/>
      <c r="U3073" s="4"/>
      <c r="V3073" s="3"/>
      <c r="W3073" s="3"/>
    </row>
    <row r="3074" spans="1:23" s="5" customFormat="1">
      <c r="A3074" s="20"/>
      <c r="B3074" s="33"/>
      <c r="C3074" s="35"/>
      <c r="E3074" s="39"/>
      <c r="F3074" s="1"/>
      <c r="G3074" s="40"/>
      <c r="H3074" s="12"/>
      <c r="I3074" s="17"/>
      <c r="J3074" s="12"/>
      <c r="M3074" s="39"/>
      <c r="O3074" s="39"/>
      <c r="Q3074" s="39"/>
      <c r="R3074" s="29"/>
      <c r="S3074" s="28"/>
      <c r="T3074" s="28"/>
      <c r="U3074" s="4"/>
      <c r="V3074" s="3"/>
      <c r="W3074" s="3"/>
    </row>
    <row r="3075" spans="1:23" s="5" customFormat="1">
      <c r="A3075" s="6"/>
      <c r="B3075" s="33"/>
      <c r="C3075" s="35"/>
      <c r="E3075" s="39"/>
      <c r="G3075" s="40"/>
      <c r="H3075" s="14"/>
      <c r="I3075" s="17"/>
      <c r="J3075" s="10"/>
      <c r="M3075" s="39"/>
      <c r="O3075" s="39"/>
      <c r="Q3075" s="39"/>
      <c r="R3075" s="28"/>
      <c r="S3075" s="28"/>
      <c r="T3075" s="28"/>
      <c r="U3075" s="4"/>
      <c r="V3075" s="3"/>
      <c r="W3075" s="3"/>
    </row>
    <row r="3076" spans="1:23" s="5" customFormat="1">
      <c r="A3076" s="6"/>
      <c r="B3076" s="33"/>
      <c r="C3076" s="35"/>
      <c r="E3076" s="39"/>
      <c r="G3076" s="40"/>
      <c r="H3076" s="14"/>
      <c r="I3076" s="17"/>
      <c r="J3076" s="10"/>
      <c r="M3076" s="39"/>
      <c r="O3076" s="39"/>
      <c r="Q3076" s="39"/>
      <c r="R3076" s="28"/>
      <c r="S3076" s="28"/>
      <c r="T3076" s="28"/>
      <c r="U3076" s="4"/>
      <c r="V3076" s="3"/>
      <c r="W3076" s="3"/>
    </row>
    <row r="3077" spans="1:23" s="5" customFormat="1">
      <c r="A3077" s="6"/>
      <c r="B3077" s="33"/>
      <c r="C3077" s="35"/>
      <c r="E3077" s="39"/>
      <c r="G3077" s="40"/>
      <c r="H3077" s="15"/>
      <c r="I3077" s="17"/>
      <c r="J3077" s="10"/>
      <c r="M3077" s="39"/>
      <c r="O3077" s="39"/>
      <c r="Q3077" s="39"/>
      <c r="R3077" s="28"/>
      <c r="S3077" s="28"/>
      <c r="T3077" s="28"/>
      <c r="U3077" s="4"/>
      <c r="V3077" s="3"/>
      <c r="W3077" s="3"/>
    </row>
    <row r="3078" spans="1:23" s="5" customFormat="1">
      <c r="A3078" s="6"/>
      <c r="B3078" s="33"/>
      <c r="C3078" s="35"/>
      <c r="E3078" s="39"/>
      <c r="G3078" s="40"/>
      <c r="H3078" s="14"/>
      <c r="I3078" s="17"/>
      <c r="J3078" s="10"/>
      <c r="M3078" s="39"/>
      <c r="O3078" s="39"/>
      <c r="Q3078" s="39"/>
      <c r="R3078" s="28"/>
      <c r="S3078" s="28"/>
      <c r="T3078" s="28"/>
      <c r="U3078" s="4"/>
      <c r="V3078" s="3"/>
      <c r="W3078" s="3"/>
    </row>
    <row r="3079" spans="1:23" s="5" customFormat="1">
      <c r="A3079" s="6"/>
      <c r="B3079" s="33"/>
      <c r="C3079" s="35"/>
      <c r="E3079" s="39"/>
      <c r="G3079" s="40"/>
      <c r="H3079" s="14"/>
      <c r="I3079" s="17"/>
      <c r="J3079" s="10"/>
      <c r="M3079" s="39"/>
      <c r="O3079" s="39"/>
      <c r="Q3079" s="39"/>
      <c r="R3079" s="28"/>
      <c r="S3079" s="28"/>
      <c r="T3079" s="28"/>
      <c r="U3079" s="4"/>
      <c r="V3079" s="3"/>
      <c r="W3079" s="3"/>
    </row>
    <row r="3080" spans="1:23" s="5" customFormat="1">
      <c r="A3080" s="6"/>
      <c r="B3080" s="33"/>
      <c r="C3080" s="35"/>
      <c r="E3080" s="39"/>
      <c r="G3080" s="40"/>
      <c r="H3080" s="15"/>
      <c r="I3080" s="17"/>
      <c r="J3080" s="10"/>
      <c r="M3080" s="39"/>
      <c r="O3080" s="39"/>
      <c r="Q3080" s="39"/>
      <c r="R3080" s="28"/>
      <c r="S3080" s="28"/>
      <c r="T3080" s="28"/>
      <c r="U3080" s="4"/>
      <c r="V3080" s="3"/>
      <c r="W3080" s="3"/>
    </row>
    <row r="3081" spans="1:23" s="5" customFormat="1">
      <c r="A3081" s="6"/>
      <c r="B3081" s="33"/>
      <c r="C3081" s="35"/>
      <c r="E3081" s="39"/>
      <c r="G3081" s="40"/>
      <c r="H3081" s="14"/>
      <c r="I3081" s="17"/>
      <c r="J3081" s="10"/>
      <c r="M3081" s="39"/>
      <c r="O3081" s="39"/>
      <c r="Q3081" s="39"/>
      <c r="R3081" s="28"/>
      <c r="S3081" s="28"/>
      <c r="T3081" s="28"/>
      <c r="U3081" s="4"/>
      <c r="V3081" s="3"/>
      <c r="W3081" s="3"/>
    </row>
    <row r="3082" spans="1:23" s="5" customFormat="1">
      <c r="A3082" s="6"/>
      <c r="B3082" s="33"/>
      <c r="C3082" s="35"/>
      <c r="E3082" s="39"/>
      <c r="G3082" s="40"/>
      <c r="H3082" s="15"/>
      <c r="I3082" s="17"/>
      <c r="J3082" s="10"/>
      <c r="M3082" s="39"/>
      <c r="O3082" s="39"/>
      <c r="Q3082" s="39"/>
      <c r="R3082" s="28"/>
      <c r="S3082" s="28"/>
      <c r="T3082" s="28"/>
      <c r="U3082" s="4"/>
      <c r="V3082" s="3"/>
      <c r="W3082" s="3"/>
    </row>
    <row r="3083" spans="1:23" s="5" customFormat="1">
      <c r="A3083" s="6"/>
      <c r="B3083" s="33"/>
      <c r="C3083" s="35"/>
      <c r="E3083" s="39"/>
      <c r="G3083" s="40"/>
      <c r="H3083" s="15"/>
      <c r="I3083" s="17"/>
      <c r="J3083" s="10"/>
      <c r="M3083" s="39"/>
      <c r="O3083" s="39"/>
      <c r="Q3083" s="39"/>
      <c r="R3083" s="28"/>
      <c r="S3083" s="28"/>
      <c r="T3083" s="28"/>
      <c r="U3083" s="4"/>
      <c r="V3083" s="3"/>
      <c r="W3083" s="3"/>
    </row>
    <row r="3084" spans="1:23" s="5" customFormat="1">
      <c r="A3084" s="6"/>
      <c r="B3084" s="33"/>
      <c r="C3084" s="35"/>
      <c r="E3084" s="39"/>
      <c r="G3084" s="40"/>
      <c r="H3084" s="15"/>
      <c r="I3084" s="17"/>
      <c r="J3084" s="10"/>
      <c r="M3084" s="39"/>
      <c r="O3084" s="39"/>
      <c r="Q3084" s="39"/>
      <c r="R3084" s="28"/>
      <c r="S3084" s="28"/>
      <c r="T3084" s="28"/>
      <c r="U3084" s="4"/>
      <c r="V3084" s="3"/>
      <c r="W3084" s="3"/>
    </row>
    <row r="3085" spans="1:23" s="5" customFormat="1">
      <c r="A3085" s="6"/>
      <c r="B3085" s="33"/>
      <c r="C3085" s="35"/>
      <c r="E3085" s="39"/>
      <c r="G3085" s="40"/>
      <c r="H3085" s="15"/>
      <c r="I3085" s="17"/>
      <c r="J3085" s="10"/>
      <c r="M3085" s="39"/>
      <c r="O3085" s="39"/>
      <c r="Q3085" s="39"/>
      <c r="R3085" s="28"/>
      <c r="S3085" s="28"/>
      <c r="T3085" s="28"/>
      <c r="U3085" s="4"/>
      <c r="V3085" s="3"/>
      <c r="W3085" s="3"/>
    </row>
    <row r="3086" spans="1:23" s="5" customFormat="1">
      <c r="A3086" s="6"/>
      <c r="B3086" s="33"/>
      <c r="C3086" s="35"/>
      <c r="E3086" s="39"/>
      <c r="G3086" s="40"/>
      <c r="H3086" s="14"/>
      <c r="I3086" s="17"/>
      <c r="J3086" s="10"/>
      <c r="M3086" s="39"/>
      <c r="O3086" s="39"/>
      <c r="Q3086" s="39"/>
      <c r="R3086" s="28"/>
      <c r="S3086" s="28"/>
      <c r="T3086" s="28"/>
      <c r="U3086" s="4"/>
      <c r="V3086" s="3"/>
      <c r="W3086" s="3"/>
    </row>
    <row r="3087" spans="1:23" s="5" customFormat="1">
      <c r="A3087" s="6"/>
      <c r="B3087" s="33"/>
      <c r="C3087" s="35"/>
      <c r="E3087" s="39"/>
      <c r="G3087" s="40"/>
      <c r="H3087" s="15"/>
      <c r="I3087" s="17"/>
      <c r="J3087" s="10"/>
      <c r="M3087" s="39"/>
      <c r="O3087" s="39"/>
      <c r="Q3087" s="39"/>
      <c r="R3087" s="28"/>
      <c r="S3087" s="28"/>
      <c r="T3087" s="28"/>
      <c r="U3087" s="4"/>
      <c r="V3087" s="3"/>
      <c r="W3087" s="3"/>
    </row>
    <row r="3088" spans="1:23" s="5" customFormat="1">
      <c r="A3088" s="6"/>
      <c r="B3088" s="33"/>
      <c r="C3088" s="35"/>
      <c r="E3088" s="39"/>
      <c r="G3088" s="40"/>
      <c r="H3088" s="14"/>
      <c r="I3088" s="17"/>
      <c r="J3088" s="10"/>
      <c r="M3088" s="39"/>
      <c r="O3088" s="39"/>
      <c r="Q3088" s="39"/>
      <c r="R3088" s="28"/>
      <c r="S3088" s="28"/>
      <c r="T3088" s="28"/>
      <c r="U3088" s="4"/>
      <c r="V3088" s="3"/>
      <c r="W3088" s="3"/>
    </row>
    <row r="3089" spans="1:23" s="5" customFormat="1">
      <c r="A3089" s="6"/>
      <c r="B3089" s="33"/>
      <c r="C3089" s="35"/>
      <c r="E3089" s="39"/>
      <c r="G3089" s="40"/>
      <c r="H3089" s="15"/>
      <c r="I3089" s="17"/>
      <c r="J3089" s="10"/>
      <c r="M3089" s="39"/>
      <c r="O3089" s="39"/>
      <c r="Q3089" s="39"/>
      <c r="R3089" s="28"/>
      <c r="S3089" s="28"/>
      <c r="T3089" s="28"/>
      <c r="U3089" s="4"/>
      <c r="V3089" s="3"/>
      <c r="W3089" s="3"/>
    </row>
    <row r="3090" spans="1:23" s="5" customFormat="1">
      <c r="A3090" s="6"/>
      <c r="B3090" s="33"/>
      <c r="C3090" s="35"/>
      <c r="E3090" s="39"/>
      <c r="G3090" s="40"/>
      <c r="H3090" s="14"/>
      <c r="I3090" s="17"/>
      <c r="J3090" s="10"/>
      <c r="M3090" s="39"/>
      <c r="O3090" s="39"/>
      <c r="Q3090" s="39"/>
      <c r="R3090" s="28"/>
      <c r="S3090" s="28"/>
      <c r="T3090" s="28"/>
      <c r="U3090" s="4"/>
      <c r="V3090" s="3"/>
      <c r="W3090" s="3"/>
    </row>
    <row r="3091" spans="1:23" s="5" customFormat="1">
      <c r="A3091" s="6"/>
      <c r="B3091" s="33"/>
      <c r="C3091" s="35"/>
      <c r="E3091" s="39"/>
      <c r="G3091" s="40"/>
      <c r="H3091" s="14"/>
      <c r="I3091" s="17"/>
      <c r="J3091" s="10"/>
      <c r="M3091" s="39"/>
      <c r="O3091" s="39"/>
      <c r="Q3091" s="39"/>
      <c r="R3091" s="28"/>
      <c r="S3091" s="28"/>
      <c r="T3091" s="28"/>
      <c r="U3091" s="4"/>
      <c r="V3091" s="3"/>
      <c r="W3091" s="3"/>
    </row>
    <row r="3092" spans="1:23" s="5" customFormat="1">
      <c r="A3092" s="6"/>
      <c r="B3092" s="33"/>
      <c r="C3092" s="35"/>
      <c r="E3092" s="39"/>
      <c r="G3092" s="40"/>
      <c r="H3092" s="14"/>
      <c r="I3092" s="17"/>
      <c r="J3092" s="10"/>
      <c r="M3092" s="39"/>
      <c r="O3092" s="39"/>
      <c r="Q3092" s="39"/>
      <c r="R3092" s="28"/>
      <c r="S3092" s="28"/>
      <c r="T3092" s="28"/>
      <c r="U3092" s="4"/>
      <c r="V3092" s="3"/>
      <c r="W3092" s="3"/>
    </row>
    <row r="3093" spans="1:23" s="5" customFormat="1">
      <c r="A3093" s="6"/>
      <c r="B3093" s="33"/>
      <c r="C3093" s="35"/>
      <c r="E3093" s="39"/>
      <c r="G3093" s="40"/>
      <c r="H3093" s="15"/>
      <c r="I3093" s="17"/>
      <c r="J3093" s="10"/>
      <c r="M3093" s="39"/>
      <c r="O3093" s="39"/>
      <c r="Q3093" s="39"/>
      <c r="R3093" s="28"/>
      <c r="S3093" s="28"/>
      <c r="T3093" s="28"/>
      <c r="U3093" s="4"/>
      <c r="V3093" s="3"/>
      <c r="W3093" s="3"/>
    </row>
    <row r="3094" spans="1:23" s="5" customFormat="1">
      <c r="A3094" s="6"/>
      <c r="B3094" s="33"/>
      <c r="C3094" s="35"/>
      <c r="E3094" s="39"/>
      <c r="G3094" s="40"/>
      <c r="H3094" s="14"/>
      <c r="I3094" s="17"/>
      <c r="J3094" s="10"/>
      <c r="M3094" s="39"/>
      <c r="O3094" s="39"/>
      <c r="Q3094" s="39"/>
      <c r="R3094" s="28"/>
      <c r="S3094" s="28"/>
      <c r="T3094" s="28"/>
      <c r="U3094" s="4"/>
      <c r="V3094" s="3"/>
      <c r="W3094" s="3"/>
    </row>
    <row r="3095" spans="1:23" s="5" customFormat="1">
      <c r="A3095" s="6"/>
      <c r="B3095" s="33"/>
      <c r="C3095" s="35"/>
      <c r="E3095" s="39"/>
      <c r="G3095" s="40"/>
      <c r="H3095" s="15"/>
      <c r="I3095" s="17"/>
      <c r="J3095" s="10"/>
      <c r="M3095" s="39"/>
      <c r="O3095" s="39"/>
      <c r="Q3095" s="39"/>
      <c r="R3095" s="28"/>
      <c r="S3095" s="28"/>
      <c r="T3095" s="28"/>
      <c r="U3095" s="4"/>
      <c r="V3095" s="3"/>
      <c r="W3095" s="3"/>
    </row>
    <row r="3096" spans="1:23" s="5" customFormat="1">
      <c r="A3096" s="6"/>
      <c r="B3096" s="33"/>
      <c r="C3096" s="35"/>
      <c r="E3096" s="39"/>
      <c r="G3096" s="40"/>
      <c r="H3096" s="15"/>
      <c r="I3096" s="17"/>
      <c r="J3096" s="10"/>
      <c r="M3096" s="39"/>
      <c r="O3096" s="39"/>
      <c r="Q3096" s="39"/>
      <c r="R3096" s="28"/>
      <c r="S3096" s="28"/>
      <c r="T3096" s="28"/>
      <c r="U3096" s="4"/>
      <c r="V3096" s="3"/>
      <c r="W3096" s="3"/>
    </row>
    <row r="3097" spans="1:23" s="5" customFormat="1">
      <c r="A3097" s="6"/>
      <c r="B3097" s="33"/>
      <c r="C3097" s="35"/>
      <c r="E3097" s="39"/>
      <c r="G3097" s="40"/>
      <c r="H3097" s="15"/>
      <c r="I3097" s="17"/>
      <c r="J3097" s="10"/>
      <c r="M3097" s="39"/>
      <c r="O3097" s="39"/>
      <c r="Q3097" s="39"/>
      <c r="R3097" s="28"/>
      <c r="S3097" s="28"/>
      <c r="T3097" s="28"/>
      <c r="U3097" s="4"/>
      <c r="V3097" s="3"/>
      <c r="W3097" s="3"/>
    </row>
    <row r="3098" spans="1:23" s="5" customFormat="1">
      <c r="A3098" s="6"/>
      <c r="B3098" s="33"/>
      <c r="C3098" s="35"/>
      <c r="E3098" s="39"/>
      <c r="G3098" s="40"/>
      <c r="H3098" s="14"/>
      <c r="I3098" s="17"/>
      <c r="J3098" s="10"/>
      <c r="M3098" s="39"/>
      <c r="O3098" s="39"/>
      <c r="Q3098" s="39"/>
      <c r="R3098" s="28"/>
      <c r="S3098" s="28"/>
      <c r="T3098" s="28"/>
      <c r="U3098" s="4"/>
      <c r="V3098" s="3"/>
      <c r="W3098" s="3"/>
    </row>
    <row r="3099" spans="1:23" s="5" customFormat="1">
      <c r="A3099" s="6"/>
      <c r="B3099" s="33"/>
      <c r="C3099" s="35"/>
      <c r="E3099" s="39"/>
      <c r="G3099" s="40"/>
      <c r="H3099" s="14"/>
      <c r="I3099" s="17"/>
      <c r="J3099" s="10"/>
      <c r="M3099" s="39"/>
      <c r="O3099" s="39"/>
      <c r="Q3099" s="39"/>
      <c r="R3099" s="28"/>
      <c r="S3099" s="28"/>
      <c r="T3099" s="28"/>
      <c r="U3099" s="4"/>
      <c r="V3099" s="3"/>
      <c r="W3099" s="3"/>
    </row>
    <row r="3100" spans="1:23" s="5" customFormat="1">
      <c r="A3100" s="6"/>
      <c r="B3100" s="33"/>
      <c r="C3100" s="35"/>
      <c r="E3100" s="39"/>
      <c r="G3100" s="40"/>
      <c r="H3100" s="15"/>
      <c r="I3100" s="17"/>
      <c r="J3100" s="10"/>
      <c r="M3100" s="39"/>
      <c r="O3100" s="39"/>
      <c r="Q3100" s="39"/>
      <c r="R3100" s="28"/>
      <c r="S3100" s="28"/>
      <c r="T3100" s="28"/>
      <c r="U3100" s="4"/>
      <c r="V3100" s="3"/>
      <c r="W3100" s="3"/>
    </row>
    <row r="3101" spans="1:23" s="5" customFormat="1">
      <c r="A3101" s="6"/>
      <c r="B3101" s="33"/>
      <c r="C3101" s="35"/>
      <c r="E3101" s="39"/>
      <c r="G3101" s="40"/>
      <c r="H3101" s="15"/>
      <c r="I3101" s="17"/>
      <c r="J3101" s="10"/>
      <c r="M3101" s="39"/>
      <c r="O3101" s="39"/>
      <c r="Q3101" s="39"/>
      <c r="R3101" s="28"/>
      <c r="S3101" s="28"/>
      <c r="T3101" s="28"/>
      <c r="U3101" s="4"/>
      <c r="V3101" s="3"/>
      <c r="W3101" s="3"/>
    </row>
    <row r="3102" spans="1:23" s="5" customFormat="1">
      <c r="A3102" s="6"/>
      <c r="B3102" s="33"/>
      <c r="C3102" s="35"/>
      <c r="E3102" s="39"/>
      <c r="G3102" s="40"/>
      <c r="H3102" s="15"/>
      <c r="I3102" s="17"/>
      <c r="J3102" s="10"/>
      <c r="M3102" s="39"/>
      <c r="O3102" s="39"/>
      <c r="Q3102" s="39"/>
      <c r="R3102" s="28"/>
      <c r="S3102" s="28"/>
      <c r="T3102" s="28"/>
      <c r="U3102" s="4"/>
      <c r="V3102" s="3"/>
      <c r="W3102" s="3"/>
    </row>
    <row r="3103" spans="1:23" s="5" customFormat="1">
      <c r="A3103" s="6"/>
      <c r="B3103" s="33"/>
      <c r="C3103" s="35"/>
      <c r="E3103" s="39"/>
      <c r="G3103" s="40"/>
      <c r="H3103" s="14"/>
      <c r="I3103" s="17"/>
      <c r="J3103" s="10"/>
      <c r="M3103" s="39"/>
      <c r="O3103" s="39"/>
      <c r="Q3103" s="39"/>
      <c r="R3103" s="28"/>
      <c r="S3103" s="28"/>
      <c r="T3103" s="28"/>
      <c r="U3103" s="4"/>
      <c r="V3103" s="3"/>
      <c r="W3103" s="3"/>
    </row>
    <row r="3104" spans="1:23" s="5" customFormat="1">
      <c r="A3104" s="6"/>
      <c r="B3104" s="33"/>
      <c r="C3104" s="35"/>
      <c r="E3104" s="39"/>
      <c r="G3104" s="40"/>
      <c r="H3104" s="15"/>
      <c r="I3104" s="17"/>
      <c r="J3104" s="10"/>
      <c r="M3104" s="39"/>
      <c r="O3104" s="39"/>
      <c r="Q3104" s="39"/>
      <c r="R3104" s="28"/>
      <c r="S3104" s="28"/>
      <c r="T3104" s="28"/>
      <c r="U3104" s="4"/>
      <c r="V3104" s="3"/>
      <c r="W3104" s="3"/>
    </row>
    <row r="3105" spans="1:23" s="5" customFormat="1">
      <c r="A3105" s="6"/>
      <c r="B3105" s="33"/>
      <c r="C3105" s="35"/>
      <c r="E3105" s="39"/>
      <c r="G3105" s="40"/>
      <c r="H3105" s="15"/>
      <c r="I3105" s="17"/>
      <c r="J3105" s="10"/>
      <c r="M3105" s="39"/>
      <c r="O3105" s="39"/>
      <c r="Q3105" s="39"/>
      <c r="R3105" s="28"/>
      <c r="S3105" s="28"/>
      <c r="T3105" s="28"/>
      <c r="U3105" s="4"/>
      <c r="V3105" s="3"/>
      <c r="W3105" s="3"/>
    </row>
    <row r="3106" spans="1:23" s="5" customFormat="1">
      <c r="A3106" s="6"/>
      <c r="B3106" s="33"/>
      <c r="C3106" s="35"/>
      <c r="E3106" s="39"/>
      <c r="G3106" s="40"/>
      <c r="H3106" s="15"/>
      <c r="I3106" s="17"/>
      <c r="J3106" s="10"/>
      <c r="M3106" s="39"/>
      <c r="O3106" s="39"/>
      <c r="Q3106" s="39"/>
      <c r="R3106" s="28"/>
      <c r="S3106" s="28"/>
      <c r="T3106" s="28"/>
      <c r="U3106" s="4"/>
      <c r="V3106" s="3"/>
      <c r="W3106" s="3"/>
    </row>
    <row r="3107" spans="1:23" s="5" customFormat="1">
      <c r="A3107" s="6"/>
      <c r="B3107" s="33"/>
      <c r="C3107" s="35"/>
      <c r="E3107" s="39"/>
      <c r="G3107" s="40"/>
      <c r="H3107" s="15"/>
      <c r="I3107" s="17"/>
      <c r="J3107" s="10"/>
      <c r="M3107" s="39"/>
      <c r="O3107" s="39"/>
      <c r="Q3107" s="39"/>
      <c r="R3107" s="28"/>
      <c r="S3107" s="28"/>
      <c r="T3107" s="28"/>
      <c r="U3107" s="4"/>
      <c r="V3107" s="3"/>
      <c r="W3107" s="3"/>
    </row>
    <row r="3108" spans="1:23" s="5" customFormat="1">
      <c r="A3108" s="6"/>
      <c r="B3108" s="33"/>
      <c r="C3108" s="35"/>
      <c r="E3108" s="39"/>
      <c r="G3108" s="40"/>
      <c r="H3108" s="15"/>
      <c r="I3108" s="17"/>
      <c r="J3108" s="10"/>
      <c r="M3108" s="39"/>
      <c r="O3108" s="39"/>
      <c r="Q3108" s="39"/>
      <c r="R3108" s="28"/>
      <c r="S3108" s="28"/>
      <c r="T3108" s="28"/>
      <c r="U3108" s="4"/>
      <c r="V3108" s="3"/>
      <c r="W3108" s="3"/>
    </row>
    <row r="3109" spans="1:23" s="5" customFormat="1">
      <c r="A3109" s="6"/>
      <c r="B3109" s="33"/>
      <c r="C3109" s="35"/>
      <c r="E3109" s="39"/>
      <c r="G3109" s="40"/>
      <c r="H3109" s="15"/>
      <c r="I3109" s="17"/>
      <c r="J3109" s="10"/>
      <c r="M3109" s="39"/>
      <c r="O3109" s="39"/>
      <c r="Q3109" s="39"/>
      <c r="R3109" s="28"/>
      <c r="S3109" s="28"/>
      <c r="T3109" s="28"/>
      <c r="U3109" s="4"/>
      <c r="V3109" s="3"/>
      <c r="W3109" s="3"/>
    </row>
    <row r="3110" spans="1:23" s="5" customFormat="1">
      <c r="A3110" s="6"/>
      <c r="B3110" s="33"/>
      <c r="C3110" s="35"/>
      <c r="E3110" s="39"/>
      <c r="G3110" s="40"/>
      <c r="H3110" s="15"/>
      <c r="I3110" s="17"/>
      <c r="J3110" s="10"/>
      <c r="M3110" s="39"/>
      <c r="O3110" s="39"/>
      <c r="Q3110" s="39"/>
      <c r="R3110" s="28"/>
      <c r="S3110" s="28"/>
      <c r="T3110" s="28"/>
      <c r="U3110" s="4"/>
      <c r="V3110" s="3"/>
      <c r="W3110" s="3"/>
    </row>
    <row r="3111" spans="1:23" s="5" customFormat="1">
      <c r="A3111" s="6"/>
      <c r="B3111" s="33"/>
      <c r="C3111" s="35"/>
      <c r="E3111" s="39"/>
      <c r="G3111" s="40"/>
      <c r="H3111" s="14"/>
      <c r="I3111" s="17"/>
      <c r="J3111" s="10"/>
      <c r="M3111" s="39"/>
      <c r="O3111" s="39"/>
      <c r="Q3111" s="39"/>
      <c r="R3111" s="28"/>
      <c r="S3111" s="28"/>
      <c r="T3111" s="28"/>
      <c r="U3111" s="4"/>
      <c r="V3111" s="3"/>
      <c r="W3111" s="3"/>
    </row>
    <row r="3112" spans="1:23" s="5" customFormat="1">
      <c r="A3112" s="6"/>
      <c r="B3112" s="33"/>
      <c r="C3112" s="35"/>
      <c r="E3112" s="39"/>
      <c r="G3112" s="40"/>
      <c r="H3112" s="14"/>
      <c r="I3112" s="17"/>
      <c r="J3112" s="10"/>
      <c r="M3112" s="39"/>
      <c r="O3112" s="39"/>
      <c r="Q3112" s="39"/>
      <c r="R3112" s="28"/>
      <c r="S3112" s="28"/>
      <c r="T3112" s="28"/>
      <c r="U3112" s="4"/>
      <c r="V3112" s="3"/>
      <c r="W3112" s="3"/>
    </row>
    <row r="3113" spans="1:23" s="5" customFormat="1">
      <c r="A3113" s="6"/>
      <c r="B3113" s="33"/>
      <c r="C3113" s="35"/>
      <c r="E3113" s="39"/>
      <c r="G3113" s="40"/>
      <c r="H3113" s="15"/>
      <c r="I3113" s="17"/>
      <c r="J3113" s="10"/>
      <c r="M3113" s="39"/>
      <c r="O3113" s="39"/>
      <c r="Q3113" s="39"/>
      <c r="R3113" s="28"/>
      <c r="S3113" s="28"/>
      <c r="T3113" s="28"/>
      <c r="U3113" s="4"/>
      <c r="V3113" s="3"/>
      <c r="W3113" s="3"/>
    </row>
    <row r="3114" spans="1:23" s="5" customFormat="1">
      <c r="A3114" s="6"/>
      <c r="B3114" s="33"/>
      <c r="C3114" s="35"/>
      <c r="E3114" s="39"/>
      <c r="G3114" s="40"/>
      <c r="H3114" s="15"/>
      <c r="I3114" s="17"/>
      <c r="J3114" s="10"/>
      <c r="M3114" s="39"/>
      <c r="O3114" s="39"/>
      <c r="Q3114" s="39"/>
      <c r="R3114" s="28"/>
      <c r="S3114" s="28"/>
      <c r="T3114" s="28"/>
      <c r="U3114" s="4"/>
      <c r="V3114" s="3"/>
      <c r="W3114" s="3"/>
    </row>
    <row r="3115" spans="1:23" s="5" customFormat="1">
      <c r="A3115" s="6"/>
      <c r="B3115" s="33"/>
      <c r="C3115" s="35"/>
      <c r="E3115" s="39"/>
      <c r="G3115" s="40"/>
      <c r="H3115" s="15"/>
      <c r="I3115" s="17"/>
      <c r="J3115" s="10"/>
      <c r="M3115" s="39"/>
      <c r="O3115" s="39"/>
      <c r="Q3115" s="39"/>
      <c r="R3115" s="28"/>
      <c r="S3115" s="28"/>
      <c r="T3115" s="28"/>
      <c r="U3115" s="4"/>
      <c r="V3115" s="3"/>
      <c r="W3115" s="3"/>
    </row>
    <row r="3116" spans="1:23" s="5" customFormat="1">
      <c r="A3116" s="6"/>
      <c r="B3116" s="33"/>
      <c r="C3116" s="35"/>
      <c r="E3116" s="39"/>
      <c r="G3116" s="40"/>
      <c r="H3116" s="15"/>
      <c r="I3116" s="17"/>
      <c r="J3116" s="10"/>
      <c r="M3116" s="39"/>
      <c r="O3116" s="39"/>
      <c r="Q3116" s="39"/>
      <c r="R3116" s="28"/>
      <c r="S3116" s="28"/>
      <c r="T3116" s="28"/>
      <c r="U3116" s="4"/>
      <c r="V3116" s="3"/>
      <c r="W3116" s="3"/>
    </row>
    <row r="3117" spans="1:23" s="5" customFormat="1">
      <c r="A3117" s="6"/>
      <c r="B3117" s="33"/>
      <c r="C3117" s="35"/>
      <c r="E3117" s="39"/>
      <c r="G3117" s="40"/>
      <c r="H3117" s="14"/>
      <c r="I3117" s="17"/>
      <c r="J3117" s="10"/>
      <c r="M3117" s="39"/>
      <c r="O3117" s="39"/>
      <c r="Q3117" s="39"/>
      <c r="R3117" s="28"/>
      <c r="S3117" s="28"/>
      <c r="T3117" s="28"/>
      <c r="U3117" s="4"/>
      <c r="V3117" s="3"/>
      <c r="W3117" s="3"/>
    </row>
    <row r="3118" spans="1:23" s="5" customFormat="1">
      <c r="A3118" s="6"/>
      <c r="B3118" s="33"/>
      <c r="C3118" s="35"/>
      <c r="E3118" s="39"/>
      <c r="G3118" s="40"/>
      <c r="H3118" s="14"/>
      <c r="I3118" s="17"/>
      <c r="J3118" s="10"/>
      <c r="M3118" s="39"/>
      <c r="O3118" s="39"/>
      <c r="Q3118" s="39"/>
      <c r="R3118" s="28"/>
      <c r="S3118" s="28"/>
      <c r="T3118" s="28"/>
      <c r="U3118" s="4"/>
      <c r="V3118" s="3"/>
      <c r="W3118" s="3"/>
    </row>
    <row r="3119" spans="1:23" s="5" customFormat="1">
      <c r="A3119" s="6"/>
      <c r="B3119" s="33"/>
      <c r="C3119" s="35"/>
      <c r="E3119" s="39"/>
      <c r="G3119" s="40"/>
      <c r="H3119" s="15"/>
      <c r="I3119" s="17"/>
      <c r="J3119" s="10"/>
      <c r="M3119" s="39"/>
      <c r="O3119" s="39"/>
      <c r="Q3119" s="39"/>
      <c r="R3119" s="28"/>
      <c r="S3119" s="28"/>
      <c r="T3119" s="28"/>
      <c r="U3119" s="4"/>
      <c r="V3119" s="3"/>
      <c r="W3119" s="3"/>
    </row>
    <row r="3120" spans="1:23" s="5" customFormat="1">
      <c r="A3120" s="6"/>
      <c r="B3120" s="33"/>
      <c r="C3120" s="35"/>
      <c r="E3120" s="39"/>
      <c r="G3120" s="40"/>
      <c r="H3120" s="15"/>
      <c r="I3120" s="17"/>
      <c r="J3120" s="10"/>
      <c r="M3120" s="39"/>
      <c r="O3120" s="39"/>
      <c r="Q3120" s="39"/>
      <c r="R3120" s="28"/>
      <c r="S3120" s="28"/>
      <c r="T3120" s="28"/>
      <c r="U3120" s="4"/>
      <c r="V3120" s="3"/>
      <c r="W3120" s="3"/>
    </row>
    <row r="3121" spans="1:23" s="5" customFormat="1">
      <c r="A3121" s="6"/>
      <c r="B3121" s="33"/>
      <c r="C3121" s="35"/>
      <c r="E3121" s="39"/>
      <c r="G3121" s="40"/>
      <c r="H3121" s="14"/>
      <c r="I3121" s="17"/>
      <c r="J3121" s="10"/>
      <c r="M3121" s="39"/>
      <c r="O3121" s="39"/>
      <c r="Q3121" s="39"/>
      <c r="R3121" s="28"/>
      <c r="S3121" s="29"/>
      <c r="T3121" s="28"/>
      <c r="U3121" s="4"/>
      <c r="V3121" s="3"/>
      <c r="W3121" s="3"/>
    </row>
    <row r="3122" spans="1:23" s="5" customFormat="1">
      <c r="A3122" s="6"/>
      <c r="B3122" s="33"/>
      <c r="C3122" s="35"/>
      <c r="E3122" s="39"/>
      <c r="G3122" s="40"/>
      <c r="H3122" s="14"/>
      <c r="I3122" s="17"/>
      <c r="J3122" s="10"/>
      <c r="M3122" s="39"/>
      <c r="O3122" s="39"/>
      <c r="Q3122" s="39"/>
      <c r="R3122" s="28"/>
      <c r="S3122" s="28"/>
      <c r="T3122" s="28"/>
      <c r="U3122" s="4"/>
      <c r="V3122" s="3"/>
      <c r="W3122" s="3"/>
    </row>
    <row r="3123" spans="1:23" s="5" customFormat="1">
      <c r="A3123" s="20"/>
      <c r="B3123" s="33"/>
      <c r="C3123" s="35"/>
      <c r="E3123" s="39"/>
      <c r="F3123" s="1"/>
      <c r="G3123" s="40"/>
      <c r="H3123" s="12"/>
      <c r="I3123" s="9"/>
      <c r="J3123" s="12"/>
      <c r="M3123" s="39"/>
      <c r="O3123" s="39"/>
      <c r="Q3123" s="39"/>
      <c r="R3123" s="29"/>
      <c r="S3123" s="28"/>
      <c r="T3123" s="28"/>
      <c r="U3123" s="4"/>
      <c r="V3123" s="3"/>
      <c r="W3123" s="3"/>
    </row>
    <row r="3124" spans="1:23" s="5" customFormat="1">
      <c r="A3124" s="6"/>
      <c r="B3124" s="33"/>
      <c r="C3124" s="35"/>
      <c r="E3124" s="39"/>
      <c r="G3124" s="40"/>
      <c r="H3124" s="15"/>
      <c r="I3124" s="17"/>
      <c r="J3124" s="10"/>
      <c r="M3124" s="39"/>
      <c r="O3124" s="39"/>
      <c r="Q3124" s="39"/>
      <c r="R3124" s="28"/>
      <c r="S3124" s="28"/>
      <c r="T3124" s="28"/>
      <c r="U3124" s="4"/>
      <c r="V3124" s="3"/>
      <c r="W3124" s="3"/>
    </row>
    <row r="3125" spans="1:23" s="5" customFormat="1">
      <c r="A3125" s="6"/>
      <c r="B3125" s="33"/>
      <c r="C3125" s="35"/>
      <c r="E3125" s="39"/>
      <c r="G3125" s="40"/>
      <c r="H3125" s="14"/>
      <c r="I3125" s="17"/>
      <c r="J3125" s="10"/>
      <c r="M3125" s="39"/>
      <c r="O3125" s="39"/>
      <c r="Q3125" s="39"/>
      <c r="R3125" s="28"/>
      <c r="S3125" s="28"/>
      <c r="T3125" s="28"/>
      <c r="U3125" s="4"/>
      <c r="V3125" s="3"/>
      <c r="W3125" s="3"/>
    </row>
    <row r="3126" spans="1:23" s="5" customFormat="1">
      <c r="A3126" s="6"/>
      <c r="B3126" s="33"/>
      <c r="C3126" s="35"/>
      <c r="E3126" s="39"/>
      <c r="G3126" s="40"/>
      <c r="H3126" s="14"/>
      <c r="I3126" s="17"/>
      <c r="J3126" s="10"/>
      <c r="M3126" s="39"/>
      <c r="O3126" s="39"/>
      <c r="Q3126" s="39"/>
      <c r="R3126" s="28"/>
      <c r="S3126" s="28"/>
      <c r="T3126" s="28"/>
      <c r="U3126" s="4"/>
      <c r="V3126" s="3"/>
      <c r="W3126" s="3"/>
    </row>
    <row r="3127" spans="1:23" s="5" customFormat="1">
      <c r="A3127" s="6"/>
      <c r="B3127" s="33"/>
      <c r="C3127" s="35"/>
      <c r="E3127" s="39"/>
      <c r="G3127" s="40"/>
      <c r="H3127" s="14"/>
      <c r="I3127" s="17"/>
      <c r="J3127" s="10"/>
      <c r="M3127" s="39"/>
      <c r="O3127" s="39"/>
      <c r="Q3127" s="39"/>
      <c r="R3127" s="28"/>
      <c r="S3127" s="28"/>
      <c r="T3127" s="28"/>
      <c r="U3127" s="4"/>
      <c r="V3127" s="3"/>
      <c r="W3127" s="3"/>
    </row>
    <row r="3128" spans="1:23" s="5" customFormat="1">
      <c r="A3128" s="6"/>
      <c r="B3128" s="33"/>
      <c r="C3128" s="35"/>
      <c r="E3128" s="39"/>
      <c r="G3128" s="40"/>
      <c r="H3128" s="14"/>
      <c r="I3128" s="17"/>
      <c r="J3128" s="10"/>
      <c r="M3128" s="39"/>
      <c r="O3128" s="39"/>
      <c r="Q3128" s="39"/>
      <c r="R3128" s="28"/>
      <c r="S3128" s="28"/>
      <c r="T3128" s="28"/>
      <c r="U3128" s="4"/>
      <c r="V3128" s="3"/>
      <c r="W3128" s="3"/>
    </row>
    <row r="3129" spans="1:23" s="5" customFormat="1">
      <c r="A3129" s="6"/>
      <c r="B3129" s="33"/>
      <c r="C3129" s="35"/>
      <c r="E3129" s="39"/>
      <c r="G3129" s="40"/>
      <c r="H3129" s="15"/>
      <c r="I3129" s="17"/>
      <c r="J3129" s="10"/>
      <c r="M3129" s="39"/>
      <c r="O3129" s="39"/>
      <c r="Q3129" s="39"/>
      <c r="R3129" s="28"/>
      <c r="S3129" s="28"/>
      <c r="T3129" s="28"/>
      <c r="U3129" s="4"/>
      <c r="V3129" s="3"/>
      <c r="W3129" s="3"/>
    </row>
    <row r="3130" spans="1:23" s="5" customFormat="1">
      <c r="A3130" s="6"/>
      <c r="B3130" s="33"/>
      <c r="C3130" s="35"/>
      <c r="E3130" s="39"/>
      <c r="G3130" s="40"/>
      <c r="H3130" s="15"/>
      <c r="I3130" s="17"/>
      <c r="J3130" s="10"/>
      <c r="M3130" s="39"/>
      <c r="O3130" s="39"/>
      <c r="Q3130" s="39"/>
      <c r="R3130" s="28"/>
      <c r="S3130" s="28"/>
      <c r="T3130" s="28"/>
      <c r="U3130" s="4"/>
      <c r="V3130" s="3"/>
      <c r="W3130" s="3"/>
    </row>
    <row r="3131" spans="1:23" s="5" customFormat="1">
      <c r="A3131" s="6"/>
      <c r="B3131" s="33"/>
      <c r="C3131" s="35"/>
      <c r="E3131" s="39"/>
      <c r="G3131" s="40"/>
      <c r="H3131" s="14"/>
      <c r="I3131" s="17"/>
      <c r="J3131" s="10"/>
      <c r="M3131" s="39"/>
      <c r="O3131" s="39"/>
      <c r="Q3131" s="39"/>
      <c r="R3131" s="28"/>
      <c r="S3131" s="28"/>
      <c r="T3131" s="28"/>
      <c r="U3131" s="4"/>
      <c r="V3131" s="3"/>
      <c r="W3131" s="3"/>
    </row>
    <row r="3132" spans="1:23" s="5" customFormat="1">
      <c r="A3132" s="6"/>
      <c r="B3132" s="33"/>
      <c r="C3132" s="35"/>
      <c r="E3132" s="39"/>
      <c r="G3132" s="40"/>
      <c r="H3132" s="15"/>
      <c r="I3132" s="17"/>
      <c r="J3132" s="10"/>
      <c r="M3132" s="39"/>
      <c r="O3132" s="39"/>
      <c r="Q3132" s="39"/>
      <c r="R3132" s="28"/>
      <c r="S3132" s="28"/>
      <c r="T3132" s="28"/>
      <c r="U3132" s="4"/>
      <c r="V3132" s="3"/>
      <c r="W3132" s="3"/>
    </row>
    <row r="3133" spans="1:23" s="5" customFormat="1">
      <c r="A3133" s="6"/>
      <c r="B3133" s="33"/>
      <c r="C3133" s="35"/>
      <c r="E3133" s="39"/>
      <c r="G3133" s="40"/>
      <c r="H3133" s="15"/>
      <c r="I3133" s="17"/>
      <c r="J3133" s="10"/>
      <c r="M3133" s="39"/>
      <c r="O3133" s="39"/>
      <c r="Q3133" s="39"/>
      <c r="R3133" s="28"/>
      <c r="S3133" s="28"/>
      <c r="T3133" s="28"/>
      <c r="U3133" s="4"/>
      <c r="V3133" s="3"/>
      <c r="W3133" s="3"/>
    </row>
    <row r="3134" spans="1:23" s="5" customFormat="1">
      <c r="A3134" s="6"/>
      <c r="B3134" s="33"/>
      <c r="C3134" s="35"/>
      <c r="E3134" s="39"/>
      <c r="G3134" s="40"/>
      <c r="H3134" s="14"/>
      <c r="I3134" s="17"/>
      <c r="J3134" s="10"/>
      <c r="M3134" s="39"/>
      <c r="O3134" s="39"/>
      <c r="Q3134" s="39"/>
      <c r="R3134" s="28"/>
      <c r="S3134" s="28"/>
      <c r="T3134" s="28"/>
      <c r="U3134" s="4"/>
      <c r="V3134" s="3"/>
      <c r="W3134" s="3"/>
    </row>
    <row r="3135" spans="1:23" s="5" customFormat="1">
      <c r="A3135" s="6"/>
      <c r="B3135" s="33"/>
      <c r="C3135" s="35"/>
      <c r="E3135" s="39"/>
      <c r="G3135" s="40"/>
      <c r="H3135" s="14"/>
      <c r="I3135" s="17"/>
      <c r="J3135" s="10"/>
      <c r="M3135" s="39"/>
      <c r="O3135" s="39"/>
      <c r="Q3135" s="39"/>
      <c r="R3135" s="28"/>
      <c r="S3135" s="28"/>
      <c r="T3135" s="28"/>
      <c r="U3135" s="4"/>
      <c r="V3135" s="3"/>
      <c r="W3135" s="3"/>
    </row>
    <row r="3136" spans="1:23" s="5" customFormat="1">
      <c r="A3136" s="6"/>
      <c r="B3136" s="33"/>
      <c r="C3136" s="35"/>
      <c r="E3136" s="39"/>
      <c r="G3136" s="40"/>
      <c r="H3136" s="14"/>
      <c r="I3136" s="17"/>
      <c r="J3136" s="10"/>
      <c r="M3136" s="39"/>
      <c r="O3136" s="39"/>
      <c r="Q3136" s="39"/>
      <c r="R3136" s="28"/>
      <c r="S3136" s="28"/>
      <c r="T3136" s="28"/>
      <c r="U3136" s="4"/>
      <c r="V3136" s="3"/>
      <c r="W3136" s="3"/>
    </row>
    <row r="3137" spans="1:23" s="5" customFormat="1">
      <c r="A3137" s="6"/>
      <c r="B3137" s="33"/>
      <c r="C3137" s="35"/>
      <c r="E3137" s="39"/>
      <c r="G3137" s="40"/>
      <c r="H3137" s="14"/>
      <c r="I3137" s="17"/>
      <c r="J3137" s="10"/>
      <c r="M3137" s="39"/>
      <c r="O3137" s="39"/>
      <c r="Q3137" s="39"/>
      <c r="R3137" s="28"/>
      <c r="S3137" s="28"/>
      <c r="T3137" s="28"/>
      <c r="U3137" s="4"/>
      <c r="V3137" s="3"/>
      <c r="W3137" s="3"/>
    </row>
    <row r="3138" spans="1:23" s="5" customFormat="1">
      <c r="A3138" s="6"/>
      <c r="B3138" s="33"/>
      <c r="C3138" s="35"/>
      <c r="E3138" s="39"/>
      <c r="G3138" s="40"/>
      <c r="H3138" s="15"/>
      <c r="I3138" s="17"/>
      <c r="J3138" s="10"/>
      <c r="M3138" s="39"/>
      <c r="O3138" s="39"/>
      <c r="Q3138" s="39"/>
      <c r="R3138" s="28"/>
      <c r="S3138" s="28"/>
      <c r="T3138" s="28"/>
      <c r="U3138" s="4"/>
      <c r="V3138" s="3"/>
      <c r="W3138" s="3"/>
    </row>
    <row r="3139" spans="1:23" s="5" customFormat="1">
      <c r="A3139" s="6"/>
      <c r="B3139" s="33"/>
      <c r="C3139" s="35"/>
      <c r="E3139" s="39"/>
      <c r="G3139" s="40"/>
      <c r="H3139" s="15"/>
      <c r="I3139" s="17"/>
      <c r="J3139" s="10"/>
      <c r="M3139" s="39"/>
      <c r="O3139" s="39"/>
      <c r="Q3139" s="39"/>
      <c r="R3139" s="28"/>
      <c r="S3139" s="28"/>
      <c r="T3139" s="28"/>
      <c r="U3139" s="4"/>
      <c r="V3139" s="3"/>
      <c r="W3139" s="3"/>
    </row>
    <row r="3140" spans="1:23" s="5" customFormat="1">
      <c r="A3140" s="6"/>
      <c r="B3140" s="33"/>
      <c r="C3140" s="35"/>
      <c r="E3140" s="39"/>
      <c r="G3140" s="40"/>
      <c r="H3140" s="15"/>
      <c r="I3140" s="17"/>
      <c r="J3140" s="10"/>
      <c r="M3140" s="39"/>
      <c r="O3140" s="39"/>
      <c r="Q3140" s="39"/>
      <c r="R3140" s="28"/>
      <c r="S3140" s="28"/>
      <c r="T3140" s="28"/>
      <c r="U3140" s="4"/>
      <c r="V3140" s="3"/>
      <c r="W3140" s="3"/>
    </row>
    <row r="3141" spans="1:23" s="5" customFormat="1">
      <c r="A3141" s="6"/>
      <c r="B3141" s="33"/>
      <c r="C3141" s="35"/>
      <c r="E3141" s="39"/>
      <c r="G3141" s="40"/>
      <c r="H3141" s="15"/>
      <c r="I3141" s="17"/>
      <c r="J3141" s="10"/>
      <c r="M3141" s="39"/>
      <c r="O3141" s="39"/>
      <c r="Q3141" s="39"/>
      <c r="R3141" s="28"/>
      <c r="S3141" s="28"/>
      <c r="T3141" s="28"/>
      <c r="U3141" s="4"/>
      <c r="V3141" s="3"/>
      <c r="W3141" s="3"/>
    </row>
    <row r="3142" spans="1:23" s="5" customFormat="1">
      <c r="A3142" s="6"/>
      <c r="B3142" s="33"/>
      <c r="C3142" s="35"/>
      <c r="E3142" s="39"/>
      <c r="G3142" s="40"/>
      <c r="H3142" s="14"/>
      <c r="I3142" s="17"/>
      <c r="J3142" s="10"/>
      <c r="M3142" s="39"/>
      <c r="O3142" s="39"/>
      <c r="Q3142" s="39"/>
      <c r="R3142" s="28"/>
      <c r="S3142" s="28"/>
      <c r="T3142" s="28"/>
      <c r="U3142" s="4"/>
      <c r="V3142" s="3"/>
      <c r="W3142" s="3"/>
    </row>
    <row r="3143" spans="1:23" s="5" customFormat="1">
      <c r="A3143" s="6"/>
      <c r="B3143" s="33"/>
      <c r="C3143" s="35"/>
      <c r="E3143" s="39"/>
      <c r="G3143" s="40"/>
      <c r="H3143" s="14"/>
      <c r="I3143" s="17"/>
      <c r="J3143" s="10"/>
      <c r="M3143" s="39"/>
      <c r="O3143" s="39"/>
      <c r="Q3143" s="39"/>
      <c r="R3143" s="28"/>
      <c r="S3143" s="28"/>
      <c r="T3143" s="28"/>
      <c r="U3143" s="4"/>
      <c r="V3143" s="3"/>
      <c r="W3143" s="3"/>
    </row>
    <row r="3144" spans="1:23" s="5" customFormat="1">
      <c r="A3144" s="6"/>
      <c r="B3144" s="33"/>
      <c r="C3144" s="35"/>
      <c r="E3144" s="39"/>
      <c r="G3144" s="40"/>
      <c r="H3144" s="15"/>
      <c r="I3144" s="17"/>
      <c r="J3144" s="10"/>
      <c r="M3144" s="39"/>
      <c r="O3144" s="39"/>
      <c r="Q3144" s="39"/>
      <c r="R3144" s="28"/>
      <c r="S3144" s="28"/>
      <c r="T3144" s="28"/>
      <c r="U3144" s="4"/>
      <c r="V3144" s="3"/>
      <c r="W3144" s="3"/>
    </row>
    <row r="3145" spans="1:23" s="5" customFormat="1">
      <c r="A3145" s="6"/>
      <c r="B3145" s="33"/>
      <c r="C3145" s="35"/>
      <c r="E3145" s="39"/>
      <c r="G3145" s="40"/>
      <c r="H3145" s="15"/>
      <c r="I3145" s="17"/>
      <c r="J3145" s="10"/>
      <c r="M3145" s="39"/>
      <c r="O3145" s="39"/>
      <c r="Q3145" s="39"/>
      <c r="R3145" s="28"/>
      <c r="S3145" s="28"/>
      <c r="T3145" s="28"/>
      <c r="U3145" s="4"/>
      <c r="V3145" s="3"/>
      <c r="W3145" s="3"/>
    </row>
    <row r="3146" spans="1:23" s="5" customFormat="1">
      <c r="A3146" s="6"/>
      <c r="B3146" s="33"/>
      <c r="C3146" s="35"/>
      <c r="E3146" s="39"/>
      <c r="G3146" s="40"/>
      <c r="H3146" s="15"/>
      <c r="I3146" s="17"/>
      <c r="J3146" s="10"/>
      <c r="M3146" s="39"/>
      <c r="O3146" s="39"/>
      <c r="Q3146" s="39"/>
      <c r="R3146" s="28"/>
      <c r="S3146" s="28"/>
      <c r="T3146" s="28"/>
      <c r="U3146" s="4"/>
      <c r="V3146" s="3"/>
      <c r="W3146" s="3"/>
    </row>
    <row r="3147" spans="1:23" s="5" customFormat="1">
      <c r="A3147" s="6"/>
      <c r="B3147" s="33"/>
      <c r="C3147" s="35"/>
      <c r="E3147" s="39"/>
      <c r="G3147" s="40"/>
      <c r="H3147" s="15"/>
      <c r="I3147" s="17"/>
      <c r="J3147" s="10"/>
      <c r="M3147" s="39"/>
      <c r="O3147" s="39"/>
      <c r="Q3147" s="39"/>
      <c r="R3147" s="28"/>
      <c r="S3147" s="28"/>
      <c r="T3147" s="28"/>
      <c r="U3147" s="4"/>
      <c r="V3147" s="3"/>
      <c r="W3147" s="3"/>
    </row>
    <row r="3148" spans="1:23" s="5" customFormat="1">
      <c r="A3148" s="6"/>
      <c r="B3148" s="33"/>
      <c r="C3148" s="35"/>
      <c r="E3148" s="39"/>
      <c r="G3148" s="40"/>
      <c r="H3148" s="15"/>
      <c r="I3148" s="17"/>
      <c r="J3148" s="10"/>
      <c r="M3148" s="39"/>
      <c r="O3148" s="39"/>
      <c r="Q3148" s="39"/>
      <c r="R3148" s="28"/>
      <c r="S3148" s="28"/>
      <c r="T3148" s="28"/>
      <c r="U3148" s="4"/>
      <c r="V3148" s="3"/>
      <c r="W3148" s="3"/>
    </row>
    <row r="3149" spans="1:23" s="5" customFormat="1">
      <c r="A3149" s="6"/>
      <c r="B3149" s="33"/>
      <c r="C3149" s="35"/>
      <c r="E3149" s="39"/>
      <c r="G3149" s="40"/>
      <c r="H3149" s="15"/>
      <c r="I3149" s="17"/>
      <c r="J3149" s="10"/>
      <c r="M3149" s="39"/>
      <c r="O3149" s="39"/>
      <c r="Q3149" s="39"/>
      <c r="R3149" s="28"/>
      <c r="S3149" s="28"/>
      <c r="T3149" s="28"/>
      <c r="U3149" s="4"/>
      <c r="V3149" s="3"/>
      <c r="W3149" s="3"/>
    </row>
    <row r="3150" spans="1:23" s="5" customFormat="1">
      <c r="A3150" s="6"/>
      <c r="B3150" s="33"/>
      <c r="C3150" s="35"/>
      <c r="E3150" s="39"/>
      <c r="G3150" s="40"/>
      <c r="H3150" s="15"/>
      <c r="I3150" s="17"/>
      <c r="J3150" s="10"/>
      <c r="M3150" s="39"/>
      <c r="O3150" s="39"/>
      <c r="Q3150" s="39"/>
      <c r="R3150" s="28"/>
      <c r="S3150" s="28"/>
      <c r="T3150" s="28"/>
      <c r="U3150" s="4"/>
      <c r="V3150" s="3"/>
      <c r="W3150" s="3"/>
    </row>
    <row r="3151" spans="1:23" s="5" customFormat="1">
      <c r="A3151" s="6"/>
      <c r="B3151" s="33"/>
      <c r="C3151" s="35"/>
      <c r="E3151" s="39"/>
      <c r="G3151" s="40"/>
      <c r="H3151" s="14"/>
      <c r="I3151" s="17"/>
      <c r="J3151" s="10"/>
      <c r="M3151" s="39"/>
      <c r="O3151" s="39"/>
      <c r="Q3151" s="39"/>
      <c r="R3151" s="28"/>
      <c r="S3151" s="28"/>
      <c r="T3151" s="28"/>
      <c r="U3151" s="4"/>
      <c r="V3151" s="3"/>
      <c r="W3151" s="3"/>
    </row>
    <row r="3152" spans="1:23" s="5" customFormat="1">
      <c r="A3152" s="6"/>
      <c r="B3152" s="33"/>
      <c r="C3152" s="35"/>
      <c r="E3152" s="39"/>
      <c r="G3152" s="40"/>
      <c r="H3152" s="14"/>
      <c r="I3152" s="17"/>
      <c r="J3152" s="10"/>
      <c r="M3152" s="39"/>
      <c r="O3152" s="39"/>
      <c r="Q3152" s="39"/>
      <c r="R3152" s="28"/>
      <c r="S3152" s="28"/>
      <c r="T3152" s="28"/>
      <c r="U3152" s="4"/>
      <c r="V3152" s="3"/>
      <c r="W3152" s="3"/>
    </row>
    <row r="3153" spans="1:23" s="5" customFormat="1">
      <c r="A3153" s="6"/>
      <c r="B3153" s="33"/>
      <c r="C3153" s="35"/>
      <c r="E3153" s="39"/>
      <c r="G3153" s="40"/>
      <c r="H3153" s="14"/>
      <c r="I3153" s="17"/>
      <c r="J3153" s="10"/>
      <c r="M3153" s="39"/>
      <c r="O3153" s="39"/>
      <c r="Q3153" s="39"/>
      <c r="R3153" s="28"/>
      <c r="S3153" s="28"/>
      <c r="T3153" s="28"/>
      <c r="U3153" s="4"/>
      <c r="V3153" s="3"/>
      <c r="W3153" s="3"/>
    </row>
    <row r="3154" spans="1:23" s="5" customFormat="1">
      <c r="A3154" s="6"/>
      <c r="B3154" s="33"/>
      <c r="C3154" s="35"/>
      <c r="E3154" s="39"/>
      <c r="G3154" s="40"/>
      <c r="H3154" s="14"/>
      <c r="I3154" s="17"/>
      <c r="J3154" s="10"/>
      <c r="M3154" s="39"/>
      <c r="O3154" s="39"/>
      <c r="Q3154" s="39"/>
      <c r="R3154" s="28"/>
      <c r="S3154" s="28"/>
      <c r="T3154" s="28"/>
      <c r="U3154" s="4"/>
      <c r="V3154" s="3"/>
      <c r="W3154" s="3"/>
    </row>
    <row r="3155" spans="1:23" s="5" customFormat="1">
      <c r="A3155" s="6"/>
      <c r="B3155" s="33"/>
      <c r="C3155" s="35"/>
      <c r="E3155" s="39"/>
      <c r="G3155" s="40"/>
      <c r="H3155" s="15"/>
      <c r="I3155" s="17"/>
      <c r="J3155" s="10"/>
      <c r="M3155" s="39"/>
      <c r="O3155" s="39"/>
      <c r="Q3155" s="39"/>
      <c r="R3155" s="28"/>
      <c r="S3155" s="28"/>
      <c r="T3155" s="28"/>
      <c r="U3155" s="4"/>
      <c r="V3155" s="3"/>
      <c r="W3155" s="3"/>
    </row>
    <row r="3156" spans="1:23" s="5" customFormat="1">
      <c r="A3156" s="6"/>
      <c r="B3156" s="33"/>
      <c r="C3156" s="35"/>
      <c r="E3156" s="39"/>
      <c r="G3156" s="40"/>
      <c r="H3156" s="14"/>
      <c r="I3156" s="17"/>
      <c r="J3156" s="10"/>
      <c r="M3156" s="39"/>
      <c r="O3156" s="39"/>
      <c r="Q3156" s="39"/>
      <c r="R3156" s="28"/>
      <c r="S3156" s="28"/>
      <c r="T3156" s="28"/>
      <c r="U3156" s="4"/>
      <c r="V3156" s="3"/>
      <c r="W3156" s="3"/>
    </row>
    <row r="3157" spans="1:23" s="5" customFormat="1">
      <c r="A3157" s="6"/>
      <c r="B3157" s="33"/>
      <c r="C3157" s="35"/>
      <c r="E3157" s="39"/>
      <c r="G3157" s="40"/>
      <c r="H3157" s="15"/>
      <c r="I3157" s="17"/>
      <c r="J3157" s="10"/>
      <c r="M3157" s="39"/>
      <c r="O3157" s="39"/>
      <c r="Q3157" s="39"/>
      <c r="R3157" s="28"/>
      <c r="S3157" s="28"/>
      <c r="T3157" s="28"/>
      <c r="U3157" s="4"/>
      <c r="V3157" s="3"/>
      <c r="W3157" s="3"/>
    </row>
    <row r="3158" spans="1:23" s="5" customFormat="1">
      <c r="A3158" s="6"/>
      <c r="B3158" s="33"/>
      <c r="C3158" s="35"/>
      <c r="E3158" s="39"/>
      <c r="G3158" s="40"/>
      <c r="H3158" s="15"/>
      <c r="I3158" s="17"/>
      <c r="J3158" s="10"/>
      <c r="M3158" s="39"/>
      <c r="O3158" s="39"/>
      <c r="Q3158" s="39"/>
      <c r="R3158" s="28"/>
      <c r="S3158" s="28"/>
      <c r="T3158" s="28"/>
      <c r="U3158" s="4"/>
      <c r="V3158" s="3"/>
      <c r="W3158" s="3"/>
    </row>
    <row r="3159" spans="1:23" s="5" customFormat="1">
      <c r="A3159" s="6"/>
      <c r="B3159" s="33"/>
      <c r="C3159" s="35"/>
      <c r="E3159" s="39"/>
      <c r="G3159" s="40"/>
      <c r="H3159" s="15"/>
      <c r="I3159" s="17"/>
      <c r="J3159" s="10"/>
      <c r="M3159" s="39"/>
      <c r="O3159" s="39"/>
      <c r="Q3159" s="39"/>
      <c r="R3159" s="28"/>
      <c r="S3159" s="28"/>
      <c r="T3159" s="28"/>
      <c r="U3159" s="4"/>
      <c r="V3159" s="3"/>
      <c r="W3159" s="3"/>
    </row>
    <row r="3160" spans="1:23" s="5" customFormat="1">
      <c r="A3160" s="6"/>
      <c r="B3160" s="33"/>
      <c r="C3160" s="35"/>
      <c r="E3160" s="39"/>
      <c r="G3160" s="40"/>
      <c r="H3160" s="14"/>
      <c r="I3160" s="17"/>
      <c r="J3160" s="10"/>
      <c r="M3160" s="39"/>
      <c r="O3160" s="39"/>
      <c r="Q3160" s="39"/>
      <c r="R3160" s="28"/>
      <c r="S3160" s="28"/>
      <c r="T3160" s="28"/>
      <c r="U3160" s="4"/>
      <c r="V3160" s="3"/>
      <c r="W3160" s="3"/>
    </row>
    <row r="3161" spans="1:23" s="5" customFormat="1">
      <c r="A3161" s="6"/>
      <c r="B3161" s="33"/>
      <c r="C3161" s="35"/>
      <c r="E3161" s="39"/>
      <c r="G3161" s="40"/>
      <c r="H3161" s="15"/>
      <c r="I3161" s="17"/>
      <c r="J3161" s="10"/>
      <c r="M3161" s="39"/>
      <c r="O3161" s="39"/>
      <c r="Q3161" s="39"/>
      <c r="R3161" s="28"/>
      <c r="S3161" s="28"/>
      <c r="T3161" s="28"/>
      <c r="U3161" s="4"/>
      <c r="V3161" s="3"/>
      <c r="W3161" s="3"/>
    </row>
    <row r="3162" spans="1:23" s="5" customFormat="1">
      <c r="A3162" s="6"/>
      <c r="B3162" s="33"/>
      <c r="C3162" s="35"/>
      <c r="E3162" s="39"/>
      <c r="G3162" s="40"/>
      <c r="H3162" s="14"/>
      <c r="I3162" s="17"/>
      <c r="J3162" s="10"/>
      <c r="M3162" s="39"/>
      <c r="O3162" s="39"/>
      <c r="Q3162" s="39"/>
      <c r="R3162" s="28"/>
      <c r="S3162" s="28"/>
      <c r="T3162" s="28"/>
      <c r="U3162" s="4"/>
      <c r="V3162" s="3"/>
      <c r="W3162" s="3"/>
    </row>
    <row r="3163" spans="1:23" s="5" customFormat="1">
      <c r="A3163" s="6"/>
      <c r="B3163" s="33"/>
      <c r="C3163" s="35"/>
      <c r="E3163" s="39"/>
      <c r="G3163" s="40"/>
      <c r="H3163" s="14"/>
      <c r="I3163" s="17"/>
      <c r="J3163" s="10"/>
      <c r="M3163" s="39"/>
      <c r="O3163" s="39"/>
      <c r="Q3163" s="39"/>
      <c r="R3163" s="28"/>
      <c r="S3163" s="28"/>
      <c r="T3163" s="28"/>
      <c r="U3163" s="4"/>
      <c r="V3163" s="3"/>
      <c r="W3163" s="3"/>
    </row>
    <row r="3164" spans="1:23" s="5" customFormat="1">
      <c r="A3164" s="6"/>
      <c r="B3164" s="33"/>
      <c r="C3164" s="35"/>
      <c r="E3164" s="39"/>
      <c r="G3164" s="40"/>
      <c r="H3164" s="14"/>
      <c r="I3164" s="17"/>
      <c r="J3164" s="10"/>
      <c r="M3164" s="39"/>
      <c r="O3164" s="39"/>
      <c r="Q3164" s="39"/>
      <c r="R3164" s="28"/>
      <c r="S3164" s="28"/>
      <c r="T3164" s="28"/>
      <c r="U3164" s="4"/>
      <c r="V3164" s="3"/>
      <c r="W3164" s="3"/>
    </row>
    <row r="3165" spans="1:23" s="5" customFormat="1">
      <c r="A3165" s="6"/>
      <c r="B3165" s="33"/>
      <c r="C3165" s="35"/>
      <c r="E3165" s="39"/>
      <c r="G3165" s="40"/>
      <c r="H3165" s="15"/>
      <c r="I3165" s="17"/>
      <c r="J3165" s="10"/>
      <c r="M3165" s="39"/>
      <c r="O3165" s="39"/>
      <c r="Q3165" s="39"/>
      <c r="R3165" s="28"/>
      <c r="S3165" s="28"/>
      <c r="T3165" s="28"/>
      <c r="U3165" s="4"/>
      <c r="V3165" s="3"/>
      <c r="W3165" s="3"/>
    </row>
    <row r="3166" spans="1:23" s="5" customFormat="1">
      <c r="A3166" s="6"/>
      <c r="B3166" s="33"/>
      <c r="C3166" s="35"/>
      <c r="E3166" s="39"/>
      <c r="G3166" s="40"/>
      <c r="H3166" s="14"/>
      <c r="I3166" s="17"/>
      <c r="J3166" s="10"/>
      <c r="M3166" s="39"/>
      <c r="O3166" s="39"/>
      <c r="Q3166" s="39"/>
      <c r="R3166" s="28"/>
      <c r="S3166" s="29"/>
      <c r="T3166" s="28"/>
      <c r="U3166" s="4"/>
      <c r="V3166" s="3"/>
      <c r="W3166" s="3"/>
    </row>
    <row r="3167" spans="1:23" s="5" customFormat="1">
      <c r="A3167" s="6"/>
      <c r="B3167" s="33"/>
      <c r="C3167" s="35"/>
      <c r="E3167" s="39"/>
      <c r="G3167" s="40"/>
      <c r="H3167" s="15"/>
      <c r="I3167" s="17"/>
      <c r="J3167" s="10"/>
      <c r="M3167" s="39"/>
      <c r="O3167" s="39"/>
      <c r="Q3167" s="39"/>
      <c r="R3167" s="28"/>
      <c r="S3167" s="28"/>
      <c r="T3167" s="28"/>
      <c r="U3167" s="4"/>
      <c r="V3167" s="3"/>
      <c r="W3167" s="3"/>
    </row>
    <row r="3168" spans="1:23" s="5" customFormat="1">
      <c r="A3168" s="6"/>
      <c r="B3168" s="33"/>
      <c r="C3168" s="35"/>
      <c r="E3168" s="39"/>
      <c r="G3168" s="40"/>
      <c r="H3168" s="15"/>
      <c r="I3168" s="17"/>
      <c r="J3168" s="10"/>
      <c r="M3168" s="39"/>
      <c r="O3168" s="39"/>
      <c r="Q3168" s="39"/>
      <c r="R3168" s="28"/>
      <c r="S3168" s="28"/>
      <c r="T3168" s="28"/>
      <c r="U3168" s="4"/>
      <c r="V3168" s="3"/>
      <c r="W3168" s="3"/>
    </row>
    <row r="3169" spans="1:23" s="5" customFormat="1">
      <c r="A3169" s="6"/>
      <c r="B3169" s="33"/>
      <c r="C3169" s="35"/>
      <c r="E3169" s="39"/>
      <c r="G3169" s="40"/>
      <c r="H3169" s="15"/>
      <c r="I3169" s="17"/>
      <c r="J3169" s="10"/>
      <c r="M3169" s="39"/>
      <c r="O3169" s="39"/>
      <c r="Q3169" s="39"/>
      <c r="R3169" s="28"/>
      <c r="S3169" s="28"/>
      <c r="T3169" s="28"/>
      <c r="U3169" s="4"/>
      <c r="V3169" s="3"/>
      <c r="W3169" s="3"/>
    </row>
    <row r="3170" spans="1:23" s="5" customFormat="1">
      <c r="A3170" s="6"/>
      <c r="B3170" s="33"/>
      <c r="C3170" s="35"/>
      <c r="E3170" s="39"/>
      <c r="G3170" s="40"/>
      <c r="H3170" s="15"/>
      <c r="I3170" s="17"/>
      <c r="J3170" s="10"/>
      <c r="M3170" s="39"/>
      <c r="O3170" s="39"/>
      <c r="Q3170" s="39"/>
      <c r="R3170" s="28"/>
      <c r="S3170" s="28"/>
      <c r="T3170" s="28"/>
      <c r="U3170" s="4"/>
      <c r="V3170" s="3"/>
      <c r="W3170" s="3"/>
    </row>
    <row r="3171" spans="1:23" s="5" customFormat="1">
      <c r="A3171" s="6"/>
      <c r="B3171" s="33"/>
      <c r="C3171" s="35"/>
      <c r="E3171" s="39"/>
      <c r="G3171" s="40"/>
      <c r="H3171" s="15"/>
      <c r="I3171" s="17"/>
      <c r="J3171" s="10"/>
      <c r="M3171" s="39"/>
      <c r="O3171" s="39"/>
      <c r="Q3171" s="39"/>
      <c r="R3171" s="28"/>
      <c r="S3171" s="28"/>
      <c r="T3171" s="28"/>
      <c r="U3171" s="4"/>
      <c r="V3171" s="3"/>
      <c r="W3171" s="3"/>
    </row>
    <row r="3172" spans="1:23" s="5" customFormat="1">
      <c r="A3172" s="6"/>
      <c r="B3172" s="33"/>
      <c r="C3172" s="35"/>
      <c r="E3172" s="39"/>
      <c r="G3172" s="40"/>
      <c r="H3172" s="15"/>
      <c r="I3172" s="17"/>
      <c r="J3172" s="10"/>
      <c r="M3172" s="39"/>
      <c r="O3172" s="39"/>
      <c r="Q3172" s="39"/>
      <c r="R3172" s="28"/>
      <c r="S3172" s="28"/>
      <c r="T3172" s="28"/>
      <c r="U3172" s="4"/>
      <c r="V3172" s="3"/>
      <c r="W3172" s="3"/>
    </row>
    <row r="3173" spans="1:23" s="5" customFormat="1">
      <c r="A3173" s="6"/>
      <c r="B3173" s="33"/>
      <c r="C3173" s="35"/>
      <c r="E3173" s="39"/>
      <c r="G3173" s="40"/>
      <c r="H3173" s="15"/>
      <c r="I3173" s="17"/>
      <c r="J3173" s="10"/>
      <c r="M3173" s="39"/>
      <c r="O3173" s="39"/>
      <c r="Q3173" s="39"/>
      <c r="R3173" s="28"/>
      <c r="S3173" s="28"/>
      <c r="T3173" s="28"/>
      <c r="U3173" s="4"/>
      <c r="V3173" s="3"/>
      <c r="W3173" s="3"/>
    </row>
    <row r="3174" spans="1:23" s="5" customFormat="1">
      <c r="A3174" s="6"/>
      <c r="B3174" s="33"/>
      <c r="C3174" s="35"/>
      <c r="E3174" s="39"/>
      <c r="G3174" s="40"/>
      <c r="H3174" s="15"/>
      <c r="I3174" s="17"/>
      <c r="J3174" s="10"/>
      <c r="M3174" s="39"/>
      <c r="O3174" s="39"/>
      <c r="Q3174" s="39"/>
      <c r="R3174" s="28"/>
      <c r="S3174" s="28"/>
      <c r="T3174" s="28"/>
      <c r="U3174" s="4"/>
      <c r="V3174" s="3"/>
      <c r="W3174" s="3"/>
    </row>
    <row r="3175" spans="1:23" s="5" customFormat="1">
      <c r="A3175" s="6"/>
      <c r="B3175" s="33"/>
      <c r="C3175" s="35"/>
      <c r="E3175" s="39"/>
      <c r="G3175" s="40"/>
      <c r="H3175" s="14"/>
      <c r="I3175" s="17"/>
      <c r="J3175" s="10"/>
      <c r="M3175" s="39"/>
      <c r="O3175" s="39"/>
      <c r="Q3175" s="39"/>
      <c r="R3175" s="28"/>
      <c r="S3175" s="28"/>
      <c r="T3175" s="28"/>
      <c r="U3175" s="4"/>
      <c r="V3175" s="3"/>
      <c r="W3175" s="3"/>
    </row>
    <row r="3176" spans="1:23" s="5" customFormat="1">
      <c r="A3176" s="6"/>
      <c r="B3176" s="33"/>
      <c r="C3176" s="35"/>
      <c r="E3176" s="39"/>
      <c r="G3176" s="40"/>
      <c r="H3176" s="15"/>
      <c r="I3176" s="17"/>
      <c r="J3176" s="10"/>
      <c r="M3176" s="39"/>
      <c r="O3176" s="39"/>
      <c r="Q3176" s="39"/>
      <c r="R3176" s="28"/>
      <c r="S3176" s="28"/>
      <c r="T3176" s="28"/>
      <c r="U3176" s="4"/>
      <c r="V3176" s="3"/>
      <c r="W3176" s="3"/>
    </row>
    <row r="3177" spans="1:23" s="5" customFormat="1">
      <c r="A3177" s="6"/>
      <c r="B3177" s="33"/>
      <c r="C3177" s="35"/>
      <c r="E3177" s="39"/>
      <c r="G3177" s="40"/>
      <c r="H3177" s="14"/>
      <c r="I3177" s="17"/>
      <c r="J3177" s="10"/>
      <c r="M3177" s="39"/>
      <c r="O3177" s="39"/>
      <c r="Q3177" s="39"/>
      <c r="R3177" s="28"/>
      <c r="S3177" s="29"/>
      <c r="T3177" s="28"/>
      <c r="U3177" s="4"/>
      <c r="V3177" s="3"/>
      <c r="W3177" s="3"/>
    </row>
    <row r="3178" spans="1:23" s="5" customFormat="1">
      <c r="A3178" s="6"/>
      <c r="B3178" s="33"/>
      <c r="C3178" s="35"/>
      <c r="E3178" s="39"/>
      <c r="G3178" s="40"/>
      <c r="H3178" s="14"/>
      <c r="I3178" s="17"/>
      <c r="J3178" s="10"/>
      <c r="M3178" s="39"/>
      <c r="O3178" s="39"/>
      <c r="Q3178" s="39"/>
      <c r="R3178" s="28"/>
      <c r="S3178" s="28"/>
      <c r="T3178" s="28"/>
      <c r="U3178" s="4"/>
      <c r="V3178" s="3"/>
      <c r="W3178" s="3"/>
    </row>
    <row r="3179" spans="1:23" s="5" customFormat="1">
      <c r="A3179" s="6"/>
      <c r="B3179" s="33"/>
      <c r="C3179" s="35"/>
      <c r="E3179" s="39"/>
      <c r="G3179" s="40"/>
      <c r="H3179" s="15"/>
      <c r="I3179" s="17"/>
      <c r="J3179" s="10"/>
      <c r="M3179" s="39"/>
      <c r="O3179" s="39"/>
      <c r="Q3179" s="39"/>
      <c r="R3179" s="28"/>
      <c r="S3179" s="28"/>
      <c r="T3179" s="28"/>
      <c r="U3179" s="4"/>
      <c r="V3179" s="3"/>
      <c r="W3179" s="3"/>
    </row>
    <row r="3180" spans="1:23" s="5" customFormat="1">
      <c r="A3180" s="6"/>
      <c r="B3180" s="33"/>
      <c r="C3180" s="35"/>
      <c r="E3180" s="39"/>
      <c r="G3180" s="40"/>
      <c r="H3180" s="15"/>
      <c r="I3180" s="17"/>
      <c r="J3180" s="10"/>
      <c r="M3180" s="39"/>
      <c r="O3180" s="39"/>
      <c r="Q3180" s="39"/>
      <c r="R3180" s="28"/>
      <c r="S3180" s="28"/>
      <c r="T3180" s="28"/>
      <c r="U3180" s="4"/>
      <c r="V3180" s="3"/>
      <c r="W3180" s="3"/>
    </row>
    <row r="3181" spans="1:23" s="5" customFormat="1">
      <c r="A3181" s="6"/>
      <c r="B3181" s="33"/>
      <c r="C3181" s="35"/>
      <c r="E3181" s="39"/>
      <c r="G3181" s="40"/>
      <c r="H3181" s="15"/>
      <c r="I3181" s="17"/>
      <c r="J3181" s="10"/>
      <c r="M3181" s="39"/>
      <c r="O3181" s="39"/>
      <c r="Q3181" s="39"/>
      <c r="R3181" s="28"/>
      <c r="S3181" s="28"/>
      <c r="T3181" s="28"/>
      <c r="U3181" s="4"/>
      <c r="V3181" s="3"/>
      <c r="W3181" s="3"/>
    </row>
    <row r="3182" spans="1:23" s="5" customFormat="1">
      <c r="A3182" s="20"/>
      <c r="B3182" s="33"/>
      <c r="C3182" s="35"/>
      <c r="E3182" s="39"/>
      <c r="F3182" s="1"/>
      <c r="G3182" s="40"/>
      <c r="H3182" s="12"/>
      <c r="I3182" s="9"/>
      <c r="J3182" s="12"/>
      <c r="M3182" s="39"/>
      <c r="O3182" s="39"/>
      <c r="Q3182" s="39"/>
      <c r="R3182" s="29"/>
      <c r="S3182" s="28"/>
      <c r="T3182" s="28"/>
      <c r="U3182" s="4"/>
      <c r="V3182" s="3"/>
      <c r="W3182" s="3"/>
    </row>
    <row r="3183" spans="1:23" s="5" customFormat="1">
      <c r="A3183" s="6"/>
      <c r="B3183" s="33"/>
      <c r="C3183" s="35"/>
      <c r="E3183" s="39"/>
      <c r="G3183" s="40"/>
      <c r="H3183" s="14"/>
      <c r="I3183" s="17"/>
      <c r="J3183" s="10"/>
      <c r="M3183" s="39"/>
      <c r="O3183" s="39"/>
      <c r="Q3183" s="39"/>
      <c r="R3183" s="28"/>
      <c r="S3183" s="28"/>
      <c r="T3183" s="28"/>
      <c r="U3183" s="4"/>
      <c r="V3183" s="3"/>
      <c r="W3183" s="3"/>
    </row>
    <row r="3184" spans="1:23" s="5" customFormat="1">
      <c r="A3184" s="6"/>
      <c r="B3184" s="33"/>
      <c r="C3184" s="35"/>
      <c r="E3184" s="39"/>
      <c r="G3184" s="40"/>
      <c r="H3184" s="15"/>
      <c r="I3184" s="17"/>
      <c r="J3184" s="10"/>
      <c r="M3184" s="39"/>
      <c r="O3184" s="39"/>
      <c r="Q3184" s="39"/>
      <c r="R3184" s="28"/>
      <c r="S3184" s="28"/>
      <c r="T3184" s="28"/>
      <c r="U3184" s="4"/>
      <c r="V3184" s="3"/>
      <c r="W3184" s="3"/>
    </row>
    <row r="3185" spans="1:23" s="5" customFormat="1">
      <c r="A3185" s="6"/>
      <c r="B3185" s="33"/>
      <c r="C3185" s="35"/>
      <c r="E3185" s="39"/>
      <c r="G3185" s="40"/>
      <c r="H3185" s="15"/>
      <c r="I3185" s="17"/>
      <c r="J3185" s="10"/>
      <c r="M3185" s="39"/>
      <c r="O3185" s="39"/>
      <c r="Q3185" s="39"/>
      <c r="R3185" s="28"/>
      <c r="S3185" s="28"/>
      <c r="T3185" s="28"/>
      <c r="U3185" s="4"/>
      <c r="V3185" s="3"/>
      <c r="W3185" s="3"/>
    </row>
    <row r="3186" spans="1:23" s="5" customFormat="1">
      <c r="A3186" s="6"/>
      <c r="B3186" s="33"/>
      <c r="C3186" s="35"/>
      <c r="E3186" s="39"/>
      <c r="G3186" s="40"/>
      <c r="H3186" s="15"/>
      <c r="I3186" s="17"/>
      <c r="J3186" s="10"/>
      <c r="M3186" s="39"/>
      <c r="O3186" s="39"/>
      <c r="Q3186" s="39"/>
      <c r="R3186" s="28"/>
      <c r="S3186" s="28"/>
      <c r="T3186" s="28"/>
      <c r="U3186" s="4"/>
      <c r="V3186" s="3"/>
      <c r="W3186" s="3"/>
    </row>
    <row r="3187" spans="1:23" s="5" customFormat="1">
      <c r="A3187" s="6"/>
      <c r="B3187" s="33"/>
      <c r="C3187" s="35"/>
      <c r="E3187" s="39"/>
      <c r="G3187" s="40"/>
      <c r="H3187" s="14"/>
      <c r="I3187" s="17"/>
      <c r="J3187" s="10"/>
      <c r="M3187" s="39"/>
      <c r="O3187" s="39"/>
      <c r="Q3187" s="39"/>
      <c r="R3187" s="28"/>
      <c r="S3187" s="28"/>
      <c r="T3187" s="28"/>
      <c r="U3187" s="4"/>
      <c r="V3187" s="3"/>
      <c r="W3187" s="3"/>
    </row>
    <row r="3188" spans="1:23" s="5" customFormat="1">
      <c r="A3188" s="6"/>
      <c r="B3188" s="33"/>
      <c r="C3188" s="35"/>
      <c r="E3188" s="39"/>
      <c r="G3188" s="40"/>
      <c r="H3188" s="15"/>
      <c r="I3188" s="17"/>
      <c r="J3188" s="10"/>
      <c r="M3188" s="39"/>
      <c r="O3188" s="39"/>
      <c r="Q3188" s="39"/>
      <c r="R3188" s="28"/>
      <c r="S3188" s="28"/>
      <c r="T3188" s="28"/>
      <c r="U3188" s="4"/>
      <c r="V3188" s="3"/>
      <c r="W3188" s="3"/>
    </row>
    <row r="3189" spans="1:23" s="5" customFormat="1">
      <c r="A3189" s="6"/>
      <c r="B3189" s="33"/>
      <c r="C3189" s="35"/>
      <c r="E3189" s="39"/>
      <c r="G3189" s="40"/>
      <c r="H3189" s="14"/>
      <c r="I3189" s="17"/>
      <c r="J3189" s="10"/>
      <c r="M3189" s="39"/>
      <c r="O3189" s="39"/>
      <c r="Q3189" s="39"/>
      <c r="R3189" s="28"/>
      <c r="S3189" s="28"/>
      <c r="T3189" s="28"/>
      <c r="U3189" s="4"/>
      <c r="V3189" s="3"/>
      <c r="W3189" s="3"/>
    </row>
    <row r="3190" spans="1:23" s="5" customFormat="1">
      <c r="A3190" s="6"/>
      <c r="B3190" s="33"/>
      <c r="C3190" s="35"/>
      <c r="E3190" s="39"/>
      <c r="G3190" s="40"/>
      <c r="H3190" s="14"/>
      <c r="I3190" s="17"/>
      <c r="J3190" s="10"/>
      <c r="M3190" s="39"/>
      <c r="O3190" s="39"/>
      <c r="Q3190" s="39"/>
      <c r="R3190" s="28"/>
      <c r="S3190" s="29"/>
      <c r="T3190" s="28"/>
      <c r="U3190" s="4"/>
      <c r="V3190" s="3"/>
      <c r="W3190" s="3"/>
    </row>
    <row r="3191" spans="1:23" s="5" customFormat="1">
      <c r="A3191" s="6"/>
      <c r="B3191" s="33"/>
      <c r="C3191" s="35"/>
      <c r="E3191" s="39"/>
      <c r="G3191" s="40"/>
      <c r="H3191" s="14"/>
      <c r="I3191" s="17"/>
      <c r="J3191" s="10"/>
      <c r="M3191" s="39"/>
      <c r="O3191" s="39"/>
      <c r="Q3191" s="39"/>
      <c r="R3191" s="28"/>
      <c r="S3191" s="28"/>
      <c r="T3191" s="28"/>
      <c r="U3191" s="4"/>
      <c r="V3191" s="3"/>
      <c r="W3191" s="3"/>
    </row>
    <row r="3192" spans="1:23" s="5" customFormat="1">
      <c r="A3192" s="20"/>
      <c r="B3192" s="33"/>
      <c r="C3192" s="35"/>
      <c r="D3192" s="1"/>
      <c r="E3192" s="39"/>
      <c r="F3192" s="1"/>
      <c r="G3192" s="40"/>
      <c r="H3192" s="12"/>
      <c r="I3192" s="17"/>
      <c r="J3192" s="11"/>
      <c r="L3192" s="1"/>
      <c r="M3192" s="39"/>
      <c r="N3192" s="1"/>
      <c r="O3192" s="39"/>
      <c r="P3192" s="1"/>
      <c r="Q3192" s="39"/>
      <c r="R3192" s="28"/>
      <c r="S3192" s="28"/>
      <c r="T3192" s="28"/>
      <c r="U3192" s="4"/>
      <c r="V3192" s="3"/>
      <c r="W3192" s="3"/>
    </row>
    <row r="3193" spans="1:23" s="5" customFormat="1">
      <c r="A3193" s="6"/>
      <c r="B3193" s="33"/>
      <c r="C3193" s="35"/>
      <c r="E3193" s="39"/>
      <c r="G3193" s="40"/>
      <c r="H3193" s="14"/>
      <c r="I3193" s="17"/>
      <c r="J3193" s="10"/>
      <c r="M3193" s="39"/>
      <c r="O3193" s="39"/>
      <c r="Q3193" s="39"/>
      <c r="R3193" s="28"/>
      <c r="S3193" s="28"/>
      <c r="T3193" s="28"/>
      <c r="U3193" s="4"/>
      <c r="V3193" s="3"/>
      <c r="W3193" s="3"/>
    </row>
    <row r="3194" spans="1:23" s="5" customFormat="1">
      <c r="A3194" s="6"/>
      <c r="B3194" s="33"/>
      <c r="C3194" s="35"/>
      <c r="E3194" s="39"/>
      <c r="G3194" s="40"/>
      <c r="H3194" s="14"/>
      <c r="I3194" s="17"/>
      <c r="J3194" s="10"/>
      <c r="M3194" s="39"/>
      <c r="O3194" s="39"/>
      <c r="Q3194" s="39"/>
      <c r="R3194" s="28"/>
      <c r="S3194" s="28"/>
      <c r="T3194" s="28"/>
      <c r="U3194" s="4"/>
      <c r="V3194" s="3"/>
      <c r="W3194" s="3"/>
    </row>
    <row r="3195" spans="1:23" s="5" customFormat="1">
      <c r="A3195" s="6"/>
      <c r="B3195" s="33"/>
      <c r="C3195" s="35"/>
      <c r="E3195" s="39"/>
      <c r="G3195" s="40"/>
      <c r="H3195" s="15"/>
      <c r="I3195" s="17"/>
      <c r="J3195" s="10"/>
      <c r="M3195" s="39"/>
      <c r="O3195" s="39"/>
      <c r="Q3195" s="39"/>
      <c r="R3195" s="28"/>
      <c r="S3195" s="28"/>
      <c r="T3195" s="28"/>
      <c r="U3195" s="4"/>
      <c r="V3195" s="3"/>
      <c r="W3195" s="3"/>
    </row>
    <row r="3196" spans="1:23" s="5" customFormat="1">
      <c r="A3196" s="6"/>
      <c r="B3196" s="33"/>
      <c r="C3196" s="35"/>
      <c r="E3196" s="39"/>
      <c r="G3196" s="40"/>
      <c r="H3196" s="15"/>
      <c r="I3196" s="17"/>
      <c r="J3196" s="10"/>
      <c r="M3196" s="39"/>
      <c r="O3196" s="39"/>
      <c r="Q3196" s="39"/>
      <c r="R3196" s="28"/>
      <c r="S3196" s="28"/>
      <c r="T3196" s="28"/>
      <c r="U3196" s="4"/>
      <c r="V3196" s="3"/>
      <c r="W3196" s="3"/>
    </row>
    <row r="3197" spans="1:23" s="5" customFormat="1">
      <c r="A3197" s="6"/>
      <c r="B3197" s="33"/>
      <c r="C3197" s="35"/>
      <c r="E3197" s="39"/>
      <c r="G3197" s="40"/>
      <c r="H3197" s="14"/>
      <c r="I3197" s="17"/>
      <c r="J3197" s="10"/>
      <c r="M3197" s="39"/>
      <c r="O3197" s="39"/>
      <c r="Q3197" s="39"/>
      <c r="R3197" s="28"/>
      <c r="S3197" s="28"/>
      <c r="T3197" s="28"/>
      <c r="U3197" s="4"/>
      <c r="V3197" s="3"/>
      <c r="W3197" s="3"/>
    </row>
    <row r="3198" spans="1:23" s="5" customFormat="1">
      <c r="A3198" s="6"/>
      <c r="B3198" s="33"/>
      <c r="C3198" s="35"/>
      <c r="E3198" s="39"/>
      <c r="G3198" s="40"/>
      <c r="H3198" s="15"/>
      <c r="I3198" s="17"/>
      <c r="J3198" s="10"/>
      <c r="M3198" s="39"/>
      <c r="O3198" s="39"/>
      <c r="Q3198" s="39"/>
      <c r="R3198" s="28"/>
      <c r="S3198" s="28"/>
      <c r="T3198" s="28"/>
      <c r="U3198" s="4"/>
      <c r="V3198" s="3"/>
      <c r="W3198" s="3"/>
    </row>
    <row r="3199" spans="1:23" s="5" customFormat="1">
      <c r="A3199" s="6"/>
      <c r="B3199" s="33"/>
      <c r="C3199" s="35"/>
      <c r="E3199" s="39"/>
      <c r="G3199" s="40"/>
      <c r="H3199" s="15"/>
      <c r="I3199" s="17"/>
      <c r="J3199" s="10"/>
      <c r="M3199" s="39"/>
      <c r="O3199" s="39"/>
      <c r="Q3199" s="39"/>
      <c r="R3199" s="28"/>
      <c r="S3199" s="28"/>
      <c r="T3199" s="28"/>
      <c r="U3199" s="4"/>
      <c r="V3199" s="3"/>
      <c r="W3199" s="3"/>
    </row>
    <row r="3200" spans="1:23" s="5" customFormat="1">
      <c r="A3200" s="6"/>
      <c r="B3200" s="33"/>
      <c r="C3200" s="35"/>
      <c r="E3200" s="39"/>
      <c r="G3200" s="40"/>
      <c r="H3200" s="14"/>
      <c r="I3200" s="17"/>
      <c r="J3200" s="10"/>
      <c r="M3200" s="39"/>
      <c r="O3200" s="39"/>
      <c r="Q3200" s="39"/>
      <c r="R3200" s="28"/>
      <c r="S3200" s="28"/>
      <c r="T3200" s="28"/>
      <c r="U3200" s="4"/>
      <c r="V3200" s="3"/>
      <c r="W3200" s="3"/>
    </row>
    <row r="3201" spans="1:23" s="5" customFormat="1">
      <c r="A3201" s="6"/>
      <c r="B3201" s="33"/>
      <c r="C3201" s="35"/>
      <c r="E3201" s="39"/>
      <c r="G3201" s="40"/>
      <c r="H3201" s="15"/>
      <c r="I3201" s="17"/>
      <c r="J3201" s="10"/>
      <c r="M3201" s="39"/>
      <c r="O3201" s="39"/>
      <c r="Q3201" s="39"/>
      <c r="R3201" s="28"/>
      <c r="S3201" s="28"/>
      <c r="T3201" s="28"/>
      <c r="U3201" s="4"/>
      <c r="V3201" s="3"/>
      <c r="W3201" s="3"/>
    </row>
    <row r="3202" spans="1:23" s="5" customFormat="1">
      <c r="A3202" s="6"/>
      <c r="B3202" s="33"/>
      <c r="C3202" s="35"/>
      <c r="E3202" s="39"/>
      <c r="G3202" s="40"/>
      <c r="H3202" s="14"/>
      <c r="I3202" s="17"/>
      <c r="J3202" s="10"/>
      <c r="M3202" s="39"/>
      <c r="O3202" s="39"/>
      <c r="Q3202" s="39"/>
      <c r="R3202" s="28"/>
      <c r="S3202" s="28"/>
      <c r="T3202" s="28"/>
      <c r="U3202" s="4"/>
      <c r="V3202" s="3"/>
      <c r="W3202" s="3"/>
    </row>
    <row r="3203" spans="1:23" s="5" customFormat="1">
      <c r="A3203" s="6"/>
      <c r="B3203" s="33"/>
      <c r="C3203" s="35"/>
      <c r="E3203" s="39"/>
      <c r="G3203" s="40"/>
      <c r="H3203" s="14"/>
      <c r="I3203" s="17"/>
      <c r="J3203" s="10"/>
      <c r="M3203" s="39"/>
      <c r="O3203" s="39"/>
      <c r="Q3203" s="39"/>
      <c r="R3203" s="28"/>
      <c r="S3203" s="28"/>
      <c r="T3203" s="28"/>
      <c r="U3203" s="4"/>
      <c r="V3203" s="3"/>
      <c r="W3203" s="3"/>
    </row>
    <row r="3204" spans="1:23" s="5" customFormat="1">
      <c r="A3204" s="6"/>
      <c r="B3204" s="33"/>
      <c r="C3204" s="35"/>
      <c r="E3204" s="39"/>
      <c r="G3204" s="40"/>
      <c r="H3204" s="14"/>
      <c r="I3204" s="17"/>
      <c r="J3204" s="10"/>
      <c r="M3204" s="39"/>
      <c r="O3204" s="39"/>
      <c r="Q3204" s="39"/>
      <c r="R3204" s="28"/>
      <c r="S3204" s="28"/>
      <c r="T3204" s="28"/>
      <c r="U3204" s="4"/>
      <c r="V3204" s="3"/>
      <c r="W3204" s="3"/>
    </row>
    <row r="3205" spans="1:23" s="5" customFormat="1">
      <c r="A3205" s="6"/>
      <c r="B3205" s="33"/>
      <c r="C3205" s="35"/>
      <c r="E3205" s="39"/>
      <c r="G3205" s="40"/>
      <c r="H3205" s="15"/>
      <c r="I3205" s="17"/>
      <c r="J3205" s="10"/>
      <c r="M3205" s="39"/>
      <c r="O3205" s="39"/>
      <c r="Q3205" s="39"/>
      <c r="R3205" s="28"/>
      <c r="S3205" s="28"/>
      <c r="T3205" s="28"/>
      <c r="U3205" s="4"/>
      <c r="V3205" s="3"/>
      <c r="W3205" s="3"/>
    </row>
    <row r="3206" spans="1:23" s="5" customFormat="1">
      <c r="A3206" s="6"/>
      <c r="B3206" s="33"/>
      <c r="C3206" s="35"/>
      <c r="E3206" s="39"/>
      <c r="G3206" s="40"/>
      <c r="H3206" s="14"/>
      <c r="I3206" s="17"/>
      <c r="J3206" s="10"/>
      <c r="M3206" s="39"/>
      <c r="O3206" s="39"/>
      <c r="Q3206" s="39"/>
      <c r="R3206" s="28"/>
      <c r="S3206" s="28"/>
      <c r="T3206" s="28"/>
      <c r="U3206" s="4"/>
      <c r="V3206" s="3"/>
      <c r="W3206" s="3"/>
    </row>
    <row r="3207" spans="1:23" s="5" customFormat="1">
      <c r="A3207" s="6"/>
      <c r="B3207" s="33"/>
      <c r="C3207" s="35"/>
      <c r="E3207" s="39"/>
      <c r="G3207" s="40"/>
      <c r="H3207" s="14"/>
      <c r="I3207" s="17"/>
      <c r="J3207" s="10"/>
      <c r="M3207" s="39"/>
      <c r="O3207" s="39"/>
      <c r="Q3207" s="39"/>
      <c r="R3207" s="28"/>
      <c r="S3207" s="28"/>
      <c r="T3207" s="28"/>
      <c r="U3207" s="4"/>
      <c r="V3207" s="3"/>
      <c r="W3207" s="3"/>
    </row>
    <row r="3208" spans="1:23" s="5" customFormat="1">
      <c r="A3208" s="6"/>
      <c r="B3208" s="33"/>
      <c r="C3208" s="35"/>
      <c r="E3208" s="39"/>
      <c r="G3208" s="40"/>
      <c r="H3208" s="15"/>
      <c r="I3208" s="17"/>
      <c r="J3208" s="10"/>
      <c r="M3208" s="39"/>
      <c r="O3208" s="39"/>
      <c r="Q3208" s="39"/>
      <c r="R3208" s="28"/>
      <c r="S3208" s="28"/>
      <c r="T3208" s="28"/>
      <c r="U3208" s="4"/>
      <c r="V3208" s="3"/>
      <c r="W3208" s="3"/>
    </row>
    <row r="3209" spans="1:23" s="5" customFormat="1">
      <c r="A3209" s="6"/>
      <c r="B3209" s="33"/>
      <c r="C3209" s="35"/>
      <c r="E3209" s="39"/>
      <c r="G3209" s="40"/>
      <c r="H3209" s="15"/>
      <c r="I3209" s="17"/>
      <c r="J3209" s="10"/>
      <c r="M3209" s="39"/>
      <c r="O3209" s="39"/>
      <c r="Q3209" s="39"/>
      <c r="R3209" s="28"/>
      <c r="S3209" s="28"/>
      <c r="T3209" s="28"/>
      <c r="U3209" s="4"/>
      <c r="V3209" s="3"/>
      <c r="W3209" s="3"/>
    </row>
    <row r="3210" spans="1:23" s="5" customFormat="1">
      <c r="A3210" s="6"/>
      <c r="B3210" s="33"/>
      <c r="C3210" s="35"/>
      <c r="E3210" s="39"/>
      <c r="G3210" s="40"/>
      <c r="H3210" s="15"/>
      <c r="I3210" s="17"/>
      <c r="J3210" s="10"/>
      <c r="M3210" s="39"/>
      <c r="O3210" s="39"/>
      <c r="Q3210" s="39"/>
      <c r="R3210" s="28"/>
      <c r="S3210" s="28"/>
      <c r="T3210" s="28"/>
      <c r="U3210" s="4"/>
      <c r="V3210" s="3"/>
      <c r="W3210" s="3"/>
    </row>
    <row r="3211" spans="1:23" s="5" customFormat="1">
      <c r="A3211" s="6"/>
      <c r="B3211" s="33"/>
      <c r="C3211" s="35"/>
      <c r="E3211" s="39"/>
      <c r="G3211" s="40"/>
      <c r="H3211" s="15"/>
      <c r="I3211" s="17"/>
      <c r="J3211" s="10"/>
      <c r="M3211" s="39"/>
      <c r="O3211" s="39"/>
      <c r="Q3211" s="39"/>
      <c r="R3211" s="28"/>
      <c r="S3211" s="28"/>
      <c r="T3211" s="28"/>
      <c r="U3211" s="4"/>
      <c r="V3211" s="3"/>
      <c r="W3211" s="3"/>
    </row>
    <row r="3212" spans="1:23" s="5" customFormat="1">
      <c r="A3212" s="6"/>
      <c r="B3212" s="33"/>
      <c r="C3212" s="35"/>
      <c r="E3212" s="39"/>
      <c r="G3212" s="40"/>
      <c r="H3212" s="15"/>
      <c r="I3212" s="17"/>
      <c r="J3212" s="10"/>
      <c r="M3212" s="39"/>
      <c r="O3212" s="39"/>
      <c r="Q3212" s="39"/>
      <c r="R3212" s="28"/>
      <c r="S3212" s="28"/>
      <c r="T3212" s="28"/>
      <c r="U3212" s="4"/>
      <c r="V3212" s="3"/>
      <c r="W3212" s="3"/>
    </row>
    <row r="3213" spans="1:23" s="5" customFormat="1">
      <c r="A3213" s="6"/>
      <c r="B3213" s="33"/>
      <c r="C3213" s="35"/>
      <c r="E3213" s="39"/>
      <c r="G3213" s="40"/>
      <c r="H3213" s="15"/>
      <c r="I3213" s="17"/>
      <c r="J3213" s="10"/>
      <c r="M3213" s="39"/>
      <c r="O3213" s="39"/>
      <c r="Q3213" s="39"/>
      <c r="R3213" s="28"/>
      <c r="S3213" s="28"/>
      <c r="T3213" s="28"/>
      <c r="U3213" s="4"/>
      <c r="V3213" s="3"/>
      <c r="W3213" s="3"/>
    </row>
    <row r="3214" spans="1:23" s="5" customFormat="1">
      <c r="A3214" s="6"/>
      <c r="B3214" s="33"/>
      <c r="C3214" s="35"/>
      <c r="E3214" s="39"/>
      <c r="G3214" s="40"/>
      <c r="H3214" s="15"/>
      <c r="I3214" s="17"/>
      <c r="J3214" s="10"/>
      <c r="M3214" s="39"/>
      <c r="O3214" s="39"/>
      <c r="Q3214" s="39"/>
      <c r="R3214" s="28"/>
      <c r="S3214" s="28"/>
      <c r="T3214" s="28"/>
      <c r="U3214" s="4"/>
      <c r="V3214" s="3"/>
      <c r="W3214" s="3"/>
    </row>
    <row r="3215" spans="1:23" s="5" customFormat="1">
      <c r="A3215" s="6"/>
      <c r="B3215" s="33"/>
      <c r="C3215" s="35"/>
      <c r="E3215" s="39"/>
      <c r="G3215" s="40"/>
      <c r="H3215" s="15"/>
      <c r="I3215" s="17"/>
      <c r="J3215" s="10"/>
      <c r="M3215" s="39"/>
      <c r="O3215" s="39"/>
      <c r="Q3215" s="39"/>
      <c r="R3215" s="28"/>
      <c r="S3215" s="28"/>
      <c r="T3215" s="28"/>
      <c r="U3215" s="4"/>
      <c r="V3215" s="3"/>
      <c r="W3215" s="3"/>
    </row>
    <row r="3216" spans="1:23" s="5" customFormat="1">
      <c r="A3216" s="6"/>
      <c r="B3216" s="33"/>
      <c r="C3216" s="35"/>
      <c r="E3216" s="39"/>
      <c r="G3216" s="40"/>
      <c r="H3216" s="15"/>
      <c r="I3216" s="17"/>
      <c r="J3216" s="10"/>
      <c r="M3216" s="39"/>
      <c r="O3216" s="39"/>
      <c r="Q3216" s="39"/>
      <c r="R3216" s="28"/>
      <c r="S3216" s="28"/>
      <c r="T3216" s="28"/>
      <c r="U3216" s="4"/>
      <c r="V3216" s="3"/>
      <c r="W3216" s="3"/>
    </row>
    <row r="3217" spans="1:23" s="5" customFormat="1">
      <c r="A3217" s="6"/>
      <c r="B3217" s="33"/>
      <c r="C3217" s="35"/>
      <c r="E3217" s="39"/>
      <c r="G3217" s="40"/>
      <c r="H3217" s="15"/>
      <c r="I3217" s="17"/>
      <c r="J3217" s="10"/>
      <c r="M3217" s="39"/>
      <c r="O3217" s="39"/>
      <c r="Q3217" s="39"/>
      <c r="R3217" s="28"/>
      <c r="S3217" s="28"/>
      <c r="T3217" s="28"/>
      <c r="U3217" s="4"/>
      <c r="V3217" s="3"/>
      <c r="W3217" s="3"/>
    </row>
    <row r="3218" spans="1:23" s="5" customFormat="1">
      <c r="A3218" s="6"/>
      <c r="B3218" s="33"/>
      <c r="C3218" s="35"/>
      <c r="E3218" s="39"/>
      <c r="G3218" s="40"/>
      <c r="H3218" s="15"/>
      <c r="I3218" s="17"/>
      <c r="J3218" s="10"/>
      <c r="M3218" s="39"/>
      <c r="O3218" s="39"/>
      <c r="Q3218" s="39"/>
      <c r="R3218" s="28"/>
      <c r="S3218" s="28"/>
      <c r="T3218" s="28"/>
      <c r="U3218" s="4"/>
      <c r="V3218" s="3"/>
      <c r="W3218" s="3"/>
    </row>
    <row r="3219" spans="1:23" s="5" customFormat="1">
      <c r="A3219" s="6"/>
      <c r="B3219" s="33"/>
      <c r="C3219" s="35"/>
      <c r="E3219" s="39"/>
      <c r="G3219" s="40"/>
      <c r="H3219" s="15"/>
      <c r="I3219" s="17"/>
      <c r="J3219" s="10"/>
      <c r="M3219" s="39"/>
      <c r="O3219" s="39"/>
      <c r="Q3219" s="39"/>
      <c r="R3219" s="28"/>
      <c r="S3219" s="28"/>
      <c r="T3219" s="28"/>
      <c r="U3219" s="4"/>
      <c r="V3219" s="3"/>
      <c r="W3219" s="3"/>
    </row>
    <row r="3220" spans="1:23" s="5" customFormat="1">
      <c r="A3220" s="6"/>
      <c r="B3220" s="33"/>
      <c r="C3220" s="35"/>
      <c r="E3220" s="39"/>
      <c r="G3220" s="40"/>
      <c r="H3220" s="15"/>
      <c r="I3220" s="17"/>
      <c r="J3220" s="10"/>
      <c r="M3220" s="39"/>
      <c r="O3220" s="39"/>
      <c r="Q3220" s="39"/>
      <c r="R3220" s="28"/>
      <c r="S3220" s="28"/>
      <c r="T3220" s="28"/>
      <c r="U3220" s="4"/>
      <c r="V3220" s="3"/>
      <c r="W3220" s="3"/>
    </row>
    <row r="3221" spans="1:23" s="5" customFormat="1">
      <c r="A3221" s="6"/>
      <c r="B3221" s="33"/>
      <c r="C3221" s="35"/>
      <c r="E3221" s="39"/>
      <c r="G3221" s="40"/>
      <c r="H3221" s="15"/>
      <c r="I3221" s="17"/>
      <c r="J3221" s="10"/>
      <c r="M3221" s="39"/>
      <c r="O3221" s="39"/>
      <c r="Q3221" s="39"/>
      <c r="R3221" s="28"/>
      <c r="S3221" s="28"/>
      <c r="T3221" s="28"/>
      <c r="U3221" s="4"/>
      <c r="V3221" s="3"/>
      <c r="W3221" s="3"/>
    </row>
    <row r="3222" spans="1:23" s="5" customFormat="1">
      <c r="A3222" s="6"/>
      <c r="B3222" s="33"/>
      <c r="C3222" s="35"/>
      <c r="E3222" s="39"/>
      <c r="G3222" s="40"/>
      <c r="H3222" s="15"/>
      <c r="I3222" s="17"/>
      <c r="J3222" s="10"/>
      <c r="M3222" s="39"/>
      <c r="O3222" s="39"/>
      <c r="Q3222" s="39"/>
      <c r="R3222" s="28"/>
      <c r="S3222" s="28"/>
      <c r="T3222" s="28"/>
      <c r="U3222" s="4"/>
      <c r="V3222" s="3"/>
      <c r="W3222" s="3"/>
    </row>
    <row r="3223" spans="1:23" s="5" customFormat="1">
      <c r="A3223" s="6"/>
      <c r="B3223" s="33"/>
      <c r="C3223" s="35"/>
      <c r="E3223" s="39"/>
      <c r="G3223" s="40"/>
      <c r="H3223" s="14"/>
      <c r="I3223" s="17"/>
      <c r="J3223" s="10"/>
      <c r="M3223" s="39"/>
      <c r="O3223" s="39"/>
      <c r="Q3223" s="39"/>
      <c r="R3223" s="28"/>
      <c r="S3223" s="28"/>
      <c r="T3223" s="28"/>
      <c r="U3223" s="4"/>
      <c r="V3223" s="3"/>
      <c r="W3223" s="3"/>
    </row>
    <row r="3224" spans="1:23" s="5" customFormat="1">
      <c r="A3224" s="6"/>
      <c r="B3224" s="33"/>
      <c r="C3224" s="35"/>
      <c r="E3224" s="39"/>
      <c r="G3224" s="40"/>
      <c r="H3224" s="15"/>
      <c r="I3224" s="17"/>
      <c r="J3224" s="10"/>
      <c r="M3224" s="39"/>
      <c r="O3224" s="39"/>
      <c r="Q3224" s="39"/>
      <c r="R3224" s="28"/>
      <c r="S3224" s="28"/>
      <c r="T3224" s="28"/>
      <c r="U3224" s="4"/>
      <c r="V3224" s="3"/>
      <c r="W3224" s="3"/>
    </row>
    <row r="3225" spans="1:23" s="5" customFormat="1">
      <c r="A3225" s="6"/>
      <c r="B3225" s="33"/>
      <c r="C3225" s="35"/>
      <c r="E3225" s="39"/>
      <c r="G3225" s="40"/>
      <c r="H3225" s="15"/>
      <c r="I3225" s="17"/>
      <c r="J3225" s="10"/>
      <c r="M3225" s="39"/>
      <c r="O3225" s="39"/>
      <c r="Q3225" s="39"/>
      <c r="R3225" s="28"/>
      <c r="S3225" s="28"/>
      <c r="T3225" s="28"/>
      <c r="U3225" s="4"/>
      <c r="V3225" s="3"/>
      <c r="W3225" s="3"/>
    </row>
    <row r="3226" spans="1:23" s="5" customFormat="1">
      <c r="A3226" s="6"/>
      <c r="B3226" s="33"/>
      <c r="C3226" s="35"/>
      <c r="E3226" s="39"/>
      <c r="G3226" s="40"/>
      <c r="H3226" s="14"/>
      <c r="I3226" s="17"/>
      <c r="J3226" s="10"/>
      <c r="M3226" s="39"/>
      <c r="O3226" s="39"/>
      <c r="Q3226" s="39"/>
      <c r="R3226" s="28"/>
      <c r="S3226" s="28"/>
      <c r="T3226" s="28"/>
      <c r="U3226" s="4"/>
      <c r="V3226" s="3"/>
      <c r="W3226" s="3"/>
    </row>
    <row r="3227" spans="1:23" s="5" customFormat="1">
      <c r="A3227" s="6"/>
      <c r="B3227" s="33"/>
      <c r="C3227" s="35"/>
      <c r="E3227" s="39"/>
      <c r="G3227" s="40"/>
      <c r="H3227" s="14"/>
      <c r="I3227" s="17"/>
      <c r="J3227" s="10"/>
      <c r="M3227" s="39"/>
      <c r="O3227" s="39"/>
      <c r="Q3227" s="39"/>
      <c r="R3227" s="28"/>
      <c r="S3227" s="28"/>
      <c r="T3227" s="28"/>
      <c r="U3227" s="4"/>
      <c r="V3227" s="3"/>
      <c r="W3227" s="3"/>
    </row>
    <row r="3228" spans="1:23" s="5" customFormat="1">
      <c r="A3228" s="6"/>
      <c r="B3228" s="33"/>
      <c r="C3228" s="35"/>
      <c r="E3228" s="39"/>
      <c r="G3228" s="40"/>
      <c r="H3228" s="15"/>
      <c r="I3228" s="17"/>
      <c r="J3228" s="10"/>
      <c r="M3228" s="39"/>
      <c r="O3228" s="39"/>
      <c r="Q3228" s="39"/>
      <c r="R3228" s="28"/>
      <c r="S3228" s="28"/>
      <c r="T3228" s="28"/>
      <c r="U3228" s="4"/>
      <c r="V3228" s="3"/>
      <c r="W3228" s="3"/>
    </row>
    <row r="3229" spans="1:23" s="5" customFormat="1">
      <c r="A3229" s="6"/>
      <c r="B3229" s="33"/>
      <c r="C3229" s="35"/>
      <c r="E3229" s="39"/>
      <c r="G3229" s="40"/>
      <c r="H3229" s="14"/>
      <c r="I3229" s="17"/>
      <c r="J3229" s="10"/>
      <c r="M3229" s="39"/>
      <c r="O3229" s="39"/>
      <c r="Q3229" s="39"/>
      <c r="R3229" s="28"/>
      <c r="S3229" s="28"/>
      <c r="T3229" s="28"/>
      <c r="U3229" s="4"/>
      <c r="V3229" s="3"/>
      <c r="W3229" s="3"/>
    </row>
    <row r="3230" spans="1:23" s="5" customFormat="1">
      <c r="A3230" s="6"/>
      <c r="B3230" s="33"/>
      <c r="C3230" s="35"/>
      <c r="E3230" s="39"/>
      <c r="G3230" s="40"/>
      <c r="H3230" s="15"/>
      <c r="I3230" s="17"/>
      <c r="J3230" s="10"/>
      <c r="M3230" s="39"/>
      <c r="O3230" s="39"/>
      <c r="Q3230" s="39"/>
      <c r="R3230" s="28"/>
      <c r="S3230" s="28"/>
      <c r="T3230" s="28"/>
      <c r="U3230" s="4"/>
      <c r="V3230" s="3"/>
      <c r="W3230" s="3"/>
    </row>
    <row r="3231" spans="1:23" s="5" customFormat="1">
      <c r="A3231" s="6"/>
      <c r="B3231" s="33"/>
      <c r="C3231" s="35"/>
      <c r="E3231" s="39"/>
      <c r="G3231" s="40"/>
      <c r="H3231" s="15"/>
      <c r="I3231" s="17"/>
      <c r="J3231" s="10"/>
      <c r="M3231" s="39"/>
      <c r="O3231" s="39"/>
      <c r="Q3231" s="39"/>
      <c r="R3231" s="28"/>
      <c r="S3231" s="28"/>
      <c r="T3231" s="28"/>
      <c r="U3231" s="4"/>
      <c r="V3231" s="3"/>
      <c r="W3231" s="3"/>
    </row>
    <row r="3232" spans="1:23" s="5" customFormat="1">
      <c r="A3232" s="6"/>
      <c r="B3232" s="33"/>
      <c r="C3232" s="35"/>
      <c r="E3232" s="39"/>
      <c r="G3232" s="40"/>
      <c r="H3232" s="15"/>
      <c r="I3232" s="17"/>
      <c r="J3232" s="10"/>
      <c r="M3232" s="39"/>
      <c r="O3232" s="39"/>
      <c r="Q3232" s="39"/>
      <c r="R3232" s="28"/>
      <c r="S3232" s="28"/>
      <c r="T3232" s="28"/>
      <c r="U3232" s="4"/>
      <c r="V3232" s="3"/>
      <c r="W3232" s="3"/>
    </row>
    <row r="3233" spans="1:23" s="5" customFormat="1">
      <c r="A3233" s="6"/>
      <c r="B3233" s="33"/>
      <c r="C3233" s="35"/>
      <c r="E3233" s="39"/>
      <c r="G3233" s="40"/>
      <c r="H3233" s="14"/>
      <c r="I3233" s="17"/>
      <c r="J3233" s="10"/>
      <c r="M3233" s="39"/>
      <c r="O3233" s="39"/>
      <c r="Q3233" s="39"/>
      <c r="R3233" s="28"/>
      <c r="S3233" s="28"/>
      <c r="T3233" s="28"/>
      <c r="U3233" s="4"/>
      <c r="V3233" s="3"/>
      <c r="W3233" s="3"/>
    </row>
    <row r="3234" spans="1:23" s="5" customFormat="1">
      <c r="A3234" s="6"/>
      <c r="B3234" s="33"/>
      <c r="C3234" s="35"/>
      <c r="E3234" s="39"/>
      <c r="G3234" s="40"/>
      <c r="H3234" s="15"/>
      <c r="I3234" s="17"/>
      <c r="J3234" s="10"/>
      <c r="M3234" s="39"/>
      <c r="O3234" s="39"/>
      <c r="Q3234" s="39"/>
      <c r="R3234" s="28"/>
      <c r="S3234" s="28"/>
      <c r="T3234" s="28"/>
      <c r="U3234" s="4"/>
      <c r="V3234" s="3"/>
      <c r="W3234" s="3"/>
    </row>
    <row r="3235" spans="1:23" s="5" customFormat="1">
      <c r="A3235" s="6"/>
      <c r="B3235" s="33"/>
      <c r="C3235" s="35"/>
      <c r="E3235" s="39"/>
      <c r="G3235" s="40"/>
      <c r="H3235" s="14"/>
      <c r="I3235" s="17"/>
      <c r="J3235" s="10"/>
      <c r="M3235" s="39"/>
      <c r="O3235" s="39"/>
      <c r="Q3235" s="39"/>
      <c r="R3235" s="28"/>
      <c r="S3235" s="28"/>
      <c r="T3235" s="28"/>
      <c r="U3235" s="4"/>
      <c r="V3235" s="3"/>
      <c r="W3235" s="3"/>
    </row>
    <row r="3236" spans="1:23" s="5" customFormat="1">
      <c r="A3236" s="6"/>
      <c r="B3236" s="33"/>
      <c r="C3236" s="35"/>
      <c r="E3236" s="39"/>
      <c r="G3236" s="40"/>
      <c r="H3236" s="15"/>
      <c r="I3236" s="17"/>
      <c r="J3236" s="10"/>
      <c r="M3236" s="39"/>
      <c r="O3236" s="39"/>
      <c r="Q3236" s="39"/>
      <c r="R3236" s="28"/>
      <c r="S3236" s="28"/>
      <c r="T3236" s="28"/>
      <c r="U3236" s="4"/>
      <c r="V3236" s="3"/>
      <c r="W3236" s="3"/>
    </row>
    <row r="3237" spans="1:23" s="5" customFormat="1">
      <c r="A3237" s="6"/>
      <c r="B3237" s="33"/>
      <c r="C3237" s="35"/>
      <c r="E3237" s="39"/>
      <c r="G3237" s="40"/>
      <c r="H3237" s="14"/>
      <c r="I3237" s="17"/>
      <c r="J3237" s="10"/>
      <c r="M3237" s="39"/>
      <c r="O3237" s="39"/>
      <c r="Q3237" s="39"/>
      <c r="R3237" s="28"/>
      <c r="S3237" s="28"/>
      <c r="T3237" s="28"/>
      <c r="U3237" s="4"/>
      <c r="V3237" s="3"/>
      <c r="W3237" s="3"/>
    </row>
    <row r="3238" spans="1:23" s="5" customFormat="1">
      <c r="A3238" s="6"/>
      <c r="B3238" s="33"/>
      <c r="C3238" s="35"/>
      <c r="E3238" s="39"/>
      <c r="G3238" s="40"/>
      <c r="H3238" s="14"/>
      <c r="I3238" s="17"/>
      <c r="J3238" s="10"/>
      <c r="M3238" s="39"/>
      <c r="O3238" s="39"/>
      <c r="Q3238" s="39"/>
      <c r="R3238" s="28"/>
      <c r="S3238" s="28"/>
      <c r="T3238" s="28"/>
      <c r="U3238" s="4"/>
      <c r="V3238" s="3"/>
      <c r="W3238" s="3"/>
    </row>
    <row r="3239" spans="1:23" s="5" customFormat="1">
      <c r="A3239" s="6"/>
      <c r="B3239" s="33"/>
      <c r="C3239" s="35"/>
      <c r="E3239" s="39"/>
      <c r="G3239" s="40"/>
      <c r="H3239" s="15"/>
      <c r="I3239" s="17"/>
      <c r="J3239" s="10"/>
      <c r="M3239" s="39"/>
      <c r="O3239" s="39"/>
      <c r="Q3239" s="39"/>
      <c r="R3239" s="28"/>
      <c r="S3239" s="28"/>
      <c r="T3239" s="28"/>
      <c r="U3239" s="4"/>
      <c r="V3239" s="3"/>
      <c r="W3239" s="3"/>
    </row>
    <row r="3240" spans="1:23" s="5" customFormat="1">
      <c r="A3240" s="6"/>
      <c r="B3240" s="33"/>
      <c r="C3240" s="35"/>
      <c r="E3240" s="39"/>
      <c r="G3240" s="40"/>
      <c r="H3240" s="15"/>
      <c r="I3240" s="17"/>
      <c r="J3240" s="10"/>
      <c r="M3240" s="39"/>
      <c r="O3240" s="39"/>
      <c r="Q3240" s="39"/>
      <c r="R3240" s="28"/>
      <c r="S3240" s="28"/>
      <c r="T3240" s="28"/>
      <c r="U3240" s="4"/>
      <c r="V3240" s="3"/>
      <c r="W3240" s="3"/>
    </row>
    <row r="3241" spans="1:23" s="5" customFormat="1">
      <c r="A3241" s="6"/>
      <c r="B3241" s="33"/>
      <c r="C3241" s="35"/>
      <c r="E3241" s="39"/>
      <c r="G3241" s="40"/>
      <c r="H3241" s="15"/>
      <c r="I3241" s="17"/>
      <c r="J3241" s="10"/>
      <c r="M3241" s="39"/>
      <c r="O3241" s="39"/>
      <c r="Q3241" s="39"/>
      <c r="R3241" s="28"/>
      <c r="S3241" s="28"/>
      <c r="T3241" s="28"/>
      <c r="U3241" s="4"/>
      <c r="V3241" s="3"/>
      <c r="W3241" s="3"/>
    </row>
    <row r="3242" spans="1:23" s="5" customFormat="1">
      <c r="A3242" s="6"/>
      <c r="B3242" s="33"/>
      <c r="C3242" s="35"/>
      <c r="E3242" s="39"/>
      <c r="G3242" s="40"/>
      <c r="H3242" s="15"/>
      <c r="I3242" s="17"/>
      <c r="J3242" s="10"/>
      <c r="M3242" s="39"/>
      <c r="O3242" s="39"/>
      <c r="Q3242" s="39"/>
      <c r="R3242" s="28"/>
      <c r="S3242" s="28"/>
      <c r="T3242" s="28"/>
      <c r="U3242" s="4"/>
      <c r="V3242" s="3"/>
      <c r="W3242" s="3"/>
    </row>
    <row r="3243" spans="1:23" s="5" customFormat="1">
      <c r="A3243" s="6"/>
      <c r="B3243" s="33"/>
      <c r="C3243" s="35"/>
      <c r="E3243" s="39"/>
      <c r="G3243" s="40"/>
      <c r="H3243" s="14"/>
      <c r="I3243" s="17"/>
      <c r="J3243" s="10"/>
      <c r="M3243" s="39"/>
      <c r="O3243" s="39"/>
      <c r="Q3243" s="39"/>
      <c r="R3243" s="28"/>
      <c r="S3243" s="28"/>
      <c r="T3243" s="28"/>
      <c r="U3243" s="4"/>
      <c r="V3243" s="3"/>
      <c r="W3243" s="3"/>
    </row>
    <row r="3244" spans="1:23" s="5" customFormat="1">
      <c r="A3244" s="6"/>
      <c r="B3244" s="33"/>
      <c r="C3244" s="35"/>
      <c r="E3244" s="39"/>
      <c r="G3244" s="40"/>
      <c r="H3244" s="14"/>
      <c r="I3244" s="17"/>
      <c r="J3244" s="10"/>
      <c r="M3244" s="39"/>
      <c r="O3244" s="39"/>
      <c r="Q3244" s="39"/>
      <c r="R3244" s="28"/>
      <c r="S3244" s="28"/>
      <c r="T3244" s="28"/>
      <c r="U3244" s="4"/>
      <c r="V3244" s="3"/>
      <c r="W3244" s="3"/>
    </row>
    <row r="3245" spans="1:23" s="5" customFormat="1">
      <c r="A3245" s="6"/>
      <c r="B3245" s="33"/>
      <c r="C3245" s="35"/>
      <c r="E3245" s="39"/>
      <c r="G3245" s="40"/>
      <c r="H3245" s="14"/>
      <c r="I3245" s="17"/>
      <c r="J3245" s="10"/>
      <c r="M3245" s="39"/>
      <c r="O3245" s="39"/>
      <c r="Q3245" s="39"/>
      <c r="R3245" s="28"/>
      <c r="S3245" s="28"/>
      <c r="T3245" s="28"/>
      <c r="U3245" s="4"/>
      <c r="V3245" s="3"/>
      <c r="W3245" s="3"/>
    </row>
    <row r="3246" spans="1:23" s="5" customFormat="1">
      <c r="A3246" s="6"/>
      <c r="B3246" s="33"/>
      <c r="C3246" s="35"/>
      <c r="E3246" s="39"/>
      <c r="G3246" s="40"/>
      <c r="H3246" s="15"/>
      <c r="I3246" s="17"/>
      <c r="J3246" s="10"/>
      <c r="M3246" s="39"/>
      <c r="O3246" s="39"/>
      <c r="Q3246" s="39"/>
      <c r="R3246" s="28"/>
      <c r="S3246" s="28"/>
      <c r="T3246" s="28"/>
      <c r="U3246" s="4"/>
      <c r="V3246" s="3"/>
      <c r="W3246" s="3"/>
    </row>
    <row r="3247" spans="1:23" s="5" customFormat="1">
      <c r="A3247" s="6"/>
      <c r="B3247" s="33"/>
      <c r="C3247" s="35"/>
      <c r="E3247" s="39"/>
      <c r="G3247" s="40"/>
      <c r="H3247" s="15"/>
      <c r="I3247" s="17"/>
      <c r="J3247" s="10"/>
      <c r="M3247" s="39"/>
      <c r="O3247" s="39"/>
      <c r="Q3247" s="39"/>
      <c r="R3247" s="28"/>
      <c r="S3247" s="28"/>
      <c r="T3247" s="28"/>
      <c r="U3247" s="4"/>
      <c r="V3247" s="3"/>
      <c r="W3247" s="3"/>
    </row>
    <row r="3248" spans="1:23" s="5" customFormat="1">
      <c r="A3248" s="6"/>
      <c r="B3248" s="33"/>
      <c r="C3248" s="35"/>
      <c r="E3248" s="39"/>
      <c r="G3248" s="40"/>
      <c r="H3248" s="15"/>
      <c r="I3248" s="17"/>
      <c r="J3248" s="10"/>
      <c r="M3248" s="39"/>
      <c r="O3248" s="39"/>
      <c r="Q3248" s="39"/>
      <c r="R3248" s="28"/>
      <c r="S3248" s="28"/>
      <c r="T3248" s="28"/>
      <c r="U3248" s="4"/>
      <c r="V3248" s="3"/>
      <c r="W3248" s="3"/>
    </row>
    <row r="3249" spans="1:23" s="5" customFormat="1">
      <c r="A3249" s="6"/>
      <c r="B3249" s="33"/>
      <c r="C3249" s="35"/>
      <c r="E3249" s="39"/>
      <c r="G3249" s="40"/>
      <c r="H3249" s="14"/>
      <c r="I3249" s="17"/>
      <c r="J3249" s="10"/>
      <c r="M3249" s="39"/>
      <c r="O3249" s="39"/>
      <c r="Q3249" s="39"/>
      <c r="R3249" s="28"/>
      <c r="S3249" s="28"/>
      <c r="T3249" s="28"/>
      <c r="U3249" s="4"/>
      <c r="V3249" s="3"/>
      <c r="W3249" s="3"/>
    </row>
    <row r="3250" spans="1:23" s="5" customFormat="1">
      <c r="A3250" s="6"/>
      <c r="B3250" s="33"/>
      <c r="C3250" s="35"/>
      <c r="E3250" s="39"/>
      <c r="G3250" s="40"/>
      <c r="H3250" s="15"/>
      <c r="I3250" s="17"/>
      <c r="J3250" s="10"/>
      <c r="M3250" s="39"/>
      <c r="O3250" s="39"/>
      <c r="Q3250" s="39"/>
      <c r="R3250" s="28"/>
      <c r="S3250" s="28"/>
      <c r="T3250" s="28"/>
      <c r="U3250" s="4"/>
      <c r="V3250" s="3"/>
      <c r="W3250" s="3"/>
    </row>
    <row r="3251" spans="1:23" s="5" customFormat="1">
      <c r="A3251" s="6"/>
      <c r="B3251" s="33"/>
      <c r="C3251" s="35"/>
      <c r="E3251" s="39"/>
      <c r="G3251" s="40"/>
      <c r="H3251" s="14"/>
      <c r="I3251" s="17"/>
      <c r="J3251" s="10"/>
      <c r="M3251" s="39"/>
      <c r="O3251" s="39"/>
      <c r="Q3251" s="39"/>
      <c r="R3251" s="28"/>
      <c r="S3251" s="28"/>
      <c r="T3251" s="28"/>
      <c r="U3251" s="4"/>
      <c r="V3251" s="3"/>
      <c r="W3251" s="3"/>
    </row>
    <row r="3252" spans="1:23" s="5" customFormat="1">
      <c r="A3252" s="6"/>
      <c r="B3252" s="33"/>
      <c r="C3252" s="35"/>
      <c r="E3252" s="39"/>
      <c r="G3252" s="40"/>
      <c r="H3252" s="15"/>
      <c r="I3252" s="17"/>
      <c r="J3252" s="10"/>
      <c r="M3252" s="39"/>
      <c r="O3252" s="39"/>
      <c r="Q3252" s="39"/>
      <c r="R3252" s="28"/>
      <c r="S3252" s="28"/>
      <c r="T3252" s="28"/>
      <c r="U3252" s="4"/>
      <c r="V3252" s="3"/>
      <c r="W3252" s="3"/>
    </row>
    <row r="3253" spans="1:23" s="5" customFormat="1">
      <c r="A3253" s="6"/>
      <c r="B3253" s="33"/>
      <c r="C3253" s="35"/>
      <c r="E3253" s="39"/>
      <c r="G3253" s="40"/>
      <c r="H3253" s="15"/>
      <c r="I3253" s="17"/>
      <c r="J3253" s="10"/>
      <c r="M3253" s="39"/>
      <c r="O3253" s="39"/>
      <c r="Q3253" s="39"/>
      <c r="R3253" s="28"/>
      <c r="S3253" s="28"/>
      <c r="T3253" s="28"/>
      <c r="U3253" s="4"/>
      <c r="V3253" s="3"/>
      <c r="W3253" s="3"/>
    </row>
    <row r="3254" spans="1:23" s="5" customFormat="1">
      <c r="A3254" s="6"/>
      <c r="B3254" s="33"/>
      <c r="C3254" s="35"/>
      <c r="E3254" s="39"/>
      <c r="G3254" s="40"/>
      <c r="H3254" s="15"/>
      <c r="I3254" s="17"/>
      <c r="J3254" s="10"/>
      <c r="M3254" s="39"/>
      <c r="O3254" s="39"/>
      <c r="Q3254" s="39"/>
      <c r="R3254" s="28"/>
      <c r="S3254" s="28"/>
      <c r="T3254" s="28"/>
      <c r="U3254" s="4"/>
      <c r="V3254" s="3"/>
      <c r="W3254" s="3"/>
    </row>
    <row r="3255" spans="1:23" s="5" customFormat="1">
      <c r="A3255" s="6"/>
      <c r="B3255" s="33"/>
      <c r="C3255" s="35"/>
      <c r="E3255" s="39"/>
      <c r="G3255" s="40"/>
      <c r="H3255" s="15"/>
      <c r="I3255" s="17"/>
      <c r="J3255" s="10"/>
      <c r="M3255" s="39"/>
      <c r="O3255" s="39"/>
      <c r="Q3255" s="39"/>
      <c r="R3255" s="28"/>
      <c r="S3255" s="28"/>
      <c r="T3255" s="28"/>
      <c r="U3255" s="4"/>
      <c r="V3255" s="3"/>
      <c r="W3255" s="3"/>
    </row>
    <row r="3256" spans="1:23" s="5" customFormat="1">
      <c r="A3256" s="6"/>
      <c r="B3256" s="33"/>
      <c r="C3256" s="35"/>
      <c r="E3256" s="39"/>
      <c r="G3256" s="40"/>
      <c r="H3256" s="15"/>
      <c r="I3256" s="17"/>
      <c r="J3256" s="10"/>
      <c r="M3256" s="39"/>
      <c r="O3256" s="39"/>
      <c r="Q3256" s="39"/>
      <c r="R3256" s="28"/>
      <c r="S3256" s="28"/>
      <c r="T3256" s="28"/>
      <c r="U3256" s="4"/>
      <c r="V3256" s="3"/>
      <c r="W3256" s="3"/>
    </row>
    <row r="3257" spans="1:23" s="5" customFormat="1">
      <c r="A3257" s="6"/>
      <c r="B3257" s="33"/>
      <c r="C3257" s="35"/>
      <c r="E3257" s="39"/>
      <c r="G3257" s="40"/>
      <c r="H3257" s="15"/>
      <c r="I3257" s="17"/>
      <c r="J3257" s="10"/>
      <c r="M3257" s="39"/>
      <c r="O3257" s="39"/>
      <c r="Q3257" s="39"/>
      <c r="R3257" s="28"/>
      <c r="S3257" s="28"/>
      <c r="T3257" s="28"/>
      <c r="U3257" s="4"/>
      <c r="V3257" s="3"/>
      <c r="W3257" s="3"/>
    </row>
    <row r="3258" spans="1:23" s="5" customFormat="1">
      <c r="A3258" s="6"/>
      <c r="B3258" s="33"/>
      <c r="C3258" s="35"/>
      <c r="E3258" s="39"/>
      <c r="G3258" s="40"/>
      <c r="H3258" s="15"/>
      <c r="I3258" s="17"/>
      <c r="J3258" s="10"/>
      <c r="M3258" s="39"/>
      <c r="O3258" s="39"/>
      <c r="Q3258" s="39"/>
      <c r="R3258" s="28"/>
      <c r="S3258" s="28"/>
      <c r="T3258" s="28"/>
      <c r="U3258" s="4"/>
      <c r="V3258" s="3"/>
      <c r="W3258" s="3"/>
    </row>
    <row r="3259" spans="1:23" s="5" customFormat="1">
      <c r="A3259" s="6"/>
      <c r="B3259" s="33"/>
      <c r="C3259" s="35"/>
      <c r="E3259" s="39"/>
      <c r="G3259" s="40"/>
      <c r="H3259" s="15"/>
      <c r="I3259" s="17"/>
      <c r="J3259" s="10"/>
      <c r="M3259" s="39"/>
      <c r="O3259" s="39"/>
      <c r="Q3259" s="39"/>
      <c r="R3259" s="28"/>
      <c r="S3259" s="28"/>
      <c r="T3259" s="28"/>
      <c r="U3259" s="4"/>
      <c r="V3259" s="3"/>
      <c r="W3259" s="3"/>
    </row>
    <row r="3260" spans="1:23" s="5" customFormat="1">
      <c r="A3260" s="6"/>
      <c r="B3260" s="33"/>
      <c r="C3260" s="35"/>
      <c r="E3260" s="39"/>
      <c r="G3260" s="40"/>
      <c r="H3260" s="15"/>
      <c r="I3260" s="17"/>
      <c r="J3260" s="10"/>
      <c r="M3260" s="39"/>
      <c r="O3260" s="39"/>
      <c r="Q3260" s="39"/>
      <c r="R3260" s="28"/>
      <c r="S3260" s="28"/>
      <c r="T3260" s="28"/>
      <c r="U3260" s="4"/>
      <c r="V3260" s="3"/>
      <c r="W3260" s="3"/>
    </row>
    <row r="3261" spans="1:23" s="5" customFormat="1">
      <c r="A3261" s="6"/>
      <c r="B3261" s="33"/>
      <c r="C3261" s="35"/>
      <c r="E3261" s="39"/>
      <c r="G3261" s="40"/>
      <c r="H3261" s="15"/>
      <c r="I3261" s="17"/>
      <c r="J3261" s="10"/>
      <c r="M3261" s="39"/>
      <c r="O3261" s="39"/>
      <c r="Q3261" s="39"/>
      <c r="R3261" s="28"/>
      <c r="S3261" s="28"/>
      <c r="T3261" s="28"/>
      <c r="U3261" s="4"/>
      <c r="V3261" s="3"/>
      <c r="W3261" s="3"/>
    </row>
    <row r="3262" spans="1:23" s="5" customFormat="1">
      <c r="A3262" s="6"/>
      <c r="B3262" s="33"/>
      <c r="C3262" s="35"/>
      <c r="E3262" s="39"/>
      <c r="G3262" s="40"/>
      <c r="H3262" s="15"/>
      <c r="I3262" s="17"/>
      <c r="J3262" s="10"/>
      <c r="M3262" s="39"/>
      <c r="O3262" s="39"/>
      <c r="Q3262" s="39"/>
      <c r="R3262" s="28"/>
      <c r="S3262" s="28"/>
      <c r="T3262" s="28"/>
      <c r="U3262" s="4"/>
      <c r="V3262" s="3"/>
      <c r="W3262" s="3"/>
    </row>
    <row r="3263" spans="1:23" s="5" customFormat="1">
      <c r="A3263" s="6"/>
      <c r="B3263" s="33"/>
      <c r="C3263" s="35"/>
      <c r="E3263" s="39"/>
      <c r="G3263" s="40"/>
      <c r="H3263" s="15"/>
      <c r="I3263" s="17"/>
      <c r="J3263" s="10"/>
      <c r="M3263" s="39"/>
      <c r="O3263" s="39"/>
      <c r="Q3263" s="39"/>
      <c r="R3263" s="28"/>
      <c r="S3263" s="28"/>
      <c r="T3263" s="28"/>
      <c r="U3263" s="4"/>
      <c r="V3263" s="3"/>
      <c r="W3263" s="3"/>
    </row>
    <row r="3264" spans="1:23" s="5" customFormat="1">
      <c r="A3264" s="6"/>
      <c r="B3264" s="33"/>
      <c r="C3264" s="35"/>
      <c r="E3264" s="39"/>
      <c r="G3264" s="40"/>
      <c r="H3264" s="15"/>
      <c r="I3264" s="17"/>
      <c r="J3264" s="10"/>
      <c r="M3264" s="39"/>
      <c r="O3264" s="39"/>
      <c r="Q3264" s="39"/>
      <c r="R3264" s="28"/>
      <c r="S3264" s="28"/>
      <c r="T3264" s="28"/>
      <c r="U3264" s="4"/>
      <c r="V3264" s="3"/>
      <c r="W3264" s="3"/>
    </row>
    <row r="3265" spans="1:23" s="5" customFormat="1">
      <c r="A3265" s="6"/>
      <c r="B3265" s="33"/>
      <c r="C3265" s="35"/>
      <c r="E3265" s="39"/>
      <c r="G3265" s="40"/>
      <c r="H3265" s="14"/>
      <c r="I3265" s="17"/>
      <c r="J3265" s="10"/>
      <c r="M3265" s="39"/>
      <c r="O3265" s="39"/>
      <c r="Q3265" s="39"/>
      <c r="R3265" s="28"/>
      <c r="S3265" s="28"/>
      <c r="T3265" s="28"/>
      <c r="U3265" s="4"/>
      <c r="V3265" s="3"/>
      <c r="W3265" s="3"/>
    </row>
    <row r="3266" spans="1:23" s="5" customFormat="1">
      <c r="A3266" s="6"/>
      <c r="B3266" s="33"/>
      <c r="C3266" s="35"/>
      <c r="E3266" s="39"/>
      <c r="G3266" s="40"/>
      <c r="H3266" s="15"/>
      <c r="I3266" s="17"/>
      <c r="J3266" s="10"/>
      <c r="M3266" s="39"/>
      <c r="O3266" s="39"/>
      <c r="Q3266" s="39"/>
      <c r="R3266" s="28"/>
      <c r="S3266" s="28"/>
      <c r="T3266" s="28"/>
      <c r="U3266" s="4"/>
      <c r="V3266" s="3"/>
      <c r="W3266" s="3"/>
    </row>
    <row r="3267" spans="1:23" s="5" customFormat="1">
      <c r="A3267" s="6"/>
      <c r="B3267" s="33"/>
      <c r="C3267" s="35"/>
      <c r="E3267" s="39"/>
      <c r="G3267" s="40"/>
      <c r="H3267" s="15"/>
      <c r="I3267" s="17"/>
      <c r="J3267" s="10"/>
      <c r="M3267" s="39"/>
      <c r="O3267" s="39"/>
      <c r="Q3267" s="39"/>
      <c r="R3267" s="28"/>
      <c r="S3267" s="28"/>
      <c r="T3267" s="28"/>
      <c r="U3267" s="4"/>
      <c r="V3267" s="3"/>
      <c r="W3267" s="3"/>
    </row>
    <row r="3268" spans="1:23" s="5" customFormat="1">
      <c r="A3268" s="6"/>
      <c r="B3268" s="33"/>
      <c r="C3268" s="35"/>
      <c r="E3268" s="39"/>
      <c r="G3268" s="40"/>
      <c r="H3268" s="15"/>
      <c r="I3268" s="17"/>
      <c r="J3268" s="10"/>
      <c r="M3268" s="39"/>
      <c r="O3268" s="39"/>
      <c r="Q3268" s="39"/>
      <c r="R3268" s="28"/>
      <c r="S3268" s="28"/>
      <c r="T3268" s="28"/>
      <c r="U3268" s="4"/>
      <c r="V3268" s="3"/>
      <c r="W3268" s="3"/>
    </row>
    <row r="3269" spans="1:23" s="5" customFormat="1">
      <c r="A3269" s="6"/>
      <c r="B3269" s="33"/>
      <c r="C3269" s="35"/>
      <c r="E3269" s="39"/>
      <c r="G3269" s="40"/>
      <c r="H3269" s="15"/>
      <c r="I3269" s="17"/>
      <c r="J3269" s="10"/>
      <c r="M3269" s="39"/>
      <c r="O3269" s="39"/>
      <c r="Q3269" s="39"/>
      <c r="R3269" s="28"/>
      <c r="S3269" s="28"/>
      <c r="T3269" s="28"/>
      <c r="U3269" s="4"/>
      <c r="V3269" s="3"/>
      <c r="W3269" s="3"/>
    </row>
    <row r="3270" spans="1:23" s="5" customFormat="1">
      <c r="A3270" s="6"/>
      <c r="B3270" s="33"/>
      <c r="C3270" s="35"/>
      <c r="E3270" s="39"/>
      <c r="G3270" s="40"/>
      <c r="H3270" s="14"/>
      <c r="I3270" s="17"/>
      <c r="J3270" s="10"/>
      <c r="M3270" s="39"/>
      <c r="O3270" s="39"/>
      <c r="Q3270" s="39"/>
      <c r="R3270" s="28"/>
      <c r="S3270" s="28"/>
      <c r="T3270" s="28"/>
      <c r="U3270" s="4"/>
      <c r="V3270" s="3"/>
      <c r="W3270" s="3"/>
    </row>
    <row r="3271" spans="1:23" s="5" customFormat="1">
      <c r="A3271" s="6"/>
      <c r="B3271" s="33"/>
      <c r="C3271" s="35"/>
      <c r="E3271" s="39"/>
      <c r="G3271" s="40"/>
      <c r="H3271" s="16"/>
      <c r="I3271" s="17"/>
      <c r="J3271" s="10"/>
      <c r="M3271" s="39"/>
      <c r="O3271" s="39"/>
      <c r="Q3271" s="39"/>
      <c r="R3271" s="28"/>
      <c r="S3271" s="28"/>
      <c r="T3271" s="28"/>
      <c r="U3271" s="4"/>
      <c r="V3271" s="3"/>
      <c r="W3271" s="3"/>
    </row>
    <row r="3272" spans="1:23" s="5" customFormat="1">
      <c r="A3272" s="6"/>
      <c r="B3272" s="33"/>
      <c r="C3272" s="35"/>
      <c r="E3272" s="39"/>
      <c r="G3272" s="40"/>
      <c r="H3272" s="14"/>
      <c r="I3272" s="17"/>
      <c r="J3272" s="10"/>
      <c r="M3272" s="39"/>
      <c r="O3272" s="39"/>
      <c r="Q3272" s="39"/>
      <c r="R3272" s="28"/>
      <c r="S3272" s="28"/>
      <c r="T3272" s="28"/>
      <c r="U3272" s="4"/>
      <c r="V3272" s="3"/>
      <c r="W3272" s="3"/>
    </row>
    <row r="3273" spans="1:23" s="5" customFormat="1">
      <c r="A3273" s="6"/>
      <c r="B3273" s="33"/>
      <c r="C3273" s="35"/>
      <c r="E3273" s="39"/>
      <c r="G3273" s="40"/>
      <c r="H3273" s="15"/>
      <c r="I3273" s="17"/>
      <c r="J3273" s="10"/>
      <c r="M3273" s="39"/>
      <c r="O3273" s="39"/>
      <c r="Q3273" s="39"/>
      <c r="R3273" s="28"/>
      <c r="S3273" s="28"/>
      <c r="T3273" s="28"/>
      <c r="U3273" s="4"/>
      <c r="V3273" s="3"/>
      <c r="W3273" s="3"/>
    </row>
    <row r="3274" spans="1:23" s="5" customFormat="1">
      <c r="A3274" s="6"/>
      <c r="B3274" s="33"/>
      <c r="C3274" s="35"/>
      <c r="E3274" s="39"/>
      <c r="G3274" s="40"/>
      <c r="H3274" s="14"/>
      <c r="I3274" s="17"/>
      <c r="J3274" s="10"/>
      <c r="M3274" s="39"/>
      <c r="O3274" s="39"/>
      <c r="Q3274" s="39"/>
      <c r="R3274" s="28"/>
      <c r="S3274" s="28"/>
      <c r="T3274" s="28"/>
      <c r="U3274" s="4"/>
      <c r="V3274" s="3"/>
      <c r="W3274" s="3"/>
    </row>
    <row r="3275" spans="1:23" s="5" customFormat="1">
      <c r="A3275" s="6"/>
      <c r="B3275" s="33"/>
      <c r="C3275" s="35"/>
      <c r="E3275" s="39"/>
      <c r="G3275" s="40"/>
      <c r="H3275" s="14"/>
      <c r="I3275" s="17"/>
      <c r="J3275" s="10"/>
      <c r="M3275" s="39"/>
      <c r="O3275" s="39"/>
      <c r="Q3275" s="39"/>
      <c r="R3275" s="28"/>
      <c r="S3275" s="28"/>
      <c r="T3275" s="28"/>
      <c r="U3275" s="4"/>
      <c r="V3275" s="3"/>
      <c r="W3275" s="3"/>
    </row>
    <row r="3276" spans="1:23" s="5" customFormat="1">
      <c r="A3276" s="6"/>
      <c r="B3276" s="33"/>
      <c r="C3276" s="35"/>
      <c r="E3276" s="39"/>
      <c r="G3276" s="40"/>
      <c r="H3276" s="14"/>
      <c r="I3276" s="17"/>
      <c r="J3276" s="10"/>
      <c r="M3276" s="39"/>
      <c r="O3276" s="39"/>
      <c r="Q3276" s="39"/>
      <c r="R3276" s="28"/>
      <c r="S3276" s="28"/>
      <c r="T3276" s="28"/>
      <c r="U3276" s="4"/>
      <c r="V3276" s="3"/>
      <c r="W3276" s="3"/>
    </row>
    <row r="3277" spans="1:23" s="5" customFormat="1">
      <c r="A3277" s="6"/>
      <c r="B3277" s="33"/>
      <c r="C3277" s="35"/>
      <c r="E3277" s="39"/>
      <c r="G3277" s="40"/>
      <c r="H3277" s="15"/>
      <c r="I3277" s="17"/>
      <c r="J3277" s="10"/>
      <c r="M3277" s="39"/>
      <c r="O3277" s="39"/>
      <c r="Q3277" s="39"/>
      <c r="R3277" s="28"/>
      <c r="S3277" s="28"/>
      <c r="T3277" s="28"/>
      <c r="U3277" s="4"/>
      <c r="V3277" s="3"/>
      <c r="W3277" s="3"/>
    </row>
    <row r="3278" spans="1:23" s="5" customFormat="1">
      <c r="A3278" s="6"/>
      <c r="B3278" s="33"/>
      <c r="C3278" s="35"/>
      <c r="E3278" s="39"/>
      <c r="G3278" s="40"/>
      <c r="H3278" s="15"/>
      <c r="I3278" s="17"/>
      <c r="J3278" s="10"/>
      <c r="M3278" s="39"/>
      <c r="O3278" s="39"/>
      <c r="Q3278" s="39"/>
      <c r="R3278" s="28"/>
      <c r="S3278" s="28"/>
      <c r="T3278" s="28"/>
      <c r="U3278" s="4"/>
      <c r="V3278" s="3"/>
      <c r="W3278" s="3"/>
    </row>
    <row r="3279" spans="1:23" s="5" customFormat="1">
      <c r="A3279" s="6"/>
      <c r="B3279" s="33"/>
      <c r="C3279" s="35"/>
      <c r="E3279" s="39"/>
      <c r="G3279" s="40"/>
      <c r="H3279" s="14"/>
      <c r="I3279" s="17"/>
      <c r="J3279" s="10"/>
      <c r="M3279" s="39"/>
      <c r="O3279" s="39"/>
      <c r="Q3279" s="39"/>
      <c r="R3279" s="28"/>
      <c r="S3279" s="28"/>
      <c r="T3279" s="28"/>
      <c r="U3279" s="4"/>
      <c r="V3279" s="3"/>
      <c r="W3279" s="3"/>
    </row>
    <row r="3280" spans="1:23" s="5" customFormat="1">
      <c r="A3280" s="6"/>
      <c r="B3280" s="33"/>
      <c r="C3280" s="35"/>
      <c r="E3280" s="39"/>
      <c r="G3280" s="40"/>
      <c r="H3280" s="14"/>
      <c r="I3280" s="17"/>
      <c r="J3280" s="10"/>
      <c r="M3280" s="39"/>
      <c r="O3280" s="39"/>
      <c r="Q3280" s="39"/>
      <c r="R3280" s="28"/>
      <c r="S3280" s="28"/>
      <c r="T3280" s="28"/>
      <c r="U3280" s="4"/>
      <c r="V3280" s="3"/>
      <c r="W3280" s="3"/>
    </row>
    <row r="3281" spans="1:23" s="5" customFormat="1">
      <c r="A3281" s="6"/>
      <c r="B3281" s="33"/>
      <c r="C3281" s="35"/>
      <c r="E3281" s="39"/>
      <c r="G3281" s="40"/>
      <c r="H3281" s="15"/>
      <c r="I3281" s="17"/>
      <c r="J3281" s="10"/>
      <c r="M3281" s="39"/>
      <c r="O3281" s="39"/>
      <c r="Q3281" s="39"/>
      <c r="R3281" s="28"/>
      <c r="S3281" s="28"/>
      <c r="T3281" s="28"/>
      <c r="U3281" s="4"/>
      <c r="V3281" s="3"/>
      <c r="W3281" s="3"/>
    </row>
    <row r="3282" spans="1:23" s="5" customFormat="1">
      <c r="A3282" s="6"/>
      <c r="B3282" s="33"/>
      <c r="C3282" s="35"/>
      <c r="E3282" s="39"/>
      <c r="G3282" s="40"/>
      <c r="H3282" s="15"/>
      <c r="I3282" s="17"/>
      <c r="J3282" s="10"/>
      <c r="M3282" s="39"/>
      <c r="O3282" s="39"/>
      <c r="Q3282" s="39"/>
      <c r="R3282" s="28"/>
      <c r="S3282" s="28"/>
      <c r="T3282" s="28"/>
      <c r="U3282" s="4"/>
      <c r="V3282" s="3"/>
      <c r="W3282" s="3"/>
    </row>
    <row r="3283" spans="1:23" s="5" customFormat="1">
      <c r="A3283" s="6"/>
      <c r="B3283" s="33"/>
      <c r="C3283" s="35"/>
      <c r="E3283" s="39"/>
      <c r="G3283" s="40"/>
      <c r="H3283" s="15"/>
      <c r="I3283" s="17"/>
      <c r="J3283" s="10"/>
      <c r="M3283" s="39"/>
      <c r="O3283" s="39"/>
      <c r="Q3283" s="39"/>
      <c r="R3283" s="28"/>
      <c r="S3283" s="28"/>
      <c r="T3283" s="28"/>
      <c r="U3283" s="4"/>
      <c r="V3283" s="3"/>
      <c r="W3283" s="3"/>
    </row>
    <row r="3284" spans="1:23" s="5" customFormat="1">
      <c r="A3284" s="6"/>
      <c r="B3284" s="33"/>
      <c r="C3284" s="35"/>
      <c r="E3284" s="39"/>
      <c r="G3284" s="40"/>
      <c r="H3284" s="15"/>
      <c r="I3284" s="17"/>
      <c r="J3284" s="10"/>
      <c r="M3284" s="39"/>
      <c r="O3284" s="39"/>
      <c r="Q3284" s="39"/>
      <c r="R3284" s="28"/>
      <c r="S3284" s="28"/>
      <c r="T3284" s="28"/>
      <c r="U3284" s="4"/>
      <c r="V3284" s="3"/>
      <c r="W3284" s="3"/>
    </row>
    <row r="3285" spans="1:23" s="5" customFormat="1">
      <c r="A3285" s="6"/>
      <c r="B3285" s="33"/>
      <c r="C3285" s="35"/>
      <c r="E3285" s="39"/>
      <c r="G3285" s="40"/>
      <c r="H3285" s="15"/>
      <c r="I3285" s="17"/>
      <c r="J3285" s="10"/>
      <c r="M3285" s="39"/>
      <c r="O3285" s="39"/>
      <c r="Q3285" s="39"/>
      <c r="R3285" s="28"/>
      <c r="S3285" s="28"/>
      <c r="T3285" s="28"/>
      <c r="U3285" s="4"/>
      <c r="V3285" s="3"/>
      <c r="W3285" s="3"/>
    </row>
    <row r="3286" spans="1:23" s="5" customFormat="1">
      <c r="A3286" s="6"/>
      <c r="B3286" s="33"/>
      <c r="C3286" s="35"/>
      <c r="E3286" s="39"/>
      <c r="G3286" s="40"/>
      <c r="H3286" s="15"/>
      <c r="I3286" s="17"/>
      <c r="J3286" s="10"/>
      <c r="M3286" s="39"/>
      <c r="O3286" s="39"/>
      <c r="Q3286" s="39"/>
      <c r="R3286" s="28"/>
      <c r="S3286" s="28"/>
      <c r="T3286" s="28"/>
      <c r="U3286" s="4"/>
      <c r="V3286" s="3"/>
      <c r="W3286" s="3"/>
    </row>
    <row r="3287" spans="1:23" s="5" customFormat="1">
      <c r="A3287" s="6"/>
      <c r="B3287" s="33"/>
      <c r="C3287" s="35"/>
      <c r="E3287" s="39"/>
      <c r="G3287" s="40"/>
      <c r="H3287" s="15"/>
      <c r="I3287" s="17"/>
      <c r="J3287" s="10"/>
      <c r="M3287" s="39"/>
      <c r="O3287" s="39"/>
      <c r="Q3287" s="39"/>
      <c r="R3287" s="28"/>
      <c r="S3287" s="28"/>
      <c r="T3287" s="28"/>
      <c r="U3287" s="4"/>
      <c r="V3287" s="3"/>
      <c r="W3287" s="3"/>
    </row>
    <row r="3288" spans="1:23" s="5" customFormat="1">
      <c r="A3288" s="6"/>
      <c r="B3288" s="33"/>
      <c r="C3288" s="35"/>
      <c r="E3288" s="39"/>
      <c r="G3288" s="40"/>
      <c r="H3288" s="15"/>
      <c r="I3288" s="17"/>
      <c r="J3288" s="10"/>
      <c r="M3288" s="39"/>
      <c r="O3288" s="39"/>
      <c r="Q3288" s="39"/>
      <c r="R3288" s="28"/>
      <c r="S3288" s="28"/>
      <c r="T3288" s="28"/>
      <c r="U3288" s="4"/>
      <c r="V3288" s="3"/>
      <c r="W3288" s="3"/>
    </row>
    <row r="3289" spans="1:23" s="5" customFormat="1">
      <c r="A3289" s="6"/>
      <c r="B3289" s="33"/>
      <c r="C3289" s="35"/>
      <c r="E3289" s="39"/>
      <c r="G3289" s="40"/>
      <c r="H3289" s="15"/>
      <c r="I3289" s="17"/>
      <c r="J3289" s="10"/>
      <c r="M3289" s="39"/>
      <c r="O3289" s="39"/>
      <c r="Q3289" s="39"/>
      <c r="R3289" s="28"/>
      <c r="S3289" s="28"/>
      <c r="T3289" s="28"/>
      <c r="U3289" s="4"/>
      <c r="V3289" s="3"/>
      <c r="W3289" s="3"/>
    </row>
    <row r="3290" spans="1:23" s="5" customFormat="1">
      <c r="A3290" s="6"/>
      <c r="B3290" s="33"/>
      <c r="C3290" s="35"/>
      <c r="E3290" s="39"/>
      <c r="G3290" s="40"/>
      <c r="H3290" s="15"/>
      <c r="I3290" s="17"/>
      <c r="J3290" s="10"/>
      <c r="M3290" s="39"/>
      <c r="O3290" s="39"/>
      <c r="Q3290" s="39"/>
      <c r="R3290" s="28"/>
      <c r="S3290" s="28"/>
      <c r="T3290" s="28"/>
      <c r="U3290" s="4"/>
      <c r="V3290" s="3"/>
      <c r="W3290" s="3"/>
    </row>
    <row r="3291" spans="1:23" s="5" customFormat="1">
      <c r="A3291" s="6"/>
      <c r="B3291" s="33"/>
      <c r="C3291" s="35"/>
      <c r="E3291" s="39"/>
      <c r="G3291" s="40"/>
      <c r="H3291" s="15"/>
      <c r="I3291" s="17"/>
      <c r="J3291" s="10"/>
      <c r="M3291" s="39"/>
      <c r="O3291" s="39"/>
      <c r="Q3291" s="39"/>
      <c r="R3291" s="28"/>
      <c r="S3291" s="28"/>
      <c r="T3291" s="28"/>
      <c r="U3291" s="4"/>
      <c r="V3291" s="3"/>
      <c r="W3291" s="3"/>
    </row>
    <row r="3292" spans="1:23" s="5" customFormat="1">
      <c r="A3292" s="6"/>
      <c r="B3292" s="33"/>
      <c r="C3292" s="35"/>
      <c r="E3292" s="39"/>
      <c r="G3292" s="40"/>
      <c r="H3292" s="15"/>
      <c r="I3292" s="17"/>
      <c r="J3292" s="10"/>
      <c r="M3292" s="39"/>
      <c r="O3292" s="39"/>
      <c r="Q3292" s="39"/>
      <c r="R3292" s="28"/>
      <c r="S3292" s="28"/>
      <c r="T3292" s="28"/>
      <c r="U3292" s="4"/>
      <c r="V3292" s="3"/>
      <c r="W3292" s="3"/>
    </row>
    <row r="3293" spans="1:23" s="5" customFormat="1">
      <c r="A3293" s="6"/>
      <c r="B3293" s="33"/>
      <c r="C3293" s="35"/>
      <c r="E3293" s="39"/>
      <c r="G3293" s="40"/>
      <c r="H3293" s="15"/>
      <c r="I3293" s="17"/>
      <c r="J3293" s="10"/>
      <c r="M3293" s="39"/>
      <c r="O3293" s="39"/>
      <c r="Q3293" s="39"/>
      <c r="R3293" s="28"/>
      <c r="S3293" s="28"/>
      <c r="T3293" s="28"/>
      <c r="U3293" s="4"/>
      <c r="V3293" s="3"/>
      <c r="W3293" s="3"/>
    </row>
    <row r="3294" spans="1:23" s="5" customFormat="1">
      <c r="A3294" s="6"/>
      <c r="B3294" s="33"/>
      <c r="C3294" s="35"/>
      <c r="E3294" s="39"/>
      <c r="G3294" s="40"/>
      <c r="H3294" s="15"/>
      <c r="I3294" s="17"/>
      <c r="J3294" s="10"/>
      <c r="M3294" s="39"/>
      <c r="O3294" s="39"/>
      <c r="Q3294" s="39"/>
      <c r="R3294" s="28"/>
      <c r="S3294" s="28"/>
      <c r="T3294" s="28"/>
      <c r="U3294" s="4"/>
      <c r="V3294" s="3"/>
      <c r="W3294" s="3"/>
    </row>
    <row r="3295" spans="1:23" s="5" customFormat="1">
      <c r="A3295" s="6"/>
      <c r="B3295" s="33"/>
      <c r="C3295" s="35"/>
      <c r="E3295" s="39"/>
      <c r="G3295" s="40"/>
      <c r="H3295" s="15"/>
      <c r="I3295" s="17"/>
      <c r="J3295" s="10"/>
      <c r="M3295" s="39"/>
      <c r="O3295" s="39"/>
      <c r="Q3295" s="39"/>
      <c r="R3295" s="28"/>
      <c r="S3295" s="28"/>
      <c r="T3295" s="28"/>
      <c r="U3295" s="4"/>
      <c r="V3295" s="3"/>
      <c r="W3295" s="3"/>
    </row>
    <row r="3296" spans="1:23" s="5" customFormat="1">
      <c r="A3296" s="6"/>
      <c r="B3296" s="33"/>
      <c r="C3296" s="35"/>
      <c r="E3296" s="39"/>
      <c r="G3296" s="40"/>
      <c r="H3296" s="15"/>
      <c r="I3296" s="17"/>
      <c r="J3296" s="10"/>
      <c r="M3296" s="39"/>
      <c r="O3296" s="39"/>
      <c r="Q3296" s="39"/>
      <c r="R3296" s="28"/>
      <c r="S3296" s="28"/>
      <c r="T3296" s="28"/>
      <c r="U3296" s="4"/>
      <c r="V3296" s="3"/>
      <c r="W3296" s="3"/>
    </row>
    <row r="3297" spans="1:23" s="5" customFormat="1">
      <c r="A3297" s="6"/>
      <c r="B3297" s="33"/>
      <c r="C3297" s="35"/>
      <c r="E3297" s="39"/>
      <c r="G3297" s="40"/>
      <c r="H3297" s="15"/>
      <c r="I3297" s="17"/>
      <c r="J3297" s="10"/>
      <c r="M3297" s="39"/>
      <c r="O3297" s="39"/>
      <c r="Q3297" s="39"/>
      <c r="R3297" s="28"/>
      <c r="S3297" s="28"/>
      <c r="T3297" s="28"/>
      <c r="U3297" s="4"/>
      <c r="V3297" s="3"/>
      <c r="W3297" s="3"/>
    </row>
    <row r="3298" spans="1:23" s="5" customFormat="1">
      <c r="A3298" s="6"/>
      <c r="B3298" s="33"/>
      <c r="C3298" s="35"/>
      <c r="E3298" s="39"/>
      <c r="G3298" s="40"/>
      <c r="H3298" s="15"/>
      <c r="I3298" s="17"/>
      <c r="J3298" s="10"/>
      <c r="M3298" s="39"/>
      <c r="O3298" s="39"/>
      <c r="Q3298" s="39"/>
      <c r="R3298" s="28"/>
      <c r="S3298" s="28"/>
      <c r="T3298" s="28"/>
      <c r="U3298" s="4"/>
      <c r="V3298" s="3"/>
      <c r="W3298" s="3"/>
    </row>
    <row r="3299" spans="1:23" s="5" customFormat="1">
      <c r="A3299" s="6"/>
      <c r="B3299" s="33"/>
      <c r="C3299" s="35"/>
      <c r="E3299" s="39"/>
      <c r="G3299" s="40"/>
      <c r="H3299" s="15"/>
      <c r="I3299" s="17"/>
      <c r="J3299" s="10"/>
      <c r="M3299" s="39"/>
      <c r="O3299" s="39"/>
      <c r="Q3299" s="39"/>
      <c r="R3299" s="28"/>
      <c r="S3299" s="28"/>
      <c r="T3299" s="28"/>
      <c r="U3299" s="4"/>
      <c r="V3299" s="3"/>
      <c r="W3299" s="3"/>
    </row>
    <row r="3300" spans="1:23" s="5" customFormat="1">
      <c r="A3300" s="6"/>
      <c r="B3300" s="33"/>
      <c r="C3300" s="35"/>
      <c r="E3300" s="39"/>
      <c r="G3300" s="40"/>
      <c r="H3300" s="15"/>
      <c r="I3300" s="17"/>
      <c r="J3300" s="10"/>
      <c r="M3300" s="39"/>
      <c r="O3300" s="39"/>
      <c r="Q3300" s="39"/>
      <c r="R3300" s="28"/>
      <c r="S3300" s="28"/>
      <c r="T3300" s="28"/>
      <c r="U3300" s="4"/>
      <c r="V3300" s="3"/>
      <c r="W3300" s="3"/>
    </row>
    <row r="3301" spans="1:23" s="5" customFormat="1">
      <c r="A3301" s="6"/>
      <c r="B3301" s="33"/>
      <c r="C3301" s="35"/>
      <c r="E3301" s="39"/>
      <c r="G3301" s="40"/>
      <c r="H3301" s="15"/>
      <c r="I3301" s="17"/>
      <c r="J3301" s="10"/>
      <c r="M3301" s="39"/>
      <c r="O3301" s="39"/>
      <c r="Q3301" s="39"/>
      <c r="R3301" s="28"/>
      <c r="S3301" s="28"/>
      <c r="T3301" s="28"/>
      <c r="U3301" s="4"/>
      <c r="V3301" s="3"/>
      <c r="W3301" s="3"/>
    </row>
    <row r="3302" spans="1:23" s="5" customFormat="1">
      <c r="A3302" s="6"/>
      <c r="B3302" s="33"/>
      <c r="C3302" s="35"/>
      <c r="E3302" s="39"/>
      <c r="G3302" s="40"/>
      <c r="H3302" s="15"/>
      <c r="I3302" s="17"/>
      <c r="J3302" s="10"/>
      <c r="M3302" s="39"/>
      <c r="O3302" s="39"/>
      <c r="Q3302" s="39"/>
      <c r="R3302" s="28"/>
      <c r="S3302" s="28"/>
      <c r="T3302" s="28"/>
      <c r="U3302" s="4"/>
      <c r="V3302" s="3"/>
      <c r="W3302" s="3"/>
    </row>
    <row r="3303" spans="1:23" s="5" customFormat="1">
      <c r="A3303" s="6"/>
      <c r="B3303" s="33"/>
      <c r="C3303" s="35"/>
      <c r="E3303" s="39"/>
      <c r="G3303" s="40"/>
      <c r="H3303" s="15"/>
      <c r="I3303" s="17"/>
      <c r="J3303" s="10"/>
      <c r="M3303" s="39"/>
      <c r="O3303" s="39"/>
      <c r="Q3303" s="39"/>
      <c r="R3303" s="28"/>
      <c r="S3303" s="28"/>
      <c r="T3303" s="28"/>
      <c r="U3303" s="4"/>
      <c r="V3303" s="3"/>
      <c r="W3303" s="3"/>
    </row>
    <row r="3304" spans="1:23" s="5" customFormat="1">
      <c r="A3304" s="6"/>
      <c r="B3304" s="33"/>
      <c r="C3304" s="35"/>
      <c r="E3304" s="39"/>
      <c r="G3304" s="40"/>
      <c r="H3304" s="14"/>
      <c r="I3304" s="17"/>
      <c r="J3304" s="10"/>
      <c r="M3304" s="39"/>
      <c r="O3304" s="39"/>
      <c r="Q3304" s="39"/>
      <c r="R3304" s="28"/>
      <c r="S3304" s="28"/>
      <c r="T3304" s="28"/>
      <c r="U3304" s="4"/>
      <c r="V3304" s="3"/>
      <c r="W3304" s="3"/>
    </row>
    <row r="3305" spans="1:23" s="5" customFormat="1">
      <c r="A3305" s="6"/>
      <c r="B3305" s="33"/>
      <c r="C3305" s="35"/>
      <c r="E3305" s="39"/>
      <c r="G3305" s="40"/>
      <c r="H3305" s="15"/>
      <c r="I3305" s="17"/>
      <c r="J3305" s="10"/>
      <c r="M3305" s="39"/>
      <c r="O3305" s="39"/>
      <c r="Q3305" s="39"/>
      <c r="R3305" s="28"/>
      <c r="S3305" s="28"/>
      <c r="T3305" s="28"/>
      <c r="U3305" s="4"/>
      <c r="V3305" s="3"/>
      <c r="W3305" s="3"/>
    </row>
    <row r="3306" spans="1:23" s="5" customFormat="1">
      <c r="A3306" s="6"/>
      <c r="B3306" s="33"/>
      <c r="C3306" s="35"/>
      <c r="E3306" s="39"/>
      <c r="G3306" s="40"/>
      <c r="H3306" s="15"/>
      <c r="I3306" s="17"/>
      <c r="J3306" s="10"/>
      <c r="M3306" s="39"/>
      <c r="O3306" s="39"/>
      <c r="Q3306" s="39"/>
      <c r="R3306" s="28"/>
      <c r="S3306" s="28"/>
      <c r="T3306" s="28"/>
      <c r="U3306" s="4"/>
      <c r="V3306" s="3"/>
      <c r="W3306" s="3"/>
    </row>
    <row r="3307" spans="1:23" s="5" customFormat="1">
      <c r="A3307" s="6"/>
      <c r="B3307" s="33"/>
      <c r="C3307" s="35"/>
      <c r="E3307" s="39"/>
      <c r="G3307" s="40"/>
      <c r="H3307" s="15"/>
      <c r="I3307" s="17"/>
      <c r="J3307" s="10"/>
      <c r="M3307" s="39"/>
      <c r="O3307" s="39"/>
      <c r="Q3307" s="39"/>
      <c r="R3307" s="28"/>
      <c r="S3307" s="28"/>
      <c r="T3307" s="28"/>
      <c r="U3307" s="4"/>
      <c r="V3307" s="3"/>
      <c r="W3307" s="3"/>
    </row>
    <row r="3308" spans="1:23" s="5" customFormat="1">
      <c r="A3308" s="6"/>
      <c r="B3308" s="33"/>
      <c r="C3308" s="35"/>
      <c r="E3308" s="39"/>
      <c r="G3308" s="40"/>
      <c r="H3308" s="15"/>
      <c r="I3308" s="17"/>
      <c r="J3308" s="10"/>
      <c r="M3308" s="39"/>
      <c r="O3308" s="39"/>
      <c r="Q3308" s="39"/>
      <c r="R3308" s="28"/>
      <c r="S3308" s="28"/>
      <c r="T3308" s="28"/>
      <c r="U3308" s="4"/>
      <c r="V3308" s="3"/>
      <c r="W3308" s="3"/>
    </row>
    <row r="3309" spans="1:23" s="5" customFormat="1">
      <c r="A3309" s="20"/>
      <c r="B3309" s="33"/>
      <c r="C3309" s="35"/>
      <c r="D3309" s="1"/>
      <c r="E3309" s="39"/>
      <c r="F3309" s="1"/>
      <c r="G3309" s="40"/>
      <c r="H3309" s="12"/>
      <c r="I3309" s="9"/>
      <c r="J3309" s="11"/>
      <c r="L3309" s="1"/>
      <c r="M3309" s="39"/>
      <c r="N3309" s="1"/>
      <c r="O3309" s="39"/>
      <c r="P3309" s="1"/>
      <c r="Q3309" s="39"/>
      <c r="R3309" s="28"/>
      <c r="S3309" s="28"/>
      <c r="T3309" s="28"/>
      <c r="U3309" s="4"/>
      <c r="V3309" s="3"/>
      <c r="W3309" s="3"/>
    </row>
    <row r="3310" spans="1:23" s="5" customFormat="1">
      <c r="A3310" s="6"/>
      <c r="B3310" s="33"/>
      <c r="C3310" s="35"/>
      <c r="E3310" s="39"/>
      <c r="G3310" s="40"/>
      <c r="H3310" s="15"/>
      <c r="I3310" s="17"/>
      <c r="J3310" s="10"/>
      <c r="M3310" s="39"/>
      <c r="O3310" s="39"/>
      <c r="Q3310" s="39"/>
      <c r="R3310" s="28"/>
      <c r="S3310" s="28"/>
      <c r="T3310" s="28"/>
      <c r="U3310" s="4"/>
      <c r="V3310" s="3"/>
      <c r="W3310" s="3"/>
    </row>
    <row r="3311" spans="1:23" s="5" customFormat="1">
      <c r="A3311" s="6"/>
      <c r="B3311" s="33"/>
      <c r="C3311" s="35"/>
      <c r="E3311" s="39"/>
      <c r="G3311" s="40"/>
      <c r="H3311" s="15"/>
      <c r="I3311" s="17"/>
      <c r="J3311" s="10"/>
      <c r="M3311" s="39"/>
      <c r="O3311" s="39"/>
      <c r="Q3311" s="39"/>
      <c r="R3311" s="28"/>
      <c r="S3311" s="28"/>
      <c r="T3311" s="28"/>
      <c r="U3311" s="4"/>
      <c r="V3311" s="3"/>
      <c r="W3311" s="3"/>
    </row>
    <row r="3312" spans="1:23" s="5" customFormat="1">
      <c r="A3312" s="6"/>
      <c r="B3312" s="33"/>
      <c r="C3312" s="35"/>
      <c r="E3312" s="39"/>
      <c r="G3312" s="40"/>
      <c r="H3312" s="15"/>
      <c r="I3312" s="17"/>
      <c r="J3312" s="10"/>
      <c r="M3312" s="39"/>
      <c r="O3312" s="39"/>
      <c r="Q3312" s="39"/>
      <c r="R3312" s="28"/>
      <c r="S3312" s="28"/>
      <c r="T3312" s="28"/>
      <c r="U3312" s="4"/>
      <c r="V3312" s="3"/>
      <c r="W3312" s="3"/>
    </row>
    <row r="3313" spans="1:23" s="5" customFormat="1">
      <c r="A3313" s="6"/>
      <c r="B3313" s="33"/>
      <c r="C3313" s="35"/>
      <c r="E3313" s="39"/>
      <c r="G3313" s="40"/>
      <c r="H3313" s="15"/>
      <c r="I3313" s="17"/>
      <c r="J3313" s="10"/>
      <c r="M3313" s="39"/>
      <c r="O3313" s="39"/>
      <c r="Q3313" s="39"/>
      <c r="R3313" s="28"/>
      <c r="S3313" s="28"/>
      <c r="T3313" s="28"/>
      <c r="U3313" s="4"/>
      <c r="V3313" s="3"/>
      <c r="W3313" s="3"/>
    </row>
    <row r="3314" spans="1:23" s="5" customFormat="1">
      <c r="A3314" s="6"/>
      <c r="B3314" s="33"/>
      <c r="C3314" s="35"/>
      <c r="E3314" s="39"/>
      <c r="G3314" s="40"/>
      <c r="H3314" s="15"/>
      <c r="I3314" s="17"/>
      <c r="J3314" s="10"/>
      <c r="M3314" s="39"/>
      <c r="O3314" s="39"/>
      <c r="Q3314" s="39"/>
      <c r="R3314" s="28"/>
      <c r="S3314" s="28"/>
      <c r="T3314" s="28"/>
      <c r="U3314" s="4"/>
      <c r="V3314" s="3"/>
      <c r="W3314" s="3"/>
    </row>
    <row r="3315" spans="1:23" s="5" customFormat="1">
      <c r="A3315" s="6"/>
      <c r="B3315" s="33"/>
      <c r="C3315" s="35"/>
      <c r="E3315" s="39"/>
      <c r="G3315" s="40"/>
      <c r="H3315" s="15"/>
      <c r="I3315" s="17"/>
      <c r="J3315" s="10"/>
      <c r="M3315" s="39"/>
      <c r="O3315" s="39"/>
      <c r="Q3315" s="39"/>
      <c r="R3315" s="28"/>
      <c r="S3315" s="28"/>
      <c r="T3315" s="28"/>
      <c r="U3315" s="4"/>
      <c r="V3315" s="3"/>
      <c r="W3315" s="3"/>
    </row>
    <row r="3316" spans="1:23" s="5" customFormat="1">
      <c r="A3316" s="6"/>
      <c r="B3316" s="33"/>
      <c r="C3316" s="35"/>
      <c r="E3316" s="39"/>
      <c r="G3316" s="40"/>
      <c r="H3316" s="15"/>
      <c r="I3316" s="17"/>
      <c r="J3316" s="10"/>
      <c r="M3316" s="39"/>
      <c r="O3316" s="39"/>
      <c r="Q3316" s="39"/>
      <c r="R3316" s="28"/>
      <c r="S3316" s="28"/>
      <c r="T3316" s="28"/>
      <c r="U3316" s="4"/>
      <c r="V3316" s="3"/>
      <c r="W3316" s="3"/>
    </row>
    <row r="3317" spans="1:23" s="5" customFormat="1">
      <c r="A3317" s="6"/>
      <c r="B3317" s="33"/>
      <c r="C3317" s="35"/>
      <c r="E3317" s="39"/>
      <c r="G3317" s="40"/>
      <c r="H3317" s="15"/>
      <c r="I3317" s="17"/>
      <c r="J3317" s="10"/>
      <c r="M3317" s="39"/>
      <c r="O3317" s="39"/>
      <c r="Q3317" s="39"/>
      <c r="R3317" s="28"/>
      <c r="S3317" s="28"/>
      <c r="T3317" s="28"/>
      <c r="U3317" s="4"/>
      <c r="V3317" s="3"/>
      <c r="W3317" s="3"/>
    </row>
    <row r="3318" spans="1:23" s="5" customFormat="1">
      <c r="A3318" s="6"/>
      <c r="B3318" s="33"/>
      <c r="C3318" s="35"/>
      <c r="E3318" s="39"/>
      <c r="G3318" s="40"/>
      <c r="H3318" s="15"/>
      <c r="I3318" s="17"/>
      <c r="J3318" s="10"/>
      <c r="M3318" s="39"/>
      <c r="O3318" s="39"/>
      <c r="Q3318" s="39"/>
      <c r="R3318" s="28"/>
      <c r="S3318" s="28"/>
      <c r="T3318" s="28"/>
      <c r="U3318" s="4"/>
      <c r="V3318" s="3"/>
      <c r="W3318" s="3"/>
    </row>
    <row r="3319" spans="1:23" s="5" customFormat="1">
      <c r="A3319" s="6"/>
      <c r="B3319" s="33"/>
      <c r="C3319" s="35"/>
      <c r="E3319" s="39"/>
      <c r="G3319" s="40"/>
      <c r="H3319" s="15"/>
      <c r="I3319" s="17"/>
      <c r="J3319" s="10"/>
      <c r="M3319" s="39"/>
      <c r="O3319" s="39"/>
      <c r="Q3319" s="39"/>
      <c r="R3319" s="28"/>
      <c r="S3319" s="28"/>
      <c r="T3319" s="28"/>
      <c r="U3319" s="4"/>
      <c r="V3319" s="3"/>
      <c r="W3319" s="3"/>
    </row>
    <row r="3320" spans="1:23" s="5" customFormat="1">
      <c r="A3320" s="6"/>
      <c r="B3320" s="33"/>
      <c r="C3320" s="35"/>
      <c r="E3320" s="39"/>
      <c r="G3320" s="40"/>
      <c r="H3320" s="15"/>
      <c r="I3320" s="17"/>
      <c r="J3320" s="10"/>
      <c r="M3320" s="39"/>
      <c r="O3320" s="39"/>
      <c r="Q3320" s="39"/>
      <c r="R3320" s="28"/>
      <c r="S3320" s="28"/>
      <c r="T3320" s="28"/>
      <c r="U3320" s="4"/>
      <c r="V3320" s="3"/>
      <c r="W3320" s="3"/>
    </row>
    <row r="3321" spans="1:23" s="5" customFormat="1">
      <c r="A3321" s="6"/>
      <c r="B3321" s="33"/>
      <c r="C3321" s="35"/>
      <c r="E3321" s="39"/>
      <c r="G3321" s="40"/>
      <c r="H3321" s="15"/>
      <c r="I3321" s="17"/>
      <c r="J3321" s="10"/>
      <c r="M3321" s="39"/>
      <c r="O3321" s="39"/>
      <c r="Q3321" s="39"/>
      <c r="R3321" s="28"/>
      <c r="S3321" s="28"/>
      <c r="T3321" s="28"/>
      <c r="U3321" s="4"/>
      <c r="V3321" s="3"/>
      <c r="W3321" s="3"/>
    </row>
    <row r="3322" spans="1:23" s="5" customFormat="1">
      <c r="A3322" s="20"/>
      <c r="B3322" s="33"/>
      <c r="C3322" s="35"/>
      <c r="D3322" s="1"/>
      <c r="E3322" s="39"/>
      <c r="F3322" s="1"/>
      <c r="G3322" s="40"/>
      <c r="H3322" s="12"/>
      <c r="I3322" s="9"/>
      <c r="J3322" s="12"/>
      <c r="L3322" s="1"/>
      <c r="M3322" s="39"/>
      <c r="N3322" s="1"/>
      <c r="O3322" s="39"/>
      <c r="P3322" s="1"/>
      <c r="Q3322" s="39"/>
      <c r="R3322" s="28"/>
      <c r="S3322" s="29"/>
      <c r="T3322" s="28"/>
      <c r="U3322" s="4"/>
      <c r="V3322" s="3"/>
      <c r="W3322" s="3"/>
    </row>
    <row r="3323" spans="1:23" s="5" customFormat="1">
      <c r="A3323" s="6"/>
      <c r="B3323" s="33"/>
      <c r="C3323" s="35"/>
      <c r="E3323" s="39"/>
      <c r="G3323" s="40"/>
      <c r="H3323" s="15"/>
      <c r="I3323" s="17"/>
      <c r="J3323" s="10"/>
      <c r="M3323" s="39"/>
      <c r="O3323" s="39"/>
      <c r="Q3323" s="39"/>
      <c r="R3323" s="28"/>
      <c r="S3323" s="28"/>
      <c r="T3323" s="28"/>
      <c r="U3323" s="4"/>
      <c r="V3323" s="3"/>
      <c r="W3323" s="3"/>
    </row>
    <row r="3324" spans="1:23" s="5" customFormat="1">
      <c r="A3324" s="6"/>
      <c r="B3324" s="33"/>
      <c r="C3324" s="35"/>
      <c r="E3324" s="39"/>
      <c r="G3324" s="40"/>
      <c r="H3324" s="15"/>
      <c r="I3324" s="17"/>
      <c r="J3324" s="10"/>
      <c r="M3324" s="39"/>
      <c r="O3324" s="39"/>
      <c r="Q3324" s="39"/>
      <c r="R3324" s="28"/>
      <c r="S3324" s="28"/>
      <c r="T3324" s="28"/>
      <c r="U3324" s="4"/>
      <c r="V3324" s="3"/>
      <c r="W3324" s="3"/>
    </row>
    <row r="3325" spans="1:23" s="5" customFormat="1">
      <c r="A3325" s="6"/>
      <c r="B3325" s="33"/>
      <c r="C3325" s="35"/>
      <c r="E3325" s="39"/>
      <c r="G3325" s="40"/>
      <c r="H3325" s="15"/>
      <c r="I3325" s="17"/>
      <c r="J3325" s="10"/>
      <c r="M3325" s="39"/>
      <c r="O3325" s="39"/>
      <c r="Q3325" s="39"/>
      <c r="R3325" s="28"/>
      <c r="S3325" s="28"/>
      <c r="T3325" s="28"/>
      <c r="U3325" s="4"/>
      <c r="V3325" s="3"/>
      <c r="W3325" s="3"/>
    </row>
    <row r="3326" spans="1:23" s="5" customFormat="1">
      <c r="A3326" s="6"/>
      <c r="B3326" s="33"/>
      <c r="C3326" s="35"/>
      <c r="E3326" s="39"/>
      <c r="G3326" s="40"/>
      <c r="H3326" s="14"/>
      <c r="I3326" s="17"/>
      <c r="J3326" s="10"/>
      <c r="M3326" s="39"/>
      <c r="O3326" s="39"/>
      <c r="Q3326" s="39"/>
      <c r="R3326" s="28"/>
      <c r="S3326" s="28"/>
      <c r="T3326" s="28"/>
      <c r="U3326" s="4"/>
      <c r="V3326" s="3"/>
      <c r="W3326" s="3"/>
    </row>
    <row r="3327" spans="1:23" s="5" customFormat="1">
      <c r="A3327" s="6"/>
      <c r="B3327" s="33"/>
      <c r="C3327" s="35"/>
      <c r="E3327" s="39"/>
      <c r="G3327" s="40"/>
      <c r="H3327" s="14"/>
      <c r="I3327" s="17"/>
      <c r="J3327" s="10"/>
      <c r="M3327" s="39"/>
      <c r="O3327" s="39"/>
      <c r="Q3327" s="39"/>
      <c r="R3327" s="28"/>
      <c r="S3327" s="28"/>
      <c r="T3327" s="28"/>
      <c r="U3327" s="4"/>
      <c r="V3327" s="3"/>
      <c r="W3327" s="3"/>
    </row>
    <row r="3328" spans="1:23" s="5" customFormat="1">
      <c r="A3328" s="6"/>
      <c r="B3328" s="33"/>
      <c r="C3328" s="35"/>
      <c r="E3328" s="39"/>
      <c r="G3328" s="40"/>
      <c r="H3328" s="14"/>
      <c r="I3328" s="17"/>
      <c r="J3328" s="10"/>
      <c r="M3328" s="39"/>
      <c r="O3328" s="39"/>
      <c r="Q3328" s="39"/>
      <c r="R3328" s="28"/>
      <c r="S3328" s="29"/>
      <c r="T3328" s="28"/>
      <c r="U3328" s="4"/>
      <c r="V3328" s="3"/>
      <c r="W3328" s="3"/>
    </row>
    <row r="3329" spans="1:23" s="5" customFormat="1">
      <c r="A3329" s="6"/>
      <c r="B3329" s="33"/>
      <c r="C3329" s="35"/>
      <c r="E3329" s="39"/>
      <c r="G3329" s="40"/>
      <c r="H3329" s="15"/>
      <c r="I3329" s="17"/>
      <c r="J3329" s="10"/>
      <c r="M3329" s="39"/>
      <c r="O3329" s="39"/>
      <c r="Q3329" s="39"/>
      <c r="R3329" s="28"/>
      <c r="S3329" s="28"/>
      <c r="T3329" s="28"/>
      <c r="U3329" s="4"/>
      <c r="V3329" s="3"/>
      <c r="W3329" s="3"/>
    </row>
    <row r="3330" spans="1:23" s="5" customFormat="1">
      <c r="A3330" s="6"/>
      <c r="B3330" s="33"/>
      <c r="C3330" s="35"/>
      <c r="E3330" s="39"/>
      <c r="G3330" s="40"/>
      <c r="H3330" s="14"/>
      <c r="I3330" s="17"/>
      <c r="J3330" s="10"/>
      <c r="M3330" s="39"/>
      <c r="O3330" s="39"/>
      <c r="Q3330" s="39"/>
      <c r="R3330" s="28"/>
      <c r="S3330" s="28"/>
      <c r="T3330" s="28"/>
      <c r="U3330" s="4"/>
      <c r="V3330" s="3"/>
      <c r="W3330" s="3"/>
    </row>
    <row r="3331" spans="1:23" s="5" customFormat="1">
      <c r="A3331" s="6"/>
      <c r="B3331" s="33"/>
      <c r="C3331" s="35"/>
      <c r="E3331" s="39"/>
      <c r="G3331" s="40"/>
      <c r="H3331" s="14"/>
      <c r="I3331" s="17"/>
      <c r="J3331" s="10"/>
      <c r="M3331" s="39"/>
      <c r="O3331" s="39"/>
      <c r="Q3331" s="39"/>
      <c r="R3331" s="28"/>
      <c r="S3331" s="28"/>
      <c r="T3331" s="28"/>
      <c r="U3331" s="4"/>
      <c r="V3331" s="3"/>
      <c r="W3331" s="3"/>
    </row>
    <row r="3332" spans="1:23" s="5" customFormat="1">
      <c r="A3332" s="6"/>
      <c r="B3332" s="33"/>
      <c r="C3332" s="35"/>
      <c r="E3332" s="39"/>
      <c r="G3332" s="40"/>
      <c r="H3332" s="14"/>
      <c r="I3332" s="17"/>
      <c r="J3332" s="10"/>
      <c r="M3332" s="39"/>
      <c r="O3332" s="39"/>
      <c r="Q3332" s="39"/>
      <c r="R3332" s="28"/>
      <c r="S3332" s="28"/>
      <c r="T3332" s="28"/>
      <c r="U3332" s="4"/>
      <c r="V3332" s="3"/>
      <c r="W3332" s="3"/>
    </row>
    <row r="3333" spans="1:23" s="5" customFormat="1">
      <c r="A3333" s="6"/>
      <c r="B3333" s="33"/>
      <c r="C3333" s="35"/>
      <c r="E3333" s="39"/>
      <c r="G3333" s="40"/>
      <c r="H3333" s="15"/>
      <c r="I3333" s="17"/>
      <c r="J3333" s="10"/>
      <c r="M3333" s="39"/>
      <c r="O3333" s="39"/>
      <c r="Q3333" s="39"/>
      <c r="R3333" s="28"/>
      <c r="S3333" s="28"/>
      <c r="T3333" s="28"/>
      <c r="U3333" s="4"/>
      <c r="V3333" s="3"/>
      <c r="W3333" s="3"/>
    </row>
    <row r="3334" spans="1:23" s="5" customFormat="1">
      <c r="A3334" s="6"/>
      <c r="B3334" s="33"/>
      <c r="C3334" s="35"/>
      <c r="E3334" s="39"/>
      <c r="G3334" s="40"/>
      <c r="H3334" s="14"/>
      <c r="I3334" s="17"/>
      <c r="J3334" s="10"/>
      <c r="M3334" s="39"/>
      <c r="O3334" s="39"/>
      <c r="Q3334" s="39"/>
      <c r="R3334" s="28"/>
      <c r="S3334" s="28"/>
      <c r="T3334" s="28"/>
      <c r="U3334" s="4"/>
      <c r="V3334" s="3"/>
      <c r="W3334" s="3"/>
    </row>
    <row r="3335" spans="1:23" s="5" customFormat="1">
      <c r="A3335" s="6"/>
      <c r="B3335" s="33"/>
      <c r="C3335" s="35"/>
      <c r="E3335" s="39"/>
      <c r="G3335" s="40"/>
      <c r="H3335" s="15"/>
      <c r="I3335" s="17"/>
      <c r="J3335" s="10"/>
      <c r="M3335" s="39"/>
      <c r="O3335" s="39"/>
      <c r="Q3335" s="39"/>
      <c r="R3335" s="28"/>
      <c r="S3335" s="28"/>
      <c r="T3335" s="28"/>
      <c r="U3335" s="4"/>
      <c r="V3335" s="3"/>
      <c r="W3335" s="3"/>
    </row>
    <row r="3336" spans="1:23" s="5" customFormat="1">
      <c r="A3336" s="6"/>
      <c r="B3336" s="33"/>
      <c r="C3336" s="35"/>
      <c r="E3336" s="39"/>
      <c r="G3336" s="40"/>
      <c r="H3336" s="15"/>
      <c r="I3336" s="17"/>
      <c r="J3336" s="10"/>
      <c r="M3336" s="39"/>
      <c r="O3336" s="39"/>
      <c r="Q3336" s="39"/>
      <c r="R3336" s="28"/>
      <c r="S3336" s="28"/>
      <c r="T3336" s="28"/>
      <c r="U3336" s="4"/>
      <c r="V3336" s="3"/>
      <c r="W3336" s="3"/>
    </row>
    <row r="3337" spans="1:23" s="5" customFormat="1">
      <c r="A3337" s="6"/>
      <c r="B3337" s="33"/>
      <c r="C3337" s="35"/>
      <c r="E3337" s="39"/>
      <c r="G3337" s="40"/>
      <c r="H3337" s="15"/>
      <c r="I3337" s="17"/>
      <c r="J3337" s="10"/>
      <c r="M3337" s="39"/>
      <c r="O3337" s="39"/>
      <c r="Q3337" s="39"/>
      <c r="R3337" s="28"/>
      <c r="S3337" s="28"/>
      <c r="T3337" s="28"/>
      <c r="U3337" s="4"/>
      <c r="V3337" s="3"/>
      <c r="W3337" s="3"/>
    </row>
    <row r="3338" spans="1:23" s="5" customFormat="1">
      <c r="A3338" s="6"/>
      <c r="B3338" s="33"/>
      <c r="C3338" s="35"/>
      <c r="E3338" s="39"/>
      <c r="G3338" s="40"/>
      <c r="H3338" s="15"/>
      <c r="I3338" s="17"/>
      <c r="J3338" s="10"/>
      <c r="M3338" s="39"/>
      <c r="O3338" s="39"/>
      <c r="Q3338" s="39"/>
      <c r="R3338" s="28"/>
      <c r="S3338" s="28"/>
      <c r="T3338" s="28"/>
      <c r="U3338" s="4"/>
      <c r="V3338" s="3"/>
      <c r="W3338" s="3"/>
    </row>
    <row r="3339" spans="1:23" s="5" customFormat="1">
      <c r="A3339" s="6"/>
      <c r="B3339" s="33"/>
      <c r="C3339" s="35"/>
      <c r="E3339" s="39"/>
      <c r="G3339" s="40"/>
      <c r="H3339" s="15"/>
      <c r="I3339" s="17"/>
      <c r="J3339" s="10"/>
      <c r="M3339" s="39"/>
      <c r="O3339" s="39"/>
      <c r="Q3339" s="39"/>
      <c r="R3339" s="28"/>
      <c r="S3339" s="28"/>
      <c r="T3339" s="28"/>
      <c r="U3339" s="4"/>
      <c r="V3339" s="3"/>
      <c r="W3339" s="3"/>
    </row>
    <row r="3340" spans="1:23" s="5" customFormat="1">
      <c r="A3340" s="6"/>
      <c r="B3340" s="33"/>
      <c r="C3340" s="35"/>
      <c r="E3340" s="39"/>
      <c r="G3340" s="40"/>
      <c r="H3340" s="14"/>
      <c r="I3340" s="17"/>
      <c r="J3340" s="10"/>
      <c r="M3340" s="39"/>
      <c r="O3340" s="39"/>
      <c r="Q3340" s="39"/>
      <c r="R3340" s="28"/>
      <c r="S3340" s="28"/>
      <c r="T3340" s="28"/>
      <c r="U3340" s="4"/>
      <c r="V3340" s="3"/>
      <c r="W3340" s="3"/>
    </row>
    <row r="3341" spans="1:23" s="5" customFormat="1">
      <c r="A3341" s="6"/>
      <c r="B3341" s="33"/>
      <c r="C3341" s="35"/>
      <c r="E3341" s="39"/>
      <c r="G3341" s="40"/>
      <c r="H3341" s="15"/>
      <c r="I3341" s="17"/>
      <c r="J3341" s="10"/>
      <c r="M3341" s="39"/>
      <c r="O3341" s="39"/>
      <c r="Q3341" s="39"/>
      <c r="R3341" s="28"/>
      <c r="S3341" s="28"/>
      <c r="T3341" s="28"/>
      <c r="U3341" s="4"/>
      <c r="V3341" s="3"/>
      <c r="W3341" s="3"/>
    </row>
    <row r="3342" spans="1:23" s="5" customFormat="1">
      <c r="A3342" s="6"/>
      <c r="B3342" s="33"/>
      <c r="C3342" s="35"/>
      <c r="E3342" s="39"/>
      <c r="G3342" s="40"/>
      <c r="H3342" s="15"/>
      <c r="I3342" s="17"/>
      <c r="J3342" s="10"/>
      <c r="M3342" s="39"/>
      <c r="O3342" s="39"/>
      <c r="Q3342" s="39"/>
      <c r="R3342" s="28"/>
      <c r="S3342" s="28"/>
      <c r="T3342" s="28"/>
      <c r="U3342" s="4"/>
      <c r="V3342" s="3"/>
      <c r="W3342" s="3"/>
    </row>
    <row r="3343" spans="1:23" s="5" customFormat="1">
      <c r="A3343" s="6"/>
      <c r="B3343" s="33"/>
      <c r="C3343" s="35"/>
      <c r="E3343" s="39"/>
      <c r="G3343" s="40"/>
      <c r="H3343" s="15"/>
      <c r="I3343" s="17"/>
      <c r="J3343" s="10"/>
      <c r="M3343" s="39"/>
      <c r="O3343" s="39"/>
      <c r="Q3343" s="39"/>
      <c r="R3343" s="28"/>
      <c r="S3343" s="28"/>
      <c r="T3343" s="28"/>
      <c r="U3343" s="4"/>
      <c r="V3343" s="3"/>
      <c r="W3343" s="3"/>
    </row>
    <row r="3344" spans="1:23" s="5" customFormat="1">
      <c r="A3344" s="6"/>
      <c r="B3344" s="33"/>
      <c r="C3344" s="35"/>
      <c r="E3344" s="39"/>
      <c r="G3344" s="40"/>
      <c r="H3344" s="15"/>
      <c r="I3344" s="17"/>
      <c r="J3344" s="10"/>
      <c r="M3344" s="39"/>
      <c r="O3344" s="39"/>
      <c r="Q3344" s="39"/>
      <c r="R3344" s="28"/>
      <c r="S3344" s="28"/>
      <c r="T3344" s="28"/>
      <c r="U3344" s="4"/>
      <c r="V3344" s="3"/>
      <c r="W3344" s="3"/>
    </row>
    <row r="3345" spans="1:23" s="5" customFormat="1">
      <c r="A3345" s="6"/>
      <c r="B3345" s="33"/>
      <c r="C3345" s="35"/>
      <c r="E3345" s="39"/>
      <c r="G3345" s="40"/>
      <c r="H3345" s="15"/>
      <c r="I3345" s="17"/>
      <c r="J3345" s="10"/>
      <c r="M3345" s="39"/>
      <c r="O3345" s="39"/>
      <c r="Q3345" s="39"/>
      <c r="R3345" s="28"/>
      <c r="S3345" s="28"/>
      <c r="T3345" s="28"/>
      <c r="U3345" s="4"/>
      <c r="V3345" s="3"/>
      <c r="W3345" s="3"/>
    </row>
    <row r="3346" spans="1:23" s="5" customFormat="1">
      <c r="A3346" s="6"/>
      <c r="B3346" s="33"/>
      <c r="C3346" s="35"/>
      <c r="E3346" s="39"/>
      <c r="G3346" s="40"/>
      <c r="H3346" s="15"/>
      <c r="I3346" s="17"/>
      <c r="J3346" s="10"/>
      <c r="M3346" s="39"/>
      <c r="O3346" s="39"/>
      <c r="Q3346" s="39"/>
      <c r="R3346" s="28"/>
      <c r="S3346" s="28"/>
      <c r="T3346" s="28"/>
      <c r="U3346" s="4"/>
      <c r="V3346" s="3"/>
      <c r="W3346" s="3"/>
    </row>
    <row r="3347" spans="1:23" s="5" customFormat="1">
      <c r="A3347" s="6"/>
      <c r="B3347" s="33"/>
      <c r="C3347" s="35"/>
      <c r="E3347" s="39"/>
      <c r="G3347" s="40"/>
      <c r="H3347" s="15"/>
      <c r="I3347" s="17"/>
      <c r="J3347" s="10"/>
      <c r="M3347" s="39"/>
      <c r="O3347" s="39"/>
      <c r="Q3347" s="39"/>
      <c r="R3347" s="28"/>
      <c r="S3347" s="28"/>
      <c r="T3347" s="28"/>
      <c r="U3347" s="4"/>
      <c r="V3347" s="3"/>
      <c r="W3347" s="3"/>
    </row>
    <row r="3348" spans="1:23" s="5" customFormat="1">
      <c r="A3348" s="6"/>
      <c r="B3348" s="33"/>
      <c r="C3348" s="35"/>
      <c r="E3348" s="39"/>
      <c r="G3348" s="40"/>
      <c r="H3348" s="14"/>
      <c r="I3348" s="17"/>
      <c r="J3348" s="10"/>
      <c r="M3348" s="39"/>
      <c r="O3348" s="39"/>
      <c r="Q3348" s="39"/>
      <c r="R3348" s="28"/>
      <c r="S3348" s="28"/>
      <c r="T3348" s="28"/>
      <c r="U3348" s="4"/>
      <c r="V3348" s="3"/>
      <c r="W3348" s="3"/>
    </row>
    <row r="3349" spans="1:23" s="5" customFormat="1">
      <c r="A3349" s="6"/>
      <c r="B3349" s="33"/>
      <c r="C3349" s="35"/>
      <c r="E3349" s="39"/>
      <c r="G3349" s="40"/>
      <c r="H3349" s="14"/>
      <c r="I3349" s="17"/>
      <c r="J3349" s="10"/>
      <c r="M3349" s="39"/>
      <c r="O3349" s="39"/>
      <c r="Q3349" s="39"/>
      <c r="R3349" s="28"/>
      <c r="S3349" s="28"/>
      <c r="T3349" s="28"/>
      <c r="U3349" s="4"/>
      <c r="V3349" s="3"/>
      <c r="W3349" s="3"/>
    </row>
    <row r="3350" spans="1:23" s="5" customFormat="1">
      <c r="A3350" s="6"/>
      <c r="B3350" s="33"/>
      <c r="C3350" s="35"/>
      <c r="E3350" s="39"/>
      <c r="G3350" s="40"/>
      <c r="H3350" s="14"/>
      <c r="I3350" s="17"/>
      <c r="J3350" s="10"/>
      <c r="M3350" s="39"/>
      <c r="O3350" s="39"/>
      <c r="Q3350" s="39"/>
      <c r="R3350" s="28"/>
      <c r="S3350" s="28"/>
      <c r="T3350" s="28"/>
      <c r="U3350" s="4"/>
      <c r="V3350" s="3"/>
      <c r="W3350" s="3"/>
    </row>
    <row r="3351" spans="1:23" s="5" customFormat="1">
      <c r="A3351" s="6"/>
      <c r="B3351" s="33"/>
      <c r="C3351" s="35"/>
      <c r="E3351" s="39"/>
      <c r="G3351" s="40"/>
      <c r="H3351" s="15"/>
      <c r="I3351" s="17"/>
      <c r="J3351" s="10"/>
      <c r="M3351" s="39"/>
      <c r="O3351" s="39"/>
      <c r="Q3351" s="39"/>
      <c r="R3351" s="28"/>
      <c r="S3351" s="28"/>
      <c r="T3351" s="28"/>
      <c r="U3351" s="4"/>
      <c r="V3351" s="3"/>
      <c r="W3351" s="3"/>
    </row>
    <row r="3352" spans="1:23" s="5" customFormat="1">
      <c r="A3352" s="6"/>
      <c r="B3352" s="33"/>
      <c r="C3352" s="35"/>
      <c r="E3352" s="39"/>
      <c r="G3352" s="40"/>
      <c r="H3352" s="15"/>
      <c r="I3352" s="17"/>
      <c r="J3352" s="10"/>
      <c r="M3352" s="39"/>
      <c r="O3352" s="39"/>
      <c r="Q3352" s="39"/>
      <c r="R3352" s="28"/>
      <c r="S3352" s="28"/>
      <c r="T3352" s="28"/>
      <c r="U3352" s="4"/>
      <c r="V3352" s="3"/>
      <c r="W3352" s="3"/>
    </row>
    <row r="3353" spans="1:23" s="5" customFormat="1">
      <c r="A3353" s="6"/>
      <c r="B3353" s="33"/>
      <c r="C3353" s="35"/>
      <c r="E3353" s="39"/>
      <c r="G3353" s="40"/>
      <c r="H3353" s="15"/>
      <c r="I3353" s="17"/>
      <c r="J3353" s="10"/>
      <c r="M3353" s="39"/>
      <c r="O3353" s="39"/>
      <c r="Q3353" s="39"/>
      <c r="R3353" s="28"/>
      <c r="S3353" s="28"/>
      <c r="T3353" s="28"/>
      <c r="U3353" s="4"/>
      <c r="V3353" s="3"/>
      <c r="W3353" s="3"/>
    </row>
    <row r="3354" spans="1:23" s="5" customFormat="1">
      <c r="A3354" s="6"/>
      <c r="B3354" s="33"/>
      <c r="C3354" s="35"/>
      <c r="E3354" s="39"/>
      <c r="G3354" s="40"/>
      <c r="H3354" s="15"/>
      <c r="I3354" s="17"/>
      <c r="J3354" s="10"/>
      <c r="M3354" s="39"/>
      <c r="O3354" s="39"/>
      <c r="Q3354" s="39"/>
      <c r="R3354" s="28"/>
      <c r="S3354" s="28"/>
      <c r="T3354" s="28"/>
      <c r="U3354" s="4"/>
      <c r="V3354" s="3"/>
      <c r="W3354" s="3"/>
    </row>
    <row r="3355" spans="1:23" s="5" customFormat="1">
      <c r="A3355" s="6"/>
      <c r="B3355" s="33"/>
      <c r="C3355" s="35"/>
      <c r="E3355" s="39"/>
      <c r="G3355" s="40"/>
      <c r="H3355" s="15"/>
      <c r="I3355" s="17"/>
      <c r="J3355" s="10"/>
      <c r="M3355" s="39"/>
      <c r="O3355" s="39"/>
      <c r="Q3355" s="39"/>
      <c r="R3355" s="28"/>
      <c r="S3355" s="28"/>
      <c r="T3355" s="28"/>
      <c r="U3355" s="4"/>
      <c r="V3355" s="3"/>
      <c r="W3355" s="3"/>
    </row>
    <row r="3356" spans="1:23" s="5" customFormat="1">
      <c r="A3356" s="6"/>
      <c r="B3356" s="33"/>
      <c r="C3356" s="35"/>
      <c r="E3356" s="39"/>
      <c r="G3356" s="40"/>
      <c r="H3356" s="15"/>
      <c r="I3356" s="17"/>
      <c r="J3356" s="10"/>
      <c r="M3356" s="39"/>
      <c r="O3356" s="39"/>
      <c r="Q3356" s="39"/>
      <c r="R3356" s="28"/>
      <c r="S3356" s="28"/>
      <c r="T3356" s="28"/>
      <c r="U3356" s="4"/>
      <c r="V3356" s="3"/>
      <c r="W3356" s="3"/>
    </row>
    <row r="3357" spans="1:23" s="5" customFormat="1">
      <c r="A3357" s="6"/>
      <c r="B3357" s="33"/>
      <c r="C3357" s="35"/>
      <c r="E3357" s="39"/>
      <c r="G3357" s="40"/>
      <c r="H3357" s="15"/>
      <c r="I3357" s="17"/>
      <c r="J3357" s="10"/>
      <c r="M3357" s="39"/>
      <c r="O3357" s="39"/>
      <c r="Q3357" s="39"/>
      <c r="R3357" s="28"/>
      <c r="S3357" s="28"/>
      <c r="T3357" s="28"/>
      <c r="U3357" s="4"/>
      <c r="V3357" s="3"/>
      <c r="W3357" s="3"/>
    </row>
    <row r="3358" spans="1:23" s="5" customFormat="1">
      <c r="A3358" s="6"/>
      <c r="B3358" s="33"/>
      <c r="C3358" s="35"/>
      <c r="E3358" s="39"/>
      <c r="G3358" s="40"/>
      <c r="H3358" s="15"/>
      <c r="I3358" s="17"/>
      <c r="J3358" s="10"/>
      <c r="M3358" s="39"/>
      <c r="O3358" s="39"/>
      <c r="Q3358" s="39"/>
      <c r="R3358" s="28"/>
      <c r="S3358" s="28"/>
      <c r="T3358" s="28"/>
      <c r="U3358" s="4"/>
      <c r="V3358" s="3"/>
      <c r="W3358" s="3"/>
    </row>
    <row r="3359" spans="1:23" s="5" customFormat="1">
      <c r="A3359" s="6"/>
      <c r="B3359" s="33"/>
      <c r="C3359" s="35"/>
      <c r="E3359" s="39"/>
      <c r="G3359" s="40"/>
      <c r="H3359" s="15"/>
      <c r="I3359" s="17"/>
      <c r="J3359" s="10"/>
      <c r="M3359" s="39"/>
      <c r="O3359" s="39"/>
      <c r="Q3359" s="39"/>
      <c r="R3359" s="28"/>
      <c r="S3359" s="28"/>
      <c r="T3359" s="28"/>
      <c r="U3359" s="4"/>
      <c r="V3359" s="3"/>
      <c r="W3359" s="3"/>
    </row>
    <row r="3360" spans="1:23" s="5" customFormat="1">
      <c r="A3360" s="6"/>
      <c r="B3360" s="33"/>
      <c r="C3360" s="35"/>
      <c r="E3360" s="39"/>
      <c r="G3360" s="40"/>
      <c r="H3360" s="14"/>
      <c r="I3360" s="17"/>
      <c r="J3360" s="10"/>
      <c r="M3360" s="39"/>
      <c r="O3360" s="39"/>
      <c r="Q3360" s="39"/>
      <c r="R3360" s="28"/>
      <c r="S3360" s="28"/>
      <c r="T3360" s="28"/>
      <c r="U3360" s="4"/>
      <c r="V3360" s="3"/>
      <c r="W3360" s="3"/>
    </row>
    <row r="3361" spans="1:23" s="5" customFormat="1">
      <c r="A3361" s="6"/>
      <c r="B3361" s="33"/>
      <c r="C3361" s="35"/>
      <c r="E3361" s="39"/>
      <c r="G3361" s="40"/>
      <c r="H3361" s="15"/>
      <c r="I3361" s="17"/>
      <c r="J3361" s="10"/>
      <c r="M3361" s="39"/>
      <c r="O3361" s="39"/>
      <c r="Q3361" s="39"/>
      <c r="R3361" s="28"/>
      <c r="S3361" s="28"/>
      <c r="T3361" s="28"/>
      <c r="U3361" s="4"/>
      <c r="V3361" s="3"/>
      <c r="W3361" s="3"/>
    </row>
    <row r="3362" spans="1:23" s="5" customFormat="1">
      <c r="A3362" s="6"/>
      <c r="B3362" s="33"/>
      <c r="C3362" s="35"/>
      <c r="E3362" s="39"/>
      <c r="G3362" s="40"/>
      <c r="H3362" s="14"/>
      <c r="I3362" s="17"/>
      <c r="J3362" s="10"/>
      <c r="M3362" s="39"/>
      <c r="O3362" s="39"/>
      <c r="Q3362" s="39"/>
      <c r="R3362" s="28"/>
      <c r="S3362" s="28"/>
      <c r="T3362" s="28"/>
      <c r="U3362" s="4"/>
      <c r="V3362" s="3"/>
      <c r="W3362" s="3"/>
    </row>
    <row r="3363" spans="1:23" s="5" customFormat="1">
      <c r="A3363" s="6"/>
      <c r="B3363" s="33"/>
      <c r="C3363" s="35"/>
      <c r="E3363" s="39"/>
      <c r="G3363" s="40"/>
      <c r="H3363" s="14"/>
      <c r="I3363" s="17"/>
      <c r="J3363" s="10"/>
      <c r="M3363" s="39"/>
      <c r="O3363" s="39"/>
      <c r="Q3363" s="39"/>
      <c r="R3363" s="28"/>
      <c r="S3363" s="28"/>
      <c r="T3363" s="28"/>
      <c r="U3363" s="4"/>
      <c r="V3363" s="3"/>
      <c r="W3363" s="3"/>
    </row>
    <row r="3364" spans="1:23" s="5" customFormat="1">
      <c r="A3364" s="6"/>
      <c r="B3364" s="33"/>
      <c r="C3364" s="35"/>
      <c r="E3364" s="39"/>
      <c r="G3364" s="40"/>
      <c r="H3364" s="15"/>
      <c r="I3364" s="17"/>
      <c r="J3364" s="10"/>
      <c r="M3364" s="39"/>
      <c r="O3364" s="39"/>
      <c r="Q3364" s="39"/>
      <c r="R3364" s="28"/>
      <c r="S3364" s="28"/>
      <c r="T3364" s="28"/>
      <c r="U3364" s="4"/>
      <c r="V3364" s="3"/>
      <c r="W3364" s="3"/>
    </row>
    <row r="3365" spans="1:23" s="5" customFormat="1">
      <c r="A3365" s="6"/>
      <c r="B3365" s="33"/>
      <c r="C3365" s="35"/>
      <c r="E3365" s="39"/>
      <c r="G3365" s="40"/>
      <c r="H3365" s="14"/>
      <c r="I3365" s="17"/>
      <c r="J3365" s="10"/>
      <c r="M3365" s="39"/>
      <c r="O3365" s="39"/>
      <c r="Q3365" s="39"/>
      <c r="R3365" s="28"/>
      <c r="S3365" s="28"/>
      <c r="T3365" s="28"/>
      <c r="U3365" s="4"/>
      <c r="V3365" s="3"/>
      <c r="W3365" s="3"/>
    </row>
    <row r="3366" spans="1:23" s="5" customFormat="1">
      <c r="A3366" s="6"/>
      <c r="B3366" s="33"/>
      <c r="C3366" s="35"/>
      <c r="E3366" s="39"/>
      <c r="G3366" s="40"/>
      <c r="H3366" s="14"/>
      <c r="I3366" s="17"/>
      <c r="J3366" s="10"/>
      <c r="M3366" s="39"/>
      <c r="O3366" s="39"/>
      <c r="Q3366" s="39"/>
      <c r="R3366" s="28"/>
      <c r="S3366" s="28"/>
      <c r="T3366" s="28"/>
      <c r="U3366" s="4"/>
      <c r="V3366" s="3"/>
      <c r="W3366" s="3"/>
    </row>
    <row r="3367" spans="1:23" s="5" customFormat="1">
      <c r="A3367" s="6"/>
      <c r="B3367" s="33"/>
      <c r="C3367" s="35"/>
      <c r="E3367" s="39"/>
      <c r="G3367" s="40"/>
      <c r="H3367" s="15"/>
      <c r="I3367" s="17"/>
      <c r="J3367" s="10"/>
      <c r="M3367" s="39"/>
      <c r="O3367" s="39"/>
      <c r="Q3367" s="39"/>
      <c r="R3367" s="28"/>
      <c r="S3367" s="28"/>
      <c r="T3367" s="28"/>
      <c r="U3367" s="4"/>
      <c r="V3367" s="3"/>
      <c r="W3367" s="3"/>
    </row>
    <row r="3368" spans="1:23" s="5" customFormat="1">
      <c r="A3368" s="6"/>
      <c r="B3368" s="33"/>
      <c r="C3368" s="35"/>
      <c r="E3368" s="39"/>
      <c r="G3368" s="40"/>
      <c r="H3368" s="15"/>
      <c r="I3368" s="17"/>
      <c r="J3368" s="10"/>
      <c r="M3368" s="39"/>
      <c r="O3368" s="39"/>
      <c r="Q3368" s="39"/>
      <c r="R3368" s="28"/>
      <c r="S3368" s="28"/>
      <c r="T3368" s="28"/>
      <c r="U3368" s="4"/>
      <c r="V3368" s="3"/>
      <c r="W3368" s="3"/>
    </row>
    <row r="3369" spans="1:23" s="5" customFormat="1">
      <c r="A3369" s="6"/>
      <c r="B3369" s="33"/>
      <c r="C3369" s="35"/>
      <c r="E3369" s="39"/>
      <c r="G3369" s="40"/>
      <c r="H3369" s="15"/>
      <c r="I3369" s="17"/>
      <c r="J3369" s="10"/>
      <c r="M3369" s="39"/>
      <c r="O3369" s="39"/>
      <c r="Q3369" s="39"/>
      <c r="R3369" s="28"/>
      <c r="S3369" s="28"/>
      <c r="T3369" s="28"/>
      <c r="U3369" s="4"/>
      <c r="V3369" s="3"/>
      <c r="W3369" s="3"/>
    </row>
    <row r="3370" spans="1:23" s="5" customFormat="1">
      <c r="A3370" s="6"/>
      <c r="B3370" s="33"/>
      <c r="C3370" s="35"/>
      <c r="E3370" s="39"/>
      <c r="G3370" s="40"/>
      <c r="H3370" s="15"/>
      <c r="I3370" s="17"/>
      <c r="J3370" s="10"/>
      <c r="M3370" s="39"/>
      <c r="O3370" s="39"/>
      <c r="Q3370" s="39"/>
      <c r="R3370" s="28"/>
      <c r="S3370" s="28"/>
      <c r="T3370" s="28"/>
      <c r="U3370" s="4"/>
      <c r="V3370" s="3"/>
      <c r="W3370" s="3"/>
    </row>
    <row r="3371" spans="1:23" s="5" customFormat="1">
      <c r="A3371" s="6"/>
      <c r="B3371" s="33"/>
      <c r="C3371" s="35"/>
      <c r="E3371" s="39"/>
      <c r="G3371" s="40"/>
      <c r="H3371" s="14"/>
      <c r="I3371" s="17"/>
      <c r="J3371" s="10"/>
      <c r="M3371" s="39"/>
      <c r="O3371" s="39"/>
      <c r="Q3371" s="39"/>
      <c r="R3371" s="28"/>
      <c r="S3371" s="28"/>
      <c r="T3371" s="28"/>
      <c r="U3371" s="4"/>
      <c r="V3371" s="3"/>
      <c r="W3371" s="3"/>
    </row>
    <row r="3372" spans="1:23" s="5" customFormat="1">
      <c r="A3372" s="6"/>
      <c r="B3372" s="33"/>
      <c r="C3372" s="35"/>
      <c r="E3372" s="39"/>
      <c r="G3372" s="40"/>
      <c r="H3372" s="14"/>
      <c r="I3372" s="17"/>
      <c r="J3372" s="10"/>
      <c r="M3372" s="39"/>
      <c r="O3372" s="39"/>
      <c r="Q3372" s="39"/>
      <c r="R3372" s="28"/>
      <c r="S3372" s="28"/>
      <c r="T3372" s="28"/>
      <c r="U3372" s="4"/>
      <c r="V3372" s="3"/>
      <c r="W3372" s="3"/>
    </row>
    <row r="3373" spans="1:23" s="5" customFormat="1">
      <c r="A3373" s="6"/>
      <c r="B3373" s="33"/>
      <c r="C3373" s="35"/>
      <c r="E3373" s="39"/>
      <c r="G3373" s="40"/>
      <c r="H3373" s="14"/>
      <c r="I3373" s="17"/>
      <c r="J3373" s="10"/>
      <c r="M3373" s="39"/>
      <c r="O3373" s="39"/>
      <c r="Q3373" s="39"/>
      <c r="R3373" s="28"/>
      <c r="S3373" s="28"/>
      <c r="T3373" s="28"/>
      <c r="U3373" s="4"/>
      <c r="V3373" s="3"/>
      <c r="W3373" s="3"/>
    </row>
    <row r="3374" spans="1:23" s="5" customFormat="1">
      <c r="A3374" s="6"/>
      <c r="B3374" s="33"/>
      <c r="C3374" s="35"/>
      <c r="E3374" s="39"/>
      <c r="G3374" s="40"/>
      <c r="H3374" s="14"/>
      <c r="I3374" s="17"/>
      <c r="J3374" s="10"/>
      <c r="M3374" s="39"/>
      <c r="O3374" s="39"/>
      <c r="Q3374" s="39"/>
      <c r="R3374" s="28"/>
      <c r="S3374" s="28"/>
      <c r="T3374" s="28"/>
      <c r="U3374" s="4"/>
      <c r="V3374" s="3"/>
      <c r="W3374" s="3"/>
    </row>
    <row r="3375" spans="1:23" s="5" customFormat="1">
      <c r="A3375" s="6"/>
      <c r="B3375" s="33"/>
      <c r="C3375" s="35"/>
      <c r="E3375" s="39"/>
      <c r="G3375" s="40"/>
      <c r="H3375" s="15"/>
      <c r="I3375" s="17"/>
      <c r="J3375" s="10"/>
      <c r="M3375" s="39"/>
      <c r="O3375" s="39"/>
      <c r="Q3375" s="39"/>
      <c r="R3375" s="28"/>
      <c r="S3375" s="28"/>
      <c r="T3375" s="28"/>
      <c r="U3375" s="4"/>
      <c r="V3375" s="3"/>
      <c r="W3375" s="3"/>
    </row>
    <row r="3376" spans="1:23" s="5" customFormat="1">
      <c r="A3376" s="6"/>
      <c r="B3376" s="33"/>
      <c r="C3376" s="35"/>
      <c r="E3376" s="39"/>
      <c r="G3376" s="40"/>
      <c r="H3376" s="14"/>
      <c r="I3376" s="17"/>
      <c r="J3376" s="10"/>
      <c r="M3376" s="39"/>
      <c r="O3376" s="39"/>
      <c r="Q3376" s="39"/>
      <c r="R3376" s="28"/>
      <c r="S3376" s="28"/>
      <c r="T3376" s="28"/>
      <c r="U3376" s="4"/>
      <c r="V3376" s="3"/>
      <c r="W3376" s="3"/>
    </row>
    <row r="3377" spans="1:23" s="5" customFormat="1">
      <c r="A3377" s="6"/>
      <c r="B3377" s="33"/>
      <c r="C3377" s="35"/>
      <c r="E3377" s="39"/>
      <c r="G3377" s="40"/>
      <c r="H3377" s="14"/>
      <c r="I3377" s="17"/>
      <c r="J3377" s="10"/>
      <c r="M3377" s="39"/>
      <c r="O3377" s="39"/>
      <c r="Q3377" s="39"/>
      <c r="R3377" s="28"/>
      <c r="S3377" s="28"/>
      <c r="T3377" s="28"/>
      <c r="U3377" s="4"/>
      <c r="V3377" s="3"/>
      <c r="W3377" s="3"/>
    </row>
    <row r="3378" spans="1:23" s="5" customFormat="1">
      <c r="A3378" s="6"/>
      <c r="B3378" s="33"/>
      <c r="C3378" s="35"/>
      <c r="E3378" s="39"/>
      <c r="G3378" s="40"/>
      <c r="H3378" s="15"/>
      <c r="I3378" s="17"/>
      <c r="J3378" s="10"/>
      <c r="M3378" s="39"/>
      <c r="O3378" s="39"/>
      <c r="Q3378" s="39"/>
      <c r="R3378" s="28"/>
      <c r="S3378" s="28"/>
      <c r="T3378" s="28"/>
      <c r="U3378" s="4"/>
      <c r="V3378" s="3"/>
      <c r="W3378" s="3"/>
    </row>
    <row r="3379" spans="1:23" s="5" customFormat="1">
      <c r="A3379" s="6"/>
      <c r="B3379" s="33"/>
      <c r="C3379" s="35"/>
      <c r="E3379" s="39"/>
      <c r="G3379" s="40"/>
      <c r="H3379" s="15"/>
      <c r="I3379" s="17"/>
      <c r="J3379" s="10"/>
      <c r="M3379" s="39"/>
      <c r="O3379" s="39"/>
      <c r="Q3379" s="39"/>
      <c r="R3379" s="28"/>
      <c r="S3379" s="28"/>
      <c r="T3379" s="28"/>
      <c r="U3379" s="4"/>
      <c r="V3379" s="3"/>
      <c r="W3379" s="3"/>
    </row>
    <row r="3380" spans="1:23" s="5" customFormat="1">
      <c r="A3380" s="6"/>
      <c r="B3380" s="33"/>
      <c r="C3380" s="35"/>
      <c r="E3380" s="39"/>
      <c r="G3380" s="40"/>
      <c r="H3380" s="15"/>
      <c r="I3380" s="17"/>
      <c r="J3380" s="10"/>
      <c r="M3380" s="39"/>
      <c r="O3380" s="39"/>
      <c r="Q3380" s="39"/>
      <c r="R3380" s="28"/>
      <c r="S3380" s="28"/>
      <c r="T3380" s="28"/>
      <c r="U3380" s="4"/>
      <c r="V3380" s="3"/>
      <c r="W3380" s="3"/>
    </row>
    <row r="3381" spans="1:23" s="5" customFormat="1">
      <c r="A3381" s="6"/>
      <c r="B3381" s="33"/>
      <c r="C3381" s="35"/>
      <c r="E3381" s="39"/>
      <c r="G3381" s="40"/>
      <c r="H3381" s="15"/>
      <c r="I3381" s="17"/>
      <c r="J3381" s="10"/>
      <c r="M3381" s="39"/>
      <c r="O3381" s="39"/>
      <c r="Q3381" s="39"/>
      <c r="R3381" s="28"/>
      <c r="S3381" s="28"/>
      <c r="T3381" s="28"/>
      <c r="U3381" s="4"/>
      <c r="V3381" s="3"/>
      <c r="W3381" s="3"/>
    </row>
    <row r="3382" spans="1:23" s="5" customFormat="1">
      <c r="A3382" s="6"/>
      <c r="B3382" s="33"/>
      <c r="C3382" s="35"/>
      <c r="E3382" s="39"/>
      <c r="G3382" s="40"/>
      <c r="H3382" s="15"/>
      <c r="I3382" s="17"/>
      <c r="J3382" s="10"/>
      <c r="M3382" s="39"/>
      <c r="O3382" s="39"/>
      <c r="Q3382" s="39"/>
      <c r="R3382" s="28"/>
      <c r="S3382" s="28"/>
      <c r="T3382" s="28"/>
      <c r="U3382" s="4"/>
      <c r="V3382" s="3"/>
      <c r="W3382" s="3"/>
    </row>
    <row r="3383" spans="1:23" s="5" customFormat="1">
      <c r="A3383" s="6"/>
      <c r="B3383" s="33"/>
      <c r="C3383" s="35"/>
      <c r="E3383" s="39"/>
      <c r="G3383" s="40"/>
      <c r="H3383" s="15"/>
      <c r="I3383" s="17"/>
      <c r="J3383" s="10"/>
      <c r="M3383" s="39"/>
      <c r="O3383" s="39"/>
      <c r="Q3383" s="39"/>
      <c r="R3383" s="28"/>
      <c r="S3383" s="28"/>
      <c r="T3383" s="28"/>
      <c r="U3383" s="4"/>
      <c r="V3383" s="3"/>
      <c r="W3383" s="3"/>
    </row>
    <row r="3384" spans="1:23" s="5" customFormat="1">
      <c r="A3384" s="6"/>
      <c r="B3384" s="33"/>
      <c r="C3384" s="35"/>
      <c r="E3384" s="39"/>
      <c r="G3384" s="40"/>
      <c r="H3384" s="15"/>
      <c r="I3384" s="17"/>
      <c r="J3384" s="10"/>
      <c r="M3384" s="39"/>
      <c r="O3384" s="39"/>
      <c r="Q3384" s="39"/>
      <c r="R3384" s="28"/>
      <c r="S3384" s="28"/>
      <c r="T3384" s="28"/>
      <c r="U3384" s="4"/>
      <c r="V3384" s="3"/>
      <c r="W3384" s="3"/>
    </row>
    <row r="3385" spans="1:23" s="5" customFormat="1">
      <c r="A3385" s="6"/>
      <c r="B3385" s="33"/>
      <c r="C3385" s="35"/>
      <c r="E3385" s="39"/>
      <c r="G3385" s="40"/>
      <c r="H3385" s="15"/>
      <c r="I3385" s="17"/>
      <c r="J3385" s="10"/>
      <c r="M3385" s="39"/>
      <c r="O3385" s="39"/>
      <c r="Q3385" s="39"/>
      <c r="R3385" s="28"/>
      <c r="S3385" s="28"/>
      <c r="T3385" s="28"/>
      <c r="U3385" s="4"/>
      <c r="V3385" s="3"/>
      <c r="W3385" s="3"/>
    </row>
    <row r="3386" spans="1:23" s="5" customFormat="1">
      <c r="A3386" s="6"/>
      <c r="B3386" s="33"/>
      <c r="C3386" s="35"/>
      <c r="E3386" s="39"/>
      <c r="G3386" s="40"/>
      <c r="H3386" s="15"/>
      <c r="I3386" s="17"/>
      <c r="J3386" s="10"/>
      <c r="M3386" s="39"/>
      <c r="O3386" s="39"/>
      <c r="Q3386" s="39"/>
      <c r="R3386" s="28"/>
      <c r="S3386" s="28"/>
      <c r="T3386" s="28"/>
      <c r="U3386" s="4"/>
      <c r="V3386" s="3"/>
      <c r="W3386" s="3"/>
    </row>
    <row r="3387" spans="1:23" s="5" customFormat="1">
      <c r="A3387" s="6"/>
      <c r="B3387" s="33"/>
      <c r="C3387" s="35"/>
      <c r="E3387" s="39"/>
      <c r="G3387" s="40"/>
      <c r="H3387" s="14"/>
      <c r="I3387" s="17"/>
      <c r="J3387" s="10"/>
      <c r="M3387" s="39"/>
      <c r="O3387" s="39"/>
      <c r="Q3387" s="39"/>
      <c r="R3387" s="28"/>
      <c r="S3387" s="28"/>
      <c r="T3387" s="28"/>
      <c r="U3387" s="4"/>
      <c r="V3387" s="3"/>
      <c r="W3387" s="3"/>
    </row>
    <row r="3388" spans="1:23" s="5" customFormat="1">
      <c r="A3388" s="6"/>
      <c r="B3388" s="33"/>
      <c r="C3388" s="35"/>
      <c r="E3388" s="39"/>
      <c r="G3388" s="40"/>
      <c r="H3388" s="15"/>
      <c r="I3388" s="17"/>
      <c r="J3388" s="10"/>
      <c r="M3388" s="39"/>
      <c r="O3388" s="39"/>
      <c r="Q3388" s="39"/>
      <c r="R3388" s="28"/>
      <c r="S3388" s="28"/>
      <c r="T3388" s="28"/>
      <c r="U3388" s="4"/>
      <c r="V3388" s="3"/>
      <c r="W3388" s="3"/>
    </row>
    <row r="3389" spans="1:23" s="5" customFormat="1">
      <c r="A3389" s="6"/>
      <c r="B3389" s="33"/>
      <c r="C3389" s="35"/>
      <c r="E3389" s="39"/>
      <c r="G3389" s="40"/>
      <c r="H3389" s="15"/>
      <c r="I3389" s="17"/>
      <c r="J3389" s="10"/>
      <c r="M3389" s="39"/>
      <c r="O3389" s="39"/>
      <c r="Q3389" s="39"/>
      <c r="R3389" s="28"/>
      <c r="S3389" s="28"/>
      <c r="T3389" s="28"/>
      <c r="U3389" s="4"/>
      <c r="V3389" s="3"/>
      <c r="W3389" s="3"/>
    </row>
    <row r="3390" spans="1:23" s="5" customFormat="1">
      <c r="A3390" s="20"/>
      <c r="B3390" s="33"/>
      <c r="C3390" s="35"/>
      <c r="E3390" s="39"/>
      <c r="F3390" s="1"/>
      <c r="G3390" s="40"/>
      <c r="H3390" s="12"/>
      <c r="I3390" s="9"/>
      <c r="J3390" s="12"/>
      <c r="M3390" s="39"/>
      <c r="O3390" s="39"/>
      <c r="Q3390" s="39"/>
      <c r="R3390" s="29"/>
      <c r="S3390" s="28"/>
      <c r="T3390" s="28"/>
      <c r="U3390" s="4"/>
      <c r="V3390" s="3"/>
      <c r="W3390" s="3"/>
    </row>
    <row r="3391" spans="1:23" s="5" customFormat="1">
      <c r="A3391" s="6"/>
      <c r="B3391" s="33"/>
      <c r="C3391" s="35"/>
      <c r="E3391" s="39"/>
      <c r="G3391" s="40"/>
      <c r="H3391" s="15"/>
      <c r="I3391" s="17"/>
      <c r="J3391" s="10"/>
      <c r="M3391" s="39"/>
      <c r="O3391" s="39"/>
      <c r="Q3391" s="39"/>
      <c r="R3391" s="28"/>
      <c r="S3391" s="28"/>
      <c r="T3391" s="28"/>
      <c r="U3391" s="4"/>
      <c r="V3391" s="3"/>
      <c r="W3391" s="3"/>
    </row>
    <row r="3392" spans="1:23" s="5" customFormat="1">
      <c r="A3392" s="6"/>
      <c r="B3392" s="33"/>
      <c r="C3392" s="35"/>
      <c r="E3392" s="39"/>
      <c r="G3392" s="40"/>
      <c r="H3392" s="15"/>
      <c r="I3392" s="17"/>
      <c r="J3392" s="10"/>
      <c r="M3392" s="39"/>
      <c r="O3392" s="39"/>
      <c r="Q3392" s="39"/>
      <c r="R3392" s="28"/>
      <c r="S3392" s="28"/>
      <c r="T3392" s="28"/>
      <c r="U3392" s="4"/>
      <c r="V3392" s="3"/>
      <c r="W3392" s="3"/>
    </row>
    <row r="3393" spans="1:23" s="5" customFormat="1">
      <c r="A3393" s="6"/>
      <c r="B3393" s="33"/>
      <c r="C3393" s="35"/>
      <c r="E3393" s="39"/>
      <c r="G3393" s="40"/>
      <c r="H3393" s="15"/>
      <c r="I3393" s="17"/>
      <c r="J3393" s="10"/>
      <c r="M3393" s="39"/>
      <c r="O3393" s="39"/>
      <c r="Q3393" s="39"/>
      <c r="R3393" s="28"/>
      <c r="S3393" s="28"/>
      <c r="T3393" s="28"/>
      <c r="U3393" s="4"/>
      <c r="V3393" s="3"/>
      <c r="W3393" s="3"/>
    </row>
    <row r="3394" spans="1:23" s="5" customFormat="1">
      <c r="A3394" s="6"/>
      <c r="B3394" s="33"/>
      <c r="C3394" s="35"/>
      <c r="E3394" s="39"/>
      <c r="G3394" s="40"/>
      <c r="H3394" s="15"/>
      <c r="I3394" s="17"/>
      <c r="J3394" s="10"/>
      <c r="M3394" s="39"/>
      <c r="O3394" s="39"/>
      <c r="Q3394" s="39"/>
      <c r="R3394" s="28"/>
      <c r="S3394" s="28"/>
      <c r="T3394" s="28"/>
      <c r="U3394" s="4"/>
      <c r="V3394" s="3"/>
      <c r="W3394" s="3"/>
    </row>
    <row r="3395" spans="1:23" s="5" customFormat="1">
      <c r="A3395" s="6"/>
      <c r="B3395" s="33"/>
      <c r="C3395" s="35"/>
      <c r="E3395" s="39"/>
      <c r="G3395" s="40"/>
      <c r="H3395" s="15"/>
      <c r="I3395" s="17"/>
      <c r="J3395" s="10"/>
      <c r="M3395" s="39"/>
      <c r="O3395" s="39"/>
      <c r="Q3395" s="39"/>
      <c r="R3395" s="28"/>
      <c r="S3395" s="28"/>
      <c r="T3395" s="28"/>
      <c r="U3395" s="4"/>
      <c r="V3395" s="3"/>
      <c r="W3395" s="3"/>
    </row>
    <row r="3396" spans="1:23" s="5" customFormat="1">
      <c r="A3396" s="6"/>
      <c r="B3396" s="33"/>
      <c r="C3396" s="35"/>
      <c r="E3396" s="39"/>
      <c r="G3396" s="40"/>
      <c r="H3396" s="15"/>
      <c r="I3396" s="17"/>
      <c r="J3396" s="10"/>
      <c r="M3396" s="39"/>
      <c r="O3396" s="39"/>
      <c r="Q3396" s="39"/>
      <c r="R3396" s="28"/>
      <c r="S3396" s="28"/>
      <c r="T3396" s="28"/>
      <c r="U3396" s="4"/>
      <c r="V3396" s="3"/>
      <c r="W3396" s="3"/>
    </row>
    <row r="3397" spans="1:23" s="5" customFormat="1">
      <c r="A3397" s="6"/>
      <c r="B3397" s="33"/>
      <c r="C3397" s="35"/>
      <c r="E3397" s="39"/>
      <c r="G3397" s="40"/>
      <c r="H3397" s="15"/>
      <c r="I3397" s="17"/>
      <c r="J3397" s="10"/>
      <c r="M3397" s="39"/>
      <c r="O3397" s="39"/>
      <c r="Q3397" s="39"/>
      <c r="R3397" s="28"/>
      <c r="S3397" s="28"/>
      <c r="T3397" s="28"/>
      <c r="U3397" s="4"/>
      <c r="V3397" s="3"/>
      <c r="W3397" s="3"/>
    </row>
    <row r="3398" spans="1:23" s="5" customFormat="1">
      <c r="A3398" s="6"/>
      <c r="B3398" s="33"/>
      <c r="C3398" s="35"/>
      <c r="E3398" s="39"/>
      <c r="G3398" s="40"/>
      <c r="H3398" s="15"/>
      <c r="I3398" s="17"/>
      <c r="J3398" s="10"/>
      <c r="M3398" s="39"/>
      <c r="O3398" s="39"/>
      <c r="Q3398" s="39"/>
      <c r="R3398" s="28"/>
      <c r="S3398" s="28"/>
      <c r="T3398" s="28"/>
      <c r="U3398" s="4"/>
      <c r="V3398" s="3"/>
      <c r="W3398" s="3"/>
    </row>
    <row r="3399" spans="1:23" s="5" customFormat="1">
      <c r="A3399" s="6"/>
      <c r="B3399" s="33"/>
      <c r="C3399" s="35"/>
      <c r="E3399" s="39"/>
      <c r="G3399" s="40"/>
      <c r="H3399" s="15"/>
      <c r="I3399" s="17"/>
      <c r="J3399" s="10"/>
      <c r="M3399" s="39"/>
      <c r="O3399" s="39"/>
      <c r="Q3399" s="39"/>
      <c r="R3399" s="28"/>
      <c r="S3399" s="28"/>
      <c r="T3399" s="28"/>
      <c r="U3399" s="4"/>
      <c r="V3399" s="3"/>
      <c r="W3399" s="3"/>
    </row>
    <row r="3400" spans="1:23" s="5" customFormat="1">
      <c r="A3400" s="6"/>
      <c r="B3400" s="33"/>
      <c r="C3400" s="35"/>
      <c r="E3400" s="39"/>
      <c r="G3400" s="40"/>
      <c r="H3400" s="15"/>
      <c r="I3400" s="17"/>
      <c r="J3400" s="10"/>
      <c r="M3400" s="39"/>
      <c r="O3400" s="39"/>
      <c r="Q3400" s="39"/>
      <c r="R3400" s="28"/>
      <c r="S3400" s="28"/>
      <c r="T3400" s="28"/>
      <c r="U3400" s="4"/>
      <c r="V3400" s="3"/>
      <c r="W3400" s="3"/>
    </row>
    <row r="3401" spans="1:23" s="5" customFormat="1">
      <c r="A3401" s="6"/>
      <c r="B3401" s="33"/>
      <c r="C3401" s="35"/>
      <c r="E3401" s="39"/>
      <c r="G3401" s="40"/>
      <c r="H3401" s="15"/>
      <c r="I3401" s="17"/>
      <c r="J3401" s="10"/>
      <c r="M3401" s="39"/>
      <c r="O3401" s="39"/>
      <c r="Q3401" s="39"/>
      <c r="R3401" s="28"/>
      <c r="S3401" s="28"/>
      <c r="T3401" s="28"/>
      <c r="U3401" s="4"/>
      <c r="V3401" s="3"/>
      <c r="W3401" s="3"/>
    </row>
    <row r="3402" spans="1:23" s="5" customFormat="1">
      <c r="A3402" s="6"/>
      <c r="B3402" s="33"/>
      <c r="C3402" s="35"/>
      <c r="E3402" s="39"/>
      <c r="G3402" s="40"/>
      <c r="H3402" s="15"/>
      <c r="I3402" s="17"/>
      <c r="J3402" s="10"/>
      <c r="M3402" s="39"/>
      <c r="O3402" s="39"/>
      <c r="Q3402" s="39"/>
      <c r="R3402" s="28"/>
      <c r="S3402" s="28"/>
      <c r="T3402" s="28"/>
      <c r="U3402" s="4"/>
      <c r="V3402" s="3"/>
      <c r="W3402" s="3"/>
    </row>
    <row r="3403" spans="1:23" s="5" customFormat="1">
      <c r="A3403" s="6"/>
      <c r="B3403" s="33"/>
      <c r="C3403" s="35"/>
      <c r="E3403" s="39"/>
      <c r="G3403" s="40"/>
      <c r="H3403" s="14"/>
      <c r="I3403" s="17"/>
      <c r="J3403" s="10"/>
      <c r="M3403" s="39"/>
      <c r="O3403" s="39"/>
      <c r="Q3403" s="39"/>
      <c r="R3403" s="28"/>
      <c r="S3403" s="28"/>
      <c r="T3403" s="28"/>
      <c r="U3403" s="4"/>
      <c r="V3403" s="3"/>
      <c r="W3403" s="3"/>
    </row>
    <row r="3404" spans="1:23" s="5" customFormat="1">
      <c r="A3404" s="6"/>
      <c r="B3404" s="33"/>
      <c r="C3404" s="35"/>
      <c r="E3404" s="39"/>
      <c r="G3404" s="40"/>
      <c r="H3404" s="15"/>
      <c r="I3404" s="17"/>
      <c r="J3404" s="10"/>
      <c r="M3404" s="39"/>
      <c r="O3404" s="39"/>
      <c r="Q3404" s="39"/>
      <c r="R3404" s="28"/>
      <c r="S3404" s="28"/>
      <c r="T3404" s="28"/>
      <c r="U3404" s="4"/>
      <c r="V3404" s="3"/>
      <c r="W3404" s="3"/>
    </row>
    <row r="3405" spans="1:23" s="5" customFormat="1">
      <c r="A3405" s="6"/>
      <c r="B3405" s="33"/>
      <c r="C3405" s="35"/>
      <c r="E3405" s="39"/>
      <c r="G3405" s="40"/>
      <c r="H3405" s="15"/>
      <c r="I3405" s="17"/>
      <c r="J3405" s="10"/>
      <c r="M3405" s="39"/>
      <c r="O3405" s="39"/>
      <c r="Q3405" s="39"/>
      <c r="R3405" s="28"/>
      <c r="S3405" s="28"/>
      <c r="T3405" s="28"/>
      <c r="U3405" s="4"/>
      <c r="V3405" s="3"/>
      <c r="W3405" s="3"/>
    </row>
    <row r="3406" spans="1:23" s="5" customFormat="1">
      <c r="A3406" s="6"/>
      <c r="B3406" s="33"/>
      <c r="C3406" s="35"/>
      <c r="E3406" s="39"/>
      <c r="G3406" s="40"/>
      <c r="H3406" s="15"/>
      <c r="I3406" s="17"/>
      <c r="J3406" s="10"/>
      <c r="M3406" s="39"/>
      <c r="O3406" s="39"/>
      <c r="Q3406" s="39"/>
      <c r="R3406" s="28"/>
      <c r="S3406" s="28"/>
      <c r="T3406" s="28"/>
      <c r="U3406" s="4"/>
      <c r="V3406" s="3"/>
      <c r="W3406" s="3"/>
    </row>
    <row r="3407" spans="1:23" s="5" customFormat="1">
      <c r="A3407" s="6"/>
      <c r="B3407" s="33"/>
      <c r="C3407" s="35"/>
      <c r="E3407" s="39"/>
      <c r="G3407" s="40"/>
      <c r="H3407" s="15"/>
      <c r="I3407" s="17"/>
      <c r="J3407" s="10"/>
      <c r="M3407" s="39"/>
      <c r="O3407" s="39"/>
      <c r="Q3407" s="39"/>
      <c r="R3407" s="28"/>
      <c r="S3407" s="28"/>
      <c r="T3407" s="28"/>
      <c r="U3407" s="4"/>
      <c r="V3407" s="3"/>
      <c r="W3407" s="3"/>
    </row>
    <row r="3408" spans="1:23" s="5" customFormat="1">
      <c r="A3408" s="6"/>
      <c r="B3408" s="33"/>
      <c r="C3408" s="35"/>
      <c r="E3408" s="39"/>
      <c r="G3408" s="40"/>
      <c r="H3408" s="14"/>
      <c r="I3408" s="17"/>
      <c r="J3408" s="10"/>
      <c r="M3408" s="39"/>
      <c r="O3408" s="39"/>
      <c r="Q3408" s="39"/>
      <c r="R3408" s="28"/>
      <c r="S3408" s="28"/>
      <c r="T3408" s="28"/>
      <c r="U3408" s="4"/>
      <c r="V3408" s="3"/>
      <c r="W3408" s="3"/>
    </row>
    <row r="3409" spans="1:23" s="5" customFormat="1">
      <c r="A3409" s="6"/>
      <c r="B3409" s="33"/>
      <c r="C3409" s="35"/>
      <c r="E3409" s="39"/>
      <c r="G3409" s="40"/>
      <c r="H3409" s="14"/>
      <c r="I3409" s="17"/>
      <c r="J3409" s="10"/>
      <c r="M3409" s="39"/>
      <c r="O3409" s="39"/>
      <c r="Q3409" s="39"/>
      <c r="R3409" s="28"/>
      <c r="S3409" s="28"/>
      <c r="T3409" s="28"/>
      <c r="U3409" s="4"/>
      <c r="V3409" s="3"/>
      <c r="W3409" s="3"/>
    </row>
    <row r="3410" spans="1:23" s="5" customFormat="1">
      <c r="A3410" s="6"/>
      <c r="B3410" s="33"/>
      <c r="C3410" s="35"/>
      <c r="E3410" s="39"/>
      <c r="G3410" s="40"/>
      <c r="H3410" s="15"/>
      <c r="I3410" s="17"/>
      <c r="J3410" s="10"/>
      <c r="M3410" s="39"/>
      <c r="O3410" s="39"/>
      <c r="Q3410" s="39"/>
      <c r="R3410" s="28"/>
      <c r="S3410" s="28"/>
      <c r="T3410" s="28"/>
      <c r="U3410" s="4"/>
      <c r="V3410" s="3"/>
      <c r="W3410" s="3"/>
    </row>
    <row r="3411" spans="1:23" s="5" customFormat="1">
      <c r="A3411" s="6"/>
      <c r="B3411" s="33"/>
      <c r="C3411" s="35"/>
      <c r="E3411" s="39"/>
      <c r="G3411" s="40"/>
      <c r="H3411" s="15"/>
      <c r="I3411" s="17"/>
      <c r="J3411" s="10"/>
      <c r="M3411" s="39"/>
      <c r="O3411" s="39"/>
      <c r="Q3411" s="39"/>
      <c r="R3411" s="28"/>
      <c r="S3411" s="28"/>
      <c r="T3411" s="28"/>
      <c r="U3411" s="4"/>
      <c r="V3411" s="3"/>
      <c r="W3411" s="3"/>
    </row>
    <row r="3412" spans="1:23" s="5" customFormat="1">
      <c r="A3412" s="6"/>
      <c r="B3412" s="33"/>
      <c r="C3412" s="35"/>
      <c r="E3412" s="39"/>
      <c r="G3412" s="40"/>
      <c r="H3412" s="15"/>
      <c r="I3412" s="17"/>
      <c r="J3412" s="10"/>
      <c r="M3412" s="39"/>
      <c r="O3412" s="39"/>
      <c r="Q3412" s="39"/>
      <c r="R3412" s="28"/>
      <c r="S3412" s="28"/>
      <c r="T3412" s="28"/>
      <c r="U3412" s="4"/>
      <c r="V3412" s="3"/>
      <c r="W3412" s="3"/>
    </row>
    <row r="3413" spans="1:23" s="5" customFormat="1">
      <c r="A3413" s="6"/>
      <c r="B3413" s="33"/>
      <c r="C3413" s="35"/>
      <c r="E3413" s="39"/>
      <c r="G3413" s="40"/>
      <c r="H3413" s="15"/>
      <c r="I3413" s="17"/>
      <c r="J3413" s="10"/>
      <c r="M3413" s="39"/>
      <c r="O3413" s="39"/>
      <c r="Q3413" s="39"/>
      <c r="R3413" s="28"/>
      <c r="S3413" s="28"/>
      <c r="T3413" s="28"/>
      <c r="U3413" s="4"/>
      <c r="V3413" s="3"/>
      <c r="W3413" s="3"/>
    </row>
    <row r="3414" spans="1:23" s="5" customFormat="1">
      <c r="A3414" s="6"/>
      <c r="B3414" s="33"/>
      <c r="C3414" s="35"/>
      <c r="E3414" s="39"/>
      <c r="G3414" s="40"/>
      <c r="H3414" s="15"/>
      <c r="I3414" s="17"/>
      <c r="J3414" s="10"/>
      <c r="M3414" s="39"/>
      <c r="O3414" s="39"/>
      <c r="Q3414" s="39"/>
      <c r="R3414" s="28"/>
      <c r="S3414" s="28"/>
      <c r="T3414" s="28"/>
      <c r="U3414" s="4"/>
      <c r="V3414" s="3"/>
      <c r="W3414" s="3"/>
    </row>
    <row r="3415" spans="1:23" s="5" customFormat="1">
      <c r="A3415" s="6"/>
      <c r="B3415" s="33"/>
      <c r="C3415" s="35"/>
      <c r="E3415" s="39"/>
      <c r="G3415" s="40"/>
      <c r="H3415" s="15"/>
      <c r="I3415" s="17"/>
      <c r="J3415" s="10"/>
      <c r="M3415" s="39"/>
      <c r="O3415" s="39"/>
      <c r="Q3415" s="39"/>
      <c r="R3415" s="28"/>
      <c r="S3415" s="28"/>
      <c r="T3415" s="28"/>
      <c r="U3415" s="4"/>
      <c r="V3415" s="3"/>
      <c r="W3415" s="3"/>
    </row>
    <row r="3416" spans="1:23" s="5" customFormat="1">
      <c r="A3416" s="6"/>
      <c r="B3416" s="33"/>
      <c r="C3416" s="35"/>
      <c r="E3416" s="39"/>
      <c r="G3416" s="40"/>
      <c r="H3416" s="15"/>
      <c r="I3416" s="17"/>
      <c r="J3416" s="10"/>
      <c r="M3416" s="39"/>
      <c r="O3416" s="39"/>
      <c r="Q3416" s="39"/>
      <c r="R3416" s="28"/>
      <c r="S3416" s="28"/>
      <c r="T3416" s="28"/>
      <c r="U3416" s="4"/>
      <c r="V3416" s="3"/>
      <c r="W3416" s="3"/>
    </row>
    <row r="3417" spans="1:23" s="5" customFormat="1">
      <c r="A3417" s="6"/>
      <c r="B3417" s="33"/>
      <c r="C3417" s="35"/>
      <c r="E3417" s="39"/>
      <c r="G3417" s="40"/>
      <c r="H3417" s="15"/>
      <c r="I3417" s="17"/>
      <c r="J3417" s="10"/>
      <c r="M3417" s="39"/>
      <c r="O3417" s="39"/>
      <c r="Q3417" s="39"/>
      <c r="R3417" s="28"/>
      <c r="S3417" s="28"/>
      <c r="T3417" s="28"/>
      <c r="U3417" s="4"/>
      <c r="V3417" s="3"/>
      <c r="W3417" s="3"/>
    </row>
    <row r="3418" spans="1:23" s="5" customFormat="1">
      <c r="A3418" s="6"/>
      <c r="B3418" s="33"/>
      <c r="C3418" s="35"/>
      <c r="E3418" s="39"/>
      <c r="G3418" s="40"/>
      <c r="H3418" s="15"/>
      <c r="I3418" s="17"/>
      <c r="J3418" s="10"/>
      <c r="M3418" s="39"/>
      <c r="O3418" s="39"/>
      <c r="Q3418" s="39"/>
      <c r="R3418" s="28"/>
      <c r="S3418" s="28"/>
      <c r="T3418" s="28"/>
      <c r="U3418" s="4"/>
      <c r="V3418" s="3"/>
      <c r="W3418" s="3"/>
    </row>
    <row r="3419" spans="1:23" s="5" customFormat="1">
      <c r="A3419" s="6"/>
      <c r="B3419" s="33"/>
      <c r="C3419" s="35"/>
      <c r="E3419" s="39"/>
      <c r="G3419" s="40"/>
      <c r="H3419" s="14"/>
      <c r="I3419" s="17"/>
      <c r="J3419" s="10"/>
      <c r="M3419" s="39"/>
      <c r="O3419" s="39"/>
      <c r="Q3419" s="39"/>
      <c r="R3419" s="28"/>
      <c r="S3419" s="28"/>
      <c r="T3419" s="28"/>
      <c r="U3419" s="4"/>
      <c r="V3419" s="3"/>
      <c r="W3419" s="3"/>
    </row>
    <row r="3420" spans="1:23" s="5" customFormat="1">
      <c r="A3420" s="6"/>
      <c r="B3420" s="33"/>
      <c r="C3420" s="35"/>
      <c r="E3420" s="39"/>
      <c r="G3420" s="40"/>
      <c r="H3420" s="15"/>
      <c r="I3420" s="17"/>
      <c r="J3420" s="10"/>
      <c r="M3420" s="39"/>
      <c r="O3420" s="39"/>
      <c r="Q3420" s="39"/>
      <c r="R3420" s="28"/>
      <c r="S3420" s="28"/>
      <c r="T3420" s="28"/>
      <c r="U3420" s="4"/>
      <c r="V3420" s="3"/>
      <c r="W3420" s="3"/>
    </row>
    <row r="3421" spans="1:23" s="5" customFormat="1">
      <c r="A3421" s="6"/>
      <c r="B3421" s="33"/>
      <c r="C3421" s="35"/>
      <c r="E3421" s="39"/>
      <c r="G3421" s="40"/>
      <c r="H3421" s="15"/>
      <c r="I3421" s="17"/>
      <c r="J3421" s="10"/>
      <c r="M3421" s="39"/>
      <c r="O3421" s="39"/>
      <c r="Q3421" s="39"/>
      <c r="R3421" s="28"/>
      <c r="S3421" s="28"/>
      <c r="T3421" s="28"/>
      <c r="U3421" s="4"/>
      <c r="V3421" s="3"/>
      <c r="W3421" s="3"/>
    </row>
    <row r="3422" spans="1:23" s="5" customFormat="1">
      <c r="A3422" s="6"/>
      <c r="B3422" s="33"/>
      <c r="C3422" s="35"/>
      <c r="E3422" s="39"/>
      <c r="G3422" s="40"/>
      <c r="H3422" s="15"/>
      <c r="I3422" s="17"/>
      <c r="J3422" s="10"/>
      <c r="M3422" s="39"/>
      <c r="O3422" s="39"/>
      <c r="Q3422" s="39"/>
      <c r="R3422" s="28"/>
      <c r="S3422" s="28"/>
      <c r="T3422" s="28"/>
      <c r="U3422" s="4"/>
      <c r="V3422" s="3"/>
      <c r="W3422" s="3"/>
    </row>
    <row r="3423" spans="1:23" s="5" customFormat="1">
      <c r="A3423" s="6"/>
      <c r="B3423" s="33"/>
      <c r="C3423" s="35"/>
      <c r="E3423" s="39"/>
      <c r="G3423" s="40"/>
      <c r="H3423" s="15"/>
      <c r="I3423" s="17"/>
      <c r="J3423" s="10"/>
      <c r="M3423" s="39"/>
      <c r="O3423" s="39"/>
      <c r="Q3423" s="39"/>
      <c r="R3423" s="28"/>
      <c r="S3423" s="28"/>
      <c r="T3423" s="28"/>
      <c r="U3423" s="4"/>
      <c r="V3423" s="3"/>
      <c r="W3423" s="3"/>
    </row>
    <row r="3424" spans="1:23" s="5" customFormat="1">
      <c r="A3424" s="6"/>
      <c r="B3424" s="33"/>
      <c r="C3424" s="35"/>
      <c r="E3424" s="39"/>
      <c r="G3424" s="40"/>
      <c r="H3424" s="15"/>
      <c r="I3424" s="17"/>
      <c r="J3424" s="10"/>
      <c r="M3424" s="39"/>
      <c r="O3424" s="39"/>
      <c r="Q3424" s="39"/>
      <c r="R3424" s="28"/>
      <c r="S3424" s="28"/>
      <c r="T3424" s="28"/>
      <c r="U3424" s="4"/>
      <c r="V3424" s="3"/>
      <c r="W3424" s="3"/>
    </row>
    <row r="3425" spans="1:23" s="5" customFormat="1">
      <c r="A3425" s="6"/>
      <c r="B3425" s="33"/>
      <c r="C3425" s="35"/>
      <c r="E3425" s="39"/>
      <c r="G3425" s="40"/>
      <c r="H3425" s="15"/>
      <c r="I3425" s="17"/>
      <c r="J3425" s="10"/>
      <c r="M3425" s="39"/>
      <c r="O3425" s="39"/>
      <c r="Q3425" s="39"/>
      <c r="R3425" s="28"/>
      <c r="S3425" s="28"/>
      <c r="T3425" s="28"/>
      <c r="U3425" s="4"/>
      <c r="V3425" s="3"/>
      <c r="W3425" s="3"/>
    </row>
    <row r="3426" spans="1:23" s="5" customFormat="1">
      <c r="A3426" s="6"/>
      <c r="B3426" s="33"/>
      <c r="C3426" s="35"/>
      <c r="E3426" s="39"/>
      <c r="G3426" s="40"/>
      <c r="H3426" s="15"/>
      <c r="I3426" s="17"/>
      <c r="J3426" s="10"/>
      <c r="M3426" s="39"/>
      <c r="O3426" s="39"/>
      <c r="Q3426" s="39"/>
      <c r="R3426" s="28"/>
      <c r="S3426" s="28"/>
      <c r="T3426" s="28"/>
      <c r="U3426" s="4"/>
      <c r="V3426" s="3"/>
      <c r="W3426" s="3"/>
    </row>
    <row r="3427" spans="1:23" s="5" customFormat="1">
      <c r="A3427" s="6"/>
      <c r="B3427" s="33"/>
      <c r="C3427" s="35"/>
      <c r="E3427" s="39"/>
      <c r="G3427" s="40"/>
      <c r="H3427" s="15"/>
      <c r="I3427" s="17"/>
      <c r="J3427" s="10"/>
      <c r="M3427" s="39"/>
      <c r="O3427" s="39"/>
      <c r="Q3427" s="39"/>
      <c r="R3427" s="28"/>
      <c r="S3427" s="28"/>
      <c r="T3427" s="28"/>
      <c r="U3427" s="4"/>
      <c r="V3427" s="3"/>
      <c r="W3427" s="3"/>
    </row>
    <row r="3428" spans="1:23" s="5" customFormat="1">
      <c r="A3428" s="6"/>
      <c r="B3428" s="33"/>
      <c r="C3428" s="35"/>
      <c r="E3428" s="39"/>
      <c r="G3428" s="40"/>
      <c r="H3428" s="15"/>
      <c r="I3428" s="17"/>
      <c r="J3428" s="10"/>
      <c r="M3428" s="39"/>
      <c r="O3428" s="39"/>
      <c r="Q3428" s="39"/>
      <c r="R3428" s="28"/>
      <c r="S3428" s="28"/>
      <c r="T3428" s="28"/>
      <c r="U3428" s="4"/>
      <c r="V3428" s="3"/>
      <c r="W3428" s="3"/>
    </row>
    <row r="3429" spans="1:23" s="5" customFormat="1">
      <c r="A3429" s="6"/>
      <c r="B3429" s="33"/>
      <c r="C3429" s="35"/>
      <c r="E3429" s="39"/>
      <c r="G3429" s="40"/>
      <c r="H3429" s="15"/>
      <c r="I3429" s="17"/>
      <c r="J3429" s="10"/>
      <c r="M3429" s="39"/>
      <c r="O3429" s="39"/>
      <c r="Q3429" s="39"/>
      <c r="R3429" s="28"/>
      <c r="S3429" s="28"/>
      <c r="T3429" s="28"/>
      <c r="U3429" s="4"/>
      <c r="V3429" s="3"/>
      <c r="W3429" s="3"/>
    </row>
    <row r="3430" spans="1:23" s="5" customFormat="1">
      <c r="A3430" s="6"/>
      <c r="B3430" s="33"/>
      <c r="C3430" s="35"/>
      <c r="E3430" s="39"/>
      <c r="G3430" s="40"/>
      <c r="H3430" s="15"/>
      <c r="I3430" s="17"/>
      <c r="J3430" s="10"/>
      <c r="M3430" s="39"/>
      <c r="O3430" s="39"/>
      <c r="Q3430" s="39"/>
      <c r="R3430" s="28"/>
      <c r="S3430" s="28"/>
      <c r="T3430" s="28"/>
      <c r="U3430" s="4"/>
      <c r="V3430" s="3"/>
      <c r="W3430" s="3"/>
    </row>
    <row r="3431" spans="1:23" s="5" customFormat="1">
      <c r="A3431" s="6"/>
      <c r="B3431" s="33"/>
      <c r="C3431" s="35"/>
      <c r="E3431" s="39"/>
      <c r="G3431" s="40"/>
      <c r="H3431" s="15"/>
      <c r="I3431" s="17"/>
      <c r="J3431" s="10"/>
      <c r="M3431" s="39"/>
      <c r="O3431" s="39"/>
      <c r="Q3431" s="39"/>
      <c r="R3431" s="28"/>
      <c r="S3431" s="28"/>
      <c r="T3431" s="28"/>
      <c r="U3431" s="4"/>
      <c r="V3431" s="3"/>
      <c r="W3431" s="3"/>
    </row>
    <row r="3432" spans="1:23" s="5" customFormat="1">
      <c r="A3432" s="6"/>
      <c r="B3432" s="33"/>
      <c r="C3432" s="35"/>
      <c r="E3432" s="39"/>
      <c r="G3432" s="40"/>
      <c r="H3432" s="15"/>
      <c r="I3432" s="17"/>
      <c r="J3432" s="10"/>
      <c r="M3432" s="39"/>
      <c r="O3432" s="39"/>
      <c r="Q3432" s="39"/>
      <c r="R3432" s="28"/>
      <c r="S3432" s="28"/>
      <c r="T3432" s="28"/>
      <c r="U3432" s="4"/>
      <c r="V3432" s="3"/>
      <c r="W3432" s="3"/>
    </row>
    <row r="3433" spans="1:23" s="5" customFormat="1">
      <c r="A3433" s="6"/>
      <c r="B3433" s="33"/>
      <c r="C3433" s="35"/>
      <c r="E3433" s="39"/>
      <c r="G3433" s="40"/>
      <c r="H3433" s="15"/>
      <c r="I3433" s="17"/>
      <c r="J3433" s="10"/>
      <c r="M3433" s="39"/>
      <c r="O3433" s="39"/>
      <c r="Q3433" s="39"/>
      <c r="R3433" s="28"/>
      <c r="S3433" s="28"/>
      <c r="T3433" s="28"/>
      <c r="U3433" s="4"/>
      <c r="V3433" s="3"/>
      <c r="W3433" s="3"/>
    </row>
    <row r="3434" spans="1:23" s="5" customFormat="1">
      <c r="A3434" s="6"/>
      <c r="B3434" s="33"/>
      <c r="C3434" s="35"/>
      <c r="E3434" s="39"/>
      <c r="G3434" s="40"/>
      <c r="H3434" s="14"/>
      <c r="I3434" s="17"/>
      <c r="J3434" s="10"/>
      <c r="M3434" s="39"/>
      <c r="O3434" s="39"/>
      <c r="Q3434" s="39"/>
      <c r="R3434" s="28"/>
      <c r="S3434" s="28"/>
      <c r="T3434" s="28"/>
      <c r="U3434" s="4"/>
      <c r="V3434" s="3"/>
      <c r="W3434" s="3"/>
    </row>
    <row r="3435" spans="1:23" s="5" customFormat="1">
      <c r="A3435" s="6"/>
      <c r="B3435" s="33"/>
      <c r="C3435" s="35"/>
      <c r="E3435" s="39"/>
      <c r="G3435" s="40"/>
      <c r="H3435" s="15"/>
      <c r="I3435" s="17"/>
      <c r="J3435" s="10"/>
      <c r="M3435" s="39"/>
      <c r="O3435" s="39"/>
      <c r="Q3435" s="39"/>
      <c r="R3435" s="28"/>
      <c r="S3435" s="28"/>
      <c r="T3435" s="28"/>
      <c r="U3435" s="4"/>
      <c r="V3435" s="3"/>
      <c r="W3435" s="3"/>
    </row>
    <row r="3436" spans="1:23" s="5" customFormat="1">
      <c r="A3436" s="6"/>
      <c r="B3436" s="33"/>
      <c r="C3436" s="35"/>
      <c r="E3436" s="39"/>
      <c r="G3436" s="40"/>
      <c r="H3436" s="15"/>
      <c r="I3436" s="17"/>
      <c r="J3436" s="10"/>
      <c r="M3436" s="39"/>
      <c r="O3436" s="39"/>
      <c r="Q3436" s="39"/>
      <c r="R3436" s="28"/>
      <c r="S3436" s="28"/>
      <c r="T3436" s="28"/>
      <c r="U3436" s="4"/>
      <c r="V3436" s="3"/>
      <c r="W3436" s="3"/>
    </row>
    <row r="3437" spans="1:23" s="5" customFormat="1">
      <c r="A3437" s="6"/>
      <c r="B3437" s="33"/>
      <c r="C3437" s="35"/>
      <c r="E3437" s="39"/>
      <c r="G3437" s="40"/>
      <c r="H3437" s="15"/>
      <c r="I3437" s="17"/>
      <c r="J3437" s="10"/>
      <c r="M3437" s="39"/>
      <c r="O3437" s="39"/>
      <c r="Q3437" s="39"/>
      <c r="R3437" s="28"/>
      <c r="S3437" s="28"/>
      <c r="T3437" s="28"/>
      <c r="U3437" s="4"/>
      <c r="V3437" s="3"/>
      <c r="W3437" s="3"/>
    </row>
    <row r="3438" spans="1:23" s="5" customFormat="1">
      <c r="A3438" s="6"/>
      <c r="B3438" s="33"/>
      <c r="C3438" s="35"/>
      <c r="E3438" s="39"/>
      <c r="G3438" s="40"/>
      <c r="H3438" s="14"/>
      <c r="I3438" s="17"/>
      <c r="J3438" s="10"/>
      <c r="M3438" s="39"/>
      <c r="O3438" s="39"/>
      <c r="Q3438" s="39"/>
      <c r="R3438" s="28"/>
      <c r="S3438" s="28"/>
      <c r="T3438" s="28"/>
      <c r="U3438" s="4"/>
      <c r="V3438" s="3"/>
      <c r="W3438" s="3"/>
    </row>
    <row r="3439" spans="1:23" s="5" customFormat="1">
      <c r="A3439" s="6"/>
      <c r="B3439" s="33"/>
      <c r="C3439" s="35"/>
      <c r="E3439" s="39"/>
      <c r="G3439" s="40"/>
      <c r="H3439" s="15"/>
      <c r="I3439" s="17"/>
      <c r="J3439" s="10"/>
      <c r="M3439" s="39"/>
      <c r="O3439" s="39"/>
      <c r="Q3439" s="39"/>
      <c r="R3439" s="28"/>
      <c r="S3439" s="28"/>
      <c r="T3439" s="28"/>
      <c r="U3439" s="4"/>
      <c r="V3439" s="3"/>
      <c r="W3439" s="3"/>
    </row>
    <row r="3440" spans="1:23" s="5" customFormat="1">
      <c r="A3440" s="6"/>
      <c r="B3440" s="33"/>
      <c r="C3440" s="35"/>
      <c r="E3440" s="39"/>
      <c r="G3440" s="40"/>
      <c r="H3440" s="15"/>
      <c r="I3440" s="17"/>
      <c r="J3440" s="10"/>
      <c r="M3440" s="39"/>
      <c r="O3440" s="39"/>
      <c r="Q3440" s="39"/>
      <c r="R3440" s="28"/>
      <c r="S3440" s="28"/>
      <c r="T3440" s="28"/>
      <c r="U3440" s="4"/>
      <c r="V3440" s="3"/>
      <c r="W3440" s="3"/>
    </row>
    <row r="3441" spans="1:23" s="5" customFormat="1">
      <c r="A3441" s="6"/>
      <c r="B3441" s="33"/>
      <c r="C3441" s="35"/>
      <c r="E3441" s="39"/>
      <c r="G3441" s="40"/>
      <c r="H3441" s="14"/>
      <c r="I3441" s="17"/>
      <c r="J3441" s="10"/>
      <c r="M3441" s="39"/>
      <c r="O3441" s="39"/>
      <c r="Q3441" s="39"/>
      <c r="R3441" s="28"/>
      <c r="S3441" s="28"/>
      <c r="T3441" s="28"/>
      <c r="U3441" s="4"/>
      <c r="V3441" s="3"/>
      <c r="W3441" s="3"/>
    </row>
    <row r="3442" spans="1:23" s="5" customFormat="1">
      <c r="A3442" s="6"/>
      <c r="B3442" s="33"/>
      <c r="C3442" s="35"/>
      <c r="E3442" s="39"/>
      <c r="G3442" s="40"/>
      <c r="H3442" s="14"/>
      <c r="I3442" s="17"/>
      <c r="J3442" s="10"/>
      <c r="M3442" s="39"/>
      <c r="O3442" s="39"/>
      <c r="Q3442" s="39"/>
      <c r="R3442" s="28"/>
      <c r="S3442" s="28"/>
      <c r="T3442" s="28"/>
      <c r="U3442" s="4"/>
      <c r="V3442" s="3"/>
      <c r="W3442" s="3"/>
    </row>
    <row r="3443" spans="1:23" s="5" customFormat="1">
      <c r="A3443" s="6"/>
      <c r="B3443" s="33"/>
      <c r="C3443" s="35"/>
      <c r="E3443" s="39"/>
      <c r="G3443" s="40"/>
      <c r="H3443" s="14"/>
      <c r="I3443" s="17"/>
      <c r="J3443" s="10"/>
      <c r="M3443" s="39"/>
      <c r="O3443" s="39"/>
      <c r="Q3443" s="39"/>
      <c r="R3443" s="28"/>
      <c r="S3443" s="28"/>
      <c r="T3443" s="28"/>
      <c r="U3443" s="4"/>
      <c r="V3443" s="3"/>
      <c r="W3443" s="3"/>
    </row>
    <row r="3444" spans="1:23" s="5" customFormat="1">
      <c r="A3444" s="6"/>
      <c r="B3444" s="33"/>
      <c r="C3444" s="35"/>
      <c r="E3444" s="39"/>
      <c r="G3444" s="40"/>
      <c r="H3444" s="14"/>
      <c r="I3444" s="17"/>
      <c r="J3444" s="10"/>
      <c r="M3444" s="39"/>
      <c r="O3444" s="39"/>
      <c r="Q3444" s="39"/>
      <c r="R3444" s="28"/>
      <c r="S3444" s="28"/>
      <c r="T3444" s="28"/>
      <c r="U3444" s="4"/>
      <c r="V3444" s="3"/>
      <c r="W3444" s="3"/>
    </row>
    <row r="3445" spans="1:23" s="5" customFormat="1">
      <c r="A3445" s="6"/>
      <c r="B3445" s="33"/>
      <c r="C3445" s="35"/>
      <c r="E3445" s="39"/>
      <c r="G3445" s="40"/>
      <c r="H3445" s="15"/>
      <c r="I3445" s="17"/>
      <c r="J3445" s="10"/>
      <c r="M3445" s="39"/>
      <c r="O3445" s="39"/>
      <c r="Q3445" s="39"/>
      <c r="R3445" s="28"/>
      <c r="S3445" s="28"/>
      <c r="T3445" s="28"/>
      <c r="U3445" s="4"/>
      <c r="V3445" s="3"/>
      <c r="W3445" s="3"/>
    </row>
    <row r="3446" spans="1:23" s="5" customFormat="1">
      <c r="A3446" s="6"/>
      <c r="B3446" s="33"/>
      <c r="C3446" s="35"/>
      <c r="E3446" s="39"/>
      <c r="G3446" s="40"/>
      <c r="H3446" s="14"/>
      <c r="I3446" s="17"/>
      <c r="J3446" s="10"/>
      <c r="M3446" s="39"/>
      <c r="O3446" s="39"/>
      <c r="Q3446" s="39"/>
      <c r="R3446" s="28"/>
      <c r="S3446" s="28"/>
      <c r="T3446" s="28"/>
      <c r="U3446" s="4"/>
      <c r="V3446" s="3"/>
      <c r="W3446" s="3"/>
    </row>
    <row r="3447" spans="1:23" s="5" customFormat="1">
      <c r="A3447" s="6"/>
      <c r="B3447" s="33"/>
      <c r="C3447" s="35"/>
      <c r="E3447" s="39"/>
      <c r="G3447" s="40"/>
      <c r="H3447" s="14"/>
      <c r="I3447" s="17"/>
      <c r="J3447" s="10"/>
      <c r="M3447" s="39"/>
      <c r="O3447" s="39"/>
      <c r="Q3447" s="39"/>
      <c r="R3447" s="28"/>
      <c r="S3447" s="28"/>
      <c r="T3447" s="28"/>
      <c r="U3447" s="4"/>
      <c r="V3447" s="3"/>
      <c r="W3447" s="3"/>
    </row>
    <row r="3448" spans="1:23" s="5" customFormat="1">
      <c r="A3448" s="6"/>
      <c r="B3448" s="33"/>
      <c r="C3448" s="35"/>
      <c r="E3448" s="39"/>
      <c r="G3448" s="40"/>
      <c r="H3448" s="15"/>
      <c r="I3448" s="17"/>
      <c r="J3448" s="10"/>
      <c r="M3448" s="39"/>
      <c r="O3448" s="39"/>
      <c r="Q3448" s="39"/>
      <c r="R3448" s="28"/>
      <c r="S3448" s="28"/>
      <c r="T3448" s="28"/>
      <c r="U3448" s="4"/>
      <c r="V3448" s="3"/>
      <c r="W3448" s="3"/>
    </row>
    <row r="3449" spans="1:23" s="5" customFormat="1">
      <c r="A3449" s="6"/>
      <c r="B3449" s="33"/>
      <c r="C3449" s="35"/>
      <c r="E3449" s="39"/>
      <c r="G3449" s="40"/>
      <c r="H3449" s="14"/>
      <c r="I3449" s="17"/>
      <c r="J3449" s="10"/>
      <c r="M3449" s="39"/>
      <c r="O3449" s="39"/>
      <c r="Q3449" s="39"/>
      <c r="R3449" s="28"/>
      <c r="S3449" s="28"/>
      <c r="T3449" s="28"/>
      <c r="U3449" s="4"/>
      <c r="V3449" s="3"/>
      <c r="W3449" s="3"/>
    </row>
    <row r="3450" spans="1:23" s="5" customFormat="1">
      <c r="A3450" s="6"/>
      <c r="B3450" s="33"/>
      <c r="C3450" s="35"/>
      <c r="E3450" s="39"/>
      <c r="G3450" s="40"/>
      <c r="H3450" s="15"/>
      <c r="I3450" s="17"/>
      <c r="J3450" s="10"/>
      <c r="M3450" s="39"/>
      <c r="O3450" s="39"/>
      <c r="Q3450" s="39"/>
      <c r="R3450" s="28"/>
      <c r="S3450" s="28"/>
      <c r="T3450" s="28"/>
      <c r="U3450" s="4"/>
      <c r="V3450" s="3"/>
      <c r="W3450" s="3"/>
    </row>
    <row r="3451" spans="1:23" s="5" customFormat="1">
      <c r="A3451" s="6"/>
      <c r="B3451" s="33"/>
      <c r="C3451" s="35"/>
      <c r="E3451" s="39"/>
      <c r="G3451" s="40"/>
      <c r="H3451" s="15"/>
      <c r="I3451" s="17"/>
      <c r="J3451" s="10"/>
      <c r="M3451" s="39"/>
      <c r="O3451" s="39"/>
      <c r="Q3451" s="39"/>
      <c r="R3451" s="28"/>
      <c r="S3451" s="28"/>
      <c r="T3451" s="28"/>
      <c r="U3451" s="4"/>
      <c r="V3451" s="3"/>
      <c r="W3451" s="3"/>
    </row>
    <row r="3452" spans="1:23" s="5" customFormat="1">
      <c r="A3452" s="6"/>
      <c r="B3452" s="33"/>
      <c r="C3452" s="35"/>
      <c r="E3452" s="39"/>
      <c r="G3452" s="40"/>
      <c r="H3452" s="14"/>
      <c r="I3452" s="17"/>
      <c r="J3452" s="10"/>
      <c r="M3452" s="39"/>
      <c r="O3452" s="39"/>
      <c r="Q3452" s="39"/>
      <c r="R3452" s="28"/>
      <c r="S3452" s="28"/>
      <c r="T3452" s="28"/>
      <c r="U3452" s="4"/>
      <c r="V3452" s="3"/>
      <c r="W3452" s="3"/>
    </row>
    <row r="3453" spans="1:23" s="5" customFormat="1">
      <c r="A3453" s="6"/>
      <c r="B3453" s="33"/>
      <c r="C3453" s="35"/>
      <c r="E3453" s="39"/>
      <c r="G3453" s="40"/>
      <c r="H3453" s="15"/>
      <c r="I3453" s="17"/>
      <c r="J3453" s="10"/>
      <c r="M3453" s="39"/>
      <c r="O3453" s="39"/>
      <c r="Q3453" s="39"/>
      <c r="R3453" s="28"/>
      <c r="S3453" s="28"/>
      <c r="T3453" s="28"/>
      <c r="U3453" s="4"/>
      <c r="V3453" s="3"/>
      <c r="W3453" s="3"/>
    </row>
    <row r="3454" spans="1:23" s="5" customFormat="1">
      <c r="A3454" s="6"/>
      <c r="B3454" s="33"/>
      <c r="C3454" s="35"/>
      <c r="E3454" s="39"/>
      <c r="G3454" s="40"/>
      <c r="H3454" s="15"/>
      <c r="I3454" s="17"/>
      <c r="J3454" s="10"/>
      <c r="M3454" s="39"/>
      <c r="O3454" s="39"/>
      <c r="Q3454" s="39"/>
      <c r="R3454" s="28"/>
      <c r="S3454" s="28"/>
      <c r="T3454" s="28"/>
      <c r="U3454" s="4"/>
      <c r="V3454" s="3"/>
      <c r="W3454" s="3"/>
    </row>
    <row r="3455" spans="1:23" s="5" customFormat="1">
      <c r="A3455" s="6"/>
      <c r="B3455" s="33"/>
      <c r="C3455" s="35"/>
      <c r="E3455" s="39"/>
      <c r="G3455" s="40"/>
      <c r="H3455" s="14"/>
      <c r="I3455" s="17"/>
      <c r="J3455" s="10"/>
      <c r="M3455" s="39"/>
      <c r="O3455" s="39"/>
      <c r="Q3455" s="39"/>
      <c r="R3455" s="28"/>
      <c r="S3455" s="28"/>
      <c r="T3455" s="28"/>
      <c r="U3455" s="4"/>
      <c r="V3455" s="3"/>
      <c r="W3455" s="3"/>
    </row>
    <row r="3456" spans="1:23" s="5" customFormat="1">
      <c r="A3456" s="6"/>
      <c r="B3456" s="33"/>
      <c r="C3456" s="35"/>
      <c r="E3456" s="39"/>
      <c r="G3456" s="40"/>
      <c r="H3456" s="14"/>
      <c r="I3456" s="17"/>
      <c r="J3456" s="10"/>
      <c r="M3456" s="39"/>
      <c r="O3456" s="39"/>
      <c r="Q3456" s="39"/>
      <c r="R3456" s="28"/>
      <c r="S3456" s="28"/>
      <c r="T3456" s="28"/>
      <c r="U3456" s="4"/>
      <c r="V3456" s="3"/>
      <c r="W3456" s="3"/>
    </row>
    <row r="3457" spans="1:23" s="5" customFormat="1">
      <c r="A3457" s="6"/>
      <c r="B3457" s="33"/>
      <c r="C3457" s="35"/>
      <c r="E3457" s="39"/>
      <c r="G3457" s="40"/>
      <c r="H3457" s="14"/>
      <c r="I3457" s="17"/>
      <c r="J3457" s="10"/>
      <c r="M3457" s="39"/>
      <c r="O3457" s="39"/>
      <c r="Q3457" s="39"/>
      <c r="R3457" s="28"/>
      <c r="S3457" s="28"/>
      <c r="T3457" s="28"/>
      <c r="U3457" s="4"/>
      <c r="V3457" s="3"/>
      <c r="W3457" s="3"/>
    </row>
    <row r="3458" spans="1:23" s="5" customFormat="1">
      <c r="A3458" s="6"/>
      <c r="B3458" s="33"/>
      <c r="C3458" s="35"/>
      <c r="E3458" s="39"/>
      <c r="G3458" s="40"/>
      <c r="H3458" s="14"/>
      <c r="I3458" s="17"/>
      <c r="J3458" s="10"/>
      <c r="M3458" s="39"/>
      <c r="O3458" s="39"/>
      <c r="Q3458" s="39"/>
      <c r="R3458" s="28"/>
      <c r="S3458" s="28"/>
      <c r="T3458" s="28"/>
      <c r="U3458" s="4"/>
      <c r="V3458" s="3"/>
      <c r="W3458" s="3"/>
    </row>
    <row r="3459" spans="1:23" s="5" customFormat="1">
      <c r="A3459" s="6"/>
      <c r="B3459" s="33"/>
      <c r="C3459" s="35"/>
      <c r="E3459" s="39"/>
      <c r="G3459" s="40"/>
      <c r="H3459" s="15"/>
      <c r="I3459" s="17"/>
      <c r="J3459" s="10"/>
      <c r="M3459" s="39"/>
      <c r="O3459" s="39"/>
      <c r="Q3459" s="39"/>
      <c r="R3459" s="28"/>
      <c r="S3459" s="28"/>
      <c r="T3459" s="28"/>
      <c r="U3459" s="4"/>
      <c r="V3459" s="3"/>
      <c r="W3459" s="3"/>
    </row>
    <row r="3460" spans="1:23" s="5" customFormat="1">
      <c r="A3460" s="6"/>
      <c r="B3460" s="33"/>
      <c r="C3460" s="35"/>
      <c r="E3460" s="39"/>
      <c r="G3460" s="40"/>
      <c r="H3460" s="14"/>
      <c r="I3460" s="17"/>
      <c r="J3460" s="10"/>
      <c r="M3460" s="39"/>
      <c r="O3460" s="39"/>
      <c r="Q3460" s="39"/>
      <c r="R3460" s="28"/>
      <c r="S3460" s="28"/>
      <c r="T3460" s="28"/>
      <c r="U3460" s="4"/>
      <c r="V3460" s="3"/>
      <c r="W3460" s="3"/>
    </row>
    <row r="3461" spans="1:23" s="5" customFormat="1">
      <c r="A3461" s="6"/>
      <c r="B3461" s="33"/>
      <c r="C3461" s="35"/>
      <c r="E3461" s="39"/>
      <c r="G3461" s="40"/>
      <c r="H3461" s="14"/>
      <c r="I3461" s="17"/>
      <c r="J3461" s="10"/>
      <c r="M3461" s="39"/>
      <c r="O3461" s="39"/>
      <c r="Q3461" s="39"/>
      <c r="R3461" s="28"/>
      <c r="S3461" s="28"/>
      <c r="T3461" s="28"/>
      <c r="U3461" s="4"/>
      <c r="V3461" s="3"/>
      <c r="W3461" s="3"/>
    </row>
    <row r="3462" spans="1:23" s="5" customFormat="1">
      <c r="A3462" s="6"/>
      <c r="B3462" s="33"/>
      <c r="C3462" s="35"/>
      <c r="E3462" s="39"/>
      <c r="G3462" s="40"/>
      <c r="H3462" s="15"/>
      <c r="I3462" s="17"/>
      <c r="J3462" s="10"/>
      <c r="M3462" s="39"/>
      <c r="O3462" s="39"/>
      <c r="Q3462" s="39"/>
      <c r="R3462" s="28"/>
      <c r="S3462" s="28"/>
      <c r="T3462" s="28"/>
      <c r="U3462" s="4"/>
      <c r="V3462" s="3"/>
      <c r="W3462" s="3"/>
    </row>
    <row r="3463" spans="1:23" s="5" customFormat="1">
      <c r="A3463" s="6"/>
      <c r="B3463" s="33"/>
      <c r="C3463" s="35"/>
      <c r="E3463" s="39"/>
      <c r="G3463" s="40"/>
      <c r="H3463" s="15"/>
      <c r="I3463" s="17"/>
      <c r="J3463" s="10"/>
      <c r="M3463" s="39"/>
      <c r="O3463" s="39"/>
      <c r="Q3463" s="39"/>
      <c r="R3463" s="28"/>
      <c r="S3463" s="28"/>
      <c r="T3463" s="28"/>
      <c r="U3463" s="4"/>
      <c r="V3463" s="3"/>
      <c r="W3463" s="3"/>
    </row>
    <row r="3464" spans="1:23" s="5" customFormat="1">
      <c r="A3464" s="6"/>
      <c r="B3464" s="33"/>
      <c r="C3464" s="35"/>
      <c r="E3464" s="39"/>
      <c r="G3464" s="40"/>
      <c r="H3464" s="14"/>
      <c r="I3464" s="17"/>
      <c r="J3464" s="10"/>
      <c r="M3464" s="39"/>
      <c r="O3464" s="39"/>
      <c r="Q3464" s="39"/>
      <c r="R3464" s="28"/>
      <c r="S3464" s="28"/>
      <c r="T3464" s="28"/>
      <c r="U3464" s="4"/>
      <c r="V3464" s="3"/>
      <c r="W3464" s="3"/>
    </row>
    <row r="3465" spans="1:23" s="5" customFormat="1">
      <c r="A3465" s="6"/>
      <c r="B3465" s="33"/>
      <c r="C3465" s="35"/>
      <c r="E3465" s="39"/>
      <c r="G3465" s="40"/>
      <c r="H3465" s="14"/>
      <c r="I3465" s="17"/>
      <c r="J3465" s="10"/>
      <c r="M3465" s="39"/>
      <c r="O3465" s="39"/>
      <c r="Q3465" s="39"/>
      <c r="R3465" s="28"/>
      <c r="S3465" s="28"/>
      <c r="T3465" s="28"/>
      <c r="U3465" s="4"/>
      <c r="V3465" s="3"/>
      <c r="W3465" s="3"/>
    </row>
    <row r="3466" spans="1:23" s="5" customFormat="1">
      <c r="A3466" s="6"/>
      <c r="B3466" s="33"/>
      <c r="C3466" s="35"/>
      <c r="E3466" s="39"/>
      <c r="G3466" s="40"/>
      <c r="H3466" s="15"/>
      <c r="I3466" s="17"/>
      <c r="J3466" s="10"/>
      <c r="M3466" s="39"/>
      <c r="O3466" s="39"/>
      <c r="Q3466" s="39"/>
      <c r="R3466" s="28"/>
      <c r="S3466" s="28"/>
      <c r="T3466" s="28"/>
      <c r="U3466" s="4"/>
      <c r="V3466" s="3"/>
      <c r="W3466" s="3"/>
    </row>
    <row r="3467" spans="1:23" s="5" customFormat="1">
      <c r="A3467" s="6"/>
      <c r="B3467" s="33"/>
      <c r="C3467" s="35"/>
      <c r="E3467" s="39"/>
      <c r="G3467" s="40"/>
      <c r="H3467" s="15"/>
      <c r="I3467" s="17"/>
      <c r="J3467" s="10"/>
      <c r="M3467" s="39"/>
      <c r="O3467" s="39"/>
      <c r="Q3467" s="39"/>
      <c r="R3467" s="28"/>
      <c r="S3467" s="28"/>
      <c r="T3467" s="28"/>
      <c r="U3467" s="4"/>
      <c r="V3467" s="3"/>
      <c r="W3467" s="3"/>
    </row>
    <row r="3468" spans="1:23" s="5" customFormat="1">
      <c r="A3468" s="6"/>
      <c r="B3468" s="33"/>
      <c r="C3468" s="35"/>
      <c r="E3468" s="39"/>
      <c r="G3468" s="40"/>
      <c r="H3468" s="15"/>
      <c r="I3468" s="17"/>
      <c r="J3468" s="10"/>
      <c r="M3468" s="39"/>
      <c r="O3468" s="39"/>
      <c r="Q3468" s="39"/>
      <c r="R3468" s="28"/>
      <c r="S3468" s="28"/>
      <c r="T3468" s="28"/>
      <c r="U3468" s="4"/>
      <c r="V3468" s="3"/>
      <c r="W3468" s="3"/>
    </row>
    <row r="3469" spans="1:23" s="5" customFormat="1">
      <c r="A3469" s="6"/>
      <c r="B3469" s="33"/>
      <c r="C3469" s="35"/>
      <c r="E3469" s="39"/>
      <c r="G3469" s="40"/>
      <c r="H3469" s="14"/>
      <c r="I3469" s="17"/>
      <c r="J3469" s="10"/>
      <c r="M3469" s="39"/>
      <c r="O3469" s="39"/>
      <c r="Q3469" s="39"/>
      <c r="R3469" s="28"/>
      <c r="S3469" s="28"/>
      <c r="T3469" s="28"/>
      <c r="U3469" s="4"/>
      <c r="V3469" s="3"/>
      <c r="W3469" s="3"/>
    </row>
    <row r="3470" spans="1:23" s="5" customFormat="1">
      <c r="A3470" s="6"/>
      <c r="B3470" s="33"/>
      <c r="C3470" s="35"/>
      <c r="E3470" s="39"/>
      <c r="G3470" s="40"/>
      <c r="H3470" s="14"/>
      <c r="I3470" s="17"/>
      <c r="J3470" s="10"/>
      <c r="M3470" s="39"/>
      <c r="O3470" s="39"/>
      <c r="Q3470" s="39"/>
      <c r="R3470" s="28"/>
      <c r="S3470" s="28"/>
      <c r="T3470" s="28"/>
      <c r="U3470" s="4"/>
      <c r="V3470" s="3"/>
      <c r="W3470" s="3"/>
    </row>
    <row r="3471" spans="1:23" s="5" customFormat="1">
      <c r="A3471" s="6"/>
      <c r="B3471" s="33"/>
      <c r="C3471" s="35"/>
      <c r="E3471" s="39"/>
      <c r="G3471" s="40"/>
      <c r="H3471" s="15"/>
      <c r="I3471" s="17"/>
      <c r="J3471" s="10"/>
      <c r="M3471" s="39"/>
      <c r="O3471" s="39"/>
      <c r="Q3471" s="39"/>
      <c r="R3471" s="28"/>
      <c r="S3471" s="28"/>
      <c r="T3471" s="28"/>
      <c r="U3471" s="4"/>
      <c r="V3471" s="3"/>
      <c r="W3471" s="3"/>
    </row>
    <row r="3472" spans="1:23" s="5" customFormat="1">
      <c r="A3472" s="6"/>
      <c r="B3472" s="33"/>
      <c r="C3472" s="35"/>
      <c r="E3472" s="39"/>
      <c r="G3472" s="40"/>
      <c r="H3472" s="15"/>
      <c r="I3472" s="17"/>
      <c r="J3472" s="10"/>
      <c r="M3472" s="39"/>
      <c r="O3472" s="39"/>
      <c r="Q3472" s="39"/>
      <c r="R3472" s="28"/>
      <c r="S3472" s="28"/>
      <c r="T3472" s="28"/>
      <c r="U3472" s="4"/>
      <c r="V3472" s="3"/>
      <c r="W3472" s="3"/>
    </row>
    <row r="3473" spans="1:23" s="5" customFormat="1">
      <c r="A3473" s="6"/>
      <c r="B3473" s="33"/>
      <c r="C3473" s="35"/>
      <c r="E3473" s="39"/>
      <c r="G3473" s="40"/>
      <c r="H3473" s="14"/>
      <c r="I3473" s="17"/>
      <c r="J3473" s="10"/>
      <c r="M3473" s="39"/>
      <c r="O3473" s="39"/>
      <c r="Q3473" s="39"/>
      <c r="R3473" s="28"/>
      <c r="S3473" s="28"/>
      <c r="T3473" s="28"/>
      <c r="U3473" s="4"/>
      <c r="V3473" s="3"/>
      <c r="W3473" s="3"/>
    </row>
    <row r="3474" spans="1:23" s="5" customFormat="1">
      <c r="A3474" s="6"/>
      <c r="B3474" s="33"/>
      <c r="C3474" s="35"/>
      <c r="E3474" s="39"/>
      <c r="G3474" s="40"/>
      <c r="H3474" s="14"/>
      <c r="I3474" s="17"/>
      <c r="J3474" s="10"/>
      <c r="M3474" s="39"/>
      <c r="O3474" s="39"/>
      <c r="Q3474" s="39"/>
      <c r="R3474" s="28"/>
      <c r="S3474" s="28"/>
      <c r="T3474" s="28"/>
      <c r="U3474" s="4"/>
      <c r="V3474" s="3"/>
      <c r="W3474" s="3"/>
    </row>
    <row r="3475" spans="1:23" s="5" customFormat="1">
      <c r="A3475" s="6"/>
      <c r="B3475" s="33"/>
      <c r="C3475" s="35"/>
      <c r="E3475" s="39"/>
      <c r="G3475" s="40"/>
      <c r="H3475" s="15"/>
      <c r="I3475" s="17"/>
      <c r="J3475" s="10"/>
      <c r="M3475" s="39"/>
      <c r="O3475" s="39"/>
      <c r="Q3475" s="39"/>
      <c r="R3475" s="28"/>
      <c r="S3475" s="28"/>
      <c r="T3475" s="28"/>
      <c r="U3475" s="4"/>
      <c r="V3475" s="3"/>
      <c r="W3475" s="3"/>
    </row>
    <row r="3476" spans="1:23" s="5" customFormat="1">
      <c r="A3476" s="6"/>
      <c r="B3476" s="33"/>
      <c r="C3476" s="35"/>
      <c r="E3476" s="39"/>
      <c r="G3476" s="40"/>
      <c r="H3476" s="14"/>
      <c r="I3476" s="17"/>
      <c r="J3476" s="10"/>
      <c r="M3476" s="39"/>
      <c r="O3476" s="39"/>
      <c r="Q3476" s="39"/>
      <c r="R3476" s="28"/>
      <c r="S3476" s="28"/>
      <c r="T3476" s="28"/>
      <c r="U3476" s="4"/>
      <c r="V3476" s="3"/>
      <c r="W3476" s="3"/>
    </row>
    <row r="3477" spans="1:23" s="5" customFormat="1">
      <c r="A3477" s="6"/>
      <c r="B3477" s="33"/>
      <c r="C3477" s="35"/>
      <c r="E3477" s="39"/>
      <c r="G3477" s="40"/>
      <c r="H3477" s="15"/>
      <c r="I3477" s="17"/>
      <c r="J3477" s="10"/>
      <c r="M3477" s="39"/>
      <c r="O3477" s="39"/>
      <c r="Q3477" s="39"/>
      <c r="R3477" s="28"/>
      <c r="S3477" s="28"/>
      <c r="T3477" s="28"/>
      <c r="U3477" s="4"/>
      <c r="V3477" s="3"/>
      <c r="W3477" s="3"/>
    </row>
    <row r="3478" spans="1:23" s="5" customFormat="1">
      <c r="A3478" s="6"/>
      <c r="B3478" s="33"/>
      <c r="C3478" s="35"/>
      <c r="E3478" s="39"/>
      <c r="G3478" s="40"/>
      <c r="H3478" s="14"/>
      <c r="I3478" s="17"/>
      <c r="J3478" s="10"/>
      <c r="M3478" s="39"/>
      <c r="O3478" s="39"/>
      <c r="Q3478" s="39"/>
      <c r="R3478" s="28"/>
      <c r="S3478" s="28"/>
      <c r="T3478" s="28"/>
      <c r="U3478" s="4"/>
      <c r="V3478" s="3"/>
      <c r="W3478" s="3"/>
    </row>
    <row r="3479" spans="1:23" s="5" customFormat="1">
      <c r="A3479" s="6"/>
      <c r="B3479" s="33"/>
      <c r="C3479" s="35"/>
      <c r="E3479" s="39"/>
      <c r="G3479" s="40"/>
      <c r="H3479" s="15"/>
      <c r="I3479" s="17"/>
      <c r="J3479" s="10"/>
      <c r="M3479" s="39"/>
      <c r="O3479" s="39"/>
      <c r="Q3479" s="39"/>
      <c r="R3479" s="28"/>
      <c r="S3479" s="28"/>
      <c r="T3479" s="28"/>
      <c r="U3479" s="4"/>
      <c r="V3479" s="3"/>
      <c r="W3479" s="3"/>
    </row>
    <row r="3480" spans="1:23" s="5" customFormat="1">
      <c r="A3480" s="6"/>
      <c r="B3480" s="33"/>
      <c r="C3480" s="35"/>
      <c r="E3480" s="39"/>
      <c r="G3480" s="40"/>
      <c r="H3480" s="15"/>
      <c r="I3480" s="17"/>
      <c r="J3480" s="10"/>
      <c r="M3480" s="39"/>
      <c r="O3480" s="39"/>
      <c r="Q3480" s="39"/>
      <c r="R3480" s="28"/>
      <c r="S3480" s="28"/>
      <c r="T3480" s="28"/>
      <c r="U3480" s="4"/>
      <c r="V3480" s="3"/>
      <c r="W3480" s="3"/>
    </row>
    <row r="3481" spans="1:23" s="5" customFormat="1">
      <c r="A3481" s="6"/>
      <c r="B3481" s="33"/>
      <c r="C3481" s="35"/>
      <c r="E3481" s="39"/>
      <c r="G3481" s="40"/>
      <c r="H3481" s="15"/>
      <c r="I3481" s="17"/>
      <c r="J3481" s="10"/>
      <c r="M3481" s="39"/>
      <c r="O3481" s="39"/>
      <c r="Q3481" s="39"/>
      <c r="R3481" s="28"/>
      <c r="S3481" s="28"/>
      <c r="T3481" s="28"/>
      <c r="U3481" s="4"/>
      <c r="V3481" s="3"/>
      <c r="W3481" s="3"/>
    </row>
    <row r="3482" spans="1:23" s="5" customFormat="1">
      <c r="A3482" s="6"/>
      <c r="B3482" s="33"/>
      <c r="C3482" s="35"/>
      <c r="E3482" s="39"/>
      <c r="G3482" s="40"/>
      <c r="H3482" s="15"/>
      <c r="I3482" s="17"/>
      <c r="J3482" s="10"/>
      <c r="M3482" s="39"/>
      <c r="O3482" s="39"/>
      <c r="Q3482" s="39"/>
      <c r="R3482" s="28"/>
      <c r="S3482" s="28"/>
      <c r="T3482" s="28"/>
      <c r="U3482" s="4"/>
      <c r="V3482" s="3"/>
      <c r="W3482" s="3"/>
    </row>
    <row r="3483" spans="1:23" s="5" customFormat="1">
      <c r="A3483" s="6"/>
      <c r="B3483" s="33"/>
      <c r="C3483" s="35"/>
      <c r="E3483" s="39"/>
      <c r="G3483" s="40"/>
      <c r="H3483" s="15"/>
      <c r="I3483" s="17"/>
      <c r="J3483" s="10"/>
      <c r="M3483" s="39"/>
      <c r="O3483" s="39"/>
      <c r="Q3483" s="39"/>
      <c r="R3483" s="28"/>
      <c r="S3483" s="28"/>
      <c r="T3483" s="28"/>
      <c r="U3483" s="4"/>
      <c r="V3483" s="3"/>
      <c r="W3483" s="3"/>
    </row>
    <row r="3484" spans="1:23" s="5" customFormat="1">
      <c r="A3484" s="6"/>
      <c r="B3484" s="33"/>
      <c r="C3484" s="35"/>
      <c r="E3484" s="39"/>
      <c r="G3484" s="40"/>
      <c r="H3484" s="15"/>
      <c r="I3484" s="17"/>
      <c r="J3484" s="10"/>
      <c r="M3484" s="39"/>
      <c r="O3484" s="39"/>
      <c r="Q3484" s="39"/>
      <c r="R3484" s="28"/>
      <c r="S3484" s="28"/>
      <c r="T3484" s="28"/>
      <c r="U3484" s="4"/>
      <c r="V3484" s="3"/>
      <c r="W3484" s="3"/>
    </row>
    <row r="3485" spans="1:23" s="5" customFormat="1">
      <c r="A3485" s="6"/>
      <c r="B3485" s="33"/>
      <c r="C3485" s="35"/>
      <c r="E3485" s="39"/>
      <c r="G3485" s="40"/>
      <c r="H3485" s="14"/>
      <c r="I3485" s="17"/>
      <c r="J3485" s="10"/>
      <c r="M3485" s="39"/>
      <c r="O3485" s="39"/>
      <c r="Q3485" s="39"/>
      <c r="R3485" s="28"/>
      <c r="S3485" s="28"/>
      <c r="T3485" s="28"/>
      <c r="U3485" s="4"/>
      <c r="V3485" s="3"/>
      <c r="W3485" s="3"/>
    </row>
    <row r="3486" spans="1:23" s="5" customFormat="1">
      <c r="A3486" s="6"/>
      <c r="B3486" s="33"/>
      <c r="C3486" s="35"/>
      <c r="E3486" s="39"/>
      <c r="G3486" s="40"/>
      <c r="H3486" s="15"/>
      <c r="I3486" s="17"/>
      <c r="J3486" s="10"/>
      <c r="M3486" s="39"/>
      <c r="O3486" s="39"/>
      <c r="Q3486" s="39"/>
      <c r="R3486" s="28"/>
      <c r="S3486" s="28"/>
      <c r="T3486" s="28"/>
      <c r="U3486" s="4"/>
      <c r="V3486" s="3"/>
      <c r="W3486" s="3"/>
    </row>
    <row r="3487" spans="1:23" s="5" customFormat="1">
      <c r="A3487" s="6"/>
      <c r="B3487" s="33"/>
      <c r="C3487" s="35"/>
      <c r="E3487" s="39"/>
      <c r="G3487" s="40"/>
      <c r="H3487" s="14"/>
      <c r="I3487" s="17"/>
      <c r="J3487" s="10"/>
      <c r="M3487" s="39"/>
      <c r="O3487" s="39"/>
      <c r="Q3487" s="39"/>
      <c r="R3487" s="28"/>
      <c r="S3487" s="28"/>
      <c r="T3487" s="28"/>
      <c r="U3487" s="4"/>
      <c r="V3487" s="3"/>
      <c r="W3487" s="3"/>
    </row>
    <row r="3488" spans="1:23" s="5" customFormat="1">
      <c r="A3488" s="6"/>
      <c r="B3488" s="33"/>
      <c r="C3488" s="35"/>
      <c r="E3488" s="39"/>
      <c r="G3488" s="40"/>
      <c r="H3488" s="14"/>
      <c r="I3488" s="17"/>
      <c r="J3488" s="10"/>
      <c r="M3488" s="39"/>
      <c r="O3488" s="39"/>
      <c r="Q3488" s="39"/>
      <c r="R3488" s="28"/>
      <c r="S3488" s="28"/>
      <c r="T3488" s="28"/>
      <c r="U3488" s="4"/>
      <c r="V3488" s="3"/>
      <c r="W3488" s="3"/>
    </row>
    <row r="3489" spans="1:23" s="5" customFormat="1">
      <c r="A3489" s="6"/>
      <c r="B3489" s="33"/>
      <c r="C3489" s="35"/>
      <c r="E3489" s="39"/>
      <c r="G3489" s="40"/>
      <c r="H3489" s="14"/>
      <c r="I3489" s="17"/>
      <c r="J3489" s="10"/>
      <c r="M3489" s="39"/>
      <c r="O3489" s="39"/>
      <c r="Q3489" s="39"/>
      <c r="R3489" s="28"/>
      <c r="S3489" s="28"/>
      <c r="T3489" s="28"/>
      <c r="U3489" s="4"/>
      <c r="V3489" s="3"/>
      <c r="W3489" s="3"/>
    </row>
    <row r="3490" spans="1:23" s="5" customFormat="1">
      <c r="A3490" s="6"/>
      <c r="B3490" s="33"/>
      <c r="C3490" s="35"/>
      <c r="E3490" s="39"/>
      <c r="G3490" s="40"/>
      <c r="H3490" s="15"/>
      <c r="I3490" s="17"/>
      <c r="J3490" s="10"/>
      <c r="M3490" s="39"/>
      <c r="O3490" s="39"/>
      <c r="Q3490" s="39"/>
      <c r="R3490" s="28"/>
      <c r="S3490" s="28"/>
      <c r="T3490" s="28"/>
      <c r="U3490" s="4"/>
      <c r="V3490" s="3"/>
      <c r="W3490" s="3"/>
    </row>
    <row r="3491" spans="1:23" s="5" customFormat="1">
      <c r="A3491" s="6"/>
      <c r="B3491" s="33"/>
      <c r="C3491" s="35"/>
      <c r="E3491" s="39"/>
      <c r="G3491" s="40"/>
      <c r="H3491" s="14"/>
      <c r="I3491" s="17"/>
      <c r="J3491" s="10"/>
      <c r="M3491" s="39"/>
      <c r="O3491" s="39"/>
      <c r="Q3491" s="39"/>
      <c r="R3491" s="28"/>
      <c r="S3491" s="28"/>
      <c r="T3491" s="28"/>
      <c r="U3491" s="4"/>
      <c r="V3491" s="3"/>
      <c r="W3491" s="3"/>
    </row>
    <row r="3492" spans="1:23" s="5" customFormat="1">
      <c r="A3492" s="6"/>
      <c r="B3492" s="33"/>
      <c r="C3492" s="35"/>
      <c r="E3492" s="39"/>
      <c r="G3492" s="40"/>
      <c r="H3492" s="15"/>
      <c r="I3492" s="17"/>
      <c r="J3492" s="10"/>
      <c r="M3492" s="39"/>
      <c r="O3492" s="39"/>
      <c r="Q3492" s="39"/>
      <c r="R3492" s="28"/>
      <c r="S3492" s="28"/>
      <c r="T3492" s="28"/>
      <c r="U3492" s="4"/>
      <c r="V3492" s="3"/>
      <c r="W3492" s="3"/>
    </row>
    <row r="3493" spans="1:23" s="5" customFormat="1">
      <c r="A3493" s="6"/>
      <c r="B3493" s="33"/>
      <c r="C3493" s="35"/>
      <c r="E3493" s="39"/>
      <c r="G3493" s="40"/>
      <c r="H3493" s="14"/>
      <c r="I3493" s="17"/>
      <c r="J3493" s="10"/>
      <c r="M3493" s="39"/>
      <c r="O3493" s="39"/>
      <c r="Q3493" s="39"/>
      <c r="R3493" s="28"/>
      <c r="S3493" s="28"/>
      <c r="T3493" s="28"/>
      <c r="U3493" s="4"/>
      <c r="V3493" s="3"/>
      <c r="W3493" s="3"/>
    </row>
    <row r="3494" spans="1:23" s="5" customFormat="1">
      <c r="A3494" s="6"/>
      <c r="B3494" s="33"/>
      <c r="C3494" s="35"/>
      <c r="E3494" s="39"/>
      <c r="G3494" s="40"/>
      <c r="H3494" s="14"/>
      <c r="I3494" s="17"/>
      <c r="J3494" s="10"/>
      <c r="M3494" s="39"/>
      <c r="O3494" s="39"/>
      <c r="Q3494" s="39"/>
      <c r="R3494" s="28"/>
      <c r="S3494" s="28"/>
      <c r="T3494" s="28"/>
      <c r="U3494" s="4"/>
      <c r="V3494" s="3"/>
      <c r="W3494" s="3"/>
    </row>
    <row r="3495" spans="1:23" s="5" customFormat="1">
      <c r="A3495" s="6"/>
      <c r="B3495" s="33"/>
      <c r="C3495" s="35"/>
      <c r="E3495" s="39"/>
      <c r="G3495" s="40"/>
      <c r="H3495" s="14"/>
      <c r="I3495" s="17"/>
      <c r="J3495" s="10"/>
      <c r="M3495" s="39"/>
      <c r="O3495" s="39"/>
      <c r="Q3495" s="39"/>
      <c r="R3495" s="28"/>
      <c r="S3495" s="28"/>
      <c r="T3495" s="28"/>
      <c r="U3495" s="4"/>
      <c r="V3495" s="3"/>
      <c r="W3495" s="3"/>
    </row>
    <row r="3496" spans="1:23" s="5" customFormat="1">
      <c r="A3496" s="6"/>
      <c r="B3496" s="33"/>
      <c r="C3496" s="35"/>
      <c r="E3496" s="39"/>
      <c r="G3496" s="40"/>
      <c r="H3496" s="15"/>
      <c r="I3496" s="17"/>
      <c r="J3496" s="10"/>
      <c r="M3496" s="39"/>
      <c r="O3496" s="39"/>
      <c r="Q3496" s="39"/>
      <c r="R3496" s="28"/>
      <c r="S3496" s="28"/>
      <c r="T3496" s="28"/>
      <c r="U3496" s="4"/>
      <c r="V3496" s="3"/>
      <c r="W3496" s="3"/>
    </row>
    <row r="3497" spans="1:23" s="5" customFormat="1">
      <c r="A3497" s="6"/>
      <c r="B3497" s="33"/>
      <c r="C3497" s="35"/>
      <c r="E3497" s="39"/>
      <c r="G3497" s="40"/>
      <c r="H3497" s="14"/>
      <c r="I3497" s="17"/>
      <c r="J3497" s="10"/>
      <c r="M3497" s="39"/>
      <c r="O3497" s="39"/>
      <c r="Q3497" s="39"/>
      <c r="R3497" s="28"/>
      <c r="S3497" s="28"/>
      <c r="T3497" s="28"/>
      <c r="U3497" s="4"/>
      <c r="V3497" s="3"/>
      <c r="W3497" s="3"/>
    </row>
    <row r="3498" spans="1:23" s="5" customFormat="1">
      <c r="A3498" s="6"/>
      <c r="B3498" s="33"/>
      <c r="C3498" s="35"/>
      <c r="E3498" s="39"/>
      <c r="G3498" s="40"/>
      <c r="H3498" s="14"/>
      <c r="I3498" s="17"/>
      <c r="J3498" s="10"/>
      <c r="M3498" s="39"/>
      <c r="O3498" s="39"/>
      <c r="Q3498" s="39"/>
      <c r="R3498" s="28"/>
      <c r="S3498" s="28"/>
      <c r="T3498" s="28"/>
      <c r="U3498" s="4"/>
      <c r="V3498" s="3"/>
      <c r="W3498" s="3"/>
    </row>
    <row r="3499" spans="1:23" s="5" customFormat="1">
      <c r="A3499" s="6"/>
      <c r="B3499" s="33"/>
      <c r="C3499" s="35"/>
      <c r="E3499" s="39"/>
      <c r="G3499" s="40"/>
      <c r="H3499" s="15"/>
      <c r="I3499" s="17"/>
      <c r="J3499" s="10"/>
      <c r="M3499" s="39"/>
      <c r="O3499" s="39"/>
      <c r="Q3499" s="39"/>
      <c r="R3499" s="28"/>
      <c r="S3499" s="28"/>
      <c r="T3499" s="28"/>
      <c r="U3499" s="4"/>
      <c r="V3499" s="3"/>
      <c r="W3499" s="3"/>
    </row>
    <row r="3500" spans="1:23" s="5" customFormat="1">
      <c r="A3500" s="6"/>
      <c r="B3500" s="33"/>
      <c r="C3500" s="35"/>
      <c r="E3500" s="39"/>
      <c r="G3500" s="40"/>
      <c r="H3500" s="15"/>
      <c r="I3500" s="17"/>
      <c r="J3500" s="10"/>
      <c r="M3500" s="39"/>
      <c r="O3500" s="39"/>
      <c r="Q3500" s="39"/>
      <c r="R3500" s="28"/>
      <c r="S3500" s="28"/>
      <c r="T3500" s="28"/>
      <c r="U3500" s="4"/>
      <c r="V3500" s="3"/>
      <c r="W3500" s="3"/>
    </row>
    <row r="3501" spans="1:23" s="5" customFormat="1">
      <c r="A3501" s="6"/>
      <c r="B3501" s="33"/>
      <c r="C3501" s="35"/>
      <c r="E3501" s="39"/>
      <c r="G3501" s="40"/>
      <c r="H3501" s="15"/>
      <c r="I3501" s="17"/>
      <c r="J3501" s="10"/>
      <c r="M3501" s="39"/>
      <c r="O3501" s="39"/>
      <c r="Q3501" s="39"/>
      <c r="R3501" s="28"/>
      <c r="S3501" s="28"/>
      <c r="T3501" s="28"/>
      <c r="U3501" s="4"/>
      <c r="V3501" s="3"/>
      <c r="W3501" s="3"/>
    </row>
    <row r="3502" spans="1:23" s="5" customFormat="1">
      <c r="A3502" s="6"/>
      <c r="B3502" s="33"/>
      <c r="C3502" s="35"/>
      <c r="E3502" s="39"/>
      <c r="G3502" s="40"/>
      <c r="H3502" s="14"/>
      <c r="I3502" s="17"/>
      <c r="J3502" s="10"/>
      <c r="M3502" s="39"/>
      <c r="O3502" s="39"/>
      <c r="Q3502" s="39"/>
      <c r="R3502" s="28"/>
      <c r="S3502" s="28"/>
      <c r="T3502" s="28"/>
      <c r="U3502" s="4"/>
      <c r="V3502" s="3"/>
      <c r="W3502" s="3"/>
    </row>
    <row r="3503" spans="1:23" s="5" customFormat="1">
      <c r="A3503" s="6"/>
      <c r="B3503" s="33"/>
      <c r="C3503" s="35"/>
      <c r="E3503" s="39"/>
      <c r="G3503" s="40"/>
      <c r="H3503" s="14"/>
      <c r="I3503" s="17"/>
      <c r="J3503" s="10"/>
      <c r="M3503" s="39"/>
      <c r="O3503" s="39"/>
      <c r="Q3503" s="39"/>
      <c r="R3503" s="28"/>
      <c r="S3503" s="28"/>
      <c r="T3503" s="28"/>
      <c r="U3503" s="4"/>
      <c r="V3503" s="3"/>
      <c r="W3503" s="3"/>
    </row>
    <row r="3504" spans="1:23" s="5" customFormat="1">
      <c r="A3504" s="6"/>
      <c r="B3504" s="33"/>
      <c r="C3504" s="35"/>
      <c r="E3504" s="39"/>
      <c r="G3504" s="40"/>
      <c r="H3504" s="15"/>
      <c r="I3504" s="17"/>
      <c r="J3504" s="10"/>
      <c r="M3504" s="39"/>
      <c r="O3504" s="39"/>
      <c r="Q3504" s="39"/>
      <c r="R3504" s="28"/>
      <c r="S3504" s="28"/>
      <c r="T3504" s="28"/>
      <c r="U3504" s="4"/>
      <c r="V3504" s="3"/>
      <c r="W3504" s="3"/>
    </row>
    <row r="3505" spans="1:23" s="5" customFormat="1">
      <c r="A3505" s="6"/>
      <c r="B3505" s="33"/>
      <c r="C3505" s="35"/>
      <c r="E3505" s="39"/>
      <c r="G3505" s="40"/>
      <c r="H3505" s="15"/>
      <c r="I3505" s="17"/>
      <c r="J3505" s="10"/>
      <c r="M3505" s="39"/>
      <c r="O3505" s="39"/>
      <c r="Q3505" s="39"/>
      <c r="R3505" s="28"/>
      <c r="S3505" s="28"/>
      <c r="T3505" s="28"/>
      <c r="U3505" s="4"/>
      <c r="V3505" s="3"/>
      <c r="W3505" s="3"/>
    </row>
    <row r="3506" spans="1:23" s="5" customFormat="1">
      <c r="A3506" s="6"/>
      <c r="B3506" s="33"/>
      <c r="C3506" s="35"/>
      <c r="E3506" s="39"/>
      <c r="G3506" s="40"/>
      <c r="H3506" s="15"/>
      <c r="I3506" s="17"/>
      <c r="J3506" s="10"/>
      <c r="M3506" s="39"/>
      <c r="O3506" s="39"/>
      <c r="Q3506" s="39"/>
      <c r="R3506" s="28"/>
      <c r="S3506" s="28"/>
      <c r="T3506" s="28"/>
      <c r="U3506" s="4"/>
      <c r="V3506" s="3"/>
      <c r="W3506" s="3"/>
    </row>
    <row r="3507" spans="1:23" s="5" customFormat="1">
      <c r="A3507" s="6"/>
      <c r="B3507" s="33"/>
      <c r="C3507" s="35"/>
      <c r="E3507" s="39"/>
      <c r="G3507" s="40"/>
      <c r="H3507" s="14"/>
      <c r="I3507" s="17"/>
      <c r="J3507" s="10"/>
      <c r="M3507" s="39"/>
      <c r="O3507" s="39"/>
      <c r="Q3507" s="39"/>
      <c r="R3507" s="28"/>
      <c r="S3507" s="28"/>
      <c r="T3507" s="28"/>
      <c r="U3507" s="4"/>
      <c r="V3507" s="3"/>
      <c r="W3507" s="3"/>
    </row>
    <row r="3508" spans="1:23" s="5" customFormat="1">
      <c r="A3508" s="6"/>
      <c r="B3508" s="33"/>
      <c r="C3508" s="35"/>
      <c r="E3508" s="39"/>
      <c r="G3508" s="40"/>
      <c r="H3508" s="15"/>
      <c r="I3508" s="17"/>
      <c r="J3508" s="10"/>
      <c r="M3508" s="39"/>
      <c r="O3508" s="39"/>
      <c r="Q3508" s="39"/>
      <c r="R3508" s="28"/>
      <c r="S3508" s="28"/>
      <c r="T3508" s="28"/>
      <c r="U3508" s="4"/>
      <c r="V3508" s="3"/>
      <c r="W3508" s="3"/>
    </row>
    <row r="3509" spans="1:23" s="5" customFormat="1">
      <c r="A3509" s="6"/>
      <c r="B3509" s="33"/>
      <c r="C3509" s="35"/>
      <c r="E3509" s="39"/>
      <c r="G3509" s="40"/>
      <c r="H3509" s="15"/>
      <c r="I3509" s="17"/>
      <c r="J3509" s="10"/>
      <c r="M3509" s="39"/>
      <c r="O3509" s="39"/>
      <c r="Q3509" s="39"/>
      <c r="R3509" s="28"/>
      <c r="S3509" s="28"/>
      <c r="T3509" s="28"/>
      <c r="U3509" s="4"/>
      <c r="V3509" s="3"/>
      <c r="W3509" s="3"/>
    </row>
    <row r="3510" spans="1:23" s="5" customFormat="1">
      <c r="A3510" s="6"/>
      <c r="B3510" s="33"/>
      <c r="C3510" s="35"/>
      <c r="E3510" s="39"/>
      <c r="G3510" s="40"/>
      <c r="H3510" s="15"/>
      <c r="I3510" s="17"/>
      <c r="J3510" s="10"/>
      <c r="M3510" s="39"/>
      <c r="O3510" s="39"/>
      <c r="Q3510" s="39"/>
      <c r="R3510" s="28"/>
      <c r="S3510" s="28"/>
      <c r="T3510" s="28"/>
      <c r="U3510" s="4"/>
      <c r="V3510" s="3"/>
      <c r="W3510" s="3"/>
    </row>
    <row r="3511" spans="1:23" s="5" customFormat="1">
      <c r="A3511" s="6"/>
      <c r="B3511" s="33"/>
      <c r="C3511" s="35"/>
      <c r="E3511" s="39"/>
      <c r="G3511" s="40"/>
      <c r="H3511" s="14"/>
      <c r="I3511" s="17"/>
      <c r="J3511" s="10"/>
      <c r="M3511" s="39"/>
      <c r="O3511" s="39"/>
      <c r="Q3511" s="39"/>
      <c r="R3511" s="28"/>
      <c r="S3511" s="28"/>
      <c r="T3511" s="28"/>
      <c r="U3511" s="4"/>
      <c r="V3511" s="3"/>
      <c r="W3511" s="3"/>
    </row>
    <row r="3512" spans="1:23" s="5" customFormat="1">
      <c r="A3512" s="6"/>
      <c r="B3512" s="33"/>
      <c r="C3512" s="35"/>
      <c r="E3512" s="39"/>
      <c r="G3512" s="40"/>
      <c r="H3512" s="15"/>
      <c r="I3512" s="17"/>
      <c r="J3512" s="10"/>
      <c r="M3512" s="39"/>
      <c r="O3512" s="39"/>
      <c r="Q3512" s="39"/>
      <c r="R3512" s="28"/>
      <c r="S3512" s="28"/>
      <c r="T3512" s="28"/>
      <c r="U3512" s="4"/>
      <c r="V3512" s="3"/>
      <c r="W3512" s="3"/>
    </row>
    <row r="3513" spans="1:23" s="5" customFormat="1">
      <c r="A3513" s="6"/>
      <c r="B3513" s="33"/>
      <c r="C3513" s="35"/>
      <c r="E3513" s="39"/>
      <c r="G3513" s="40"/>
      <c r="H3513" s="14"/>
      <c r="I3513" s="17"/>
      <c r="J3513" s="10"/>
      <c r="M3513" s="39"/>
      <c r="O3513" s="39"/>
      <c r="Q3513" s="39"/>
      <c r="R3513" s="28"/>
      <c r="S3513" s="28"/>
      <c r="T3513" s="28"/>
      <c r="U3513" s="4"/>
      <c r="V3513" s="3"/>
      <c r="W3513" s="3"/>
    </row>
    <row r="3514" spans="1:23" s="5" customFormat="1">
      <c r="A3514" s="6"/>
      <c r="B3514" s="33"/>
      <c r="C3514" s="35"/>
      <c r="E3514" s="39"/>
      <c r="G3514" s="40"/>
      <c r="H3514" s="15"/>
      <c r="I3514" s="17"/>
      <c r="J3514" s="10"/>
      <c r="M3514" s="39"/>
      <c r="O3514" s="39"/>
      <c r="Q3514" s="39"/>
      <c r="R3514" s="28"/>
      <c r="S3514" s="28"/>
      <c r="T3514" s="28"/>
      <c r="U3514" s="4"/>
      <c r="V3514" s="3"/>
      <c r="W3514" s="3"/>
    </row>
    <row r="3515" spans="1:23" s="5" customFormat="1">
      <c r="A3515" s="6"/>
      <c r="B3515" s="33"/>
      <c r="C3515" s="35"/>
      <c r="E3515" s="39"/>
      <c r="G3515" s="40"/>
      <c r="H3515" s="15"/>
      <c r="I3515" s="17"/>
      <c r="J3515" s="10"/>
      <c r="M3515" s="39"/>
      <c r="O3515" s="39"/>
      <c r="Q3515" s="39"/>
      <c r="R3515" s="28"/>
      <c r="S3515" s="28"/>
      <c r="T3515" s="28"/>
      <c r="U3515" s="4"/>
      <c r="V3515" s="3"/>
      <c r="W3515" s="3"/>
    </row>
    <row r="3516" spans="1:23" s="5" customFormat="1">
      <c r="A3516" s="6"/>
      <c r="B3516" s="33"/>
      <c r="C3516" s="35"/>
      <c r="E3516" s="39"/>
      <c r="G3516" s="40"/>
      <c r="H3516" s="14"/>
      <c r="I3516" s="17"/>
      <c r="J3516" s="10"/>
      <c r="M3516" s="39"/>
      <c r="O3516" s="39"/>
      <c r="Q3516" s="39"/>
      <c r="R3516" s="28"/>
      <c r="S3516" s="28"/>
      <c r="T3516" s="28"/>
      <c r="U3516" s="4"/>
      <c r="V3516" s="3"/>
      <c r="W3516" s="3"/>
    </row>
    <row r="3517" spans="1:23" s="5" customFormat="1">
      <c r="A3517" s="6"/>
      <c r="B3517" s="33"/>
      <c r="C3517" s="35"/>
      <c r="E3517" s="39"/>
      <c r="G3517" s="40"/>
      <c r="H3517" s="15"/>
      <c r="I3517" s="17"/>
      <c r="J3517" s="10"/>
      <c r="M3517" s="39"/>
      <c r="O3517" s="39"/>
      <c r="Q3517" s="39"/>
      <c r="R3517" s="28"/>
      <c r="S3517" s="28"/>
      <c r="T3517" s="28"/>
      <c r="U3517" s="4"/>
      <c r="V3517" s="3"/>
      <c r="W3517" s="3"/>
    </row>
    <row r="3518" spans="1:23" s="5" customFormat="1">
      <c r="A3518" s="6"/>
      <c r="B3518" s="33"/>
      <c r="C3518" s="35"/>
      <c r="E3518" s="39"/>
      <c r="G3518" s="40"/>
      <c r="H3518" s="15"/>
      <c r="I3518" s="17"/>
      <c r="J3518" s="10"/>
      <c r="M3518" s="39"/>
      <c r="O3518" s="39"/>
      <c r="Q3518" s="39"/>
      <c r="R3518" s="28"/>
      <c r="S3518" s="28"/>
      <c r="T3518" s="28"/>
      <c r="U3518" s="4"/>
      <c r="V3518" s="3"/>
      <c r="W3518" s="3"/>
    </row>
    <row r="3519" spans="1:23" s="5" customFormat="1">
      <c r="A3519" s="6"/>
      <c r="B3519" s="33"/>
      <c r="C3519" s="35"/>
      <c r="E3519" s="39"/>
      <c r="G3519" s="40"/>
      <c r="H3519" s="14"/>
      <c r="I3519" s="17"/>
      <c r="J3519" s="10"/>
      <c r="M3519" s="39"/>
      <c r="O3519" s="39"/>
      <c r="Q3519" s="39"/>
      <c r="R3519" s="28"/>
      <c r="S3519" s="28"/>
      <c r="T3519" s="28"/>
      <c r="U3519" s="4"/>
      <c r="V3519" s="3"/>
      <c r="W3519" s="3"/>
    </row>
    <row r="3520" spans="1:23" s="5" customFormat="1">
      <c r="A3520" s="6"/>
      <c r="B3520" s="33"/>
      <c r="C3520" s="35"/>
      <c r="E3520" s="39"/>
      <c r="G3520" s="40"/>
      <c r="H3520" s="15"/>
      <c r="I3520" s="17"/>
      <c r="J3520" s="10"/>
      <c r="M3520" s="39"/>
      <c r="O3520" s="39"/>
      <c r="Q3520" s="39"/>
      <c r="R3520" s="28"/>
      <c r="S3520" s="28"/>
      <c r="T3520" s="28"/>
      <c r="U3520" s="4"/>
      <c r="V3520" s="3"/>
      <c r="W3520" s="3"/>
    </row>
    <row r="3521" spans="1:23" s="5" customFormat="1">
      <c r="A3521" s="6"/>
      <c r="B3521" s="33"/>
      <c r="C3521" s="35"/>
      <c r="E3521" s="39"/>
      <c r="G3521" s="40"/>
      <c r="H3521" s="14"/>
      <c r="I3521" s="17"/>
      <c r="J3521" s="10"/>
      <c r="M3521" s="39"/>
      <c r="O3521" s="39"/>
      <c r="Q3521" s="39"/>
      <c r="R3521" s="28"/>
      <c r="S3521" s="28"/>
      <c r="T3521" s="28"/>
      <c r="U3521" s="4"/>
      <c r="V3521" s="3"/>
      <c r="W3521" s="3"/>
    </row>
    <row r="3522" spans="1:23" s="5" customFormat="1">
      <c r="A3522" s="6"/>
      <c r="B3522" s="33"/>
      <c r="C3522" s="35"/>
      <c r="E3522" s="39"/>
      <c r="G3522" s="40"/>
      <c r="H3522" s="15"/>
      <c r="I3522" s="17"/>
      <c r="J3522" s="10"/>
      <c r="M3522" s="39"/>
      <c r="O3522" s="39"/>
      <c r="Q3522" s="39"/>
      <c r="R3522" s="28"/>
      <c r="S3522" s="28"/>
      <c r="T3522" s="28"/>
      <c r="U3522" s="4"/>
      <c r="V3522" s="3"/>
      <c r="W3522" s="3"/>
    </row>
    <row r="3523" spans="1:23" s="5" customFormat="1">
      <c r="A3523" s="6"/>
      <c r="B3523" s="33"/>
      <c r="C3523" s="35"/>
      <c r="E3523" s="39"/>
      <c r="G3523" s="40"/>
      <c r="H3523" s="14"/>
      <c r="I3523" s="17"/>
      <c r="J3523" s="10"/>
      <c r="M3523" s="39"/>
      <c r="O3523" s="39"/>
      <c r="Q3523" s="39"/>
      <c r="R3523" s="28"/>
      <c r="S3523" s="29"/>
      <c r="T3523" s="28"/>
      <c r="U3523" s="4"/>
      <c r="V3523" s="3"/>
      <c r="W3523" s="3"/>
    </row>
    <row r="3524" spans="1:23" s="5" customFormat="1">
      <c r="A3524" s="6"/>
      <c r="B3524" s="33"/>
      <c r="C3524" s="35"/>
      <c r="E3524" s="39"/>
      <c r="G3524" s="40"/>
      <c r="H3524" s="14"/>
      <c r="I3524" s="17"/>
      <c r="J3524" s="10"/>
      <c r="M3524" s="39"/>
      <c r="O3524" s="39"/>
      <c r="Q3524" s="39"/>
      <c r="R3524" s="28"/>
      <c r="S3524" s="28"/>
      <c r="T3524" s="28"/>
      <c r="U3524" s="4"/>
      <c r="V3524" s="3"/>
      <c r="W3524" s="3"/>
    </row>
    <row r="3525" spans="1:23" s="5" customFormat="1">
      <c r="A3525" s="6"/>
      <c r="B3525" s="33"/>
      <c r="C3525" s="35"/>
      <c r="E3525" s="39"/>
      <c r="G3525" s="40"/>
      <c r="H3525" s="15"/>
      <c r="I3525" s="17"/>
      <c r="J3525" s="10"/>
      <c r="M3525" s="39"/>
      <c r="O3525" s="39"/>
      <c r="Q3525" s="39"/>
      <c r="R3525" s="28"/>
      <c r="S3525" s="28"/>
      <c r="T3525" s="28"/>
      <c r="U3525" s="4"/>
      <c r="V3525" s="3"/>
      <c r="W3525" s="3"/>
    </row>
    <row r="3526" spans="1:23" s="5" customFormat="1">
      <c r="A3526" s="6"/>
      <c r="B3526" s="33"/>
      <c r="C3526" s="35"/>
      <c r="E3526" s="39"/>
      <c r="G3526" s="40"/>
      <c r="H3526" s="15"/>
      <c r="I3526" s="17"/>
      <c r="J3526" s="10"/>
      <c r="M3526" s="39"/>
      <c r="O3526" s="39"/>
      <c r="Q3526" s="39"/>
      <c r="R3526" s="28"/>
      <c r="S3526" s="28"/>
      <c r="T3526" s="28"/>
      <c r="U3526" s="4"/>
      <c r="V3526" s="3"/>
      <c r="W3526" s="3"/>
    </row>
    <row r="3527" spans="1:23" s="5" customFormat="1">
      <c r="A3527" s="6"/>
      <c r="B3527" s="33"/>
      <c r="C3527" s="35"/>
      <c r="E3527" s="39"/>
      <c r="G3527" s="40"/>
      <c r="H3527" s="14"/>
      <c r="I3527" s="17"/>
      <c r="J3527" s="10"/>
      <c r="M3527" s="39"/>
      <c r="O3527" s="39"/>
      <c r="Q3527" s="39"/>
      <c r="R3527" s="28"/>
      <c r="S3527" s="28"/>
      <c r="T3527" s="28"/>
      <c r="U3527" s="4"/>
      <c r="V3527" s="3"/>
      <c r="W3527" s="3"/>
    </row>
    <row r="3528" spans="1:23" s="5" customFormat="1">
      <c r="A3528" s="6"/>
      <c r="B3528" s="33"/>
      <c r="C3528" s="35"/>
      <c r="E3528" s="39"/>
      <c r="G3528" s="40"/>
      <c r="H3528" s="14"/>
      <c r="I3528" s="17"/>
      <c r="J3528" s="10"/>
      <c r="M3528" s="39"/>
      <c r="O3528" s="39"/>
      <c r="Q3528" s="39"/>
      <c r="R3528" s="28"/>
      <c r="S3528" s="28"/>
      <c r="T3528" s="28"/>
      <c r="U3528" s="4"/>
      <c r="V3528" s="3"/>
      <c r="W3528" s="3"/>
    </row>
    <row r="3529" spans="1:23" s="5" customFormat="1">
      <c r="A3529" s="6"/>
      <c r="B3529" s="33"/>
      <c r="C3529" s="35"/>
      <c r="E3529" s="39"/>
      <c r="G3529" s="40"/>
      <c r="H3529" s="14"/>
      <c r="I3529" s="17"/>
      <c r="J3529" s="10"/>
      <c r="M3529" s="39"/>
      <c r="O3529" s="39"/>
      <c r="Q3529" s="39"/>
      <c r="R3529" s="28"/>
      <c r="S3529" s="28"/>
      <c r="T3529" s="28"/>
      <c r="U3529" s="4"/>
      <c r="V3529" s="3"/>
      <c r="W3529" s="3"/>
    </row>
    <row r="3530" spans="1:23" s="5" customFormat="1">
      <c r="A3530" s="6"/>
      <c r="B3530" s="33"/>
      <c r="C3530" s="35"/>
      <c r="E3530" s="39"/>
      <c r="G3530" s="40"/>
      <c r="H3530" s="14"/>
      <c r="I3530" s="17"/>
      <c r="J3530" s="10"/>
      <c r="M3530" s="39"/>
      <c r="O3530" s="39"/>
      <c r="Q3530" s="39"/>
      <c r="R3530" s="28"/>
      <c r="S3530" s="28"/>
      <c r="T3530" s="28"/>
      <c r="U3530" s="4"/>
      <c r="V3530" s="3"/>
      <c r="W3530" s="3"/>
    </row>
    <row r="3531" spans="1:23" s="5" customFormat="1">
      <c r="A3531" s="6"/>
      <c r="B3531" s="33"/>
      <c r="C3531" s="35"/>
      <c r="E3531" s="39"/>
      <c r="G3531" s="40"/>
      <c r="H3531" s="14"/>
      <c r="I3531" s="17"/>
      <c r="J3531" s="10"/>
      <c r="M3531" s="39"/>
      <c r="O3531" s="39"/>
      <c r="Q3531" s="39"/>
      <c r="R3531" s="28"/>
      <c r="S3531" s="28"/>
      <c r="T3531" s="28"/>
      <c r="U3531" s="4"/>
      <c r="V3531" s="3"/>
      <c r="W3531" s="3"/>
    </row>
    <row r="3532" spans="1:23" s="5" customFormat="1">
      <c r="A3532" s="6"/>
      <c r="B3532" s="33"/>
      <c r="C3532" s="35"/>
      <c r="E3532" s="39"/>
      <c r="G3532" s="40"/>
      <c r="H3532" s="14"/>
      <c r="I3532" s="17"/>
      <c r="J3532" s="10"/>
      <c r="M3532" s="39"/>
      <c r="O3532" s="39"/>
      <c r="Q3532" s="39"/>
      <c r="R3532" s="28"/>
      <c r="S3532" s="28"/>
      <c r="T3532" s="28"/>
      <c r="U3532" s="4"/>
      <c r="V3532" s="3"/>
      <c r="W3532" s="3"/>
    </row>
    <row r="3533" spans="1:23" s="5" customFormat="1">
      <c r="A3533" s="6"/>
      <c r="B3533" s="33"/>
      <c r="C3533" s="35"/>
      <c r="E3533" s="39"/>
      <c r="G3533" s="40"/>
      <c r="H3533" s="14"/>
      <c r="I3533" s="17"/>
      <c r="J3533" s="10"/>
      <c r="M3533" s="39"/>
      <c r="O3533" s="39"/>
      <c r="Q3533" s="39"/>
      <c r="R3533" s="28"/>
      <c r="S3533" s="28"/>
      <c r="T3533" s="28"/>
      <c r="U3533" s="4"/>
      <c r="V3533" s="3"/>
      <c r="W3533" s="3"/>
    </row>
    <row r="3534" spans="1:23" s="5" customFormat="1">
      <c r="A3534" s="6"/>
      <c r="B3534" s="33"/>
      <c r="C3534" s="35"/>
      <c r="E3534" s="39"/>
      <c r="G3534" s="40"/>
      <c r="H3534" s="15"/>
      <c r="I3534" s="17"/>
      <c r="J3534" s="10"/>
      <c r="M3534" s="39"/>
      <c r="O3534" s="39"/>
      <c r="Q3534" s="39"/>
      <c r="R3534" s="28"/>
      <c r="S3534" s="28"/>
      <c r="T3534" s="28"/>
      <c r="U3534" s="4"/>
      <c r="V3534" s="3"/>
      <c r="W3534" s="3"/>
    </row>
    <row r="3535" spans="1:23" s="5" customFormat="1">
      <c r="A3535" s="6"/>
      <c r="B3535" s="33"/>
      <c r="C3535" s="35"/>
      <c r="E3535" s="39"/>
      <c r="G3535" s="40"/>
      <c r="H3535" s="15"/>
      <c r="I3535" s="17"/>
      <c r="J3535" s="10"/>
      <c r="M3535" s="39"/>
      <c r="O3535" s="39"/>
      <c r="Q3535" s="39"/>
      <c r="R3535" s="28"/>
      <c r="S3535" s="28"/>
      <c r="T3535" s="28"/>
      <c r="U3535" s="4"/>
      <c r="V3535" s="3"/>
      <c r="W3535" s="3"/>
    </row>
    <row r="3536" spans="1:23" s="5" customFormat="1">
      <c r="A3536" s="6"/>
      <c r="B3536" s="33"/>
      <c r="C3536" s="35"/>
      <c r="E3536" s="39"/>
      <c r="G3536" s="40"/>
      <c r="H3536" s="14"/>
      <c r="I3536" s="17"/>
      <c r="J3536" s="10"/>
      <c r="M3536" s="39"/>
      <c r="O3536" s="39"/>
      <c r="Q3536" s="39"/>
      <c r="R3536" s="28"/>
      <c r="S3536" s="28"/>
      <c r="T3536" s="28"/>
      <c r="U3536" s="4"/>
      <c r="V3536" s="3"/>
      <c r="W3536" s="3"/>
    </row>
    <row r="3537" spans="1:23" s="5" customFormat="1">
      <c r="A3537" s="6"/>
      <c r="B3537" s="33"/>
      <c r="C3537" s="35"/>
      <c r="E3537" s="39"/>
      <c r="G3537" s="40"/>
      <c r="H3537" s="15"/>
      <c r="I3537" s="17"/>
      <c r="J3537" s="10"/>
      <c r="M3537" s="39"/>
      <c r="O3537" s="39"/>
      <c r="Q3537" s="39"/>
      <c r="R3537" s="28"/>
      <c r="S3537" s="28"/>
      <c r="T3537" s="28"/>
      <c r="U3537" s="4"/>
      <c r="V3537" s="3"/>
      <c r="W3537" s="3"/>
    </row>
    <row r="3538" spans="1:23" s="5" customFormat="1">
      <c r="A3538" s="6"/>
      <c r="B3538" s="33"/>
      <c r="C3538" s="35"/>
      <c r="E3538" s="39"/>
      <c r="G3538" s="40"/>
      <c r="H3538" s="14"/>
      <c r="I3538" s="17"/>
      <c r="J3538" s="10"/>
      <c r="M3538" s="39"/>
      <c r="O3538" s="39"/>
      <c r="Q3538" s="39"/>
      <c r="R3538" s="28"/>
      <c r="S3538" s="28"/>
      <c r="T3538" s="28"/>
      <c r="U3538" s="4"/>
      <c r="V3538" s="3"/>
      <c r="W3538" s="3"/>
    </row>
    <row r="3539" spans="1:23" s="5" customFormat="1">
      <c r="A3539" s="6"/>
      <c r="B3539" s="33"/>
      <c r="C3539" s="35"/>
      <c r="E3539" s="39"/>
      <c r="G3539" s="40"/>
      <c r="H3539" s="14"/>
      <c r="I3539" s="17"/>
      <c r="J3539" s="10"/>
      <c r="M3539" s="39"/>
      <c r="O3539" s="39"/>
      <c r="Q3539" s="39"/>
      <c r="R3539" s="28"/>
      <c r="S3539" s="28"/>
      <c r="T3539" s="28"/>
      <c r="U3539" s="4"/>
      <c r="V3539" s="3"/>
      <c r="W3539" s="3"/>
    </row>
    <row r="3540" spans="1:23" s="5" customFormat="1">
      <c r="A3540" s="6"/>
      <c r="B3540" s="33"/>
      <c r="C3540" s="35"/>
      <c r="E3540" s="39"/>
      <c r="G3540" s="40"/>
      <c r="H3540" s="14"/>
      <c r="I3540" s="17"/>
      <c r="J3540" s="10"/>
      <c r="M3540" s="39"/>
      <c r="O3540" s="39"/>
      <c r="Q3540" s="39"/>
      <c r="R3540" s="28"/>
      <c r="S3540" s="28"/>
      <c r="T3540" s="28"/>
      <c r="U3540" s="4"/>
      <c r="V3540" s="3"/>
      <c r="W3540" s="3"/>
    </row>
    <row r="3541" spans="1:23" s="5" customFormat="1">
      <c r="A3541" s="6"/>
      <c r="B3541" s="33"/>
      <c r="C3541" s="35"/>
      <c r="E3541" s="39"/>
      <c r="G3541" s="40"/>
      <c r="H3541" s="15"/>
      <c r="I3541" s="17"/>
      <c r="J3541" s="10"/>
      <c r="M3541" s="39"/>
      <c r="O3541" s="39"/>
      <c r="Q3541" s="39"/>
      <c r="R3541" s="28"/>
      <c r="S3541" s="28"/>
      <c r="T3541" s="28"/>
      <c r="U3541" s="4"/>
      <c r="V3541" s="3"/>
      <c r="W3541" s="3"/>
    </row>
    <row r="3542" spans="1:23" s="5" customFormat="1">
      <c r="A3542" s="20"/>
      <c r="B3542" s="33"/>
      <c r="C3542" s="35"/>
      <c r="E3542" s="39"/>
      <c r="F3542" s="1"/>
      <c r="G3542" s="40"/>
      <c r="H3542" s="12"/>
      <c r="I3542" s="9"/>
      <c r="J3542" s="12"/>
      <c r="M3542" s="39"/>
      <c r="O3542" s="39"/>
      <c r="Q3542" s="39"/>
      <c r="R3542" s="29"/>
      <c r="S3542" s="28"/>
      <c r="T3542" s="28"/>
      <c r="U3542" s="4"/>
      <c r="V3542" s="3"/>
      <c r="W3542" s="3"/>
    </row>
    <row r="3543" spans="1:23" s="5" customFormat="1">
      <c r="A3543" s="6"/>
      <c r="B3543" s="33"/>
      <c r="C3543" s="35"/>
      <c r="E3543" s="39"/>
      <c r="G3543" s="40"/>
      <c r="H3543" s="15"/>
      <c r="I3543" s="17"/>
      <c r="J3543" s="10"/>
      <c r="M3543" s="39"/>
      <c r="O3543" s="39"/>
      <c r="Q3543" s="39"/>
      <c r="R3543" s="28"/>
      <c r="S3543" s="28"/>
      <c r="T3543" s="28"/>
      <c r="U3543" s="4"/>
      <c r="V3543" s="3"/>
      <c r="W3543" s="3"/>
    </row>
    <row r="3544" spans="1:23" s="5" customFormat="1">
      <c r="A3544" s="6"/>
      <c r="B3544" s="33"/>
      <c r="C3544" s="35"/>
      <c r="E3544" s="39"/>
      <c r="G3544" s="40"/>
      <c r="H3544" s="14"/>
      <c r="I3544" s="17"/>
      <c r="J3544" s="10"/>
      <c r="M3544" s="39"/>
      <c r="O3544" s="39"/>
      <c r="Q3544" s="39"/>
      <c r="R3544" s="28"/>
      <c r="S3544" s="28"/>
      <c r="T3544" s="28"/>
      <c r="U3544" s="4"/>
      <c r="V3544" s="3"/>
      <c r="W3544" s="3"/>
    </row>
    <row r="3545" spans="1:23" s="5" customFormat="1">
      <c r="A3545" s="6"/>
      <c r="B3545" s="33"/>
      <c r="C3545" s="35"/>
      <c r="E3545" s="39"/>
      <c r="G3545" s="40"/>
      <c r="H3545" s="15"/>
      <c r="I3545" s="17"/>
      <c r="J3545" s="10"/>
      <c r="M3545" s="39"/>
      <c r="O3545" s="39"/>
      <c r="Q3545" s="39"/>
      <c r="R3545" s="28"/>
      <c r="S3545" s="28"/>
      <c r="T3545" s="28"/>
      <c r="U3545" s="4"/>
      <c r="V3545" s="3"/>
      <c r="W3545" s="3"/>
    </row>
    <row r="3546" spans="1:23" s="5" customFormat="1">
      <c r="A3546" s="6"/>
      <c r="B3546" s="33"/>
      <c r="C3546" s="35"/>
      <c r="E3546" s="39"/>
      <c r="G3546" s="40"/>
      <c r="H3546" s="14"/>
      <c r="I3546" s="17"/>
      <c r="J3546" s="10"/>
      <c r="M3546" s="39"/>
      <c r="O3546" s="39"/>
      <c r="Q3546" s="39"/>
      <c r="R3546" s="28"/>
      <c r="S3546" s="28"/>
      <c r="T3546" s="28"/>
      <c r="U3546" s="4"/>
      <c r="V3546" s="3"/>
      <c r="W3546" s="3"/>
    </row>
    <row r="3547" spans="1:23" s="5" customFormat="1">
      <c r="A3547" s="6"/>
      <c r="B3547" s="33"/>
      <c r="C3547" s="35"/>
      <c r="E3547" s="39"/>
      <c r="G3547" s="40"/>
      <c r="H3547" s="15"/>
      <c r="I3547" s="17"/>
      <c r="J3547" s="10"/>
      <c r="M3547" s="39"/>
      <c r="O3547" s="39"/>
      <c r="Q3547" s="39"/>
      <c r="R3547" s="28"/>
      <c r="S3547" s="28"/>
      <c r="T3547" s="28"/>
      <c r="U3547" s="4"/>
      <c r="V3547" s="3"/>
      <c r="W3547" s="3"/>
    </row>
    <row r="3548" spans="1:23" s="5" customFormat="1">
      <c r="A3548" s="6"/>
      <c r="B3548" s="33"/>
      <c r="C3548" s="35"/>
      <c r="E3548" s="39"/>
      <c r="G3548" s="40"/>
      <c r="H3548" s="15"/>
      <c r="I3548" s="17"/>
      <c r="J3548" s="10"/>
      <c r="M3548" s="39"/>
      <c r="O3548" s="39"/>
      <c r="Q3548" s="39"/>
      <c r="R3548" s="28"/>
      <c r="S3548" s="28"/>
      <c r="T3548" s="28"/>
      <c r="U3548" s="4"/>
      <c r="V3548" s="3"/>
      <c r="W3548" s="3"/>
    </row>
    <row r="3549" spans="1:23" s="5" customFormat="1">
      <c r="A3549" s="6"/>
      <c r="B3549" s="33"/>
      <c r="C3549" s="35"/>
      <c r="E3549" s="39"/>
      <c r="G3549" s="40"/>
      <c r="H3549" s="14"/>
      <c r="I3549" s="17"/>
      <c r="J3549" s="10"/>
      <c r="M3549" s="39"/>
      <c r="O3549" s="39"/>
      <c r="Q3549" s="39"/>
      <c r="R3549" s="28"/>
      <c r="S3549" s="28"/>
      <c r="T3549" s="28"/>
      <c r="U3549" s="4"/>
      <c r="V3549" s="3"/>
      <c r="W3549" s="3"/>
    </row>
    <row r="3550" spans="1:23" s="5" customFormat="1">
      <c r="A3550" s="6"/>
      <c r="B3550" s="33"/>
      <c r="C3550" s="35"/>
      <c r="E3550" s="39"/>
      <c r="G3550" s="40"/>
      <c r="H3550" s="15"/>
      <c r="I3550" s="17"/>
      <c r="J3550" s="10"/>
      <c r="M3550" s="39"/>
      <c r="O3550" s="39"/>
      <c r="Q3550" s="39"/>
      <c r="R3550" s="28"/>
      <c r="S3550" s="28"/>
      <c r="T3550" s="28"/>
      <c r="U3550" s="4"/>
      <c r="V3550" s="3"/>
      <c r="W3550" s="3"/>
    </row>
    <row r="3551" spans="1:23" s="5" customFormat="1">
      <c r="A3551" s="6"/>
      <c r="B3551" s="33"/>
      <c r="C3551" s="35"/>
      <c r="E3551" s="39"/>
      <c r="G3551" s="40"/>
      <c r="H3551" s="15"/>
      <c r="I3551" s="17"/>
      <c r="J3551" s="10"/>
      <c r="M3551" s="39"/>
      <c r="O3551" s="39"/>
      <c r="Q3551" s="39"/>
      <c r="R3551" s="28"/>
      <c r="S3551" s="28"/>
      <c r="T3551" s="28"/>
      <c r="U3551" s="4"/>
      <c r="V3551" s="3"/>
      <c r="W3551" s="3"/>
    </row>
    <row r="3552" spans="1:23" s="5" customFormat="1">
      <c r="A3552" s="6"/>
      <c r="B3552" s="33"/>
      <c r="C3552" s="35"/>
      <c r="E3552" s="39"/>
      <c r="G3552" s="40"/>
      <c r="H3552" s="15"/>
      <c r="I3552" s="17"/>
      <c r="J3552" s="10"/>
      <c r="M3552" s="39"/>
      <c r="O3552" s="39"/>
      <c r="Q3552" s="39"/>
      <c r="R3552" s="28"/>
      <c r="S3552" s="28"/>
      <c r="T3552" s="28"/>
      <c r="U3552" s="4"/>
      <c r="V3552" s="3"/>
      <c r="W3552" s="3"/>
    </row>
    <row r="3553" spans="1:23" s="5" customFormat="1">
      <c r="A3553" s="6"/>
      <c r="B3553" s="33"/>
      <c r="C3553" s="35"/>
      <c r="E3553" s="39"/>
      <c r="G3553" s="40"/>
      <c r="H3553" s="15"/>
      <c r="I3553" s="17"/>
      <c r="J3553" s="10"/>
      <c r="M3553" s="39"/>
      <c r="O3553" s="39"/>
      <c r="Q3553" s="39"/>
      <c r="R3553" s="28"/>
      <c r="S3553" s="28"/>
      <c r="T3553" s="28"/>
      <c r="U3553" s="4"/>
      <c r="V3553" s="3"/>
      <c r="W3553" s="3"/>
    </row>
    <row r="3554" spans="1:23" s="5" customFormat="1">
      <c r="A3554" s="6"/>
      <c r="B3554" s="33"/>
      <c r="C3554" s="35"/>
      <c r="E3554" s="39"/>
      <c r="G3554" s="40"/>
      <c r="H3554" s="14"/>
      <c r="I3554" s="17"/>
      <c r="J3554" s="10"/>
      <c r="M3554" s="39"/>
      <c r="O3554" s="39"/>
      <c r="Q3554" s="39"/>
      <c r="R3554" s="28"/>
      <c r="S3554" s="28"/>
      <c r="T3554" s="28"/>
      <c r="U3554" s="4"/>
      <c r="V3554" s="3"/>
      <c r="W3554" s="3"/>
    </row>
    <row r="3555" spans="1:23" s="5" customFormat="1">
      <c r="A3555" s="6"/>
      <c r="B3555" s="33"/>
      <c r="C3555" s="35"/>
      <c r="E3555" s="39"/>
      <c r="G3555" s="40"/>
      <c r="H3555" s="14"/>
      <c r="I3555" s="17"/>
      <c r="J3555" s="10"/>
      <c r="M3555" s="39"/>
      <c r="O3555" s="39"/>
      <c r="Q3555" s="39"/>
      <c r="R3555" s="28"/>
      <c r="S3555" s="28"/>
      <c r="T3555" s="28"/>
      <c r="U3555" s="4"/>
      <c r="V3555" s="3"/>
      <c r="W3555" s="3"/>
    </row>
    <row r="3556" spans="1:23" s="5" customFormat="1">
      <c r="A3556" s="20"/>
      <c r="B3556" s="33"/>
      <c r="C3556" s="35"/>
      <c r="D3556" s="1"/>
      <c r="E3556" s="39"/>
      <c r="F3556" s="1"/>
      <c r="G3556" s="40"/>
      <c r="H3556" s="12"/>
      <c r="I3556" s="9"/>
      <c r="J3556" s="12"/>
      <c r="L3556" s="1"/>
      <c r="M3556" s="39"/>
      <c r="N3556" s="1"/>
      <c r="O3556" s="39"/>
      <c r="P3556" s="1"/>
      <c r="Q3556" s="39"/>
      <c r="R3556" s="28"/>
      <c r="S3556" s="29"/>
      <c r="T3556" s="28"/>
      <c r="U3556" s="4"/>
      <c r="V3556" s="3"/>
      <c r="W3556" s="3"/>
    </row>
    <row r="3557" spans="1:23" s="5" customFormat="1">
      <c r="A3557" s="6"/>
      <c r="B3557" s="33"/>
      <c r="C3557" s="35"/>
      <c r="E3557" s="39"/>
      <c r="G3557" s="40"/>
      <c r="H3557" s="15"/>
      <c r="I3557" s="17"/>
      <c r="J3557" s="10"/>
      <c r="M3557" s="39"/>
      <c r="O3557" s="39"/>
      <c r="Q3557" s="39"/>
      <c r="R3557" s="28"/>
      <c r="S3557" s="28"/>
      <c r="T3557" s="28"/>
      <c r="U3557" s="4"/>
      <c r="V3557" s="3"/>
      <c r="W3557" s="3"/>
    </row>
    <row r="3558" spans="1:23" s="5" customFormat="1">
      <c r="A3558" s="6"/>
      <c r="B3558" s="33"/>
      <c r="C3558" s="35"/>
      <c r="E3558" s="39"/>
      <c r="G3558" s="40"/>
      <c r="H3558" s="14"/>
      <c r="I3558" s="17"/>
      <c r="J3558" s="10"/>
      <c r="M3558" s="39"/>
      <c r="O3558" s="39"/>
      <c r="Q3558" s="39"/>
      <c r="R3558" s="28"/>
      <c r="S3558" s="28"/>
      <c r="T3558" s="28"/>
      <c r="U3558" s="4"/>
      <c r="V3558" s="3"/>
      <c r="W3558" s="3"/>
    </row>
    <row r="3559" spans="1:23" s="5" customFormat="1">
      <c r="A3559" s="6"/>
      <c r="B3559" s="33"/>
      <c r="C3559" s="35"/>
      <c r="E3559" s="39"/>
      <c r="G3559" s="40"/>
      <c r="H3559" s="14"/>
      <c r="I3559" s="17"/>
      <c r="J3559" s="10"/>
      <c r="M3559" s="39"/>
      <c r="O3559" s="39"/>
      <c r="Q3559" s="39"/>
      <c r="R3559" s="28"/>
      <c r="S3559" s="28"/>
      <c r="T3559" s="28"/>
      <c r="U3559" s="4"/>
      <c r="V3559" s="3"/>
      <c r="W3559" s="3"/>
    </row>
    <row r="3560" spans="1:23" s="5" customFormat="1">
      <c r="A3560" s="6"/>
      <c r="B3560" s="33"/>
      <c r="C3560" s="35"/>
      <c r="E3560" s="39"/>
      <c r="G3560" s="40"/>
      <c r="H3560" s="14"/>
      <c r="I3560" s="17"/>
      <c r="J3560" s="10"/>
      <c r="M3560" s="39"/>
      <c r="O3560" s="39"/>
      <c r="Q3560" s="39"/>
      <c r="R3560" s="28"/>
      <c r="S3560" s="28"/>
      <c r="T3560" s="28"/>
      <c r="U3560" s="4"/>
      <c r="V3560" s="3"/>
      <c r="W3560" s="3"/>
    </row>
    <row r="3561" spans="1:23" s="5" customFormat="1">
      <c r="A3561" s="6"/>
      <c r="B3561" s="33"/>
      <c r="C3561" s="35"/>
      <c r="E3561" s="39"/>
      <c r="G3561" s="40"/>
      <c r="H3561" s="15"/>
      <c r="I3561" s="17"/>
      <c r="J3561" s="10"/>
      <c r="M3561" s="39"/>
      <c r="O3561" s="39"/>
      <c r="Q3561" s="39"/>
      <c r="R3561" s="28"/>
      <c r="S3561" s="28"/>
      <c r="T3561" s="28"/>
      <c r="U3561" s="4"/>
      <c r="V3561" s="3"/>
      <c r="W3561" s="3"/>
    </row>
    <row r="3562" spans="1:23" s="5" customFormat="1">
      <c r="A3562" s="6"/>
      <c r="B3562" s="33"/>
      <c r="C3562" s="35"/>
      <c r="E3562" s="39"/>
      <c r="G3562" s="40"/>
      <c r="H3562" s="14"/>
      <c r="I3562" s="17"/>
      <c r="J3562" s="10"/>
      <c r="M3562" s="39"/>
      <c r="O3562" s="39"/>
      <c r="Q3562" s="39"/>
      <c r="R3562" s="28"/>
      <c r="S3562" s="28"/>
      <c r="T3562" s="28"/>
      <c r="U3562" s="4"/>
      <c r="V3562" s="3"/>
      <c r="W3562" s="3"/>
    </row>
    <row r="3563" spans="1:23" s="5" customFormat="1">
      <c r="A3563" s="6"/>
      <c r="B3563" s="33"/>
      <c r="C3563" s="35"/>
      <c r="E3563" s="39"/>
      <c r="G3563" s="40"/>
      <c r="H3563" s="15"/>
      <c r="I3563" s="17"/>
      <c r="J3563" s="10"/>
      <c r="M3563" s="39"/>
      <c r="O3563" s="39"/>
      <c r="Q3563" s="39"/>
      <c r="R3563" s="28"/>
      <c r="S3563" s="28"/>
      <c r="T3563" s="28"/>
      <c r="U3563" s="4"/>
      <c r="V3563" s="3"/>
      <c r="W3563" s="3"/>
    </row>
    <row r="3564" spans="1:23" s="5" customFormat="1">
      <c r="A3564" s="6"/>
      <c r="B3564" s="33"/>
      <c r="C3564" s="35"/>
      <c r="E3564" s="39"/>
      <c r="G3564" s="40"/>
      <c r="H3564" s="15"/>
      <c r="I3564" s="17"/>
      <c r="J3564" s="10"/>
      <c r="M3564" s="39"/>
      <c r="O3564" s="39"/>
      <c r="Q3564" s="39"/>
      <c r="R3564" s="28"/>
      <c r="S3564" s="28"/>
      <c r="T3564" s="28"/>
      <c r="U3564" s="4"/>
      <c r="V3564" s="3"/>
      <c r="W3564" s="3"/>
    </row>
    <row r="3565" spans="1:23" s="5" customFormat="1">
      <c r="A3565" s="6"/>
      <c r="B3565" s="33"/>
      <c r="C3565" s="35"/>
      <c r="E3565" s="39"/>
      <c r="G3565" s="40"/>
      <c r="H3565" s="15"/>
      <c r="I3565" s="17"/>
      <c r="J3565" s="10"/>
      <c r="M3565" s="39"/>
      <c r="O3565" s="39"/>
      <c r="Q3565" s="39"/>
      <c r="R3565" s="28"/>
      <c r="S3565" s="28"/>
      <c r="T3565" s="28"/>
      <c r="U3565" s="4"/>
      <c r="V3565" s="3"/>
      <c r="W3565" s="3"/>
    </row>
    <row r="3566" spans="1:23" s="5" customFormat="1">
      <c r="A3566" s="6"/>
      <c r="B3566" s="33"/>
      <c r="C3566" s="35"/>
      <c r="E3566" s="39"/>
      <c r="G3566" s="40"/>
      <c r="H3566" s="15"/>
      <c r="I3566" s="17"/>
      <c r="J3566" s="10"/>
      <c r="M3566" s="39"/>
      <c r="O3566" s="39"/>
      <c r="Q3566" s="39"/>
      <c r="R3566" s="28"/>
      <c r="S3566" s="28"/>
      <c r="T3566" s="28"/>
      <c r="U3566" s="4"/>
      <c r="V3566" s="3"/>
      <c r="W3566" s="3"/>
    </row>
    <row r="3567" spans="1:23" s="5" customFormat="1">
      <c r="A3567" s="6"/>
      <c r="B3567" s="33"/>
      <c r="C3567" s="35"/>
      <c r="E3567" s="39"/>
      <c r="G3567" s="40"/>
      <c r="H3567" s="15"/>
      <c r="I3567" s="17"/>
      <c r="J3567" s="10"/>
      <c r="M3567" s="39"/>
      <c r="O3567" s="39"/>
      <c r="Q3567" s="39"/>
      <c r="R3567" s="28"/>
      <c r="S3567" s="28"/>
      <c r="T3567" s="28"/>
      <c r="U3567" s="4"/>
      <c r="V3567" s="3"/>
      <c r="W3567" s="3"/>
    </row>
    <row r="3568" spans="1:23" s="5" customFormat="1">
      <c r="A3568" s="6"/>
      <c r="B3568" s="33"/>
      <c r="C3568" s="35"/>
      <c r="E3568" s="39"/>
      <c r="G3568" s="40"/>
      <c r="H3568" s="14"/>
      <c r="I3568" s="17"/>
      <c r="J3568" s="10"/>
      <c r="M3568" s="39"/>
      <c r="O3568" s="39"/>
      <c r="Q3568" s="39"/>
      <c r="R3568" s="28"/>
      <c r="S3568" s="28"/>
      <c r="T3568" s="28"/>
      <c r="U3568" s="4"/>
      <c r="V3568" s="3"/>
      <c r="W3568" s="3"/>
    </row>
    <row r="3569" spans="1:23" s="5" customFormat="1">
      <c r="A3569" s="6"/>
      <c r="B3569" s="33"/>
      <c r="C3569" s="35"/>
      <c r="E3569" s="39"/>
      <c r="G3569" s="40"/>
      <c r="H3569" s="14"/>
      <c r="I3569" s="17"/>
      <c r="J3569" s="10"/>
      <c r="M3569" s="39"/>
      <c r="O3569" s="39"/>
      <c r="Q3569" s="39"/>
      <c r="R3569" s="28"/>
      <c r="S3569" s="28"/>
      <c r="T3569" s="28"/>
      <c r="U3569" s="4"/>
      <c r="V3569" s="3"/>
      <c r="W3569" s="3"/>
    </row>
    <row r="3570" spans="1:23" s="5" customFormat="1">
      <c r="A3570" s="6"/>
      <c r="B3570" s="33"/>
      <c r="C3570" s="35"/>
      <c r="E3570" s="39"/>
      <c r="G3570" s="40"/>
      <c r="H3570" s="14"/>
      <c r="I3570" s="17"/>
      <c r="J3570" s="10"/>
      <c r="M3570" s="39"/>
      <c r="O3570" s="39"/>
      <c r="Q3570" s="39"/>
      <c r="R3570" s="28"/>
      <c r="S3570" s="28"/>
      <c r="T3570" s="28"/>
      <c r="U3570" s="4"/>
      <c r="V3570" s="3"/>
      <c r="W3570" s="3"/>
    </row>
    <row r="3571" spans="1:23" s="5" customFormat="1">
      <c r="A3571" s="6"/>
      <c r="B3571" s="33"/>
      <c r="C3571" s="35"/>
      <c r="E3571" s="39"/>
      <c r="G3571" s="40"/>
      <c r="H3571" s="15"/>
      <c r="I3571" s="17"/>
      <c r="J3571" s="10"/>
      <c r="M3571" s="39"/>
      <c r="O3571" s="39"/>
      <c r="Q3571" s="39"/>
      <c r="R3571" s="28"/>
      <c r="S3571" s="28"/>
      <c r="T3571" s="28"/>
      <c r="U3571" s="4"/>
      <c r="V3571" s="3"/>
      <c r="W3571" s="3"/>
    </row>
    <row r="3572" spans="1:23" s="5" customFormat="1">
      <c r="A3572" s="6"/>
      <c r="B3572" s="33"/>
      <c r="C3572" s="35"/>
      <c r="E3572" s="39"/>
      <c r="G3572" s="40"/>
      <c r="H3572" s="15"/>
      <c r="I3572" s="17"/>
      <c r="J3572" s="10"/>
      <c r="M3572" s="39"/>
      <c r="O3572" s="39"/>
      <c r="Q3572" s="39"/>
      <c r="R3572" s="28"/>
      <c r="S3572" s="28"/>
      <c r="T3572" s="28"/>
      <c r="U3572" s="4"/>
      <c r="V3572" s="3"/>
      <c r="W3572" s="3"/>
    </row>
    <row r="3573" spans="1:23" s="5" customFormat="1">
      <c r="A3573" s="6"/>
      <c r="B3573" s="33"/>
      <c r="C3573" s="35"/>
      <c r="E3573" s="39"/>
      <c r="G3573" s="40"/>
      <c r="H3573" s="15"/>
      <c r="I3573" s="17"/>
      <c r="J3573" s="10"/>
      <c r="M3573" s="39"/>
      <c r="O3573" s="39"/>
      <c r="Q3573" s="39"/>
      <c r="R3573" s="28"/>
      <c r="S3573" s="28"/>
      <c r="T3573" s="28"/>
      <c r="U3573" s="4"/>
      <c r="V3573" s="3"/>
      <c r="W3573" s="3"/>
    </row>
    <row r="3574" spans="1:23" s="5" customFormat="1">
      <c r="A3574" s="6"/>
      <c r="B3574" s="33"/>
      <c r="C3574" s="35"/>
      <c r="E3574" s="39"/>
      <c r="G3574" s="40"/>
      <c r="H3574" s="15"/>
      <c r="I3574" s="17"/>
      <c r="J3574" s="10"/>
      <c r="M3574" s="39"/>
      <c r="O3574" s="39"/>
      <c r="Q3574" s="39"/>
      <c r="R3574" s="28"/>
      <c r="S3574" s="28"/>
      <c r="T3574" s="28"/>
      <c r="U3574" s="4"/>
      <c r="V3574" s="3"/>
      <c r="W3574" s="3"/>
    </row>
    <row r="3575" spans="1:23" s="5" customFormat="1">
      <c r="A3575" s="6"/>
      <c r="B3575" s="33"/>
      <c r="C3575" s="35"/>
      <c r="E3575" s="39"/>
      <c r="G3575" s="40"/>
      <c r="H3575" s="15"/>
      <c r="I3575" s="17"/>
      <c r="J3575" s="10"/>
      <c r="M3575" s="39"/>
      <c r="O3575" s="39"/>
      <c r="Q3575" s="39"/>
      <c r="R3575" s="28"/>
      <c r="S3575" s="28"/>
      <c r="T3575" s="28"/>
      <c r="U3575" s="4"/>
      <c r="V3575" s="3"/>
      <c r="W3575" s="3"/>
    </row>
    <row r="3576" spans="1:23" s="5" customFormat="1">
      <c r="A3576" s="6"/>
      <c r="B3576" s="33"/>
      <c r="C3576" s="35"/>
      <c r="E3576" s="39"/>
      <c r="G3576" s="40"/>
      <c r="H3576" s="15"/>
      <c r="I3576" s="17"/>
      <c r="J3576" s="10"/>
      <c r="M3576" s="39"/>
      <c r="O3576" s="39"/>
      <c r="Q3576" s="39"/>
      <c r="R3576" s="28"/>
      <c r="S3576" s="28"/>
      <c r="T3576" s="28"/>
      <c r="U3576" s="4"/>
      <c r="V3576" s="3"/>
      <c r="W3576" s="3"/>
    </row>
    <row r="3577" spans="1:23" s="5" customFormat="1">
      <c r="A3577" s="6"/>
      <c r="B3577" s="33"/>
      <c r="C3577" s="35"/>
      <c r="E3577" s="39"/>
      <c r="G3577" s="40"/>
      <c r="H3577" s="15"/>
      <c r="I3577" s="17"/>
      <c r="J3577" s="10"/>
      <c r="M3577" s="39"/>
      <c r="O3577" s="39"/>
      <c r="Q3577" s="39"/>
      <c r="R3577" s="28"/>
      <c r="S3577" s="28"/>
      <c r="T3577" s="28"/>
      <c r="U3577" s="4"/>
      <c r="V3577" s="3"/>
      <c r="W3577" s="3"/>
    </row>
    <row r="3578" spans="1:23" s="5" customFormat="1">
      <c r="A3578" s="6"/>
      <c r="B3578" s="33"/>
      <c r="C3578" s="35"/>
      <c r="E3578" s="39"/>
      <c r="G3578" s="40"/>
      <c r="H3578" s="15"/>
      <c r="I3578" s="17"/>
      <c r="J3578" s="10"/>
      <c r="M3578" s="39"/>
      <c r="O3578" s="39"/>
      <c r="Q3578" s="39"/>
      <c r="R3578" s="28"/>
      <c r="S3578" s="28"/>
      <c r="T3578" s="28"/>
      <c r="U3578" s="4"/>
      <c r="V3578" s="3"/>
      <c r="W3578" s="3"/>
    </row>
    <row r="3579" spans="1:23" s="5" customFormat="1">
      <c r="A3579" s="6"/>
      <c r="B3579" s="33"/>
      <c r="C3579" s="35"/>
      <c r="E3579" s="39"/>
      <c r="G3579" s="40"/>
      <c r="H3579" s="15"/>
      <c r="I3579" s="17"/>
      <c r="J3579" s="10"/>
      <c r="M3579" s="39"/>
      <c r="O3579" s="39"/>
      <c r="Q3579" s="39"/>
      <c r="R3579" s="28"/>
      <c r="S3579" s="28"/>
      <c r="T3579" s="28"/>
      <c r="U3579" s="4"/>
      <c r="V3579" s="3"/>
      <c r="W3579" s="3"/>
    </row>
    <row r="3580" spans="1:23" s="5" customFormat="1">
      <c r="A3580" s="6"/>
      <c r="B3580" s="33"/>
      <c r="C3580" s="35"/>
      <c r="E3580" s="39"/>
      <c r="G3580" s="40"/>
      <c r="H3580" s="15"/>
      <c r="I3580" s="17"/>
      <c r="J3580" s="10"/>
      <c r="M3580" s="39"/>
      <c r="O3580" s="39"/>
      <c r="Q3580" s="39"/>
      <c r="R3580" s="28"/>
      <c r="S3580" s="28"/>
      <c r="T3580" s="28"/>
      <c r="U3580" s="4"/>
      <c r="V3580" s="3"/>
      <c r="W3580" s="3"/>
    </row>
    <row r="3581" spans="1:23" s="5" customFormat="1">
      <c r="A3581" s="6"/>
      <c r="B3581" s="33"/>
      <c r="C3581" s="35"/>
      <c r="E3581" s="39"/>
      <c r="G3581" s="40"/>
      <c r="H3581" s="15"/>
      <c r="I3581" s="17"/>
      <c r="J3581" s="10"/>
      <c r="M3581" s="39"/>
      <c r="O3581" s="39"/>
      <c r="Q3581" s="39"/>
      <c r="R3581" s="28"/>
      <c r="S3581" s="28"/>
      <c r="T3581" s="28"/>
      <c r="U3581" s="4"/>
      <c r="V3581" s="3"/>
      <c r="W3581" s="3"/>
    </row>
    <row r="3582" spans="1:23" s="5" customFormat="1">
      <c r="A3582" s="6"/>
      <c r="B3582" s="33"/>
      <c r="C3582" s="35"/>
      <c r="E3582" s="39"/>
      <c r="G3582" s="40"/>
      <c r="H3582" s="14"/>
      <c r="I3582" s="17"/>
      <c r="J3582" s="10"/>
      <c r="M3582" s="39"/>
      <c r="O3582" s="39"/>
      <c r="Q3582" s="39"/>
      <c r="R3582" s="28"/>
      <c r="S3582" s="28"/>
      <c r="T3582" s="28"/>
      <c r="U3582" s="4"/>
      <c r="V3582" s="3"/>
      <c r="W3582" s="3"/>
    </row>
    <row r="3583" spans="1:23" s="5" customFormat="1">
      <c r="A3583" s="6"/>
      <c r="B3583" s="33"/>
      <c r="C3583" s="35"/>
      <c r="E3583" s="39"/>
      <c r="G3583" s="40"/>
      <c r="H3583" s="14"/>
      <c r="I3583" s="17"/>
      <c r="J3583" s="10"/>
      <c r="M3583" s="39"/>
      <c r="O3583" s="39"/>
      <c r="Q3583" s="39"/>
      <c r="R3583" s="28"/>
      <c r="S3583" s="28"/>
      <c r="T3583" s="28"/>
      <c r="U3583" s="4"/>
      <c r="V3583" s="3"/>
      <c r="W3583" s="3"/>
    </row>
    <row r="3584" spans="1:23" s="5" customFormat="1">
      <c r="A3584" s="6"/>
      <c r="B3584" s="33"/>
      <c r="C3584" s="35"/>
      <c r="E3584" s="39"/>
      <c r="G3584" s="40"/>
      <c r="H3584" s="15"/>
      <c r="I3584" s="17"/>
      <c r="J3584" s="10"/>
      <c r="M3584" s="39"/>
      <c r="O3584" s="39"/>
      <c r="Q3584" s="39"/>
      <c r="R3584" s="28"/>
      <c r="S3584" s="28"/>
      <c r="T3584" s="28"/>
      <c r="U3584" s="4"/>
      <c r="V3584" s="3"/>
      <c r="W3584" s="3"/>
    </row>
    <row r="3585" spans="1:23" s="5" customFormat="1">
      <c r="A3585" s="6"/>
      <c r="B3585" s="33"/>
      <c r="C3585" s="35"/>
      <c r="E3585" s="39"/>
      <c r="G3585" s="40"/>
      <c r="H3585" s="14"/>
      <c r="I3585" s="17"/>
      <c r="J3585" s="10"/>
      <c r="M3585" s="39"/>
      <c r="O3585" s="39"/>
      <c r="Q3585" s="39"/>
      <c r="R3585" s="28"/>
      <c r="S3585" s="28"/>
      <c r="T3585" s="28"/>
      <c r="U3585" s="4"/>
      <c r="V3585" s="3"/>
      <c r="W3585" s="3"/>
    </row>
    <row r="3586" spans="1:23" s="5" customFormat="1">
      <c r="A3586" s="6"/>
      <c r="B3586" s="33"/>
      <c r="C3586" s="35"/>
      <c r="E3586" s="39"/>
      <c r="G3586" s="40"/>
      <c r="H3586" s="14"/>
      <c r="I3586" s="17"/>
      <c r="J3586" s="10"/>
      <c r="M3586" s="39"/>
      <c r="O3586" s="39"/>
      <c r="Q3586" s="39"/>
      <c r="R3586" s="28"/>
      <c r="S3586" s="28"/>
      <c r="T3586" s="28"/>
      <c r="U3586" s="4"/>
      <c r="V3586" s="3"/>
      <c r="W3586" s="3"/>
    </row>
    <row r="3587" spans="1:23" s="5" customFormat="1">
      <c r="A3587" s="6"/>
      <c r="B3587" s="33"/>
      <c r="C3587" s="35"/>
      <c r="E3587" s="39"/>
      <c r="G3587" s="40"/>
      <c r="H3587" s="15"/>
      <c r="I3587" s="17"/>
      <c r="J3587" s="10"/>
      <c r="M3587" s="39"/>
      <c r="O3587" s="39"/>
      <c r="Q3587" s="39"/>
      <c r="R3587" s="28"/>
      <c r="S3587" s="28"/>
      <c r="T3587" s="28"/>
      <c r="U3587" s="4"/>
      <c r="V3587" s="3"/>
      <c r="W3587" s="3"/>
    </row>
    <row r="3588" spans="1:23" s="5" customFormat="1">
      <c r="A3588" s="6"/>
      <c r="B3588" s="33"/>
      <c r="C3588" s="35"/>
      <c r="E3588" s="39"/>
      <c r="G3588" s="40"/>
      <c r="H3588" s="15"/>
      <c r="I3588" s="17"/>
      <c r="J3588" s="10"/>
      <c r="M3588" s="39"/>
      <c r="O3588" s="39"/>
      <c r="Q3588" s="39"/>
      <c r="R3588" s="28"/>
      <c r="S3588" s="28"/>
      <c r="T3588" s="28"/>
      <c r="U3588" s="4"/>
      <c r="V3588" s="3"/>
      <c r="W3588" s="3"/>
    </row>
    <row r="3589" spans="1:23" s="5" customFormat="1">
      <c r="A3589" s="6"/>
      <c r="B3589" s="33"/>
      <c r="C3589" s="35"/>
      <c r="E3589" s="39"/>
      <c r="G3589" s="40"/>
      <c r="H3589" s="14"/>
      <c r="I3589" s="17"/>
      <c r="J3589" s="10"/>
      <c r="M3589" s="39"/>
      <c r="O3589" s="39"/>
      <c r="Q3589" s="39"/>
      <c r="R3589" s="28"/>
      <c r="S3589" s="28"/>
      <c r="T3589" s="28"/>
      <c r="U3589" s="4"/>
      <c r="V3589" s="3"/>
      <c r="W3589" s="3"/>
    </row>
    <row r="3590" spans="1:23" s="5" customFormat="1">
      <c r="A3590" s="6"/>
      <c r="B3590" s="33"/>
      <c r="C3590" s="35"/>
      <c r="E3590" s="39"/>
      <c r="G3590" s="40"/>
      <c r="H3590" s="15"/>
      <c r="I3590" s="17"/>
      <c r="J3590" s="10"/>
      <c r="M3590" s="39"/>
      <c r="O3590" s="39"/>
      <c r="Q3590" s="39"/>
      <c r="R3590" s="28"/>
      <c r="S3590" s="28"/>
      <c r="T3590" s="28"/>
      <c r="U3590" s="4"/>
      <c r="V3590" s="3"/>
      <c r="W3590" s="3"/>
    </row>
    <row r="3591" spans="1:23" s="5" customFormat="1">
      <c r="A3591" s="6"/>
      <c r="B3591" s="33"/>
      <c r="C3591" s="35"/>
      <c r="E3591" s="39"/>
      <c r="G3591" s="40"/>
      <c r="H3591" s="15"/>
      <c r="I3591" s="17"/>
      <c r="J3591" s="10"/>
      <c r="M3591" s="39"/>
      <c r="O3591" s="39"/>
      <c r="Q3591" s="39"/>
      <c r="R3591" s="28"/>
      <c r="S3591" s="28"/>
      <c r="T3591" s="28"/>
      <c r="U3591" s="4"/>
      <c r="V3591" s="3"/>
      <c r="W3591" s="3"/>
    </row>
    <row r="3592" spans="1:23" s="5" customFormat="1">
      <c r="A3592" s="6"/>
      <c r="B3592" s="33"/>
      <c r="C3592" s="35"/>
      <c r="E3592" s="39"/>
      <c r="G3592" s="40"/>
      <c r="H3592" s="15"/>
      <c r="I3592" s="17"/>
      <c r="J3592" s="10"/>
      <c r="M3592" s="39"/>
      <c r="O3592" s="39"/>
      <c r="Q3592" s="39"/>
      <c r="R3592" s="28"/>
      <c r="S3592" s="28"/>
      <c r="T3592" s="28"/>
      <c r="U3592" s="4"/>
      <c r="V3592" s="3"/>
      <c r="W3592" s="3"/>
    </row>
    <row r="3593" spans="1:23" s="5" customFormat="1">
      <c r="A3593" s="6"/>
      <c r="B3593" s="33"/>
      <c r="C3593" s="35"/>
      <c r="E3593" s="39"/>
      <c r="G3593" s="40"/>
      <c r="H3593" s="15"/>
      <c r="I3593" s="17"/>
      <c r="J3593" s="10"/>
      <c r="M3593" s="39"/>
      <c r="O3593" s="39"/>
      <c r="Q3593" s="39"/>
      <c r="R3593" s="28"/>
      <c r="S3593" s="28"/>
      <c r="T3593" s="28"/>
      <c r="U3593" s="4"/>
      <c r="V3593" s="3"/>
      <c r="W3593" s="3"/>
    </row>
    <row r="3594" spans="1:23" s="5" customFormat="1">
      <c r="A3594" s="6"/>
      <c r="B3594" s="33"/>
      <c r="C3594" s="35"/>
      <c r="E3594" s="39"/>
      <c r="G3594" s="40"/>
      <c r="H3594" s="15"/>
      <c r="I3594" s="17"/>
      <c r="J3594" s="10"/>
      <c r="M3594" s="39"/>
      <c r="O3594" s="39"/>
      <c r="Q3594" s="39"/>
      <c r="R3594" s="28"/>
      <c r="S3594" s="28"/>
      <c r="T3594" s="28"/>
      <c r="U3594" s="4"/>
      <c r="V3594" s="3"/>
      <c r="W3594" s="3"/>
    </row>
    <row r="3595" spans="1:23" s="5" customFormat="1">
      <c r="A3595" s="6"/>
      <c r="B3595" s="33"/>
      <c r="C3595" s="35"/>
      <c r="E3595" s="39"/>
      <c r="G3595" s="40"/>
      <c r="H3595" s="14"/>
      <c r="I3595" s="17"/>
      <c r="J3595" s="10"/>
      <c r="M3595" s="39"/>
      <c r="O3595" s="39"/>
      <c r="Q3595" s="39"/>
      <c r="R3595" s="28"/>
      <c r="S3595" s="28"/>
      <c r="T3595" s="28"/>
      <c r="U3595" s="4"/>
      <c r="V3595" s="3"/>
      <c r="W3595" s="3"/>
    </row>
    <row r="3596" spans="1:23" s="5" customFormat="1">
      <c r="A3596" s="6"/>
      <c r="B3596" s="33"/>
      <c r="C3596" s="35"/>
      <c r="E3596" s="39"/>
      <c r="G3596" s="40"/>
      <c r="H3596" s="15"/>
      <c r="I3596" s="17"/>
      <c r="J3596" s="10"/>
      <c r="M3596" s="39"/>
      <c r="O3596" s="39"/>
      <c r="Q3596" s="39"/>
      <c r="R3596" s="28"/>
      <c r="S3596" s="28"/>
      <c r="T3596" s="28"/>
      <c r="U3596" s="4"/>
      <c r="V3596" s="3"/>
      <c r="W3596" s="3"/>
    </row>
    <row r="3597" spans="1:23" s="5" customFormat="1">
      <c r="A3597" s="6"/>
      <c r="B3597" s="33"/>
      <c r="C3597" s="35"/>
      <c r="E3597" s="39"/>
      <c r="G3597" s="40"/>
      <c r="H3597" s="15"/>
      <c r="I3597" s="17"/>
      <c r="J3597" s="10"/>
      <c r="M3597" s="39"/>
      <c r="O3597" s="39"/>
      <c r="Q3597" s="39"/>
      <c r="R3597" s="28"/>
      <c r="S3597" s="28"/>
      <c r="T3597" s="28"/>
      <c r="U3597" s="4"/>
      <c r="V3597" s="3"/>
      <c r="W3597" s="3"/>
    </row>
    <row r="3598" spans="1:23" s="5" customFormat="1">
      <c r="A3598" s="6"/>
      <c r="B3598" s="33"/>
      <c r="C3598" s="35"/>
      <c r="E3598" s="39"/>
      <c r="G3598" s="40"/>
      <c r="H3598" s="14"/>
      <c r="I3598" s="17"/>
      <c r="J3598" s="10"/>
      <c r="M3598" s="39"/>
      <c r="O3598" s="39"/>
      <c r="Q3598" s="39"/>
      <c r="R3598" s="28"/>
      <c r="S3598" s="28"/>
      <c r="T3598" s="28"/>
      <c r="U3598" s="4"/>
      <c r="V3598" s="3"/>
      <c r="W3598" s="3"/>
    </row>
    <row r="3599" spans="1:23" s="5" customFormat="1">
      <c r="A3599" s="6"/>
      <c r="B3599" s="33"/>
      <c r="C3599" s="35"/>
      <c r="E3599" s="39"/>
      <c r="G3599" s="40"/>
      <c r="H3599" s="15"/>
      <c r="I3599" s="17"/>
      <c r="J3599" s="10"/>
      <c r="M3599" s="39"/>
      <c r="O3599" s="39"/>
      <c r="Q3599" s="39"/>
      <c r="R3599" s="28"/>
      <c r="S3599" s="28"/>
      <c r="T3599" s="28"/>
      <c r="U3599" s="4"/>
      <c r="V3599" s="3"/>
      <c r="W3599" s="3"/>
    </row>
    <row r="3600" spans="1:23" s="5" customFormat="1">
      <c r="A3600" s="6"/>
      <c r="B3600" s="33"/>
      <c r="C3600" s="35"/>
      <c r="E3600" s="39"/>
      <c r="G3600" s="40"/>
      <c r="H3600" s="14"/>
      <c r="I3600" s="17"/>
      <c r="J3600" s="10"/>
      <c r="M3600" s="39"/>
      <c r="O3600" s="39"/>
      <c r="Q3600" s="39"/>
      <c r="R3600" s="28"/>
      <c r="S3600" s="28"/>
      <c r="T3600" s="28"/>
      <c r="U3600" s="4"/>
      <c r="V3600" s="3"/>
      <c r="W3600" s="3"/>
    </row>
    <row r="3601" spans="1:23" s="5" customFormat="1">
      <c r="A3601" s="6"/>
      <c r="B3601" s="33"/>
      <c r="C3601" s="35"/>
      <c r="E3601" s="39"/>
      <c r="G3601" s="40"/>
      <c r="H3601" s="14"/>
      <c r="I3601" s="17"/>
      <c r="J3601" s="10"/>
      <c r="M3601" s="39"/>
      <c r="O3601" s="39"/>
      <c r="Q3601" s="39"/>
      <c r="R3601" s="28"/>
      <c r="S3601" s="28"/>
      <c r="T3601" s="28"/>
      <c r="U3601" s="4"/>
      <c r="V3601" s="3"/>
      <c r="W3601" s="3"/>
    </row>
    <row r="3602" spans="1:23" s="5" customFormat="1">
      <c r="A3602" s="6"/>
      <c r="B3602" s="33"/>
      <c r="C3602" s="35"/>
      <c r="E3602" s="39"/>
      <c r="G3602" s="40"/>
      <c r="H3602" s="15"/>
      <c r="I3602" s="17"/>
      <c r="J3602" s="10"/>
      <c r="M3602" s="39"/>
      <c r="O3602" s="39"/>
      <c r="Q3602" s="39"/>
      <c r="R3602" s="28"/>
      <c r="S3602" s="28"/>
      <c r="T3602" s="28"/>
      <c r="U3602" s="4"/>
      <c r="V3602" s="3"/>
      <c r="W3602" s="3"/>
    </row>
    <row r="3603" spans="1:23" s="5" customFormat="1">
      <c r="A3603" s="6"/>
      <c r="B3603" s="33"/>
      <c r="C3603" s="35"/>
      <c r="E3603" s="39"/>
      <c r="G3603" s="40"/>
      <c r="H3603" s="14"/>
      <c r="I3603" s="17"/>
      <c r="J3603" s="10"/>
      <c r="M3603" s="39"/>
      <c r="O3603" s="39"/>
      <c r="Q3603" s="39"/>
      <c r="R3603" s="28"/>
      <c r="S3603" s="28"/>
      <c r="T3603" s="28"/>
      <c r="U3603" s="4"/>
      <c r="V3603" s="3"/>
      <c r="W3603" s="3"/>
    </row>
    <row r="3604" spans="1:23" s="5" customFormat="1">
      <c r="A3604" s="20"/>
      <c r="B3604" s="33"/>
      <c r="C3604" s="35"/>
      <c r="E3604" s="39"/>
      <c r="F3604" s="1"/>
      <c r="G3604" s="40"/>
      <c r="H3604" s="12"/>
      <c r="I3604" s="9"/>
      <c r="J3604" s="12"/>
      <c r="M3604" s="39"/>
      <c r="O3604" s="39"/>
      <c r="Q3604" s="39"/>
      <c r="R3604" s="29"/>
      <c r="S3604" s="28"/>
      <c r="T3604" s="28"/>
      <c r="U3604" s="4"/>
      <c r="V3604" s="3"/>
      <c r="W3604" s="3"/>
    </row>
    <row r="3605" spans="1:23" s="5" customFormat="1">
      <c r="A3605" s="20"/>
      <c r="B3605" s="33"/>
      <c r="C3605" s="35"/>
      <c r="E3605" s="39"/>
      <c r="F3605" s="1"/>
      <c r="G3605" s="40"/>
      <c r="H3605" s="12"/>
      <c r="I3605" s="9"/>
      <c r="J3605" s="12"/>
      <c r="M3605" s="39"/>
      <c r="O3605" s="39"/>
      <c r="Q3605" s="39"/>
      <c r="R3605" s="29"/>
      <c r="S3605" s="28"/>
      <c r="T3605" s="28"/>
      <c r="U3605" s="4"/>
      <c r="V3605" s="3"/>
      <c r="W3605" s="3"/>
    </row>
    <row r="3606" spans="1:23" s="5" customFormat="1">
      <c r="A3606" s="20"/>
      <c r="B3606" s="36"/>
      <c r="C3606" s="35"/>
      <c r="E3606" s="39"/>
      <c r="F3606" s="1"/>
      <c r="G3606" s="40"/>
      <c r="H3606" s="12"/>
      <c r="I3606" s="9"/>
      <c r="J3606" s="12"/>
      <c r="M3606" s="39"/>
      <c r="O3606" s="39"/>
      <c r="Q3606" s="39"/>
      <c r="R3606" s="28"/>
      <c r="S3606" s="28"/>
      <c r="T3606" s="28"/>
      <c r="U3606" s="4"/>
      <c r="V3606" s="3"/>
      <c r="W3606" s="3"/>
    </row>
    <row r="3607" spans="1:23" s="5" customFormat="1">
      <c r="A3607" s="20"/>
      <c r="B3607" s="33"/>
      <c r="C3607" s="35"/>
      <c r="E3607" s="39"/>
      <c r="F3607" s="1"/>
      <c r="G3607" s="40"/>
      <c r="H3607" s="12"/>
      <c r="I3607" s="9"/>
      <c r="J3607" s="12"/>
      <c r="M3607" s="39"/>
      <c r="O3607" s="39"/>
      <c r="Q3607" s="39"/>
      <c r="R3607" s="29"/>
      <c r="S3607" s="28"/>
      <c r="T3607" s="28"/>
      <c r="U3607" s="4"/>
      <c r="V3607" s="3"/>
      <c r="W3607" s="3"/>
    </row>
    <row r="3608" spans="1:23" s="5" customFormat="1">
      <c r="A3608" s="20"/>
      <c r="B3608" s="33"/>
      <c r="C3608" s="35"/>
      <c r="D3608" s="1"/>
      <c r="E3608" s="39"/>
      <c r="F3608" s="1"/>
      <c r="G3608" s="40"/>
      <c r="H3608" s="12"/>
      <c r="I3608" s="9"/>
      <c r="J3608" s="12"/>
      <c r="L3608" s="1"/>
      <c r="M3608" s="39"/>
      <c r="N3608" s="1"/>
      <c r="O3608" s="39"/>
      <c r="P3608" s="1"/>
      <c r="Q3608" s="39"/>
      <c r="R3608" s="28"/>
      <c r="S3608" s="29"/>
      <c r="T3608" s="28"/>
      <c r="U3608" s="4"/>
      <c r="V3608" s="3"/>
      <c r="W3608" s="3"/>
    </row>
    <row r="3609" spans="1:23" s="5" customFormat="1">
      <c r="A3609" s="20"/>
      <c r="B3609" s="33"/>
      <c r="C3609" s="35"/>
      <c r="E3609" s="39"/>
      <c r="F3609" s="1"/>
      <c r="G3609" s="40"/>
      <c r="H3609" s="12"/>
      <c r="I3609" s="9"/>
      <c r="J3609" s="12"/>
      <c r="M3609" s="39"/>
      <c r="O3609" s="39"/>
      <c r="Q3609" s="39"/>
      <c r="R3609" s="29"/>
      <c r="S3609" s="28"/>
      <c r="T3609" s="28"/>
      <c r="U3609" s="4"/>
      <c r="V3609" s="3"/>
      <c r="W3609" s="3"/>
    </row>
    <row r="3610" spans="1:23" s="5" customFormat="1">
      <c r="A3610" s="20"/>
      <c r="B3610" s="33"/>
      <c r="C3610" s="35"/>
      <c r="E3610" s="39"/>
      <c r="F3610" s="1"/>
      <c r="G3610" s="40"/>
      <c r="H3610" s="12"/>
      <c r="I3610" s="9"/>
      <c r="J3610" s="12"/>
      <c r="M3610" s="39"/>
      <c r="O3610" s="39"/>
      <c r="Q3610" s="39"/>
      <c r="R3610" s="29"/>
      <c r="S3610" s="28"/>
      <c r="T3610" s="28"/>
      <c r="U3610" s="4"/>
      <c r="V3610" s="3"/>
      <c r="W3610" s="3"/>
    </row>
    <row r="3611" spans="1:23" s="5" customFormat="1">
      <c r="A3611" s="20"/>
      <c r="B3611" s="33"/>
      <c r="C3611" s="35"/>
      <c r="E3611" s="39"/>
      <c r="F3611" s="1"/>
      <c r="G3611" s="40"/>
      <c r="H3611" s="12"/>
      <c r="I3611" s="9"/>
      <c r="J3611" s="12"/>
      <c r="M3611" s="39"/>
      <c r="O3611" s="39"/>
      <c r="Q3611" s="39"/>
      <c r="R3611" s="29"/>
      <c r="S3611" s="28"/>
      <c r="T3611" s="28"/>
      <c r="U3611" s="4"/>
      <c r="V3611" s="3"/>
      <c r="W3611" s="3"/>
    </row>
    <row r="3612" spans="1:23" s="5" customFormat="1">
      <c r="A3612" s="20"/>
      <c r="B3612" s="33"/>
      <c r="C3612" s="35"/>
      <c r="E3612" s="39"/>
      <c r="F3612" s="1"/>
      <c r="G3612" s="40"/>
      <c r="H3612" s="12"/>
      <c r="I3612" s="9"/>
      <c r="J3612" s="12"/>
      <c r="M3612" s="39"/>
      <c r="O3612" s="39"/>
      <c r="Q3612" s="39"/>
      <c r="R3612" s="29"/>
      <c r="S3612" s="28"/>
      <c r="T3612" s="28"/>
      <c r="U3612" s="4"/>
      <c r="V3612" s="3"/>
      <c r="W3612" s="3"/>
    </row>
    <row r="3613" spans="1:23" s="5" customFormat="1">
      <c r="A3613" s="20"/>
      <c r="B3613" s="33"/>
      <c r="C3613" s="35"/>
      <c r="E3613" s="39"/>
      <c r="F3613" s="1"/>
      <c r="G3613" s="40"/>
      <c r="H3613" s="12"/>
      <c r="I3613" s="9"/>
      <c r="J3613" s="12"/>
      <c r="M3613" s="39"/>
      <c r="O3613" s="39"/>
      <c r="Q3613" s="39"/>
      <c r="R3613" s="29"/>
      <c r="S3613" s="28"/>
      <c r="T3613" s="28"/>
      <c r="U3613" s="4"/>
      <c r="V3613" s="3"/>
      <c r="W3613" s="3"/>
    </row>
    <row r="3614" spans="1:23" s="5" customFormat="1">
      <c r="A3614" s="20"/>
      <c r="B3614" s="33"/>
      <c r="C3614" s="35"/>
      <c r="E3614" s="39"/>
      <c r="F3614" s="1"/>
      <c r="G3614" s="40"/>
      <c r="H3614" s="12"/>
      <c r="I3614" s="9"/>
      <c r="J3614" s="12"/>
      <c r="M3614" s="39"/>
      <c r="O3614" s="39"/>
      <c r="Q3614" s="39"/>
      <c r="R3614" s="29"/>
      <c r="S3614" s="28"/>
      <c r="T3614" s="28"/>
      <c r="U3614" s="4"/>
      <c r="V3614" s="3"/>
      <c r="W3614" s="3"/>
    </row>
    <row r="3615" spans="1:23" s="5" customFormat="1">
      <c r="A3615" s="20"/>
      <c r="B3615" s="33"/>
      <c r="C3615" s="35"/>
      <c r="E3615" s="39"/>
      <c r="F3615" s="1"/>
      <c r="G3615" s="40"/>
      <c r="H3615" s="12"/>
      <c r="I3615" s="9"/>
      <c r="J3615" s="12"/>
      <c r="M3615" s="39"/>
      <c r="O3615" s="39"/>
      <c r="Q3615" s="39"/>
      <c r="R3615" s="29"/>
      <c r="S3615" s="28"/>
      <c r="T3615" s="28"/>
      <c r="U3615" s="4"/>
      <c r="V3615" s="3"/>
      <c r="W3615" s="3"/>
    </row>
    <row r="3616" spans="1:23" s="5" customFormat="1">
      <c r="A3616" s="20"/>
      <c r="B3616" s="33"/>
      <c r="C3616" s="35"/>
      <c r="E3616" s="39"/>
      <c r="F3616" s="1"/>
      <c r="G3616" s="40"/>
      <c r="H3616" s="12"/>
      <c r="I3616" s="9"/>
      <c r="J3616" s="12"/>
      <c r="M3616" s="39"/>
      <c r="O3616" s="39"/>
      <c r="Q3616" s="39"/>
      <c r="R3616" s="29"/>
      <c r="S3616" s="28"/>
      <c r="T3616" s="28"/>
      <c r="U3616" s="4"/>
      <c r="V3616" s="3"/>
      <c r="W3616" s="3"/>
    </row>
    <row r="3617" spans="1:23" s="5" customFormat="1">
      <c r="A3617" s="20"/>
      <c r="B3617" s="33"/>
      <c r="C3617" s="35"/>
      <c r="E3617" s="39"/>
      <c r="F3617" s="1"/>
      <c r="G3617" s="40"/>
      <c r="H3617" s="12"/>
      <c r="I3617" s="9"/>
      <c r="J3617" s="12"/>
      <c r="M3617" s="39"/>
      <c r="O3617" s="39"/>
      <c r="Q3617" s="39"/>
      <c r="R3617" s="29"/>
      <c r="S3617" s="28"/>
      <c r="T3617" s="28"/>
      <c r="U3617" s="4"/>
      <c r="V3617" s="3"/>
      <c r="W3617" s="3"/>
    </row>
    <row r="3618" spans="1:23" s="5" customFormat="1">
      <c r="A3618" s="20"/>
      <c r="B3618" s="33"/>
      <c r="C3618" s="35"/>
      <c r="E3618" s="39"/>
      <c r="F3618" s="1"/>
      <c r="G3618" s="40"/>
      <c r="H3618" s="12"/>
      <c r="I3618" s="9"/>
      <c r="J3618" s="12"/>
      <c r="M3618" s="39"/>
      <c r="O3618" s="39"/>
      <c r="Q3618" s="39"/>
      <c r="R3618" s="29"/>
      <c r="S3618" s="28"/>
      <c r="T3618" s="28"/>
      <c r="U3618" s="4"/>
      <c r="V3618" s="3"/>
      <c r="W3618" s="3"/>
    </row>
    <row r="3619" spans="1:23" s="5" customFormat="1">
      <c r="A3619" s="20"/>
      <c r="B3619" s="33"/>
      <c r="C3619" s="35"/>
      <c r="E3619" s="39"/>
      <c r="F3619" s="1"/>
      <c r="G3619" s="40"/>
      <c r="H3619" s="12"/>
      <c r="I3619" s="9"/>
      <c r="J3619" s="12"/>
      <c r="M3619" s="39"/>
      <c r="O3619" s="39"/>
      <c r="Q3619" s="39"/>
      <c r="R3619" s="29"/>
      <c r="S3619" s="28"/>
      <c r="T3619" s="28"/>
      <c r="U3619" s="4"/>
      <c r="V3619" s="3"/>
      <c r="W3619" s="3"/>
    </row>
    <row r="3620" spans="1:23" s="5" customFormat="1">
      <c r="A3620" s="6"/>
      <c r="B3620" s="33"/>
      <c r="C3620" s="35"/>
      <c r="E3620" s="39"/>
      <c r="G3620" s="40"/>
      <c r="H3620" s="14"/>
      <c r="I3620" s="17"/>
      <c r="J3620" s="10"/>
      <c r="M3620" s="39"/>
      <c r="O3620" s="39"/>
      <c r="Q3620" s="39"/>
      <c r="R3620" s="28"/>
      <c r="S3620" s="29"/>
      <c r="T3620" s="28"/>
      <c r="U3620" s="4"/>
      <c r="V3620" s="3"/>
      <c r="W3620" s="3"/>
    </row>
    <row r="3621" spans="1:23" s="5" customFormat="1">
      <c r="A3621" s="6"/>
      <c r="B3621" s="33"/>
      <c r="C3621" s="35"/>
      <c r="E3621" s="39"/>
      <c r="G3621" s="40"/>
      <c r="H3621" s="15"/>
      <c r="I3621" s="17"/>
      <c r="J3621" s="10"/>
      <c r="M3621" s="39"/>
      <c r="O3621" s="39"/>
      <c r="Q3621" s="39"/>
      <c r="R3621" s="28"/>
      <c r="S3621" s="28"/>
      <c r="T3621" s="28"/>
      <c r="U3621" s="4"/>
      <c r="V3621" s="3"/>
      <c r="W3621" s="3"/>
    </row>
    <row r="3622" spans="1:23" s="5" customFormat="1">
      <c r="A3622" s="6"/>
      <c r="B3622" s="33"/>
      <c r="C3622" s="35"/>
      <c r="E3622" s="39"/>
      <c r="G3622" s="40"/>
      <c r="H3622" s="14"/>
      <c r="I3622" s="17"/>
      <c r="J3622" s="10"/>
      <c r="M3622" s="39"/>
      <c r="O3622" s="39"/>
      <c r="Q3622" s="39"/>
      <c r="R3622" s="28"/>
      <c r="S3622" s="28"/>
      <c r="T3622" s="28"/>
      <c r="U3622" s="4"/>
      <c r="V3622" s="3"/>
      <c r="W3622" s="3"/>
    </row>
    <row r="3623" spans="1:23" s="5" customFormat="1">
      <c r="A3623" s="6"/>
      <c r="B3623" s="33"/>
      <c r="C3623" s="35"/>
      <c r="E3623" s="39"/>
      <c r="G3623" s="40"/>
      <c r="H3623" s="14"/>
      <c r="I3623" s="17"/>
      <c r="J3623" s="10"/>
      <c r="M3623" s="39"/>
      <c r="O3623" s="39"/>
      <c r="Q3623" s="39"/>
      <c r="R3623" s="28"/>
      <c r="S3623" s="28"/>
      <c r="T3623" s="28"/>
      <c r="U3623" s="4"/>
      <c r="V3623" s="3"/>
      <c r="W3623" s="3"/>
    </row>
    <row r="3624" spans="1:23" s="5" customFormat="1">
      <c r="A3624" s="6"/>
      <c r="B3624" s="33"/>
      <c r="C3624" s="35"/>
      <c r="E3624" s="39"/>
      <c r="G3624" s="40"/>
      <c r="H3624" s="15"/>
      <c r="I3624" s="17"/>
      <c r="J3624" s="10"/>
      <c r="M3624" s="39"/>
      <c r="O3624" s="39"/>
      <c r="Q3624" s="39"/>
      <c r="R3624" s="28"/>
      <c r="S3624" s="28"/>
      <c r="T3624" s="28"/>
      <c r="U3624" s="4"/>
      <c r="V3624" s="3"/>
      <c r="W3624" s="3"/>
    </row>
    <row r="3625" spans="1:23" s="5" customFormat="1">
      <c r="A3625" s="20"/>
      <c r="B3625" s="33"/>
      <c r="C3625" s="35"/>
      <c r="D3625" s="1"/>
      <c r="E3625" s="39"/>
      <c r="F3625" s="1"/>
      <c r="G3625" s="40"/>
      <c r="H3625" s="12"/>
      <c r="I3625" s="9"/>
      <c r="J3625" s="12"/>
      <c r="L3625" s="1"/>
      <c r="M3625" s="39"/>
      <c r="N3625" s="1"/>
      <c r="O3625" s="39"/>
      <c r="P3625" s="1"/>
      <c r="Q3625" s="39"/>
      <c r="R3625" s="28"/>
      <c r="S3625" s="29"/>
      <c r="T3625" s="28"/>
      <c r="U3625" s="4"/>
      <c r="V3625" s="3"/>
      <c r="W3625" s="3"/>
    </row>
    <row r="3626" spans="1:23" s="5" customFormat="1">
      <c r="A3626" s="6"/>
      <c r="B3626" s="33"/>
      <c r="C3626" s="35"/>
      <c r="E3626" s="39"/>
      <c r="G3626" s="40"/>
      <c r="H3626" s="15"/>
      <c r="I3626" s="17"/>
      <c r="J3626" s="10"/>
      <c r="M3626" s="39"/>
      <c r="O3626" s="39"/>
      <c r="Q3626" s="39"/>
      <c r="R3626" s="28"/>
      <c r="S3626" s="28"/>
      <c r="T3626" s="28"/>
      <c r="U3626" s="4"/>
      <c r="V3626" s="3"/>
      <c r="W3626" s="3"/>
    </row>
    <row r="3627" spans="1:23" s="5" customFormat="1">
      <c r="A3627" s="6"/>
      <c r="B3627" s="33"/>
      <c r="C3627" s="35"/>
      <c r="E3627" s="39"/>
      <c r="G3627" s="40"/>
      <c r="H3627" s="15"/>
      <c r="I3627" s="17"/>
      <c r="J3627" s="10"/>
      <c r="M3627" s="39"/>
      <c r="O3627" s="39"/>
      <c r="Q3627" s="39"/>
      <c r="R3627" s="28"/>
      <c r="S3627" s="28"/>
      <c r="T3627" s="28"/>
      <c r="U3627" s="4"/>
      <c r="V3627" s="3"/>
      <c r="W3627" s="3"/>
    </row>
    <row r="3628" spans="1:23" s="5" customFormat="1">
      <c r="A3628" s="6"/>
      <c r="B3628" s="33"/>
      <c r="C3628" s="35"/>
      <c r="E3628" s="39"/>
      <c r="G3628" s="40"/>
      <c r="H3628" s="14"/>
      <c r="I3628" s="17"/>
      <c r="J3628" s="10"/>
      <c r="M3628" s="39"/>
      <c r="O3628" s="39"/>
      <c r="Q3628" s="39"/>
      <c r="R3628" s="28"/>
      <c r="S3628" s="28"/>
      <c r="T3628" s="28"/>
      <c r="U3628" s="4"/>
      <c r="V3628" s="3"/>
      <c r="W3628" s="3"/>
    </row>
    <row r="3629" spans="1:23" s="5" customFormat="1">
      <c r="A3629" s="6"/>
      <c r="B3629" s="33"/>
      <c r="C3629" s="35"/>
      <c r="E3629" s="39"/>
      <c r="G3629" s="40"/>
      <c r="H3629" s="14"/>
      <c r="I3629" s="17"/>
      <c r="J3629" s="10"/>
      <c r="M3629" s="39"/>
      <c r="O3629" s="39"/>
      <c r="Q3629" s="39"/>
      <c r="R3629" s="28"/>
      <c r="S3629" s="28"/>
      <c r="T3629" s="28"/>
      <c r="U3629" s="4"/>
      <c r="V3629" s="3"/>
      <c r="W3629" s="3"/>
    </row>
    <row r="3630" spans="1:23" s="5" customFormat="1">
      <c r="A3630" s="6"/>
      <c r="B3630" s="33"/>
      <c r="C3630" s="35"/>
      <c r="E3630" s="39"/>
      <c r="G3630" s="40"/>
      <c r="H3630" s="14"/>
      <c r="I3630" s="17"/>
      <c r="J3630" s="10"/>
      <c r="M3630" s="39"/>
      <c r="O3630" s="39"/>
      <c r="Q3630" s="39"/>
      <c r="R3630" s="28"/>
      <c r="S3630" s="28"/>
      <c r="T3630" s="28"/>
      <c r="U3630" s="4"/>
      <c r="V3630" s="3"/>
      <c r="W3630" s="3"/>
    </row>
    <row r="3631" spans="1:23" s="5" customFormat="1">
      <c r="A3631" s="20"/>
      <c r="B3631" s="33"/>
      <c r="C3631" s="35"/>
      <c r="E3631" s="39"/>
      <c r="F3631" s="1"/>
      <c r="G3631" s="40"/>
      <c r="H3631" s="12"/>
      <c r="I3631" s="9"/>
      <c r="J3631" s="12"/>
      <c r="M3631" s="39"/>
      <c r="O3631" s="39"/>
      <c r="Q3631" s="39"/>
      <c r="R3631" s="29"/>
      <c r="S3631" s="28"/>
      <c r="T3631" s="28"/>
      <c r="U3631" s="4"/>
      <c r="V3631" s="3"/>
      <c r="W3631" s="3"/>
    </row>
    <row r="3632" spans="1:23" s="5" customFormat="1">
      <c r="A3632" s="6"/>
      <c r="B3632" s="33"/>
      <c r="C3632" s="35"/>
      <c r="E3632" s="39"/>
      <c r="G3632" s="40"/>
      <c r="H3632" s="15"/>
      <c r="I3632" s="17"/>
      <c r="J3632" s="10"/>
      <c r="M3632" s="39"/>
      <c r="O3632" s="39"/>
      <c r="Q3632" s="39"/>
      <c r="R3632" s="28"/>
      <c r="S3632" s="28"/>
      <c r="T3632" s="28"/>
      <c r="U3632" s="4"/>
      <c r="V3632" s="3"/>
      <c r="W3632" s="3"/>
    </row>
    <row r="3633" spans="1:23" s="5" customFormat="1">
      <c r="A3633" s="6"/>
      <c r="B3633" s="33"/>
      <c r="C3633" s="35"/>
      <c r="E3633" s="39"/>
      <c r="G3633" s="40"/>
      <c r="H3633" s="15"/>
      <c r="I3633" s="17"/>
      <c r="J3633" s="10"/>
      <c r="M3633" s="39"/>
      <c r="O3633" s="39"/>
      <c r="Q3633" s="39"/>
      <c r="R3633" s="28"/>
      <c r="S3633" s="28"/>
      <c r="T3633" s="28"/>
      <c r="U3633" s="4"/>
      <c r="V3633" s="3"/>
      <c r="W3633" s="3"/>
    </row>
    <row r="3634" spans="1:23" s="5" customFormat="1">
      <c r="A3634" s="6"/>
      <c r="B3634" s="33"/>
      <c r="C3634" s="35"/>
      <c r="E3634" s="39"/>
      <c r="G3634" s="40"/>
      <c r="H3634" s="15"/>
      <c r="I3634" s="17"/>
      <c r="J3634" s="10"/>
      <c r="M3634" s="39"/>
      <c r="O3634" s="39"/>
      <c r="Q3634" s="39"/>
      <c r="R3634" s="28"/>
      <c r="S3634" s="28"/>
      <c r="T3634" s="28"/>
      <c r="U3634" s="4"/>
      <c r="V3634" s="3"/>
      <c r="W3634" s="3"/>
    </row>
    <row r="3635" spans="1:23" s="5" customFormat="1">
      <c r="A3635" s="20"/>
      <c r="B3635" s="33"/>
      <c r="C3635" s="35"/>
      <c r="D3635" s="1"/>
      <c r="E3635" s="39"/>
      <c r="F3635" s="1"/>
      <c r="G3635" s="40"/>
      <c r="H3635" s="12"/>
      <c r="I3635" s="9"/>
      <c r="J3635" s="11"/>
      <c r="L3635" s="1"/>
      <c r="M3635" s="39"/>
      <c r="N3635" s="1"/>
      <c r="O3635" s="39"/>
      <c r="P3635" s="1"/>
      <c r="Q3635" s="39"/>
      <c r="R3635" s="28"/>
      <c r="S3635" s="28"/>
      <c r="T3635" s="28"/>
      <c r="U3635" s="4"/>
      <c r="V3635" s="3"/>
      <c r="W3635" s="3"/>
    </row>
    <row r="3636" spans="1:23" s="5" customFormat="1">
      <c r="A3636" s="6"/>
      <c r="B3636" s="33"/>
      <c r="C3636" s="35"/>
      <c r="E3636" s="39"/>
      <c r="G3636" s="40"/>
      <c r="H3636" s="15"/>
      <c r="I3636" s="17"/>
      <c r="J3636" s="10"/>
      <c r="M3636" s="39"/>
      <c r="O3636" s="39"/>
      <c r="Q3636" s="39"/>
      <c r="R3636" s="28"/>
      <c r="S3636" s="28"/>
      <c r="T3636" s="28"/>
      <c r="U3636" s="4"/>
      <c r="V3636" s="3"/>
      <c r="W3636" s="3"/>
    </row>
    <row r="3637" spans="1:23" s="5" customFormat="1">
      <c r="A3637" s="6"/>
      <c r="B3637" s="33"/>
      <c r="C3637" s="35"/>
      <c r="E3637" s="39"/>
      <c r="G3637" s="40"/>
      <c r="H3637" s="15"/>
      <c r="I3637" s="17"/>
      <c r="J3637" s="10"/>
      <c r="M3637" s="39"/>
      <c r="O3637" s="39"/>
      <c r="Q3637" s="39"/>
      <c r="R3637" s="28"/>
      <c r="S3637" s="28"/>
      <c r="T3637" s="28"/>
      <c r="U3637" s="4"/>
      <c r="V3637" s="3"/>
      <c r="W3637" s="3"/>
    </row>
    <row r="3638" spans="1:23" s="5" customFormat="1">
      <c r="A3638" s="6"/>
      <c r="B3638" s="33"/>
      <c r="C3638" s="35"/>
      <c r="E3638" s="39"/>
      <c r="G3638" s="40"/>
      <c r="H3638" s="15"/>
      <c r="I3638" s="17"/>
      <c r="J3638" s="10"/>
      <c r="M3638" s="39"/>
      <c r="O3638" s="39"/>
      <c r="Q3638" s="39"/>
      <c r="R3638" s="28"/>
      <c r="S3638" s="28"/>
      <c r="T3638" s="28"/>
      <c r="U3638" s="4"/>
      <c r="V3638" s="3"/>
      <c r="W3638" s="3"/>
    </row>
    <row r="3639" spans="1:23" s="5" customFormat="1">
      <c r="A3639" s="6"/>
      <c r="B3639" s="33"/>
      <c r="C3639" s="35"/>
      <c r="E3639" s="39"/>
      <c r="G3639" s="40"/>
      <c r="H3639" s="15"/>
      <c r="I3639" s="17"/>
      <c r="J3639" s="10"/>
      <c r="M3639" s="39"/>
      <c r="O3639" s="39"/>
      <c r="Q3639" s="39"/>
      <c r="R3639" s="28"/>
      <c r="S3639" s="28"/>
      <c r="T3639" s="28"/>
      <c r="U3639" s="4"/>
      <c r="V3639" s="3"/>
      <c r="W3639" s="3"/>
    </row>
    <row r="3640" spans="1:23" s="5" customFormat="1">
      <c r="A3640" s="6"/>
      <c r="B3640" s="33"/>
      <c r="C3640" s="35"/>
      <c r="E3640" s="39"/>
      <c r="G3640" s="40"/>
      <c r="H3640" s="14"/>
      <c r="I3640" s="17"/>
      <c r="J3640" s="10"/>
      <c r="M3640" s="39"/>
      <c r="O3640" s="39"/>
      <c r="Q3640" s="39"/>
      <c r="R3640" s="28"/>
      <c r="S3640" s="28"/>
      <c r="T3640" s="28"/>
      <c r="U3640" s="4"/>
      <c r="V3640" s="3"/>
      <c r="W3640" s="3"/>
    </row>
    <row r="3641" spans="1:23" s="5" customFormat="1">
      <c r="A3641" s="6"/>
      <c r="B3641" s="33"/>
      <c r="C3641" s="35"/>
      <c r="E3641" s="39"/>
      <c r="G3641" s="40"/>
      <c r="H3641" s="15"/>
      <c r="I3641" s="17"/>
      <c r="J3641" s="10"/>
      <c r="M3641" s="39"/>
      <c r="O3641" s="39"/>
      <c r="Q3641" s="39"/>
      <c r="R3641" s="28"/>
      <c r="S3641" s="28"/>
      <c r="T3641" s="28"/>
      <c r="U3641" s="4"/>
      <c r="V3641" s="3"/>
      <c r="W3641" s="3"/>
    </row>
    <row r="3642" spans="1:23" s="5" customFormat="1">
      <c r="A3642" s="6"/>
      <c r="B3642" s="33"/>
      <c r="C3642" s="35"/>
      <c r="E3642" s="39"/>
      <c r="G3642" s="40"/>
      <c r="H3642" s="14"/>
      <c r="I3642" s="17"/>
      <c r="J3642" s="10"/>
      <c r="M3642" s="39"/>
      <c r="O3642" s="39"/>
      <c r="Q3642" s="39"/>
      <c r="R3642" s="28"/>
      <c r="S3642" s="28"/>
      <c r="T3642" s="28"/>
      <c r="U3642" s="4"/>
      <c r="V3642" s="3"/>
      <c r="W3642" s="3"/>
    </row>
    <row r="3643" spans="1:23" s="5" customFormat="1">
      <c r="A3643" s="6"/>
      <c r="B3643" s="33"/>
      <c r="C3643" s="35"/>
      <c r="E3643" s="39"/>
      <c r="G3643" s="40"/>
      <c r="H3643" s="15"/>
      <c r="I3643" s="17"/>
      <c r="J3643" s="10"/>
      <c r="M3643" s="39"/>
      <c r="O3643" s="39"/>
      <c r="Q3643" s="39"/>
      <c r="R3643" s="28"/>
      <c r="S3643" s="28"/>
      <c r="T3643" s="28"/>
      <c r="U3643" s="4"/>
      <c r="V3643" s="3"/>
      <c r="W3643" s="3"/>
    </row>
    <row r="3644" spans="1:23" s="5" customFormat="1">
      <c r="A3644" s="6"/>
      <c r="B3644" s="33"/>
      <c r="C3644" s="35"/>
      <c r="E3644" s="39"/>
      <c r="G3644" s="40"/>
      <c r="H3644" s="15"/>
      <c r="I3644" s="17"/>
      <c r="J3644" s="10"/>
      <c r="M3644" s="39"/>
      <c r="O3644" s="39"/>
      <c r="Q3644" s="39"/>
      <c r="R3644" s="28"/>
      <c r="S3644" s="28"/>
      <c r="T3644" s="28"/>
      <c r="U3644" s="4"/>
      <c r="V3644" s="3"/>
      <c r="W3644" s="3"/>
    </row>
    <row r="3645" spans="1:23" s="5" customFormat="1">
      <c r="A3645" s="6"/>
      <c r="B3645" s="33"/>
      <c r="C3645" s="35"/>
      <c r="E3645" s="39"/>
      <c r="G3645" s="40"/>
      <c r="H3645" s="14"/>
      <c r="I3645" s="17"/>
      <c r="J3645" s="10"/>
      <c r="M3645" s="39"/>
      <c r="O3645" s="39"/>
      <c r="Q3645" s="39"/>
      <c r="R3645" s="28"/>
      <c r="S3645" s="28"/>
      <c r="T3645" s="28"/>
      <c r="U3645" s="4"/>
      <c r="V3645" s="3"/>
      <c r="W3645" s="3"/>
    </row>
    <row r="3646" spans="1:23" s="5" customFormat="1">
      <c r="A3646" s="6"/>
      <c r="B3646" s="33"/>
      <c r="C3646" s="35"/>
      <c r="E3646" s="39"/>
      <c r="G3646" s="40"/>
      <c r="H3646" s="14"/>
      <c r="I3646" s="17"/>
      <c r="J3646" s="10"/>
      <c r="M3646" s="39"/>
      <c r="O3646" s="39"/>
      <c r="Q3646" s="39"/>
      <c r="R3646" s="28"/>
      <c r="S3646" s="28"/>
      <c r="T3646" s="28"/>
      <c r="U3646" s="4"/>
      <c r="V3646" s="3"/>
      <c r="W3646" s="3"/>
    </row>
    <row r="3647" spans="1:23" s="5" customFormat="1">
      <c r="A3647" s="6"/>
      <c r="B3647" s="33"/>
      <c r="C3647" s="35"/>
      <c r="E3647" s="39"/>
      <c r="G3647" s="40"/>
      <c r="H3647" s="14"/>
      <c r="I3647" s="17"/>
      <c r="J3647" s="10"/>
      <c r="M3647" s="39"/>
      <c r="O3647" s="39"/>
      <c r="Q3647" s="39"/>
      <c r="R3647" s="28"/>
      <c r="S3647" s="28"/>
      <c r="T3647" s="28"/>
      <c r="U3647" s="4"/>
      <c r="V3647" s="3"/>
      <c r="W3647" s="3"/>
    </row>
    <row r="3648" spans="1:23" s="5" customFormat="1">
      <c r="A3648" s="6"/>
      <c r="B3648" s="33"/>
      <c r="C3648" s="35"/>
      <c r="E3648" s="39"/>
      <c r="G3648" s="40"/>
      <c r="H3648" s="15"/>
      <c r="I3648" s="17"/>
      <c r="J3648" s="10"/>
      <c r="M3648" s="39"/>
      <c r="O3648" s="39"/>
      <c r="Q3648" s="39"/>
      <c r="R3648" s="28"/>
      <c r="S3648" s="28"/>
      <c r="T3648" s="28"/>
      <c r="U3648" s="4"/>
      <c r="V3648" s="3"/>
      <c r="W3648" s="3"/>
    </row>
    <row r="3649" spans="1:23" s="5" customFormat="1">
      <c r="A3649" s="6"/>
      <c r="B3649" s="33"/>
      <c r="C3649" s="35"/>
      <c r="E3649" s="39"/>
      <c r="G3649" s="40"/>
      <c r="H3649" s="14"/>
      <c r="I3649" s="17"/>
      <c r="J3649" s="10"/>
      <c r="M3649" s="39"/>
      <c r="O3649" s="39"/>
      <c r="Q3649" s="39"/>
      <c r="R3649" s="28"/>
      <c r="S3649" s="28"/>
      <c r="T3649" s="28"/>
      <c r="U3649" s="4"/>
      <c r="V3649" s="3"/>
      <c r="W3649" s="3"/>
    </row>
    <row r="3650" spans="1:23" s="5" customFormat="1">
      <c r="A3650" s="6"/>
      <c r="B3650" s="33"/>
      <c r="C3650" s="35"/>
      <c r="E3650" s="39"/>
      <c r="G3650" s="40"/>
      <c r="H3650" s="15"/>
      <c r="I3650" s="17"/>
      <c r="J3650" s="10"/>
      <c r="M3650" s="39"/>
      <c r="O3650" s="39"/>
      <c r="Q3650" s="39"/>
      <c r="R3650" s="28"/>
      <c r="S3650" s="28"/>
      <c r="T3650" s="28"/>
      <c r="U3650" s="4"/>
      <c r="V3650" s="3"/>
      <c r="W3650" s="3"/>
    </row>
    <row r="3651" spans="1:23" s="5" customFormat="1">
      <c r="A3651" s="6"/>
      <c r="B3651" s="33"/>
      <c r="C3651" s="35"/>
      <c r="E3651" s="39"/>
      <c r="G3651" s="40"/>
      <c r="H3651" s="14"/>
      <c r="I3651" s="17"/>
      <c r="J3651" s="10"/>
      <c r="M3651" s="39"/>
      <c r="O3651" s="39"/>
      <c r="Q3651" s="39"/>
      <c r="R3651" s="28"/>
      <c r="S3651" s="28"/>
      <c r="T3651" s="28"/>
      <c r="U3651" s="4"/>
      <c r="V3651" s="3"/>
      <c r="W3651" s="3"/>
    </row>
    <row r="3652" spans="1:23" s="5" customFormat="1">
      <c r="A3652" s="6"/>
      <c r="B3652" s="33"/>
      <c r="C3652" s="35"/>
      <c r="E3652" s="39"/>
      <c r="G3652" s="40"/>
      <c r="H3652" s="14"/>
      <c r="I3652" s="17"/>
      <c r="J3652" s="10"/>
      <c r="M3652" s="39"/>
      <c r="O3652" s="39"/>
      <c r="Q3652" s="39"/>
      <c r="R3652" s="28"/>
      <c r="S3652" s="29"/>
      <c r="T3652" s="28"/>
      <c r="U3652" s="4"/>
      <c r="V3652" s="3"/>
      <c r="W3652" s="3"/>
    </row>
    <row r="3653" spans="1:23" s="5" customFormat="1">
      <c r="A3653" s="6"/>
      <c r="B3653" s="33"/>
      <c r="C3653" s="35"/>
      <c r="E3653" s="39"/>
      <c r="G3653" s="40"/>
      <c r="H3653" s="14"/>
      <c r="I3653" s="17"/>
      <c r="J3653" s="10"/>
      <c r="M3653" s="39"/>
      <c r="O3653" s="39"/>
      <c r="Q3653" s="39"/>
      <c r="R3653" s="28"/>
      <c r="S3653" s="28"/>
      <c r="T3653" s="28"/>
      <c r="U3653" s="4"/>
      <c r="V3653" s="3"/>
      <c r="W3653" s="3"/>
    </row>
    <row r="3654" spans="1:23" s="5" customFormat="1">
      <c r="A3654" s="6"/>
      <c r="B3654" s="33"/>
      <c r="C3654" s="35"/>
      <c r="E3654" s="39"/>
      <c r="G3654" s="40"/>
      <c r="H3654" s="14"/>
      <c r="I3654" s="17"/>
      <c r="J3654" s="10"/>
      <c r="M3654" s="39"/>
      <c r="O3654" s="39"/>
      <c r="Q3654" s="39"/>
      <c r="R3654" s="28"/>
      <c r="S3654" s="28"/>
      <c r="T3654" s="28"/>
      <c r="U3654" s="4"/>
      <c r="V3654" s="3"/>
      <c r="W3654" s="3"/>
    </row>
    <row r="3655" spans="1:23" s="5" customFormat="1">
      <c r="A3655" s="6"/>
      <c r="B3655" s="33"/>
      <c r="C3655" s="35"/>
      <c r="E3655" s="39"/>
      <c r="G3655" s="40"/>
      <c r="H3655" s="15"/>
      <c r="I3655" s="17"/>
      <c r="J3655" s="10"/>
      <c r="M3655" s="39"/>
      <c r="O3655" s="39"/>
      <c r="Q3655" s="39"/>
      <c r="R3655" s="28"/>
      <c r="S3655" s="28"/>
      <c r="T3655" s="28"/>
      <c r="U3655" s="4"/>
      <c r="V3655" s="3"/>
      <c r="W3655" s="3"/>
    </row>
    <row r="3656" spans="1:23" s="5" customFormat="1">
      <c r="A3656" s="6"/>
      <c r="B3656" s="33"/>
      <c r="C3656" s="35"/>
      <c r="E3656" s="39"/>
      <c r="G3656" s="40"/>
      <c r="H3656" s="15"/>
      <c r="I3656" s="17"/>
      <c r="J3656" s="10"/>
      <c r="M3656" s="39"/>
      <c r="O3656" s="39"/>
      <c r="Q3656" s="39"/>
      <c r="R3656" s="28"/>
      <c r="S3656" s="28"/>
      <c r="T3656" s="28"/>
      <c r="U3656" s="4"/>
      <c r="V3656" s="3"/>
      <c r="W3656" s="3"/>
    </row>
    <row r="3657" spans="1:23" s="5" customFormat="1">
      <c r="A3657" s="6"/>
      <c r="B3657" s="33"/>
      <c r="C3657" s="35"/>
      <c r="E3657" s="39"/>
      <c r="G3657" s="40"/>
      <c r="H3657" s="15"/>
      <c r="I3657" s="17"/>
      <c r="J3657" s="10"/>
      <c r="M3657" s="39"/>
      <c r="O3657" s="39"/>
      <c r="Q3657" s="39"/>
      <c r="R3657" s="28"/>
      <c r="S3657" s="28"/>
      <c r="T3657" s="28"/>
      <c r="U3657" s="4"/>
      <c r="V3657" s="3"/>
      <c r="W3657" s="3"/>
    </row>
    <row r="3658" spans="1:23" s="5" customFormat="1">
      <c r="A3658" s="6"/>
      <c r="B3658" s="33"/>
      <c r="C3658" s="35"/>
      <c r="E3658" s="39"/>
      <c r="G3658" s="40"/>
      <c r="H3658" s="15"/>
      <c r="I3658" s="17"/>
      <c r="J3658" s="10"/>
      <c r="M3658" s="39"/>
      <c r="O3658" s="39"/>
      <c r="Q3658" s="39"/>
      <c r="R3658" s="28"/>
      <c r="S3658" s="28"/>
      <c r="T3658" s="28"/>
      <c r="U3658" s="4"/>
      <c r="V3658" s="3"/>
      <c r="W3658" s="3"/>
    </row>
    <row r="3659" spans="1:23" s="5" customFormat="1">
      <c r="A3659" s="6"/>
      <c r="B3659" s="33"/>
      <c r="C3659" s="35"/>
      <c r="E3659" s="39"/>
      <c r="G3659" s="40"/>
      <c r="H3659" s="15"/>
      <c r="I3659" s="17"/>
      <c r="J3659" s="10"/>
      <c r="M3659" s="39"/>
      <c r="O3659" s="39"/>
      <c r="Q3659" s="39"/>
      <c r="R3659" s="28"/>
      <c r="S3659" s="28"/>
      <c r="T3659" s="28"/>
      <c r="U3659" s="4"/>
      <c r="V3659" s="3"/>
      <c r="W3659" s="3"/>
    </row>
    <row r="3660" spans="1:23" s="5" customFormat="1">
      <c r="A3660" s="6"/>
      <c r="B3660" s="33"/>
      <c r="C3660" s="35"/>
      <c r="E3660" s="39"/>
      <c r="G3660" s="40"/>
      <c r="H3660" s="15"/>
      <c r="I3660" s="17"/>
      <c r="J3660" s="10"/>
      <c r="M3660" s="39"/>
      <c r="O3660" s="39"/>
      <c r="Q3660" s="39"/>
      <c r="R3660" s="28"/>
      <c r="S3660" s="28"/>
      <c r="T3660" s="28"/>
      <c r="U3660" s="4"/>
      <c r="V3660" s="3"/>
      <c r="W3660" s="3"/>
    </row>
    <row r="3661" spans="1:23" s="5" customFormat="1">
      <c r="A3661" s="6"/>
      <c r="B3661" s="33"/>
      <c r="C3661" s="35"/>
      <c r="E3661" s="39"/>
      <c r="G3661" s="40"/>
      <c r="H3661" s="15"/>
      <c r="I3661" s="17"/>
      <c r="J3661" s="10"/>
      <c r="M3661" s="39"/>
      <c r="O3661" s="39"/>
      <c r="Q3661" s="39"/>
      <c r="R3661" s="28"/>
      <c r="S3661" s="28"/>
      <c r="T3661" s="28"/>
      <c r="U3661" s="4"/>
      <c r="V3661" s="3"/>
      <c r="W3661" s="3"/>
    </row>
    <row r="3662" spans="1:23" s="5" customFormat="1">
      <c r="A3662" s="6"/>
      <c r="B3662" s="33"/>
      <c r="C3662" s="35"/>
      <c r="E3662" s="39"/>
      <c r="G3662" s="40"/>
      <c r="H3662" s="14"/>
      <c r="I3662" s="17"/>
      <c r="J3662" s="10"/>
      <c r="M3662" s="39"/>
      <c r="O3662" s="39"/>
      <c r="Q3662" s="39"/>
      <c r="R3662" s="28"/>
      <c r="S3662" s="28"/>
      <c r="T3662" s="28"/>
      <c r="U3662" s="4"/>
      <c r="V3662" s="3"/>
      <c r="W3662" s="3"/>
    </row>
    <row r="3663" spans="1:23" s="5" customFormat="1">
      <c r="A3663" s="6"/>
      <c r="B3663" s="33"/>
      <c r="C3663" s="35"/>
      <c r="E3663" s="39"/>
      <c r="G3663" s="40"/>
      <c r="H3663" s="15"/>
      <c r="I3663" s="17"/>
      <c r="J3663" s="10"/>
      <c r="M3663" s="39"/>
      <c r="O3663" s="39"/>
      <c r="Q3663" s="39"/>
      <c r="R3663" s="28"/>
      <c r="S3663" s="28"/>
      <c r="T3663" s="28"/>
      <c r="U3663" s="4"/>
      <c r="V3663" s="3"/>
      <c r="W3663" s="3"/>
    </row>
    <row r="3664" spans="1:23" s="5" customFormat="1">
      <c r="A3664" s="6"/>
      <c r="B3664" s="33"/>
      <c r="C3664" s="35"/>
      <c r="E3664" s="39"/>
      <c r="G3664" s="40"/>
      <c r="H3664" s="15"/>
      <c r="I3664" s="17"/>
      <c r="J3664" s="10"/>
      <c r="M3664" s="39"/>
      <c r="O3664" s="39"/>
      <c r="Q3664" s="39"/>
      <c r="R3664" s="28"/>
      <c r="S3664" s="28"/>
      <c r="T3664" s="28"/>
      <c r="U3664" s="4"/>
      <c r="V3664" s="3"/>
      <c r="W3664" s="3"/>
    </row>
    <row r="3665" spans="1:23" s="5" customFormat="1">
      <c r="A3665" s="6"/>
      <c r="B3665" s="33"/>
      <c r="C3665" s="35"/>
      <c r="E3665" s="39"/>
      <c r="G3665" s="40"/>
      <c r="H3665" s="14"/>
      <c r="I3665" s="17"/>
      <c r="J3665" s="10"/>
      <c r="M3665" s="39"/>
      <c r="O3665" s="39"/>
      <c r="Q3665" s="39"/>
      <c r="R3665" s="28"/>
      <c r="S3665" s="28"/>
      <c r="T3665" s="28"/>
      <c r="U3665" s="4"/>
      <c r="V3665" s="3"/>
      <c r="W3665" s="3"/>
    </row>
    <row r="3666" spans="1:23" s="5" customFormat="1">
      <c r="A3666" s="20"/>
      <c r="B3666" s="33"/>
      <c r="C3666" s="35"/>
      <c r="D3666" s="1"/>
      <c r="E3666" s="39"/>
      <c r="F3666" s="1"/>
      <c r="G3666" s="40"/>
      <c r="H3666" s="12"/>
      <c r="I3666" s="9"/>
      <c r="J3666" s="12"/>
      <c r="L3666" s="1"/>
      <c r="M3666" s="39"/>
      <c r="N3666" s="1"/>
      <c r="O3666" s="39"/>
      <c r="P3666" s="1"/>
      <c r="Q3666" s="39"/>
      <c r="R3666" s="28"/>
      <c r="S3666" s="29"/>
      <c r="T3666" s="28"/>
      <c r="U3666" s="4"/>
      <c r="V3666" s="3"/>
      <c r="W3666" s="3"/>
    </row>
    <row r="3667" spans="1:23" s="5" customFormat="1">
      <c r="A3667" s="6"/>
      <c r="B3667" s="33"/>
      <c r="C3667" s="35"/>
      <c r="E3667" s="39"/>
      <c r="G3667" s="40"/>
      <c r="H3667" s="15"/>
      <c r="I3667" s="17"/>
      <c r="J3667" s="10"/>
      <c r="M3667" s="39"/>
      <c r="O3667" s="39"/>
      <c r="Q3667" s="39"/>
      <c r="R3667" s="28"/>
      <c r="S3667" s="28"/>
      <c r="T3667" s="28"/>
      <c r="U3667" s="4"/>
      <c r="V3667" s="3"/>
      <c r="W3667" s="3"/>
    </row>
    <row r="3668" spans="1:23" s="5" customFormat="1">
      <c r="A3668" s="6"/>
      <c r="B3668" s="33"/>
      <c r="C3668" s="35"/>
      <c r="E3668" s="39"/>
      <c r="G3668" s="40"/>
      <c r="H3668" s="14"/>
      <c r="I3668" s="17"/>
      <c r="J3668" s="10"/>
      <c r="M3668" s="39"/>
      <c r="O3668" s="39"/>
      <c r="Q3668" s="39"/>
      <c r="R3668" s="28"/>
      <c r="S3668" s="28"/>
      <c r="T3668" s="28"/>
      <c r="U3668" s="4"/>
      <c r="V3668" s="3"/>
      <c r="W3668" s="3"/>
    </row>
    <row r="3669" spans="1:23" s="5" customFormat="1">
      <c r="A3669" s="6"/>
      <c r="B3669" s="33"/>
      <c r="C3669" s="35"/>
      <c r="E3669" s="39"/>
      <c r="G3669" s="40"/>
      <c r="H3669" s="15"/>
      <c r="I3669" s="17"/>
      <c r="J3669" s="10"/>
      <c r="M3669" s="39"/>
      <c r="O3669" s="39"/>
      <c r="Q3669" s="39"/>
      <c r="R3669" s="28"/>
      <c r="S3669" s="28"/>
      <c r="T3669" s="28"/>
      <c r="U3669" s="4"/>
      <c r="V3669" s="3"/>
      <c r="W3669" s="3"/>
    </row>
    <row r="3670" spans="1:23" s="5" customFormat="1">
      <c r="A3670" s="6"/>
      <c r="B3670" s="33"/>
      <c r="C3670" s="35"/>
      <c r="E3670" s="39"/>
      <c r="G3670" s="40"/>
      <c r="H3670" s="15"/>
      <c r="I3670" s="17"/>
      <c r="J3670" s="10"/>
      <c r="M3670" s="39"/>
      <c r="O3670" s="39"/>
      <c r="Q3670" s="39"/>
      <c r="R3670" s="28"/>
      <c r="S3670" s="28"/>
      <c r="T3670" s="28"/>
      <c r="U3670" s="4"/>
      <c r="V3670" s="3"/>
      <c r="W3670" s="3"/>
    </row>
    <row r="3671" spans="1:23" s="5" customFormat="1">
      <c r="A3671" s="6"/>
      <c r="B3671" s="33"/>
      <c r="C3671" s="35"/>
      <c r="E3671" s="39"/>
      <c r="G3671" s="40"/>
      <c r="H3671" s="15"/>
      <c r="I3671" s="17"/>
      <c r="J3671" s="10"/>
      <c r="M3671" s="39"/>
      <c r="O3671" s="39"/>
      <c r="Q3671" s="39"/>
      <c r="R3671" s="28"/>
      <c r="S3671" s="28"/>
      <c r="T3671" s="28"/>
      <c r="U3671" s="4"/>
      <c r="V3671" s="3"/>
      <c r="W3671" s="3"/>
    </row>
    <row r="3672" spans="1:23" s="5" customFormat="1">
      <c r="A3672" s="6"/>
      <c r="B3672" s="33"/>
      <c r="C3672" s="35"/>
      <c r="E3672" s="39"/>
      <c r="G3672" s="40"/>
      <c r="H3672" s="15"/>
      <c r="I3672" s="17"/>
      <c r="J3672" s="10"/>
      <c r="M3672" s="39"/>
      <c r="O3672" s="39"/>
      <c r="Q3672" s="39"/>
      <c r="R3672" s="28"/>
      <c r="S3672" s="28"/>
      <c r="T3672" s="28"/>
      <c r="U3672" s="4"/>
      <c r="V3672" s="3"/>
      <c r="W3672" s="3"/>
    </row>
    <row r="3673" spans="1:23" s="5" customFormat="1">
      <c r="A3673" s="6"/>
      <c r="B3673" s="33"/>
      <c r="C3673" s="35"/>
      <c r="E3673" s="39"/>
      <c r="G3673" s="40"/>
      <c r="H3673" s="15"/>
      <c r="I3673" s="17"/>
      <c r="J3673" s="10"/>
      <c r="M3673" s="39"/>
      <c r="O3673" s="39"/>
      <c r="Q3673" s="39"/>
      <c r="R3673" s="28"/>
      <c r="S3673" s="28"/>
      <c r="T3673" s="28"/>
      <c r="U3673" s="4"/>
      <c r="V3673" s="3"/>
      <c r="W3673" s="3"/>
    </row>
    <row r="3674" spans="1:23" s="5" customFormat="1">
      <c r="A3674" s="6"/>
      <c r="B3674" s="33"/>
      <c r="C3674" s="35"/>
      <c r="E3674" s="39"/>
      <c r="G3674" s="40"/>
      <c r="H3674" s="15"/>
      <c r="I3674" s="17"/>
      <c r="J3674" s="10"/>
      <c r="M3674" s="39"/>
      <c r="O3674" s="39"/>
      <c r="Q3674" s="39"/>
      <c r="R3674" s="28"/>
      <c r="S3674" s="28"/>
      <c r="T3674" s="28"/>
      <c r="U3674" s="4"/>
      <c r="V3674" s="3"/>
      <c r="W3674" s="3"/>
    </row>
    <row r="3675" spans="1:23" s="5" customFormat="1">
      <c r="A3675" s="6"/>
      <c r="B3675" s="33"/>
      <c r="C3675" s="35"/>
      <c r="E3675" s="39"/>
      <c r="G3675" s="40"/>
      <c r="H3675" s="15"/>
      <c r="I3675" s="17"/>
      <c r="J3675" s="10"/>
      <c r="M3675" s="39"/>
      <c r="O3675" s="39"/>
      <c r="Q3675" s="39"/>
      <c r="R3675" s="28"/>
      <c r="S3675" s="28"/>
      <c r="T3675" s="28"/>
      <c r="U3675" s="4"/>
      <c r="V3675" s="3"/>
      <c r="W3675" s="3"/>
    </row>
    <row r="3676" spans="1:23" s="5" customFormat="1">
      <c r="A3676" s="6"/>
      <c r="B3676" s="33"/>
      <c r="C3676" s="35"/>
      <c r="E3676" s="39"/>
      <c r="G3676" s="40"/>
      <c r="H3676" s="15"/>
      <c r="I3676" s="17"/>
      <c r="J3676" s="10"/>
      <c r="M3676" s="39"/>
      <c r="O3676" s="39"/>
      <c r="Q3676" s="39"/>
      <c r="R3676" s="28"/>
      <c r="S3676" s="28"/>
      <c r="T3676" s="28"/>
      <c r="U3676" s="4"/>
      <c r="V3676" s="3"/>
      <c r="W3676" s="3"/>
    </row>
    <row r="3677" spans="1:23" s="5" customFormat="1">
      <c r="A3677" s="6"/>
      <c r="B3677" s="33"/>
      <c r="C3677" s="35"/>
      <c r="E3677" s="39"/>
      <c r="G3677" s="40"/>
      <c r="H3677" s="14"/>
      <c r="I3677" s="17"/>
      <c r="J3677" s="10"/>
      <c r="M3677" s="39"/>
      <c r="O3677" s="39"/>
      <c r="Q3677" s="39"/>
      <c r="R3677" s="28"/>
      <c r="S3677" s="28"/>
      <c r="T3677" s="28"/>
      <c r="U3677" s="4"/>
      <c r="V3677" s="3"/>
      <c r="W3677" s="3"/>
    </row>
    <row r="3678" spans="1:23" s="5" customFormat="1">
      <c r="A3678" s="6"/>
      <c r="B3678" s="33"/>
      <c r="C3678" s="35"/>
      <c r="E3678" s="39"/>
      <c r="G3678" s="40"/>
      <c r="H3678" s="15"/>
      <c r="I3678" s="17"/>
      <c r="J3678" s="10"/>
      <c r="M3678" s="39"/>
      <c r="O3678" s="39"/>
      <c r="Q3678" s="39"/>
      <c r="R3678" s="28"/>
      <c r="S3678" s="28"/>
      <c r="T3678" s="28"/>
      <c r="U3678" s="4"/>
      <c r="V3678" s="3"/>
      <c r="W3678" s="3"/>
    </row>
    <row r="3679" spans="1:23" s="5" customFormat="1">
      <c r="A3679" s="6"/>
      <c r="B3679" s="33"/>
      <c r="C3679" s="35"/>
      <c r="E3679" s="39"/>
      <c r="G3679" s="40"/>
      <c r="H3679" s="15"/>
      <c r="I3679" s="17"/>
      <c r="J3679" s="10"/>
      <c r="M3679" s="39"/>
      <c r="O3679" s="39"/>
      <c r="Q3679" s="39"/>
      <c r="R3679" s="28"/>
      <c r="S3679" s="28"/>
      <c r="T3679" s="28"/>
      <c r="U3679" s="4"/>
      <c r="V3679" s="3"/>
      <c r="W3679" s="3"/>
    </row>
    <row r="3680" spans="1:23" s="5" customFormat="1">
      <c r="A3680" s="6"/>
      <c r="B3680" s="33"/>
      <c r="C3680" s="35"/>
      <c r="E3680" s="39"/>
      <c r="G3680" s="40"/>
      <c r="H3680" s="14"/>
      <c r="I3680" s="17"/>
      <c r="J3680" s="10"/>
      <c r="M3680" s="39"/>
      <c r="O3680" s="39"/>
      <c r="Q3680" s="39"/>
      <c r="R3680" s="28"/>
      <c r="S3680" s="28"/>
      <c r="T3680" s="28"/>
      <c r="U3680" s="4"/>
      <c r="V3680" s="3"/>
      <c r="W3680" s="3"/>
    </row>
    <row r="3681" spans="1:23" s="5" customFormat="1">
      <c r="A3681" s="6"/>
      <c r="B3681" s="33"/>
      <c r="C3681" s="35"/>
      <c r="E3681" s="39"/>
      <c r="G3681" s="40"/>
      <c r="H3681" s="14"/>
      <c r="I3681" s="17"/>
      <c r="J3681" s="10"/>
      <c r="M3681" s="39"/>
      <c r="O3681" s="39"/>
      <c r="Q3681" s="39"/>
      <c r="R3681" s="28"/>
      <c r="S3681" s="28"/>
      <c r="T3681" s="28"/>
      <c r="U3681" s="4"/>
      <c r="V3681" s="3"/>
      <c r="W3681" s="3"/>
    </row>
    <row r="3682" spans="1:23" s="5" customFormat="1">
      <c r="A3682" s="6"/>
      <c r="B3682" s="33"/>
      <c r="C3682" s="35"/>
      <c r="E3682" s="39"/>
      <c r="G3682" s="40"/>
      <c r="H3682" s="15"/>
      <c r="I3682" s="17"/>
      <c r="J3682" s="10"/>
      <c r="M3682" s="39"/>
      <c r="O3682" s="39"/>
      <c r="Q3682" s="39"/>
      <c r="R3682" s="28"/>
      <c r="S3682" s="28"/>
      <c r="T3682" s="28"/>
      <c r="U3682" s="4"/>
      <c r="V3682" s="3"/>
      <c r="W3682" s="3"/>
    </row>
    <row r="3683" spans="1:23" s="5" customFormat="1">
      <c r="A3683" s="6"/>
      <c r="B3683" s="33"/>
      <c r="C3683" s="35"/>
      <c r="E3683" s="39"/>
      <c r="G3683" s="40"/>
      <c r="H3683" s="15"/>
      <c r="I3683" s="17"/>
      <c r="J3683" s="10"/>
      <c r="M3683" s="39"/>
      <c r="O3683" s="39"/>
      <c r="Q3683" s="39"/>
      <c r="R3683" s="28"/>
      <c r="S3683" s="28"/>
      <c r="T3683" s="28"/>
      <c r="U3683" s="4"/>
      <c r="V3683" s="3"/>
      <c r="W3683" s="3"/>
    </row>
    <row r="3684" spans="1:23" s="5" customFormat="1">
      <c r="A3684" s="6"/>
      <c r="B3684" s="33"/>
      <c r="C3684" s="35"/>
      <c r="E3684" s="39"/>
      <c r="G3684" s="40"/>
      <c r="H3684" s="14"/>
      <c r="I3684" s="17"/>
      <c r="J3684" s="10"/>
      <c r="M3684" s="39"/>
      <c r="O3684" s="39"/>
      <c r="Q3684" s="39"/>
      <c r="R3684" s="28"/>
      <c r="S3684" s="28"/>
      <c r="T3684" s="28"/>
      <c r="U3684" s="4"/>
      <c r="V3684" s="3"/>
      <c r="W3684" s="3"/>
    </row>
    <row r="3685" spans="1:23" s="5" customFormat="1">
      <c r="A3685" s="6"/>
      <c r="B3685" s="33"/>
      <c r="C3685" s="35"/>
      <c r="E3685" s="39"/>
      <c r="G3685" s="40"/>
      <c r="H3685" s="15"/>
      <c r="I3685" s="17"/>
      <c r="J3685" s="10"/>
      <c r="M3685" s="39"/>
      <c r="O3685" s="39"/>
      <c r="Q3685" s="39"/>
      <c r="R3685" s="28"/>
      <c r="S3685" s="28"/>
      <c r="T3685" s="28"/>
      <c r="U3685" s="4"/>
      <c r="V3685" s="3"/>
      <c r="W3685" s="3"/>
    </row>
    <row r="3686" spans="1:23" s="5" customFormat="1">
      <c r="A3686" s="6"/>
      <c r="B3686" s="33"/>
      <c r="C3686" s="35"/>
      <c r="E3686" s="39"/>
      <c r="G3686" s="40"/>
      <c r="H3686" s="15"/>
      <c r="I3686" s="17"/>
      <c r="J3686" s="10"/>
      <c r="M3686" s="39"/>
      <c r="O3686" s="39"/>
      <c r="Q3686" s="39"/>
      <c r="R3686" s="28"/>
      <c r="S3686" s="28"/>
      <c r="T3686" s="28"/>
      <c r="U3686" s="4"/>
      <c r="V3686" s="3"/>
      <c r="W3686" s="3"/>
    </row>
    <row r="3687" spans="1:23" s="5" customFormat="1">
      <c r="A3687" s="6"/>
      <c r="B3687" s="33"/>
      <c r="C3687" s="35"/>
      <c r="E3687" s="39"/>
      <c r="G3687" s="40"/>
      <c r="H3687" s="14"/>
      <c r="I3687" s="17"/>
      <c r="J3687" s="10"/>
      <c r="M3687" s="39"/>
      <c r="O3687" s="39"/>
      <c r="Q3687" s="39"/>
      <c r="R3687" s="28"/>
      <c r="S3687" s="28"/>
      <c r="T3687" s="28"/>
      <c r="U3687" s="4"/>
      <c r="V3687" s="3"/>
      <c r="W3687" s="3"/>
    </row>
    <row r="3688" spans="1:23" s="5" customFormat="1">
      <c r="A3688" s="6"/>
      <c r="B3688" s="33"/>
      <c r="C3688" s="35"/>
      <c r="E3688" s="39"/>
      <c r="G3688" s="40"/>
      <c r="H3688" s="15"/>
      <c r="I3688" s="17"/>
      <c r="J3688" s="10"/>
      <c r="M3688" s="39"/>
      <c r="O3688" s="39"/>
      <c r="Q3688" s="39"/>
      <c r="R3688" s="28"/>
      <c r="S3688" s="28"/>
      <c r="T3688" s="28"/>
      <c r="U3688" s="4"/>
      <c r="V3688" s="3"/>
      <c r="W3688" s="3"/>
    </row>
    <row r="3689" spans="1:23" s="5" customFormat="1">
      <c r="A3689" s="6"/>
      <c r="B3689" s="33"/>
      <c r="C3689" s="35"/>
      <c r="E3689" s="39"/>
      <c r="G3689" s="40"/>
      <c r="H3689" s="14"/>
      <c r="I3689" s="17"/>
      <c r="J3689" s="10"/>
      <c r="M3689" s="39"/>
      <c r="O3689" s="39"/>
      <c r="Q3689" s="39"/>
      <c r="R3689" s="28"/>
      <c r="S3689" s="28"/>
      <c r="T3689" s="28"/>
      <c r="U3689" s="4"/>
      <c r="V3689" s="3"/>
      <c r="W3689" s="3"/>
    </row>
    <row r="3690" spans="1:23" s="5" customFormat="1">
      <c r="A3690" s="6"/>
      <c r="B3690" s="33"/>
      <c r="C3690" s="35"/>
      <c r="E3690" s="39"/>
      <c r="G3690" s="40"/>
      <c r="H3690" s="14"/>
      <c r="I3690" s="17"/>
      <c r="J3690" s="10"/>
      <c r="M3690" s="39"/>
      <c r="O3690" s="39"/>
      <c r="Q3690" s="39"/>
      <c r="R3690" s="28"/>
      <c r="S3690" s="28"/>
      <c r="T3690" s="28"/>
      <c r="U3690" s="4"/>
      <c r="V3690" s="3"/>
      <c r="W3690" s="3"/>
    </row>
    <row r="3691" spans="1:23" s="5" customFormat="1">
      <c r="A3691" s="6"/>
      <c r="B3691" s="33"/>
      <c r="C3691" s="35"/>
      <c r="E3691" s="39"/>
      <c r="G3691" s="40"/>
      <c r="H3691" s="14"/>
      <c r="I3691" s="17"/>
      <c r="J3691" s="10"/>
      <c r="M3691" s="39"/>
      <c r="O3691" s="39"/>
      <c r="Q3691" s="39"/>
      <c r="R3691" s="28"/>
      <c r="S3691" s="28"/>
      <c r="T3691" s="28"/>
      <c r="U3691" s="4"/>
      <c r="V3691" s="3"/>
      <c r="W3691" s="3"/>
    </row>
    <row r="3692" spans="1:23" s="5" customFormat="1">
      <c r="A3692" s="6"/>
      <c r="B3692" s="33"/>
      <c r="C3692" s="35"/>
      <c r="E3692" s="39"/>
      <c r="G3692" s="40"/>
      <c r="H3692" s="15"/>
      <c r="I3692" s="17"/>
      <c r="J3692" s="10"/>
      <c r="M3692" s="39"/>
      <c r="O3692" s="39"/>
      <c r="Q3692" s="39"/>
      <c r="R3692" s="28"/>
      <c r="S3692" s="28"/>
      <c r="T3692" s="28"/>
      <c r="U3692" s="4"/>
      <c r="V3692" s="3"/>
      <c r="W3692" s="3"/>
    </row>
    <row r="3693" spans="1:23" s="5" customFormat="1">
      <c r="A3693" s="6"/>
      <c r="B3693" s="33"/>
      <c r="C3693" s="35"/>
      <c r="E3693" s="39"/>
      <c r="G3693" s="40"/>
      <c r="H3693" s="14"/>
      <c r="I3693" s="17"/>
      <c r="J3693" s="10"/>
      <c r="M3693" s="39"/>
      <c r="O3693" s="39"/>
      <c r="Q3693" s="39"/>
      <c r="R3693" s="28"/>
      <c r="S3693" s="28"/>
      <c r="T3693" s="28"/>
      <c r="U3693" s="4"/>
      <c r="V3693" s="3"/>
      <c r="W3693" s="3"/>
    </row>
    <row r="3694" spans="1:23" s="5" customFormat="1">
      <c r="A3694" s="6"/>
      <c r="B3694" s="33"/>
      <c r="C3694" s="35"/>
      <c r="E3694" s="39"/>
      <c r="G3694" s="40"/>
      <c r="H3694" s="14"/>
      <c r="I3694" s="17"/>
      <c r="J3694" s="10"/>
      <c r="M3694" s="39"/>
      <c r="O3694" s="39"/>
      <c r="Q3694" s="39"/>
      <c r="R3694" s="28"/>
      <c r="S3694" s="28"/>
      <c r="T3694" s="28"/>
      <c r="U3694" s="4"/>
      <c r="V3694" s="3"/>
      <c r="W3694" s="3"/>
    </row>
    <row r="3695" spans="1:23" s="5" customFormat="1">
      <c r="A3695" s="6"/>
      <c r="B3695" s="33"/>
      <c r="C3695" s="35"/>
      <c r="E3695" s="39"/>
      <c r="G3695" s="40"/>
      <c r="H3695" s="15"/>
      <c r="I3695" s="17"/>
      <c r="J3695" s="10"/>
      <c r="M3695" s="39"/>
      <c r="O3695" s="39"/>
      <c r="Q3695" s="39"/>
      <c r="R3695" s="28"/>
      <c r="S3695" s="28"/>
      <c r="T3695" s="28"/>
      <c r="U3695" s="4"/>
      <c r="V3695" s="3"/>
      <c r="W3695" s="3"/>
    </row>
    <row r="3696" spans="1:23" s="5" customFormat="1">
      <c r="A3696" s="6"/>
      <c r="B3696" s="33"/>
      <c r="C3696" s="35"/>
      <c r="E3696" s="39"/>
      <c r="G3696" s="40"/>
      <c r="H3696" s="15"/>
      <c r="I3696" s="17"/>
      <c r="J3696" s="10"/>
      <c r="M3696" s="39"/>
      <c r="O3696" s="39"/>
      <c r="Q3696" s="39"/>
      <c r="R3696" s="28"/>
      <c r="S3696" s="28"/>
      <c r="T3696" s="28"/>
      <c r="U3696" s="4"/>
      <c r="V3696" s="3"/>
      <c r="W3696" s="3"/>
    </row>
    <row r="3697" spans="1:23" s="5" customFormat="1">
      <c r="A3697" s="6"/>
      <c r="B3697" s="33"/>
      <c r="C3697" s="35"/>
      <c r="E3697" s="39"/>
      <c r="G3697" s="40"/>
      <c r="H3697" s="14"/>
      <c r="I3697" s="17"/>
      <c r="J3697" s="10"/>
      <c r="M3697" s="39"/>
      <c r="O3697" s="39"/>
      <c r="Q3697" s="39"/>
      <c r="R3697" s="28"/>
      <c r="S3697" s="28"/>
      <c r="T3697" s="28"/>
      <c r="U3697" s="4"/>
      <c r="V3697" s="3"/>
      <c r="W3697" s="3"/>
    </row>
    <row r="3698" spans="1:23" s="5" customFormat="1">
      <c r="A3698" s="6"/>
      <c r="B3698" s="33"/>
      <c r="C3698" s="35"/>
      <c r="E3698" s="39"/>
      <c r="G3698" s="40"/>
      <c r="H3698" s="15"/>
      <c r="I3698" s="17"/>
      <c r="J3698" s="10"/>
      <c r="M3698" s="39"/>
      <c r="O3698" s="39"/>
      <c r="Q3698" s="39"/>
      <c r="R3698" s="28"/>
      <c r="S3698" s="28"/>
      <c r="T3698" s="28"/>
      <c r="U3698" s="4"/>
      <c r="V3698" s="3"/>
      <c r="W3698" s="3"/>
    </row>
    <row r="3699" spans="1:23" s="5" customFormat="1">
      <c r="A3699" s="6"/>
      <c r="B3699" s="33"/>
      <c r="C3699" s="35"/>
      <c r="E3699" s="39"/>
      <c r="G3699" s="40"/>
      <c r="H3699" s="14"/>
      <c r="I3699" s="17"/>
      <c r="J3699" s="10"/>
      <c r="M3699" s="39"/>
      <c r="O3699" s="39"/>
      <c r="Q3699" s="39"/>
      <c r="R3699" s="28"/>
      <c r="S3699" s="28"/>
      <c r="T3699" s="28"/>
      <c r="U3699" s="4"/>
      <c r="V3699" s="3"/>
      <c r="W3699" s="3"/>
    </row>
    <row r="3700" spans="1:23" s="5" customFormat="1">
      <c r="A3700" s="6"/>
      <c r="B3700" s="33"/>
      <c r="C3700" s="35"/>
      <c r="E3700" s="39"/>
      <c r="G3700" s="40"/>
      <c r="H3700" s="15"/>
      <c r="I3700" s="17"/>
      <c r="J3700" s="10"/>
      <c r="M3700" s="39"/>
      <c r="O3700" s="39"/>
      <c r="Q3700" s="39"/>
      <c r="R3700" s="28"/>
      <c r="S3700" s="28"/>
      <c r="T3700" s="28"/>
      <c r="U3700" s="4"/>
      <c r="V3700" s="3"/>
      <c r="W3700" s="3"/>
    </row>
    <row r="3701" spans="1:23" s="5" customFormat="1">
      <c r="A3701" s="6"/>
      <c r="B3701" s="33"/>
      <c r="C3701" s="35"/>
      <c r="E3701" s="39"/>
      <c r="G3701" s="40"/>
      <c r="H3701" s="15"/>
      <c r="I3701" s="17"/>
      <c r="J3701" s="10"/>
      <c r="M3701" s="39"/>
      <c r="O3701" s="39"/>
      <c r="Q3701" s="39"/>
      <c r="R3701" s="28"/>
      <c r="S3701" s="28"/>
      <c r="T3701" s="28"/>
      <c r="U3701" s="4"/>
      <c r="V3701" s="3"/>
      <c r="W3701" s="3"/>
    </row>
    <row r="3702" spans="1:23" s="5" customFormat="1">
      <c r="A3702" s="6"/>
      <c r="B3702" s="33"/>
      <c r="C3702" s="35"/>
      <c r="E3702" s="39"/>
      <c r="G3702" s="40"/>
      <c r="H3702" s="14"/>
      <c r="I3702" s="17"/>
      <c r="J3702" s="10"/>
      <c r="M3702" s="39"/>
      <c r="O3702" s="39"/>
      <c r="Q3702" s="39"/>
      <c r="R3702" s="28"/>
      <c r="S3702" s="28"/>
      <c r="T3702" s="28"/>
      <c r="U3702" s="4"/>
      <c r="V3702" s="3"/>
      <c r="W3702" s="3"/>
    </row>
    <row r="3703" spans="1:23" s="5" customFormat="1">
      <c r="A3703" s="6"/>
      <c r="B3703" s="33"/>
      <c r="C3703" s="35"/>
      <c r="E3703" s="39"/>
      <c r="G3703" s="40"/>
      <c r="H3703" s="15"/>
      <c r="I3703" s="17"/>
      <c r="J3703" s="10"/>
      <c r="M3703" s="39"/>
      <c r="O3703" s="39"/>
      <c r="Q3703" s="39"/>
      <c r="R3703" s="28"/>
      <c r="S3703" s="28"/>
      <c r="T3703" s="28"/>
      <c r="U3703" s="4"/>
      <c r="V3703" s="3"/>
      <c r="W3703" s="3"/>
    </row>
    <row r="3704" spans="1:23" s="5" customFormat="1">
      <c r="A3704" s="6"/>
      <c r="B3704" s="33"/>
      <c r="C3704" s="35"/>
      <c r="E3704" s="39"/>
      <c r="G3704" s="40"/>
      <c r="H3704" s="14"/>
      <c r="I3704" s="17"/>
      <c r="J3704" s="10"/>
      <c r="M3704" s="39"/>
      <c r="O3704" s="39"/>
      <c r="Q3704" s="39"/>
      <c r="R3704" s="28"/>
      <c r="S3704" s="28"/>
      <c r="T3704" s="28"/>
      <c r="U3704" s="4"/>
      <c r="V3704" s="3"/>
      <c r="W3704" s="3"/>
    </row>
    <row r="3705" spans="1:23" s="5" customFormat="1">
      <c r="A3705" s="6"/>
      <c r="B3705" s="33"/>
      <c r="C3705" s="35"/>
      <c r="E3705" s="39"/>
      <c r="G3705" s="40"/>
      <c r="H3705" s="15"/>
      <c r="I3705" s="17"/>
      <c r="J3705" s="10"/>
      <c r="M3705" s="39"/>
      <c r="O3705" s="39"/>
      <c r="Q3705" s="39"/>
      <c r="R3705" s="28"/>
      <c r="S3705" s="28"/>
      <c r="T3705" s="28"/>
      <c r="U3705" s="4"/>
      <c r="V3705" s="3"/>
      <c r="W3705" s="3"/>
    </row>
    <row r="3706" spans="1:23" s="5" customFormat="1">
      <c r="A3706" s="6"/>
      <c r="B3706" s="33"/>
      <c r="C3706" s="35"/>
      <c r="E3706" s="39"/>
      <c r="G3706" s="40"/>
      <c r="H3706" s="14"/>
      <c r="I3706" s="17"/>
      <c r="J3706" s="10"/>
      <c r="M3706" s="39"/>
      <c r="O3706" s="39"/>
      <c r="Q3706" s="39"/>
      <c r="R3706" s="28"/>
      <c r="S3706" s="28"/>
      <c r="T3706" s="28"/>
      <c r="U3706" s="4"/>
      <c r="V3706" s="3"/>
      <c r="W3706" s="3"/>
    </row>
    <row r="3707" spans="1:23" s="5" customFormat="1">
      <c r="A3707" s="6"/>
      <c r="B3707" s="33"/>
      <c r="C3707" s="35"/>
      <c r="E3707" s="39"/>
      <c r="G3707" s="40"/>
      <c r="H3707" s="14"/>
      <c r="I3707" s="17"/>
      <c r="J3707" s="10"/>
      <c r="M3707" s="39"/>
      <c r="O3707" s="39"/>
      <c r="Q3707" s="39"/>
      <c r="R3707" s="28"/>
      <c r="S3707" s="28"/>
      <c r="T3707" s="28"/>
      <c r="U3707" s="4"/>
      <c r="V3707" s="3"/>
      <c r="W3707" s="3"/>
    </row>
    <row r="3708" spans="1:23" s="5" customFormat="1">
      <c r="A3708" s="6"/>
      <c r="B3708" s="33"/>
      <c r="C3708" s="35"/>
      <c r="E3708" s="39"/>
      <c r="G3708" s="40"/>
      <c r="H3708" s="14"/>
      <c r="I3708" s="17"/>
      <c r="J3708" s="10"/>
      <c r="M3708" s="39"/>
      <c r="O3708" s="39"/>
      <c r="Q3708" s="39"/>
      <c r="R3708" s="28"/>
      <c r="S3708" s="28"/>
      <c r="T3708" s="28"/>
      <c r="U3708" s="4"/>
      <c r="V3708" s="3"/>
      <c r="W3708" s="3"/>
    </row>
    <row r="3709" spans="1:23" s="5" customFormat="1">
      <c r="A3709" s="6"/>
      <c r="B3709" s="33"/>
      <c r="C3709" s="35"/>
      <c r="E3709" s="39"/>
      <c r="G3709" s="40"/>
      <c r="H3709" s="14"/>
      <c r="I3709" s="17"/>
      <c r="J3709" s="10"/>
      <c r="M3709" s="39"/>
      <c r="O3709" s="39"/>
      <c r="Q3709" s="39"/>
      <c r="R3709" s="28"/>
      <c r="S3709" s="28"/>
      <c r="T3709" s="28"/>
      <c r="U3709" s="4"/>
      <c r="V3709" s="3"/>
      <c r="W3709" s="3"/>
    </row>
    <row r="3710" spans="1:23" s="5" customFormat="1">
      <c r="A3710" s="6"/>
      <c r="B3710" s="33"/>
      <c r="C3710" s="35"/>
      <c r="E3710" s="39"/>
      <c r="G3710" s="40"/>
      <c r="H3710" s="15"/>
      <c r="I3710" s="17"/>
      <c r="J3710" s="10"/>
      <c r="M3710" s="39"/>
      <c r="O3710" s="39"/>
      <c r="Q3710" s="39"/>
      <c r="R3710" s="28"/>
      <c r="S3710" s="28"/>
      <c r="T3710" s="28"/>
      <c r="U3710" s="4"/>
      <c r="V3710" s="3"/>
      <c r="W3710" s="3"/>
    </row>
    <row r="3711" spans="1:23" s="5" customFormat="1">
      <c r="A3711" s="6"/>
      <c r="B3711" s="33"/>
      <c r="C3711" s="35"/>
      <c r="E3711" s="39"/>
      <c r="G3711" s="40"/>
      <c r="H3711" s="15"/>
      <c r="I3711" s="17"/>
      <c r="J3711" s="10"/>
      <c r="M3711" s="39"/>
      <c r="O3711" s="39"/>
      <c r="Q3711" s="39"/>
      <c r="R3711" s="28"/>
      <c r="S3711" s="28"/>
      <c r="T3711" s="28"/>
      <c r="U3711" s="4"/>
      <c r="V3711" s="3"/>
      <c r="W3711" s="3"/>
    </row>
    <row r="3712" spans="1:23" s="5" customFormat="1">
      <c r="A3712" s="6"/>
      <c r="B3712" s="33"/>
      <c r="C3712" s="35"/>
      <c r="E3712" s="39"/>
      <c r="G3712" s="40"/>
      <c r="H3712" s="14"/>
      <c r="I3712" s="17"/>
      <c r="J3712" s="10"/>
      <c r="M3712" s="39"/>
      <c r="O3712" s="39"/>
      <c r="Q3712" s="39"/>
      <c r="R3712" s="28"/>
      <c r="S3712" s="29"/>
      <c r="T3712" s="28"/>
      <c r="U3712" s="4"/>
      <c r="V3712" s="3"/>
      <c r="W3712" s="3"/>
    </row>
    <row r="3713" spans="1:23" s="5" customFormat="1">
      <c r="A3713" s="20"/>
      <c r="B3713" s="33"/>
      <c r="C3713" s="35"/>
      <c r="E3713" s="39"/>
      <c r="F3713" s="1"/>
      <c r="G3713" s="40"/>
      <c r="H3713" s="12"/>
      <c r="I3713" s="9"/>
      <c r="J3713" s="12"/>
      <c r="M3713" s="39"/>
      <c r="O3713" s="39"/>
      <c r="Q3713" s="39"/>
      <c r="R3713" s="29"/>
      <c r="S3713" s="28"/>
      <c r="T3713" s="28"/>
      <c r="U3713" s="4"/>
      <c r="V3713" s="3"/>
      <c r="W3713" s="3"/>
    </row>
    <row r="3714" spans="1:23" s="5" customFormat="1">
      <c r="A3714" s="20"/>
      <c r="B3714" s="33"/>
      <c r="C3714" s="35"/>
      <c r="D3714" s="1"/>
      <c r="E3714" s="39"/>
      <c r="F3714" s="1"/>
      <c r="G3714" s="40"/>
      <c r="H3714" s="12"/>
      <c r="I3714" s="9"/>
      <c r="J3714" s="12"/>
      <c r="L3714" s="1"/>
      <c r="M3714" s="39"/>
      <c r="N3714" s="1"/>
      <c r="O3714" s="39"/>
      <c r="P3714" s="1"/>
      <c r="Q3714" s="39"/>
      <c r="R3714" s="28"/>
      <c r="S3714" s="29"/>
      <c r="T3714" s="28"/>
      <c r="U3714" s="4"/>
      <c r="V3714" s="3"/>
      <c r="W3714" s="3"/>
    </row>
    <row r="3715" spans="1:23" s="5" customFormat="1">
      <c r="A3715" s="6"/>
      <c r="B3715" s="33"/>
      <c r="C3715" s="35"/>
      <c r="E3715" s="39"/>
      <c r="G3715" s="40"/>
      <c r="H3715" s="15"/>
      <c r="I3715" s="17"/>
      <c r="J3715" s="10"/>
      <c r="K3715" s="1"/>
      <c r="M3715" s="39"/>
      <c r="O3715" s="39"/>
      <c r="Q3715" s="39"/>
      <c r="R3715" s="29"/>
      <c r="S3715" s="29"/>
      <c r="T3715" s="28"/>
      <c r="U3715" s="4"/>
      <c r="V3715" s="3"/>
      <c r="W3715" s="3"/>
    </row>
    <row r="3716" spans="1:23" s="5" customFormat="1">
      <c r="A3716" s="20"/>
      <c r="B3716" s="33"/>
      <c r="C3716" s="35"/>
      <c r="D3716" s="1"/>
      <c r="E3716" s="39"/>
      <c r="F3716" s="1"/>
      <c r="G3716" s="40"/>
      <c r="H3716" s="12"/>
      <c r="I3716" s="9"/>
      <c r="J3716" s="12"/>
      <c r="L3716" s="1"/>
      <c r="M3716" s="39"/>
      <c r="N3716" s="1"/>
      <c r="O3716" s="39"/>
      <c r="P3716" s="1"/>
      <c r="Q3716" s="39"/>
      <c r="R3716" s="28"/>
      <c r="S3716" s="28"/>
      <c r="T3716" s="28"/>
      <c r="U3716" s="4"/>
      <c r="V3716" s="3"/>
      <c r="W3716" s="3"/>
    </row>
    <row r="3717" spans="1:23" s="5" customFormat="1">
      <c r="A3717" s="20"/>
      <c r="B3717" s="33"/>
      <c r="C3717" s="35"/>
      <c r="E3717" s="39"/>
      <c r="F3717" s="1"/>
      <c r="G3717" s="40"/>
      <c r="H3717" s="12"/>
      <c r="I3717" s="9"/>
      <c r="J3717" s="12"/>
      <c r="M3717" s="39"/>
      <c r="O3717" s="39"/>
      <c r="Q3717" s="39"/>
      <c r="R3717" s="29"/>
      <c r="S3717" s="28"/>
      <c r="T3717" s="28"/>
      <c r="U3717" s="4"/>
      <c r="V3717" s="3"/>
      <c r="W3717" s="3"/>
    </row>
    <row r="3718" spans="1:23" s="5" customFormat="1">
      <c r="A3718" s="20"/>
      <c r="B3718" s="33"/>
      <c r="C3718" s="35"/>
      <c r="E3718" s="39"/>
      <c r="F3718" s="1"/>
      <c r="G3718" s="40"/>
      <c r="H3718" s="12"/>
      <c r="I3718" s="9"/>
      <c r="J3718" s="12"/>
      <c r="M3718" s="39"/>
      <c r="O3718" s="39"/>
      <c r="Q3718" s="39"/>
      <c r="R3718" s="29"/>
      <c r="S3718" s="28"/>
      <c r="T3718" s="28"/>
      <c r="U3718" s="4"/>
      <c r="V3718" s="3"/>
      <c r="W3718" s="3"/>
    </row>
    <row r="3719" spans="1:23" s="5" customFormat="1">
      <c r="A3719" s="20"/>
      <c r="B3719" s="33"/>
      <c r="C3719" s="35"/>
      <c r="E3719" s="39"/>
      <c r="F3719" s="1"/>
      <c r="G3719" s="40"/>
      <c r="H3719" s="12"/>
      <c r="I3719" s="9"/>
      <c r="J3719" s="12"/>
      <c r="M3719" s="39"/>
      <c r="O3719" s="39"/>
      <c r="Q3719" s="39"/>
      <c r="R3719" s="29"/>
      <c r="S3719" s="28"/>
      <c r="T3719" s="28"/>
      <c r="U3719" s="4"/>
      <c r="V3719" s="3"/>
      <c r="W3719" s="3"/>
    </row>
    <row r="3720" spans="1:23" s="5" customFormat="1">
      <c r="A3720" s="20"/>
      <c r="B3720" s="33"/>
      <c r="C3720" s="35"/>
      <c r="E3720" s="39"/>
      <c r="F3720" s="1"/>
      <c r="G3720" s="40"/>
      <c r="H3720" s="12"/>
      <c r="I3720" s="9"/>
      <c r="J3720" s="12"/>
      <c r="M3720" s="39"/>
      <c r="O3720" s="39"/>
      <c r="Q3720" s="39"/>
      <c r="R3720" s="29"/>
      <c r="S3720" s="28"/>
      <c r="T3720" s="28"/>
      <c r="U3720" s="4"/>
      <c r="V3720" s="3"/>
      <c r="W3720" s="3"/>
    </row>
    <row r="3721" spans="1:23" s="5" customFormat="1">
      <c r="A3721" s="20"/>
      <c r="B3721" s="33"/>
      <c r="C3721" s="35"/>
      <c r="E3721" s="39"/>
      <c r="F3721" s="1"/>
      <c r="G3721" s="40"/>
      <c r="H3721" s="12"/>
      <c r="I3721" s="9"/>
      <c r="J3721" s="12"/>
      <c r="M3721" s="39"/>
      <c r="O3721" s="39"/>
      <c r="Q3721" s="39"/>
      <c r="R3721" s="29"/>
      <c r="S3721" s="28"/>
      <c r="T3721" s="28"/>
      <c r="U3721" s="4"/>
      <c r="V3721" s="3"/>
      <c r="W3721" s="3"/>
    </row>
    <row r="3722" spans="1:23" s="5" customFormat="1">
      <c r="A3722" s="20"/>
      <c r="B3722" s="33"/>
      <c r="C3722" s="35"/>
      <c r="E3722" s="39"/>
      <c r="F3722" s="1"/>
      <c r="G3722" s="40"/>
      <c r="H3722" s="12"/>
      <c r="I3722" s="9"/>
      <c r="J3722" s="12"/>
      <c r="M3722" s="39"/>
      <c r="O3722" s="39"/>
      <c r="Q3722" s="39"/>
      <c r="R3722" s="29"/>
      <c r="S3722" s="28"/>
      <c r="T3722" s="28"/>
      <c r="U3722" s="4"/>
      <c r="V3722" s="3"/>
      <c r="W3722" s="3"/>
    </row>
    <row r="3723" spans="1:23" s="5" customFormat="1">
      <c r="A3723" s="20"/>
      <c r="B3723" s="33"/>
      <c r="C3723" s="35"/>
      <c r="E3723" s="39"/>
      <c r="F3723" s="1"/>
      <c r="G3723" s="40"/>
      <c r="H3723" s="12"/>
      <c r="I3723" s="9"/>
      <c r="J3723" s="12"/>
      <c r="M3723" s="39"/>
      <c r="O3723" s="39"/>
      <c r="Q3723" s="39"/>
      <c r="R3723" s="29"/>
      <c r="S3723" s="28"/>
      <c r="T3723" s="28"/>
      <c r="U3723" s="4"/>
      <c r="V3723" s="3"/>
      <c r="W3723" s="3"/>
    </row>
    <row r="3724" spans="1:23" s="5" customFormat="1">
      <c r="A3724" s="20"/>
      <c r="B3724" s="33"/>
      <c r="C3724" s="35"/>
      <c r="D3724" s="1"/>
      <c r="E3724" s="39"/>
      <c r="F3724" s="1"/>
      <c r="G3724" s="40"/>
      <c r="H3724" s="12"/>
      <c r="I3724" s="9"/>
      <c r="J3724" s="12"/>
      <c r="L3724" s="1"/>
      <c r="M3724" s="39"/>
      <c r="N3724" s="1"/>
      <c r="O3724" s="39"/>
      <c r="P3724" s="1"/>
      <c r="Q3724" s="39"/>
      <c r="R3724" s="28"/>
      <c r="S3724" s="28"/>
      <c r="T3724" s="28"/>
      <c r="U3724" s="4"/>
      <c r="V3724" s="3"/>
      <c r="W3724" s="3"/>
    </row>
    <row r="3725" spans="1:23" s="5" customFormat="1">
      <c r="A3725" s="20"/>
      <c r="B3725" s="33"/>
      <c r="C3725" s="35"/>
      <c r="D3725" s="1"/>
      <c r="E3725" s="39"/>
      <c r="F3725" s="1"/>
      <c r="G3725" s="40"/>
      <c r="H3725" s="12"/>
      <c r="I3725" s="9"/>
      <c r="J3725" s="12"/>
      <c r="L3725" s="1"/>
      <c r="M3725" s="39"/>
      <c r="N3725" s="1"/>
      <c r="O3725" s="39"/>
      <c r="P3725" s="1"/>
      <c r="Q3725" s="39"/>
      <c r="R3725" s="28"/>
      <c r="S3725" s="28"/>
      <c r="T3725" s="28"/>
      <c r="U3725" s="4"/>
      <c r="V3725" s="3"/>
      <c r="W3725" s="3"/>
    </row>
    <row r="3726" spans="1:23" s="5" customFormat="1">
      <c r="A3726" s="20"/>
      <c r="B3726" s="33"/>
      <c r="C3726" s="35"/>
      <c r="E3726" s="39"/>
      <c r="F3726" s="1"/>
      <c r="G3726" s="40"/>
      <c r="H3726" s="12"/>
      <c r="I3726" s="9"/>
      <c r="J3726" s="12"/>
      <c r="M3726" s="39"/>
      <c r="O3726" s="39"/>
      <c r="Q3726" s="39"/>
      <c r="R3726" s="29"/>
      <c r="S3726" s="28"/>
      <c r="T3726" s="28"/>
      <c r="U3726" s="4"/>
      <c r="V3726" s="3"/>
      <c r="W3726" s="3"/>
    </row>
    <row r="3727" spans="1:23" s="5" customFormat="1">
      <c r="A3727" s="20"/>
      <c r="B3727" s="33"/>
      <c r="C3727" s="35"/>
      <c r="E3727" s="39"/>
      <c r="F3727" s="1"/>
      <c r="G3727" s="40"/>
      <c r="H3727" s="12"/>
      <c r="I3727" s="9"/>
      <c r="J3727" s="12"/>
      <c r="M3727" s="39"/>
      <c r="O3727" s="39"/>
      <c r="Q3727" s="39"/>
      <c r="R3727" s="29"/>
      <c r="S3727" s="28"/>
      <c r="T3727" s="28"/>
      <c r="U3727" s="4"/>
      <c r="V3727" s="3"/>
      <c r="W3727" s="3"/>
    </row>
    <row r="3728" spans="1:23" s="5" customFormat="1">
      <c r="A3728" s="20"/>
      <c r="B3728" s="33"/>
      <c r="C3728" s="35"/>
      <c r="E3728" s="39"/>
      <c r="F3728" s="1"/>
      <c r="G3728" s="40"/>
      <c r="H3728" s="12"/>
      <c r="I3728" s="9"/>
      <c r="J3728" s="12"/>
      <c r="M3728" s="39"/>
      <c r="O3728" s="39"/>
      <c r="Q3728" s="39"/>
      <c r="R3728" s="29"/>
      <c r="S3728" s="28"/>
      <c r="T3728" s="28"/>
      <c r="U3728" s="4"/>
      <c r="V3728" s="3"/>
      <c r="W3728" s="3"/>
    </row>
    <row r="3729" spans="1:23" s="5" customFormat="1">
      <c r="A3729" s="6"/>
      <c r="B3729" s="33"/>
      <c r="C3729" s="35"/>
      <c r="E3729" s="39"/>
      <c r="G3729" s="40"/>
      <c r="H3729" s="14"/>
      <c r="I3729" s="17"/>
      <c r="J3729" s="10"/>
      <c r="M3729" s="39"/>
      <c r="O3729" s="39"/>
      <c r="Q3729" s="39"/>
      <c r="R3729" s="28"/>
      <c r="S3729" s="28"/>
      <c r="T3729" s="28"/>
      <c r="U3729" s="4"/>
      <c r="V3729" s="3"/>
      <c r="W3729" s="3"/>
    </row>
    <row r="3730" spans="1:23" s="5" customFormat="1">
      <c r="A3730" s="6"/>
      <c r="B3730" s="33"/>
      <c r="C3730" s="35"/>
      <c r="E3730" s="39"/>
      <c r="G3730" s="40"/>
      <c r="H3730" s="14"/>
      <c r="I3730" s="17"/>
      <c r="J3730" s="10"/>
      <c r="M3730" s="39"/>
      <c r="O3730" s="39"/>
      <c r="Q3730" s="39"/>
      <c r="R3730" s="28"/>
      <c r="S3730" s="28"/>
      <c r="T3730" s="28"/>
      <c r="U3730" s="4"/>
      <c r="V3730" s="3"/>
      <c r="W3730" s="3"/>
    </row>
    <row r="3731" spans="1:23" s="5" customFormat="1">
      <c r="A3731" s="6"/>
      <c r="B3731" s="33"/>
      <c r="C3731" s="35"/>
      <c r="E3731" s="39"/>
      <c r="G3731" s="40"/>
      <c r="H3731" s="14"/>
      <c r="I3731" s="17"/>
      <c r="J3731" s="10"/>
      <c r="M3731" s="39"/>
      <c r="O3731" s="39"/>
      <c r="Q3731" s="39"/>
      <c r="R3731" s="28"/>
      <c r="S3731" s="28"/>
      <c r="T3731" s="28"/>
      <c r="U3731" s="4"/>
      <c r="V3731" s="3"/>
      <c r="W3731" s="3"/>
    </row>
    <row r="3732" spans="1:23" s="5" customFormat="1">
      <c r="A3732" s="6"/>
      <c r="B3732" s="33"/>
      <c r="C3732" s="35"/>
      <c r="E3732" s="39"/>
      <c r="G3732" s="40"/>
      <c r="H3732" s="15"/>
      <c r="I3732" s="17"/>
      <c r="J3732" s="10"/>
      <c r="M3732" s="39"/>
      <c r="O3732" s="39"/>
      <c r="Q3732" s="39"/>
      <c r="R3732" s="28"/>
      <c r="S3732" s="28"/>
      <c r="T3732" s="28"/>
      <c r="U3732" s="4"/>
      <c r="V3732" s="3"/>
      <c r="W3732" s="3"/>
    </row>
    <row r="3733" spans="1:23" s="5" customFormat="1">
      <c r="A3733" s="6"/>
      <c r="B3733" s="33"/>
      <c r="C3733" s="35"/>
      <c r="E3733" s="39"/>
      <c r="G3733" s="40"/>
      <c r="H3733" s="14"/>
      <c r="I3733" s="17"/>
      <c r="J3733" s="10"/>
      <c r="M3733" s="39"/>
      <c r="O3733" s="39"/>
      <c r="Q3733" s="39"/>
      <c r="R3733" s="28"/>
      <c r="S3733" s="28"/>
      <c r="T3733" s="28"/>
      <c r="U3733" s="4"/>
      <c r="V3733" s="3"/>
      <c r="W3733" s="3"/>
    </row>
    <row r="3734" spans="1:23" s="5" customFormat="1">
      <c r="A3734" s="6"/>
      <c r="B3734" s="33"/>
      <c r="C3734" s="35"/>
      <c r="E3734" s="39"/>
      <c r="G3734" s="40"/>
      <c r="H3734" s="14"/>
      <c r="I3734" s="17"/>
      <c r="J3734" s="10"/>
      <c r="M3734" s="39"/>
      <c r="O3734" s="39"/>
      <c r="Q3734" s="39"/>
      <c r="R3734" s="28"/>
      <c r="S3734" s="28"/>
      <c r="T3734" s="28"/>
      <c r="U3734" s="4"/>
      <c r="V3734" s="3"/>
      <c r="W3734" s="3"/>
    </row>
    <row r="3735" spans="1:23" s="5" customFormat="1">
      <c r="A3735" s="6"/>
      <c r="B3735" s="33"/>
      <c r="C3735" s="35"/>
      <c r="E3735" s="39"/>
      <c r="G3735" s="40"/>
      <c r="H3735" s="14"/>
      <c r="I3735" s="17"/>
      <c r="J3735" s="10"/>
      <c r="M3735" s="39"/>
      <c r="O3735" s="39"/>
      <c r="Q3735" s="39"/>
      <c r="R3735" s="28"/>
      <c r="S3735" s="28"/>
      <c r="T3735" s="28"/>
      <c r="U3735" s="4"/>
      <c r="V3735" s="3"/>
      <c r="W3735" s="3"/>
    </row>
    <row r="3736" spans="1:23" s="5" customFormat="1">
      <c r="A3736" s="6"/>
      <c r="B3736" s="33"/>
      <c r="C3736" s="35"/>
      <c r="E3736" s="39"/>
      <c r="G3736" s="40"/>
      <c r="H3736" s="15"/>
      <c r="I3736" s="17"/>
      <c r="J3736" s="10"/>
      <c r="M3736" s="39"/>
      <c r="O3736" s="39"/>
      <c r="Q3736" s="39"/>
      <c r="R3736" s="28"/>
      <c r="S3736" s="28"/>
      <c r="T3736" s="28"/>
      <c r="U3736" s="4"/>
      <c r="V3736" s="3"/>
      <c r="W3736" s="3"/>
    </row>
    <row r="3737" spans="1:23" s="5" customFormat="1">
      <c r="A3737" s="6"/>
      <c r="B3737" s="33"/>
      <c r="C3737" s="35"/>
      <c r="E3737" s="39"/>
      <c r="G3737" s="40"/>
      <c r="H3737" s="15"/>
      <c r="I3737" s="17"/>
      <c r="J3737" s="10"/>
      <c r="M3737" s="39"/>
      <c r="O3737" s="39"/>
      <c r="Q3737" s="39"/>
      <c r="R3737" s="28"/>
      <c r="S3737" s="28"/>
      <c r="T3737" s="28"/>
      <c r="U3737" s="4"/>
      <c r="V3737" s="3"/>
      <c r="W3737" s="3"/>
    </row>
    <row r="3738" spans="1:23" s="5" customFormat="1">
      <c r="A3738" s="6"/>
      <c r="B3738" s="33"/>
      <c r="C3738" s="35"/>
      <c r="E3738" s="39"/>
      <c r="G3738" s="40"/>
      <c r="H3738" s="14"/>
      <c r="I3738" s="17"/>
      <c r="J3738" s="10"/>
      <c r="M3738" s="39"/>
      <c r="O3738" s="39"/>
      <c r="Q3738" s="39"/>
      <c r="R3738" s="28"/>
      <c r="S3738" s="28"/>
      <c r="T3738" s="28"/>
      <c r="U3738" s="4"/>
      <c r="V3738" s="3"/>
      <c r="W3738" s="3"/>
    </row>
    <row r="3739" spans="1:23" s="5" customFormat="1">
      <c r="A3739" s="6"/>
      <c r="B3739" s="33"/>
      <c r="C3739" s="35"/>
      <c r="E3739" s="39"/>
      <c r="G3739" s="40"/>
      <c r="H3739" s="15"/>
      <c r="I3739" s="17"/>
      <c r="J3739" s="10"/>
      <c r="M3739" s="39"/>
      <c r="O3739" s="39"/>
      <c r="Q3739" s="39"/>
      <c r="R3739" s="28"/>
      <c r="S3739" s="28"/>
      <c r="T3739" s="28"/>
      <c r="U3739" s="4"/>
      <c r="V3739" s="3"/>
      <c r="W3739" s="3"/>
    </row>
    <row r="3740" spans="1:23" s="5" customFormat="1">
      <c r="A3740" s="6"/>
      <c r="B3740" s="33"/>
      <c r="C3740" s="35"/>
      <c r="E3740" s="39"/>
      <c r="G3740" s="40"/>
      <c r="H3740" s="15"/>
      <c r="I3740" s="17"/>
      <c r="J3740" s="10"/>
      <c r="M3740" s="39"/>
      <c r="O3740" s="39"/>
      <c r="Q3740" s="39"/>
      <c r="R3740" s="28"/>
      <c r="S3740" s="28"/>
      <c r="T3740" s="28"/>
      <c r="U3740" s="4"/>
      <c r="V3740" s="3"/>
      <c r="W3740" s="3"/>
    </row>
    <row r="3741" spans="1:23" s="5" customFormat="1">
      <c r="A3741" s="6"/>
      <c r="B3741" s="33"/>
      <c r="C3741" s="35"/>
      <c r="E3741" s="39"/>
      <c r="G3741" s="40"/>
      <c r="H3741" s="15"/>
      <c r="I3741" s="17"/>
      <c r="J3741" s="10"/>
      <c r="M3741" s="39"/>
      <c r="O3741" s="39"/>
      <c r="Q3741" s="39"/>
      <c r="R3741" s="28"/>
      <c r="S3741" s="28"/>
      <c r="T3741" s="28"/>
      <c r="U3741" s="4"/>
      <c r="V3741" s="3"/>
      <c r="W3741" s="3"/>
    </row>
    <row r="3742" spans="1:23" s="5" customFormat="1">
      <c r="A3742" s="6"/>
      <c r="B3742" s="33"/>
      <c r="C3742" s="35"/>
      <c r="E3742" s="39"/>
      <c r="G3742" s="40"/>
      <c r="H3742" s="15"/>
      <c r="I3742" s="17"/>
      <c r="J3742" s="10"/>
      <c r="M3742" s="39"/>
      <c r="O3742" s="39"/>
      <c r="Q3742" s="39"/>
      <c r="R3742" s="28"/>
      <c r="S3742" s="28"/>
      <c r="T3742" s="28"/>
      <c r="U3742" s="4"/>
      <c r="V3742" s="3"/>
      <c r="W3742" s="3"/>
    </row>
    <row r="3743" spans="1:23" s="5" customFormat="1">
      <c r="A3743" s="6"/>
      <c r="B3743" s="33"/>
      <c r="C3743" s="35"/>
      <c r="E3743" s="39"/>
      <c r="G3743" s="40"/>
      <c r="H3743" s="15"/>
      <c r="I3743" s="17"/>
      <c r="J3743" s="10"/>
      <c r="M3743" s="39"/>
      <c r="O3743" s="39"/>
      <c r="Q3743" s="39"/>
      <c r="R3743" s="28"/>
      <c r="S3743" s="28"/>
      <c r="T3743" s="28"/>
      <c r="U3743" s="4"/>
      <c r="V3743" s="3"/>
      <c r="W3743" s="3"/>
    </row>
    <row r="3744" spans="1:23" s="5" customFormat="1">
      <c r="A3744" s="6"/>
      <c r="B3744" s="33"/>
      <c r="C3744" s="35"/>
      <c r="E3744" s="39"/>
      <c r="G3744" s="40"/>
      <c r="H3744" s="15"/>
      <c r="I3744" s="17"/>
      <c r="J3744" s="10"/>
      <c r="M3744" s="39"/>
      <c r="O3744" s="39"/>
      <c r="Q3744" s="39"/>
      <c r="R3744" s="28"/>
      <c r="S3744" s="28"/>
      <c r="T3744" s="28"/>
      <c r="U3744" s="4"/>
      <c r="V3744" s="3"/>
      <c r="W3744" s="3"/>
    </row>
    <row r="3745" spans="1:23" s="5" customFormat="1">
      <c r="A3745" s="6"/>
      <c r="B3745" s="33"/>
      <c r="C3745" s="35"/>
      <c r="E3745" s="39"/>
      <c r="G3745" s="40"/>
      <c r="H3745" s="15"/>
      <c r="I3745" s="17"/>
      <c r="J3745" s="10"/>
      <c r="M3745" s="39"/>
      <c r="O3745" s="39"/>
      <c r="Q3745" s="39"/>
      <c r="R3745" s="28"/>
      <c r="S3745" s="28"/>
      <c r="T3745" s="28"/>
      <c r="U3745" s="4"/>
      <c r="V3745" s="3"/>
      <c r="W3745" s="3"/>
    </row>
    <row r="3746" spans="1:23" s="5" customFormat="1">
      <c r="A3746" s="6"/>
      <c r="B3746" s="33"/>
      <c r="C3746" s="35"/>
      <c r="E3746" s="39"/>
      <c r="G3746" s="40"/>
      <c r="H3746" s="15"/>
      <c r="I3746" s="17"/>
      <c r="J3746" s="10"/>
      <c r="M3746" s="39"/>
      <c r="O3746" s="39"/>
      <c r="Q3746" s="39"/>
      <c r="R3746" s="28"/>
      <c r="S3746" s="28"/>
      <c r="T3746" s="28"/>
      <c r="U3746" s="4"/>
      <c r="V3746" s="3"/>
      <c r="W3746" s="3"/>
    </row>
    <row r="3747" spans="1:23" s="5" customFormat="1">
      <c r="A3747" s="6"/>
      <c r="B3747" s="33"/>
      <c r="C3747" s="35"/>
      <c r="E3747" s="39"/>
      <c r="G3747" s="40"/>
      <c r="H3747" s="14"/>
      <c r="I3747" s="17"/>
      <c r="J3747" s="10"/>
      <c r="M3747" s="39"/>
      <c r="O3747" s="39"/>
      <c r="Q3747" s="39"/>
      <c r="R3747" s="28"/>
      <c r="S3747" s="28"/>
      <c r="T3747" s="28"/>
      <c r="U3747" s="4"/>
      <c r="V3747" s="3"/>
      <c r="W3747" s="3"/>
    </row>
    <row r="3748" spans="1:23" s="5" customFormat="1">
      <c r="A3748" s="6"/>
      <c r="B3748" s="33"/>
      <c r="C3748" s="35"/>
      <c r="E3748" s="39"/>
      <c r="G3748" s="40"/>
      <c r="H3748" s="15"/>
      <c r="I3748" s="17"/>
      <c r="J3748" s="10"/>
      <c r="M3748" s="39"/>
      <c r="O3748" s="39"/>
      <c r="Q3748" s="39"/>
      <c r="R3748" s="28"/>
      <c r="S3748" s="28"/>
      <c r="T3748" s="28"/>
      <c r="U3748" s="4"/>
      <c r="V3748" s="3"/>
      <c r="W3748" s="3"/>
    </row>
    <row r="3749" spans="1:23" s="5" customFormat="1">
      <c r="A3749" s="6"/>
      <c r="B3749" s="33"/>
      <c r="C3749" s="35"/>
      <c r="E3749" s="39"/>
      <c r="G3749" s="40"/>
      <c r="H3749" s="15"/>
      <c r="I3749" s="17"/>
      <c r="J3749" s="10"/>
      <c r="M3749" s="39"/>
      <c r="O3749" s="39"/>
      <c r="Q3749" s="39"/>
      <c r="R3749" s="28"/>
      <c r="S3749" s="28"/>
      <c r="T3749" s="28"/>
      <c r="U3749" s="4"/>
      <c r="V3749" s="3"/>
      <c r="W3749" s="3"/>
    </row>
    <row r="3750" spans="1:23" s="5" customFormat="1">
      <c r="A3750" s="6"/>
      <c r="B3750" s="33"/>
      <c r="C3750" s="35"/>
      <c r="E3750" s="39"/>
      <c r="G3750" s="40"/>
      <c r="H3750" s="14"/>
      <c r="I3750" s="17"/>
      <c r="J3750" s="10"/>
      <c r="M3750" s="39"/>
      <c r="O3750" s="39"/>
      <c r="Q3750" s="39"/>
      <c r="R3750" s="28"/>
      <c r="S3750" s="28"/>
      <c r="T3750" s="28"/>
      <c r="U3750" s="4"/>
      <c r="V3750" s="3"/>
      <c r="W3750" s="3"/>
    </row>
    <row r="3751" spans="1:23" s="5" customFormat="1">
      <c r="A3751" s="6"/>
      <c r="B3751" s="33"/>
      <c r="C3751" s="35"/>
      <c r="E3751" s="39"/>
      <c r="G3751" s="40"/>
      <c r="H3751" s="14"/>
      <c r="I3751" s="17"/>
      <c r="J3751" s="10"/>
      <c r="M3751" s="39"/>
      <c r="O3751" s="39"/>
      <c r="Q3751" s="39"/>
      <c r="R3751" s="28"/>
      <c r="S3751" s="28"/>
      <c r="T3751" s="28"/>
      <c r="U3751" s="4"/>
      <c r="V3751" s="3"/>
      <c r="W3751" s="3"/>
    </row>
    <row r="3752" spans="1:23" s="5" customFormat="1">
      <c r="A3752" s="6"/>
      <c r="B3752" s="33"/>
      <c r="C3752" s="35"/>
      <c r="E3752" s="39"/>
      <c r="G3752" s="40"/>
      <c r="H3752" s="15"/>
      <c r="I3752" s="17"/>
      <c r="J3752" s="10"/>
      <c r="M3752" s="39"/>
      <c r="O3752" s="39"/>
      <c r="Q3752" s="39"/>
      <c r="R3752" s="28"/>
      <c r="S3752" s="28"/>
      <c r="T3752" s="28"/>
      <c r="U3752" s="4"/>
      <c r="V3752" s="3"/>
      <c r="W3752" s="3"/>
    </row>
    <row r="3753" spans="1:23" s="5" customFormat="1">
      <c r="A3753" s="6"/>
      <c r="B3753" s="33"/>
      <c r="C3753" s="35"/>
      <c r="E3753" s="39"/>
      <c r="G3753" s="40"/>
      <c r="H3753" s="15"/>
      <c r="I3753" s="17"/>
      <c r="J3753" s="10"/>
      <c r="M3753" s="39"/>
      <c r="O3753" s="39"/>
      <c r="Q3753" s="39"/>
      <c r="R3753" s="28"/>
      <c r="S3753" s="28"/>
      <c r="T3753" s="28"/>
      <c r="U3753" s="4"/>
      <c r="V3753" s="3"/>
      <c r="W3753" s="3"/>
    </row>
    <row r="3754" spans="1:23" s="5" customFormat="1">
      <c r="A3754" s="6"/>
      <c r="B3754" s="33"/>
      <c r="C3754" s="35"/>
      <c r="E3754" s="39"/>
      <c r="G3754" s="40"/>
      <c r="H3754" s="15"/>
      <c r="I3754" s="17"/>
      <c r="J3754" s="10"/>
      <c r="M3754" s="39"/>
      <c r="O3754" s="39"/>
      <c r="Q3754" s="39"/>
      <c r="R3754" s="28"/>
      <c r="S3754" s="28"/>
      <c r="T3754" s="28"/>
      <c r="U3754" s="4"/>
      <c r="V3754" s="3"/>
      <c r="W3754" s="3"/>
    </row>
    <row r="3755" spans="1:23" s="5" customFormat="1">
      <c r="A3755" s="6"/>
      <c r="B3755" s="33"/>
      <c r="C3755" s="35"/>
      <c r="E3755" s="39"/>
      <c r="G3755" s="40"/>
      <c r="H3755" s="15"/>
      <c r="I3755" s="17"/>
      <c r="J3755" s="10"/>
      <c r="M3755" s="39"/>
      <c r="O3755" s="39"/>
      <c r="Q3755" s="39"/>
      <c r="R3755" s="28"/>
      <c r="S3755" s="28"/>
      <c r="T3755" s="28"/>
      <c r="U3755" s="4"/>
      <c r="V3755" s="3"/>
      <c r="W3755" s="3"/>
    </row>
    <row r="3756" spans="1:23" s="5" customFormat="1">
      <c r="A3756" s="6"/>
      <c r="B3756" s="33"/>
      <c r="C3756" s="35"/>
      <c r="E3756" s="39"/>
      <c r="G3756" s="40"/>
      <c r="H3756" s="15"/>
      <c r="I3756" s="17"/>
      <c r="J3756" s="10"/>
      <c r="M3756" s="39"/>
      <c r="O3756" s="39"/>
      <c r="Q3756" s="39"/>
      <c r="R3756" s="28"/>
      <c r="S3756" s="28"/>
      <c r="T3756" s="28"/>
      <c r="U3756" s="4"/>
      <c r="V3756" s="3"/>
      <c r="W3756" s="3"/>
    </row>
    <row r="3757" spans="1:23" s="5" customFormat="1">
      <c r="A3757" s="6"/>
      <c r="B3757" s="33"/>
      <c r="C3757" s="35"/>
      <c r="E3757" s="39"/>
      <c r="G3757" s="40"/>
      <c r="H3757" s="14"/>
      <c r="I3757" s="17"/>
      <c r="J3757" s="10"/>
      <c r="M3757" s="39"/>
      <c r="O3757" s="39"/>
      <c r="Q3757" s="39"/>
      <c r="R3757" s="28"/>
      <c r="S3757" s="28"/>
      <c r="T3757" s="28"/>
      <c r="U3757" s="4"/>
      <c r="V3757" s="3"/>
      <c r="W3757" s="3"/>
    </row>
    <row r="3758" spans="1:23" s="5" customFormat="1">
      <c r="A3758" s="6"/>
      <c r="B3758" s="33"/>
      <c r="C3758" s="35"/>
      <c r="E3758" s="39"/>
      <c r="G3758" s="40"/>
      <c r="H3758" s="15"/>
      <c r="I3758" s="17"/>
      <c r="J3758" s="10"/>
      <c r="M3758" s="39"/>
      <c r="O3758" s="39"/>
      <c r="Q3758" s="39"/>
      <c r="R3758" s="28"/>
      <c r="S3758" s="28"/>
      <c r="T3758" s="28"/>
      <c r="U3758" s="4"/>
      <c r="V3758" s="3"/>
      <c r="W3758" s="3"/>
    </row>
    <row r="3759" spans="1:23" s="5" customFormat="1">
      <c r="A3759" s="6"/>
      <c r="B3759" s="33"/>
      <c r="C3759" s="35"/>
      <c r="E3759" s="39"/>
      <c r="G3759" s="40"/>
      <c r="H3759" s="15"/>
      <c r="I3759" s="17"/>
      <c r="J3759" s="10"/>
      <c r="M3759" s="39"/>
      <c r="O3759" s="39"/>
      <c r="Q3759" s="39"/>
      <c r="R3759" s="28"/>
      <c r="S3759" s="28"/>
      <c r="T3759" s="28"/>
      <c r="U3759" s="4"/>
      <c r="V3759" s="3"/>
      <c r="W3759" s="3"/>
    </row>
    <row r="3760" spans="1:23" s="5" customFormat="1">
      <c r="A3760" s="6"/>
      <c r="B3760" s="33"/>
      <c r="C3760" s="35"/>
      <c r="E3760" s="39"/>
      <c r="G3760" s="40"/>
      <c r="H3760" s="15"/>
      <c r="I3760" s="17"/>
      <c r="J3760" s="10"/>
      <c r="M3760" s="39"/>
      <c r="O3760" s="39"/>
      <c r="Q3760" s="39"/>
      <c r="R3760" s="28"/>
      <c r="S3760" s="28"/>
      <c r="T3760" s="28"/>
      <c r="U3760" s="4"/>
      <c r="V3760" s="3"/>
      <c r="W3760" s="3"/>
    </row>
    <row r="3761" spans="1:23" s="5" customFormat="1">
      <c r="A3761" s="6"/>
      <c r="B3761" s="33"/>
      <c r="C3761" s="35"/>
      <c r="E3761" s="39"/>
      <c r="G3761" s="40"/>
      <c r="H3761" s="14"/>
      <c r="I3761" s="17"/>
      <c r="J3761" s="10"/>
      <c r="M3761" s="39"/>
      <c r="O3761" s="39"/>
      <c r="Q3761" s="39"/>
      <c r="R3761" s="28"/>
      <c r="S3761" s="28"/>
      <c r="T3761" s="28"/>
      <c r="U3761" s="4"/>
      <c r="V3761" s="3"/>
      <c r="W3761" s="3"/>
    </row>
    <row r="3762" spans="1:23" s="5" customFormat="1">
      <c r="A3762" s="6"/>
      <c r="B3762" s="33"/>
      <c r="C3762" s="35"/>
      <c r="E3762" s="39"/>
      <c r="G3762" s="40"/>
      <c r="H3762" s="14"/>
      <c r="I3762" s="17"/>
      <c r="J3762" s="10"/>
      <c r="M3762" s="39"/>
      <c r="O3762" s="39"/>
      <c r="Q3762" s="39"/>
      <c r="R3762" s="28"/>
      <c r="S3762" s="29"/>
      <c r="T3762" s="28"/>
      <c r="U3762" s="4"/>
      <c r="V3762" s="3"/>
      <c r="W3762" s="3"/>
    </row>
    <row r="3763" spans="1:23" s="5" customFormat="1">
      <c r="A3763" s="6"/>
      <c r="B3763" s="33"/>
      <c r="C3763" s="35"/>
      <c r="E3763" s="39"/>
      <c r="G3763" s="40"/>
      <c r="H3763" s="14"/>
      <c r="I3763" s="17"/>
      <c r="J3763" s="10"/>
      <c r="M3763" s="39"/>
      <c r="O3763" s="39"/>
      <c r="Q3763" s="39"/>
      <c r="R3763" s="28"/>
      <c r="S3763" s="28"/>
      <c r="T3763" s="28"/>
      <c r="U3763" s="4"/>
      <c r="V3763" s="3"/>
      <c r="W3763" s="3"/>
    </row>
    <row r="3764" spans="1:23" s="5" customFormat="1">
      <c r="A3764" s="6"/>
      <c r="B3764" s="33"/>
      <c r="C3764" s="35"/>
      <c r="E3764" s="39"/>
      <c r="G3764" s="40"/>
      <c r="H3764" s="14"/>
      <c r="I3764" s="17"/>
      <c r="J3764" s="10"/>
      <c r="M3764" s="39"/>
      <c r="O3764" s="39"/>
      <c r="Q3764" s="39"/>
      <c r="R3764" s="28"/>
      <c r="S3764" s="29"/>
      <c r="T3764" s="28"/>
      <c r="U3764" s="4"/>
      <c r="V3764" s="3"/>
      <c r="W3764" s="3"/>
    </row>
    <row r="3765" spans="1:23" s="5" customFormat="1">
      <c r="A3765" s="20"/>
      <c r="B3765" s="33"/>
      <c r="C3765" s="35"/>
      <c r="D3765" s="1"/>
      <c r="E3765" s="39"/>
      <c r="F3765" s="1"/>
      <c r="G3765" s="40"/>
      <c r="H3765" s="12"/>
      <c r="I3765" s="9"/>
      <c r="J3765" s="12"/>
      <c r="L3765" s="1"/>
      <c r="M3765" s="39"/>
      <c r="N3765" s="1"/>
      <c r="O3765" s="39"/>
      <c r="P3765" s="1"/>
      <c r="Q3765" s="39"/>
      <c r="R3765" s="28"/>
      <c r="S3765" s="29"/>
      <c r="T3765" s="28"/>
      <c r="U3765" s="4"/>
      <c r="V3765" s="3"/>
      <c r="W3765" s="3"/>
    </row>
    <row r="3766" spans="1:23" s="5" customFormat="1">
      <c r="A3766" s="20"/>
      <c r="B3766" s="33"/>
      <c r="C3766" s="35"/>
      <c r="D3766" s="1"/>
      <c r="E3766" s="39"/>
      <c r="F3766" s="1"/>
      <c r="G3766" s="40"/>
      <c r="H3766" s="12"/>
      <c r="I3766" s="9"/>
      <c r="J3766" s="12"/>
      <c r="L3766" s="1"/>
      <c r="M3766" s="39"/>
      <c r="N3766" s="1"/>
      <c r="O3766" s="39"/>
      <c r="P3766" s="1"/>
      <c r="Q3766" s="39"/>
      <c r="R3766" s="28"/>
      <c r="S3766" s="28"/>
      <c r="T3766" s="28"/>
      <c r="U3766" s="4"/>
      <c r="V3766" s="3"/>
      <c r="W3766" s="3"/>
    </row>
    <row r="3767" spans="1:23" s="5" customFormat="1">
      <c r="A3767" s="6"/>
      <c r="B3767" s="33"/>
      <c r="C3767" s="35"/>
      <c r="E3767" s="39"/>
      <c r="G3767" s="40"/>
      <c r="H3767" s="14"/>
      <c r="I3767" s="17"/>
      <c r="J3767" s="10"/>
      <c r="M3767" s="39"/>
      <c r="O3767" s="39"/>
      <c r="Q3767" s="39"/>
      <c r="R3767" s="28"/>
      <c r="S3767" s="28"/>
      <c r="T3767" s="28"/>
      <c r="U3767" s="4"/>
      <c r="V3767" s="3"/>
      <c r="W3767" s="3"/>
    </row>
    <row r="3768" spans="1:23" s="5" customFormat="1">
      <c r="A3768" s="6"/>
      <c r="B3768" s="33"/>
      <c r="C3768" s="35"/>
      <c r="E3768" s="39"/>
      <c r="G3768" s="40"/>
      <c r="H3768" s="14"/>
      <c r="I3768" s="17"/>
      <c r="J3768" s="10"/>
      <c r="M3768" s="39"/>
      <c r="O3768" s="39"/>
      <c r="Q3768" s="39"/>
      <c r="R3768" s="28"/>
      <c r="S3768" s="28"/>
      <c r="T3768" s="28"/>
      <c r="U3768" s="4"/>
      <c r="V3768" s="3"/>
      <c r="W3768" s="3"/>
    </row>
    <row r="3769" spans="1:23" s="5" customFormat="1">
      <c r="A3769" s="6"/>
      <c r="B3769" s="33"/>
      <c r="C3769" s="35"/>
      <c r="E3769" s="39"/>
      <c r="G3769" s="40"/>
      <c r="H3769" s="14"/>
      <c r="I3769" s="17"/>
      <c r="J3769" s="10"/>
      <c r="M3769" s="39"/>
      <c r="O3769" s="39"/>
      <c r="Q3769" s="39"/>
      <c r="R3769" s="28"/>
      <c r="S3769" s="28"/>
      <c r="T3769" s="28"/>
      <c r="U3769" s="4"/>
      <c r="V3769" s="3"/>
      <c r="W3769" s="3"/>
    </row>
    <row r="3770" spans="1:23" s="5" customFormat="1">
      <c r="A3770" s="6"/>
      <c r="B3770" s="33"/>
      <c r="C3770" s="35"/>
      <c r="E3770" s="39"/>
      <c r="G3770" s="40"/>
      <c r="H3770" s="15"/>
      <c r="I3770" s="17"/>
      <c r="J3770" s="10"/>
      <c r="M3770" s="39"/>
      <c r="O3770" s="39"/>
      <c r="Q3770" s="39"/>
      <c r="R3770" s="28"/>
      <c r="S3770" s="28"/>
      <c r="T3770" s="28"/>
      <c r="U3770" s="4"/>
      <c r="V3770" s="3"/>
      <c r="W3770" s="3"/>
    </row>
    <row r="3771" spans="1:23" s="5" customFormat="1">
      <c r="A3771" s="6"/>
      <c r="B3771" s="33"/>
      <c r="C3771" s="35"/>
      <c r="E3771" s="39"/>
      <c r="G3771" s="40"/>
      <c r="H3771" s="15"/>
      <c r="I3771" s="17"/>
      <c r="J3771" s="10"/>
      <c r="K3771" s="1"/>
      <c r="M3771" s="39"/>
      <c r="O3771" s="39"/>
      <c r="Q3771" s="39"/>
      <c r="R3771" s="29"/>
      <c r="S3771" s="29"/>
      <c r="T3771" s="28"/>
      <c r="U3771" s="4"/>
      <c r="V3771" s="3"/>
      <c r="W3771" s="3"/>
    </row>
    <row r="3772" spans="1:23" s="5" customFormat="1">
      <c r="A3772" s="6"/>
      <c r="B3772" s="33"/>
      <c r="C3772" s="35"/>
      <c r="E3772" s="39"/>
      <c r="G3772" s="40"/>
      <c r="H3772" s="14"/>
      <c r="I3772" s="17"/>
      <c r="J3772" s="10"/>
      <c r="M3772" s="39"/>
      <c r="O3772" s="39"/>
      <c r="Q3772" s="39"/>
      <c r="R3772" s="28"/>
      <c r="S3772" s="28"/>
      <c r="T3772" s="28"/>
      <c r="U3772" s="4"/>
      <c r="V3772" s="3"/>
      <c r="W3772" s="3"/>
    </row>
    <row r="3773" spans="1:23" s="5" customFormat="1">
      <c r="A3773" s="6"/>
      <c r="B3773" s="33"/>
      <c r="C3773" s="35"/>
      <c r="E3773" s="39"/>
      <c r="G3773" s="40"/>
      <c r="H3773" s="15"/>
      <c r="I3773" s="17"/>
      <c r="J3773" s="10"/>
      <c r="M3773" s="39"/>
      <c r="O3773" s="39"/>
      <c r="Q3773" s="39"/>
      <c r="R3773" s="28"/>
      <c r="S3773" s="28"/>
      <c r="T3773" s="28"/>
      <c r="U3773" s="4"/>
      <c r="V3773" s="3"/>
      <c r="W3773" s="3"/>
    </row>
    <row r="3774" spans="1:23" s="5" customFormat="1">
      <c r="A3774" s="6"/>
      <c r="B3774" s="33"/>
      <c r="C3774" s="35"/>
      <c r="E3774" s="39"/>
      <c r="G3774" s="40"/>
      <c r="H3774" s="15"/>
      <c r="I3774" s="17"/>
      <c r="J3774" s="10"/>
      <c r="M3774" s="39"/>
      <c r="O3774" s="39"/>
      <c r="Q3774" s="39"/>
      <c r="R3774" s="28"/>
      <c r="S3774" s="28"/>
      <c r="T3774" s="28"/>
      <c r="U3774" s="4"/>
      <c r="V3774" s="3"/>
      <c r="W3774" s="3"/>
    </row>
    <row r="3775" spans="1:23" s="5" customFormat="1">
      <c r="A3775" s="6"/>
      <c r="B3775" s="33"/>
      <c r="C3775" s="35"/>
      <c r="E3775" s="39"/>
      <c r="G3775" s="40"/>
      <c r="H3775" s="15"/>
      <c r="I3775" s="17"/>
      <c r="J3775" s="10"/>
      <c r="M3775" s="39"/>
      <c r="O3775" s="39"/>
      <c r="Q3775" s="39"/>
      <c r="R3775" s="28"/>
      <c r="S3775" s="28"/>
      <c r="T3775" s="28"/>
      <c r="U3775" s="4"/>
      <c r="V3775" s="3"/>
      <c r="W3775" s="3"/>
    </row>
    <row r="3776" spans="1:23" s="5" customFormat="1">
      <c r="A3776" s="6"/>
      <c r="B3776" s="33"/>
      <c r="C3776" s="35"/>
      <c r="E3776" s="39"/>
      <c r="G3776" s="40"/>
      <c r="H3776" s="14"/>
      <c r="I3776" s="17"/>
      <c r="J3776" s="10"/>
      <c r="M3776" s="39"/>
      <c r="O3776" s="39"/>
      <c r="Q3776" s="39"/>
      <c r="R3776" s="28"/>
      <c r="S3776" s="28"/>
      <c r="T3776" s="28"/>
      <c r="U3776" s="4"/>
      <c r="V3776" s="3"/>
      <c r="W3776" s="3"/>
    </row>
    <row r="3777" spans="1:23" s="5" customFormat="1">
      <c r="A3777" s="6"/>
      <c r="B3777" s="33"/>
      <c r="C3777" s="35"/>
      <c r="E3777" s="39"/>
      <c r="G3777" s="40"/>
      <c r="H3777" s="15"/>
      <c r="I3777" s="17"/>
      <c r="J3777" s="10"/>
      <c r="M3777" s="39"/>
      <c r="O3777" s="39"/>
      <c r="Q3777" s="39"/>
      <c r="R3777" s="28"/>
      <c r="S3777" s="28"/>
      <c r="T3777" s="28"/>
      <c r="U3777" s="4"/>
      <c r="V3777" s="3"/>
      <c r="W3777" s="3"/>
    </row>
    <row r="3778" spans="1:23" s="5" customFormat="1">
      <c r="A3778" s="6"/>
      <c r="B3778" s="33"/>
      <c r="C3778" s="35"/>
      <c r="E3778" s="39"/>
      <c r="G3778" s="40"/>
      <c r="H3778" s="14"/>
      <c r="I3778" s="17"/>
      <c r="J3778" s="10"/>
      <c r="M3778" s="39"/>
      <c r="O3778" s="39"/>
      <c r="Q3778" s="39"/>
      <c r="R3778" s="28"/>
      <c r="S3778" s="28"/>
      <c r="T3778" s="28"/>
      <c r="U3778" s="4"/>
      <c r="V3778" s="3"/>
      <c r="W3778" s="3"/>
    </row>
    <row r="3779" spans="1:23" s="5" customFormat="1">
      <c r="A3779" s="6"/>
      <c r="B3779" s="33"/>
      <c r="C3779" s="35"/>
      <c r="E3779" s="39"/>
      <c r="G3779" s="40"/>
      <c r="H3779" s="15"/>
      <c r="I3779" s="17"/>
      <c r="J3779" s="10"/>
      <c r="M3779" s="39"/>
      <c r="O3779" s="39"/>
      <c r="Q3779" s="39"/>
      <c r="R3779" s="28"/>
      <c r="S3779" s="28"/>
      <c r="T3779" s="28"/>
      <c r="U3779" s="4"/>
      <c r="V3779" s="3"/>
      <c r="W3779" s="3"/>
    </row>
    <row r="3780" spans="1:23" s="5" customFormat="1">
      <c r="A3780" s="6"/>
      <c r="B3780" s="33"/>
      <c r="C3780" s="35"/>
      <c r="E3780" s="39"/>
      <c r="G3780" s="40"/>
      <c r="H3780" s="15"/>
      <c r="I3780" s="17"/>
      <c r="J3780" s="10"/>
      <c r="M3780" s="39"/>
      <c r="O3780" s="39"/>
      <c r="Q3780" s="39"/>
      <c r="R3780" s="28"/>
      <c r="S3780" s="28"/>
      <c r="T3780" s="28"/>
      <c r="U3780" s="4"/>
      <c r="V3780" s="3"/>
      <c r="W3780" s="3"/>
    </row>
    <row r="3781" spans="1:23" s="5" customFormat="1">
      <c r="A3781" s="6"/>
      <c r="B3781" s="33"/>
      <c r="C3781" s="35"/>
      <c r="E3781" s="39"/>
      <c r="G3781" s="40"/>
      <c r="H3781" s="15"/>
      <c r="I3781" s="17"/>
      <c r="J3781" s="10"/>
      <c r="M3781" s="39"/>
      <c r="O3781" s="39"/>
      <c r="Q3781" s="39"/>
      <c r="R3781" s="28"/>
      <c r="S3781" s="28"/>
      <c r="T3781" s="28"/>
      <c r="U3781" s="4"/>
      <c r="V3781" s="3"/>
      <c r="W3781" s="3"/>
    </row>
    <row r="3782" spans="1:23" s="5" customFormat="1">
      <c r="A3782" s="6"/>
      <c r="B3782" s="33"/>
      <c r="C3782" s="35"/>
      <c r="E3782" s="39"/>
      <c r="G3782" s="40"/>
      <c r="H3782" s="15"/>
      <c r="I3782" s="17"/>
      <c r="J3782" s="10"/>
      <c r="M3782" s="39"/>
      <c r="O3782" s="39"/>
      <c r="Q3782" s="39"/>
      <c r="R3782" s="28"/>
      <c r="S3782" s="28"/>
      <c r="T3782" s="28"/>
      <c r="U3782" s="4"/>
      <c r="V3782" s="3"/>
      <c r="W3782" s="3"/>
    </row>
    <row r="3783" spans="1:23" s="5" customFormat="1">
      <c r="A3783" s="6"/>
      <c r="B3783" s="33"/>
      <c r="C3783" s="35"/>
      <c r="E3783" s="39"/>
      <c r="G3783" s="40"/>
      <c r="H3783" s="15"/>
      <c r="I3783" s="17"/>
      <c r="J3783" s="10"/>
      <c r="M3783" s="39"/>
      <c r="O3783" s="39"/>
      <c r="Q3783" s="39"/>
      <c r="R3783" s="28"/>
      <c r="S3783" s="28"/>
      <c r="T3783" s="28"/>
      <c r="U3783" s="4"/>
      <c r="V3783" s="3"/>
      <c r="W3783" s="3"/>
    </row>
    <row r="3784" spans="1:23" s="5" customFormat="1">
      <c r="A3784" s="6"/>
      <c r="B3784" s="33"/>
      <c r="C3784" s="35"/>
      <c r="E3784" s="39"/>
      <c r="G3784" s="40"/>
      <c r="H3784" s="15"/>
      <c r="I3784" s="17"/>
      <c r="J3784" s="10"/>
      <c r="M3784" s="39"/>
      <c r="O3784" s="39"/>
      <c r="Q3784" s="39"/>
      <c r="R3784" s="28"/>
      <c r="S3784" s="28"/>
      <c r="T3784" s="28"/>
      <c r="U3784" s="4"/>
      <c r="V3784" s="3"/>
      <c r="W3784" s="3"/>
    </row>
    <row r="3785" spans="1:23" s="5" customFormat="1">
      <c r="A3785" s="6"/>
      <c r="B3785" s="33"/>
      <c r="C3785" s="35"/>
      <c r="E3785" s="39"/>
      <c r="G3785" s="40"/>
      <c r="H3785" s="14"/>
      <c r="I3785" s="17"/>
      <c r="J3785" s="10"/>
      <c r="M3785" s="39"/>
      <c r="O3785" s="39"/>
      <c r="Q3785" s="39"/>
      <c r="R3785" s="28"/>
      <c r="S3785" s="28"/>
      <c r="T3785" s="28"/>
      <c r="U3785" s="4"/>
      <c r="V3785" s="3"/>
      <c r="W3785" s="3"/>
    </row>
    <row r="3786" spans="1:23" s="5" customFormat="1">
      <c r="A3786" s="20"/>
      <c r="B3786" s="33"/>
      <c r="C3786" s="35"/>
      <c r="E3786" s="39"/>
      <c r="F3786" s="1"/>
      <c r="G3786" s="40"/>
      <c r="H3786" s="12"/>
      <c r="I3786" s="9"/>
      <c r="J3786" s="12"/>
      <c r="M3786" s="39"/>
      <c r="O3786" s="39"/>
      <c r="Q3786" s="39"/>
      <c r="R3786" s="29"/>
      <c r="S3786" s="28"/>
      <c r="T3786" s="28"/>
      <c r="U3786" s="4"/>
      <c r="V3786" s="3"/>
      <c r="W3786" s="3"/>
    </row>
    <row r="3787" spans="1:23" s="5" customFormat="1">
      <c r="A3787" s="20"/>
      <c r="B3787" s="33"/>
      <c r="C3787" s="35"/>
      <c r="E3787" s="39"/>
      <c r="F3787" s="1"/>
      <c r="G3787" s="40"/>
      <c r="H3787" s="12"/>
      <c r="I3787" s="9"/>
      <c r="J3787" s="12"/>
      <c r="M3787" s="39"/>
      <c r="O3787" s="39"/>
      <c r="Q3787" s="39"/>
      <c r="R3787" s="29"/>
      <c r="S3787" s="28"/>
      <c r="T3787" s="28"/>
      <c r="U3787" s="4"/>
      <c r="V3787" s="3"/>
      <c r="W3787" s="3"/>
    </row>
    <row r="3788" spans="1:23" s="5" customFormat="1">
      <c r="A3788" s="6"/>
      <c r="B3788" s="33"/>
      <c r="C3788" s="35"/>
      <c r="E3788" s="39"/>
      <c r="G3788" s="40"/>
      <c r="H3788" s="15"/>
      <c r="I3788" s="17"/>
      <c r="J3788" s="10"/>
      <c r="M3788" s="39"/>
      <c r="O3788" s="39"/>
      <c r="Q3788" s="39"/>
      <c r="R3788" s="28"/>
      <c r="S3788" s="28"/>
      <c r="T3788" s="28"/>
      <c r="U3788" s="4"/>
      <c r="V3788" s="3"/>
      <c r="W3788" s="3"/>
    </row>
    <row r="3789" spans="1:23" s="5" customFormat="1">
      <c r="A3789" s="6"/>
      <c r="B3789" s="33"/>
      <c r="C3789" s="35"/>
      <c r="E3789" s="39"/>
      <c r="G3789" s="40"/>
      <c r="H3789" s="15"/>
      <c r="I3789" s="17"/>
      <c r="J3789" s="10"/>
      <c r="M3789" s="39"/>
      <c r="O3789" s="39"/>
      <c r="Q3789" s="39"/>
      <c r="R3789" s="28"/>
      <c r="S3789" s="28"/>
      <c r="T3789" s="28"/>
      <c r="U3789" s="4"/>
      <c r="V3789" s="3"/>
      <c r="W3789" s="3"/>
    </row>
    <row r="3790" spans="1:23" s="5" customFormat="1">
      <c r="A3790" s="6"/>
      <c r="B3790" s="33"/>
      <c r="C3790" s="35"/>
      <c r="E3790" s="39"/>
      <c r="G3790" s="40"/>
      <c r="H3790" s="14"/>
      <c r="I3790" s="17"/>
      <c r="J3790" s="10"/>
      <c r="M3790" s="39"/>
      <c r="O3790" s="39"/>
      <c r="Q3790" s="39"/>
      <c r="R3790" s="28"/>
      <c r="S3790" s="28"/>
      <c r="T3790" s="28"/>
      <c r="U3790" s="4"/>
      <c r="V3790" s="3"/>
      <c r="W3790" s="3"/>
    </row>
    <row r="3791" spans="1:23" s="5" customFormat="1">
      <c r="A3791" s="6"/>
      <c r="B3791" s="33"/>
      <c r="C3791" s="35"/>
      <c r="E3791" s="39"/>
      <c r="G3791" s="40"/>
      <c r="H3791" s="15"/>
      <c r="I3791" s="17"/>
      <c r="J3791" s="10"/>
      <c r="M3791" s="39"/>
      <c r="O3791" s="39"/>
      <c r="Q3791" s="39"/>
      <c r="R3791" s="28"/>
      <c r="S3791" s="28"/>
      <c r="T3791" s="28"/>
      <c r="U3791" s="4"/>
      <c r="V3791" s="3"/>
      <c r="W3791" s="3"/>
    </row>
    <row r="3792" spans="1:23" s="5" customFormat="1">
      <c r="A3792" s="6"/>
      <c r="B3792" s="33"/>
      <c r="C3792" s="35"/>
      <c r="E3792" s="39"/>
      <c r="G3792" s="40"/>
      <c r="H3792" s="15"/>
      <c r="I3792" s="17"/>
      <c r="J3792" s="10"/>
      <c r="M3792" s="39"/>
      <c r="O3792" s="39"/>
      <c r="Q3792" s="39"/>
      <c r="R3792" s="28"/>
      <c r="S3792" s="28"/>
      <c r="T3792" s="28"/>
      <c r="U3792" s="4"/>
      <c r="V3792" s="3"/>
      <c r="W3792" s="3"/>
    </row>
    <row r="3793" spans="1:23" s="5" customFormat="1">
      <c r="A3793" s="6"/>
      <c r="B3793" s="33"/>
      <c r="C3793" s="35"/>
      <c r="E3793" s="39"/>
      <c r="G3793" s="40"/>
      <c r="H3793" s="15"/>
      <c r="I3793" s="17"/>
      <c r="J3793" s="10"/>
      <c r="M3793" s="39"/>
      <c r="O3793" s="39"/>
      <c r="Q3793" s="39"/>
      <c r="R3793" s="28"/>
      <c r="S3793" s="28"/>
      <c r="T3793" s="28"/>
      <c r="U3793" s="4"/>
      <c r="V3793" s="3"/>
      <c r="W3793" s="3"/>
    </row>
    <row r="3794" spans="1:23" s="5" customFormat="1">
      <c r="A3794" s="6"/>
      <c r="B3794" s="33"/>
      <c r="C3794" s="35"/>
      <c r="E3794" s="39"/>
      <c r="G3794" s="40"/>
      <c r="H3794" s="15"/>
      <c r="I3794" s="17"/>
      <c r="J3794" s="10"/>
      <c r="M3794" s="39"/>
      <c r="O3794" s="39"/>
      <c r="Q3794" s="39"/>
      <c r="R3794" s="28"/>
      <c r="S3794" s="28"/>
      <c r="T3794" s="28"/>
      <c r="U3794" s="4"/>
      <c r="V3794" s="3"/>
      <c r="W3794" s="3"/>
    </row>
    <row r="3795" spans="1:23" s="5" customFormat="1">
      <c r="A3795" s="6"/>
      <c r="B3795" s="33"/>
      <c r="C3795" s="35"/>
      <c r="E3795" s="39"/>
      <c r="G3795" s="40"/>
      <c r="H3795" s="15"/>
      <c r="I3795" s="17"/>
      <c r="J3795" s="10"/>
      <c r="M3795" s="39"/>
      <c r="O3795" s="39"/>
      <c r="Q3795" s="39"/>
      <c r="R3795" s="28"/>
      <c r="S3795" s="28"/>
      <c r="T3795" s="28"/>
      <c r="U3795" s="4"/>
      <c r="V3795" s="3"/>
      <c r="W3795" s="3"/>
    </row>
    <row r="3796" spans="1:23" s="5" customFormat="1">
      <c r="A3796" s="6"/>
      <c r="B3796" s="33"/>
      <c r="C3796" s="35"/>
      <c r="E3796" s="39"/>
      <c r="G3796" s="40"/>
      <c r="H3796" s="15"/>
      <c r="I3796" s="17"/>
      <c r="J3796" s="10"/>
      <c r="M3796" s="39"/>
      <c r="O3796" s="39"/>
      <c r="Q3796" s="39"/>
      <c r="R3796" s="28"/>
      <c r="S3796" s="28"/>
      <c r="T3796" s="28"/>
      <c r="U3796" s="4"/>
      <c r="V3796" s="3"/>
      <c r="W3796" s="3"/>
    </row>
    <row r="3797" spans="1:23" s="5" customFormat="1">
      <c r="A3797" s="6"/>
      <c r="B3797" s="33"/>
      <c r="C3797" s="35"/>
      <c r="E3797" s="39"/>
      <c r="G3797" s="40"/>
      <c r="H3797" s="14"/>
      <c r="I3797" s="17"/>
      <c r="J3797" s="10"/>
      <c r="M3797" s="39"/>
      <c r="O3797" s="39"/>
      <c r="Q3797" s="39"/>
      <c r="R3797" s="28"/>
      <c r="S3797" s="28"/>
      <c r="T3797" s="28"/>
      <c r="U3797" s="4"/>
      <c r="V3797" s="3"/>
      <c r="W3797" s="3"/>
    </row>
    <row r="3798" spans="1:23" s="5" customFormat="1">
      <c r="A3798" s="6"/>
      <c r="B3798" s="33"/>
      <c r="C3798" s="35"/>
      <c r="E3798" s="39"/>
      <c r="G3798" s="40"/>
      <c r="H3798" s="15"/>
      <c r="I3798" s="17"/>
      <c r="J3798" s="10"/>
      <c r="M3798" s="39"/>
      <c r="O3798" s="39"/>
      <c r="Q3798" s="39"/>
      <c r="R3798" s="28"/>
      <c r="S3798" s="28"/>
      <c r="T3798" s="28"/>
      <c r="U3798" s="4"/>
      <c r="V3798" s="3"/>
      <c r="W3798" s="3"/>
    </row>
    <row r="3799" spans="1:23" s="5" customFormat="1">
      <c r="A3799" s="6"/>
      <c r="B3799" s="33"/>
      <c r="C3799" s="35"/>
      <c r="E3799" s="39"/>
      <c r="G3799" s="40"/>
      <c r="H3799" s="15"/>
      <c r="I3799" s="17"/>
      <c r="J3799" s="10"/>
      <c r="M3799" s="39"/>
      <c r="O3799" s="39"/>
      <c r="Q3799" s="39"/>
      <c r="R3799" s="28"/>
      <c r="S3799" s="28"/>
      <c r="T3799" s="28"/>
      <c r="U3799" s="4"/>
      <c r="V3799" s="3"/>
      <c r="W3799" s="3"/>
    </row>
    <row r="3800" spans="1:23" s="5" customFormat="1">
      <c r="A3800" s="6"/>
      <c r="B3800" s="33"/>
      <c r="C3800" s="35"/>
      <c r="E3800" s="39"/>
      <c r="G3800" s="40"/>
      <c r="H3800" s="15"/>
      <c r="I3800" s="17"/>
      <c r="J3800" s="10"/>
      <c r="M3800" s="39"/>
      <c r="O3800" s="39"/>
      <c r="Q3800" s="39"/>
      <c r="R3800" s="28"/>
      <c r="S3800" s="28"/>
      <c r="T3800" s="28"/>
      <c r="U3800" s="4"/>
      <c r="V3800" s="3"/>
      <c r="W3800" s="3"/>
    </row>
    <row r="3801" spans="1:23" s="5" customFormat="1">
      <c r="A3801" s="6"/>
      <c r="B3801" s="33"/>
      <c r="C3801" s="35"/>
      <c r="E3801" s="39"/>
      <c r="G3801" s="40"/>
      <c r="H3801" s="15"/>
      <c r="I3801" s="17"/>
      <c r="J3801" s="10"/>
      <c r="M3801" s="39"/>
      <c r="O3801" s="39"/>
      <c r="Q3801" s="39"/>
      <c r="R3801" s="28"/>
      <c r="S3801" s="28"/>
      <c r="T3801" s="28"/>
      <c r="U3801" s="4"/>
      <c r="V3801" s="3"/>
      <c r="W3801" s="3"/>
    </row>
    <row r="3802" spans="1:23" s="5" customFormat="1">
      <c r="A3802" s="6"/>
      <c r="B3802" s="33"/>
      <c r="C3802" s="35"/>
      <c r="E3802" s="39"/>
      <c r="G3802" s="40"/>
      <c r="H3802" s="15"/>
      <c r="I3802" s="17"/>
      <c r="J3802" s="10"/>
      <c r="M3802" s="39"/>
      <c r="O3802" s="39"/>
      <c r="Q3802" s="39"/>
      <c r="R3802" s="28"/>
      <c r="S3802" s="28"/>
      <c r="T3802" s="28"/>
      <c r="U3802" s="4"/>
      <c r="V3802" s="3"/>
      <c r="W3802" s="3"/>
    </row>
    <row r="3803" spans="1:23" s="5" customFormat="1">
      <c r="A3803" s="6"/>
      <c r="B3803" s="33"/>
      <c r="C3803" s="35"/>
      <c r="E3803" s="39"/>
      <c r="G3803" s="40"/>
      <c r="H3803" s="14"/>
      <c r="I3803" s="17"/>
      <c r="J3803" s="10"/>
      <c r="M3803" s="39"/>
      <c r="O3803" s="39"/>
      <c r="Q3803" s="39"/>
      <c r="R3803" s="28"/>
      <c r="S3803" s="28"/>
      <c r="T3803" s="28"/>
      <c r="U3803" s="4"/>
      <c r="V3803" s="3"/>
      <c r="W3803" s="3"/>
    </row>
    <row r="3804" spans="1:23" s="5" customFormat="1">
      <c r="A3804" s="6"/>
      <c r="B3804" s="33"/>
      <c r="C3804" s="35"/>
      <c r="E3804" s="39"/>
      <c r="G3804" s="40"/>
      <c r="H3804" s="15"/>
      <c r="I3804" s="17"/>
      <c r="J3804" s="10"/>
      <c r="M3804" s="39"/>
      <c r="O3804" s="39"/>
      <c r="Q3804" s="39"/>
      <c r="R3804" s="28"/>
      <c r="S3804" s="28"/>
      <c r="T3804" s="28"/>
      <c r="U3804" s="4"/>
      <c r="V3804" s="3"/>
      <c r="W3804" s="3"/>
    </row>
    <row r="3805" spans="1:23" s="5" customFormat="1">
      <c r="A3805" s="6"/>
      <c r="B3805" s="33"/>
      <c r="C3805" s="35"/>
      <c r="E3805" s="39"/>
      <c r="G3805" s="40"/>
      <c r="H3805" s="14"/>
      <c r="I3805" s="17"/>
      <c r="J3805" s="10"/>
      <c r="M3805" s="39"/>
      <c r="O3805" s="39"/>
      <c r="Q3805" s="39"/>
      <c r="R3805" s="28"/>
      <c r="S3805" s="28"/>
      <c r="T3805" s="28"/>
      <c r="U3805" s="4"/>
      <c r="V3805" s="3"/>
      <c r="W3805" s="3"/>
    </row>
    <row r="3806" spans="1:23" s="5" customFormat="1">
      <c r="A3806" s="6"/>
      <c r="B3806" s="33"/>
      <c r="C3806" s="35"/>
      <c r="E3806" s="39"/>
      <c r="G3806" s="40"/>
      <c r="H3806" s="15"/>
      <c r="I3806" s="17"/>
      <c r="J3806" s="10"/>
      <c r="M3806" s="39"/>
      <c r="O3806" s="39"/>
      <c r="Q3806" s="39"/>
      <c r="R3806" s="28"/>
      <c r="S3806" s="28"/>
      <c r="T3806" s="28"/>
      <c r="U3806" s="4"/>
      <c r="V3806" s="3"/>
      <c r="W3806" s="3"/>
    </row>
    <row r="3807" spans="1:23" s="5" customFormat="1">
      <c r="A3807" s="6"/>
      <c r="B3807" s="33"/>
      <c r="C3807" s="35"/>
      <c r="E3807" s="39"/>
      <c r="G3807" s="40"/>
      <c r="H3807" s="15"/>
      <c r="I3807" s="17"/>
      <c r="J3807" s="10"/>
      <c r="M3807" s="39"/>
      <c r="O3807" s="39"/>
      <c r="Q3807" s="39"/>
      <c r="R3807" s="28"/>
      <c r="S3807" s="28"/>
      <c r="T3807" s="28"/>
      <c r="U3807" s="4"/>
      <c r="V3807" s="3"/>
      <c r="W3807" s="3"/>
    </row>
    <row r="3808" spans="1:23" s="5" customFormat="1">
      <c r="A3808" s="6"/>
      <c r="B3808" s="33"/>
      <c r="C3808" s="35"/>
      <c r="E3808" s="39"/>
      <c r="G3808" s="40"/>
      <c r="H3808" s="15"/>
      <c r="I3808" s="17"/>
      <c r="J3808" s="10"/>
      <c r="M3808" s="39"/>
      <c r="O3808" s="39"/>
      <c r="Q3808" s="39"/>
      <c r="R3808" s="28"/>
      <c r="S3808" s="28"/>
      <c r="T3808" s="28"/>
      <c r="U3808" s="4"/>
      <c r="V3808" s="3"/>
      <c r="W3808" s="3"/>
    </row>
    <row r="3809" spans="1:23" s="5" customFormat="1">
      <c r="A3809" s="6"/>
      <c r="B3809" s="33"/>
      <c r="C3809" s="35"/>
      <c r="E3809" s="39"/>
      <c r="G3809" s="40"/>
      <c r="H3809" s="15"/>
      <c r="I3809" s="17"/>
      <c r="J3809" s="10"/>
      <c r="M3809" s="39"/>
      <c r="O3809" s="39"/>
      <c r="Q3809" s="39"/>
      <c r="R3809" s="28"/>
      <c r="S3809" s="28"/>
      <c r="T3809" s="28"/>
      <c r="U3809" s="4"/>
      <c r="V3809" s="3"/>
      <c r="W3809" s="3"/>
    </row>
    <row r="3810" spans="1:23" s="5" customFormat="1">
      <c r="A3810" s="6"/>
      <c r="B3810" s="33"/>
      <c r="C3810" s="35"/>
      <c r="E3810" s="39"/>
      <c r="G3810" s="40"/>
      <c r="H3810" s="15"/>
      <c r="I3810" s="17"/>
      <c r="J3810" s="10"/>
      <c r="M3810" s="39"/>
      <c r="O3810" s="39"/>
      <c r="Q3810" s="39"/>
      <c r="R3810" s="28"/>
      <c r="S3810" s="28"/>
      <c r="T3810" s="28"/>
      <c r="U3810" s="4"/>
      <c r="V3810" s="3"/>
      <c r="W3810" s="3"/>
    </row>
    <row r="3811" spans="1:23" s="5" customFormat="1">
      <c r="A3811" s="6"/>
      <c r="B3811" s="33"/>
      <c r="C3811" s="35"/>
      <c r="E3811" s="39"/>
      <c r="G3811" s="40"/>
      <c r="H3811" s="15"/>
      <c r="I3811" s="17"/>
      <c r="J3811" s="10"/>
      <c r="M3811" s="39"/>
      <c r="O3811" s="39"/>
      <c r="Q3811" s="39"/>
      <c r="R3811" s="28"/>
      <c r="S3811" s="28"/>
      <c r="T3811" s="28"/>
      <c r="U3811" s="4"/>
      <c r="V3811" s="3"/>
      <c r="W3811" s="3"/>
    </row>
    <row r="3812" spans="1:23" s="5" customFormat="1">
      <c r="A3812" s="6"/>
      <c r="B3812" s="33"/>
      <c r="C3812" s="35"/>
      <c r="E3812" s="39"/>
      <c r="G3812" s="40"/>
      <c r="H3812" s="15"/>
      <c r="I3812" s="17"/>
      <c r="J3812" s="10"/>
      <c r="M3812" s="39"/>
      <c r="O3812" s="39"/>
      <c r="Q3812" s="39"/>
      <c r="R3812" s="28"/>
      <c r="S3812" s="28"/>
      <c r="T3812" s="28"/>
      <c r="U3812" s="4"/>
      <c r="V3812" s="3"/>
      <c r="W3812" s="3"/>
    </row>
    <row r="3813" spans="1:23" s="5" customFormat="1">
      <c r="A3813" s="6"/>
      <c r="B3813" s="33"/>
      <c r="C3813" s="35"/>
      <c r="E3813" s="39"/>
      <c r="G3813" s="40"/>
      <c r="H3813" s="15"/>
      <c r="I3813" s="17"/>
      <c r="J3813" s="10"/>
      <c r="M3813" s="39"/>
      <c r="O3813" s="39"/>
      <c r="Q3813" s="39"/>
      <c r="R3813" s="28"/>
      <c r="S3813" s="28"/>
      <c r="T3813" s="28"/>
      <c r="U3813" s="4"/>
      <c r="V3813" s="3"/>
      <c r="W3813" s="3"/>
    </row>
    <row r="3814" spans="1:23" s="5" customFormat="1">
      <c r="A3814" s="6"/>
      <c r="B3814" s="33"/>
      <c r="C3814" s="35"/>
      <c r="E3814" s="39"/>
      <c r="G3814" s="40"/>
      <c r="H3814" s="15"/>
      <c r="I3814" s="17"/>
      <c r="J3814" s="10"/>
      <c r="M3814" s="39"/>
      <c r="O3814" s="39"/>
      <c r="Q3814" s="39"/>
      <c r="R3814" s="28"/>
      <c r="S3814" s="28"/>
      <c r="T3814" s="28"/>
      <c r="U3814" s="4"/>
      <c r="V3814" s="3"/>
      <c r="W3814" s="3"/>
    </row>
    <row r="3815" spans="1:23" s="5" customFormat="1">
      <c r="A3815" s="6"/>
      <c r="B3815" s="33"/>
      <c r="C3815" s="35"/>
      <c r="E3815" s="39"/>
      <c r="G3815" s="40"/>
      <c r="H3815" s="14"/>
      <c r="I3815" s="17"/>
      <c r="J3815" s="10"/>
      <c r="M3815" s="39"/>
      <c r="O3815" s="39"/>
      <c r="Q3815" s="39"/>
      <c r="R3815" s="28"/>
      <c r="S3815" s="28"/>
      <c r="T3815" s="28"/>
      <c r="U3815" s="4"/>
      <c r="V3815" s="3"/>
      <c r="W3815" s="3"/>
    </row>
    <row r="3816" spans="1:23" s="5" customFormat="1">
      <c r="A3816" s="6"/>
      <c r="B3816" s="33"/>
      <c r="C3816" s="35"/>
      <c r="E3816" s="39"/>
      <c r="G3816" s="40"/>
      <c r="H3816" s="15"/>
      <c r="I3816" s="17"/>
      <c r="J3816" s="10"/>
      <c r="M3816" s="39"/>
      <c r="O3816" s="39"/>
      <c r="Q3816" s="39"/>
      <c r="R3816" s="28"/>
      <c r="S3816" s="28"/>
      <c r="T3816" s="28"/>
      <c r="U3816" s="4"/>
      <c r="V3816" s="3"/>
      <c r="W3816" s="3"/>
    </row>
    <row r="3817" spans="1:23" s="5" customFormat="1">
      <c r="A3817" s="6"/>
      <c r="B3817" s="33"/>
      <c r="C3817" s="35"/>
      <c r="E3817" s="39"/>
      <c r="G3817" s="40"/>
      <c r="H3817" s="15"/>
      <c r="I3817" s="17"/>
      <c r="J3817" s="10"/>
      <c r="M3817" s="39"/>
      <c r="O3817" s="39"/>
      <c r="Q3817" s="39"/>
      <c r="R3817" s="28"/>
      <c r="S3817" s="28"/>
      <c r="T3817" s="28"/>
      <c r="U3817" s="4"/>
      <c r="V3817" s="3"/>
      <c r="W3817" s="3"/>
    </row>
    <row r="3818" spans="1:23" s="5" customFormat="1">
      <c r="A3818" s="6"/>
      <c r="B3818" s="33"/>
      <c r="C3818" s="35"/>
      <c r="E3818" s="39"/>
      <c r="G3818" s="40"/>
      <c r="H3818" s="15"/>
      <c r="I3818" s="17"/>
      <c r="J3818" s="10"/>
      <c r="M3818" s="39"/>
      <c r="O3818" s="39"/>
      <c r="Q3818" s="39"/>
      <c r="R3818" s="28"/>
      <c r="S3818" s="28"/>
      <c r="T3818" s="28"/>
      <c r="U3818" s="4"/>
      <c r="V3818" s="3"/>
      <c r="W3818" s="3"/>
    </row>
    <row r="3819" spans="1:23" s="5" customFormat="1">
      <c r="A3819" s="6"/>
      <c r="B3819" s="33"/>
      <c r="C3819" s="35"/>
      <c r="E3819" s="39"/>
      <c r="G3819" s="40"/>
      <c r="H3819" s="15"/>
      <c r="I3819" s="17"/>
      <c r="J3819" s="10"/>
      <c r="M3819" s="39"/>
      <c r="O3819" s="39"/>
      <c r="Q3819" s="39"/>
      <c r="R3819" s="28"/>
      <c r="S3819" s="28"/>
      <c r="T3819" s="28"/>
      <c r="U3819" s="4"/>
      <c r="V3819" s="3"/>
      <c r="W3819" s="3"/>
    </row>
    <row r="3820" spans="1:23" s="5" customFormat="1">
      <c r="A3820" s="6"/>
      <c r="B3820" s="33"/>
      <c r="C3820" s="35"/>
      <c r="E3820" s="39"/>
      <c r="G3820" s="40"/>
      <c r="H3820" s="15"/>
      <c r="I3820" s="17"/>
      <c r="J3820" s="10"/>
      <c r="M3820" s="39"/>
      <c r="O3820" s="39"/>
      <c r="Q3820" s="39"/>
      <c r="R3820" s="28"/>
      <c r="S3820" s="28"/>
      <c r="T3820" s="28"/>
      <c r="U3820" s="4"/>
      <c r="V3820" s="3"/>
      <c r="W3820" s="3"/>
    </row>
    <row r="3821" spans="1:23" s="5" customFormat="1">
      <c r="A3821" s="6"/>
      <c r="B3821" s="33"/>
      <c r="C3821" s="35"/>
      <c r="E3821" s="39"/>
      <c r="G3821" s="40"/>
      <c r="H3821" s="15"/>
      <c r="I3821" s="17"/>
      <c r="J3821" s="10"/>
      <c r="M3821" s="39"/>
      <c r="O3821" s="39"/>
      <c r="Q3821" s="39"/>
      <c r="R3821" s="28"/>
      <c r="S3821" s="28"/>
      <c r="T3821" s="28"/>
      <c r="U3821" s="4"/>
      <c r="V3821" s="3"/>
      <c r="W3821" s="3"/>
    </row>
    <row r="3822" spans="1:23" s="5" customFormat="1">
      <c r="A3822" s="6"/>
      <c r="B3822" s="33"/>
      <c r="C3822" s="35"/>
      <c r="E3822" s="39"/>
      <c r="G3822" s="40"/>
      <c r="H3822" s="14"/>
      <c r="I3822" s="17"/>
      <c r="J3822" s="10"/>
      <c r="M3822" s="39"/>
      <c r="O3822" s="39"/>
      <c r="Q3822" s="39"/>
      <c r="R3822" s="28"/>
      <c r="S3822" s="28"/>
      <c r="T3822" s="28"/>
      <c r="U3822" s="4"/>
      <c r="V3822" s="3"/>
      <c r="W3822" s="3"/>
    </row>
    <row r="3823" spans="1:23" s="5" customFormat="1">
      <c r="A3823" s="6"/>
      <c r="B3823" s="33"/>
      <c r="C3823" s="35"/>
      <c r="E3823" s="39"/>
      <c r="G3823" s="40"/>
      <c r="H3823" s="14"/>
      <c r="I3823" s="17"/>
      <c r="J3823" s="10"/>
      <c r="M3823" s="39"/>
      <c r="O3823" s="39"/>
      <c r="Q3823" s="39"/>
      <c r="R3823" s="28"/>
      <c r="S3823" s="28"/>
      <c r="T3823" s="28"/>
      <c r="U3823" s="4"/>
      <c r="V3823" s="3"/>
      <c r="W3823" s="3"/>
    </row>
    <row r="3824" spans="1:23" s="5" customFormat="1">
      <c r="A3824" s="6"/>
      <c r="B3824" s="33"/>
      <c r="C3824" s="35"/>
      <c r="E3824" s="39"/>
      <c r="G3824" s="40"/>
      <c r="H3824" s="15"/>
      <c r="I3824" s="17"/>
      <c r="J3824" s="10"/>
      <c r="M3824" s="39"/>
      <c r="O3824" s="39"/>
      <c r="Q3824" s="39"/>
      <c r="R3824" s="28"/>
      <c r="S3824" s="28"/>
      <c r="T3824" s="28"/>
      <c r="U3824" s="4"/>
      <c r="V3824" s="3"/>
      <c r="W3824" s="3"/>
    </row>
    <row r="3825" spans="1:23" s="5" customFormat="1">
      <c r="A3825" s="6"/>
      <c r="B3825" s="33"/>
      <c r="C3825" s="35"/>
      <c r="E3825" s="39"/>
      <c r="G3825" s="40"/>
      <c r="H3825" s="15"/>
      <c r="I3825" s="17"/>
      <c r="J3825" s="10"/>
      <c r="M3825" s="39"/>
      <c r="O3825" s="39"/>
      <c r="Q3825" s="39"/>
      <c r="R3825" s="28"/>
      <c r="S3825" s="28"/>
      <c r="T3825" s="28"/>
      <c r="U3825" s="4"/>
      <c r="V3825" s="3"/>
      <c r="W3825" s="3"/>
    </row>
    <row r="3826" spans="1:23" s="5" customFormat="1">
      <c r="A3826" s="6"/>
      <c r="B3826" s="33"/>
      <c r="C3826" s="35"/>
      <c r="E3826" s="39"/>
      <c r="G3826" s="40"/>
      <c r="H3826" s="15"/>
      <c r="I3826" s="17"/>
      <c r="J3826" s="10"/>
      <c r="M3826" s="39"/>
      <c r="O3826" s="39"/>
      <c r="Q3826" s="39"/>
      <c r="R3826" s="28"/>
      <c r="S3826" s="29"/>
      <c r="T3826" s="28"/>
      <c r="U3826" s="4"/>
      <c r="V3826" s="3"/>
      <c r="W3826" s="3"/>
    </row>
    <row r="3827" spans="1:23" s="5" customFormat="1">
      <c r="A3827" s="6"/>
      <c r="B3827" s="33"/>
      <c r="C3827" s="35"/>
      <c r="E3827" s="39"/>
      <c r="G3827" s="40"/>
      <c r="H3827" s="15"/>
      <c r="I3827" s="17"/>
      <c r="J3827" s="10"/>
      <c r="M3827" s="39"/>
      <c r="O3827" s="39"/>
      <c r="Q3827" s="39"/>
      <c r="R3827" s="28"/>
      <c r="S3827" s="28"/>
      <c r="T3827" s="28"/>
      <c r="U3827" s="4"/>
      <c r="V3827" s="3"/>
      <c r="W3827" s="3"/>
    </row>
    <row r="3828" spans="1:23" s="5" customFormat="1">
      <c r="A3828" s="6"/>
      <c r="B3828" s="33"/>
      <c r="C3828" s="35"/>
      <c r="E3828" s="39"/>
      <c r="G3828" s="40"/>
      <c r="H3828" s="15"/>
      <c r="I3828" s="17"/>
      <c r="J3828" s="10"/>
      <c r="M3828" s="39"/>
      <c r="O3828" s="39"/>
      <c r="Q3828" s="39"/>
      <c r="R3828" s="28"/>
      <c r="S3828" s="28"/>
      <c r="T3828" s="28"/>
      <c r="U3828" s="4"/>
      <c r="V3828" s="3"/>
      <c r="W3828" s="3"/>
    </row>
    <row r="3829" spans="1:23" s="5" customFormat="1">
      <c r="A3829" s="6"/>
      <c r="B3829" s="33"/>
      <c r="C3829" s="35"/>
      <c r="E3829" s="39"/>
      <c r="G3829" s="40"/>
      <c r="H3829" s="15"/>
      <c r="I3829" s="17"/>
      <c r="J3829" s="10"/>
      <c r="M3829" s="39"/>
      <c r="O3829" s="39"/>
      <c r="Q3829" s="39"/>
      <c r="R3829" s="28"/>
      <c r="S3829" s="28"/>
      <c r="T3829" s="28"/>
      <c r="U3829" s="4"/>
      <c r="V3829" s="3"/>
      <c r="W3829" s="3"/>
    </row>
    <row r="3830" spans="1:23" s="5" customFormat="1">
      <c r="A3830" s="6"/>
      <c r="B3830" s="33"/>
      <c r="C3830" s="35"/>
      <c r="E3830" s="39"/>
      <c r="G3830" s="40"/>
      <c r="H3830" s="15"/>
      <c r="I3830" s="17"/>
      <c r="J3830" s="10"/>
      <c r="M3830" s="39"/>
      <c r="O3830" s="39"/>
      <c r="Q3830" s="39"/>
      <c r="R3830" s="28"/>
      <c r="S3830" s="28"/>
      <c r="T3830" s="28"/>
      <c r="U3830" s="4"/>
      <c r="V3830" s="3"/>
      <c r="W3830" s="3"/>
    </row>
    <row r="3831" spans="1:23" s="5" customFormat="1">
      <c r="A3831" s="20"/>
      <c r="B3831" s="33"/>
      <c r="C3831" s="35"/>
      <c r="E3831" s="39"/>
      <c r="F3831" s="1"/>
      <c r="G3831" s="40"/>
      <c r="H3831" s="12"/>
      <c r="I3831" s="9"/>
      <c r="J3831" s="12"/>
      <c r="M3831" s="39"/>
      <c r="O3831" s="39"/>
      <c r="Q3831" s="39"/>
      <c r="R3831" s="29"/>
      <c r="S3831" s="28"/>
      <c r="T3831" s="28"/>
      <c r="U3831" s="4"/>
      <c r="V3831" s="3"/>
      <c r="W3831" s="3"/>
    </row>
    <row r="3832" spans="1:23" s="5" customFormat="1">
      <c r="A3832" s="6"/>
      <c r="B3832" s="33"/>
      <c r="C3832" s="35"/>
      <c r="E3832" s="39"/>
      <c r="G3832" s="40"/>
      <c r="H3832" s="15"/>
      <c r="I3832" s="17"/>
      <c r="J3832" s="10"/>
      <c r="M3832" s="39"/>
      <c r="O3832" s="39"/>
      <c r="Q3832" s="39"/>
      <c r="R3832" s="28"/>
      <c r="S3832" s="28"/>
      <c r="T3832" s="28"/>
      <c r="U3832" s="4"/>
      <c r="V3832" s="3"/>
      <c r="W3832" s="3"/>
    </row>
    <row r="3833" spans="1:23" s="5" customFormat="1">
      <c r="A3833" s="6"/>
      <c r="B3833" s="33"/>
      <c r="C3833" s="35"/>
      <c r="E3833" s="39"/>
      <c r="G3833" s="40"/>
      <c r="H3833" s="15"/>
      <c r="I3833" s="17"/>
      <c r="J3833" s="10"/>
      <c r="M3833" s="39"/>
      <c r="O3833" s="39"/>
      <c r="Q3833" s="39"/>
      <c r="R3833" s="28"/>
      <c r="S3833" s="28"/>
      <c r="T3833" s="28"/>
      <c r="U3833" s="4"/>
      <c r="V3833" s="3"/>
      <c r="W3833" s="3"/>
    </row>
    <row r="3834" spans="1:23" s="5" customFormat="1">
      <c r="A3834" s="6"/>
      <c r="B3834" s="33"/>
      <c r="C3834" s="35"/>
      <c r="E3834" s="39"/>
      <c r="G3834" s="40"/>
      <c r="H3834" s="15"/>
      <c r="I3834" s="17"/>
      <c r="J3834" s="10"/>
      <c r="M3834" s="39"/>
      <c r="O3834" s="39"/>
      <c r="Q3834" s="39"/>
      <c r="R3834" s="28"/>
      <c r="S3834" s="28"/>
      <c r="T3834" s="28"/>
      <c r="U3834" s="4"/>
      <c r="V3834" s="3"/>
      <c r="W3834" s="3"/>
    </row>
    <row r="3835" spans="1:23" s="5" customFormat="1">
      <c r="A3835" s="6"/>
      <c r="B3835" s="33"/>
      <c r="C3835" s="35"/>
      <c r="E3835" s="39"/>
      <c r="G3835" s="40"/>
      <c r="H3835" s="14"/>
      <c r="I3835" s="17"/>
      <c r="J3835" s="10"/>
      <c r="M3835" s="39"/>
      <c r="O3835" s="39"/>
      <c r="Q3835" s="39"/>
      <c r="R3835" s="28"/>
      <c r="S3835" s="28"/>
      <c r="T3835" s="28"/>
      <c r="U3835" s="4"/>
      <c r="V3835" s="3"/>
      <c r="W3835" s="3"/>
    </row>
    <row r="3836" spans="1:23" s="5" customFormat="1">
      <c r="A3836" s="6"/>
      <c r="B3836" s="33"/>
      <c r="C3836" s="35"/>
      <c r="E3836" s="39"/>
      <c r="G3836" s="40"/>
      <c r="H3836" s="14"/>
      <c r="I3836" s="17"/>
      <c r="J3836" s="10"/>
      <c r="M3836" s="39"/>
      <c r="O3836" s="39"/>
      <c r="Q3836" s="39"/>
      <c r="R3836" s="28"/>
      <c r="S3836" s="28"/>
      <c r="T3836" s="28"/>
      <c r="U3836" s="4"/>
      <c r="V3836" s="3"/>
      <c r="W3836" s="3"/>
    </row>
    <row r="3837" spans="1:23" s="5" customFormat="1">
      <c r="A3837" s="6"/>
      <c r="B3837" s="33"/>
      <c r="C3837" s="35"/>
      <c r="E3837" s="39"/>
      <c r="G3837" s="40"/>
      <c r="H3837" s="15"/>
      <c r="I3837" s="17"/>
      <c r="J3837" s="10"/>
      <c r="M3837" s="39"/>
      <c r="O3837" s="39"/>
      <c r="Q3837" s="39"/>
      <c r="R3837" s="28"/>
      <c r="S3837" s="28"/>
      <c r="T3837" s="28"/>
      <c r="U3837" s="4"/>
      <c r="V3837" s="3"/>
      <c r="W3837" s="3"/>
    </row>
    <row r="3838" spans="1:23" s="5" customFormat="1">
      <c r="A3838" s="6"/>
      <c r="B3838" s="33"/>
      <c r="C3838" s="35"/>
      <c r="E3838" s="39"/>
      <c r="G3838" s="40"/>
      <c r="H3838" s="15"/>
      <c r="I3838" s="17"/>
      <c r="J3838" s="10"/>
      <c r="M3838" s="39"/>
      <c r="O3838" s="39"/>
      <c r="Q3838" s="39"/>
      <c r="R3838" s="28"/>
      <c r="S3838" s="28"/>
      <c r="T3838" s="28"/>
      <c r="U3838" s="4"/>
      <c r="V3838" s="3"/>
      <c r="W3838" s="3"/>
    </row>
    <row r="3839" spans="1:23" s="5" customFormat="1">
      <c r="A3839" s="6"/>
      <c r="B3839" s="33"/>
      <c r="C3839" s="35"/>
      <c r="E3839" s="39"/>
      <c r="G3839" s="40"/>
      <c r="H3839" s="15"/>
      <c r="I3839" s="17"/>
      <c r="J3839" s="10"/>
      <c r="M3839" s="39"/>
      <c r="O3839" s="39"/>
      <c r="Q3839" s="39"/>
      <c r="R3839" s="28"/>
      <c r="S3839" s="28"/>
      <c r="T3839" s="28"/>
      <c r="U3839" s="4"/>
      <c r="V3839" s="3"/>
      <c r="W3839" s="3"/>
    </row>
    <row r="3840" spans="1:23" s="5" customFormat="1">
      <c r="A3840" s="6"/>
      <c r="B3840" s="33"/>
      <c r="C3840" s="35"/>
      <c r="E3840" s="39"/>
      <c r="G3840" s="40"/>
      <c r="H3840" s="15"/>
      <c r="I3840" s="17"/>
      <c r="J3840" s="10"/>
      <c r="M3840" s="39"/>
      <c r="O3840" s="39"/>
      <c r="Q3840" s="39"/>
      <c r="R3840" s="28"/>
      <c r="S3840" s="28"/>
      <c r="T3840" s="28"/>
      <c r="U3840" s="4"/>
      <c r="V3840" s="3"/>
      <c r="W3840" s="3"/>
    </row>
    <row r="3841" spans="1:23" s="5" customFormat="1">
      <c r="A3841" s="6"/>
      <c r="B3841" s="33"/>
      <c r="C3841" s="35"/>
      <c r="E3841" s="39"/>
      <c r="G3841" s="40"/>
      <c r="H3841" s="15"/>
      <c r="I3841" s="17"/>
      <c r="J3841" s="10"/>
      <c r="M3841" s="39"/>
      <c r="O3841" s="39"/>
      <c r="Q3841" s="39"/>
      <c r="R3841" s="28"/>
      <c r="S3841" s="28"/>
      <c r="T3841" s="28"/>
      <c r="U3841" s="4"/>
      <c r="V3841" s="3"/>
      <c r="W3841" s="3"/>
    </row>
    <row r="3842" spans="1:23" s="5" customFormat="1">
      <c r="A3842" s="6"/>
      <c r="B3842" s="33"/>
      <c r="C3842" s="35"/>
      <c r="E3842" s="39"/>
      <c r="G3842" s="40"/>
      <c r="H3842" s="15"/>
      <c r="I3842" s="17"/>
      <c r="J3842" s="10"/>
      <c r="M3842" s="39"/>
      <c r="O3842" s="39"/>
      <c r="Q3842" s="39"/>
      <c r="R3842" s="28"/>
      <c r="S3842" s="28"/>
      <c r="T3842" s="28"/>
      <c r="U3842" s="4"/>
      <c r="V3842" s="3"/>
      <c r="W3842" s="3"/>
    </row>
    <row r="3843" spans="1:23" s="5" customFormat="1">
      <c r="A3843" s="6"/>
      <c r="B3843" s="33"/>
      <c r="C3843" s="35"/>
      <c r="E3843" s="39"/>
      <c r="G3843" s="40"/>
      <c r="H3843" s="14"/>
      <c r="I3843" s="17"/>
      <c r="J3843" s="10"/>
      <c r="M3843" s="39"/>
      <c r="O3843" s="39"/>
      <c r="Q3843" s="39"/>
      <c r="R3843" s="28"/>
      <c r="S3843" s="28"/>
      <c r="T3843" s="28"/>
      <c r="U3843" s="4"/>
      <c r="V3843" s="3"/>
      <c r="W3843" s="3"/>
    </row>
    <row r="3844" spans="1:23" s="5" customFormat="1">
      <c r="A3844" s="6"/>
      <c r="B3844" s="33"/>
      <c r="C3844" s="35"/>
      <c r="E3844" s="39"/>
      <c r="G3844" s="40"/>
      <c r="H3844" s="15"/>
      <c r="I3844" s="17"/>
      <c r="J3844" s="10"/>
      <c r="M3844" s="39"/>
      <c r="O3844" s="39"/>
      <c r="Q3844" s="39"/>
      <c r="R3844" s="28"/>
      <c r="S3844" s="28"/>
      <c r="T3844" s="28"/>
      <c r="U3844" s="4"/>
      <c r="V3844" s="3"/>
      <c r="W3844" s="3"/>
    </row>
    <row r="3845" spans="1:23" s="5" customFormat="1">
      <c r="A3845" s="6"/>
      <c r="B3845" s="33"/>
      <c r="C3845" s="35"/>
      <c r="E3845" s="39"/>
      <c r="G3845" s="40"/>
      <c r="H3845" s="15"/>
      <c r="I3845" s="17"/>
      <c r="J3845" s="10"/>
      <c r="M3845" s="39"/>
      <c r="O3845" s="39"/>
      <c r="Q3845" s="39"/>
      <c r="R3845" s="28"/>
      <c r="S3845" s="28"/>
      <c r="T3845" s="28"/>
      <c r="U3845" s="4"/>
      <c r="V3845" s="3"/>
      <c r="W3845" s="3"/>
    </row>
    <row r="3846" spans="1:23" s="5" customFormat="1">
      <c r="A3846" s="6"/>
      <c r="B3846" s="33"/>
      <c r="C3846" s="35"/>
      <c r="E3846" s="39"/>
      <c r="G3846" s="40"/>
      <c r="H3846" s="15"/>
      <c r="I3846" s="17"/>
      <c r="J3846" s="10"/>
      <c r="M3846" s="39"/>
      <c r="O3846" s="39"/>
      <c r="Q3846" s="39"/>
      <c r="R3846" s="28"/>
      <c r="S3846" s="28"/>
      <c r="T3846" s="28"/>
      <c r="U3846" s="4"/>
      <c r="V3846" s="3"/>
      <c r="W3846" s="3"/>
    </row>
    <row r="3847" spans="1:23" s="5" customFormat="1">
      <c r="A3847" s="6"/>
      <c r="B3847" s="33"/>
      <c r="C3847" s="35"/>
      <c r="E3847" s="39"/>
      <c r="G3847" s="40"/>
      <c r="H3847" s="15"/>
      <c r="I3847" s="17"/>
      <c r="J3847" s="10"/>
      <c r="M3847" s="39"/>
      <c r="O3847" s="39"/>
      <c r="Q3847" s="39"/>
      <c r="R3847" s="28"/>
      <c r="S3847" s="28"/>
      <c r="T3847" s="28"/>
      <c r="U3847" s="4"/>
      <c r="V3847" s="3"/>
      <c r="W3847" s="3"/>
    </row>
    <row r="3848" spans="1:23" s="5" customFormat="1">
      <c r="A3848" s="6"/>
      <c r="B3848" s="33"/>
      <c r="C3848" s="35"/>
      <c r="E3848" s="39"/>
      <c r="G3848" s="40"/>
      <c r="H3848" s="15"/>
      <c r="I3848" s="17"/>
      <c r="J3848" s="10"/>
      <c r="M3848" s="39"/>
      <c r="O3848" s="39"/>
      <c r="Q3848" s="39"/>
      <c r="R3848" s="28"/>
      <c r="S3848" s="28"/>
      <c r="T3848" s="28"/>
      <c r="U3848" s="4"/>
      <c r="V3848" s="3"/>
      <c r="W3848" s="3"/>
    </row>
    <row r="3849" spans="1:23" s="5" customFormat="1">
      <c r="A3849" s="6"/>
      <c r="B3849" s="33"/>
      <c r="C3849" s="35"/>
      <c r="E3849" s="39"/>
      <c r="G3849" s="40"/>
      <c r="H3849" s="15"/>
      <c r="I3849" s="17"/>
      <c r="J3849" s="10"/>
      <c r="M3849" s="39"/>
      <c r="O3849" s="39"/>
      <c r="Q3849" s="39"/>
      <c r="R3849" s="28"/>
      <c r="S3849" s="28"/>
      <c r="T3849" s="28"/>
      <c r="U3849" s="4"/>
      <c r="V3849" s="3"/>
      <c r="W3849" s="3"/>
    </row>
    <row r="3850" spans="1:23" s="5" customFormat="1">
      <c r="A3850" s="6"/>
      <c r="B3850" s="33"/>
      <c r="C3850" s="35"/>
      <c r="E3850" s="39"/>
      <c r="G3850" s="40"/>
      <c r="H3850" s="15"/>
      <c r="I3850" s="17"/>
      <c r="J3850" s="10"/>
      <c r="M3850" s="39"/>
      <c r="O3850" s="39"/>
      <c r="Q3850" s="39"/>
      <c r="R3850" s="28"/>
      <c r="S3850" s="28"/>
      <c r="T3850" s="28"/>
      <c r="U3850" s="4"/>
      <c r="V3850" s="3"/>
      <c r="W3850" s="3"/>
    </row>
    <row r="3851" spans="1:23" s="5" customFormat="1">
      <c r="A3851" s="6"/>
      <c r="B3851" s="33"/>
      <c r="C3851" s="35"/>
      <c r="E3851" s="39"/>
      <c r="G3851" s="40"/>
      <c r="H3851" s="14"/>
      <c r="I3851" s="17"/>
      <c r="J3851" s="10"/>
      <c r="M3851" s="39"/>
      <c r="O3851" s="39"/>
      <c r="Q3851" s="39"/>
      <c r="R3851" s="28"/>
      <c r="S3851" s="29"/>
      <c r="T3851" s="28"/>
      <c r="U3851" s="4"/>
      <c r="V3851" s="3"/>
      <c r="W3851" s="3"/>
    </row>
    <row r="3852" spans="1:23" s="5" customFormat="1">
      <c r="A3852" s="6"/>
      <c r="B3852" s="33"/>
      <c r="C3852" s="35"/>
      <c r="E3852" s="39"/>
      <c r="G3852" s="40"/>
      <c r="H3852" s="14"/>
      <c r="I3852" s="17"/>
      <c r="J3852" s="10"/>
      <c r="M3852" s="39"/>
      <c r="O3852" s="39"/>
      <c r="Q3852" s="39"/>
      <c r="R3852" s="28"/>
      <c r="S3852" s="28"/>
      <c r="T3852" s="28"/>
      <c r="U3852" s="4"/>
      <c r="V3852" s="3"/>
      <c r="W3852" s="3"/>
    </row>
    <row r="3853" spans="1:23" s="5" customFormat="1">
      <c r="A3853" s="6"/>
      <c r="B3853" s="33"/>
      <c r="C3853" s="35"/>
      <c r="E3853" s="39"/>
      <c r="G3853" s="40"/>
      <c r="H3853" s="15"/>
      <c r="I3853" s="17"/>
      <c r="J3853" s="10"/>
      <c r="M3853" s="39"/>
      <c r="O3853" s="39"/>
      <c r="Q3853" s="39"/>
      <c r="R3853" s="28"/>
      <c r="S3853" s="28"/>
      <c r="T3853" s="28"/>
      <c r="U3853" s="4"/>
      <c r="V3853" s="3"/>
      <c r="W3853" s="3"/>
    </row>
    <row r="3854" spans="1:23" s="5" customFormat="1">
      <c r="A3854" s="6"/>
      <c r="B3854" s="33"/>
      <c r="C3854" s="35"/>
      <c r="E3854" s="39"/>
      <c r="G3854" s="40"/>
      <c r="H3854" s="15"/>
      <c r="I3854" s="17"/>
      <c r="J3854" s="10"/>
      <c r="M3854" s="39"/>
      <c r="O3854" s="39"/>
      <c r="Q3854" s="39"/>
      <c r="R3854" s="28"/>
      <c r="S3854" s="28"/>
      <c r="T3854" s="28"/>
      <c r="U3854" s="4"/>
      <c r="V3854" s="3"/>
      <c r="W3854" s="3"/>
    </row>
    <row r="3855" spans="1:23" s="5" customFormat="1">
      <c r="A3855" s="6"/>
      <c r="B3855" s="33"/>
      <c r="C3855" s="35"/>
      <c r="E3855" s="39"/>
      <c r="G3855" s="40"/>
      <c r="H3855" s="15"/>
      <c r="I3855" s="17"/>
      <c r="J3855" s="10"/>
      <c r="M3855" s="39"/>
      <c r="O3855" s="39"/>
      <c r="Q3855" s="39"/>
      <c r="R3855" s="28"/>
      <c r="S3855" s="28"/>
      <c r="T3855" s="28"/>
      <c r="U3855" s="4"/>
      <c r="V3855" s="3"/>
      <c r="W3855" s="3"/>
    </row>
    <row r="3856" spans="1:23" s="5" customFormat="1">
      <c r="A3856" s="6"/>
      <c r="B3856" s="33"/>
      <c r="C3856" s="35"/>
      <c r="E3856" s="39"/>
      <c r="G3856" s="40"/>
      <c r="H3856" s="15"/>
      <c r="I3856" s="17"/>
      <c r="J3856" s="10"/>
      <c r="M3856" s="39"/>
      <c r="O3856" s="39"/>
      <c r="Q3856" s="39"/>
      <c r="R3856" s="28"/>
      <c r="S3856" s="28"/>
      <c r="T3856" s="28"/>
      <c r="U3856" s="4"/>
      <c r="V3856" s="3"/>
      <c r="W3856" s="3"/>
    </row>
    <row r="3857" spans="1:23" s="5" customFormat="1">
      <c r="A3857" s="6"/>
      <c r="B3857" s="33"/>
      <c r="C3857" s="35"/>
      <c r="E3857" s="39"/>
      <c r="G3857" s="40"/>
      <c r="H3857" s="15"/>
      <c r="I3857" s="17"/>
      <c r="J3857" s="10"/>
      <c r="M3857" s="39"/>
      <c r="O3857" s="39"/>
      <c r="Q3857" s="39"/>
      <c r="R3857" s="28"/>
      <c r="S3857" s="28"/>
      <c r="T3857" s="28"/>
      <c r="U3857" s="4"/>
      <c r="V3857" s="3"/>
      <c r="W3857" s="3"/>
    </row>
    <row r="3858" spans="1:23" s="5" customFormat="1">
      <c r="A3858" s="6"/>
      <c r="B3858" s="33"/>
      <c r="C3858" s="35"/>
      <c r="E3858" s="39"/>
      <c r="G3858" s="40"/>
      <c r="H3858" s="15"/>
      <c r="I3858" s="17"/>
      <c r="J3858" s="10"/>
      <c r="M3858" s="39"/>
      <c r="O3858" s="39"/>
      <c r="Q3858" s="39"/>
      <c r="R3858" s="28"/>
      <c r="S3858" s="28"/>
      <c r="T3858" s="28"/>
      <c r="U3858" s="4"/>
      <c r="V3858" s="3"/>
      <c r="W3858" s="3"/>
    </row>
    <row r="3859" spans="1:23" s="5" customFormat="1">
      <c r="A3859" s="6"/>
      <c r="B3859" s="33"/>
      <c r="C3859" s="35"/>
      <c r="E3859" s="39"/>
      <c r="G3859" s="40"/>
      <c r="H3859" s="14"/>
      <c r="I3859" s="17"/>
      <c r="J3859" s="10"/>
      <c r="M3859" s="39"/>
      <c r="O3859" s="39"/>
      <c r="Q3859" s="39"/>
      <c r="R3859" s="28"/>
      <c r="S3859" s="28"/>
      <c r="T3859" s="28"/>
      <c r="U3859" s="4"/>
      <c r="V3859" s="3"/>
      <c r="W3859" s="3"/>
    </row>
    <row r="3860" spans="1:23" s="5" customFormat="1">
      <c r="A3860" s="6"/>
      <c r="B3860" s="33"/>
      <c r="C3860" s="35"/>
      <c r="E3860" s="39"/>
      <c r="G3860" s="40"/>
      <c r="H3860" s="14"/>
      <c r="I3860" s="17"/>
      <c r="J3860" s="10"/>
      <c r="M3860" s="39"/>
      <c r="O3860" s="39"/>
      <c r="Q3860" s="39"/>
      <c r="R3860" s="28"/>
      <c r="S3860" s="28"/>
      <c r="T3860" s="28"/>
      <c r="U3860" s="4"/>
      <c r="V3860" s="3"/>
      <c r="W3860" s="3"/>
    </row>
    <row r="3861" spans="1:23" s="5" customFormat="1">
      <c r="A3861" s="6"/>
      <c r="B3861" s="33"/>
      <c r="C3861" s="35"/>
      <c r="E3861" s="39"/>
      <c r="G3861" s="40"/>
      <c r="H3861" s="15"/>
      <c r="I3861" s="17"/>
      <c r="J3861" s="10"/>
      <c r="M3861" s="39"/>
      <c r="O3861" s="39"/>
      <c r="Q3861" s="39"/>
      <c r="R3861" s="28"/>
      <c r="S3861" s="28"/>
      <c r="T3861" s="28"/>
      <c r="U3861" s="4"/>
      <c r="V3861" s="3"/>
      <c r="W3861" s="3"/>
    </row>
    <row r="3862" spans="1:23" s="5" customFormat="1">
      <c r="A3862" s="6"/>
      <c r="B3862" s="33"/>
      <c r="C3862" s="35"/>
      <c r="E3862" s="39"/>
      <c r="G3862" s="40"/>
      <c r="H3862" s="15"/>
      <c r="I3862" s="17"/>
      <c r="J3862" s="10"/>
      <c r="M3862" s="39"/>
      <c r="O3862" s="39"/>
      <c r="Q3862" s="39"/>
      <c r="R3862" s="28"/>
      <c r="S3862" s="28"/>
      <c r="T3862" s="28"/>
      <c r="U3862" s="4"/>
      <c r="V3862" s="3"/>
      <c r="W3862" s="3"/>
    </row>
    <row r="3863" spans="1:23" s="5" customFormat="1">
      <c r="A3863" s="6"/>
      <c r="B3863" s="33"/>
      <c r="C3863" s="35"/>
      <c r="E3863" s="39"/>
      <c r="G3863" s="40"/>
      <c r="H3863" s="14"/>
      <c r="I3863" s="17"/>
      <c r="J3863" s="10"/>
      <c r="M3863" s="39"/>
      <c r="O3863" s="39"/>
      <c r="Q3863" s="39"/>
      <c r="R3863" s="29"/>
      <c r="S3863" s="28"/>
      <c r="T3863" s="28"/>
      <c r="U3863" s="4"/>
      <c r="V3863" s="3"/>
      <c r="W3863" s="3"/>
    </row>
    <row r="3864" spans="1:23" s="5" customFormat="1">
      <c r="A3864" s="20"/>
      <c r="B3864" s="33"/>
      <c r="C3864" s="35"/>
      <c r="E3864" s="39"/>
      <c r="F3864" s="1"/>
      <c r="G3864" s="40"/>
      <c r="H3864" s="12"/>
      <c r="I3864" s="9"/>
      <c r="J3864" s="12"/>
      <c r="M3864" s="39"/>
      <c r="O3864" s="39"/>
      <c r="Q3864" s="39"/>
      <c r="R3864" s="29"/>
      <c r="S3864" s="28"/>
      <c r="T3864" s="28"/>
      <c r="U3864" s="4"/>
      <c r="V3864" s="3"/>
      <c r="W3864" s="3"/>
    </row>
    <row r="3865" spans="1:23" s="5" customFormat="1">
      <c r="A3865" s="6"/>
      <c r="B3865" s="33"/>
      <c r="C3865" s="35"/>
      <c r="E3865" s="39"/>
      <c r="G3865" s="40"/>
      <c r="H3865" s="14"/>
      <c r="I3865" s="17"/>
      <c r="J3865" s="10"/>
      <c r="M3865" s="39"/>
      <c r="O3865" s="39"/>
      <c r="Q3865" s="39"/>
      <c r="R3865" s="28"/>
      <c r="S3865" s="28"/>
      <c r="T3865" s="28"/>
      <c r="U3865" s="4"/>
      <c r="V3865" s="3"/>
      <c r="W3865" s="3"/>
    </row>
    <row r="3866" spans="1:23" s="5" customFormat="1">
      <c r="A3866" s="6"/>
      <c r="B3866" s="33"/>
      <c r="C3866" s="35"/>
      <c r="E3866" s="39"/>
      <c r="G3866" s="40"/>
      <c r="H3866" s="15"/>
      <c r="I3866" s="17"/>
      <c r="J3866" s="10"/>
      <c r="M3866" s="39"/>
      <c r="O3866" s="39"/>
      <c r="Q3866" s="39"/>
      <c r="R3866" s="28"/>
      <c r="S3866" s="28"/>
      <c r="T3866" s="28"/>
      <c r="U3866" s="4"/>
      <c r="V3866" s="3"/>
      <c r="W3866" s="3"/>
    </row>
    <row r="3867" spans="1:23" s="5" customFormat="1">
      <c r="A3867" s="6"/>
      <c r="B3867" s="33"/>
      <c r="C3867" s="35"/>
      <c r="E3867" s="39"/>
      <c r="G3867" s="40"/>
      <c r="H3867" s="15"/>
      <c r="I3867" s="17"/>
      <c r="J3867" s="10"/>
      <c r="M3867" s="39"/>
      <c r="O3867" s="39"/>
      <c r="Q3867" s="39"/>
      <c r="R3867" s="28"/>
      <c r="S3867" s="28"/>
      <c r="T3867" s="28"/>
      <c r="U3867" s="4"/>
      <c r="V3867" s="3"/>
      <c r="W3867" s="3"/>
    </row>
    <row r="3868" spans="1:23" s="5" customFormat="1">
      <c r="A3868" s="6"/>
      <c r="B3868" s="33"/>
      <c r="C3868" s="35"/>
      <c r="E3868" s="39"/>
      <c r="G3868" s="40"/>
      <c r="H3868" s="15"/>
      <c r="I3868" s="17"/>
      <c r="J3868" s="10"/>
      <c r="M3868" s="39"/>
      <c r="O3868" s="39"/>
      <c r="Q3868" s="39"/>
      <c r="R3868" s="28"/>
      <c r="S3868" s="28"/>
      <c r="T3868" s="28"/>
      <c r="U3868" s="4"/>
      <c r="V3868" s="3"/>
      <c r="W3868" s="3"/>
    </row>
    <row r="3869" spans="1:23" s="5" customFormat="1">
      <c r="A3869" s="6"/>
      <c r="B3869" s="33"/>
      <c r="C3869" s="35"/>
      <c r="E3869" s="39"/>
      <c r="G3869" s="40"/>
      <c r="H3869" s="15"/>
      <c r="I3869" s="17"/>
      <c r="J3869" s="10"/>
      <c r="M3869" s="39"/>
      <c r="O3869" s="39"/>
      <c r="Q3869" s="39"/>
      <c r="R3869" s="28"/>
      <c r="S3869" s="28"/>
      <c r="T3869" s="28"/>
      <c r="U3869" s="4"/>
      <c r="V3869" s="3"/>
      <c r="W3869" s="3"/>
    </row>
    <row r="3870" spans="1:23" s="5" customFormat="1">
      <c r="A3870" s="6"/>
      <c r="B3870" s="33"/>
      <c r="C3870" s="35"/>
      <c r="E3870" s="39"/>
      <c r="G3870" s="40"/>
      <c r="H3870" s="15"/>
      <c r="I3870" s="17"/>
      <c r="J3870" s="10"/>
      <c r="M3870" s="39"/>
      <c r="O3870" s="39"/>
      <c r="Q3870" s="39"/>
      <c r="R3870" s="28"/>
      <c r="S3870" s="28"/>
      <c r="T3870" s="28"/>
      <c r="U3870" s="4"/>
      <c r="V3870" s="3"/>
      <c r="W3870" s="3"/>
    </row>
    <row r="3871" spans="1:23" s="5" customFormat="1">
      <c r="A3871" s="6"/>
      <c r="B3871" s="33"/>
      <c r="C3871" s="35"/>
      <c r="E3871" s="39"/>
      <c r="G3871" s="40"/>
      <c r="H3871" s="15"/>
      <c r="I3871" s="17"/>
      <c r="J3871" s="10"/>
      <c r="M3871" s="39"/>
      <c r="O3871" s="39"/>
      <c r="Q3871" s="39"/>
      <c r="R3871" s="28"/>
      <c r="S3871" s="28"/>
      <c r="T3871" s="28"/>
      <c r="U3871" s="4"/>
      <c r="V3871" s="3"/>
      <c r="W3871" s="3"/>
    </row>
    <row r="3872" spans="1:23" s="5" customFormat="1">
      <c r="A3872" s="6"/>
      <c r="B3872" s="33"/>
      <c r="C3872" s="35"/>
      <c r="E3872" s="39"/>
      <c r="G3872" s="40"/>
      <c r="H3872" s="15"/>
      <c r="I3872" s="17"/>
      <c r="J3872" s="10"/>
      <c r="M3872" s="39"/>
      <c r="O3872" s="39"/>
      <c r="Q3872" s="39"/>
      <c r="R3872" s="28"/>
      <c r="S3872" s="28"/>
      <c r="T3872" s="28"/>
      <c r="U3872" s="4"/>
      <c r="V3872" s="3"/>
      <c r="W3872" s="3"/>
    </row>
    <row r="3873" spans="1:23" s="5" customFormat="1">
      <c r="A3873" s="6"/>
      <c r="B3873" s="33"/>
      <c r="C3873" s="35"/>
      <c r="E3873" s="39"/>
      <c r="G3873" s="40"/>
      <c r="H3873" s="15"/>
      <c r="I3873" s="17"/>
      <c r="J3873" s="10"/>
      <c r="M3873" s="39"/>
      <c r="O3873" s="39"/>
      <c r="Q3873" s="39"/>
      <c r="R3873" s="28"/>
      <c r="S3873" s="28"/>
      <c r="T3873" s="28"/>
      <c r="U3873" s="4"/>
      <c r="V3873" s="3"/>
      <c r="W3873" s="3"/>
    </row>
    <row r="3874" spans="1:23" s="5" customFormat="1">
      <c r="A3874" s="6"/>
      <c r="B3874" s="33"/>
      <c r="C3874" s="35"/>
      <c r="E3874" s="39"/>
      <c r="G3874" s="40"/>
      <c r="H3874" s="15"/>
      <c r="I3874" s="17"/>
      <c r="J3874" s="10"/>
      <c r="M3874" s="39"/>
      <c r="O3874" s="39"/>
      <c r="Q3874" s="39"/>
      <c r="R3874" s="28"/>
      <c r="S3874" s="28"/>
      <c r="T3874" s="28"/>
      <c r="U3874" s="4"/>
      <c r="V3874" s="3"/>
      <c r="W3874" s="3"/>
    </row>
    <row r="3875" spans="1:23" s="5" customFormat="1">
      <c r="A3875" s="6"/>
      <c r="B3875" s="33"/>
      <c r="C3875" s="35"/>
      <c r="E3875" s="39"/>
      <c r="G3875" s="40"/>
      <c r="H3875" s="14"/>
      <c r="I3875" s="17"/>
      <c r="J3875" s="10"/>
      <c r="M3875" s="39"/>
      <c r="O3875" s="39"/>
      <c r="Q3875" s="39"/>
      <c r="R3875" s="28"/>
      <c r="S3875" s="28"/>
      <c r="T3875" s="28"/>
      <c r="U3875" s="4"/>
      <c r="V3875" s="3"/>
      <c r="W3875" s="3"/>
    </row>
    <row r="3876" spans="1:23" s="5" customFormat="1">
      <c r="A3876" s="6"/>
      <c r="B3876" s="33"/>
      <c r="C3876" s="35"/>
      <c r="E3876" s="39"/>
      <c r="G3876" s="40"/>
      <c r="H3876" s="15"/>
      <c r="I3876" s="17"/>
      <c r="J3876" s="10"/>
      <c r="M3876" s="39"/>
      <c r="O3876" s="39"/>
      <c r="Q3876" s="39"/>
      <c r="R3876" s="28"/>
      <c r="S3876" s="28"/>
      <c r="T3876" s="28"/>
      <c r="U3876" s="4"/>
      <c r="V3876" s="3"/>
      <c r="W3876" s="3"/>
    </row>
    <row r="3877" spans="1:23" s="5" customFormat="1">
      <c r="A3877" s="6"/>
      <c r="B3877" s="33"/>
      <c r="C3877" s="35"/>
      <c r="E3877" s="39"/>
      <c r="G3877" s="40"/>
      <c r="H3877" s="15"/>
      <c r="I3877" s="17"/>
      <c r="J3877" s="10"/>
      <c r="M3877" s="39"/>
      <c r="O3877" s="39"/>
      <c r="Q3877" s="39"/>
      <c r="R3877" s="28"/>
      <c r="S3877" s="28"/>
      <c r="T3877" s="28"/>
      <c r="U3877" s="4"/>
      <c r="V3877" s="3"/>
      <c r="W3877" s="3"/>
    </row>
    <row r="3878" spans="1:23" s="5" customFormat="1">
      <c r="A3878" s="6"/>
      <c r="B3878" s="33"/>
      <c r="C3878" s="35"/>
      <c r="E3878" s="39"/>
      <c r="G3878" s="40"/>
      <c r="H3878" s="15"/>
      <c r="I3878" s="17"/>
      <c r="J3878" s="10"/>
      <c r="M3878" s="39"/>
      <c r="O3878" s="39"/>
      <c r="Q3878" s="39"/>
      <c r="R3878" s="28"/>
      <c r="S3878" s="28"/>
      <c r="T3878" s="28"/>
      <c r="U3878" s="4"/>
      <c r="V3878" s="3"/>
      <c r="W3878" s="3"/>
    </row>
    <row r="3879" spans="1:23" s="5" customFormat="1">
      <c r="A3879" s="6"/>
      <c r="B3879" s="33"/>
      <c r="C3879" s="35"/>
      <c r="E3879" s="39"/>
      <c r="G3879" s="40"/>
      <c r="H3879" s="15"/>
      <c r="I3879" s="17"/>
      <c r="J3879" s="10"/>
      <c r="M3879" s="39"/>
      <c r="O3879" s="39"/>
      <c r="Q3879" s="39"/>
      <c r="R3879" s="28"/>
      <c r="S3879" s="28"/>
      <c r="T3879" s="28"/>
      <c r="U3879" s="4"/>
      <c r="V3879" s="3"/>
      <c r="W3879" s="3"/>
    </row>
    <row r="3880" spans="1:23" s="5" customFormat="1">
      <c r="A3880" s="20"/>
      <c r="B3880" s="33"/>
      <c r="C3880" s="35"/>
      <c r="E3880" s="39"/>
      <c r="F3880" s="1"/>
      <c r="G3880" s="40"/>
      <c r="H3880" s="12"/>
      <c r="I3880" s="9"/>
      <c r="J3880" s="12"/>
      <c r="M3880" s="39"/>
      <c r="O3880" s="39"/>
      <c r="Q3880" s="39"/>
      <c r="R3880" s="29"/>
      <c r="S3880" s="28"/>
      <c r="T3880" s="28"/>
      <c r="U3880" s="4"/>
      <c r="V3880" s="3"/>
      <c r="W3880" s="3"/>
    </row>
    <row r="3881" spans="1:23" s="5" customFormat="1">
      <c r="A3881" s="6"/>
      <c r="B3881" s="33"/>
      <c r="C3881" s="35"/>
      <c r="E3881" s="39"/>
      <c r="G3881" s="40"/>
      <c r="H3881" s="15"/>
      <c r="I3881" s="17"/>
      <c r="J3881" s="10"/>
      <c r="M3881" s="39"/>
      <c r="O3881" s="39"/>
      <c r="Q3881" s="39"/>
      <c r="R3881" s="28"/>
      <c r="S3881" s="28"/>
      <c r="T3881" s="28"/>
      <c r="U3881" s="4"/>
      <c r="V3881" s="3"/>
      <c r="W3881" s="3"/>
    </row>
    <row r="3882" spans="1:23" s="5" customFormat="1">
      <c r="A3882" s="6"/>
      <c r="B3882" s="33"/>
      <c r="C3882" s="35"/>
      <c r="E3882" s="39"/>
      <c r="G3882" s="40"/>
      <c r="H3882" s="15"/>
      <c r="I3882" s="17"/>
      <c r="J3882" s="10"/>
      <c r="M3882" s="39"/>
      <c r="O3882" s="39"/>
      <c r="Q3882" s="39"/>
      <c r="R3882" s="28"/>
      <c r="S3882" s="28"/>
      <c r="T3882" s="28"/>
      <c r="U3882" s="4"/>
      <c r="V3882" s="3"/>
      <c r="W3882" s="3"/>
    </row>
    <row r="3883" spans="1:23" s="5" customFormat="1">
      <c r="A3883" s="6"/>
      <c r="B3883" s="33"/>
      <c r="C3883" s="35"/>
      <c r="E3883" s="39"/>
      <c r="G3883" s="40"/>
      <c r="H3883" s="15"/>
      <c r="I3883" s="17"/>
      <c r="J3883" s="10"/>
      <c r="M3883" s="39"/>
      <c r="O3883" s="39"/>
      <c r="Q3883" s="39"/>
      <c r="R3883" s="28"/>
      <c r="S3883" s="28"/>
      <c r="T3883" s="28"/>
      <c r="U3883" s="4"/>
      <c r="V3883" s="3"/>
      <c r="W3883" s="3"/>
    </row>
    <row r="3884" spans="1:23" s="5" customFormat="1">
      <c r="A3884" s="6"/>
      <c r="B3884" s="33"/>
      <c r="C3884" s="35"/>
      <c r="E3884" s="39"/>
      <c r="G3884" s="40"/>
      <c r="H3884" s="15"/>
      <c r="I3884" s="17"/>
      <c r="J3884" s="10"/>
      <c r="M3884" s="39"/>
      <c r="O3884" s="39"/>
      <c r="Q3884" s="39"/>
      <c r="R3884" s="28"/>
      <c r="S3884" s="28"/>
      <c r="T3884" s="28"/>
      <c r="U3884" s="4"/>
      <c r="V3884" s="3"/>
      <c r="W3884" s="3"/>
    </row>
    <row r="3885" spans="1:23" s="5" customFormat="1">
      <c r="A3885" s="6"/>
      <c r="B3885" s="33"/>
      <c r="C3885" s="35"/>
      <c r="E3885" s="39"/>
      <c r="G3885" s="40"/>
      <c r="H3885" s="15"/>
      <c r="I3885" s="17"/>
      <c r="J3885" s="10"/>
      <c r="M3885" s="39"/>
      <c r="O3885" s="39"/>
      <c r="Q3885" s="39"/>
      <c r="R3885" s="28"/>
      <c r="S3885" s="28"/>
      <c r="T3885" s="28"/>
      <c r="U3885" s="4"/>
      <c r="V3885" s="3"/>
      <c r="W3885" s="3"/>
    </row>
    <row r="3886" spans="1:23" s="5" customFormat="1">
      <c r="A3886" s="6"/>
      <c r="B3886" s="33"/>
      <c r="C3886" s="35"/>
      <c r="E3886" s="39"/>
      <c r="G3886" s="40"/>
      <c r="H3886" s="14"/>
      <c r="I3886" s="17"/>
      <c r="J3886" s="10"/>
      <c r="M3886" s="39"/>
      <c r="O3886" s="39"/>
      <c r="Q3886" s="39"/>
      <c r="R3886" s="28"/>
      <c r="S3886" s="28"/>
      <c r="T3886" s="28"/>
      <c r="U3886" s="4"/>
      <c r="V3886" s="3"/>
      <c r="W3886" s="3"/>
    </row>
    <row r="3887" spans="1:23" s="5" customFormat="1">
      <c r="A3887" s="6"/>
      <c r="B3887" s="33"/>
      <c r="C3887" s="35"/>
      <c r="E3887" s="39"/>
      <c r="G3887" s="40"/>
      <c r="H3887" s="14"/>
      <c r="I3887" s="17"/>
      <c r="J3887" s="10"/>
      <c r="M3887" s="39"/>
      <c r="O3887" s="39"/>
      <c r="Q3887" s="39"/>
      <c r="R3887" s="28"/>
      <c r="S3887" s="28"/>
      <c r="T3887" s="28"/>
      <c r="U3887" s="4"/>
      <c r="V3887" s="3"/>
      <c r="W3887" s="3"/>
    </row>
    <row r="3888" spans="1:23" s="5" customFormat="1">
      <c r="A3888" s="6"/>
      <c r="B3888" s="33"/>
      <c r="C3888" s="35"/>
      <c r="E3888" s="39"/>
      <c r="G3888" s="40"/>
      <c r="H3888" s="14"/>
      <c r="I3888" s="17"/>
      <c r="J3888" s="10"/>
      <c r="M3888" s="39"/>
      <c r="O3888" s="39"/>
      <c r="Q3888" s="39"/>
      <c r="R3888" s="28"/>
      <c r="S3888" s="28"/>
      <c r="T3888" s="28"/>
      <c r="U3888" s="4"/>
      <c r="V3888" s="3"/>
      <c r="W3888" s="3"/>
    </row>
    <row r="3889" spans="1:23" s="5" customFormat="1">
      <c r="A3889" s="6"/>
      <c r="B3889" s="33"/>
      <c r="C3889" s="35"/>
      <c r="E3889" s="39"/>
      <c r="G3889" s="40"/>
      <c r="H3889" s="14"/>
      <c r="I3889" s="17"/>
      <c r="J3889" s="10"/>
      <c r="M3889" s="39"/>
      <c r="O3889" s="39"/>
      <c r="Q3889" s="39"/>
      <c r="R3889" s="28"/>
      <c r="S3889" s="28"/>
      <c r="T3889" s="28"/>
      <c r="U3889" s="4"/>
      <c r="V3889" s="3"/>
      <c r="W3889" s="3"/>
    </row>
    <row r="3890" spans="1:23" s="5" customFormat="1">
      <c r="A3890" s="6"/>
      <c r="B3890" s="33"/>
      <c r="C3890" s="35"/>
      <c r="E3890" s="39"/>
      <c r="G3890" s="40"/>
      <c r="H3890" s="15"/>
      <c r="I3890" s="17"/>
      <c r="J3890" s="10"/>
      <c r="M3890" s="39"/>
      <c r="O3890" s="39"/>
      <c r="Q3890" s="39"/>
      <c r="R3890" s="28"/>
      <c r="S3890" s="28"/>
      <c r="T3890" s="28"/>
      <c r="U3890" s="4"/>
      <c r="V3890" s="3"/>
      <c r="W3890" s="3"/>
    </row>
    <row r="3891" spans="1:23" s="5" customFormat="1">
      <c r="A3891" s="6"/>
      <c r="B3891" s="33"/>
      <c r="C3891" s="35"/>
      <c r="E3891" s="39"/>
      <c r="G3891" s="40"/>
      <c r="H3891" s="15"/>
      <c r="I3891" s="17"/>
      <c r="J3891" s="10"/>
      <c r="M3891" s="39"/>
      <c r="O3891" s="39"/>
      <c r="Q3891" s="39"/>
      <c r="R3891" s="28"/>
      <c r="S3891" s="28"/>
      <c r="T3891" s="28"/>
      <c r="U3891" s="4"/>
      <c r="V3891" s="3"/>
      <c r="W3891" s="3"/>
    </row>
    <row r="3892" spans="1:23" s="5" customFormat="1">
      <c r="A3892" s="6"/>
      <c r="B3892" s="33"/>
      <c r="C3892" s="35"/>
      <c r="E3892" s="39"/>
      <c r="G3892" s="40"/>
      <c r="H3892" s="15"/>
      <c r="I3892" s="17"/>
      <c r="J3892" s="10"/>
      <c r="M3892" s="39"/>
      <c r="O3892" s="39"/>
      <c r="Q3892" s="39"/>
      <c r="R3892" s="28"/>
      <c r="S3892" s="28"/>
      <c r="T3892" s="28"/>
      <c r="U3892" s="4"/>
      <c r="V3892" s="3"/>
      <c r="W3892" s="3"/>
    </row>
    <row r="3893" spans="1:23" s="5" customFormat="1">
      <c r="A3893" s="6"/>
      <c r="B3893" s="33"/>
      <c r="C3893" s="35"/>
      <c r="E3893" s="39"/>
      <c r="G3893" s="40"/>
      <c r="H3893" s="15"/>
      <c r="I3893" s="17"/>
      <c r="J3893" s="10"/>
      <c r="M3893" s="39"/>
      <c r="O3893" s="39"/>
      <c r="Q3893" s="39"/>
      <c r="R3893" s="28"/>
      <c r="S3893" s="28"/>
      <c r="T3893" s="28"/>
      <c r="U3893" s="4"/>
      <c r="V3893" s="3"/>
      <c r="W3893" s="3"/>
    </row>
    <row r="3894" spans="1:23" s="5" customFormat="1">
      <c r="A3894" s="6"/>
      <c r="B3894" s="33"/>
      <c r="C3894" s="35"/>
      <c r="E3894" s="39"/>
      <c r="G3894" s="40"/>
      <c r="H3894" s="14"/>
      <c r="I3894" s="17"/>
      <c r="J3894" s="10"/>
      <c r="M3894" s="39"/>
      <c r="O3894" s="39"/>
      <c r="Q3894" s="39"/>
      <c r="R3894" s="28"/>
      <c r="S3894" s="28"/>
      <c r="T3894" s="28"/>
      <c r="U3894" s="4"/>
      <c r="V3894" s="3"/>
      <c r="W3894" s="3"/>
    </row>
    <row r="3895" spans="1:23" s="5" customFormat="1">
      <c r="A3895" s="6"/>
      <c r="B3895" s="33"/>
      <c r="C3895" s="35"/>
      <c r="E3895" s="39"/>
      <c r="G3895" s="40"/>
      <c r="H3895" s="15"/>
      <c r="I3895" s="17"/>
      <c r="J3895" s="10"/>
      <c r="M3895" s="39"/>
      <c r="O3895" s="39"/>
      <c r="Q3895" s="39"/>
      <c r="R3895" s="28"/>
      <c r="S3895" s="28"/>
      <c r="T3895" s="28"/>
      <c r="U3895" s="4"/>
      <c r="V3895" s="3"/>
      <c r="W3895" s="3"/>
    </row>
    <row r="3896" spans="1:23" s="5" customFormat="1">
      <c r="A3896" s="6"/>
      <c r="B3896" s="33"/>
      <c r="C3896" s="35"/>
      <c r="E3896" s="39"/>
      <c r="G3896" s="40"/>
      <c r="H3896" s="14"/>
      <c r="I3896" s="17"/>
      <c r="J3896" s="10"/>
      <c r="M3896" s="39"/>
      <c r="O3896" s="39"/>
      <c r="Q3896" s="39"/>
      <c r="R3896" s="28"/>
      <c r="S3896" s="28"/>
      <c r="T3896" s="28"/>
      <c r="U3896" s="4"/>
      <c r="V3896" s="3"/>
      <c r="W3896" s="3"/>
    </row>
    <row r="3897" spans="1:23" s="5" customFormat="1">
      <c r="A3897" s="6"/>
      <c r="B3897" s="33"/>
      <c r="C3897" s="35"/>
      <c r="E3897" s="39"/>
      <c r="G3897" s="40"/>
      <c r="H3897" s="14"/>
      <c r="I3897" s="17"/>
      <c r="J3897" s="10"/>
      <c r="M3897" s="39"/>
      <c r="O3897" s="39"/>
      <c r="Q3897" s="39"/>
      <c r="R3897" s="28"/>
      <c r="S3897" s="28"/>
      <c r="T3897" s="28"/>
      <c r="U3897" s="4"/>
      <c r="V3897" s="3"/>
      <c r="W3897" s="3"/>
    </row>
    <row r="3898" spans="1:23" s="5" customFormat="1">
      <c r="A3898" s="6"/>
      <c r="B3898" s="33"/>
      <c r="C3898" s="35"/>
      <c r="E3898" s="39"/>
      <c r="G3898" s="40"/>
      <c r="H3898" s="15"/>
      <c r="I3898" s="17"/>
      <c r="J3898" s="10"/>
      <c r="M3898" s="39"/>
      <c r="O3898" s="39"/>
      <c r="Q3898" s="39"/>
      <c r="R3898" s="28"/>
      <c r="S3898" s="28"/>
      <c r="T3898" s="28"/>
      <c r="U3898" s="4"/>
      <c r="V3898" s="3"/>
      <c r="W3898" s="3"/>
    </row>
    <row r="3899" spans="1:23" s="5" customFormat="1">
      <c r="A3899" s="6"/>
      <c r="B3899" s="33"/>
      <c r="C3899" s="35"/>
      <c r="E3899" s="39"/>
      <c r="G3899" s="40"/>
      <c r="H3899" s="14"/>
      <c r="I3899" s="17"/>
      <c r="J3899" s="10"/>
      <c r="M3899" s="39"/>
      <c r="O3899" s="39"/>
      <c r="Q3899" s="39"/>
      <c r="R3899" s="28"/>
      <c r="S3899" s="28"/>
      <c r="T3899" s="28"/>
      <c r="U3899" s="4"/>
      <c r="V3899" s="3"/>
      <c r="W3899" s="3"/>
    </row>
    <row r="3900" spans="1:23" s="5" customFormat="1">
      <c r="A3900" s="6"/>
      <c r="B3900" s="33"/>
      <c r="C3900" s="35"/>
      <c r="E3900" s="39"/>
      <c r="G3900" s="40"/>
      <c r="H3900" s="15"/>
      <c r="I3900" s="17"/>
      <c r="J3900" s="10"/>
      <c r="M3900" s="39"/>
      <c r="O3900" s="39"/>
      <c r="Q3900" s="39"/>
      <c r="R3900" s="28"/>
      <c r="S3900" s="28"/>
      <c r="T3900" s="28"/>
      <c r="U3900" s="4"/>
      <c r="V3900" s="3"/>
      <c r="W3900" s="3"/>
    </row>
    <row r="3901" spans="1:23" s="5" customFormat="1">
      <c r="A3901" s="6"/>
      <c r="B3901" s="33"/>
      <c r="C3901" s="35"/>
      <c r="E3901" s="39"/>
      <c r="G3901" s="40"/>
      <c r="H3901" s="15"/>
      <c r="I3901" s="17"/>
      <c r="J3901" s="10"/>
      <c r="M3901" s="39"/>
      <c r="O3901" s="39"/>
      <c r="Q3901" s="39"/>
      <c r="R3901" s="28"/>
      <c r="S3901" s="28"/>
      <c r="T3901" s="28"/>
      <c r="U3901" s="4"/>
      <c r="V3901" s="3"/>
      <c r="W3901" s="3"/>
    </row>
    <row r="3902" spans="1:23" s="5" customFormat="1">
      <c r="A3902" s="6"/>
      <c r="B3902" s="33"/>
      <c r="C3902" s="35"/>
      <c r="E3902" s="39"/>
      <c r="G3902" s="40"/>
      <c r="H3902" s="15"/>
      <c r="I3902" s="17"/>
      <c r="J3902" s="10"/>
      <c r="M3902" s="39"/>
      <c r="O3902" s="39"/>
      <c r="Q3902" s="39"/>
      <c r="R3902" s="28"/>
      <c r="S3902" s="28"/>
      <c r="T3902" s="28"/>
      <c r="U3902" s="4"/>
      <c r="V3902" s="3"/>
      <c r="W3902" s="3"/>
    </row>
    <row r="3903" spans="1:23" s="5" customFormat="1">
      <c r="A3903" s="6"/>
      <c r="B3903" s="33"/>
      <c r="C3903" s="35"/>
      <c r="E3903" s="39"/>
      <c r="G3903" s="40"/>
      <c r="H3903" s="15"/>
      <c r="I3903" s="17"/>
      <c r="J3903" s="10"/>
      <c r="M3903" s="39"/>
      <c r="O3903" s="39"/>
      <c r="Q3903" s="39"/>
      <c r="R3903" s="28"/>
      <c r="S3903" s="28"/>
      <c r="T3903" s="28"/>
      <c r="U3903" s="4"/>
      <c r="V3903" s="3"/>
      <c r="W3903" s="3"/>
    </row>
    <row r="3904" spans="1:23" s="5" customFormat="1">
      <c r="A3904" s="6"/>
      <c r="B3904" s="33"/>
      <c r="C3904" s="35"/>
      <c r="E3904" s="39"/>
      <c r="G3904" s="40"/>
      <c r="H3904" s="15"/>
      <c r="I3904" s="17"/>
      <c r="J3904" s="10"/>
      <c r="M3904" s="39"/>
      <c r="O3904" s="39"/>
      <c r="Q3904" s="39"/>
      <c r="R3904" s="28"/>
      <c r="S3904" s="28"/>
      <c r="T3904" s="28"/>
      <c r="U3904" s="4"/>
      <c r="V3904" s="3"/>
      <c r="W3904" s="3"/>
    </row>
    <row r="3905" spans="1:23" s="5" customFormat="1">
      <c r="A3905" s="6"/>
      <c r="B3905" s="33"/>
      <c r="C3905" s="35"/>
      <c r="E3905" s="39"/>
      <c r="G3905" s="40"/>
      <c r="H3905" s="15"/>
      <c r="I3905" s="17"/>
      <c r="J3905" s="10"/>
      <c r="M3905" s="39"/>
      <c r="O3905" s="39"/>
      <c r="Q3905" s="39"/>
      <c r="R3905" s="28"/>
      <c r="S3905" s="28"/>
      <c r="T3905" s="28"/>
      <c r="U3905" s="4"/>
      <c r="V3905" s="3"/>
      <c r="W3905" s="3"/>
    </row>
    <row r="3906" spans="1:23" s="5" customFormat="1">
      <c r="A3906" s="6"/>
      <c r="B3906" s="33"/>
      <c r="C3906" s="35"/>
      <c r="E3906" s="39"/>
      <c r="G3906" s="40"/>
      <c r="H3906" s="15"/>
      <c r="I3906" s="17"/>
      <c r="J3906" s="10"/>
      <c r="M3906" s="39"/>
      <c r="O3906" s="39"/>
      <c r="Q3906" s="39"/>
      <c r="R3906" s="28"/>
      <c r="S3906" s="28"/>
      <c r="T3906" s="28"/>
      <c r="U3906" s="4"/>
      <c r="V3906" s="3"/>
      <c r="W3906" s="3"/>
    </row>
    <row r="3907" spans="1:23" s="5" customFormat="1">
      <c r="A3907" s="6"/>
      <c r="B3907" s="33"/>
      <c r="C3907" s="35"/>
      <c r="E3907" s="39"/>
      <c r="G3907" s="40"/>
      <c r="H3907" s="14"/>
      <c r="I3907" s="17"/>
      <c r="J3907" s="10"/>
      <c r="M3907" s="39"/>
      <c r="O3907" s="39"/>
      <c r="Q3907" s="39"/>
      <c r="R3907" s="28"/>
      <c r="S3907" s="28"/>
      <c r="T3907" s="28"/>
      <c r="U3907" s="4"/>
      <c r="V3907" s="3"/>
      <c r="W3907" s="3"/>
    </row>
    <row r="3908" spans="1:23" s="5" customFormat="1">
      <c r="A3908" s="6"/>
      <c r="B3908" s="33"/>
      <c r="C3908" s="35"/>
      <c r="E3908" s="39"/>
      <c r="G3908" s="40"/>
      <c r="H3908" s="14"/>
      <c r="I3908" s="17"/>
      <c r="J3908" s="10"/>
      <c r="M3908" s="39"/>
      <c r="O3908" s="39"/>
      <c r="Q3908" s="39"/>
      <c r="R3908" s="28"/>
      <c r="S3908" s="28"/>
      <c r="T3908" s="28"/>
      <c r="U3908" s="4"/>
      <c r="V3908" s="3"/>
      <c r="W3908" s="3"/>
    </row>
    <row r="3909" spans="1:23" s="5" customFormat="1">
      <c r="A3909" s="6"/>
      <c r="B3909" s="33"/>
      <c r="C3909" s="35"/>
      <c r="E3909" s="39"/>
      <c r="G3909" s="40"/>
      <c r="H3909" s="15"/>
      <c r="I3909" s="17"/>
      <c r="J3909" s="10"/>
      <c r="M3909" s="39"/>
      <c r="O3909" s="39"/>
      <c r="Q3909" s="39"/>
      <c r="R3909" s="28"/>
      <c r="S3909" s="28"/>
      <c r="T3909" s="28"/>
      <c r="U3909" s="4"/>
      <c r="V3909" s="3"/>
      <c r="W3909" s="3"/>
    </row>
    <row r="3910" spans="1:23" s="5" customFormat="1">
      <c r="A3910" s="6"/>
      <c r="B3910" s="33"/>
      <c r="C3910" s="35"/>
      <c r="E3910" s="39"/>
      <c r="G3910" s="40"/>
      <c r="H3910" s="15"/>
      <c r="I3910" s="17"/>
      <c r="J3910" s="10"/>
      <c r="M3910" s="39"/>
      <c r="O3910" s="39"/>
      <c r="Q3910" s="39"/>
      <c r="R3910" s="28"/>
      <c r="S3910" s="28"/>
      <c r="T3910" s="28"/>
      <c r="U3910" s="4"/>
      <c r="V3910" s="3"/>
      <c r="W3910" s="3"/>
    </row>
    <row r="3911" spans="1:23" s="5" customFormat="1">
      <c r="A3911" s="6"/>
      <c r="B3911" s="33"/>
      <c r="C3911" s="35"/>
      <c r="E3911" s="39"/>
      <c r="G3911" s="40"/>
      <c r="H3911" s="14"/>
      <c r="I3911" s="17"/>
      <c r="J3911" s="10"/>
      <c r="M3911" s="39"/>
      <c r="O3911" s="39"/>
      <c r="Q3911" s="39"/>
      <c r="R3911" s="28"/>
      <c r="S3911" s="28"/>
      <c r="T3911" s="28"/>
      <c r="U3911" s="4"/>
      <c r="V3911" s="3"/>
      <c r="W3911" s="3"/>
    </row>
    <row r="3912" spans="1:23" s="5" customFormat="1">
      <c r="A3912" s="6"/>
      <c r="B3912" s="33"/>
      <c r="C3912" s="35"/>
      <c r="E3912" s="39"/>
      <c r="G3912" s="40"/>
      <c r="H3912" s="15"/>
      <c r="I3912" s="17"/>
      <c r="J3912" s="10"/>
      <c r="M3912" s="39"/>
      <c r="O3912" s="39"/>
      <c r="Q3912" s="39"/>
      <c r="R3912" s="28"/>
      <c r="S3912" s="28"/>
      <c r="T3912" s="28"/>
      <c r="U3912" s="4"/>
      <c r="V3912" s="3"/>
      <c r="W3912" s="3"/>
    </row>
    <row r="3913" spans="1:23" s="5" customFormat="1">
      <c r="A3913" s="6"/>
      <c r="B3913" s="33"/>
      <c r="C3913" s="35"/>
      <c r="E3913" s="39"/>
      <c r="G3913" s="40"/>
      <c r="H3913" s="14"/>
      <c r="I3913" s="17"/>
      <c r="J3913" s="10"/>
      <c r="M3913" s="39"/>
      <c r="O3913" s="39"/>
      <c r="Q3913" s="39"/>
      <c r="R3913" s="28"/>
      <c r="S3913" s="28"/>
      <c r="T3913" s="28"/>
      <c r="U3913" s="4"/>
      <c r="V3913" s="3"/>
      <c r="W3913" s="3"/>
    </row>
    <row r="3914" spans="1:23" s="5" customFormat="1">
      <c r="A3914" s="6"/>
      <c r="B3914" s="33"/>
      <c r="C3914" s="35"/>
      <c r="E3914" s="39"/>
      <c r="G3914" s="40"/>
      <c r="H3914" s="14"/>
      <c r="I3914" s="17"/>
      <c r="J3914" s="10"/>
      <c r="M3914" s="39"/>
      <c r="O3914" s="39"/>
      <c r="Q3914" s="39"/>
      <c r="R3914" s="28"/>
      <c r="S3914" s="28"/>
      <c r="T3914" s="28"/>
      <c r="U3914" s="4"/>
      <c r="V3914" s="3"/>
      <c r="W3914" s="3"/>
    </row>
    <row r="3915" spans="1:23" s="5" customFormat="1">
      <c r="A3915" s="6"/>
      <c r="B3915" s="33"/>
      <c r="C3915" s="35"/>
      <c r="E3915" s="39"/>
      <c r="G3915" s="40"/>
      <c r="H3915" s="14"/>
      <c r="I3915" s="17"/>
      <c r="J3915" s="10"/>
      <c r="M3915" s="39"/>
      <c r="O3915" s="39"/>
      <c r="Q3915" s="39"/>
      <c r="R3915" s="28"/>
      <c r="S3915" s="28"/>
      <c r="T3915" s="28"/>
      <c r="U3915" s="4"/>
      <c r="V3915" s="3"/>
      <c r="W3915" s="3"/>
    </row>
    <row r="3916" spans="1:23" s="5" customFormat="1">
      <c r="A3916" s="6"/>
      <c r="B3916" s="33"/>
      <c r="C3916" s="35"/>
      <c r="E3916" s="39"/>
      <c r="G3916" s="40"/>
      <c r="H3916" s="14"/>
      <c r="I3916" s="17"/>
      <c r="J3916" s="10"/>
      <c r="M3916" s="39"/>
      <c r="O3916" s="39"/>
      <c r="Q3916" s="39"/>
      <c r="R3916" s="28"/>
      <c r="S3916" s="28"/>
      <c r="T3916" s="28"/>
      <c r="U3916" s="4"/>
      <c r="V3916" s="3"/>
      <c r="W3916" s="3"/>
    </row>
    <row r="3917" spans="1:23" s="5" customFormat="1">
      <c r="A3917" s="6"/>
      <c r="B3917" s="33"/>
      <c r="C3917" s="35"/>
      <c r="E3917" s="39"/>
      <c r="G3917" s="40"/>
      <c r="H3917" s="14"/>
      <c r="I3917" s="17"/>
      <c r="J3917" s="10"/>
      <c r="M3917" s="39"/>
      <c r="O3917" s="39"/>
      <c r="Q3917" s="39"/>
      <c r="R3917" s="28"/>
      <c r="S3917" s="28"/>
      <c r="T3917" s="28"/>
      <c r="U3917" s="4"/>
      <c r="V3917" s="3"/>
      <c r="W3917" s="3"/>
    </row>
    <row r="3918" spans="1:23" s="5" customFormat="1">
      <c r="A3918" s="6"/>
      <c r="B3918" s="33"/>
      <c r="C3918" s="35"/>
      <c r="E3918" s="39"/>
      <c r="G3918" s="40"/>
      <c r="H3918" s="14"/>
      <c r="I3918" s="17"/>
      <c r="J3918" s="10"/>
      <c r="M3918" s="39"/>
      <c r="O3918" s="39"/>
      <c r="Q3918" s="39"/>
      <c r="R3918" s="28"/>
      <c r="S3918" s="28"/>
      <c r="T3918" s="28"/>
      <c r="U3918" s="4"/>
      <c r="V3918" s="3"/>
      <c r="W3918" s="3"/>
    </row>
    <row r="3919" spans="1:23" s="5" customFormat="1">
      <c r="A3919" s="6"/>
      <c r="B3919" s="33"/>
      <c r="C3919" s="35"/>
      <c r="E3919" s="39"/>
      <c r="G3919" s="40"/>
      <c r="H3919" s="14"/>
      <c r="I3919" s="17"/>
      <c r="J3919" s="10"/>
      <c r="M3919" s="39"/>
      <c r="O3919" s="39"/>
      <c r="Q3919" s="39"/>
      <c r="R3919" s="28"/>
      <c r="S3919" s="28"/>
      <c r="T3919" s="28"/>
      <c r="U3919" s="4"/>
      <c r="V3919" s="3"/>
      <c r="W3919" s="3"/>
    </row>
    <row r="3920" spans="1:23" s="5" customFormat="1">
      <c r="A3920" s="6"/>
      <c r="B3920" s="33"/>
      <c r="C3920" s="35"/>
      <c r="E3920" s="39"/>
      <c r="G3920" s="40"/>
      <c r="H3920" s="14"/>
      <c r="I3920" s="17"/>
      <c r="J3920" s="10"/>
      <c r="M3920" s="39"/>
      <c r="O3920" s="39"/>
      <c r="Q3920" s="39"/>
      <c r="R3920" s="28"/>
      <c r="S3920" s="28"/>
      <c r="T3920" s="28"/>
      <c r="U3920" s="4"/>
      <c r="V3920" s="3"/>
      <c r="W3920" s="3"/>
    </row>
    <row r="3921" spans="1:23" s="5" customFormat="1">
      <c r="A3921" s="6"/>
      <c r="B3921" s="33"/>
      <c r="C3921" s="35"/>
      <c r="E3921" s="39"/>
      <c r="G3921" s="40"/>
      <c r="H3921" s="14"/>
      <c r="I3921" s="17"/>
      <c r="J3921" s="10"/>
      <c r="M3921" s="39"/>
      <c r="O3921" s="39"/>
      <c r="Q3921" s="39"/>
      <c r="R3921" s="28"/>
      <c r="S3921" s="28"/>
      <c r="T3921" s="28"/>
      <c r="U3921" s="4"/>
      <c r="V3921" s="3"/>
      <c r="W3921" s="3"/>
    </row>
    <row r="3922" spans="1:23" s="5" customFormat="1">
      <c r="A3922" s="6"/>
      <c r="B3922" s="33"/>
      <c r="C3922" s="35"/>
      <c r="E3922" s="39"/>
      <c r="G3922" s="40"/>
      <c r="H3922" s="15"/>
      <c r="I3922" s="17"/>
      <c r="J3922" s="10"/>
      <c r="M3922" s="39"/>
      <c r="O3922" s="39"/>
      <c r="Q3922" s="39"/>
      <c r="R3922" s="28"/>
      <c r="S3922" s="28"/>
      <c r="T3922" s="28"/>
      <c r="U3922" s="4"/>
      <c r="V3922" s="3"/>
      <c r="W3922" s="3"/>
    </row>
    <row r="3923" spans="1:23" s="5" customFormat="1">
      <c r="A3923" s="6"/>
      <c r="B3923" s="33"/>
      <c r="C3923" s="35"/>
      <c r="E3923" s="39"/>
      <c r="G3923" s="40"/>
      <c r="H3923" s="15"/>
      <c r="I3923" s="17"/>
      <c r="J3923" s="10"/>
      <c r="M3923" s="39"/>
      <c r="O3923" s="39"/>
      <c r="Q3923" s="39"/>
      <c r="R3923" s="28"/>
      <c r="S3923" s="28"/>
      <c r="T3923" s="28"/>
      <c r="U3923" s="4"/>
      <c r="V3923" s="3"/>
      <c r="W3923" s="3"/>
    </row>
    <row r="3924" spans="1:23" s="5" customFormat="1">
      <c r="A3924" s="6"/>
      <c r="B3924" s="33"/>
      <c r="C3924" s="35"/>
      <c r="E3924" s="39"/>
      <c r="G3924" s="40"/>
      <c r="H3924" s="14"/>
      <c r="I3924" s="17"/>
      <c r="J3924" s="10"/>
      <c r="M3924" s="39"/>
      <c r="O3924" s="39"/>
      <c r="Q3924" s="39"/>
      <c r="R3924" s="28"/>
      <c r="S3924" s="28"/>
      <c r="T3924" s="28"/>
      <c r="U3924" s="4"/>
      <c r="V3924" s="3"/>
      <c r="W3924" s="3"/>
    </row>
    <row r="3925" spans="1:23" s="5" customFormat="1">
      <c r="A3925" s="6"/>
      <c r="B3925" s="33"/>
      <c r="C3925" s="35"/>
      <c r="E3925" s="39"/>
      <c r="G3925" s="40"/>
      <c r="H3925" s="14"/>
      <c r="I3925" s="17"/>
      <c r="J3925" s="10"/>
      <c r="M3925" s="39"/>
      <c r="O3925" s="39"/>
      <c r="Q3925" s="39"/>
      <c r="R3925" s="28"/>
      <c r="S3925" s="28"/>
      <c r="T3925" s="28"/>
      <c r="U3925" s="4"/>
      <c r="V3925" s="3"/>
      <c r="W3925" s="3"/>
    </row>
    <row r="3926" spans="1:23" s="5" customFormat="1">
      <c r="A3926" s="6"/>
      <c r="B3926" s="33"/>
      <c r="C3926" s="35"/>
      <c r="E3926" s="39"/>
      <c r="G3926" s="40"/>
      <c r="H3926" s="15"/>
      <c r="I3926" s="17"/>
      <c r="J3926" s="10"/>
      <c r="M3926" s="39"/>
      <c r="O3926" s="39"/>
      <c r="Q3926" s="39"/>
      <c r="R3926" s="28"/>
      <c r="S3926" s="28"/>
      <c r="T3926" s="28"/>
      <c r="U3926" s="4"/>
      <c r="V3926" s="3"/>
      <c r="W3926" s="3"/>
    </row>
    <row r="3927" spans="1:23" s="5" customFormat="1">
      <c r="A3927" s="6"/>
      <c r="B3927" s="33"/>
      <c r="C3927" s="35"/>
      <c r="E3927" s="39"/>
      <c r="G3927" s="40"/>
      <c r="H3927" s="14"/>
      <c r="I3927" s="17"/>
      <c r="J3927" s="10"/>
      <c r="M3927" s="39"/>
      <c r="O3927" s="39"/>
      <c r="Q3927" s="39"/>
      <c r="R3927" s="28"/>
      <c r="S3927" s="28"/>
      <c r="T3927" s="28"/>
      <c r="U3927" s="4"/>
      <c r="V3927" s="3"/>
      <c r="W3927" s="3"/>
    </row>
    <row r="3928" spans="1:23" s="5" customFormat="1">
      <c r="A3928" s="6"/>
      <c r="B3928" s="33"/>
      <c r="C3928" s="35"/>
      <c r="E3928" s="39"/>
      <c r="G3928" s="40"/>
      <c r="H3928" s="15"/>
      <c r="I3928" s="17"/>
      <c r="J3928" s="10"/>
      <c r="M3928" s="39"/>
      <c r="O3928" s="39"/>
      <c r="Q3928" s="39"/>
      <c r="R3928" s="28"/>
      <c r="S3928" s="28"/>
      <c r="T3928" s="28"/>
      <c r="U3928" s="4"/>
      <c r="V3928" s="3"/>
      <c r="W3928" s="3"/>
    </row>
    <row r="3929" spans="1:23" s="5" customFormat="1">
      <c r="A3929" s="6"/>
      <c r="B3929" s="33"/>
      <c r="C3929" s="35"/>
      <c r="E3929" s="39"/>
      <c r="G3929" s="40"/>
      <c r="H3929" s="14"/>
      <c r="I3929" s="17"/>
      <c r="J3929" s="10"/>
      <c r="M3929" s="39"/>
      <c r="O3929" s="39"/>
      <c r="Q3929" s="39"/>
      <c r="R3929" s="28"/>
      <c r="S3929" s="28"/>
      <c r="T3929" s="28"/>
      <c r="U3929" s="4"/>
      <c r="V3929" s="3"/>
      <c r="W3929" s="3"/>
    </row>
    <row r="3930" spans="1:23" s="5" customFormat="1">
      <c r="A3930" s="6"/>
      <c r="B3930" s="33"/>
      <c r="C3930" s="35"/>
      <c r="E3930" s="39"/>
      <c r="G3930" s="40"/>
      <c r="H3930" s="15"/>
      <c r="I3930" s="17"/>
      <c r="J3930" s="10"/>
      <c r="M3930" s="39"/>
      <c r="O3930" s="39"/>
      <c r="Q3930" s="39"/>
      <c r="R3930" s="28"/>
      <c r="S3930" s="28"/>
      <c r="T3930" s="28"/>
      <c r="U3930" s="4"/>
      <c r="V3930" s="3"/>
      <c r="W3930" s="3"/>
    </row>
    <row r="3931" spans="1:23" s="5" customFormat="1">
      <c r="A3931" s="6"/>
      <c r="B3931" s="33"/>
      <c r="C3931" s="35"/>
      <c r="E3931" s="39"/>
      <c r="G3931" s="40"/>
      <c r="H3931" s="14"/>
      <c r="I3931" s="17"/>
      <c r="J3931" s="10"/>
      <c r="M3931" s="39"/>
      <c r="O3931" s="39"/>
      <c r="Q3931" s="39"/>
      <c r="R3931" s="28"/>
      <c r="S3931" s="28"/>
      <c r="T3931" s="28"/>
      <c r="U3931" s="4"/>
      <c r="V3931" s="3"/>
      <c r="W3931" s="3"/>
    </row>
    <row r="3932" spans="1:23" s="5" customFormat="1">
      <c r="A3932" s="6"/>
      <c r="B3932" s="33"/>
      <c r="C3932" s="35"/>
      <c r="E3932" s="39"/>
      <c r="G3932" s="40"/>
      <c r="H3932" s="15"/>
      <c r="I3932" s="17"/>
      <c r="J3932" s="10"/>
      <c r="M3932" s="39"/>
      <c r="O3932" s="39"/>
      <c r="Q3932" s="39"/>
      <c r="R3932" s="28"/>
      <c r="S3932" s="28"/>
      <c r="T3932" s="28"/>
      <c r="U3932" s="4"/>
      <c r="V3932" s="3"/>
      <c r="W3932" s="3"/>
    </row>
    <row r="3933" spans="1:23" s="5" customFormat="1">
      <c r="A3933" s="6"/>
      <c r="B3933" s="33"/>
      <c r="C3933" s="35"/>
      <c r="E3933" s="39"/>
      <c r="G3933" s="40"/>
      <c r="H3933" s="15"/>
      <c r="I3933" s="17"/>
      <c r="J3933" s="10"/>
      <c r="M3933" s="39"/>
      <c r="O3933" s="39"/>
      <c r="Q3933" s="39"/>
      <c r="R3933" s="28"/>
      <c r="S3933" s="28"/>
      <c r="T3933" s="28"/>
      <c r="U3933" s="4"/>
      <c r="V3933" s="3"/>
      <c r="W3933" s="3"/>
    </row>
    <row r="3934" spans="1:23" s="5" customFormat="1">
      <c r="A3934" s="6"/>
      <c r="B3934" s="33"/>
      <c r="C3934" s="35"/>
      <c r="E3934" s="39"/>
      <c r="G3934" s="40"/>
      <c r="H3934" s="15"/>
      <c r="I3934" s="17"/>
      <c r="J3934" s="10"/>
      <c r="M3934" s="39"/>
      <c r="O3934" s="39"/>
      <c r="Q3934" s="39"/>
      <c r="R3934" s="28"/>
      <c r="S3934" s="28"/>
      <c r="T3934" s="28"/>
      <c r="U3934" s="4"/>
      <c r="V3934" s="3"/>
      <c r="W3934" s="3"/>
    </row>
    <row r="3935" spans="1:23" s="5" customFormat="1">
      <c r="A3935" s="6"/>
      <c r="B3935" s="33"/>
      <c r="C3935" s="35"/>
      <c r="E3935" s="39"/>
      <c r="G3935" s="40"/>
      <c r="H3935" s="15"/>
      <c r="I3935" s="17"/>
      <c r="J3935" s="10"/>
      <c r="M3935" s="39"/>
      <c r="O3935" s="39"/>
      <c r="Q3935" s="39"/>
      <c r="R3935" s="28"/>
      <c r="S3935" s="28"/>
      <c r="T3935" s="28"/>
      <c r="U3935" s="4"/>
      <c r="V3935" s="3"/>
      <c r="W3935" s="3"/>
    </row>
    <row r="3936" spans="1:23" s="5" customFormat="1">
      <c r="A3936" s="6"/>
      <c r="B3936" s="33"/>
      <c r="C3936" s="35"/>
      <c r="E3936" s="39"/>
      <c r="G3936" s="40"/>
      <c r="H3936" s="14"/>
      <c r="I3936" s="17"/>
      <c r="J3936" s="10"/>
      <c r="M3936" s="39"/>
      <c r="O3936" s="39"/>
      <c r="Q3936" s="39"/>
      <c r="R3936" s="28"/>
      <c r="S3936" s="28"/>
      <c r="T3936" s="28"/>
      <c r="U3936" s="4"/>
      <c r="V3936" s="3"/>
      <c r="W3936" s="3"/>
    </row>
    <row r="3937" spans="1:23" s="5" customFormat="1">
      <c r="A3937" s="6"/>
      <c r="B3937" s="33"/>
      <c r="C3937" s="35"/>
      <c r="E3937" s="39"/>
      <c r="G3937" s="40"/>
      <c r="H3937" s="15"/>
      <c r="I3937" s="17"/>
      <c r="J3937" s="10"/>
      <c r="M3937" s="39"/>
      <c r="O3937" s="39"/>
      <c r="Q3937" s="39"/>
      <c r="R3937" s="28"/>
      <c r="S3937" s="28"/>
      <c r="T3937" s="28"/>
      <c r="U3937" s="4"/>
      <c r="V3937" s="3"/>
      <c r="W3937" s="3"/>
    </row>
    <row r="3938" spans="1:23" s="5" customFormat="1">
      <c r="A3938" s="6"/>
      <c r="B3938" s="33"/>
      <c r="C3938" s="35"/>
      <c r="E3938" s="39"/>
      <c r="G3938" s="40"/>
      <c r="H3938" s="15"/>
      <c r="I3938" s="17"/>
      <c r="J3938" s="10"/>
      <c r="M3938" s="39"/>
      <c r="O3938" s="39"/>
      <c r="Q3938" s="39"/>
      <c r="R3938" s="28"/>
      <c r="S3938" s="28"/>
      <c r="T3938" s="28"/>
      <c r="U3938" s="4"/>
      <c r="V3938" s="3"/>
      <c r="W3938" s="3"/>
    </row>
    <row r="3939" spans="1:23" s="5" customFormat="1">
      <c r="A3939" s="6"/>
      <c r="B3939" s="33"/>
      <c r="C3939" s="35"/>
      <c r="E3939" s="39"/>
      <c r="G3939" s="40"/>
      <c r="H3939" s="15"/>
      <c r="I3939" s="17"/>
      <c r="J3939" s="10"/>
      <c r="M3939" s="39"/>
      <c r="O3939" s="39"/>
      <c r="Q3939" s="39"/>
      <c r="R3939" s="28"/>
      <c r="S3939" s="28"/>
      <c r="T3939" s="28"/>
      <c r="U3939" s="4"/>
      <c r="V3939" s="3"/>
      <c r="W3939" s="3"/>
    </row>
    <row r="3940" spans="1:23" s="5" customFormat="1">
      <c r="A3940" s="6"/>
      <c r="B3940" s="33"/>
      <c r="C3940" s="35"/>
      <c r="E3940" s="39"/>
      <c r="G3940" s="40"/>
      <c r="H3940" s="15"/>
      <c r="I3940" s="17"/>
      <c r="J3940" s="10"/>
      <c r="M3940" s="39"/>
      <c r="O3940" s="39"/>
      <c r="Q3940" s="39"/>
      <c r="R3940" s="28"/>
      <c r="S3940" s="28"/>
      <c r="T3940" s="28"/>
      <c r="U3940" s="4"/>
      <c r="V3940" s="3"/>
      <c r="W3940" s="3"/>
    </row>
    <row r="3941" spans="1:23" s="5" customFormat="1">
      <c r="A3941" s="6"/>
      <c r="B3941" s="33"/>
      <c r="C3941" s="35"/>
      <c r="E3941" s="39"/>
      <c r="G3941" s="40"/>
      <c r="H3941" s="14"/>
      <c r="I3941" s="17"/>
      <c r="J3941" s="10"/>
      <c r="M3941" s="39"/>
      <c r="O3941" s="39"/>
      <c r="Q3941" s="39"/>
      <c r="R3941" s="28"/>
      <c r="S3941" s="28"/>
      <c r="T3941" s="28"/>
      <c r="U3941" s="4"/>
      <c r="V3941" s="3"/>
      <c r="W3941" s="3"/>
    </row>
    <row r="3942" spans="1:23" s="5" customFormat="1">
      <c r="A3942" s="6"/>
      <c r="B3942" s="33"/>
      <c r="C3942" s="35"/>
      <c r="E3942" s="39"/>
      <c r="G3942" s="40"/>
      <c r="H3942" s="15"/>
      <c r="I3942" s="17"/>
      <c r="J3942" s="10"/>
      <c r="M3942" s="39"/>
      <c r="O3942" s="39"/>
      <c r="Q3942" s="39"/>
      <c r="R3942" s="28"/>
      <c r="S3942" s="28"/>
      <c r="T3942" s="28"/>
      <c r="U3942" s="4"/>
      <c r="V3942" s="3"/>
      <c r="W3942" s="3"/>
    </row>
    <row r="3943" spans="1:23" s="5" customFormat="1">
      <c r="A3943" s="6"/>
      <c r="B3943" s="33"/>
      <c r="C3943" s="35"/>
      <c r="E3943" s="39"/>
      <c r="G3943" s="40"/>
      <c r="H3943" s="14"/>
      <c r="I3943" s="17"/>
      <c r="J3943" s="10"/>
      <c r="M3943" s="39"/>
      <c r="O3943" s="39"/>
      <c r="Q3943" s="39"/>
      <c r="R3943" s="28"/>
      <c r="S3943" s="28"/>
      <c r="T3943" s="28"/>
      <c r="U3943" s="4"/>
      <c r="V3943" s="3"/>
      <c r="W3943" s="3"/>
    </row>
    <row r="3944" spans="1:23" s="5" customFormat="1">
      <c r="A3944" s="6"/>
      <c r="B3944" s="33"/>
      <c r="C3944" s="35"/>
      <c r="E3944" s="39"/>
      <c r="G3944" s="40"/>
      <c r="H3944" s="14"/>
      <c r="I3944" s="17"/>
      <c r="J3944" s="10"/>
      <c r="M3944" s="39"/>
      <c r="O3944" s="39"/>
      <c r="Q3944" s="39"/>
      <c r="R3944" s="28"/>
      <c r="S3944" s="28"/>
      <c r="T3944" s="28"/>
      <c r="U3944" s="4"/>
      <c r="V3944" s="3"/>
      <c r="W3944" s="3"/>
    </row>
    <row r="3945" spans="1:23" s="5" customFormat="1">
      <c r="A3945" s="6"/>
      <c r="B3945" s="33"/>
      <c r="C3945" s="35"/>
      <c r="E3945" s="39"/>
      <c r="G3945" s="40"/>
      <c r="H3945" s="15"/>
      <c r="I3945" s="17"/>
      <c r="J3945" s="10"/>
      <c r="M3945" s="39"/>
      <c r="O3945" s="39"/>
      <c r="Q3945" s="39"/>
      <c r="R3945" s="28"/>
      <c r="S3945" s="28"/>
      <c r="T3945" s="28"/>
      <c r="U3945" s="4"/>
      <c r="V3945" s="3"/>
      <c r="W3945" s="3"/>
    </row>
    <row r="3946" spans="1:23" s="5" customFormat="1">
      <c r="A3946" s="6"/>
      <c r="B3946" s="33"/>
      <c r="C3946" s="35"/>
      <c r="E3946" s="39"/>
      <c r="G3946" s="40"/>
      <c r="H3946" s="15"/>
      <c r="I3946" s="17"/>
      <c r="J3946" s="10"/>
      <c r="M3946" s="39"/>
      <c r="O3946" s="39"/>
      <c r="Q3946" s="39"/>
      <c r="R3946" s="28"/>
      <c r="S3946" s="28"/>
      <c r="T3946" s="28"/>
      <c r="U3946" s="4"/>
      <c r="V3946" s="3"/>
      <c r="W3946" s="3"/>
    </row>
    <row r="3947" spans="1:23" s="5" customFormat="1">
      <c r="A3947" s="6"/>
      <c r="B3947" s="33"/>
      <c r="C3947" s="35"/>
      <c r="E3947" s="39"/>
      <c r="G3947" s="40"/>
      <c r="H3947" s="15"/>
      <c r="I3947" s="17"/>
      <c r="J3947" s="10"/>
      <c r="M3947" s="39"/>
      <c r="O3947" s="39"/>
      <c r="Q3947" s="39"/>
      <c r="R3947" s="28"/>
      <c r="S3947" s="28"/>
      <c r="T3947" s="28"/>
      <c r="U3947" s="4"/>
      <c r="V3947" s="3"/>
      <c r="W3947" s="3"/>
    </row>
    <row r="3948" spans="1:23" s="5" customFormat="1">
      <c r="A3948" s="6"/>
      <c r="B3948" s="33"/>
      <c r="C3948" s="35"/>
      <c r="E3948" s="39"/>
      <c r="G3948" s="40"/>
      <c r="H3948" s="14"/>
      <c r="I3948" s="17"/>
      <c r="J3948" s="10"/>
      <c r="M3948" s="39"/>
      <c r="O3948" s="39"/>
      <c r="Q3948" s="39"/>
      <c r="R3948" s="28"/>
      <c r="S3948" s="28"/>
      <c r="T3948" s="28"/>
      <c r="U3948" s="4"/>
      <c r="V3948" s="3"/>
      <c r="W3948" s="3"/>
    </row>
    <row r="3949" spans="1:23" s="5" customFormat="1">
      <c r="A3949" s="6"/>
      <c r="B3949" s="33"/>
      <c r="C3949" s="35"/>
      <c r="E3949" s="39"/>
      <c r="G3949" s="40"/>
      <c r="H3949" s="15"/>
      <c r="I3949" s="17"/>
      <c r="J3949" s="10"/>
      <c r="M3949" s="39"/>
      <c r="O3949" s="39"/>
      <c r="Q3949" s="39"/>
      <c r="R3949" s="28"/>
      <c r="S3949" s="28"/>
      <c r="T3949" s="28"/>
      <c r="U3949" s="4"/>
      <c r="V3949" s="3"/>
      <c r="W3949" s="3"/>
    </row>
    <row r="3950" spans="1:23" s="5" customFormat="1">
      <c r="A3950" s="6"/>
      <c r="B3950" s="33"/>
      <c r="C3950" s="35"/>
      <c r="E3950" s="39"/>
      <c r="G3950" s="40"/>
      <c r="H3950" s="15"/>
      <c r="I3950" s="17"/>
      <c r="J3950" s="10"/>
      <c r="M3950" s="39"/>
      <c r="O3950" s="39"/>
      <c r="Q3950" s="39"/>
      <c r="R3950" s="28"/>
      <c r="S3950" s="28"/>
      <c r="T3950" s="28"/>
      <c r="U3950" s="4"/>
      <c r="V3950" s="3"/>
      <c r="W3950" s="3"/>
    </row>
    <row r="3951" spans="1:23" s="5" customFormat="1">
      <c r="A3951" s="6"/>
      <c r="B3951" s="33"/>
      <c r="C3951" s="35"/>
      <c r="E3951" s="39"/>
      <c r="G3951" s="40"/>
      <c r="H3951" s="15"/>
      <c r="I3951" s="17"/>
      <c r="J3951" s="10"/>
      <c r="M3951" s="39"/>
      <c r="O3951" s="39"/>
      <c r="Q3951" s="39"/>
      <c r="R3951" s="28"/>
      <c r="S3951" s="28"/>
      <c r="T3951" s="28"/>
      <c r="U3951" s="4"/>
      <c r="V3951" s="3"/>
      <c r="W3951" s="3"/>
    </row>
    <row r="3952" spans="1:23" s="5" customFormat="1">
      <c r="A3952" s="6"/>
      <c r="B3952" s="33"/>
      <c r="C3952" s="35"/>
      <c r="E3952" s="39"/>
      <c r="G3952" s="40"/>
      <c r="H3952" s="15"/>
      <c r="I3952" s="17"/>
      <c r="J3952" s="10"/>
      <c r="M3952" s="39"/>
      <c r="O3952" s="39"/>
      <c r="Q3952" s="39"/>
      <c r="R3952" s="28"/>
      <c r="S3952" s="28"/>
      <c r="T3952" s="28"/>
      <c r="U3952" s="4"/>
      <c r="V3952" s="3"/>
      <c r="W3952" s="3"/>
    </row>
    <row r="3953" spans="1:23" s="5" customFormat="1">
      <c r="A3953" s="6"/>
      <c r="B3953" s="33"/>
      <c r="C3953" s="35"/>
      <c r="E3953" s="39"/>
      <c r="G3953" s="40"/>
      <c r="H3953" s="15"/>
      <c r="I3953" s="17"/>
      <c r="J3953" s="10"/>
      <c r="M3953" s="39"/>
      <c r="O3953" s="39"/>
      <c r="Q3953" s="39"/>
      <c r="R3953" s="28"/>
      <c r="S3953" s="28"/>
      <c r="T3953" s="28"/>
      <c r="U3953" s="4"/>
      <c r="V3953" s="3"/>
      <c r="W3953" s="3"/>
    </row>
    <row r="3954" spans="1:23" s="5" customFormat="1">
      <c r="A3954" s="6"/>
      <c r="B3954" s="33"/>
      <c r="C3954" s="35"/>
      <c r="E3954" s="39"/>
      <c r="G3954" s="40"/>
      <c r="H3954" s="14"/>
      <c r="I3954" s="17"/>
      <c r="J3954" s="10"/>
      <c r="M3954" s="39"/>
      <c r="O3954" s="39"/>
      <c r="Q3954" s="39"/>
      <c r="R3954" s="28"/>
      <c r="S3954" s="28"/>
      <c r="T3954" s="28"/>
      <c r="U3954" s="4"/>
      <c r="V3954" s="3"/>
      <c r="W3954" s="3"/>
    </row>
    <row r="3955" spans="1:23" s="5" customFormat="1">
      <c r="A3955" s="6"/>
      <c r="B3955" s="33"/>
      <c r="C3955" s="35"/>
      <c r="E3955" s="39"/>
      <c r="G3955" s="40"/>
      <c r="H3955" s="14"/>
      <c r="I3955" s="17"/>
      <c r="J3955" s="10"/>
      <c r="M3955" s="39"/>
      <c r="O3955" s="39"/>
      <c r="Q3955" s="39"/>
      <c r="R3955" s="28"/>
      <c r="S3955" s="28"/>
      <c r="T3955" s="28"/>
      <c r="U3955" s="4"/>
      <c r="V3955" s="3"/>
      <c r="W3955" s="3"/>
    </row>
    <row r="3956" spans="1:23" s="5" customFormat="1">
      <c r="A3956" s="6"/>
      <c r="B3956" s="33"/>
      <c r="C3956" s="35"/>
      <c r="E3956" s="39"/>
      <c r="G3956" s="40"/>
      <c r="H3956" s="15"/>
      <c r="I3956" s="17"/>
      <c r="J3956" s="10"/>
      <c r="M3956" s="39"/>
      <c r="O3956" s="39"/>
      <c r="Q3956" s="39"/>
      <c r="R3956" s="28"/>
      <c r="S3956" s="28"/>
      <c r="T3956" s="28"/>
      <c r="U3956" s="4"/>
      <c r="V3956" s="3"/>
      <c r="W3956" s="3"/>
    </row>
    <row r="3957" spans="1:23" s="5" customFormat="1">
      <c r="A3957" s="6"/>
      <c r="B3957" s="33"/>
      <c r="C3957" s="35"/>
      <c r="E3957" s="39"/>
      <c r="G3957" s="40"/>
      <c r="H3957" s="15"/>
      <c r="I3957" s="17"/>
      <c r="J3957" s="10"/>
      <c r="M3957" s="39"/>
      <c r="O3957" s="39"/>
      <c r="Q3957" s="39"/>
      <c r="R3957" s="28"/>
      <c r="S3957" s="28"/>
      <c r="T3957" s="28"/>
      <c r="U3957" s="4"/>
      <c r="V3957" s="3"/>
      <c r="W3957" s="3"/>
    </row>
    <row r="3958" spans="1:23" s="5" customFormat="1">
      <c r="A3958" s="6"/>
      <c r="B3958" s="33"/>
      <c r="C3958" s="35"/>
      <c r="E3958" s="39"/>
      <c r="G3958" s="40"/>
      <c r="H3958" s="15"/>
      <c r="I3958" s="17"/>
      <c r="J3958" s="10"/>
      <c r="M3958" s="39"/>
      <c r="O3958" s="39"/>
      <c r="Q3958" s="39"/>
      <c r="R3958" s="28"/>
      <c r="S3958" s="28"/>
      <c r="T3958" s="28"/>
      <c r="U3958" s="4"/>
      <c r="V3958" s="3"/>
      <c r="W3958" s="3"/>
    </row>
    <row r="3959" spans="1:23" s="5" customFormat="1">
      <c r="A3959" s="6"/>
      <c r="B3959" s="33"/>
      <c r="C3959" s="35"/>
      <c r="E3959" s="39"/>
      <c r="G3959" s="40"/>
      <c r="H3959" s="15"/>
      <c r="I3959" s="17"/>
      <c r="J3959" s="10"/>
      <c r="M3959" s="39"/>
      <c r="O3959" s="39"/>
      <c r="Q3959" s="39"/>
      <c r="R3959" s="28"/>
      <c r="S3959" s="28"/>
      <c r="T3959" s="28"/>
      <c r="U3959" s="4"/>
      <c r="V3959" s="3"/>
      <c r="W3959" s="3"/>
    </row>
    <row r="3960" spans="1:23" s="5" customFormat="1">
      <c r="A3960" s="6"/>
      <c r="B3960" s="33"/>
      <c r="C3960" s="35"/>
      <c r="E3960" s="39"/>
      <c r="G3960" s="40"/>
      <c r="H3960" s="15"/>
      <c r="I3960" s="17"/>
      <c r="J3960" s="10"/>
      <c r="M3960" s="39"/>
      <c r="O3960" s="39"/>
      <c r="Q3960" s="39"/>
      <c r="R3960" s="28"/>
      <c r="S3960" s="28"/>
      <c r="T3960" s="28"/>
      <c r="U3960" s="4"/>
      <c r="V3960" s="3"/>
      <c r="W3960" s="3"/>
    </row>
    <row r="3961" spans="1:23" s="5" customFormat="1">
      <c r="A3961" s="6"/>
      <c r="B3961" s="33"/>
      <c r="C3961" s="35"/>
      <c r="E3961" s="39"/>
      <c r="G3961" s="40"/>
      <c r="H3961" s="14"/>
      <c r="I3961" s="17"/>
      <c r="J3961" s="10"/>
      <c r="M3961" s="39"/>
      <c r="O3961" s="39"/>
      <c r="Q3961" s="39"/>
      <c r="R3961" s="28"/>
      <c r="S3961" s="28"/>
      <c r="T3961" s="28"/>
      <c r="U3961" s="4"/>
      <c r="V3961" s="3"/>
      <c r="W3961" s="3"/>
    </row>
    <row r="3962" spans="1:23" s="5" customFormat="1">
      <c r="A3962" s="6"/>
      <c r="B3962" s="33"/>
      <c r="C3962" s="35"/>
      <c r="E3962" s="39"/>
      <c r="G3962" s="40"/>
      <c r="H3962" s="14"/>
      <c r="I3962" s="17"/>
      <c r="J3962" s="10"/>
      <c r="M3962" s="39"/>
      <c r="O3962" s="39"/>
      <c r="Q3962" s="39"/>
      <c r="R3962" s="28"/>
      <c r="S3962" s="28"/>
      <c r="T3962" s="28"/>
      <c r="U3962" s="4"/>
      <c r="V3962" s="3"/>
      <c r="W3962" s="3"/>
    </row>
    <row r="3963" spans="1:23" s="5" customFormat="1">
      <c r="A3963" s="6"/>
      <c r="B3963" s="33"/>
      <c r="C3963" s="35"/>
      <c r="E3963" s="39"/>
      <c r="G3963" s="40"/>
      <c r="H3963" s="15"/>
      <c r="I3963" s="17"/>
      <c r="J3963" s="10"/>
      <c r="M3963" s="39"/>
      <c r="O3963" s="39"/>
      <c r="Q3963" s="39"/>
      <c r="R3963" s="28"/>
      <c r="S3963" s="28"/>
      <c r="T3963" s="28"/>
      <c r="U3963" s="4"/>
      <c r="V3963" s="3"/>
      <c r="W3963" s="3"/>
    </row>
    <row r="3964" spans="1:23" s="5" customFormat="1">
      <c r="A3964" s="6"/>
      <c r="B3964" s="33"/>
      <c r="C3964" s="35"/>
      <c r="E3964" s="39"/>
      <c r="G3964" s="40"/>
      <c r="H3964" s="15"/>
      <c r="I3964" s="17"/>
      <c r="J3964" s="10"/>
      <c r="M3964" s="39"/>
      <c r="O3964" s="39"/>
      <c r="Q3964" s="39"/>
      <c r="R3964" s="28"/>
      <c r="S3964" s="28"/>
      <c r="T3964" s="28"/>
      <c r="U3964" s="4"/>
      <c r="V3964" s="3"/>
      <c r="W3964" s="3"/>
    </row>
    <row r="3965" spans="1:23" s="5" customFormat="1">
      <c r="A3965" s="6"/>
      <c r="B3965" s="33"/>
      <c r="C3965" s="35"/>
      <c r="E3965" s="39"/>
      <c r="G3965" s="40"/>
      <c r="H3965" s="14"/>
      <c r="I3965" s="17"/>
      <c r="J3965" s="10"/>
      <c r="M3965" s="39"/>
      <c r="O3965" s="39"/>
      <c r="Q3965" s="39"/>
      <c r="R3965" s="28"/>
      <c r="S3965" s="29"/>
      <c r="T3965" s="28"/>
      <c r="U3965" s="4"/>
      <c r="V3965" s="3"/>
      <c r="W3965" s="3"/>
    </row>
    <row r="3966" spans="1:23" s="5" customFormat="1">
      <c r="A3966" s="6"/>
      <c r="B3966" s="33"/>
      <c r="C3966" s="35"/>
      <c r="E3966" s="39"/>
      <c r="G3966" s="40"/>
      <c r="H3966" s="15"/>
      <c r="I3966" s="17"/>
      <c r="J3966" s="10"/>
      <c r="M3966" s="39"/>
      <c r="O3966" s="39"/>
      <c r="Q3966" s="39"/>
      <c r="R3966" s="28"/>
      <c r="S3966" s="28"/>
      <c r="T3966" s="28"/>
      <c r="U3966" s="4"/>
      <c r="V3966" s="3"/>
      <c r="W3966" s="3"/>
    </row>
    <row r="3967" spans="1:23" s="5" customFormat="1">
      <c r="A3967" s="6"/>
      <c r="B3967" s="33"/>
      <c r="C3967" s="35"/>
      <c r="E3967" s="39"/>
      <c r="G3967" s="40"/>
      <c r="H3967" s="15"/>
      <c r="I3967" s="17"/>
      <c r="J3967" s="10"/>
      <c r="K3967" s="1"/>
      <c r="M3967" s="39"/>
      <c r="O3967" s="39"/>
      <c r="Q3967" s="39"/>
      <c r="R3967" s="29"/>
      <c r="S3967" s="29"/>
      <c r="T3967" s="28"/>
      <c r="U3967" s="4"/>
      <c r="V3967" s="3"/>
      <c r="W3967" s="3"/>
    </row>
    <row r="3968" spans="1:23" s="5" customFormat="1">
      <c r="A3968" s="6"/>
      <c r="B3968" s="33"/>
      <c r="C3968" s="35"/>
      <c r="E3968" s="39"/>
      <c r="G3968" s="40"/>
      <c r="H3968" s="15"/>
      <c r="I3968" s="17"/>
      <c r="J3968" s="10"/>
      <c r="M3968" s="39"/>
      <c r="O3968" s="39"/>
      <c r="Q3968" s="39"/>
      <c r="R3968" s="28"/>
      <c r="S3968" s="28"/>
      <c r="T3968" s="28"/>
      <c r="U3968" s="4"/>
      <c r="V3968" s="3"/>
      <c r="W3968" s="3"/>
    </row>
    <row r="3969" spans="1:23" s="5" customFormat="1">
      <c r="A3969" s="6"/>
      <c r="B3969" s="33"/>
      <c r="C3969" s="35"/>
      <c r="E3969" s="39"/>
      <c r="G3969" s="40"/>
      <c r="H3969" s="15"/>
      <c r="I3969" s="17"/>
      <c r="J3969" s="10"/>
      <c r="M3969" s="39"/>
      <c r="O3969" s="39"/>
      <c r="Q3969" s="39"/>
      <c r="R3969" s="28"/>
      <c r="S3969" s="28"/>
      <c r="T3969" s="28"/>
      <c r="U3969" s="4"/>
      <c r="V3969" s="3"/>
      <c r="W3969" s="3"/>
    </row>
    <row r="3970" spans="1:23" s="5" customFormat="1">
      <c r="A3970" s="6"/>
      <c r="B3970" s="33"/>
      <c r="C3970" s="35"/>
      <c r="E3970" s="39"/>
      <c r="G3970" s="40"/>
      <c r="H3970" s="14"/>
      <c r="I3970" s="17"/>
      <c r="J3970" s="10"/>
      <c r="M3970" s="39"/>
      <c r="O3970" s="39"/>
      <c r="Q3970" s="39"/>
      <c r="R3970" s="28"/>
      <c r="S3970" s="28"/>
      <c r="T3970" s="28"/>
      <c r="U3970" s="4"/>
      <c r="V3970" s="3"/>
      <c r="W3970" s="3"/>
    </row>
    <row r="3971" spans="1:23" s="5" customFormat="1">
      <c r="A3971" s="6"/>
      <c r="B3971" s="33"/>
      <c r="C3971" s="35"/>
      <c r="E3971" s="39"/>
      <c r="G3971" s="40"/>
      <c r="H3971" s="15"/>
      <c r="I3971" s="17"/>
      <c r="J3971" s="10"/>
      <c r="M3971" s="39"/>
      <c r="O3971" s="39"/>
      <c r="Q3971" s="39"/>
      <c r="R3971" s="28"/>
      <c r="S3971" s="28"/>
      <c r="T3971" s="28"/>
      <c r="U3971" s="4"/>
      <c r="V3971" s="3"/>
      <c r="W3971" s="3"/>
    </row>
    <row r="3972" spans="1:23" s="5" customFormat="1">
      <c r="A3972" s="6"/>
      <c r="B3972" s="33"/>
      <c r="C3972" s="35"/>
      <c r="E3972" s="39"/>
      <c r="G3972" s="40"/>
      <c r="H3972" s="15"/>
      <c r="I3972" s="17"/>
      <c r="J3972" s="10"/>
      <c r="M3972" s="39"/>
      <c r="O3972" s="39"/>
      <c r="Q3972" s="39"/>
      <c r="R3972" s="28"/>
      <c r="S3972" s="28"/>
      <c r="T3972" s="28"/>
      <c r="U3972" s="4"/>
      <c r="V3972" s="3"/>
      <c r="W3972" s="3"/>
    </row>
    <row r="3973" spans="1:23" s="5" customFormat="1">
      <c r="A3973" s="6"/>
      <c r="B3973" s="33"/>
      <c r="C3973" s="35"/>
      <c r="E3973" s="39"/>
      <c r="G3973" s="40"/>
      <c r="H3973" s="15"/>
      <c r="I3973" s="17"/>
      <c r="J3973" s="10"/>
      <c r="M3973" s="39"/>
      <c r="O3973" s="39"/>
      <c r="Q3973" s="39"/>
      <c r="R3973" s="28"/>
      <c r="S3973" s="28"/>
      <c r="T3973" s="28"/>
      <c r="U3973" s="4"/>
      <c r="V3973" s="3"/>
      <c r="W3973" s="3"/>
    </row>
    <row r="3974" spans="1:23" s="5" customFormat="1">
      <c r="A3974" s="6"/>
      <c r="B3974" s="33"/>
      <c r="C3974" s="35"/>
      <c r="E3974" s="39"/>
      <c r="G3974" s="40"/>
      <c r="H3974" s="15"/>
      <c r="I3974" s="17"/>
      <c r="J3974" s="10"/>
      <c r="M3974" s="39"/>
      <c r="O3974" s="39"/>
      <c r="Q3974" s="39"/>
      <c r="R3974" s="28"/>
      <c r="S3974" s="28"/>
      <c r="T3974" s="28"/>
      <c r="U3974" s="4"/>
      <c r="V3974" s="3"/>
      <c r="W3974" s="3"/>
    </row>
    <row r="3975" spans="1:23" s="5" customFormat="1">
      <c r="A3975" s="6"/>
      <c r="B3975" s="33"/>
      <c r="C3975" s="35"/>
      <c r="E3975" s="39"/>
      <c r="G3975" s="40"/>
      <c r="H3975" s="15"/>
      <c r="I3975" s="17"/>
      <c r="J3975" s="10"/>
      <c r="M3975" s="39"/>
      <c r="O3975" s="39"/>
      <c r="Q3975" s="39"/>
      <c r="R3975" s="28"/>
      <c r="S3975" s="28"/>
      <c r="T3975" s="28"/>
      <c r="U3975" s="4"/>
      <c r="V3975" s="3"/>
      <c r="W3975" s="3"/>
    </row>
    <row r="3976" spans="1:23" s="5" customFormat="1">
      <c r="A3976" s="6"/>
      <c r="B3976" s="33"/>
      <c r="C3976" s="35"/>
      <c r="E3976" s="39"/>
      <c r="G3976" s="40"/>
      <c r="H3976" s="15"/>
      <c r="I3976" s="17"/>
      <c r="J3976" s="10"/>
      <c r="M3976" s="39"/>
      <c r="O3976" s="39"/>
      <c r="Q3976" s="39"/>
      <c r="R3976" s="28"/>
      <c r="S3976" s="28"/>
      <c r="T3976" s="28"/>
      <c r="U3976" s="4"/>
      <c r="V3976" s="3"/>
      <c r="W3976" s="3"/>
    </row>
    <row r="3977" spans="1:23" s="5" customFormat="1">
      <c r="A3977" s="6"/>
      <c r="B3977" s="33"/>
      <c r="C3977" s="35"/>
      <c r="E3977" s="39"/>
      <c r="G3977" s="40"/>
      <c r="H3977" s="15"/>
      <c r="I3977" s="17"/>
      <c r="J3977" s="10"/>
      <c r="M3977" s="39"/>
      <c r="O3977" s="39"/>
      <c r="Q3977" s="39"/>
      <c r="R3977" s="28"/>
      <c r="S3977" s="28"/>
      <c r="T3977" s="28"/>
      <c r="U3977" s="4"/>
      <c r="V3977" s="3"/>
      <c r="W3977" s="3"/>
    </row>
    <row r="3978" spans="1:23" s="5" customFormat="1">
      <c r="A3978" s="6"/>
      <c r="B3978" s="33"/>
      <c r="C3978" s="35"/>
      <c r="E3978" s="39"/>
      <c r="G3978" s="40"/>
      <c r="H3978" s="14"/>
      <c r="I3978" s="17"/>
      <c r="J3978" s="10"/>
      <c r="M3978" s="39"/>
      <c r="O3978" s="39"/>
      <c r="Q3978" s="39"/>
      <c r="R3978" s="28"/>
      <c r="S3978" s="28"/>
      <c r="T3978" s="28"/>
      <c r="U3978" s="4"/>
      <c r="V3978" s="3"/>
      <c r="W3978" s="3"/>
    </row>
    <row r="3979" spans="1:23" s="5" customFormat="1">
      <c r="A3979" s="6"/>
      <c r="B3979" s="33"/>
      <c r="C3979" s="35"/>
      <c r="E3979" s="39"/>
      <c r="G3979" s="40"/>
      <c r="H3979" s="14"/>
      <c r="I3979" s="17"/>
      <c r="J3979" s="10"/>
      <c r="M3979" s="39"/>
      <c r="O3979" s="39"/>
      <c r="Q3979" s="39"/>
      <c r="R3979" s="28"/>
      <c r="S3979" s="28"/>
      <c r="T3979" s="28"/>
      <c r="U3979" s="4"/>
      <c r="V3979" s="3"/>
      <c r="W3979" s="3"/>
    </row>
    <row r="3980" spans="1:23" s="5" customFormat="1">
      <c r="A3980" s="6"/>
      <c r="B3980" s="33"/>
      <c r="C3980" s="35"/>
      <c r="E3980" s="39"/>
      <c r="G3980" s="40"/>
      <c r="H3980" s="15"/>
      <c r="I3980" s="17"/>
      <c r="J3980" s="10"/>
      <c r="M3980" s="39"/>
      <c r="O3980" s="39"/>
      <c r="Q3980" s="39"/>
      <c r="R3980" s="28"/>
      <c r="S3980" s="28"/>
      <c r="T3980" s="28"/>
      <c r="U3980" s="4"/>
      <c r="V3980" s="3"/>
      <c r="W3980" s="3"/>
    </row>
    <row r="3981" spans="1:23" s="5" customFormat="1">
      <c r="A3981" s="6"/>
      <c r="B3981" s="33"/>
      <c r="C3981" s="35"/>
      <c r="E3981" s="39"/>
      <c r="G3981" s="40"/>
      <c r="H3981" s="15"/>
      <c r="I3981" s="17"/>
      <c r="J3981" s="10"/>
      <c r="M3981" s="39"/>
      <c r="O3981" s="39"/>
      <c r="Q3981" s="39"/>
      <c r="R3981" s="28"/>
      <c r="S3981" s="28"/>
      <c r="T3981" s="28"/>
      <c r="U3981" s="4"/>
      <c r="V3981" s="3"/>
      <c r="W3981" s="3"/>
    </row>
    <row r="3982" spans="1:23" s="5" customFormat="1">
      <c r="A3982" s="6"/>
      <c r="B3982" s="33"/>
      <c r="C3982" s="35"/>
      <c r="E3982" s="39"/>
      <c r="G3982" s="40"/>
      <c r="H3982" s="15"/>
      <c r="I3982" s="17"/>
      <c r="J3982" s="10"/>
      <c r="M3982" s="39"/>
      <c r="O3982" s="39"/>
      <c r="Q3982" s="39"/>
      <c r="R3982" s="28"/>
      <c r="S3982" s="28"/>
      <c r="T3982" s="28"/>
      <c r="U3982" s="4"/>
      <c r="V3982" s="3"/>
      <c r="W3982" s="3"/>
    </row>
    <row r="3983" spans="1:23" s="5" customFormat="1">
      <c r="A3983" s="6"/>
      <c r="B3983" s="33"/>
      <c r="C3983" s="35"/>
      <c r="E3983" s="39"/>
      <c r="G3983" s="40"/>
      <c r="H3983" s="15"/>
      <c r="I3983" s="17"/>
      <c r="J3983" s="10"/>
      <c r="M3983" s="39"/>
      <c r="O3983" s="39"/>
      <c r="Q3983" s="39"/>
      <c r="R3983" s="28"/>
      <c r="S3983" s="28"/>
      <c r="T3983" s="28"/>
      <c r="U3983" s="4"/>
      <c r="V3983" s="3"/>
      <c r="W3983" s="3"/>
    </row>
    <row r="3984" spans="1:23" s="5" customFormat="1">
      <c r="A3984" s="6"/>
      <c r="B3984" s="33"/>
      <c r="C3984" s="35"/>
      <c r="E3984" s="39"/>
      <c r="G3984" s="40"/>
      <c r="H3984" s="15"/>
      <c r="I3984" s="17"/>
      <c r="J3984" s="10"/>
      <c r="M3984" s="39"/>
      <c r="O3984" s="39"/>
      <c r="Q3984" s="39"/>
      <c r="R3984" s="28"/>
      <c r="S3984" s="28"/>
      <c r="T3984" s="28"/>
      <c r="U3984" s="4"/>
      <c r="V3984" s="3"/>
      <c r="W3984" s="3"/>
    </row>
    <row r="3985" spans="1:24" s="5" customFormat="1">
      <c r="A3985" s="6"/>
      <c r="B3985" s="33"/>
      <c r="C3985" s="35"/>
      <c r="E3985" s="39"/>
      <c r="G3985" s="40"/>
      <c r="H3985" s="15"/>
      <c r="I3985" s="17"/>
      <c r="J3985" s="10"/>
      <c r="M3985" s="39"/>
      <c r="O3985" s="39"/>
      <c r="Q3985" s="39"/>
      <c r="R3985" s="28"/>
      <c r="S3985" s="28"/>
      <c r="T3985" s="28"/>
      <c r="U3985" s="4"/>
      <c r="V3985" s="3"/>
      <c r="W3985" s="3"/>
    </row>
    <row r="3986" spans="1:24">
      <c r="A3986" s="6"/>
      <c r="C3986" s="35"/>
      <c r="D3986" s="5"/>
      <c r="E3986" s="39"/>
      <c r="F3986" s="5"/>
      <c r="G3986" s="40"/>
      <c r="H3986" s="14"/>
      <c r="I3986" s="17"/>
      <c r="J3986" s="10"/>
      <c r="K3986" s="5"/>
      <c r="L3986" s="5"/>
      <c r="M3986" s="39"/>
      <c r="N3986" s="5"/>
      <c r="O3986" s="39"/>
      <c r="P3986" s="5"/>
      <c r="Q3986" s="39"/>
      <c r="V3986" s="3"/>
      <c r="W3986" s="3"/>
      <c r="X3986" s="5"/>
    </row>
    <row r="3987" spans="1:24">
      <c r="A3987" s="6"/>
      <c r="C3987" s="35"/>
      <c r="D3987" s="5"/>
      <c r="E3987" s="39"/>
      <c r="F3987" s="5"/>
      <c r="G3987" s="40"/>
      <c r="H3987" s="15"/>
      <c r="I3987" s="17"/>
      <c r="J3987" s="10"/>
      <c r="K3987" s="5"/>
      <c r="L3987" s="5"/>
      <c r="M3987" s="39"/>
      <c r="N3987" s="5"/>
      <c r="O3987" s="39"/>
      <c r="P3987" s="5"/>
      <c r="Q3987" s="39"/>
      <c r="V3987" s="3"/>
      <c r="W3987" s="3"/>
    </row>
    <row r="3988" spans="1:24">
      <c r="A3988" s="6"/>
      <c r="C3988" s="35"/>
      <c r="D3988" s="5"/>
      <c r="E3988" s="39"/>
      <c r="F3988" s="5"/>
      <c r="G3988" s="40"/>
      <c r="H3988" s="14"/>
      <c r="I3988" s="17"/>
      <c r="J3988" s="10"/>
      <c r="K3988" s="5"/>
      <c r="L3988" s="5"/>
      <c r="M3988" s="39"/>
      <c r="N3988" s="5"/>
      <c r="O3988" s="39"/>
      <c r="P3988" s="5"/>
      <c r="Q3988" s="39"/>
      <c r="V3988" s="3"/>
      <c r="W3988" s="3"/>
    </row>
    <row r="3989" spans="1:24">
      <c r="A3989" s="6"/>
      <c r="C3989" s="35"/>
      <c r="D3989" s="5"/>
      <c r="E3989" s="39"/>
      <c r="F3989" s="5"/>
      <c r="G3989" s="40"/>
      <c r="H3989" s="15"/>
      <c r="I3989" s="17"/>
      <c r="J3989" s="10"/>
      <c r="K3989" s="5"/>
      <c r="L3989" s="5"/>
      <c r="M3989" s="39"/>
      <c r="N3989" s="5"/>
      <c r="O3989" s="39"/>
      <c r="P3989" s="5"/>
      <c r="Q3989" s="39"/>
      <c r="V3989" s="3"/>
      <c r="W3989" s="3"/>
    </row>
    <row r="3990" spans="1:24">
      <c r="A3990" s="6"/>
      <c r="C3990" s="35"/>
      <c r="D3990" s="5"/>
      <c r="E3990" s="39"/>
      <c r="F3990" s="5"/>
      <c r="G3990" s="40"/>
      <c r="H3990" s="14"/>
      <c r="I3990" s="17"/>
      <c r="J3990" s="10"/>
      <c r="K3990" s="5"/>
      <c r="L3990" s="5"/>
      <c r="M3990" s="39"/>
      <c r="N3990" s="5"/>
      <c r="O3990" s="39"/>
      <c r="P3990" s="5"/>
      <c r="Q3990" s="39"/>
      <c r="V3990" s="3"/>
      <c r="W3990" s="3"/>
    </row>
    <row r="3991" spans="1:24">
      <c r="A3991" s="6"/>
      <c r="C3991" s="35"/>
      <c r="D3991" s="5"/>
      <c r="E3991" s="39"/>
      <c r="F3991" s="5"/>
      <c r="G3991" s="40"/>
      <c r="H3991" s="14"/>
      <c r="I3991" s="17"/>
      <c r="J3991" s="10"/>
      <c r="K3991" s="5"/>
      <c r="L3991" s="5"/>
      <c r="M3991" s="39"/>
      <c r="N3991" s="5"/>
      <c r="O3991" s="39"/>
      <c r="P3991" s="5"/>
      <c r="Q3991" s="39"/>
      <c r="V3991" s="3"/>
      <c r="W3991" s="3"/>
    </row>
    <row r="3992" spans="1:24">
      <c r="A3992" s="6"/>
      <c r="C3992" s="35"/>
      <c r="D3992" s="5"/>
      <c r="E3992" s="39"/>
      <c r="F3992" s="5"/>
      <c r="G3992" s="40"/>
      <c r="H3992" s="15"/>
      <c r="I3992" s="17"/>
      <c r="J3992" s="10"/>
      <c r="K3992" s="5"/>
      <c r="L3992" s="5"/>
      <c r="M3992" s="39"/>
      <c r="N3992" s="5"/>
      <c r="O3992" s="39"/>
      <c r="P3992" s="5"/>
      <c r="Q3992" s="39"/>
      <c r="V3992" s="3"/>
      <c r="W3992" s="3"/>
    </row>
    <row r="3993" spans="1:24">
      <c r="A3993" s="6"/>
      <c r="C3993" s="35"/>
      <c r="D3993" s="5"/>
      <c r="E3993" s="39"/>
      <c r="F3993" s="5"/>
      <c r="G3993" s="40"/>
      <c r="H3993" s="14"/>
      <c r="I3993" s="17"/>
      <c r="J3993" s="10"/>
      <c r="K3993" s="5"/>
      <c r="L3993" s="5"/>
      <c r="M3993" s="39"/>
      <c r="N3993" s="5"/>
      <c r="O3993" s="39"/>
      <c r="P3993" s="5"/>
      <c r="Q3993" s="39"/>
      <c r="V3993" s="3"/>
      <c r="W3993" s="3"/>
    </row>
    <row r="3994" spans="1:24">
      <c r="A3994" s="6"/>
      <c r="C3994" s="35"/>
      <c r="D3994" s="5"/>
      <c r="E3994" s="39"/>
      <c r="F3994" s="5"/>
      <c r="G3994" s="40"/>
      <c r="H3994" s="14"/>
      <c r="I3994" s="17"/>
      <c r="J3994" s="10"/>
      <c r="K3994" s="5"/>
      <c r="L3994" s="5"/>
      <c r="M3994" s="39"/>
      <c r="N3994" s="5"/>
      <c r="O3994" s="39"/>
      <c r="P3994" s="5"/>
      <c r="Q3994" s="39"/>
      <c r="V3994" s="3"/>
      <c r="W3994" s="3"/>
    </row>
    <row r="3995" spans="1:24">
      <c r="A3995" s="6"/>
      <c r="C3995" s="35"/>
      <c r="D3995" s="5"/>
      <c r="E3995" s="39"/>
      <c r="F3995" s="5"/>
      <c r="G3995" s="40"/>
      <c r="H3995" s="15"/>
      <c r="I3995" s="17"/>
      <c r="J3995" s="10"/>
      <c r="K3995" s="5"/>
      <c r="L3995" s="5"/>
      <c r="M3995" s="39"/>
      <c r="N3995" s="5"/>
      <c r="O3995" s="39"/>
      <c r="P3995" s="5"/>
      <c r="Q3995" s="39"/>
      <c r="V3995" s="3"/>
      <c r="W3995" s="3"/>
    </row>
    <row r="3996" spans="1:24">
      <c r="A3996" s="6"/>
      <c r="C3996" s="35"/>
      <c r="D3996" s="5"/>
      <c r="E3996" s="39"/>
      <c r="F3996" s="5"/>
      <c r="G3996" s="40"/>
      <c r="H3996" s="15"/>
      <c r="I3996" s="17"/>
      <c r="J3996" s="10"/>
      <c r="K3996" s="5"/>
      <c r="L3996" s="5"/>
      <c r="M3996" s="39"/>
      <c r="N3996" s="5"/>
      <c r="O3996" s="39"/>
      <c r="P3996" s="5"/>
      <c r="Q3996" s="39"/>
      <c r="V3996" s="3"/>
      <c r="W3996" s="3"/>
    </row>
    <row r="3997" spans="1:24">
      <c r="A3997" s="6"/>
      <c r="C3997" s="35"/>
      <c r="D3997" s="5"/>
      <c r="E3997" s="39"/>
      <c r="F3997" s="5"/>
      <c r="G3997" s="40"/>
      <c r="H3997" s="15"/>
      <c r="I3997" s="17"/>
      <c r="J3997" s="10"/>
      <c r="K3997" s="5"/>
      <c r="L3997" s="5"/>
      <c r="M3997" s="39"/>
      <c r="N3997" s="5"/>
      <c r="O3997" s="39"/>
      <c r="P3997" s="5"/>
      <c r="Q3997" s="39"/>
      <c r="V3997" s="3"/>
      <c r="W3997" s="3"/>
    </row>
    <row r="3998" spans="1:24">
      <c r="A3998" s="6"/>
      <c r="C3998" s="35"/>
      <c r="D3998" s="5"/>
      <c r="E3998" s="39"/>
      <c r="F3998" s="5"/>
      <c r="G3998" s="40"/>
      <c r="H3998" s="14"/>
      <c r="I3998" s="17"/>
      <c r="J3998" s="10"/>
      <c r="K3998" s="5"/>
      <c r="L3998" s="5"/>
      <c r="M3998" s="39"/>
      <c r="N3998" s="5"/>
      <c r="O3998" s="39"/>
      <c r="P3998" s="5"/>
      <c r="Q3998" s="39"/>
      <c r="V3998" s="3"/>
      <c r="W3998" s="3"/>
    </row>
    <row r="3999" spans="1:24">
      <c r="A3999" s="6"/>
      <c r="C3999" s="35"/>
      <c r="D3999" s="5"/>
      <c r="E3999" s="39"/>
      <c r="F3999" s="5"/>
      <c r="G3999" s="40"/>
      <c r="H3999" s="15"/>
      <c r="I3999" s="17"/>
      <c r="J3999" s="10"/>
      <c r="L3999" s="5"/>
      <c r="M3999" s="39"/>
      <c r="N3999" s="5"/>
      <c r="O3999" s="39"/>
      <c r="P3999" s="5"/>
      <c r="Q3999" s="39"/>
      <c r="V3999" s="3"/>
      <c r="W3999" s="3"/>
    </row>
    <row r="4000" spans="1:24">
      <c r="A4000" s="6"/>
      <c r="C4000" s="35"/>
      <c r="D4000" s="5"/>
      <c r="E4000" s="39"/>
      <c r="F4000" s="5"/>
      <c r="G4000" s="40"/>
      <c r="H4000" s="15"/>
      <c r="I4000" s="17"/>
      <c r="J4000" s="10"/>
      <c r="L4000" s="5"/>
      <c r="M4000" s="39"/>
      <c r="N4000" s="5"/>
      <c r="O4000" s="39"/>
      <c r="P4000" s="5"/>
      <c r="Q4000" s="39"/>
      <c r="V4000" s="3"/>
      <c r="W4000" s="3"/>
    </row>
    <row r="4001" spans="1:24">
      <c r="A4001" s="6"/>
      <c r="C4001" s="35"/>
      <c r="D4001" s="5"/>
      <c r="E4001" s="39"/>
      <c r="F4001" s="5"/>
      <c r="G4001" s="40"/>
      <c r="H4001" s="15"/>
      <c r="I4001" s="17"/>
      <c r="J4001" s="10"/>
      <c r="L4001" s="5"/>
      <c r="M4001" s="39"/>
      <c r="N4001" s="5"/>
      <c r="O4001" s="39"/>
      <c r="P4001" s="5"/>
      <c r="Q4001" s="39"/>
      <c r="V4001" s="3"/>
      <c r="W4001" s="3"/>
    </row>
    <row r="4002" spans="1:24">
      <c r="A4002" s="6"/>
      <c r="C4002" s="35"/>
      <c r="D4002" s="5"/>
      <c r="E4002" s="39"/>
      <c r="F4002" s="5"/>
      <c r="G4002" s="40"/>
      <c r="H4002" s="15"/>
      <c r="I4002" s="17"/>
      <c r="J4002" s="10"/>
      <c r="L4002" s="5"/>
      <c r="M4002" s="39"/>
      <c r="N4002" s="5"/>
      <c r="O4002" s="39"/>
      <c r="P4002" s="5"/>
      <c r="Q4002" s="39"/>
      <c r="V4002" s="3"/>
      <c r="W4002" s="3"/>
    </row>
    <row r="4003" spans="1:24">
      <c r="A4003" s="6"/>
      <c r="C4003" s="35"/>
      <c r="D4003" s="5"/>
      <c r="E4003" s="39"/>
      <c r="F4003" s="5"/>
      <c r="G4003" s="40"/>
      <c r="H4003" s="15"/>
      <c r="I4003" s="17"/>
      <c r="J4003" s="10"/>
      <c r="L4003" s="5"/>
      <c r="M4003" s="39"/>
      <c r="N4003" s="5"/>
      <c r="O4003" s="39"/>
      <c r="P4003" s="5"/>
      <c r="Q4003" s="39"/>
      <c r="V4003" s="3"/>
      <c r="W4003" s="3"/>
    </row>
    <row r="4004" spans="1:24">
      <c r="A4004" s="6"/>
      <c r="C4004" s="35"/>
      <c r="D4004" s="5"/>
      <c r="E4004" s="39"/>
      <c r="F4004" s="5"/>
      <c r="G4004" s="40"/>
      <c r="H4004" s="14"/>
      <c r="I4004" s="17"/>
      <c r="J4004" s="10"/>
      <c r="L4004" s="5"/>
      <c r="M4004" s="39"/>
      <c r="N4004" s="5"/>
      <c r="O4004" s="39"/>
      <c r="P4004" s="5"/>
      <c r="Q4004" s="39"/>
      <c r="V4004" s="3"/>
      <c r="W4004" s="3"/>
    </row>
    <row r="4005" spans="1:24">
      <c r="A4005" s="6"/>
      <c r="C4005" s="35"/>
      <c r="D4005" s="5"/>
      <c r="E4005" s="39"/>
      <c r="F4005" s="5"/>
      <c r="G4005" s="40"/>
      <c r="H4005" s="15"/>
      <c r="I4005" s="17"/>
      <c r="J4005" s="10"/>
      <c r="L4005" s="5"/>
      <c r="M4005" s="39"/>
      <c r="N4005" s="5"/>
      <c r="O4005" s="39"/>
      <c r="P4005" s="5"/>
      <c r="Q4005" s="39"/>
      <c r="V4005" s="3"/>
      <c r="W4005" s="3"/>
    </row>
    <row r="4006" spans="1:24">
      <c r="A4006" s="6"/>
      <c r="C4006" s="35"/>
      <c r="D4006" s="5"/>
      <c r="E4006" s="39"/>
      <c r="F4006" s="5"/>
      <c r="G4006" s="40"/>
      <c r="H4006" s="15"/>
      <c r="I4006" s="17"/>
      <c r="J4006" s="10"/>
      <c r="L4006" s="5"/>
      <c r="M4006" s="39"/>
      <c r="N4006" s="5"/>
      <c r="O4006" s="39"/>
      <c r="P4006" s="5"/>
      <c r="Q4006" s="39"/>
      <c r="V4006" s="3"/>
      <c r="W4006" s="3"/>
    </row>
    <row r="4007" spans="1:24">
      <c r="A4007" s="6"/>
      <c r="C4007" s="35"/>
      <c r="D4007" s="5"/>
      <c r="E4007" s="39"/>
      <c r="F4007" s="5"/>
      <c r="G4007" s="40"/>
      <c r="H4007" s="14"/>
      <c r="I4007" s="17"/>
      <c r="J4007" s="10"/>
      <c r="L4007" s="5"/>
      <c r="M4007" s="39"/>
      <c r="N4007" s="5"/>
      <c r="O4007" s="39"/>
      <c r="P4007" s="5"/>
      <c r="Q4007" s="39"/>
      <c r="V4007" s="3"/>
      <c r="W4007" s="3"/>
    </row>
    <row r="4008" spans="1:24">
      <c r="C4008" s="35"/>
      <c r="E4008" s="39"/>
      <c r="G4008" s="40"/>
      <c r="M4008" s="39"/>
      <c r="O4008" s="39"/>
      <c r="Q4008" s="39"/>
      <c r="V4008" s="3"/>
      <c r="W4008" s="3"/>
      <c r="X4008" s="5"/>
    </row>
    <row r="4009" spans="1:24">
      <c r="A4009" s="6"/>
      <c r="C4009" s="35"/>
      <c r="D4009" s="5"/>
      <c r="E4009" s="39"/>
      <c r="F4009" s="5"/>
      <c r="G4009" s="40"/>
      <c r="H4009" s="15"/>
      <c r="I4009" s="17"/>
      <c r="J4009" s="10"/>
      <c r="L4009" s="5"/>
      <c r="M4009" s="39"/>
      <c r="N4009" s="5"/>
      <c r="O4009" s="39"/>
      <c r="P4009" s="5"/>
      <c r="Q4009" s="39"/>
      <c r="V4009" s="3"/>
      <c r="W4009" s="3"/>
    </row>
    <row r="4010" spans="1:24">
      <c r="C4010" s="35"/>
      <c r="E4010" s="39"/>
      <c r="G4010" s="40"/>
      <c r="I4010" s="17"/>
      <c r="M4010" s="39"/>
      <c r="O4010" s="39"/>
      <c r="Q4010" s="39"/>
      <c r="V4010" s="3"/>
      <c r="W4010" s="3"/>
    </row>
    <row r="4011" spans="1:24">
      <c r="A4011" s="6"/>
      <c r="C4011" s="35"/>
      <c r="D4011" s="5"/>
      <c r="E4011" s="39"/>
      <c r="F4011" s="5"/>
      <c r="G4011" s="40"/>
      <c r="H4011" s="14"/>
      <c r="I4011" s="17"/>
      <c r="J4011" s="10"/>
      <c r="L4011" s="5"/>
      <c r="M4011" s="39"/>
      <c r="N4011" s="5"/>
      <c r="O4011" s="39"/>
      <c r="P4011" s="5"/>
      <c r="Q4011" s="39"/>
      <c r="V4011" s="3"/>
      <c r="W4011" s="3"/>
    </row>
    <row r="4012" spans="1:24">
      <c r="A4012" s="6"/>
      <c r="C4012" s="35"/>
      <c r="D4012" s="5"/>
      <c r="E4012" s="39"/>
      <c r="F4012" s="5"/>
      <c r="G4012" s="40"/>
      <c r="H4012" s="15"/>
      <c r="I4012" s="17"/>
      <c r="J4012" s="10"/>
      <c r="L4012" s="5"/>
      <c r="M4012" s="39"/>
      <c r="N4012" s="5"/>
      <c r="O4012" s="39"/>
      <c r="P4012" s="5"/>
      <c r="Q4012" s="39"/>
      <c r="V4012" s="3"/>
      <c r="W4012" s="3"/>
    </row>
    <row r="4013" spans="1:24">
      <c r="A4013" s="6"/>
      <c r="C4013" s="35"/>
      <c r="D4013" s="5"/>
      <c r="E4013" s="39"/>
      <c r="F4013" s="5"/>
      <c r="G4013" s="40"/>
      <c r="H4013" s="15"/>
      <c r="I4013" s="17"/>
      <c r="J4013" s="10"/>
      <c r="L4013" s="5"/>
      <c r="M4013" s="39"/>
      <c r="N4013" s="5"/>
      <c r="O4013" s="39"/>
      <c r="P4013" s="5"/>
      <c r="Q4013" s="39"/>
      <c r="V4013" s="3"/>
      <c r="W4013" s="3"/>
    </row>
    <row r="4014" spans="1:24">
      <c r="A4014" s="6"/>
      <c r="C4014" s="35"/>
      <c r="D4014" s="5"/>
      <c r="E4014" s="39"/>
      <c r="F4014" s="5"/>
      <c r="G4014" s="40"/>
      <c r="H4014" s="15"/>
      <c r="I4014" s="17"/>
      <c r="J4014" s="10"/>
      <c r="L4014" s="5"/>
      <c r="M4014" s="39"/>
      <c r="N4014" s="5"/>
      <c r="O4014" s="39"/>
      <c r="P4014" s="5"/>
      <c r="Q4014" s="39"/>
      <c r="V4014" s="3"/>
      <c r="W4014" s="3"/>
    </row>
    <row r="4015" spans="1:24">
      <c r="A4015" s="6"/>
      <c r="C4015" s="35"/>
      <c r="D4015" s="5"/>
      <c r="E4015" s="39"/>
      <c r="F4015" s="5"/>
      <c r="G4015" s="40"/>
      <c r="H4015" s="15"/>
      <c r="I4015" s="17"/>
      <c r="J4015" s="10"/>
      <c r="L4015" s="5"/>
      <c r="M4015" s="39"/>
      <c r="N4015" s="5"/>
      <c r="O4015" s="39"/>
      <c r="P4015" s="5"/>
      <c r="Q4015" s="39"/>
      <c r="V4015" s="3"/>
      <c r="W4015" s="3"/>
    </row>
    <row r="4016" spans="1:24">
      <c r="A4016" s="6"/>
      <c r="C4016" s="35"/>
      <c r="D4016" s="5"/>
      <c r="E4016" s="39"/>
      <c r="F4016" s="5"/>
      <c r="G4016" s="40"/>
      <c r="H4016" s="14"/>
      <c r="I4016" s="17"/>
      <c r="J4016" s="10"/>
      <c r="L4016" s="5"/>
      <c r="M4016" s="39"/>
      <c r="N4016" s="5"/>
      <c r="O4016" s="39"/>
      <c r="P4016" s="5"/>
      <c r="Q4016" s="39"/>
      <c r="V4016" s="3"/>
      <c r="W4016" s="3"/>
    </row>
    <row r="4017" spans="1:23">
      <c r="A4017" s="6"/>
      <c r="C4017" s="35"/>
      <c r="D4017" s="5"/>
      <c r="E4017" s="39"/>
      <c r="F4017" s="5"/>
      <c r="G4017" s="40"/>
      <c r="H4017" s="14"/>
      <c r="I4017" s="17"/>
      <c r="J4017" s="10"/>
      <c r="L4017" s="5"/>
      <c r="M4017" s="39"/>
      <c r="N4017" s="5"/>
      <c r="O4017" s="39"/>
      <c r="P4017" s="5"/>
      <c r="Q4017" s="39"/>
      <c r="V4017" s="3"/>
      <c r="W4017" s="3"/>
    </row>
    <row r="4018" spans="1:23">
      <c r="A4018" s="6"/>
      <c r="C4018" s="35"/>
      <c r="D4018" s="5"/>
      <c r="E4018" s="39"/>
      <c r="F4018" s="5"/>
      <c r="G4018" s="40"/>
      <c r="H4018" s="14"/>
      <c r="I4018" s="17"/>
      <c r="J4018" s="10"/>
      <c r="L4018" s="5"/>
      <c r="M4018" s="39"/>
      <c r="N4018" s="5"/>
      <c r="O4018" s="39"/>
      <c r="P4018" s="5"/>
      <c r="Q4018" s="39"/>
      <c r="V4018" s="3"/>
      <c r="W4018" s="3"/>
    </row>
    <row r="4019" spans="1:23">
      <c r="A4019" s="6"/>
      <c r="C4019" s="35"/>
      <c r="D4019" s="5"/>
      <c r="E4019" s="39"/>
      <c r="F4019" s="5"/>
      <c r="G4019" s="40"/>
      <c r="H4019" s="15"/>
      <c r="I4019" s="17"/>
      <c r="J4019" s="10"/>
      <c r="L4019" s="5"/>
      <c r="M4019" s="39"/>
      <c r="N4019" s="5"/>
      <c r="O4019" s="39"/>
      <c r="P4019" s="5"/>
      <c r="Q4019" s="39"/>
      <c r="V4019" s="3"/>
      <c r="W4019" s="3"/>
    </row>
    <row r="4020" spans="1:23">
      <c r="A4020" s="6"/>
      <c r="C4020" s="35"/>
      <c r="D4020" s="5"/>
      <c r="E4020" s="39"/>
      <c r="F4020" s="5"/>
      <c r="G4020" s="40"/>
      <c r="H4020" s="14"/>
      <c r="I4020" s="17"/>
      <c r="J4020" s="10"/>
      <c r="K4020" s="5"/>
      <c r="L4020" s="5"/>
      <c r="M4020" s="39"/>
      <c r="N4020" s="5"/>
      <c r="O4020" s="39"/>
      <c r="P4020" s="5"/>
      <c r="Q4020" s="39"/>
      <c r="V4020" s="3"/>
      <c r="W4020" s="3"/>
    </row>
    <row r="4021" spans="1:23">
      <c r="A4021" s="6"/>
      <c r="C4021" s="35"/>
      <c r="D4021" s="5"/>
      <c r="E4021" s="39"/>
      <c r="F4021" s="5"/>
      <c r="G4021" s="40"/>
      <c r="H4021" s="15"/>
      <c r="I4021" s="17"/>
      <c r="J4021" s="10"/>
      <c r="L4021" s="5"/>
      <c r="M4021" s="39"/>
      <c r="N4021" s="5"/>
      <c r="O4021" s="39"/>
      <c r="P4021" s="5"/>
      <c r="Q4021" s="39"/>
      <c r="V4021" s="3"/>
      <c r="W4021" s="3"/>
    </row>
    <row r="4022" spans="1:23">
      <c r="A4022" s="6"/>
      <c r="C4022" s="35"/>
      <c r="D4022" s="5"/>
      <c r="E4022" s="39"/>
      <c r="F4022" s="5"/>
      <c r="G4022" s="40"/>
      <c r="H4022" s="15"/>
      <c r="I4022" s="17"/>
      <c r="J4022" s="10"/>
      <c r="L4022" s="5"/>
      <c r="M4022" s="39"/>
      <c r="N4022" s="5"/>
      <c r="O4022" s="39"/>
      <c r="P4022" s="5"/>
      <c r="Q4022" s="39"/>
      <c r="V4022" s="3"/>
      <c r="W4022" s="3"/>
    </row>
    <row r="4023" spans="1:23">
      <c r="A4023" s="6"/>
      <c r="C4023" s="35"/>
      <c r="D4023" s="5"/>
      <c r="E4023" s="39"/>
      <c r="F4023" s="5"/>
      <c r="G4023" s="40"/>
      <c r="H4023" s="15"/>
      <c r="I4023" s="17"/>
      <c r="J4023" s="10"/>
      <c r="L4023" s="5"/>
      <c r="M4023" s="39"/>
      <c r="N4023" s="5"/>
      <c r="O4023" s="39"/>
      <c r="P4023" s="5"/>
      <c r="Q4023" s="39"/>
      <c r="V4023" s="3"/>
      <c r="W4023" s="3"/>
    </row>
    <row r="4024" spans="1:23">
      <c r="A4024" s="6"/>
      <c r="C4024" s="35"/>
      <c r="D4024" s="5"/>
      <c r="E4024" s="39"/>
      <c r="F4024" s="5"/>
      <c r="G4024" s="40"/>
      <c r="H4024" s="14"/>
      <c r="I4024" s="17"/>
      <c r="J4024" s="10"/>
      <c r="L4024" s="5"/>
      <c r="M4024" s="39"/>
      <c r="N4024" s="5"/>
      <c r="O4024" s="39"/>
      <c r="P4024" s="5"/>
      <c r="Q4024" s="39"/>
      <c r="V4024" s="3"/>
      <c r="W4024" s="3"/>
    </row>
    <row r="4025" spans="1:23">
      <c r="A4025" s="6"/>
      <c r="C4025" s="35"/>
      <c r="D4025" s="5"/>
      <c r="E4025" s="39"/>
      <c r="F4025" s="5"/>
      <c r="G4025" s="40"/>
      <c r="H4025" s="15"/>
      <c r="I4025" s="17"/>
      <c r="J4025" s="10"/>
      <c r="L4025" s="5"/>
      <c r="M4025" s="39"/>
      <c r="N4025" s="5"/>
      <c r="O4025" s="39"/>
      <c r="P4025" s="5"/>
      <c r="Q4025" s="39"/>
      <c r="V4025" s="3"/>
      <c r="W4025" s="3"/>
    </row>
    <row r="4026" spans="1:23">
      <c r="A4026" s="6"/>
      <c r="C4026" s="35"/>
      <c r="D4026" s="5"/>
      <c r="E4026" s="39"/>
      <c r="F4026" s="5"/>
      <c r="G4026" s="40"/>
      <c r="H4026" s="14"/>
      <c r="I4026" s="17"/>
      <c r="J4026" s="10"/>
      <c r="L4026" s="5"/>
      <c r="M4026" s="39"/>
      <c r="N4026" s="5"/>
      <c r="O4026" s="39"/>
      <c r="P4026" s="5"/>
      <c r="Q4026" s="39"/>
      <c r="V4026" s="3"/>
      <c r="W4026" s="3"/>
    </row>
    <row r="4027" spans="1:23">
      <c r="A4027" s="6"/>
      <c r="C4027" s="35"/>
      <c r="D4027" s="5"/>
      <c r="E4027" s="39"/>
      <c r="F4027" s="5"/>
      <c r="G4027" s="40"/>
      <c r="H4027" s="15"/>
      <c r="I4027" s="17"/>
      <c r="J4027" s="10"/>
      <c r="L4027" s="5"/>
      <c r="M4027" s="39"/>
      <c r="N4027" s="5"/>
      <c r="O4027" s="39"/>
      <c r="P4027" s="5"/>
      <c r="Q4027" s="39"/>
      <c r="V4027" s="3"/>
      <c r="W4027" s="3"/>
    </row>
    <row r="4028" spans="1:23">
      <c r="A4028" s="6"/>
      <c r="C4028" s="35"/>
      <c r="D4028" s="5"/>
      <c r="E4028" s="39"/>
      <c r="F4028" s="5"/>
      <c r="G4028" s="40"/>
      <c r="H4028" s="15"/>
      <c r="I4028" s="17"/>
      <c r="J4028" s="10"/>
      <c r="L4028" s="5"/>
      <c r="M4028" s="39"/>
      <c r="N4028" s="5"/>
      <c r="O4028" s="39"/>
      <c r="P4028" s="5"/>
      <c r="Q4028" s="39"/>
      <c r="V4028" s="3"/>
      <c r="W4028" s="3"/>
    </row>
    <row r="4029" spans="1:23">
      <c r="A4029" s="6"/>
      <c r="C4029" s="35"/>
      <c r="D4029" s="5"/>
      <c r="E4029" s="39"/>
      <c r="F4029" s="5"/>
      <c r="G4029" s="40"/>
      <c r="H4029" s="15"/>
      <c r="I4029" s="17"/>
      <c r="J4029" s="10"/>
      <c r="L4029" s="5"/>
      <c r="M4029" s="39"/>
      <c r="N4029" s="5"/>
      <c r="O4029" s="39"/>
      <c r="P4029" s="5"/>
      <c r="Q4029" s="39"/>
      <c r="V4029" s="3"/>
      <c r="W4029" s="3"/>
    </row>
    <row r="4030" spans="1:23">
      <c r="A4030" s="6"/>
      <c r="C4030" s="35"/>
      <c r="D4030" s="5"/>
      <c r="E4030" s="39"/>
      <c r="F4030" s="5"/>
      <c r="G4030" s="40"/>
      <c r="H4030" s="15"/>
      <c r="I4030" s="17"/>
      <c r="J4030" s="10"/>
      <c r="L4030" s="5"/>
      <c r="M4030" s="39"/>
      <c r="N4030" s="5"/>
      <c r="O4030" s="39"/>
      <c r="P4030" s="5"/>
      <c r="Q4030" s="39"/>
      <c r="V4030" s="3"/>
      <c r="W4030" s="3"/>
    </row>
    <row r="4031" spans="1:23">
      <c r="A4031" s="6"/>
      <c r="C4031" s="35"/>
      <c r="D4031" s="5"/>
      <c r="E4031" s="39"/>
      <c r="F4031" s="5"/>
      <c r="G4031" s="40"/>
      <c r="H4031" s="15"/>
      <c r="I4031" s="17"/>
      <c r="J4031" s="10"/>
      <c r="L4031" s="5"/>
      <c r="M4031" s="39"/>
      <c r="N4031" s="5"/>
      <c r="O4031" s="39"/>
      <c r="P4031" s="5"/>
      <c r="Q4031" s="39"/>
      <c r="V4031" s="3"/>
      <c r="W4031" s="3"/>
    </row>
    <row r="4032" spans="1:23">
      <c r="A4032" s="6"/>
      <c r="C4032" s="35"/>
      <c r="D4032" s="5"/>
      <c r="E4032" s="39"/>
      <c r="F4032" s="5"/>
      <c r="G4032" s="40"/>
      <c r="H4032" s="15"/>
      <c r="I4032" s="17"/>
      <c r="J4032" s="10"/>
      <c r="L4032" s="5"/>
      <c r="M4032" s="39"/>
      <c r="N4032" s="5"/>
      <c r="O4032" s="39"/>
      <c r="P4032" s="5"/>
      <c r="Q4032" s="39"/>
      <c r="V4032" s="3"/>
      <c r="W4032" s="3"/>
    </row>
    <row r="4033" spans="1:23">
      <c r="A4033" s="6"/>
      <c r="C4033" s="35"/>
      <c r="D4033" s="5"/>
      <c r="E4033" s="39"/>
      <c r="F4033" s="5"/>
      <c r="G4033" s="40"/>
      <c r="H4033" s="15"/>
      <c r="I4033" s="17"/>
      <c r="J4033" s="10"/>
      <c r="L4033" s="5"/>
      <c r="M4033" s="39"/>
      <c r="N4033" s="5"/>
      <c r="O4033" s="39"/>
      <c r="P4033" s="5"/>
      <c r="Q4033" s="39"/>
      <c r="V4033" s="3"/>
      <c r="W4033" s="3"/>
    </row>
    <row r="4034" spans="1:23">
      <c r="A4034" s="6"/>
      <c r="C4034" s="35"/>
      <c r="D4034" s="5"/>
      <c r="E4034" s="39"/>
      <c r="F4034" s="5"/>
      <c r="G4034" s="40"/>
      <c r="H4034" s="14"/>
      <c r="I4034" s="17"/>
      <c r="J4034" s="10"/>
      <c r="L4034" s="5"/>
      <c r="M4034" s="39"/>
      <c r="N4034" s="5"/>
      <c r="O4034" s="39"/>
      <c r="P4034" s="5"/>
      <c r="Q4034" s="39"/>
      <c r="V4034" s="3"/>
      <c r="W4034" s="3"/>
    </row>
    <row r="4035" spans="1:23">
      <c r="A4035" s="6"/>
      <c r="C4035" s="35"/>
      <c r="D4035" s="5"/>
      <c r="E4035" s="39"/>
      <c r="F4035" s="5"/>
      <c r="G4035" s="40"/>
      <c r="H4035" s="15"/>
      <c r="I4035" s="17"/>
      <c r="J4035" s="10"/>
      <c r="L4035" s="5"/>
      <c r="M4035" s="39"/>
      <c r="N4035" s="5"/>
      <c r="O4035" s="39"/>
      <c r="P4035" s="5"/>
      <c r="Q4035" s="39"/>
      <c r="V4035" s="3"/>
      <c r="W4035" s="3"/>
    </row>
    <row r="4036" spans="1:23">
      <c r="A4036" s="6"/>
      <c r="C4036" s="35"/>
      <c r="D4036" s="5"/>
      <c r="E4036" s="39"/>
      <c r="F4036" s="5"/>
      <c r="G4036" s="40"/>
      <c r="H4036" s="15"/>
      <c r="I4036" s="17"/>
      <c r="J4036" s="10"/>
      <c r="L4036" s="5"/>
      <c r="M4036" s="39"/>
      <c r="N4036" s="5"/>
      <c r="O4036" s="39"/>
      <c r="P4036" s="5"/>
      <c r="Q4036" s="39"/>
      <c r="V4036" s="3"/>
      <c r="W4036" s="3"/>
    </row>
    <row r="4037" spans="1:23">
      <c r="A4037" s="6"/>
      <c r="C4037" s="35"/>
      <c r="D4037" s="5"/>
      <c r="E4037" s="39"/>
      <c r="F4037" s="5"/>
      <c r="G4037" s="40"/>
      <c r="H4037" s="15"/>
      <c r="I4037" s="17"/>
      <c r="J4037" s="10"/>
      <c r="L4037" s="5"/>
      <c r="M4037" s="39"/>
      <c r="N4037" s="5"/>
      <c r="O4037" s="39"/>
      <c r="P4037" s="5"/>
      <c r="Q4037" s="39"/>
      <c r="V4037" s="3"/>
      <c r="W4037" s="3"/>
    </row>
    <row r="4038" spans="1:23">
      <c r="A4038" s="6"/>
      <c r="C4038" s="35"/>
      <c r="D4038" s="5"/>
      <c r="E4038" s="39"/>
      <c r="F4038" s="5"/>
      <c r="G4038" s="40"/>
      <c r="H4038" s="15"/>
      <c r="I4038" s="17"/>
      <c r="J4038" s="10"/>
      <c r="L4038" s="5"/>
      <c r="M4038" s="39"/>
      <c r="N4038" s="5"/>
      <c r="O4038" s="39"/>
      <c r="P4038" s="5"/>
      <c r="Q4038" s="39"/>
      <c r="V4038" s="3"/>
      <c r="W4038" s="3"/>
    </row>
    <row r="4039" spans="1:23">
      <c r="A4039" s="6"/>
      <c r="C4039" s="35"/>
      <c r="D4039" s="5"/>
      <c r="E4039" s="39"/>
      <c r="F4039" s="5"/>
      <c r="G4039" s="40"/>
      <c r="H4039" s="15"/>
      <c r="I4039" s="17"/>
      <c r="J4039" s="10"/>
      <c r="L4039" s="5"/>
      <c r="M4039" s="39"/>
      <c r="N4039" s="5"/>
      <c r="O4039" s="39"/>
      <c r="P4039" s="5"/>
      <c r="Q4039" s="39"/>
      <c r="V4039" s="3"/>
      <c r="W4039" s="3"/>
    </row>
    <row r="4040" spans="1:23">
      <c r="A4040" s="6"/>
      <c r="C4040" s="35"/>
      <c r="D4040" s="5"/>
      <c r="E4040" s="39"/>
      <c r="F4040" s="5"/>
      <c r="G4040" s="40"/>
      <c r="H4040" s="15"/>
      <c r="I4040" s="17"/>
      <c r="J4040" s="10"/>
      <c r="L4040" s="5"/>
      <c r="M4040" s="39"/>
      <c r="N4040" s="5"/>
      <c r="O4040" s="39"/>
      <c r="P4040" s="5"/>
      <c r="Q4040" s="39"/>
      <c r="V4040" s="3"/>
      <c r="W4040" s="3"/>
    </row>
    <row r="4041" spans="1:23">
      <c r="A4041" s="6"/>
      <c r="C4041" s="35"/>
      <c r="D4041" s="5"/>
      <c r="E4041" s="39"/>
      <c r="F4041" s="5"/>
      <c r="G4041" s="40"/>
      <c r="H4041" s="14"/>
      <c r="I4041" s="17"/>
      <c r="J4041" s="10"/>
      <c r="L4041" s="5"/>
      <c r="M4041" s="39"/>
      <c r="N4041" s="5"/>
      <c r="O4041" s="39"/>
      <c r="P4041" s="5"/>
      <c r="Q4041" s="39"/>
      <c r="V4041" s="3"/>
      <c r="W4041" s="3"/>
    </row>
    <row r="4042" spans="1:23">
      <c r="A4042" s="6"/>
      <c r="C4042" s="35"/>
      <c r="D4042" s="5"/>
      <c r="E4042" s="39"/>
      <c r="F4042" s="5"/>
      <c r="G4042" s="40"/>
      <c r="H4042" s="15"/>
      <c r="I4042" s="17"/>
      <c r="J4042" s="10"/>
      <c r="L4042" s="5"/>
      <c r="M4042" s="39"/>
      <c r="N4042" s="5"/>
      <c r="O4042" s="39"/>
      <c r="P4042" s="5"/>
      <c r="Q4042" s="39"/>
      <c r="V4042" s="3"/>
      <c r="W4042" s="3"/>
    </row>
    <row r="4043" spans="1:23">
      <c r="A4043" s="6"/>
      <c r="C4043" s="35"/>
      <c r="D4043" s="5"/>
      <c r="E4043" s="39"/>
      <c r="F4043" s="5"/>
      <c r="G4043" s="40"/>
      <c r="H4043" s="15"/>
      <c r="I4043" s="17"/>
      <c r="J4043" s="10"/>
      <c r="L4043" s="5"/>
      <c r="M4043" s="39"/>
      <c r="N4043" s="5"/>
      <c r="O4043" s="39"/>
      <c r="P4043" s="5"/>
      <c r="Q4043" s="39"/>
      <c r="V4043" s="3"/>
      <c r="W4043" s="3"/>
    </row>
    <row r="4044" spans="1:23">
      <c r="A4044" s="6"/>
      <c r="C4044" s="35"/>
      <c r="D4044" s="5"/>
      <c r="E4044" s="39"/>
      <c r="F4044" s="5"/>
      <c r="G4044" s="40"/>
      <c r="H4044" s="15"/>
      <c r="I4044" s="17"/>
      <c r="J4044" s="10"/>
      <c r="L4044" s="5"/>
      <c r="M4044" s="39"/>
      <c r="N4044" s="5"/>
      <c r="O4044" s="39"/>
      <c r="P4044" s="5"/>
      <c r="Q4044" s="39"/>
      <c r="V4044" s="3"/>
      <c r="W4044" s="3"/>
    </row>
    <row r="4045" spans="1:23">
      <c r="A4045" s="6"/>
      <c r="C4045" s="35"/>
      <c r="D4045" s="5"/>
      <c r="E4045" s="39"/>
      <c r="F4045" s="5"/>
      <c r="G4045" s="40"/>
      <c r="H4045" s="15"/>
      <c r="I4045" s="17"/>
      <c r="J4045" s="10"/>
      <c r="L4045" s="5"/>
      <c r="M4045" s="39"/>
      <c r="N4045" s="5"/>
      <c r="O4045" s="39"/>
      <c r="P4045" s="5"/>
      <c r="Q4045" s="39"/>
      <c r="V4045" s="3"/>
      <c r="W4045" s="3"/>
    </row>
    <row r="4046" spans="1:23">
      <c r="A4046" s="6"/>
      <c r="C4046" s="35"/>
      <c r="D4046" s="5"/>
      <c r="E4046" s="39"/>
      <c r="F4046" s="5"/>
      <c r="G4046" s="40"/>
      <c r="H4046" s="15"/>
      <c r="I4046" s="17"/>
      <c r="J4046" s="10"/>
      <c r="L4046" s="5"/>
      <c r="M4046" s="39"/>
      <c r="N4046" s="5"/>
      <c r="O4046" s="39"/>
      <c r="P4046" s="5"/>
      <c r="Q4046" s="39"/>
      <c r="V4046" s="3"/>
      <c r="W4046" s="3"/>
    </row>
    <row r="4047" spans="1:23">
      <c r="C4047" s="35"/>
      <c r="E4047" s="39"/>
      <c r="G4047" s="40"/>
      <c r="M4047" s="39"/>
      <c r="O4047" s="39"/>
      <c r="Q4047" s="39"/>
      <c r="V4047" s="3"/>
      <c r="W4047" s="3"/>
    </row>
    <row r="4048" spans="1:23">
      <c r="A4048" s="6"/>
      <c r="C4048" s="35"/>
      <c r="D4048" s="5"/>
      <c r="E4048" s="39"/>
      <c r="F4048" s="5"/>
      <c r="G4048" s="40"/>
      <c r="H4048" s="14"/>
      <c r="I4048" s="17"/>
      <c r="J4048" s="10"/>
      <c r="L4048" s="5"/>
      <c r="M4048" s="39"/>
      <c r="N4048" s="5"/>
      <c r="O4048" s="39"/>
      <c r="P4048" s="5"/>
      <c r="Q4048" s="39"/>
      <c r="V4048" s="3"/>
      <c r="W4048" s="3"/>
    </row>
    <row r="4049" spans="1:23">
      <c r="A4049" s="6"/>
      <c r="C4049" s="35"/>
      <c r="D4049" s="5"/>
      <c r="E4049" s="39"/>
      <c r="F4049" s="5"/>
      <c r="G4049" s="40"/>
      <c r="H4049" s="15"/>
      <c r="I4049" s="17"/>
      <c r="J4049" s="10"/>
      <c r="L4049" s="5"/>
      <c r="M4049" s="39"/>
      <c r="N4049" s="5"/>
      <c r="O4049" s="39"/>
      <c r="P4049" s="5"/>
      <c r="Q4049" s="39"/>
      <c r="V4049" s="3"/>
      <c r="W4049" s="3"/>
    </row>
    <row r="4050" spans="1:23">
      <c r="A4050" s="6"/>
      <c r="C4050" s="35"/>
      <c r="D4050" s="5"/>
      <c r="E4050" s="39"/>
      <c r="F4050" s="5"/>
      <c r="G4050" s="40"/>
      <c r="H4050" s="14"/>
      <c r="I4050" s="17"/>
      <c r="J4050" s="10"/>
      <c r="L4050" s="5"/>
      <c r="M4050" s="39"/>
      <c r="N4050" s="5"/>
      <c r="O4050" s="39"/>
      <c r="P4050" s="5"/>
      <c r="Q4050" s="39"/>
      <c r="V4050" s="3"/>
      <c r="W4050" s="3"/>
    </row>
    <row r="4051" spans="1:23">
      <c r="A4051" s="6"/>
      <c r="C4051" s="35"/>
      <c r="D4051" s="5"/>
      <c r="E4051" s="39"/>
      <c r="F4051" s="5"/>
      <c r="G4051" s="40"/>
      <c r="H4051" s="15"/>
      <c r="I4051" s="17"/>
      <c r="J4051" s="10"/>
      <c r="L4051" s="5"/>
      <c r="M4051" s="39"/>
      <c r="N4051" s="5"/>
      <c r="O4051" s="39"/>
      <c r="P4051" s="5"/>
      <c r="Q4051" s="39"/>
      <c r="V4051" s="3"/>
      <c r="W4051" s="3"/>
    </row>
    <row r="4052" spans="1:23">
      <c r="A4052" s="6"/>
      <c r="C4052" s="35"/>
      <c r="D4052" s="5"/>
      <c r="E4052" s="39"/>
      <c r="F4052" s="5"/>
      <c r="G4052" s="40"/>
      <c r="H4052" s="14"/>
      <c r="I4052" s="17"/>
      <c r="J4052" s="10"/>
      <c r="L4052" s="5"/>
      <c r="M4052" s="39"/>
      <c r="N4052" s="5"/>
      <c r="O4052" s="39"/>
      <c r="P4052" s="5"/>
      <c r="Q4052" s="39"/>
      <c r="V4052" s="3"/>
      <c r="W4052" s="3"/>
    </row>
    <row r="4053" spans="1:23">
      <c r="A4053" s="6"/>
      <c r="C4053" s="35"/>
      <c r="D4053" s="5"/>
      <c r="E4053" s="39"/>
      <c r="F4053" s="5"/>
      <c r="G4053" s="40"/>
      <c r="H4053" s="15"/>
      <c r="I4053" s="17"/>
      <c r="J4053" s="10"/>
      <c r="L4053" s="5"/>
      <c r="M4053" s="39"/>
      <c r="N4053" s="5"/>
      <c r="O4053" s="39"/>
      <c r="P4053" s="5"/>
      <c r="Q4053" s="39"/>
      <c r="V4053" s="3"/>
      <c r="W4053" s="3"/>
    </row>
    <row r="4054" spans="1:23">
      <c r="A4054" s="6"/>
      <c r="C4054" s="35"/>
      <c r="D4054" s="5"/>
      <c r="E4054" s="39"/>
      <c r="F4054" s="5"/>
      <c r="G4054" s="40"/>
      <c r="H4054" s="14"/>
      <c r="I4054" s="17"/>
      <c r="J4054" s="10"/>
      <c r="L4054" s="5"/>
      <c r="M4054" s="39"/>
      <c r="N4054" s="5"/>
      <c r="O4054" s="39"/>
      <c r="P4054" s="5"/>
      <c r="Q4054" s="39"/>
      <c r="V4054" s="3"/>
      <c r="W4054" s="3"/>
    </row>
    <row r="4055" spans="1:23">
      <c r="A4055" s="6"/>
      <c r="C4055" s="35"/>
      <c r="D4055" s="5"/>
      <c r="E4055" s="39"/>
      <c r="F4055" s="5"/>
      <c r="G4055" s="40"/>
      <c r="H4055" s="15"/>
      <c r="I4055" s="17"/>
      <c r="J4055" s="10"/>
      <c r="L4055" s="5"/>
      <c r="M4055" s="39"/>
      <c r="N4055" s="5"/>
      <c r="O4055" s="39"/>
      <c r="P4055" s="5"/>
      <c r="Q4055" s="39"/>
      <c r="V4055" s="3"/>
      <c r="W4055" s="3"/>
    </row>
    <row r="4056" spans="1:23">
      <c r="A4056" s="6"/>
      <c r="C4056" s="35"/>
      <c r="D4056" s="5"/>
      <c r="E4056" s="39"/>
      <c r="F4056" s="5"/>
      <c r="G4056" s="40"/>
      <c r="H4056" s="15"/>
      <c r="I4056" s="17"/>
      <c r="J4056" s="10"/>
      <c r="L4056" s="5"/>
      <c r="M4056" s="39"/>
      <c r="N4056" s="5"/>
      <c r="O4056" s="39"/>
      <c r="P4056" s="5"/>
      <c r="Q4056" s="39"/>
      <c r="V4056" s="3"/>
      <c r="W4056" s="3"/>
    </row>
    <row r="4057" spans="1:23">
      <c r="A4057" s="6"/>
      <c r="C4057" s="35"/>
      <c r="D4057" s="5"/>
      <c r="E4057" s="39"/>
      <c r="F4057" s="5"/>
      <c r="G4057" s="40"/>
      <c r="H4057" s="15"/>
      <c r="I4057" s="17"/>
      <c r="J4057" s="10"/>
      <c r="L4057" s="5"/>
      <c r="M4057" s="39"/>
      <c r="N4057" s="5"/>
      <c r="O4057" s="39"/>
      <c r="P4057" s="5"/>
      <c r="Q4057" s="39"/>
      <c r="V4057" s="3"/>
      <c r="W4057" s="3"/>
    </row>
    <row r="4058" spans="1:23">
      <c r="A4058" s="6"/>
      <c r="C4058" s="35"/>
      <c r="D4058" s="5"/>
      <c r="E4058" s="39"/>
      <c r="F4058" s="5"/>
      <c r="G4058" s="40"/>
      <c r="H4058" s="15"/>
      <c r="I4058" s="17"/>
      <c r="J4058" s="10"/>
      <c r="L4058" s="5"/>
      <c r="M4058" s="39"/>
      <c r="N4058" s="5"/>
      <c r="O4058" s="39"/>
      <c r="P4058" s="5"/>
      <c r="Q4058" s="39"/>
      <c r="V4058" s="3"/>
      <c r="W4058" s="3"/>
    </row>
    <row r="4059" spans="1:23">
      <c r="A4059" s="6"/>
      <c r="C4059" s="35"/>
      <c r="D4059" s="5"/>
      <c r="E4059" s="39"/>
      <c r="F4059" s="5"/>
      <c r="G4059" s="40"/>
      <c r="H4059" s="15"/>
      <c r="I4059" s="17"/>
      <c r="J4059" s="10"/>
      <c r="L4059" s="5"/>
      <c r="M4059" s="39"/>
      <c r="N4059" s="5"/>
      <c r="O4059" s="39"/>
      <c r="P4059" s="5"/>
      <c r="Q4059" s="39"/>
      <c r="V4059" s="3"/>
      <c r="W4059" s="3"/>
    </row>
    <row r="4060" spans="1:23">
      <c r="A4060" s="6"/>
      <c r="C4060" s="35"/>
      <c r="D4060" s="5"/>
      <c r="E4060" s="39"/>
      <c r="F4060" s="5"/>
      <c r="G4060" s="40"/>
      <c r="H4060" s="14"/>
      <c r="I4060" s="17"/>
      <c r="J4060" s="10"/>
      <c r="L4060" s="5"/>
      <c r="M4060" s="39"/>
      <c r="N4060" s="5"/>
      <c r="O4060" s="39"/>
      <c r="P4060" s="5"/>
      <c r="Q4060" s="39"/>
      <c r="V4060" s="3"/>
      <c r="W4060" s="3"/>
    </row>
    <row r="4061" spans="1:23">
      <c r="A4061" s="6"/>
      <c r="C4061" s="35"/>
      <c r="D4061" s="5"/>
      <c r="E4061" s="39"/>
      <c r="F4061" s="5"/>
      <c r="G4061" s="40"/>
      <c r="H4061" s="14"/>
      <c r="I4061" s="17"/>
      <c r="J4061" s="10"/>
      <c r="L4061" s="5"/>
      <c r="M4061" s="39"/>
      <c r="N4061" s="5"/>
      <c r="O4061" s="39"/>
      <c r="P4061" s="5"/>
      <c r="Q4061" s="39"/>
      <c r="V4061" s="3"/>
      <c r="W4061" s="3"/>
    </row>
    <row r="4062" spans="1:23">
      <c r="A4062" s="6"/>
      <c r="C4062" s="35"/>
      <c r="D4062" s="5"/>
      <c r="E4062" s="39"/>
      <c r="F4062" s="5"/>
      <c r="G4062" s="40"/>
      <c r="H4062" s="14"/>
      <c r="I4062" s="17"/>
      <c r="J4062" s="10"/>
      <c r="L4062" s="5"/>
      <c r="M4062" s="39"/>
      <c r="N4062" s="5"/>
      <c r="O4062" s="39"/>
      <c r="P4062" s="5"/>
      <c r="Q4062" s="39"/>
      <c r="V4062" s="3"/>
      <c r="W4062" s="3"/>
    </row>
    <row r="4063" spans="1:23">
      <c r="A4063" s="6"/>
      <c r="C4063" s="35"/>
      <c r="D4063" s="5"/>
      <c r="E4063" s="39"/>
      <c r="F4063" s="5"/>
      <c r="G4063" s="40"/>
      <c r="H4063" s="14"/>
      <c r="I4063" s="17"/>
      <c r="J4063" s="10"/>
      <c r="L4063" s="5"/>
      <c r="M4063" s="39"/>
      <c r="N4063" s="5"/>
      <c r="O4063" s="39"/>
      <c r="P4063" s="5"/>
      <c r="Q4063" s="39"/>
      <c r="V4063" s="3"/>
      <c r="W4063" s="3"/>
    </row>
    <row r="4064" spans="1:23">
      <c r="A4064" s="6"/>
      <c r="C4064" s="35"/>
      <c r="D4064" s="5"/>
      <c r="E4064" s="39"/>
      <c r="F4064" s="5"/>
      <c r="G4064" s="40"/>
      <c r="H4064" s="15"/>
      <c r="I4064" s="17"/>
      <c r="J4064" s="10"/>
      <c r="L4064" s="5"/>
      <c r="M4064" s="39"/>
      <c r="N4064" s="5"/>
      <c r="O4064" s="39"/>
      <c r="P4064" s="5"/>
      <c r="Q4064" s="39"/>
      <c r="V4064" s="3"/>
      <c r="W4064" s="3"/>
    </row>
    <row r="4065" spans="1:23">
      <c r="A4065" s="6"/>
      <c r="C4065" s="35"/>
      <c r="D4065" s="5"/>
      <c r="E4065" s="39"/>
      <c r="F4065" s="5"/>
      <c r="G4065" s="40"/>
      <c r="H4065" s="14"/>
      <c r="I4065" s="17"/>
      <c r="J4065" s="10"/>
      <c r="L4065" s="5"/>
      <c r="M4065" s="39"/>
      <c r="N4065" s="5"/>
      <c r="O4065" s="39"/>
      <c r="P4065" s="5"/>
      <c r="Q4065" s="39"/>
      <c r="V4065" s="3"/>
      <c r="W4065" s="3"/>
    </row>
    <row r="4066" spans="1:23">
      <c r="A4066" s="6"/>
      <c r="C4066" s="35"/>
      <c r="D4066" s="5"/>
      <c r="E4066" s="39"/>
      <c r="F4066" s="5"/>
      <c r="G4066" s="40"/>
      <c r="H4066" s="14"/>
      <c r="I4066" s="17"/>
      <c r="J4066" s="10"/>
      <c r="L4066" s="5"/>
      <c r="M4066" s="39"/>
      <c r="N4066" s="5"/>
      <c r="O4066" s="39"/>
      <c r="P4066" s="5"/>
      <c r="Q4066" s="39"/>
      <c r="V4066" s="3"/>
      <c r="W4066" s="3"/>
    </row>
    <row r="4067" spans="1:23">
      <c r="A4067" s="6"/>
      <c r="C4067" s="35"/>
      <c r="D4067" s="5"/>
      <c r="E4067" s="39"/>
      <c r="F4067" s="5"/>
      <c r="G4067" s="40"/>
      <c r="H4067" s="14"/>
      <c r="I4067" s="17"/>
      <c r="J4067" s="10"/>
      <c r="L4067" s="5"/>
      <c r="M4067" s="39"/>
      <c r="N4067" s="5"/>
      <c r="O4067" s="39"/>
      <c r="P4067" s="5"/>
      <c r="Q4067" s="39"/>
      <c r="V4067" s="3"/>
      <c r="W4067" s="3"/>
    </row>
    <row r="4068" spans="1:23">
      <c r="A4068" s="6"/>
      <c r="C4068" s="35"/>
      <c r="D4068" s="5"/>
      <c r="E4068" s="39"/>
      <c r="F4068" s="5"/>
      <c r="G4068" s="40"/>
      <c r="H4068" s="15"/>
      <c r="I4068" s="17"/>
      <c r="J4068" s="10"/>
      <c r="L4068" s="5"/>
      <c r="M4068" s="39"/>
      <c r="N4068" s="5"/>
      <c r="O4068" s="39"/>
      <c r="P4068" s="5"/>
      <c r="Q4068" s="39"/>
      <c r="V4068" s="3"/>
      <c r="W4068" s="3"/>
    </row>
    <row r="4069" spans="1:23">
      <c r="A4069" s="6"/>
      <c r="C4069" s="35"/>
      <c r="D4069" s="5"/>
      <c r="E4069" s="39"/>
      <c r="F4069" s="5"/>
      <c r="G4069" s="40"/>
      <c r="H4069" s="14"/>
      <c r="I4069" s="17"/>
      <c r="J4069" s="10"/>
      <c r="L4069" s="5"/>
      <c r="M4069" s="39"/>
      <c r="N4069" s="5"/>
      <c r="O4069" s="39"/>
      <c r="P4069" s="5"/>
      <c r="Q4069" s="39"/>
      <c r="V4069" s="3"/>
      <c r="W4069" s="3"/>
    </row>
    <row r="4070" spans="1:23">
      <c r="A4070" s="6"/>
      <c r="C4070" s="35"/>
      <c r="D4070" s="5"/>
      <c r="E4070" s="39"/>
      <c r="F4070" s="5"/>
      <c r="G4070" s="40"/>
      <c r="H4070" s="15"/>
      <c r="I4070" s="17"/>
      <c r="J4070" s="10"/>
      <c r="L4070" s="5"/>
      <c r="M4070" s="39"/>
      <c r="N4070" s="5"/>
      <c r="O4070" s="39"/>
      <c r="P4070" s="5"/>
      <c r="Q4070" s="39"/>
      <c r="V4070" s="3"/>
      <c r="W4070" s="3"/>
    </row>
    <row r="4071" spans="1:23">
      <c r="A4071" s="6"/>
      <c r="C4071" s="35"/>
      <c r="D4071" s="5"/>
      <c r="E4071" s="39"/>
      <c r="F4071" s="5"/>
      <c r="G4071" s="40"/>
      <c r="H4071" s="15"/>
      <c r="I4071" s="17"/>
      <c r="J4071" s="10"/>
      <c r="L4071" s="5"/>
      <c r="M4071" s="39"/>
      <c r="N4071" s="5"/>
      <c r="O4071" s="39"/>
      <c r="P4071" s="5"/>
      <c r="Q4071" s="39"/>
      <c r="V4071" s="3"/>
      <c r="W4071" s="3"/>
    </row>
    <row r="4072" spans="1:23">
      <c r="A4072" s="6"/>
      <c r="C4072" s="35"/>
      <c r="D4072" s="5"/>
      <c r="E4072" s="39"/>
      <c r="F4072" s="5"/>
      <c r="G4072" s="40"/>
      <c r="H4072" s="14"/>
      <c r="I4072" s="17"/>
      <c r="J4072" s="10"/>
      <c r="L4072" s="5"/>
      <c r="M4072" s="39"/>
      <c r="N4072" s="5"/>
      <c r="O4072" s="39"/>
      <c r="P4072" s="5"/>
      <c r="Q4072" s="39"/>
      <c r="V4072" s="3"/>
      <c r="W4072" s="3"/>
    </row>
    <row r="4073" spans="1:23">
      <c r="A4073" s="6"/>
      <c r="C4073" s="35"/>
      <c r="D4073" s="5"/>
      <c r="E4073" s="39"/>
      <c r="F4073" s="5"/>
      <c r="G4073" s="40"/>
      <c r="H4073" s="14"/>
      <c r="I4073" s="17"/>
      <c r="J4073" s="10"/>
      <c r="L4073" s="5"/>
      <c r="M4073" s="39"/>
      <c r="N4073" s="5"/>
      <c r="O4073" s="39"/>
      <c r="P4073" s="5"/>
      <c r="Q4073" s="39"/>
      <c r="V4073" s="3"/>
      <c r="W4073" s="3"/>
    </row>
    <row r="4074" spans="1:23">
      <c r="A4074" s="6"/>
      <c r="C4074" s="35"/>
      <c r="D4074" s="5"/>
      <c r="E4074" s="39"/>
      <c r="F4074" s="5"/>
      <c r="G4074" s="40"/>
      <c r="H4074" s="15"/>
      <c r="I4074" s="17"/>
      <c r="J4074" s="10"/>
      <c r="L4074" s="5"/>
      <c r="M4074" s="39"/>
      <c r="N4074" s="5"/>
      <c r="O4074" s="39"/>
      <c r="P4074" s="5"/>
      <c r="Q4074" s="39"/>
      <c r="V4074" s="3"/>
      <c r="W4074" s="3"/>
    </row>
    <row r="4075" spans="1:23">
      <c r="A4075" s="6"/>
      <c r="C4075" s="35"/>
      <c r="D4075" s="5"/>
      <c r="E4075" s="39"/>
      <c r="F4075" s="5"/>
      <c r="G4075" s="40"/>
      <c r="H4075" s="14"/>
      <c r="I4075" s="17"/>
      <c r="J4075" s="10"/>
      <c r="L4075" s="5"/>
      <c r="M4075" s="39"/>
      <c r="N4075" s="5"/>
      <c r="O4075" s="39"/>
      <c r="P4075" s="5"/>
      <c r="Q4075" s="39"/>
      <c r="V4075" s="3"/>
      <c r="W4075" s="3"/>
    </row>
    <row r="4076" spans="1:23">
      <c r="A4076" s="6"/>
      <c r="C4076" s="35"/>
      <c r="D4076" s="5"/>
      <c r="E4076" s="39"/>
      <c r="F4076" s="5"/>
      <c r="G4076" s="40"/>
      <c r="H4076" s="15"/>
      <c r="I4076" s="17"/>
      <c r="J4076" s="10"/>
      <c r="L4076" s="5"/>
      <c r="M4076" s="39"/>
      <c r="N4076" s="5"/>
      <c r="O4076" s="39"/>
      <c r="P4076" s="5"/>
      <c r="Q4076" s="39"/>
      <c r="V4076" s="3"/>
      <c r="W4076" s="3"/>
    </row>
    <row r="4077" spans="1:23">
      <c r="A4077" s="6"/>
      <c r="C4077" s="35"/>
      <c r="D4077" s="5"/>
      <c r="E4077" s="39"/>
      <c r="F4077" s="5"/>
      <c r="G4077" s="40"/>
      <c r="H4077" s="15"/>
      <c r="I4077" s="17"/>
      <c r="J4077" s="10"/>
      <c r="L4077" s="5"/>
      <c r="M4077" s="39"/>
      <c r="N4077" s="5"/>
      <c r="O4077" s="39"/>
      <c r="P4077" s="5"/>
      <c r="Q4077" s="39"/>
      <c r="V4077" s="3"/>
      <c r="W4077" s="3"/>
    </row>
    <row r="4078" spans="1:23">
      <c r="A4078" s="6"/>
      <c r="C4078" s="35"/>
      <c r="D4078" s="5"/>
      <c r="E4078" s="39"/>
      <c r="F4078" s="5"/>
      <c r="G4078" s="40"/>
      <c r="H4078" s="15"/>
      <c r="I4078" s="17"/>
      <c r="J4078" s="10"/>
      <c r="L4078" s="5"/>
      <c r="M4078" s="39"/>
      <c r="N4078" s="5"/>
      <c r="O4078" s="39"/>
      <c r="P4078" s="5"/>
      <c r="Q4078" s="39"/>
      <c r="V4078" s="3"/>
      <c r="W4078" s="3"/>
    </row>
    <row r="4079" spans="1:23">
      <c r="C4079" s="35"/>
      <c r="E4079" s="39"/>
      <c r="G4079" s="40"/>
      <c r="M4079" s="39"/>
      <c r="O4079" s="39"/>
      <c r="Q4079" s="39"/>
      <c r="V4079" s="3"/>
      <c r="W4079" s="3"/>
    </row>
    <row r="4080" spans="1:23">
      <c r="A4080" s="6"/>
      <c r="C4080" s="35"/>
      <c r="D4080" s="5"/>
      <c r="E4080" s="39"/>
      <c r="F4080" s="5"/>
      <c r="G4080" s="40"/>
      <c r="H4080" s="14"/>
      <c r="I4080" s="17"/>
      <c r="J4080" s="10"/>
      <c r="L4080" s="5"/>
      <c r="M4080" s="39"/>
      <c r="N4080" s="5"/>
      <c r="O4080" s="39"/>
      <c r="P4080" s="5"/>
      <c r="Q4080" s="39"/>
      <c r="V4080" s="3"/>
      <c r="W4080" s="3"/>
    </row>
    <row r="4081" spans="1:23">
      <c r="A4081" s="6"/>
      <c r="C4081" s="35"/>
      <c r="D4081" s="5"/>
      <c r="E4081" s="39"/>
      <c r="F4081" s="5"/>
      <c r="G4081" s="40"/>
      <c r="H4081" s="15"/>
      <c r="I4081" s="17"/>
      <c r="J4081" s="10"/>
      <c r="L4081" s="5"/>
      <c r="M4081" s="39"/>
      <c r="N4081" s="5"/>
      <c r="O4081" s="39"/>
      <c r="P4081" s="5"/>
      <c r="Q4081" s="39"/>
      <c r="V4081" s="3"/>
      <c r="W4081" s="3"/>
    </row>
    <row r="4082" spans="1:23">
      <c r="A4082" s="6"/>
      <c r="C4082" s="35"/>
      <c r="D4082" s="5"/>
      <c r="E4082" s="39"/>
      <c r="F4082" s="5"/>
      <c r="G4082" s="40"/>
      <c r="H4082" s="15"/>
      <c r="I4082" s="17"/>
      <c r="J4082" s="10"/>
      <c r="L4082" s="5"/>
      <c r="M4082" s="39"/>
      <c r="N4082" s="5"/>
      <c r="O4082" s="39"/>
      <c r="P4082" s="5"/>
      <c r="Q4082" s="39"/>
      <c r="V4082" s="3"/>
      <c r="W4082" s="3"/>
    </row>
    <row r="4083" spans="1:23">
      <c r="A4083" s="6"/>
      <c r="C4083" s="35"/>
      <c r="D4083" s="5"/>
      <c r="E4083" s="39"/>
      <c r="F4083" s="5"/>
      <c r="G4083" s="40"/>
      <c r="H4083" s="14"/>
      <c r="I4083" s="17"/>
      <c r="J4083" s="10"/>
      <c r="L4083" s="5"/>
      <c r="M4083" s="39"/>
      <c r="N4083" s="5"/>
      <c r="O4083" s="39"/>
      <c r="P4083" s="5"/>
      <c r="Q4083" s="39"/>
      <c r="V4083" s="3"/>
      <c r="W4083" s="3"/>
    </row>
    <row r="4084" spans="1:23">
      <c r="A4084" s="6"/>
      <c r="C4084" s="35"/>
      <c r="D4084" s="5"/>
      <c r="E4084" s="39"/>
      <c r="F4084" s="5"/>
      <c r="G4084" s="40"/>
      <c r="H4084" s="15"/>
      <c r="I4084" s="17"/>
      <c r="J4084" s="10"/>
      <c r="L4084" s="5"/>
      <c r="M4084" s="39"/>
      <c r="N4084" s="5"/>
      <c r="O4084" s="39"/>
      <c r="P4084" s="5"/>
      <c r="Q4084" s="39"/>
      <c r="V4084" s="3"/>
      <c r="W4084" s="3"/>
    </row>
    <row r="4085" spans="1:23">
      <c r="A4085" s="6"/>
      <c r="C4085" s="35"/>
      <c r="D4085" s="5"/>
      <c r="E4085" s="39"/>
      <c r="F4085" s="5"/>
      <c r="G4085" s="40"/>
      <c r="H4085" s="14"/>
      <c r="I4085" s="17"/>
      <c r="J4085" s="10"/>
      <c r="L4085" s="5"/>
      <c r="M4085" s="39"/>
      <c r="N4085" s="5"/>
      <c r="O4085" s="39"/>
      <c r="P4085" s="5"/>
      <c r="Q4085" s="39"/>
      <c r="V4085" s="3"/>
      <c r="W4085" s="3"/>
    </row>
    <row r="4086" spans="1:23">
      <c r="A4086" s="6"/>
      <c r="C4086" s="35"/>
      <c r="D4086" s="5"/>
      <c r="E4086" s="39"/>
      <c r="F4086" s="5"/>
      <c r="G4086" s="40"/>
      <c r="H4086" s="15"/>
      <c r="I4086" s="17"/>
      <c r="J4086" s="10"/>
      <c r="L4086" s="5"/>
      <c r="M4086" s="39"/>
      <c r="N4086" s="5"/>
      <c r="O4086" s="39"/>
      <c r="P4086" s="5"/>
      <c r="Q4086" s="39"/>
      <c r="V4086" s="3"/>
      <c r="W4086" s="3"/>
    </row>
    <row r="4087" spans="1:23">
      <c r="A4087" s="6"/>
      <c r="C4087" s="35"/>
      <c r="D4087" s="5"/>
      <c r="E4087" s="39"/>
      <c r="F4087" s="5"/>
      <c r="G4087" s="40"/>
      <c r="H4087" s="15"/>
      <c r="I4087" s="17"/>
      <c r="J4087" s="10"/>
      <c r="L4087" s="5"/>
      <c r="M4087" s="39"/>
      <c r="N4087" s="5"/>
      <c r="O4087" s="39"/>
      <c r="P4087" s="5"/>
      <c r="Q4087" s="39"/>
      <c r="V4087" s="3"/>
      <c r="W4087" s="3"/>
    </row>
    <row r="4088" spans="1:23">
      <c r="A4088" s="6"/>
      <c r="C4088" s="35"/>
      <c r="D4088" s="5"/>
      <c r="E4088" s="39"/>
      <c r="F4088" s="5"/>
      <c r="G4088" s="40"/>
      <c r="H4088" s="15"/>
      <c r="I4088" s="17"/>
      <c r="J4088" s="10"/>
      <c r="L4088" s="5"/>
      <c r="M4088" s="39"/>
      <c r="N4088" s="5"/>
      <c r="O4088" s="39"/>
      <c r="P4088" s="5"/>
      <c r="Q4088" s="39"/>
      <c r="V4088" s="3"/>
      <c r="W4088" s="3"/>
    </row>
    <row r="4089" spans="1:23">
      <c r="A4089" s="6"/>
      <c r="C4089" s="35"/>
      <c r="D4089" s="5"/>
      <c r="E4089" s="39"/>
      <c r="F4089" s="5"/>
      <c r="G4089" s="40"/>
      <c r="H4089" s="15"/>
      <c r="I4089" s="17"/>
      <c r="J4089" s="10"/>
      <c r="L4089" s="5"/>
      <c r="M4089" s="39"/>
      <c r="N4089" s="5"/>
      <c r="O4089" s="39"/>
      <c r="P4089" s="5"/>
      <c r="Q4089" s="39"/>
      <c r="V4089" s="3"/>
      <c r="W4089" s="3"/>
    </row>
    <row r="4090" spans="1:23">
      <c r="A4090" s="6"/>
      <c r="C4090" s="35"/>
      <c r="D4090" s="5"/>
      <c r="E4090" s="39"/>
      <c r="F4090" s="5"/>
      <c r="G4090" s="40"/>
      <c r="H4090" s="14"/>
      <c r="I4090" s="17"/>
      <c r="J4090" s="10"/>
      <c r="L4090" s="5"/>
      <c r="M4090" s="39"/>
      <c r="N4090" s="5"/>
      <c r="O4090" s="39"/>
      <c r="P4090" s="5"/>
      <c r="Q4090" s="39"/>
      <c r="V4090" s="3"/>
      <c r="W4090" s="3"/>
    </row>
    <row r="4091" spans="1:23">
      <c r="A4091" s="6"/>
      <c r="C4091" s="35"/>
      <c r="D4091" s="5"/>
      <c r="E4091" s="39"/>
      <c r="F4091" s="5"/>
      <c r="G4091" s="40"/>
      <c r="H4091" s="14"/>
      <c r="I4091" s="17"/>
      <c r="J4091" s="10"/>
      <c r="L4091" s="5"/>
      <c r="M4091" s="39"/>
      <c r="N4091" s="5"/>
      <c r="O4091" s="39"/>
      <c r="P4091" s="5"/>
      <c r="Q4091" s="39"/>
      <c r="R4091" s="29"/>
      <c r="V4091" s="3"/>
      <c r="W4091" s="3"/>
    </row>
    <row r="4092" spans="1:23">
      <c r="C4092" s="35"/>
      <c r="D4092" s="5"/>
      <c r="E4092" s="39"/>
      <c r="G4092" s="40"/>
      <c r="L4092" s="5"/>
      <c r="M4092" s="39"/>
      <c r="N4092" s="5"/>
      <c r="O4092" s="39"/>
      <c r="P4092" s="5"/>
      <c r="Q4092" s="39"/>
      <c r="V4092" s="3"/>
      <c r="W4092" s="3"/>
    </row>
    <row r="4093" spans="1:23">
      <c r="A4093" s="6"/>
      <c r="C4093" s="35"/>
      <c r="D4093" s="5"/>
      <c r="E4093" s="39"/>
      <c r="F4093" s="5"/>
      <c r="G4093" s="40"/>
      <c r="H4093" s="15"/>
      <c r="I4093" s="17"/>
      <c r="J4093" s="10"/>
      <c r="L4093" s="5"/>
      <c r="M4093" s="39"/>
      <c r="N4093" s="5"/>
      <c r="O4093" s="39"/>
      <c r="P4093" s="5"/>
      <c r="Q4093" s="39"/>
      <c r="V4093" s="3"/>
      <c r="W4093" s="3"/>
    </row>
    <row r="4094" spans="1:23">
      <c r="A4094" s="6"/>
      <c r="C4094" s="35"/>
      <c r="D4094" s="5"/>
      <c r="E4094" s="39"/>
      <c r="F4094" s="5"/>
      <c r="G4094" s="40"/>
      <c r="H4094" s="15"/>
      <c r="I4094" s="17"/>
      <c r="J4094" s="10"/>
      <c r="L4094" s="5"/>
      <c r="M4094" s="39"/>
      <c r="N4094" s="5"/>
      <c r="O4094" s="39"/>
      <c r="P4094" s="5"/>
      <c r="Q4094" s="39"/>
      <c r="V4094" s="3"/>
      <c r="W4094" s="3"/>
    </row>
    <row r="4095" spans="1:23">
      <c r="A4095" s="6"/>
      <c r="C4095" s="35"/>
      <c r="D4095" s="5"/>
      <c r="E4095" s="39"/>
      <c r="F4095" s="5"/>
      <c r="G4095" s="40"/>
      <c r="H4095" s="15"/>
      <c r="I4095" s="17"/>
      <c r="J4095" s="10"/>
      <c r="L4095" s="5"/>
      <c r="M4095" s="39"/>
      <c r="N4095" s="5"/>
      <c r="O4095" s="39"/>
      <c r="P4095" s="5"/>
      <c r="Q4095" s="39"/>
      <c r="V4095" s="3"/>
      <c r="W4095" s="3"/>
    </row>
    <row r="4096" spans="1:23">
      <c r="A4096" s="6"/>
      <c r="C4096" s="35"/>
      <c r="D4096" s="5"/>
      <c r="E4096" s="39"/>
      <c r="F4096" s="5"/>
      <c r="G4096" s="40"/>
      <c r="H4096" s="15"/>
      <c r="I4096" s="17"/>
      <c r="J4096" s="10"/>
      <c r="L4096" s="5"/>
      <c r="M4096" s="39"/>
      <c r="N4096" s="5"/>
      <c r="O4096" s="39"/>
      <c r="P4096" s="5"/>
      <c r="Q4096" s="39"/>
      <c r="V4096" s="3"/>
      <c r="W4096" s="3"/>
    </row>
    <row r="4097" spans="1:23">
      <c r="A4097" s="6"/>
      <c r="C4097" s="35"/>
      <c r="D4097" s="5"/>
      <c r="E4097" s="39"/>
      <c r="F4097" s="5"/>
      <c r="G4097" s="40"/>
      <c r="H4097" s="15"/>
      <c r="I4097" s="17"/>
      <c r="J4097" s="10"/>
      <c r="L4097" s="5"/>
      <c r="M4097" s="39"/>
      <c r="N4097" s="5"/>
      <c r="O4097" s="39"/>
      <c r="P4097" s="5"/>
      <c r="Q4097" s="39"/>
      <c r="V4097" s="3"/>
      <c r="W4097" s="3"/>
    </row>
    <row r="4098" spans="1:23">
      <c r="A4098" s="6"/>
      <c r="C4098" s="35"/>
      <c r="D4098" s="5"/>
      <c r="E4098" s="39"/>
      <c r="F4098" s="5"/>
      <c r="G4098" s="40"/>
      <c r="H4098" s="15"/>
      <c r="I4098" s="17"/>
      <c r="J4098" s="10"/>
      <c r="L4098" s="5"/>
      <c r="M4098" s="39"/>
      <c r="N4098" s="5"/>
      <c r="O4098" s="39"/>
      <c r="P4098" s="5"/>
      <c r="Q4098" s="39"/>
      <c r="V4098" s="3"/>
      <c r="W4098" s="3"/>
    </row>
    <row r="4099" spans="1:23">
      <c r="A4099" s="6"/>
      <c r="C4099" s="35"/>
      <c r="D4099" s="5"/>
      <c r="E4099" s="39"/>
      <c r="F4099" s="5"/>
      <c r="G4099" s="40"/>
      <c r="H4099" s="14"/>
      <c r="I4099" s="17"/>
      <c r="J4099" s="10"/>
      <c r="L4099" s="5"/>
      <c r="M4099" s="39"/>
      <c r="N4099" s="5"/>
      <c r="O4099" s="39"/>
      <c r="P4099" s="5"/>
      <c r="Q4099" s="39"/>
      <c r="V4099" s="3"/>
      <c r="W4099" s="3"/>
    </row>
    <row r="4100" spans="1:23">
      <c r="A4100" s="6"/>
      <c r="C4100" s="35"/>
      <c r="D4100" s="5"/>
      <c r="E4100" s="39"/>
      <c r="F4100" s="5"/>
      <c r="G4100" s="40"/>
      <c r="H4100" s="15"/>
      <c r="I4100" s="17"/>
      <c r="J4100" s="10"/>
      <c r="L4100" s="5"/>
      <c r="M4100" s="39"/>
      <c r="N4100" s="5"/>
      <c r="O4100" s="39"/>
      <c r="P4100" s="5"/>
      <c r="Q4100" s="39"/>
      <c r="V4100" s="3"/>
      <c r="W4100" s="3"/>
    </row>
    <row r="4101" spans="1:23">
      <c r="A4101" s="6"/>
      <c r="C4101" s="35"/>
      <c r="D4101" s="5"/>
      <c r="E4101" s="39"/>
      <c r="F4101" s="5"/>
      <c r="G4101" s="40"/>
      <c r="H4101" s="15"/>
      <c r="I4101" s="17"/>
      <c r="J4101" s="10"/>
      <c r="L4101" s="5"/>
      <c r="M4101" s="39"/>
      <c r="N4101" s="5"/>
      <c r="O4101" s="39"/>
      <c r="P4101" s="5"/>
      <c r="Q4101" s="39"/>
      <c r="V4101" s="3"/>
      <c r="W4101" s="3"/>
    </row>
    <row r="4102" spans="1:23">
      <c r="A4102" s="6"/>
      <c r="C4102" s="35"/>
      <c r="D4102" s="5"/>
      <c r="E4102" s="39"/>
      <c r="F4102" s="5"/>
      <c r="G4102" s="40"/>
      <c r="H4102" s="15"/>
      <c r="I4102" s="17"/>
      <c r="J4102" s="10"/>
      <c r="L4102" s="5"/>
      <c r="M4102" s="39"/>
      <c r="N4102" s="5"/>
      <c r="O4102" s="39"/>
      <c r="P4102" s="5"/>
      <c r="Q4102" s="39"/>
      <c r="V4102" s="3"/>
      <c r="W4102" s="3"/>
    </row>
    <row r="4103" spans="1:23">
      <c r="A4103" s="6"/>
      <c r="C4103" s="35"/>
      <c r="D4103" s="5"/>
      <c r="E4103" s="39"/>
      <c r="F4103" s="5"/>
      <c r="G4103" s="40"/>
      <c r="H4103" s="15"/>
      <c r="I4103" s="17"/>
      <c r="J4103" s="10"/>
      <c r="L4103" s="5"/>
      <c r="M4103" s="39"/>
      <c r="N4103" s="5"/>
      <c r="O4103" s="39"/>
      <c r="P4103" s="5"/>
      <c r="Q4103" s="39"/>
      <c r="V4103" s="3"/>
      <c r="W4103" s="3"/>
    </row>
    <row r="4104" spans="1:23">
      <c r="A4104" s="6"/>
      <c r="C4104" s="35"/>
      <c r="D4104" s="5"/>
      <c r="E4104" s="39"/>
      <c r="F4104" s="5"/>
      <c r="G4104" s="40"/>
      <c r="H4104" s="15"/>
      <c r="I4104" s="17"/>
      <c r="J4104" s="10"/>
      <c r="L4104" s="5"/>
      <c r="M4104" s="39"/>
      <c r="N4104" s="5"/>
      <c r="O4104" s="39"/>
      <c r="P4104" s="5"/>
      <c r="Q4104" s="39"/>
      <c r="V4104" s="3"/>
      <c r="W4104" s="3"/>
    </row>
    <row r="4105" spans="1:23">
      <c r="A4105" s="6"/>
      <c r="C4105" s="35"/>
      <c r="D4105" s="5"/>
      <c r="E4105" s="39"/>
      <c r="F4105" s="5"/>
      <c r="G4105" s="40"/>
      <c r="H4105" s="14"/>
      <c r="I4105" s="17"/>
      <c r="J4105" s="10"/>
      <c r="L4105" s="5"/>
      <c r="M4105" s="39"/>
      <c r="N4105" s="5"/>
      <c r="O4105" s="39"/>
      <c r="P4105" s="5"/>
      <c r="Q4105" s="39"/>
      <c r="V4105" s="3"/>
      <c r="W4105" s="3"/>
    </row>
    <row r="4106" spans="1:23">
      <c r="A4106" s="6"/>
      <c r="C4106" s="35"/>
      <c r="D4106" s="5"/>
      <c r="E4106" s="39"/>
      <c r="F4106" s="5"/>
      <c r="G4106" s="40"/>
      <c r="H4106" s="15"/>
      <c r="I4106" s="17"/>
      <c r="J4106" s="10"/>
      <c r="L4106" s="5"/>
      <c r="M4106" s="39"/>
      <c r="N4106" s="5"/>
      <c r="O4106" s="39"/>
      <c r="P4106" s="5"/>
      <c r="Q4106" s="39"/>
      <c r="V4106" s="3"/>
      <c r="W4106" s="3"/>
    </row>
    <row r="4107" spans="1:23">
      <c r="A4107" s="6"/>
      <c r="C4107" s="35"/>
      <c r="D4107" s="5"/>
      <c r="E4107" s="39"/>
      <c r="F4107" s="5"/>
      <c r="G4107" s="40"/>
      <c r="H4107" s="14"/>
      <c r="I4107" s="17"/>
      <c r="J4107" s="10"/>
      <c r="L4107" s="5"/>
      <c r="M4107" s="39"/>
      <c r="N4107" s="5"/>
      <c r="O4107" s="39"/>
      <c r="P4107" s="5"/>
      <c r="Q4107" s="39"/>
      <c r="V4107" s="3"/>
      <c r="W4107" s="3"/>
    </row>
    <row r="4108" spans="1:23">
      <c r="A4108" s="6"/>
      <c r="C4108" s="35"/>
      <c r="D4108" s="5"/>
      <c r="E4108" s="39"/>
      <c r="F4108" s="5"/>
      <c r="G4108" s="40"/>
      <c r="H4108" s="15"/>
      <c r="I4108" s="17"/>
      <c r="J4108" s="10"/>
      <c r="L4108" s="5"/>
      <c r="M4108" s="39"/>
      <c r="N4108" s="5"/>
      <c r="O4108" s="39"/>
      <c r="P4108" s="5"/>
      <c r="Q4108" s="39"/>
      <c r="V4108" s="3"/>
      <c r="W4108" s="3"/>
    </row>
    <row r="4109" spans="1:23">
      <c r="A4109" s="6"/>
      <c r="C4109" s="35"/>
      <c r="D4109" s="5"/>
      <c r="E4109" s="39"/>
      <c r="F4109" s="5"/>
      <c r="G4109" s="40"/>
      <c r="H4109" s="15"/>
      <c r="I4109" s="17"/>
      <c r="J4109" s="10"/>
      <c r="L4109" s="5"/>
      <c r="M4109" s="39"/>
      <c r="N4109" s="5"/>
      <c r="O4109" s="39"/>
      <c r="P4109" s="5"/>
      <c r="Q4109" s="39"/>
      <c r="V4109" s="3"/>
      <c r="W4109" s="3"/>
    </row>
    <row r="4110" spans="1:23">
      <c r="A4110" s="6"/>
      <c r="C4110" s="35"/>
      <c r="D4110" s="5"/>
      <c r="E4110" s="39"/>
      <c r="F4110" s="5"/>
      <c r="G4110" s="40"/>
      <c r="H4110" s="14"/>
      <c r="I4110" s="17"/>
      <c r="J4110" s="10"/>
      <c r="L4110" s="5"/>
      <c r="M4110" s="39"/>
      <c r="N4110" s="5"/>
      <c r="O4110" s="39"/>
      <c r="P4110" s="5"/>
      <c r="Q4110" s="39"/>
      <c r="V4110" s="3"/>
      <c r="W4110" s="3"/>
    </row>
    <row r="4111" spans="1:23">
      <c r="A4111" s="6"/>
      <c r="C4111" s="35"/>
      <c r="D4111" s="5"/>
      <c r="E4111" s="39"/>
      <c r="F4111" s="5"/>
      <c r="G4111" s="40"/>
      <c r="H4111" s="15"/>
      <c r="I4111" s="17"/>
      <c r="J4111" s="10"/>
      <c r="L4111" s="5"/>
      <c r="M4111" s="39"/>
      <c r="N4111" s="5"/>
      <c r="O4111" s="39"/>
      <c r="P4111" s="5"/>
      <c r="Q4111" s="39"/>
      <c r="V4111" s="3"/>
      <c r="W4111" s="3"/>
    </row>
    <row r="4112" spans="1:23">
      <c r="A4112" s="6"/>
      <c r="C4112" s="35"/>
      <c r="D4112" s="5"/>
      <c r="E4112" s="39"/>
      <c r="F4112" s="5"/>
      <c r="G4112" s="40"/>
      <c r="H4112" s="14"/>
      <c r="I4112" s="17"/>
      <c r="J4112" s="10"/>
      <c r="L4112" s="5"/>
      <c r="M4112" s="39"/>
      <c r="N4112" s="5"/>
      <c r="O4112" s="39"/>
      <c r="P4112" s="5"/>
      <c r="Q4112" s="39"/>
      <c r="V4112" s="3"/>
      <c r="W4112" s="3"/>
    </row>
    <row r="4113" spans="1:23">
      <c r="A4113" s="6"/>
      <c r="C4113" s="35"/>
      <c r="D4113" s="5"/>
      <c r="E4113" s="39"/>
      <c r="F4113" s="5"/>
      <c r="G4113" s="40"/>
      <c r="H4113" s="15"/>
      <c r="I4113" s="17"/>
      <c r="J4113" s="10"/>
      <c r="L4113" s="5"/>
      <c r="M4113" s="39"/>
      <c r="N4113" s="5"/>
      <c r="O4113" s="39"/>
      <c r="P4113" s="5"/>
      <c r="Q4113" s="39"/>
      <c r="V4113" s="3"/>
      <c r="W4113" s="3"/>
    </row>
    <row r="4114" spans="1:23">
      <c r="A4114" s="6"/>
      <c r="C4114" s="35"/>
      <c r="D4114" s="5"/>
      <c r="E4114" s="39"/>
      <c r="F4114" s="5"/>
      <c r="G4114" s="40"/>
      <c r="H4114" s="15"/>
      <c r="I4114" s="17"/>
      <c r="J4114" s="10"/>
      <c r="L4114" s="5"/>
      <c r="M4114" s="39"/>
      <c r="N4114" s="5"/>
      <c r="O4114" s="39"/>
      <c r="P4114" s="5"/>
      <c r="Q4114" s="39"/>
      <c r="V4114" s="3"/>
      <c r="W4114" s="3"/>
    </row>
    <row r="4115" spans="1:23">
      <c r="A4115" s="6"/>
      <c r="C4115" s="35"/>
      <c r="D4115" s="5"/>
      <c r="E4115" s="39"/>
      <c r="F4115" s="5"/>
      <c r="G4115" s="40"/>
      <c r="H4115" s="14"/>
      <c r="I4115" s="17"/>
      <c r="J4115" s="10"/>
      <c r="L4115" s="5"/>
      <c r="M4115" s="39"/>
      <c r="N4115" s="5"/>
      <c r="O4115" s="39"/>
      <c r="P4115" s="5"/>
      <c r="Q4115" s="39"/>
      <c r="V4115" s="3"/>
      <c r="W4115" s="3"/>
    </row>
    <row r="4116" spans="1:23">
      <c r="A4116" s="6"/>
      <c r="C4116" s="35"/>
      <c r="D4116" s="5"/>
      <c r="E4116" s="39"/>
      <c r="F4116" s="5"/>
      <c r="G4116" s="40"/>
      <c r="H4116" s="15"/>
      <c r="I4116" s="17"/>
      <c r="J4116" s="10"/>
      <c r="L4116" s="5"/>
      <c r="M4116" s="39"/>
      <c r="N4116" s="5"/>
      <c r="O4116" s="39"/>
      <c r="P4116" s="5"/>
      <c r="Q4116" s="39"/>
      <c r="V4116" s="3"/>
      <c r="W4116" s="3"/>
    </row>
    <row r="4117" spans="1:23">
      <c r="A4117" s="6"/>
      <c r="C4117" s="35"/>
      <c r="D4117" s="5"/>
      <c r="E4117" s="39"/>
      <c r="F4117" s="5"/>
      <c r="G4117" s="40"/>
      <c r="H4117" s="15"/>
      <c r="I4117" s="17"/>
      <c r="J4117" s="10"/>
      <c r="L4117" s="5"/>
      <c r="M4117" s="39"/>
      <c r="N4117" s="5"/>
      <c r="O4117" s="39"/>
      <c r="P4117" s="5"/>
      <c r="Q4117" s="39"/>
      <c r="V4117" s="3"/>
      <c r="W4117" s="3"/>
    </row>
    <row r="4118" spans="1:23">
      <c r="A4118" s="6"/>
      <c r="C4118" s="35"/>
      <c r="D4118" s="5"/>
      <c r="E4118" s="39"/>
      <c r="F4118" s="5"/>
      <c r="G4118" s="40"/>
      <c r="H4118" s="15"/>
      <c r="I4118" s="17"/>
      <c r="J4118" s="10"/>
      <c r="L4118" s="5"/>
      <c r="M4118" s="39"/>
      <c r="N4118" s="5"/>
      <c r="O4118" s="39"/>
      <c r="P4118" s="5"/>
      <c r="Q4118" s="39"/>
      <c r="V4118" s="3"/>
      <c r="W4118" s="3"/>
    </row>
    <row r="4119" spans="1:23">
      <c r="A4119" s="6"/>
      <c r="C4119" s="35"/>
      <c r="D4119" s="5"/>
      <c r="E4119" s="39"/>
      <c r="F4119" s="5"/>
      <c r="G4119" s="40"/>
      <c r="H4119" s="15"/>
      <c r="I4119" s="17"/>
      <c r="J4119" s="10"/>
      <c r="L4119" s="5"/>
      <c r="M4119" s="39"/>
      <c r="N4119" s="5"/>
      <c r="O4119" s="39"/>
      <c r="P4119" s="5"/>
      <c r="Q4119" s="39"/>
      <c r="V4119" s="3"/>
      <c r="W4119" s="3"/>
    </row>
    <row r="4120" spans="1:23">
      <c r="A4120" s="6"/>
      <c r="C4120" s="35"/>
      <c r="D4120" s="5"/>
      <c r="E4120" s="39"/>
      <c r="F4120" s="5"/>
      <c r="G4120" s="40"/>
      <c r="H4120" s="15"/>
      <c r="I4120" s="17"/>
      <c r="J4120" s="10"/>
      <c r="L4120" s="5"/>
      <c r="M4120" s="39"/>
      <c r="N4120" s="5"/>
      <c r="O4120" s="39"/>
      <c r="P4120" s="5"/>
      <c r="Q4120" s="39"/>
      <c r="V4120" s="3"/>
      <c r="W4120" s="3"/>
    </row>
    <row r="4121" spans="1:23">
      <c r="A4121" s="6"/>
      <c r="C4121" s="35"/>
      <c r="D4121" s="5"/>
      <c r="E4121" s="39"/>
      <c r="F4121" s="5"/>
      <c r="G4121" s="40"/>
      <c r="H4121" s="15"/>
      <c r="I4121" s="17"/>
      <c r="J4121" s="10"/>
      <c r="L4121" s="5"/>
      <c r="M4121" s="39"/>
      <c r="N4121" s="5"/>
      <c r="O4121" s="39"/>
      <c r="P4121" s="5"/>
      <c r="Q4121" s="39"/>
      <c r="V4121" s="3"/>
      <c r="W4121" s="3"/>
    </row>
    <row r="4122" spans="1:23">
      <c r="A4122" s="6"/>
      <c r="C4122" s="35"/>
      <c r="D4122" s="5"/>
      <c r="E4122" s="39"/>
      <c r="F4122" s="5"/>
      <c r="G4122" s="40"/>
      <c r="H4122" s="15"/>
      <c r="I4122" s="17"/>
      <c r="J4122" s="10"/>
      <c r="L4122" s="5"/>
      <c r="M4122" s="39"/>
      <c r="N4122" s="5"/>
      <c r="O4122" s="39"/>
      <c r="P4122" s="5"/>
      <c r="Q4122" s="39"/>
      <c r="V4122" s="3"/>
      <c r="W4122" s="3"/>
    </row>
    <row r="4123" spans="1:23">
      <c r="A4123" s="6"/>
      <c r="C4123" s="35"/>
      <c r="D4123" s="5"/>
      <c r="E4123" s="39"/>
      <c r="F4123" s="5"/>
      <c r="G4123" s="40"/>
      <c r="H4123" s="15"/>
      <c r="I4123" s="17"/>
      <c r="J4123" s="10"/>
      <c r="L4123" s="5"/>
      <c r="M4123" s="39"/>
      <c r="N4123" s="5"/>
      <c r="O4123" s="39"/>
      <c r="P4123" s="5"/>
      <c r="Q4123" s="39"/>
      <c r="V4123" s="3"/>
      <c r="W4123" s="3"/>
    </row>
    <row r="4124" spans="1:23">
      <c r="A4124" s="6"/>
      <c r="C4124" s="35"/>
      <c r="D4124" s="5"/>
      <c r="E4124" s="39"/>
      <c r="F4124" s="5"/>
      <c r="G4124" s="40"/>
      <c r="H4124" s="15"/>
      <c r="I4124" s="17"/>
      <c r="J4124" s="10"/>
      <c r="L4124" s="5"/>
      <c r="M4124" s="39"/>
      <c r="N4124" s="5"/>
      <c r="O4124" s="39"/>
      <c r="P4124" s="5"/>
      <c r="Q4124" s="39"/>
      <c r="V4124" s="3"/>
      <c r="W4124" s="3"/>
    </row>
    <row r="4125" spans="1:23">
      <c r="A4125" s="6"/>
      <c r="C4125" s="35"/>
      <c r="D4125" s="5"/>
      <c r="E4125" s="39"/>
      <c r="F4125" s="5"/>
      <c r="G4125" s="40"/>
      <c r="H4125" s="15"/>
      <c r="I4125" s="17"/>
      <c r="J4125" s="10"/>
      <c r="L4125" s="5"/>
      <c r="M4125" s="39"/>
      <c r="N4125" s="5"/>
      <c r="O4125" s="39"/>
      <c r="P4125" s="5"/>
      <c r="Q4125" s="39"/>
      <c r="V4125" s="3"/>
      <c r="W4125" s="3"/>
    </row>
    <row r="4126" spans="1:23">
      <c r="A4126" s="6"/>
      <c r="C4126" s="35"/>
      <c r="D4126" s="5"/>
      <c r="E4126" s="39"/>
      <c r="F4126" s="5"/>
      <c r="G4126" s="40"/>
      <c r="H4126" s="14"/>
      <c r="I4126" s="17"/>
      <c r="J4126" s="10"/>
      <c r="L4126" s="5"/>
      <c r="M4126" s="39"/>
      <c r="N4126" s="5"/>
      <c r="O4126" s="39"/>
      <c r="P4126" s="5"/>
      <c r="Q4126" s="39"/>
      <c r="V4126" s="3"/>
      <c r="W4126" s="3"/>
    </row>
    <row r="4127" spans="1:23">
      <c r="A4127" s="6"/>
      <c r="C4127" s="35"/>
      <c r="D4127" s="5"/>
      <c r="E4127" s="39"/>
      <c r="F4127" s="5"/>
      <c r="G4127" s="40"/>
      <c r="H4127" s="15"/>
      <c r="I4127" s="17"/>
      <c r="J4127" s="10"/>
      <c r="L4127" s="5"/>
      <c r="M4127" s="39"/>
      <c r="N4127" s="5"/>
      <c r="O4127" s="39"/>
      <c r="P4127" s="5"/>
      <c r="Q4127" s="39"/>
      <c r="V4127" s="3"/>
      <c r="W4127" s="3"/>
    </row>
    <row r="4128" spans="1:23">
      <c r="A4128" s="6"/>
      <c r="C4128" s="35"/>
      <c r="D4128" s="5"/>
      <c r="E4128" s="39"/>
      <c r="F4128" s="5"/>
      <c r="G4128" s="40"/>
      <c r="H4128" s="14"/>
      <c r="I4128" s="17"/>
      <c r="J4128" s="10"/>
      <c r="L4128" s="5"/>
      <c r="M4128" s="39"/>
      <c r="N4128" s="5"/>
      <c r="O4128" s="39"/>
      <c r="P4128" s="5"/>
      <c r="Q4128" s="39"/>
      <c r="V4128" s="3"/>
      <c r="W4128" s="3"/>
    </row>
    <row r="4129" spans="1:23">
      <c r="A4129" s="6"/>
      <c r="C4129" s="35"/>
      <c r="D4129" s="5"/>
      <c r="E4129" s="39"/>
      <c r="F4129" s="5"/>
      <c r="G4129" s="40"/>
      <c r="H4129" s="14"/>
      <c r="I4129" s="17"/>
      <c r="J4129" s="10"/>
      <c r="L4129" s="5"/>
      <c r="M4129" s="39"/>
      <c r="N4129" s="5"/>
      <c r="O4129" s="39"/>
      <c r="P4129" s="5"/>
      <c r="Q4129" s="39"/>
      <c r="V4129" s="3"/>
      <c r="W4129" s="3"/>
    </row>
    <row r="4130" spans="1:23">
      <c r="A4130" s="6"/>
      <c r="C4130" s="35"/>
      <c r="D4130" s="5"/>
      <c r="E4130" s="39"/>
      <c r="F4130" s="5"/>
      <c r="G4130" s="40"/>
      <c r="H4130" s="14"/>
      <c r="I4130" s="17"/>
      <c r="J4130" s="10"/>
      <c r="L4130" s="5"/>
      <c r="M4130" s="39"/>
      <c r="N4130" s="5"/>
      <c r="O4130" s="39"/>
      <c r="P4130" s="5"/>
      <c r="Q4130" s="39"/>
      <c r="V4130" s="3"/>
      <c r="W4130" s="3"/>
    </row>
    <row r="4131" spans="1:23">
      <c r="A4131" s="6"/>
      <c r="C4131" s="35"/>
      <c r="D4131" s="5"/>
      <c r="E4131" s="39"/>
      <c r="F4131" s="5"/>
      <c r="G4131" s="40"/>
      <c r="H4131" s="15"/>
      <c r="I4131" s="17"/>
      <c r="J4131" s="10"/>
      <c r="L4131" s="5"/>
      <c r="M4131" s="39"/>
      <c r="N4131" s="5"/>
      <c r="O4131" s="39"/>
      <c r="P4131" s="5"/>
      <c r="Q4131" s="39"/>
      <c r="V4131" s="3"/>
      <c r="W4131" s="3"/>
    </row>
    <row r="4132" spans="1:23">
      <c r="A4132" s="6"/>
      <c r="C4132" s="35"/>
      <c r="D4132" s="5"/>
      <c r="E4132" s="39"/>
      <c r="F4132" s="5"/>
      <c r="G4132" s="40"/>
      <c r="H4132" s="15"/>
      <c r="I4132" s="17"/>
      <c r="J4132" s="10"/>
      <c r="L4132" s="5"/>
      <c r="M4132" s="39"/>
      <c r="N4132" s="5"/>
      <c r="O4132" s="39"/>
      <c r="P4132" s="5"/>
      <c r="Q4132" s="39"/>
      <c r="V4132" s="3"/>
      <c r="W4132" s="3"/>
    </row>
    <row r="4133" spans="1:23">
      <c r="A4133" s="6"/>
      <c r="C4133" s="35"/>
      <c r="D4133" s="5"/>
      <c r="E4133" s="39"/>
      <c r="F4133" s="5"/>
      <c r="G4133" s="40"/>
      <c r="H4133" s="14"/>
      <c r="I4133" s="17"/>
      <c r="J4133" s="10"/>
      <c r="L4133" s="5"/>
      <c r="M4133" s="39"/>
      <c r="N4133" s="5"/>
      <c r="O4133" s="39"/>
      <c r="P4133" s="5"/>
      <c r="Q4133" s="39"/>
      <c r="V4133" s="3"/>
      <c r="W4133" s="3"/>
    </row>
    <row r="4134" spans="1:23">
      <c r="A4134" s="6"/>
      <c r="C4134" s="35"/>
      <c r="D4134" s="5"/>
      <c r="E4134" s="39"/>
      <c r="F4134" s="5"/>
      <c r="G4134" s="40"/>
      <c r="H4134" s="15"/>
      <c r="I4134" s="17"/>
      <c r="J4134" s="10"/>
      <c r="L4134" s="5"/>
      <c r="M4134" s="39"/>
      <c r="N4134" s="5"/>
      <c r="O4134" s="39"/>
      <c r="P4134" s="5"/>
      <c r="Q4134" s="39"/>
      <c r="V4134" s="3"/>
      <c r="W4134" s="3"/>
    </row>
    <row r="4135" spans="1:23">
      <c r="A4135" s="6"/>
      <c r="C4135" s="35"/>
      <c r="D4135" s="5"/>
      <c r="E4135" s="39"/>
      <c r="F4135" s="5"/>
      <c r="G4135" s="40"/>
      <c r="H4135" s="15"/>
      <c r="I4135" s="17"/>
      <c r="J4135" s="10"/>
      <c r="L4135" s="5"/>
      <c r="M4135" s="39"/>
      <c r="N4135" s="5"/>
      <c r="O4135" s="39"/>
      <c r="P4135" s="5"/>
      <c r="Q4135" s="39"/>
      <c r="V4135" s="3"/>
      <c r="W4135" s="3"/>
    </row>
    <row r="4136" spans="1:23">
      <c r="A4136" s="6"/>
      <c r="C4136" s="35"/>
      <c r="D4136" s="5"/>
      <c r="E4136" s="39"/>
      <c r="F4136" s="5"/>
      <c r="G4136" s="40"/>
      <c r="H4136" s="15"/>
      <c r="I4136" s="17"/>
      <c r="J4136" s="10"/>
      <c r="L4136" s="5"/>
      <c r="M4136" s="39"/>
      <c r="N4136" s="5"/>
      <c r="O4136" s="39"/>
      <c r="P4136" s="5"/>
      <c r="Q4136" s="39"/>
      <c r="V4136" s="3"/>
      <c r="W4136" s="3"/>
    </row>
    <row r="4137" spans="1:23">
      <c r="A4137" s="6"/>
      <c r="C4137" s="35"/>
      <c r="D4137" s="5"/>
      <c r="E4137" s="39"/>
      <c r="F4137" s="5"/>
      <c r="G4137" s="40"/>
      <c r="H4137" s="15"/>
      <c r="I4137" s="17"/>
      <c r="J4137" s="10"/>
      <c r="L4137" s="5"/>
      <c r="M4137" s="39"/>
      <c r="N4137" s="5"/>
      <c r="O4137" s="39"/>
      <c r="P4137" s="5"/>
      <c r="Q4137" s="39"/>
      <c r="V4137" s="3"/>
      <c r="W4137" s="3"/>
    </row>
    <row r="4138" spans="1:23">
      <c r="A4138" s="6"/>
      <c r="C4138" s="35"/>
      <c r="D4138" s="5"/>
      <c r="E4138" s="39"/>
      <c r="F4138" s="5"/>
      <c r="G4138" s="40"/>
      <c r="H4138" s="15"/>
      <c r="I4138" s="17"/>
      <c r="J4138" s="10"/>
      <c r="L4138" s="5"/>
      <c r="M4138" s="39"/>
      <c r="N4138" s="5"/>
      <c r="O4138" s="39"/>
      <c r="P4138" s="5"/>
      <c r="Q4138" s="39"/>
      <c r="V4138" s="3"/>
      <c r="W4138" s="3"/>
    </row>
    <row r="4139" spans="1:23">
      <c r="A4139" s="6"/>
      <c r="C4139" s="35"/>
      <c r="D4139" s="5"/>
      <c r="E4139" s="39"/>
      <c r="F4139" s="5"/>
      <c r="G4139" s="40"/>
      <c r="H4139" s="15"/>
      <c r="I4139" s="17"/>
      <c r="J4139" s="10"/>
      <c r="L4139" s="5"/>
      <c r="M4139" s="39"/>
      <c r="N4139" s="5"/>
      <c r="O4139" s="39"/>
      <c r="P4139" s="5"/>
      <c r="Q4139" s="39"/>
      <c r="V4139" s="3"/>
      <c r="W4139" s="3"/>
    </row>
    <row r="4140" spans="1:23">
      <c r="A4140" s="6"/>
      <c r="C4140" s="35"/>
      <c r="D4140" s="5"/>
      <c r="E4140" s="39"/>
      <c r="F4140" s="5"/>
      <c r="G4140" s="40"/>
      <c r="H4140" s="15"/>
      <c r="I4140" s="17"/>
      <c r="J4140" s="10"/>
      <c r="L4140" s="5"/>
      <c r="M4140" s="39"/>
      <c r="N4140" s="5"/>
      <c r="O4140" s="39"/>
      <c r="P4140" s="5"/>
      <c r="Q4140" s="39"/>
      <c r="V4140" s="3"/>
      <c r="W4140" s="3"/>
    </row>
    <row r="4141" spans="1:23">
      <c r="A4141" s="6"/>
      <c r="C4141" s="35"/>
      <c r="D4141" s="5"/>
      <c r="E4141" s="39"/>
      <c r="F4141" s="5"/>
      <c r="G4141" s="40"/>
      <c r="H4141" s="14"/>
      <c r="I4141" s="17"/>
      <c r="J4141" s="10"/>
      <c r="L4141" s="5"/>
      <c r="M4141" s="39"/>
      <c r="N4141" s="5"/>
      <c r="O4141" s="39"/>
      <c r="P4141" s="5"/>
      <c r="Q4141" s="39"/>
      <c r="V4141" s="3"/>
      <c r="W4141" s="3"/>
    </row>
    <row r="4142" spans="1:23">
      <c r="A4142" s="6"/>
      <c r="C4142" s="35"/>
      <c r="D4142" s="5"/>
      <c r="E4142" s="39"/>
      <c r="F4142" s="5"/>
      <c r="G4142" s="40"/>
      <c r="H4142" s="15"/>
      <c r="I4142" s="17"/>
      <c r="J4142" s="10"/>
      <c r="L4142" s="5"/>
      <c r="M4142" s="39"/>
      <c r="N4142" s="5"/>
      <c r="O4142" s="39"/>
      <c r="P4142" s="5"/>
      <c r="Q4142" s="39"/>
      <c r="V4142" s="3"/>
      <c r="W4142" s="3"/>
    </row>
    <row r="4143" spans="1:23">
      <c r="A4143" s="6"/>
      <c r="C4143" s="35"/>
      <c r="D4143" s="5"/>
      <c r="E4143" s="39"/>
      <c r="F4143" s="5"/>
      <c r="G4143" s="40"/>
      <c r="H4143" s="14"/>
      <c r="I4143" s="17"/>
      <c r="J4143" s="10"/>
      <c r="L4143" s="5"/>
      <c r="M4143" s="39"/>
      <c r="N4143" s="5"/>
      <c r="O4143" s="39"/>
      <c r="P4143" s="5"/>
      <c r="Q4143" s="39"/>
      <c r="V4143" s="3"/>
      <c r="W4143" s="3"/>
    </row>
    <row r="4144" spans="1:23">
      <c r="A4144" s="6"/>
      <c r="C4144" s="35"/>
      <c r="D4144" s="5"/>
      <c r="E4144" s="39"/>
      <c r="F4144" s="5"/>
      <c r="G4144" s="40"/>
      <c r="H4144" s="14"/>
      <c r="I4144" s="17"/>
      <c r="J4144" s="10"/>
      <c r="L4144" s="5"/>
      <c r="M4144" s="39"/>
      <c r="N4144" s="5"/>
      <c r="O4144" s="39"/>
      <c r="P4144" s="5"/>
      <c r="Q4144" s="39"/>
      <c r="V4144" s="3"/>
      <c r="W4144" s="3"/>
    </row>
    <row r="4145" spans="1:23">
      <c r="A4145" s="6"/>
      <c r="C4145" s="35"/>
      <c r="D4145" s="5"/>
      <c r="E4145" s="39"/>
      <c r="F4145" s="5"/>
      <c r="G4145" s="40"/>
      <c r="H4145" s="14"/>
      <c r="I4145" s="17"/>
      <c r="J4145" s="10"/>
      <c r="L4145" s="5"/>
      <c r="M4145" s="39"/>
      <c r="N4145" s="5"/>
      <c r="O4145" s="39"/>
      <c r="P4145" s="5"/>
      <c r="Q4145" s="39"/>
      <c r="V4145" s="3"/>
      <c r="W4145" s="3"/>
    </row>
    <row r="4146" spans="1:23">
      <c r="A4146" s="6"/>
      <c r="C4146" s="35"/>
      <c r="D4146" s="5"/>
      <c r="E4146" s="39"/>
      <c r="F4146" s="5"/>
      <c r="G4146" s="40"/>
      <c r="H4146" s="15"/>
      <c r="I4146" s="17"/>
      <c r="J4146" s="10"/>
      <c r="L4146" s="5"/>
      <c r="M4146" s="39"/>
      <c r="N4146" s="5"/>
      <c r="O4146" s="39"/>
      <c r="P4146" s="5"/>
      <c r="Q4146" s="39"/>
      <c r="V4146" s="3"/>
      <c r="W4146" s="3"/>
    </row>
    <row r="4147" spans="1:23">
      <c r="A4147" s="6"/>
      <c r="C4147" s="35"/>
      <c r="D4147" s="5"/>
      <c r="E4147" s="39"/>
      <c r="F4147" s="5"/>
      <c r="G4147" s="40"/>
      <c r="H4147" s="15"/>
      <c r="I4147" s="17"/>
      <c r="J4147" s="10"/>
      <c r="L4147" s="5"/>
      <c r="M4147" s="39"/>
      <c r="N4147" s="5"/>
      <c r="O4147" s="39"/>
      <c r="P4147" s="5"/>
      <c r="Q4147" s="39"/>
      <c r="V4147" s="3"/>
      <c r="W4147" s="3"/>
    </row>
    <row r="4148" spans="1:23">
      <c r="A4148" s="6"/>
      <c r="C4148" s="35"/>
      <c r="D4148" s="5"/>
      <c r="E4148" s="39"/>
      <c r="F4148" s="5"/>
      <c r="G4148" s="40"/>
      <c r="H4148" s="15"/>
      <c r="I4148" s="17"/>
      <c r="J4148" s="10"/>
      <c r="L4148" s="5"/>
      <c r="M4148" s="39"/>
      <c r="N4148" s="5"/>
      <c r="O4148" s="39"/>
      <c r="P4148" s="5"/>
      <c r="Q4148" s="39"/>
      <c r="V4148" s="3"/>
      <c r="W4148" s="3"/>
    </row>
    <row r="4149" spans="1:23">
      <c r="A4149" s="6"/>
      <c r="C4149" s="35"/>
      <c r="D4149" s="5"/>
      <c r="E4149" s="39"/>
      <c r="F4149" s="5"/>
      <c r="G4149" s="40"/>
      <c r="H4149" s="15"/>
      <c r="I4149" s="17"/>
      <c r="J4149" s="10"/>
      <c r="L4149" s="5"/>
      <c r="M4149" s="39"/>
      <c r="N4149" s="5"/>
      <c r="O4149" s="39"/>
      <c r="P4149" s="5"/>
      <c r="Q4149" s="39"/>
      <c r="V4149" s="3"/>
      <c r="W4149" s="3"/>
    </row>
    <row r="4150" spans="1:23">
      <c r="A4150" s="6"/>
      <c r="C4150" s="35"/>
      <c r="D4150" s="5"/>
      <c r="E4150" s="39"/>
      <c r="F4150" s="5"/>
      <c r="G4150" s="40"/>
      <c r="H4150" s="15"/>
      <c r="I4150" s="17"/>
      <c r="J4150" s="10"/>
      <c r="L4150" s="5"/>
      <c r="M4150" s="39"/>
      <c r="N4150" s="5"/>
      <c r="O4150" s="39"/>
      <c r="P4150" s="5"/>
      <c r="Q4150" s="39"/>
      <c r="V4150" s="3"/>
      <c r="W4150" s="3"/>
    </row>
    <row r="4151" spans="1:23">
      <c r="A4151" s="6"/>
      <c r="C4151" s="35"/>
      <c r="D4151" s="5"/>
      <c r="E4151" s="39"/>
      <c r="F4151" s="5"/>
      <c r="G4151" s="40"/>
      <c r="H4151" s="15"/>
      <c r="I4151" s="17"/>
      <c r="J4151" s="10"/>
      <c r="L4151" s="5"/>
      <c r="M4151" s="39"/>
      <c r="N4151" s="5"/>
      <c r="O4151" s="39"/>
      <c r="P4151" s="5"/>
      <c r="Q4151" s="39"/>
      <c r="V4151" s="3"/>
      <c r="W4151" s="3"/>
    </row>
    <row r="4152" spans="1:23">
      <c r="A4152" s="6"/>
      <c r="C4152" s="35"/>
      <c r="D4152" s="5"/>
      <c r="E4152" s="39"/>
      <c r="F4152" s="5"/>
      <c r="G4152" s="40"/>
      <c r="H4152" s="14"/>
      <c r="I4152" s="17"/>
      <c r="J4152" s="10"/>
      <c r="L4152" s="5"/>
      <c r="M4152" s="39"/>
      <c r="N4152" s="5"/>
      <c r="O4152" s="39"/>
      <c r="P4152" s="5"/>
      <c r="Q4152" s="39"/>
      <c r="V4152" s="3"/>
      <c r="W4152" s="3"/>
    </row>
    <row r="4153" spans="1:23">
      <c r="A4153" s="6"/>
      <c r="C4153" s="35"/>
      <c r="D4153" s="5"/>
      <c r="E4153" s="39"/>
      <c r="F4153" s="5"/>
      <c r="G4153" s="40"/>
      <c r="H4153" s="15"/>
      <c r="I4153" s="17"/>
      <c r="J4153" s="10"/>
      <c r="L4153" s="5"/>
      <c r="M4153" s="39"/>
      <c r="N4153" s="5"/>
      <c r="O4153" s="39"/>
      <c r="P4153" s="5"/>
      <c r="Q4153" s="39"/>
      <c r="V4153" s="3"/>
      <c r="W4153" s="3"/>
    </row>
    <row r="4154" spans="1:23">
      <c r="A4154" s="6"/>
      <c r="C4154" s="35"/>
      <c r="D4154" s="5"/>
      <c r="E4154" s="39"/>
      <c r="F4154" s="5"/>
      <c r="G4154" s="40"/>
      <c r="H4154" s="14"/>
      <c r="I4154" s="17"/>
      <c r="J4154" s="10"/>
      <c r="L4154" s="5"/>
      <c r="M4154" s="39"/>
      <c r="N4154" s="5"/>
      <c r="O4154" s="39"/>
      <c r="P4154" s="5"/>
      <c r="Q4154" s="39"/>
      <c r="V4154" s="3"/>
      <c r="W4154" s="3"/>
    </row>
    <row r="4155" spans="1:23">
      <c r="A4155" s="6"/>
      <c r="C4155" s="35"/>
      <c r="D4155" s="5"/>
      <c r="E4155" s="39"/>
      <c r="F4155" s="5"/>
      <c r="G4155" s="40"/>
      <c r="H4155" s="14"/>
      <c r="I4155" s="17"/>
      <c r="J4155" s="10"/>
      <c r="L4155" s="5"/>
      <c r="M4155" s="39"/>
      <c r="N4155" s="5"/>
      <c r="O4155" s="39"/>
      <c r="P4155" s="5"/>
      <c r="Q4155" s="39"/>
      <c r="V4155" s="3"/>
      <c r="W4155" s="3"/>
    </row>
    <row r="4156" spans="1:23">
      <c r="A4156" s="6"/>
      <c r="C4156" s="35"/>
      <c r="D4156" s="5"/>
      <c r="E4156" s="39"/>
      <c r="F4156" s="5"/>
      <c r="G4156" s="40"/>
      <c r="H4156" s="14"/>
      <c r="I4156" s="17"/>
      <c r="J4156" s="10"/>
      <c r="L4156" s="5"/>
      <c r="M4156" s="39"/>
      <c r="N4156" s="5"/>
      <c r="O4156" s="39"/>
      <c r="P4156" s="5"/>
      <c r="Q4156" s="39"/>
      <c r="V4156" s="3"/>
      <c r="W4156" s="3"/>
    </row>
    <row r="4157" spans="1:23">
      <c r="A4157" s="6"/>
      <c r="C4157" s="35"/>
      <c r="D4157" s="5"/>
      <c r="E4157" s="39"/>
      <c r="F4157" s="5"/>
      <c r="G4157" s="40"/>
      <c r="H4157" s="15"/>
      <c r="I4157" s="17"/>
      <c r="J4157" s="10"/>
      <c r="L4157" s="5"/>
      <c r="M4157" s="39"/>
      <c r="N4157" s="5"/>
      <c r="O4157" s="39"/>
      <c r="P4157" s="5"/>
      <c r="Q4157" s="39"/>
      <c r="V4157" s="3"/>
      <c r="W4157" s="3"/>
    </row>
    <row r="4158" spans="1:23">
      <c r="A4158" s="6"/>
      <c r="C4158" s="35"/>
      <c r="D4158" s="5"/>
      <c r="E4158" s="39"/>
      <c r="F4158" s="5"/>
      <c r="G4158" s="40"/>
      <c r="H4158" s="15"/>
      <c r="I4158" s="17"/>
      <c r="J4158" s="10"/>
      <c r="L4158" s="5"/>
      <c r="M4158" s="39"/>
      <c r="N4158" s="5"/>
      <c r="O4158" s="39"/>
      <c r="P4158" s="5"/>
      <c r="Q4158" s="39"/>
      <c r="V4158" s="3"/>
      <c r="W4158" s="3"/>
    </row>
    <row r="4159" spans="1:23">
      <c r="A4159" s="6"/>
      <c r="C4159" s="35"/>
      <c r="D4159" s="5"/>
      <c r="E4159" s="39"/>
      <c r="F4159" s="5"/>
      <c r="G4159" s="40"/>
      <c r="H4159" s="15"/>
      <c r="I4159" s="17"/>
      <c r="J4159" s="10"/>
      <c r="L4159" s="5"/>
      <c r="M4159" s="39"/>
      <c r="N4159" s="5"/>
      <c r="O4159" s="39"/>
      <c r="P4159" s="5"/>
      <c r="Q4159" s="39"/>
      <c r="V4159" s="3"/>
      <c r="W4159" s="3"/>
    </row>
    <row r="4160" spans="1:23">
      <c r="A4160" s="6"/>
      <c r="C4160" s="35"/>
      <c r="D4160" s="5"/>
      <c r="E4160" s="39"/>
      <c r="F4160" s="5"/>
      <c r="G4160" s="40"/>
      <c r="H4160" s="15"/>
      <c r="I4160" s="17"/>
      <c r="J4160" s="10"/>
      <c r="L4160" s="5"/>
      <c r="M4160" s="39"/>
      <c r="N4160" s="5"/>
      <c r="O4160" s="39"/>
      <c r="P4160" s="5"/>
      <c r="Q4160" s="39"/>
      <c r="V4160" s="3"/>
      <c r="W4160" s="3"/>
    </row>
    <row r="4161" spans="1:23">
      <c r="A4161" s="6"/>
      <c r="C4161" s="35"/>
      <c r="D4161" s="5"/>
      <c r="E4161" s="39"/>
      <c r="F4161" s="5"/>
      <c r="G4161" s="40"/>
      <c r="H4161" s="15"/>
      <c r="I4161" s="17"/>
      <c r="J4161" s="10"/>
      <c r="L4161" s="5"/>
      <c r="M4161" s="39"/>
      <c r="N4161" s="5"/>
      <c r="O4161" s="39"/>
      <c r="P4161" s="5"/>
      <c r="Q4161" s="39"/>
      <c r="V4161" s="3"/>
      <c r="W4161" s="3"/>
    </row>
    <row r="4162" spans="1:23">
      <c r="A4162" s="6"/>
      <c r="C4162" s="35"/>
      <c r="D4162" s="5"/>
      <c r="E4162" s="39"/>
      <c r="F4162" s="5"/>
      <c r="G4162" s="40"/>
      <c r="H4162" s="15"/>
      <c r="I4162" s="17"/>
      <c r="J4162" s="10"/>
      <c r="L4162" s="5"/>
      <c r="M4162" s="39"/>
      <c r="N4162" s="5"/>
      <c r="O4162" s="39"/>
      <c r="P4162" s="5"/>
      <c r="Q4162" s="39"/>
      <c r="V4162" s="3"/>
      <c r="W4162" s="3"/>
    </row>
    <row r="4163" spans="1:23">
      <c r="A4163" s="6"/>
      <c r="C4163" s="35"/>
      <c r="D4163" s="5"/>
      <c r="E4163" s="39"/>
      <c r="F4163" s="5"/>
      <c r="G4163" s="40"/>
      <c r="H4163" s="15"/>
      <c r="I4163" s="17"/>
      <c r="J4163" s="10"/>
      <c r="L4163" s="5"/>
      <c r="M4163" s="39"/>
      <c r="N4163" s="5"/>
      <c r="O4163" s="39"/>
      <c r="P4163" s="5"/>
      <c r="Q4163" s="39"/>
      <c r="V4163" s="3"/>
      <c r="W4163" s="3"/>
    </row>
    <row r="4164" spans="1:23">
      <c r="A4164" s="6"/>
      <c r="C4164" s="35"/>
      <c r="D4164" s="5"/>
      <c r="E4164" s="39"/>
      <c r="F4164" s="5"/>
      <c r="G4164" s="40"/>
      <c r="H4164" s="15"/>
      <c r="I4164" s="17"/>
      <c r="J4164" s="10"/>
      <c r="L4164" s="5"/>
      <c r="M4164" s="39"/>
      <c r="N4164" s="5"/>
      <c r="O4164" s="39"/>
      <c r="P4164" s="5"/>
      <c r="Q4164" s="39"/>
      <c r="V4164" s="3"/>
      <c r="W4164" s="3"/>
    </row>
    <row r="4165" spans="1:23">
      <c r="A4165" s="6"/>
      <c r="C4165" s="35"/>
      <c r="D4165" s="5"/>
      <c r="E4165" s="39"/>
      <c r="F4165" s="5"/>
      <c r="G4165" s="40"/>
      <c r="H4165" s="15"/>
      <c r="I4165" s="17"/>
      <c r="J4165" s="10"/>
      <c r="L4165" s="5"/>
      <c r="M4165" s="39"/>
      <c r="N4165" s="5"/>
      <c r="O4165" s="39"/>
      <c r="P4165" s="5"/>
      <c r="Q4165" s="39"/>
      <c r="V4165" s="3"/>
      <c r="W4165" s="3"/>
    </row>
    <row r="4166" spans="1:23">
      <c r="A4166" s="6"/>
      <c r="C4166" s="35"/>
      <c r="D4166" s="5"/>
      <c r="E4166" s="39"/>
      <c r="F4166" s="5"/>
      <c r="G4166" s="40"/>
      <c r="H4166" s="15"/>
      <c r="I4166" s="17"/>
      <c r="J4166" s="10"/>
      <c r="L4166" s="5"/>
      <c r="M4166" s="39"/>
      <c r="N4166" s="5"/>
      <c r="O4166" s="39"/>
      <c r="P4166" s="5"/>
      <c r="Q4166" s="39"/>
      <c r="V4166" s="3"/>
      <c r="W4166" s="3"/>
    </row>
    <row r="4167" spans="1:23">
      <c r="A4167" s="6"/>
      <c r="C4167" s="35"/>
      <c r="D4167" s="5"/>
      <c r="E4167" s="39"/>
      <c r="F4167" s="5"/>
      <c r="G4167" s="40"/>
      <c r="H4167" s="15"/>
      <c r="I4167" s="17"/>
      <c r="J4167" s="10"/>
      <c r="L4167" s="5"/>
      <c r="M4167" s="39"/>
      <c r="N4167" s="5"/>
      <c r="O4167" s="39"/>
      <c r="P4167" s="5"/>
      <c r="Q4167" s="39"/>
      <c r="V4167" s="3"/>
      <c r="W4167" s="3"/>
    </row>
    <row r="4168" spans="1:23">
      <c r="A4168" s="6"/>
      <c r="C4168" s="35"/>
      <c r="D4168" s="5"/>
      <c r="E4168" s="39"/>
      <c r="F4168" s="5"/>
      <c r="G4168" s="40"/>
      <c r="H4168" s="14"/>
      <c r="I4168" s="17"/>
      <c r="J4168" s="10"/>
      <c r="L4168" s="5"/>
      <c r="M4168" s="39"/>
      <c r="N4168" s="5"/>
      <c r="O4168" s="39"/>
      <c r="P4168" s="5"/>
      <c r="Q4168" s="39"/>
      <c r="V4168" s="3"/>
      <c r="W4168" s="3"/>
    </row>
    <row r="4169" spans="1:23">
      <c r="A4169" s="6"/>
      <c r="C4169" s="35"/>
      <c r="D4169" s="5"/>
      <c r="E4169" s="39"/>
      <c r="F4169" s="5"/>
      <c r="G4169" s="40"/>
      <c r="H4169" s="14"/>
      <c r="I4169" s="17"/>
      <c r="J4169" s="10"/>
      <c r="L4169" s="5"/>
      <c r="M4169" s="39"/>
      <c r="N4169" s="5"/>
      <c r="O4169" s="39"/>
      <c r="P4169" s="5"/>
      <c r="Q4169" s="39"/>
      <c r="V4169" s="3"/>
      <c r="W4169" s="3"/>
    </row>
    <row r="4170" spans="1:23">
      <c r="A4170" s="6"/>
      <c r="C4170" s="35"/>
      <c r="D4170" s="5"/>
      <c r="E4170" s="39"/>
      <c r="F4170" s="5"/>
      <c r="G4170" s="40"/>
      <c r="H4170" s="14"/>
      <c r="I4170" s="17"/>
      <c r="J4170" s="10"/>
      <c r="L4170" s="5"/>
      <c r="M4170" s="39"/>
      <c r="N4170" s="5"/>
      <c r="O4170" s="39"/>
      <c r="P4170" s="5"/>
      <c r="Q4170" s="39"/>
      <c r="V4170" s="3"/>
      <c r="W4170" s="3"/>
    </row>
    <row r="4171" spans="1:23">
      <c r="A4171" s="6"/>
      <c r="C4171" s="35"/>
      <c r="D4171" s="5"/>
      <c r="E4171" s="39"/>
      <c r="F4171" s="5"/>
      <c r="G4171" s="40"/>
      <c r="H4171" s="15"/>
      <c r="I4171" s="17"/>
      <c r="J4171" s="10"/>
      <c r="L4171" s="5"/>
      <c r="M4171" s="39"/>
      <c r="N4171" s="5"/>
      <c r="O4171" s="39"/>
      <c r="P4171" s="5"/>
      <c r="Q4171" s="39"/>
      <c r="V4171" s="3"/>
      <c r="W4171" s="3"/>
    </row>
    <row r="4172" spans="1:23">
      <c r="A4172" s="6"/>
      <c r="C4172" s="35"/>
      <c r="D4172" s="5"/>
      <c r="E4172" s="39"/>
      <c r="F4172" s="5"/>
      <c r="G4172" s="40"/>
      <c r="H4172" s="14"/>
      <c r="I4172" s="17"/>
      <c r="J4172" s="10"/>
      <c r="L4172" s="5"/>
      <c r="M4172" s="39"/>
      <c r="N4172" s="5"/>
      <c r="O4172" s="39"/>
      <c r="P4172" s="5"/>
      <c r="Q4172" s="39"/>
      <c r="V4172" s="3"/>
      <c r="W4172" s="3"/>
    </row>
    <row r="4173" spans="1:23">
      <c r="A4173" s="6"/>
      <c r="C4173" s="35"/>
      <c r="D4173" s="5"/>
      <c r="E4173" s="39"/>
      <c r="F4173" s="5"/>
      <c r="G4173" s="40"/>
      <c r="H4173" s="15"/>
      <c r="I4173" s="17"/>
      <c r="J4173" s="10"/>
      <c r="L4173" s="5"/>
      <c r="M4173" s="39"/>
      <c r="N4173" s="5"/>
      <c r="O4173" s="39"/>
      <c r="P4173" s="5"/>
      <c r="Q4173" s="39"/>
      <c r="V4173" s="3"/>
      <c r="W4173" s="3"/>
    </row>
    <row r="4174" spans="1:23">
      <c r="A4174" s="6"/>
      <c r="C4174" s="35"/>
      <c r="D4174" s="5"/>
      <c r="E4174" s="39"/>
      <c r="F4174" s="5"/>
      <c r="G4174" s="40"/>
      <c r="H4174" s="14"/>
      <c r="I4174" s="17"/>
      <c r="J4174" s="10"/>
      <c r="L4174" s="5"/>
      <c r="M4174" s="39"/>
      <c r="N4174" s="5"/>
      <c r="O4174" s="39"/>
      <c r="P4174" s="5"/>
      <c r="Q4174" s="39"/>
      <c r="V4174" s="3"/>
      <c r="W4174" s="3"/>
    </row>
    <row r="4175" spans="1:23">
      <c r="A4175" s="6"/>
      <c r="C4175" s="35"/>
      <c r="D4175" s="5"/>
      <c r="E4175" s="39"/>
      <c r="F4175" s="5"/>
      <c r="G4175" s="40"/>
      <c r="H4175" s="14"/>
      <c r="I4175" s="17"/>
      <c r="J4175" s="10"/>
      <c r="L4175" s="5"/>
      <c r="M4175" s="39"/>
      <c r="N4175" s="5"/>
      <c r="O4175" s="39"/>
      <c r="P4175" s="5"/>
      <c r="Q4175" s="39"/>
      <c r="S4175" s="29"/>
      <c r="V4175" s="3"/>
      <c r="W4175" s="3"/>
    </row>
    <row r="4176" spans="1:23">
      <c r="A4176" s="6"/>
      <c r="C4176" s="35"/>
      <c r="D4176" s="5"/>
      <c r="E4176" s="39"/>
      <c r="F4176" s="5"/>
      <c r="G4176" s="40"/>
      <c r="H4176" s="15"/>
      <c r="I4176" s="17"/>
      <c r="J4176" s="10"/>
      <c r="L4176" s="5"/>
      <c r="M4176" s="39"/>
      <c r="N4176" s="5"/>
      <c r="O4176" s="39"/>
      <c r="P4176" s="5"/>
      <c r="Q4176" s="39"/>
      <c r="V4176" s="3"/>
      <c r="W4176" s="3"/>
    </row>
    <row r="4177" spans="1:23">
      <c r="A4177" s="6"/>
      <c r="C4177" s="35"/>
      <c r="D4177" s="5"/>
      <c r="E4177" s="39"/>
      <c r="F4177" s="5"/>
      <c r="G4177" s="40"/>
      <c r="H4177" s="14"/>
      <c r="I4177" s="17"/>
      <c r="J4177" s="10"/>
      <c r="L4177" s="5"/>
      <c r="M4177" s="39"/>
      <c r="N4177" s="5"/>
      <c r="O4177" s="39"/>
      <c r="P4177" s="5"/>
      <c r="Q4177" s="39"/>
      <c r="V4177" s="3"/>
      <c r="W4177" s="3"/>
    </row>
    <row r="4178" spans="1:23">
      <c r="A4178" s="6"/>
      <c r="C4178" s="35"/>
      <c r="D4178" s="5"/>
      <c r="E4178" s="39"/>
      <c r="F4178" s="5"/>
      <c r="G4178" s="40"/>
      <c r="H4178" s="14"/>
      <c r="I4178" s="17"/>
      <c r="J4178" s="10"/>
      <c r="L4178" s="5"/>
      <c r="M4178" s="39"/>
      <c r="N4178" s="5"/>
      <c r="O4178" s="39"/>
      <c r="P4178" s="5"/>
      <c r="Q4178" s="39"/>
      <c r="V4178" s="3"/>
      <c r="W4178" s="3"/>
    </row>
    <row r="4179" spans="1:23">
      <c r="A4179" s="6"/>
      <c r="C4179" s="35"/>
      <c r="D4179" s="5"/>
      <c r="E4179" s="39"/>
      <c r="F4179" s="5"/>
      <c r="G4179" s="40"/>
      <c r="H4179" s="15"/>
      <c r="I4179" s="17"/>
      <c r="J4179" s="10"/>
      <c r="L4179" s="5"/>
      <c r="M4179" s="39"/>
      <c r="N4179" s="5"/>
      <c r="O4179" s="39"/>
      <c r="P4179" s="5"/>
      <c r="Q4179" s="39"/>
      <c r="V4179" s="3"/>
      <c r="W4179" s="3"/>
    </row>
    <row r="4180" spans="1:23">
      <c r="A4180" s="6"/>
      <c r="C4180" s="35"/>
      <c r="D4180" s="5"/>
      <c r="E4180" s="39"/>
      <c r="F4180" s="5"/>
      <c r="G4180" s="40"/>
      <c r="H4180" s="15"/>
      <c r="I4180" s="17"/>
      <c r="J4180" s="10"/>
      <c r="L4180" s="5"/>
      <c r="M4180" s="39"/>
      <c r="N4180" s="5"/>
      <c r="O4180" s="39"/>
      <c r="P4180" s="5"/>
      <c r="Q4180" s="39"/>
      <c r="V4180" s="3"/>
      <c r="W4180" s="3"/>
    </row>
    <row r="4181" spans="1:23">
      <c r="A4181" s="6"/>
      <c r="C4181" s="35"/>
      <c r="D4181" s="5"/>
      <c r="E4181" s="39"/>
      <c r="F4181" s="5"/>
      <c r="G4181" s="40"/>
      <c r="H4181" s="14"/>
      <c r="I4181" s="17"/>
      <c r="J4181" s="10"/>
      <c r="L4181" s="5"/>
      <c r="M4181" s="39"/>
      <c r="N4181" s="5"/>
      <c r="O4181" s="39"/>
      <c r="P4181" s="5"/>
      <c r="Q4181" s="39"/>
      <c r="V4181" s="3"/>
      <c r="W4181" s="3"/>
    </row>
    <row r="4182" spans="1:23">
      <c r="A4182" s="6"/>
      <c r="C4182" s="35"/>
      <c r="D4182" s="5"/>
      <c r="E4182" s="39"/>
      <c r="F4182" s="5"/>
      <c r="G4182" s="40"/>
      <c r="H4182" s="14"/>
      <c r="I4182" s="17"/>
      <c r="J4182" s="10"/>
      <c r="L4182" s="5"/>
      <c r="M4182" s="39"/>
      <c r="N4182" s="5"/>
      <c r="O4182" s="39"/>
      <c r="P4182" s="5"/>
      <c r="Q4182" s="39"/>
      <c r="V4182" s="3"/>
      <c r="W4182" s="3"/>
    </row>
    <row r="4183" spans="1:23">
      <c r="A4183" s="6"/>
      <c r="C4183" s="35"/>
      <c r="D4183" s="5"/>
      <c r="E4183" s="39"/>
      <c r="F4183" s="5"/>
      <c r="G4183" s="40"/>
      <c r="H4183" s="15"/>
      <c r="I4183" s="17"/>
      <c r="J4183" s="10"/>
      <c r="L4183" s="5"/>
      <c r="M4183" s="39"/>
      <c r="N4183" s="5"/>
      <c r="O4183" s="39"/>
      <c r="P4183" s="5"/>
      <c r="Q4183" s="39"/>
      <c r="V4183" s="3"/>
      <c r="W4183" s="3"/>
    </row>
    <row r="4184" spans="1:23">
      <c r="A4184" s="6"/>
      <c r="C4184" s="35"/>
      <c r="D4184" s="5"/>
      <c r="E4184" s="39"/>
      <c r="F4184" s="5"/>
      <c r="G4184" s="40"/>
      <c r="H4184" s="15"/>
      <c r="I4184" s="17"/>
      <c r="J4184" s="10"/>
      <c r="L4184" s="5"/>
      <c r="M4184" s="39"/>
      <c r="N4184" s="5"/>
      <c r="O4184" s="39"/>
      <c r="P4184" s="5"/>
      <c r="Q4184" s="39"/>
      <c r="V4184" s="3"/>
      <c r="W4184" s="3"/>
    </row>
    <row r="4185" spans="1:23">
      <c r="A4185" s="6"/>
      <c r="C4185" s="35"/>
      <c r="D4185" s="5"/>
      <c r="E4185" s="39"/>
      <c r="F4185" s="5"/>
      <c r="G4185" s="40"/>
      <c r="H4185" s="15"/>
      <c r="I4185" s="17"/>
      <c r="J4185" s="10"/>
      <c r="L4185" s="5"/>
      <c r="M4185" s="39"/>
      <c r="N4185" s="5"/>
      <c r="O4185" s="39"/>
      <c r="P4185" s="5"/>
      <c r="Q4185" s="39"/>
      <c r="V4185" s="3"/>
      <c r="W4185" s="3"/>
    </row>
    <row r="4186" spans="1:23">
      <c r="A4186" s="6"/>
      <c r="C4186" s="35"/>
      <c r="D4186" s="5"/>
      <c r="E4186" s="39"/>
      <c r="F4186" s="5"/>
      <c r="G4186" s="40"/>
      <c r="H4186" s="14"/>
      <c r="I4186" s="17"/>
      <c r="J4186" s="10"/>
      <c r="L4186" s="5"/>
      <c r="M4186" s="39"/>
      <c r="N4186" s="5"/>
      <c r="O4186" s="39"/>
      <c r="P4186" s="5"/>
      <c r="Q4186" s="39"/>
      <c r="V4186" s="3"/>
      <c r="W4186" s="3"/>
    </row>
    <row r="4187" spans="1:23">
      <c r="A4187" s="6"/>
      <c r="C4187" s="35"/>
      <c r="D4187" s="5"/>
      <c r="E4187" s="39"/>
      <c r="F4187" s="5"/>
      <c r="G4187" s="40"/>
      <c r="H4187" s="15"/>
      <c r="I4187" s="17"/>
      <c r="J4187" s="10"/>
      <c r="L4187" s="5"/>
      <c r="M4187" s="39"/>
      <c r="N4187" s="5"/>
      <c r="O4187" s="39"/>
      <c r="P4187" s="5"/>
      <c r="Q4187" s="39"/>
      <c r="V4187" s="3"/>
      <c r="W4187" s="3"/>
    </row>
    <row r="4188" spans="1:23">
      <c r="A4188" s="6"/>
      <c r="C4188" s="35"/>
      <c r="D4188" s="5"/>
      <c r="E4188" s="39"/>
      <c r="F4188" s="5"/>
      <c r="G4188" s="40"/>
      <c r="H4188" s="14"/>
      <c r="I4188" s="17"/>
      <c r="J4188" s="10"/>
      <c r="L4188" s="5"/>
      <c r="M4188" s="39"/>
      <c r="N4188" s="5"/>
      <c r="O4188" s="39"/>
      <c r="P4188" s="5"/>
      <c r="Q4188" s="39"/>
      <c r="V4188" s="3"/>
      <c r="W4188" s="3"/>
    </row>
    <row r="4189" spans="1:23">
      <c r="A4189" s="6"/>
      <c r="C4189" s="35"/>
      <c r="D4189" s="5"/>
      <c r="E4189" s="39"/>
      <c r="F4189" s="5"/>
      <c r="G4189" s="40"/>
      <c r="H4189" s="14"/>
      <c r="I4189" s="17"/>
      <c r="J4189" s="10"/>
      <c r="L4189" s="5"/>
      <c r="M4189" s="39"/>
      <c r="N4189" s="5"/>
      <c r="O4189" s="39"/>
      <c r="P4189" s="5"/>
      <c r="Q4189" s="39"/>
      <c r="V4189" s="3"/>
      <c r="W4189" s="3"/>
    </row>
    <row r="4190" spans="1:23">
      <c r="A4190" s="6"/>
      <c r="C4190" s="35"/>
      <c r="D4190" s="5"/>
      <c r="E4190" s="39"/>
      <c r="F4190" s="5"/>
      <c r="G4190" s="40"/>
      <c r="H4190" s="15"/>
      <c r="I4190" s="17"/>
      <c r="J4190" s="10"/>
      <c r="L4190" s="5"/>
      <c r="M4190" s="39"/>
      <c r="N4190" s="5"/>
      <c r="O4190" s="39"/>
      <c r="P4190" s="5"/>
      <c r="Q4190" s="39"/>
      <c r="V4190" s="3"/>
      <c r="W4190" s="3"/>
    </row>
    <row r="4191" spans="1:23">
      <c r="A4191" s="6"/>
      <c r="C4191" s="35"/>
      <c r="D4191" s="5"/>
      <c r="E4191" s="39"/>
      <c r="F4191" s="5"/>
      <c r="G4191" s="40"/>
      <c r="H4191" s="14"/>
      <c r="I4191" s="17"/>
      <c r="J4191" s="10"/>
      <c r="L4191" s="5"/>
      <c r="M4191" s="39"/>
      <c r="N4191" s="5"/>
      <c r="O4191" s="39"/>
      <c r="P4191" s="5"/>
      <c r="Q4191" s="39"/>
      <c r="V4191" s="3"/>
      <c r="W4191" s="3"/>
    </row>
    <row r="4192" spans="1:23">
      <c r="A4192" s="6"/>
      <c r="C4192" s="35"/>
      <c r="D4192" s="5"/>
      <c r="E4192" s="39"/>
      <c r="F4192" s="5"/>
      <c r="G4192" s="40"/>
      <c r="H4192" s="15"/>
      <c r="I4192" s="17"/>
      <c r="J4192" s="10"/>
      <c r="L4192" s="5"/>
      <c r="M4192" s="39"/>
      <c r="N4192" s="5"/>
      <c r="O4192" s="39"/>
      <c r="P4192" s="5"/>
      <c r="Q4192" s="39"/>
      <c r="V4192" s="3"/>
      <c r="W4192" s="3"/>
    </row>
    <row r="4193" spans="1:23">
      <c r="A4193" s="6"/>
      <c r="C4193" s="35"/>
      <c r="D4193" s="5"/>
      <c r="E4193" s="39"/>
      <c r="F4193" s="5"/>
      <c r="G4193" s="40"/>
      <c r="H4193" s="15"/>
      <c r="I4193" s="17"/>
      <c r="J4193" s="10"/>
      <c r="L4193" s="5"/>
      <c r="M4193" s="39"/>
      <c r="N4193" s="5"/>
      <c r="O4193" s="39"/>
      <c r="P4193" s="5"/>
      <c r="Q4193" s="39"/>
      <c r="V4193" s="3"/>
      <c r="W4193" s="3"/>
    </row>
    <row r="4194" spans="1:23">
      <c r="A4194" s="6"/>
      <c r="C4194" s="35"/>
      <c r="D4194" s="5"/>
      <c r="E4194" s="39"/>
      <c r="F4194" s="5"/>
      <c r="G4194" s="40"/>
      <c r="H4194" s="14"/>
      <c r="I4194" s="17"/>
      <c r="J4194" s="10"/>
      <c r="L4194" s="5"/>
      <c r="M4194" s="39"/>
      <c r="N4194" s="5"/>
      <c r="O4194" s="39"/>
      <c r="P4194" s="5"/>
      <c r="Q4194" s="39"/>
      <c r="V4194" s="3"/>
      <c r="W4194" s="3"/>
    </row>
    <row r="4195" spans="1:23">
      <c r="A4195" s="6"/>
      <c r="C4195" s="35"/>
      <c r="D4195" s="5"/>
      <c r="E4195" s="39"/>
      <c r="F4195" s="5"/>
      <c r="G4195" s="40"/>
      <c r="H4195" s="14"/>
      <c r="I4195" s="17"/>
      <c r="J4195" s="10"/>
      <c r="L4195" s="5"/>
      <c r="M4195" s="39"/>
      <c r="N4195" s="5"/>
      <c r="O4195" s="39"/>
      <c r="P4195" s="5"/>
      <c r="Q4195" s="39"/>
      <c r="V4195" s="3"/>
      <c r="W4195" s="3"/>
    </row>
    <row r="4196" spans="1:23">
      <c r="A4196" s="6"/>
      <c r="C4196" s="35"/>
      <c r="D4196" s="5"/>
      <c r="E4196" s="39"/>
      <c r="F4196" s="5"/>
      <c r="G4196" s="40"/>
      <c r="H4196" s="15"/>
      <c r="I4196" s="17"/>
      <c r="J4196" s="10"/>
      <c r="L4196" s="5"/>
      <c r="M4196" s="39"/>
      <c r="N4196" s="5"/>
      <c r="O4196" s="39"/>
      <c r="P4196" s="5"/>
      <c r="Q4196" s="39"/>
      <c r="V4196" s="3"/>
      <c r="W4196" s="3"/>
    </row>
    <row r="4197" spans="1:23">
      <c r="A4197" s="6"/>
      <c r="C4197" s="35"/>
      <c r="D4197" s="5"/>
      <c r="E4197" s="39"/>
      <c r="F4197" s="5"/>
      <c r="G4197" s="40"/>
      <c r="H4197" s="14"/>
      <c r="I4197" s="17"/>
      <c r="J4197" s="10"/>
      <c r="L4197" s="5"/>
      <c r="M4197" s="39"/>
      <c r="N4197" s="5"/>
      <c r="O4197" s="39"/>
      <c r="P4197" s="5"/>
      <c r="Q4197" s="39"/>
      <c r="V4197" s="3"/>
      <c r="W4197" s="3"/>
    </row>
    <row r="4198" spans="1:23">
      <c r="A4198" s="6"/>
      <c r="C4198" s="35"/>
      <c r="D4198" s="5"/>
      <c r="E4198" s="39"/>
      <c r="F4198" s="5"/>
      <c r="G4198" s="40"/>
      <c r="H4198" s="15"/>
      <c r="I4198" s="17"/>
      <c r="J4198" s="10"/>
      <c r="L4198" s="5"/>
      <c r="M4198" s="39"/>
      <c r="N4198" s="5"/>
      <c r="O4198" s="39"/>
      <c r="P4198" s="5"/>
      <c r="Q4198" s="39"/>
      <c r="V4198" s="3"/>
      <c r="W4198" s="3"/>
    </row>
    <row r="4199" spans="1:23">
      <c r="A4199" s="6"/>
      <c r="C4199" s="35"/>
      <c r="D4199" s="5"/>
      <c r="E4199" s="39"/>
      <c r="F4199" s="5"/>
      <c r="G4199" s="40"/>
      <c r="H4199" s="15"/>
      <c r="I4199" s="17"/>
      <c r="J4199" s="10"/>
      <c r="L4199" s="5"/>
      <c r="M4199" s="39"/>
      <c r="N4199" s="5"/>
      <c r="O4199" s="39"/>
      <c r="P4199" s="5"/>
      <c r="Q4199" s="39"/>
      <c r="V4199" s="3"/>
      <c r="W4199" s="3"/>
    </row>
    <row r="4200" spans="1:23">
      <c r="A4200" s="6"/>
      <c r="C4200" s="35"/>
      <c r="D4200" s="5"/>
      <c r="E4200" s="39"/>
      <c r="F4200" s="5"/>
      <c r="G4200" s="40"/>
      <c r="H4200" s="14"/>
      <c r="I4200" s="17"/>
      <c r="J4200" s="10"/>
      <c r="L4200" s="5"/>
      <c r="M4200" s="39"/>
      <c r="N4200" s="5"/>
      <c r="O4200" s="39"/>
      <c r="P4200" s="5"/>
      <c r="Q4200" s="39"/>
      <c r="V4200" s="3"/>
      <c r="W4200" s="3"/>
    </row>
    <row r="4201" spans="1:23">
      <c r="A4201" s="6"/>
      <c r="C4201" s="35"/>
      <c r="D4201" s="5"/>
      <c r="E4201" s="39"/>
      <c r="F4201" s="5"/>
      <c r="G4201" s="40"/>
      <c r="H4201" s="14"/>
      <c r="I4201" s="17"/>
      <c r="J4201" s="10"/>
      <c r="L4201" s="5"/>
      <c r="M4201" s="39"/>
      <c r="N4201" s="5"/>
      <c r="O4201" s="39"/>
      <c r="P4201" s="5"/>
      <c r="Q4201" s="39"/>
      <c r="V4201" s="3"/>
      <c r="W4201" s="3"/>
    </row>
    <row r="4202" spans="1:23">
      <c r="A4202" s="6"/>
      <c r="C4202" s="35"/>
      <c r="D4202" s="5"/>
      <c r="E4202" s="39"/>
      <c r="F4202" s="5"/>
      <c r="G4202" s="40"/>
      <c r="H4202" s="14"/>
      <c r="I4202" s="17"/>
      <c r="J4202" s="10"/>
      <c r="L4202" s="5"/>
      <c r="M4202" s="39"/>
      <c r="N4202" s="5"/>
      <c r="O4202" s="39"/>
      <c r="P4202" s="5"/>
      <c r="Q4202" s="39"/>
      <c r="V4202" s="3"/>
      <c r="W4202" s="3"/>
    </row>
    <row r="4203" spans="1:23">
      <c r="A4203" s="6"/>
      <c r="C4203" s="35"/>
      <c r="D4203" s="5"/>
      <c r="E4203" s="39"/>
      <c r="F4203" s="5"/>
      <c r="G4203" s="40"/>
      <c r="H4203" s="14"/>
      <c r="I4203" s="17"/>
      <c r="J4203" s="10"/>
      <c r="L4203" s="5"/>
      <c r="M4203" s="39"/>
      <c r="N4203" s="5"/>
      <c r="O4203" s="39"/>
      <c r="P4203" s="5"/>
      <c r="Q4203" s="39"/>
      <c r="V4203" s="3"/>
      <c r="W4203" s="3"/>
    </row>
    <row r="4204" spans="1:23">
      <c r="A4204" s="6"/>
      <c r="C4204" s="35"/>
      <c r="D4204" s="5"/>
      <c r="E4204" s="39"/>
      <c r="F4204" s="5"/>
      <c r="G4204" s="40"/>
      <c r="H4204" s="15"/>
      <c r="I4204" s="17"/>
      <c r="J4204" s="10"/>
      <c r="L4204" s="5"/>
      <c r="M4204" s="39"/>
      <c r="N4204" s="5"/>
      <c r="O4204" s="39"/>
      <c r="P4204" s="5"/>
      <c r="Q4204" s="39"/>
      <c r="V4204" s="3"/>
      <c r="W4204" s="3"/>
    </row>
    <row r="4205" spans="1:23">
      <c r="A4205" s="6"/>
      <c r="C4205" s="35"/>
      <c r="D4205" s="5"/>
      <c r="E4205" s="39"/>
      <c r="F4205" s="5"/>
      <c r="G4205" s="40"/>
      <c r="H4205" s="15"/>
      <c r="I4205" s="17"/>
      <c r="J4205" s="10"/>
      <c r="L4205" s="5"/>
      <c r="M4205" s="39"/>
      <c r="N4205" s="5"/>
      <c r="O4205" s="39"/>
      <c r="P4205" s="5"/>
      <c r="Q4205" s="39"/>
      <c r="V4205" s="3"/>
      <c r="W4205" s="3"/>
    </row>
    <row r="4206" spans="1:23">
      <c r="A4206" s="6"/>
      <c r="C4206" s="35"/>
      <c r="D4206" s="5"/>
      <c r="E4206" s="39"/>
      <c r="F4206" s="5"/>
      <c r="G4206" s="40"/>
      <c r="H4206" s="15"/>
      <c r="I4206" s="17"/>
      <c r="J4206" s="10"/>
      <c r="L4206" s="5"/>
      <c r="M4206" s="39"/>
      <c r="N4206" s="5"/>
      <c r="O4206" s="39"/>
      <c r="P4206" s="5"/>
      <c r="Q4206" s="39"/>
      <c r="V4206" s="3"/>
      <c r="W4206" s="3"/>
    </row>
    <row r="4207" spans="1:23">
      <c r="A4207" s="6"/>
      <c r="C4207" s="35"/>
      <c r="D4207" s="5"/>
      <c r="E4207" s="39"/>
      <c r="F4207" s="5"/>
      <c r="G4207" s="40"/>
      <c r="H4207" s="14"/>
      <c r="I4207" s="17"/>
      <c r="J4207" s="10"/>
      <c r="L4207" s="5"/>
      <c r="M4207" s="39"/>
      <c r="N4207" s="5"/>
      <c r="O4207" s="39"/>
      <c r="P4207" s="5"/>
      <c r="Q4207" s="39"/>
      <c r="V4207" s="3"/>
      <c r="W4207" s="3"/>
    </row>
    <row r="4208" spans="1:23">
      <c r="A4208" s="6"/>
      <c r="C4208" s="35"/>
      <c r="D4208" s="5"/>
      <c r="E4208" s="39"/>
      <c r="F4208" s="5"/>
      <c r="G4208" s="40"/>
      <c r="H4208" s="15"/>
      <c r="I4208" s="17"/>
      <c r="J4208" s="10"/>
      <c r="L4208" s="5"/>
      <c r="M4208" s="39"/>
      <c r="N4208" s="5"/>
      <c r="O4208" s="39"/>
      <c r="P4208" s="5"/>
      <c r="Q4208" s="39"/>
      <c r="V4208" s="3"/>
      <c r="W4208" s="3"/>
    </row>
    <row r="4209" spans="1:23">
      <c r="A4209" s="6"/>
      <c r="C4209" s="35"/>
      <c r="D4209" s="5"/>
      <c r="E4209" s="39"/>
      <c r="F4209" s="5"/>
      <c r="G4209" s="40"/>
      <c r="H4209" s="15"/>
      <c r="I4209" s="17"/>
      <c r="J4209" s="10"/>
      <c r="L4209" s="5"/>
      <c r="M4209" s="39"/>
      <c r="N4209" s="5"/>
      <c r="O4209" s="39"/>
      <c r="P4209" s="5"/>
      <c r="Q4209" s="39"/>
      <c r="V4209" s="3"/>
      <c r="W4209" s="3"/>
    </row>
    <row r="4210" spans="1:23">
      <c r="A4210" s="6"/>
      <c r="C4210" s="35"/>
      <c r="D4210" s="5"/>
      <c r="E4210" s="39"/>
      <c r="F4210" s="5"/>
      <c r="G4210" s="40"/>
      <c r="H4210" s="15"/>
      <c r="I4210" s="17"/>
      <c r="J4210" s="10"/>
      <c r="L4210" s="5"/>
      <c r="M4210" s="39"/>
      <c r="N4210" s="5"/>
      <c r="O4210" s="39"/>
      <c r="P4210" s="5"/>
      <c r="Q4210" s="39"/>
      <c r="V4210" s="3"/>
      <c r="W4210" s="3"/>
    </row>
    <row r="4211" spans="1:23">
      <c r="A4211" s="6"/>
      <c r="C4211" s="35"/>
      <c r="D4211" s="5"/>
      <c r="E4211" s="39"/>
      <c r="F4211" s="5"/>
      <c r="G4211" s="40"/>
      <c r="H4211" s="14"/>
      <c r="I4211" s="17"/>
      <c r="J4211" s="10"/>
      <c r="L4211" s="5"/>
      <c r="M4211" s="39"/>
      <c r="N4211" s="5"/>
      <c r="O4211" s="39"/>
      <c r="P4211" s="5"/>
      <c r="Q4211" s="39"/>
      <c r="V4211" s="3"/>
      <c r="W4211" s="3"/>
    </row>
    <row r="4212" spans="1:23">
      <c r="A4212" s="6"/>
      <c r="C4212" s="35"/>
      <c r="D4212" s="5"/>
      <c r="E4212" s="39"/>
      <c r="F4212" s="5"/>
      <c r="G4212" s="40"/>
      <c r="H4212" s="15"/>
      <c r="I4212" s="17"/>
      <c r="J4212" s="10"/>
      <c r="L4212" s="5"/>
      <c r="M4212" s="39"/>
      <c r="N4212" s="5"/>
      <c r="O4212" s="39"/>
      <c r="P4212" s="5"/>
      <c r="Q4212" s="39"/>
      <c r="V4212" s="3"/>
      <c r="W4212" s="3"/>
    </row>
    <row r="4213" spans="1:23">
      <c r="A4213" s="6"/>
      <c r="C4213" s="35"/>
      <c r="D4213" s="5"/>
      <c r="E4213" s="39"/>
      <c r="F4213" s="5"/>
      <c r="G4213" s="40"/>
      <c r="H4213" s="15"/>
      <c r="I4213" s="17"/>
      <c r="J4213" s="10"/>
      <c r="L4213" s="5"/>
      <c r="M4213" s="39"/>
      <c r="N4213" s="5"/>
      <c r="O4213" s="39"/>
      <c r="P4213" s="5"/>
      <c r="Q4213" s="39"/>
      <c r="V4213" s="3"/>
      <c r="W4213" s="3"/>
    </row>
    <row r="4214" spans="1:23">
      <c r="A4214" s="6"/>
      <c r="C4214" s="35"/>
      <c r="D4214" s="5"/>
      <c r="E4214" s="39"/>
      <c r="F4214" s="5"/>
      <c r="G4214" s="40"/>
      <c r="H4214" s="15"/>
      <c r="I4214" s="17"/>
      <c r="J4214" s="10"/>
      <c r="L4214" s="5"/>
      <c r="M4214" s="39"/>
      <c r="N4214" s="5"/>
      <c r="O4214" s="39"/>
      <c r="P4214" s="5"/>
      <c r="Q4214" s="39"/>
      <c r="V4214" s="3"/>
      <c r="W4214" s="3"/>
    </row>
    <row r="4215" spans="1:23">
      <c r="A4215" s="6"/>
      <c r="C4215" s="35"/>
      <c r="D4215" s="5"/>
      <c r="E4215" s="39"/>
      <c r="F4215" s="5"/>
      <c r="G4215" s="40"/>
      <c r="H4215" s="15"/>
      <c r="I4215" s="17"/>
      <c r="J4215" s="10"/>
      <c r="L4215" s="5"/>
      <c r="M4215" s="39"/>
      <c r="N4215" s="5"/>
      <c r="O4215" s="39"/>
      <c r="P4215" s="5"/>
      <c r="Q4215" s="39"/>
      <c r="V4215" s="3"/>
      <c r="W4215" s="3"/>
    </row>
    <row r="4216" spans="1:23">
      <c r="A4216" s="6"/>
      <c r="C4216" s="35"/>
      <c r="D4216" s="5"/>
      <c r="E4216" s="39"/>
      <c r="F4216" s="5"/>
      <c r="G4216" s="40"/>
      <c r="H4216" s="15"/>
      <c r="I4216" s="17"/>
      <c r="J4216" s="10"/>
      <c r="L4216" s="5"/>
      <c r="M4216" s="39"/>
      <c r="N4216" s="5"/>
      <c r="O4216" s="39"/>
      <c r="P4216" s="5"/>
      <c r="Q4216" s="39"/>
      <c r="V4216" s="3"/>
      <c r="W4216" s="3"/>
    </row>
    <row r="4217" spans="1:23">
      <c r="A4217" s="6"/>
      <c r="C4217" s="35"/>
      <c r="D4217" s="5"/>
      <c r="E4217" s="39"/>
      <c r="F4217" s="5"/>
      <c r="G4217" s="40"/>
      <c r="H4217" s="15"/>
      <c r="I4217" s="17"/>
      <c r="J4217" s="10"/>
      <c r="L4217" s="5"/>
      <c r="M4217" s="39"/>
      <c r="N4217" s="5"/>
      <c r="O4217" s="39"/>
      <c r="P4217" s="5"/>
      <c r="Q4217" s="39"/>
      <c r="V4217" s="3"/>
      <c r="W4217" s="3"/>
    </row>
    <row r="4218" spans="1:23">
      <c r="C4218" s="35"/>
      <c r="D4218" s="5"/>
      <c r="E4218" s="39"/>
      <c r="G4218" s="40"/>
      <c r="L4218" s="5"/>
      <c r="M4218" s="39"/>
      <c r="N4218" s="5"/>
      <c r="O4218" s="39"/>
      <c r="P4218" s="5"/>
      <c r="Q4218" s="39"/>
      <c r="R4218" s="29"/>
      <c r="V4218" s="3"/>
      <c r="W4218" s="3"/>
    </row>
    <row r="4219" spans="1:23">
      <c r="A4219" s="6"/>
      <c r="C4219" s="35"/>
      <c r="D4219" s="5"/>
      <c r="E4219" s="39"/>
      <c r="F4219" s="5"/>
      <c r="G4219" s="40"/>
      <c r="H4219" s="15"/>
      <c r="I4219" s="17"/>
      <c r="J4219" s="10"/>
      <c r="L4219" s="5"/>
      <c r="M4219" s="39"/>
      <c r="N4219" s="5"/>
      <c r="O4219" s="39"/>
      <c r="P4219" s="5"/>
      <c r="Q4219" s="39"/>
      <c r="V4219" s="3"/>
      <c r="W4219" s="3"/>
    </row>
    <row r="4220" spans="1:23">
      <c r="A4220" s="6"/>
      <c r="C4220" s="35"/>
      <c r="D4220" s="5"/>
      <c r="E4220" s="39"/>
      <c r="F4220" s="5"/>
      <c r="G4220" s="40"/>
      <c r="H4220" s="15"/>
      <c r="I4220" s="17"/>
      <c r="J4220" s="10"/>
      <c r="L4220" s="5"/>
      <c r="M4220" s="39"/>
      <c r="N4220" s="5"/>
      <c r="O4220" s="39"/>
      <c r="P4220" s="5"/>
      <c r="Q4220" s="39"/>
      <c r="V4220" s="3"/>
      <c r="W4220" s="3"/>
    </row>
    <row r="4221" spans="1:23">
      <c r="A4221" s="6"/>
      <c r="C4221" s="35"/>
      <c r="D4221" s="5"/>
      <c r="E4221" s="39"/>
      <c r="F4221" s="5"/>
      <c r="G4221" s="40"/>
      <c r="H4221" s="15"/>
      <c r="I4221" s="17"/>
      <c r="J4221" s="10"/>
      <c r="L4221" s="5"/>
      <c r="M4221" s="39"/>
      <c r="N4221" s="5"/>
      <c r="O4221" s="39"/>
      <c r="P4221" s="5"/>
      <c r="Q4221" s="39"/>
      <c r="V4221" s="3"/>
      <c r="W4221" s="3"/>
    </row>
    <row r="4222" spans="1:23">
      <c r="A4222" s="6"/>
      <c r="C4222" s="35"/>
      <c r="D4222" s="5"/>
      <c r="E4222" s="39"/>
      <c r="F4222" s="5"/>
      <c r="G4222" s="40"/>
      <c r="H4222" s="15"/>
      <c r="I4222" s="17"/>
      <c r="J4222" s="10"/>
      <c r="L4222" s="5"/>
      <c r="M4222" s="39"/>
      <c r="N4222" s="5"/>
      <c r="O4222" s="39"/>
      <c r="P4222" s="5"/>
      <c r="Q4222" s="39"/>
      <c r="V4222" s="3"/>
      <c r="W4222" s="3"/>
    </row>
    <row r="4223" spans="1:23">
      <c r="A4223" s="6"/>
      <c r="C4223" s="35"/>
      <c r="D4223" s="5"/>
      <c r="E4223" s="39"/>
      <c r="F4223" s="5"/>
      <c r="G4223" s="40"/>
      <c r="H4223" s="15"/>
      <c r="I4223" s="17"/>
      <c r="J4223" s="10"/>
      <c r="L4223" s="5"/>
      <c r="M4223" s="39"/>
      <c r="N4223" s="5"/>
      <c r="O4223" s="39"/>
      <c r="P4223" s="5"/>
      <c r="Q4223" s="39"/>
      <c r="V4223" s="3"/>
      <c r="W4223" s="3"/>
    </row>
    <row r="4224" spans="1:23">
      <c r="A4224" s="6"/>
      <c r="C4224" s="35"/>
      <c r="D4224" s="5"/>
      <c r="E4224" s="39"/>
      <c r="F4224" s="5"/>
      <c r="G4224" s="40"/>
      <c r="H4224" s="15"/>
      <c r="I4224" s="17"/>
      <c r="J4224" s="10"/>
      <c r="L4224" s="5"/>
      <c r="M4224" s="39"/>
      <c r="N4224" s="5"/>
      <c r="O4224" s="39"/>
      <c r="P4224" s="5"/>
      <c r="Q4224" s="39"/>
      <c r="R4224" s="29"/>
      <c r="S4224" s="29"/>
      <c r="V4224" s="3"/>
      <c r="W4224" s="3"/>
    </row>
    <row r="4225" spans="1:23">
      <c r="A4225" s="6"/>
      <c r="C4225" s="35"/>
      <c r="D4225" s="5"/>
      <c r="E4225" s="39"/>
      <c r="F4225" s="5"/>
      <c r="G4225" s="40"/>
      <c r="H4225" s="15"/>
      <c r="I4225" s="17"/>
      <c r="J4225" s="10"/>
      <c r="L4225" s="5"/>
      <c r="M4225" s="39"/>
      <c r="N4225" s="5"/>
      <c r="O4225" s="39"/>
      <c r="P4225" s="5"/>
      <c r="Q4225" s="39"/>
      <c r="R4225" s="29"/>
      <c r="S4225" s="29"/>
      <c r="V4225" s="3"/>
      <c r="W4225" s="3"/>
    </row>
    <row r="4226" spans="1:23">
      <c r="A4226" s="6"/>
      <c r="C4226" s="35"/>
      <c r="D4226" s="5"/>
      <c r="E4226" s="39"/>
      <c r="F4226" s="5"/>
      <c r="G4226" s="40"/>
      <c r="H4226" s="15"/>
      <c r="I4226" s="17"/>
      <c r="J4226" s="10"/>
      <c r="L4226" s="5"/>
      <c r="M4226" s="39"/>
      <c r="N4226" s="5"/>
      <c r="O4226" s="39"/>
      <c r="P4226" s="5"/>
      <c r="Q4226" s="39"/>
      <c r="R4226" s="29"/>
      <c r="S4226" s="29"/>
      <c r="V4226" s="3"/>
      <c r="W4226" s="3"/>
    </row>
    <row r="4227" spans="1:23">
      <c r="A4227" s="6"/>
      <c r="C4227" s="35"/>
      <c r="D4227" s="5"/>
      <c r="E4227" s="39"/>
      <c r="F4227" s="5"/>
      <c r="G4227" s="40"/>
      <c r="H4227" s="15"/>
      <c r="I4227" s="17"/>
      <c r="J4227" s="10"/>
      <c r="L4227" s="5"/>
      <c r="M4227" s="39"/>
      <c r="N4227" s="5"/>
      <c r="O4227" s="39"/>
      <c r="P4227" s="5"/>
      <c r="Q4227" s="39"/>
      <c r="R4227" s="29"/>
      <c r="S4227" s="29"/>
      <c r="V4227" s="3"/>
      <c r="W4227" s="3"/>
    </row>
    <row r="4228" spans="1:23">
      <c r="A4228" s="6"/>
      <c r="C4228" s="35"/>
      <c r="D4228" s="5"/>
      <c r="E4228" s="39"/>
      <c r="F4228" s="5"/>
      <c r="G4228" s="40"/>
      <c r="H4228" s="15"/>
      <c r="I4228" s="17"/>
      <c r="J4228" s="10"/>
      <c r="L4228" s="5"/>
      <c r="M4228" s="39"/>
      <c r="N4228" s="5"/>
      <c r="O4228" s="39"/>
      <c r="P4228" s="5"/>
      <c r="Q4228" s="39"/>
      <c r="R4228" s="29"/>
      <c r="S4228" s="29"/>
      <c r="V4228" s="3"/>
      <c r="W4228" s="3"/>
    </row>
    <row r="4229" spans="1:23">
      <c r="A4229" s="6"/>
      <c r="C4229" s="35"/>
      <c r="D4229" s="5"/>
      <c r="E4229" s="39"/>
      <c r="F4229" s="5"/>
      <c r="G4229" s="40"/>
      <c r="H4229" s="15"/>
      <c r="I4229" s="17"/>
      <c r="J4229" s="10"/>
      <c r="L4229" s="5"/>
      <c r="M4229" s="39"/>
      <c r="N4229" s="5"/>
      <c r="O4229" s="39"/>
      <c r="P4229" s="5"/>
      <c r="Q4229" s="39"/>
      <c r="R4229" s="29"/>
      <c r="S4229" s="29"/>
      <c r="V4229" s="3"/>
      <c r="W4229" s="3"/>
    </row>
    <row r="4230" spans="1:23">
      <c r="A4230" s="6"/>
      <c r="C4230" s="35"/>
      <c r="D4230" s="5"/>
      <c r="E4230" s="39"/>
      <c r="F4230" s="5"/>
      <c r="G4230" s="40"/>
      <c r="H4230" s="15"/>
      <c r="I4230" s="17"/>
      <c r="J4230" s="10"/>
      <c r="L4230" s="5"/>
      <c r="M4230" s="39"/>
      <c r="N4230" s="5"/>
      <c r="O4230" s="39"/>
      <c r="P4230" s="5"/>
      <c r="Q4230" s="39"/>
      <c r="R4230" s="29"/>
      <c r="S4230" s="29"/>
      <c r="V4230" s="3"/>
      <c r="W4230" s="3"/>
    </row>
    <row r="4231" spans="1:23">
      <c r="A4231" s="6"/>
      <c r="C4231" s="35"/>
      <c r="D4231" s="5"/>
      <c r="E4231" s="39"/>
      <c r="F4231" s="5"/>
      <c r="G4231" s="40"/>
      <c r="H4231" s="15"/>
      <c r="I4231" s="17"/>
      <c r="J4231" s="10"/>
      <c r="L4231" s="5"/>
      <c r="M4231" s="39"/>
      <c r="N4231" s="5"/>
      <c r="O4231" s="39"/>
      <c r="P4231" s="5"/>
      <c r="Q4231" s="39"/>
      <c r="R4231" s="29"/>
      <c r="S4231" s="29"/>
      <c r="V4231" s="3"/>
      <c r="W4231" s="3"/>
    </row>
    <row r="4232" spans="1:23">
      <c r="A4232" s="6"/>
      <c r="C4232" s="35"/>
      <c r="D4232" s="5"/>
      <c r="E4232" s="39"/>
      <c r="F4232" s="5"/>
      <c r="G4232" s="40"/>
      <c r="H4232" s="15"/>
      <c r="I4232" s="17"/>
      <c r="J4232" s="10"/>
      <c r="L4232" s="5"/>
      <c r="M4232" s="39"/>
      <c r="N4232" s="5"/>
      <c r="O4232" s="39"/>
      <c r="P4232" s="5"/>
      <c r="Q4232" s="39"/>
      <c r="R4232" s="29"/>
      <c r="S4232" s="29"/>
      <c r="V4232" s="3"/>
      <c r="W4232" s="3"/>
    </row>
  </sheetData>
  <dataConsolidate/>
  <conditionalFormatting sqref="A3710">
    <cfRule type="expression" dxfId="108" priority="141">
      <formula>AND($AL3703="PRP",FIND("BW",$AK3703))</formula>
    </cfRule>
    <cfRule type="expression" dxfId="107" priority="142">
      <formula>$AL3703="PRP"</formula>
    </cfRule>
  </conditionalFormatting>
  <conditionalFormatting sqref="A3710">
    <cfRule type="expression" dxfId="106" priority="140">
      <formula>FIND("BW",$AK3703)</formula>
    </cfRule>
  </conditionalFormatting>
  <conditionalFormatting sqref="A3710">
    <cfRule type="expression" dxfId="105" priority="139">
      <formula>$AL3703="prp only"</formula>
    </cfRule>
  </conditionalFormatting>
  <conditionalFormatting sqref="A3746">
    <cfRule type="expression" dxfId="104" priority="137">
      <formula>AND($AL3745="PRP",FIND("BW",$AK3745))</formula>
    </cfRule>
    <cfRule type="expression" dxfId="103" priority="138">
      <formula>$AL3745="PRP"</formula>
    </cfRule>
  </conditionalFormatting>
  <conditionalFormatting sqref="A3746">
    <cfRule type="expression" dxfId="102" priority="136">
      <formula>FIND("BW",$AK3745)</formula>
    </cfRule>
  </conditionalFormatting>
  <conditionalFormatting sqref="A3746">
    <cfRule type="expression" dxfId="101" priority="135">
      <formula>$AL3745="prp only"</formula>
    </cfRule>
  </conditionalFormatting>
  <conditionalFormatting sqref="W1:W1048576">
    <cfRule type="expression" dxfId="100" priority="134">
      <formula>COUNTIF($W:$W,W1)&gt;1</formula>
    </cfRule>
  </conditionalFormatting>
  <conditionalFormatting sqref="A1:A1048576">
    <cfRule type="expression" dxfId="99" priority="133">
      <formula>COUNTIF($A:$A,A1)&gt;1</formula>
    </cfRule>
  </conditionalFormatting>
  <conditionalFormatting sqref="B1:C2 C3:C1048576">
    <cfRule type="expression" dxfId="98" priority="132">
      <formula>COUNTIF($C:$C,B1)&gt;1</formula>
    </cfRule>
  </conditionalFormatting>
  <conditionalFormatting sqref="J1:J2">
    <cfRule type="expression" dxfId="97" priority="131">
      <formula>N1="de"</formula>
    </cfRule>
  </conditionalFormatting>
  <conditionalFormatting sqref="V1:V2">
    <cfRule type="expression" dxfId="96" priority="130">
      <formula>W1="de"</formula>
    </cfRule>
  </conditionalFormatting>
  <conditionalFormatting sqref="H1:H2">
    <cfRule type="expression" dxfId="95" priority="129">
      <formula>T1="de"</formula>
    </cfRule>
  </conditionalFormatting>
  <conditionalFormatting sqref="A3710">
    <cfRule type="expression" dxfId="94" priority="158" stopIfTrue="1">
      <formula>$S3703="english"</formula>
    </cfRule>
    <cfRule type="expression" dxfId="93" priority="159" stopIfTrue="1">
      <formula>AND(A$971="grey",NOT(ISBLANK($AG3703)))</formula>
    </cfRule>
  </conditionalFormatting>
  <conditionalFormatting sqref="A3746">
    <cfRule type="expression" dxfId="92" priority="160" stopIfTrue="1">
      <formula>$S3745="english"</formula>
    </cfRule>
    <cfRule type="expression" dxfId="91" priority="161" stopIfTrue="1">
      <formula>AND(A$971="grey",NOT(ISBLANK($AG3745)))</formula>
    </cfRule>
  </conditionalFormatting>
  <conditionalFormatting sqref="A3710">
    <cfRule type="expression" dxfId="90" priority="207" stopIfTrue="1">
      <formula>$R3703="english"</formula>
    </cfRule>
    <cfRule type="expression" dxfId="89" priority="208" stopIfTrue="1">
      <formula>AND(A$971="grey",NOT(ISBLANK($AF3703)))</formula>
    </cfRule>
  </conditionalFormatting>
  <conditionalFormatting sqref="A3746">
    <cfRule type="expression" dxfId="88" priority="209" stopIfTrue="1">
      <formula>$R3745="english"</formula>
    </cfRule>
    <cfRule type="expression" dxfId="87" priority="210" stopIfTrue="1">
      <formula>AND(A$971="grey",NOT(ISBLANK($AF3745)))</formula>
    </cfRule>
  </conditionalFormatting>
  <conditionalFormatting sqref="N3">
    <cfRule type="containsText" dxfId="86" priority="211" operator="containsText" text="‛">
      <formula>NOT(ISERROR(SEARCH("‛",N3)))</formula>
    </cfRule>
    <cfRule type="containsText" dxfId="85" priority="212" operator="containsText" text="‘">
      <formula>NOT(ISERROR(SEARCH("‘",N3)))</formula>
    </cfRule>
    <cfRule type="expression" dxfId="84" priority="213">
      <formula>COUNTIF($B:$B,N3)&gt;1</formula>
    </cfRule>
    <cfRule type="expression" dxfId="83" priority="214">
      <formula>$F3="Name"</formula>
    </cfRule>
    <cfRule type="expression" dxfId="82" priority="215">
      <formula>AB3&lt;&gt;""</formula>
    </cfRule>
    <cfRule type="expression" dxfId="81" priority="216">
      <formula>AD3&lt;&gt;""</formula>
    </cfRule>
    <cfRule type="expression" dxfId="80" priority="217">
      <formula>SEARCH("en",P3)</formula>
    </cfRule>
    <cfRule type="expression" dxfId="79" priority="218">
      <formula>SEARCH("de",P3)</formula>
    </cfRule>
  </conditionalFormatting>
  <conditionalFormatting sqref="B1:B6 B8:B1048576">
    <cfRule type="containsText" dxfId="78" priority="219" operator="containsText" text="‛">
      <formula>NOT(ISERROR(SEARCH("‛",B1)))</formula>
    </cfRule>
    <cfRule type="containsText" dxfId="77" priority="220" operator="containsText" text="‘">
      <formula>NOT(ISERROR(SEARCH("‘",B1)))</formula>
    </cfRule>
    <cfRule type="expression" dxfId="76" priority="221">
      <formula>COUNTIF($B:$B,B1)&gt;1</formula>
    </cfRule>
    <cfRule type="expression" dxfId="75" priority="222">
      <formula>$F1="Name"</formula>
    </cfRule>
    <cfRule type="expression" dxfId="74" priority="223">
      <formula>L1&lt;&gt;""</formula>
    </cfRule>
    <cfRule type="expression" dxfId="73" priority="224">
      <formula>N1&lt;&gt;""</formula>
    </cfRule>
    <cfRule type="expression" dxfId="72" priority="225">
      <formula>SEARCH("en",F1)</formula>
    </cfRule>
    <cfRule type="expression" dxfId="71" priority="226">
      <formula>SEARCH("de",F1)</formula>
    </cfRule>
  </conditionalFormatting>
  <conditionalFormatting sqref="D3">
    <cfRule type="containsText" dxfId="70" priority="227" operator="containsText" text="‛">
      <formula>NOT(ISERROR(SEARCH("‛",D3)))</formula>
    </cfRule>
    <cfRule type="containsText" dxfId="69" priority="228" operator="containsText" text="‘">
      <formula>NOT(ISERROR(SEARCH("‘",D3)))</formula>
    </cfRule>
    <cfRule type="expression" dxfId="68" priority="229">
      <formula>COUNTIF($B:$B,D3)&gt;1</formula>
    </cfRule>
    <cfRule type="expression" dxfId="67" priority="230">
      <formula>$F3="Name"</formula>
    </cfRule>
    <cfRule type="expression" dxfId="66" priority="231">
      <formula>S3&lt;&gt;""</formula>
    </cfRule>
    <cfRule type="expression" dxfId="65" priority="232">
      <formula>U3&lt;&gt;""</formula>
    </cfRule>
    <cfRule type="expression" dxfId="64" priority="233">
      <formula>SEARCH("en",G3)</formula>
    </cfRule>
    <cfRule type="expression" dxfId="63" priority="234">
      <formula>SEARCH("de",G3)</formula>
    </cfRule>
  </conditionalFormatting>
  <conditionalFormatting sqref="B4">
    <cfRule type="containsText" dxfId="62" priority="52" operator="containsText" text="‛">
      <formula>NOT(ISERROR(SEARCH("‛",B4)))</formula>
    </cfRule>
    <cfRule type="containsText" dxfId="61" priority="53" operator="containsText" text="‘">
      <formula>NOT(ISERROR(SEARCH("‘",B4)))</formula>
    </cfRule>
    <cfRule type="expression" dxfId="60" priority="54">
      <formula>COUNTIF($B:$B,B4)&gt;1</formula>
    </cfRule>
    <cfRule type="expression" dxfId="59" priority="55">
      <formula>$D4="Name"</formula>
    </cfRule>
    <cfRule type="expression" dxfId="58" priority="56">
      <formula>M4&lt;&gt;""</formula>
    </cfRule>
    <cfRule type="expression" dxfId="57" priority="57">
      <formula>O4&lt;&gt;""</formula>
    </cfRule>
    <cfRule type="expression" dxfId="56" priority="58">
      <formula>SEARCH("en",D4)</formula>
    </cfRule>
    <cfRule type="expression" dxfId="55" priority="59">
      <formula>SEARCH("de",D4)</formula>
    </cfRule>
  </conditionalFormatting>
  <conditionalFormatting sqref="D4">
    <cfRule type="containsText" dxfId="54" priority="44" operator="containsText" text="‛">
      <formula>NOT(ISERROR(SEARCH("‛",D4)))</formula>
    </cfRule>
    <cfRule type="containsText" dxfId="53" priority="45" operator="containsText" text="‘">
      <formula>NOT(ISERROR(SEARCH("‘",D4)))</formula>
    </cfRule>
    <cfRule type="expression" dxfId="52" priority="46">
      <formula>COUNTIF($B:$B,D4)&gt;1</formula>
    </cfRule>
    <cfRule type="expression" dxfId="51" priority="47">
      <formula>$F4="Name"</formula>
    </cfRule>
    <cfRule type="expression" dxfId="50" priority="48">
      <formula>N4&lt;&gt;""</formula>
    </cfRule>
    <cfRule type="expression" dxfId="49" priority="49">
      <formula>P4&lt;&gt;""</formula>
    </cfRule>
    <cfRule type="expression" dxfId="48" priority="50">
      <formula>SEARCH("en",H4)</formula>
    </cfRule>
    <cfRule type="expression" dxfId="47" priority="51">
      <formula>SEARCH("de",H4)</formula>
    </cfRule>
  </conditionalFormatting>
  <conditionalFormatting sqref="D4">
    <cfRule type="containsText" dxfId="46" priority="36" operator="containsText" text="‛">
      <formula>NOT(ISERROR(SEARCH("‛",D4)))</formula>
    </cfRule>
    <cfRule type="containsText" dxfId="45" priority="37" operator="containsText" text="‘">
      <formula>NOT(ISERROR(SEARCH("‘",D4)))</formula>
    </cfRule>
    <cfRule type="expression" dxfId="44" priority="38">
      <formula>COUNTIF($B:$B,D4)&gt;1</formula>
    </cfRule>
    <cfRule type="expression" dxfId="43" priority="39">
      <formula>$D4="Name"</formula>
    </cfRule>
    <cfRule type="expression" dxfId="42" priority="40">
      <formula>O4&lt;&gt;""</formula>
    </cfRule>
    <cfRule type="expression" dxfId="41" priority="41">
      <formula>Q4&lt;&gt;""</formula>
    </cfRule>
    <cfRule type="expression" dxfId="40" priority="42">
      <formula>SEARCH("en",F4)</formula>
    </cfRule>
    <cfRule type="expression" dxfId="39" priority="43">
      <formula>SEARCH("de",F4)</formula>
    </cfRule>
  </conditionalFormatting>
  <conditionalFormatting sqref="B4">
    <cfRule type="containsText" dxfId="38" priority="28" operator="containsText" text="‛">
      <formula>NOT(ISERROR(SEARCH("‛",B4)))</formula>
    </cfRule>
    <cfRule type="containsText" dxfId="37" priority="29" operator="containsText" text="‘">
      <formula>NOT(ISERROR(SEARCH("‘",B4)))</formula>
    </cfRule>
    <cfRule type="expression" dxfId="36" priority="30">
      <formula>COUNTIF($B:$B,B4)&gt;1</formula>
    </cfRule>
    <cfRule type="expression" dxfId="35" priority="31">
      <formula>$D4="Name"</formula>
    </cfRule>
    <cfRule type="expression" dxfId="34" priority="32">
      <formula>M4&lt;&gt;""</formula>
    </cfRule>
    <cfRule type="expression" dxfId="33" priority="33">
      <formula>O4&lt;&gt;""</formula>
    </cfRule>
    <cfRule type="expression" dxfId="32" priority="34">
      <formula>SEARCH("en",D4)</formula>
    </cfRule>
    <cfRule type="expression" dxfId="31" priority="35">
      <formula>SEARCH("de",D4)</formula>
    </cfRule>
  </conditionalFormatting>
  <conditionalFormatting sqref="B8">
    <cfRule type="containsText" dxfId="26" priority="19" operator="containsText" text="‛">
      <formula>NOT(ISERROR(SEARCH("‛",B8)))</formula>
    </cfRule>
    <cfRule type="containsText" dxfId="25" priority="20" operator="containsText" text="‘">
      <formula>NOT(ISERROR(SEARCH("‘",B8)))</formula>
    </cfRule>
    <cfRule type="expression" dxfId="24" priority="21">
      <formula>COUNTIF($B:$B,B8)&gt;1</formula>
    </cfRule>
    <cfRule type="expression" dxfId="23" priority="22">
      <formula>$D8="Name"</formula>
    </cfRule>
    <cfRule type="expression" dxfId="22" priority="23">
      <formula>M8&lt;&gt;""</formula>
    </cfRule>
    <cfRule type="expression" dxfId="21" priority="24">
      <formula>O8&lt;&gt;""</formula>
    </cfRule>
    <cfRule type="expression" dxfId="20" priority="25">
      <formula>SEARCH("en",D8)</formula>
    </cfRule>
    <cfRule type="expression" dxfId="19" priority="26">
      <formula>SEARCH("de",D8)</formula>
    </cfRule>
    <cfRule type="expression" dxfId="18" priority="27">
      <formula>U8=""</formula>
    </cfRule>
  </conditionalFormatting>
  <conditionalFormatting sqref="B9">
    <cfRule type="containsText" dxfId="17" priority="10" operator="containsText" text="‛">
      <formula>NOT(ISERROR(SEARCH("‛",B9)))</formula>
    </cfRule>
    <cfRule type="containsText" dxfId="16" priority="11" operator="containsText" text="‘">
      <formula>NOT(ISERROR(SEARCH("‘",B9)))</formula>
    </cfRule>
    <cfRule type="expression" dxfId="15" priority="12">
      <formula>COUNTIF($B:$B,B9)&gt;1</formula>
    </cfRule>
    <cfRule type="expression" dxfId="14" priority="13">
      <formula>$D9="Name"</formula>
    </cfRule>
    <cfRule type="expression" dxfId="13" priority="14">
      <formula>M9&lt;&gt;""</formula>
    </cfRule>
    <cfRule type="expression" dxfId="12" priority="15">
      <formula>O9&lt;&gt;""</formula>
    </cfRule>
    <cfRule type="expression" dxfId="11" priority="16">
      <formula>SEARCH("en",D9)</formula>
    </cfRule>
    <cfRule type="expression" dxfId="10" priority="17">
      <formula>SEARCH("de",D9)</formula>
    </cfRule>
    <cfRule type="expression" dxfId="9" priority="18">
      <formula>U9=""</formula>
    </cfRule>
  </conditionalFormatting>
  <conditionalFormatting sqref="B10">
    <cfRule type="containsText" dxfId="8" priority="1" operator="containsText" text="‛">
      <formula>NOT(ISERROR(SEARCH("‛",B10)))</formula>
    </cfRule>
    <cfRule type="containsText" dxfId="7" priority="2" operator="containsText" text="‘">
      <formula>NOT(ISERROR(SEARCH("‘",B10)))</formula>
    </cfRule>
    <cfRule type="expression" dxfId="6" priority="3">
      <formula>COUNTIF($B:$B,B10)&gt;1</formula>
    </cfRule>
    <cfRule type="expression" dxfId="5" priority="4">
      <formula>$D10="Name"</formula>
    </cfRule>
    <cfRule type="expression" dxfId="4" priority="5">
      <formula>M10&lt;&gt;""</formula>
    </cfRule>
    <cfRule type="expression" dxfId="3" priority="6">
      <formula>O10&lt;&gt;""</formula>
    </cfRule>
    <cfRule type="expression" dxfId="2" priority="7">
      <formula>SEARCH("en",D10)</formula>
    </cfRule>
    <cfRule type="expression" dxfId="1" priority="8">
      <formula>SEARCH("de",D10)</formula>
    </cfRule>
    <cfRule type="expression" dxfId="0" priority="9">
      <formula>U10=""</formula>
    </cfRule>
  </conditionalFormatting>
  <pageMargins left="0.7" right="0.7" top="0.78740157499999996" bottom="0.78740157499999996" header="0.3" footer="0.3"/>
  <pageSetup paperSize="0" orientation="portrait" r:id="rId1"/>
  <legacyDrawing r:id="rId2"/>
</worksheet>
</file>

<file path=xl/worksheets/sheet4.xml><?xml version="1.0" encoding="utf-8"?>
<worksheet xmlns="http://schemas.openxmlformats.org/spreadsheetml/2006/main" xmlns:r="http://schemas.openxmlformats.org/officeDocument/2006/relationships">
  <sheetPr codeName="Tabelle1"/>
  <dimension ref="A1:R3658"/>
  <sheetViews>
    <sheetView workbookViewId="0">
      <selection activeCell="B10" sqref="B10"/>
    </sheetView>
  </sheetViews>
  <sheetFormatPr baseColWidth="10" defaultRowHeight="12.85"/>
  <cols>
    <col min="1" max="1" width="96.265625" style="18" customWidth="1"/>
    <col min="2" max="2" width="51.3984375" style="18" customWidth="1"/>
    <col min="3" max="3" width="20.86328125" customWidth="1"/>
    <col min="5" max="5" width="30" customWidth="1"/>
    <col min="16" max="18" width="10.73046875" style="30"/>
  </cols>
  <sheetData>
    <row r="1" spans="1:18">
      <c r="J1" s="27" t="s">
        <v>9092</v>
      </c>
      <c r="L1" s="27" t="s">
        <v>9095</v>
      </c>
      <c r="M1" s="27" t="s">
        <v>9097</v>
      </c>
      <c r="N1" s="27" t="s">
        <v>9096</v>
      </c>
      <c r="O1" s="27" t="s">
        <v>9094</v>
      </c>
      <c r="P1" s="27"/>
      <c r="Q1" s="27"/>
      <c r="R1" s="27"/>
    </row>
    <row r="5" spans="1:18">
      <c r="A5" s="18" t="s">
        <v>8564</v>
      </c>
    </row>
    <row r="6" spans="1:18">
      <c r="A6" s="18" t="s">
        <v>8823</v>
      </c>
    </row>
    <row r="7" spans="1:18">
      <c r="A7" s="18" t="s">
        <v>8565</v>
      </c>
    </row>
    <row r="8" spans="1:18">
      <c r="A8" s="18" t="s">
        <v>8607</v>
      </c>
      <c r="B8" s="18" t="s">
        <v>9084</v>
      </c>
    </row>
    <row r="9" spans="1:18">
      <c r="A9" s="18" t="s">
        <v>8824</v>
      </c>
      <c r="B9" s="18" t="s">
        <v>9392</v>
      </c>
    </row>
    <row r="10" spans="1:18">
      <c r="A10" s="18" t="s">
        <v>8826</v>
      </c>
    </row>
    <row r="11" spans="1:18">
      <c r="A11" s="18" t="s">
        <v>9083</v>
      </c>
    </row>
    <row r="12" spans="1:18">
      <c r="A12" s="18" t="s">
        <v>9087</v>
      </c>
    </row>
    <row r="32" spans="1:1">
      <c r="A32" s="18" t="s">
        <v>8608</v>
      </c>
    </row>
    <row r="3658" spans="4:4">
      <c r="D3658" t="s">
        <v>9093</v>
      </c>
    </row>
  </sheetData>
  <customSheetViews>
    <customSheetView guid="{082D6A34-A611-47C0-9A79-03EA4C1633BB}" scale="190" topLeftCell="A3">
      <selection activeCell="A21" sqref="A21"/>
      <pageMargins left="0.7" right="0.7" top="0.78740157499999996" bottom="0.78740157499999996" header="0.3" footer="0.3"/>
    </customSheetView>
  </customSheetView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sheetPr codeName="Tabelle2"/>
  <dimension ref="A1:C11"/>
  <sheetViews>
    <sheetView topLeftCell="C1" workbookViewId="0">
      <selection activeCell="C12" sqref="C12"/>
    </sheetView>
  </sheetViews>
  <sheetFormatPr baseColWidth="10" defaultRowHeight="12.85"/>
  <cols>
    <col min="1" max="1" width="22" customWidth="1"/>
    <col min="3" max="3" width="135.73046875" customWidth="1"/>
  </cols>
  <sheetData>
    <row r="1" spans="1:3">
      <c r="A1" s="22" t="s">
        <v>9078</v>
      </c>
      <c r="B1" s="22" t="s">
        <v>9085</v>
      </c>
      <c r="C1" s="22" t="s">
        <v>9079</v>
      </c>
    </row>
    <row r="2" spans="1:3">
      <c r="A2" s="21">
        <v>41773</v>
      </c>
      <c r="B2" s="23" t="s">
        <v>9086</v>
      </c>
      <c r="C2" s="22" t="s">
        <v>9080</v>
      </c>
    </row>
    <row r="3" spans="1:3">
      <c r="A3" s="21">
        <v>41773</v>
      </c>
      <c r="B3" s="23" t="s">
        <v>9086</v>
      </c>
      <c r="C3" s="22" t="s">
        <v>9081</v>
      </c>
    </row>
    <row r="4" spans="1:3">
      <c r="A4" s="21">
        <v>41773</v>
      </c>
      <c r="B4" s="23" t="s">
        <v>9086</v>
      </c>
      <c r="C4" s="22" t="s">
        <v>9082</v>
      </c>
    </row>
    <row r="5" spans="1:3">
      <c r="A5" s="21">
        <v>41774</v>
      </c>
      <c r="B5" s="23" t="s">
        <v>9086</v>
      </c>
      <c r="C5" s="22" t="s">
        <v>9098</v>
      </c>
    </row>
    <row r="6" spans="1:3">
      <c r="A6" s="21">
        <v>41774</v>
      </c>
      <c r="B6" s="23" t="s">
        <v>9086</v>
      </c>
      <c r="C6" s="22" t="s">
        <v>9099</v>
      </c>
    </row>
    <row r="7" spans="1:3">
      <c r="A7" s="22" t="s">
        <v>9386</v>
      </c>
      <c r="B7" s="23" t="s">
        <v>9086</v>
      </c>
      <c r="C7" s="22" t="s">
        <v>9387</v>
      </c>
    </row>
    <row r="8" spans="1:3">
      <c r="A8" s="21">
        <v>41796</v>
      </c>
      <c r="B8" s="23" t="s">
        <v>9086</v>
      </c>
      <c r="C8" s="22" t="s">
        <v>9390</v>
      </c>
    </row>
    <row r="9" spans="1:3">
      <c r="A9" s="21">
        <v>41796</v>
      </c>
      <c r="B9" s="23" t="s">
        <v>9086</v>
      </c>
      <c r="C9" s="22" t="s">
        <v>9388</v>
      </c>
    </row>
    <row r="10" spans="1:3">
      <c r="A10" s="21">
        <v>41796</v>
      </c>
      <c r="B10" s="23" t="s">
        <v>9086</v>
      </c>
      <c r="C10" s="22" t="s">
        <v>9389</v>
      </c>
    </row>
    <row r="11" spans="1:3">
      <c r="A11" s="21">
        <v>41796</v>
      </c>
      <c r="B11" s="23" t="s">
        <v>9086</v>
      </c>
      <c r="C11" s="22" t="s">
        <v>9391</v>
      </c>
    </row>
  </sheetData>
  <conditionalFormatting sqref="C1:C1048576">
    <cfRule type="expression" dxfId="30" priority="1">
      <formula>LEFT(C1,1)="?"</formula>
    </cfRule>
  </conditionalFormatting>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sheetPr codeName="Tabelle4"/>
  <dimension ref="A2:A3"/>
  <sheetViews>
    <sheetView workbookViewId="0">
      <selection activeCell="A3" sqref="A3"/>
    </sheetView>
  </sheetViews>
  <sheetFormatPr baseColWidth="10" defaultRowHeight="12.85"/>
  <cols>
    <col min="1" max="1" width="12" customWidth="1"/>
    <col min="12" max="12" width="21.3984375" customWidth="1"/>
  </cols>
  <sheetData>
    <row r="2" spans="1:1" ht="13.95">
      <c r="A2" s="177" t="s">
        <v>9369</v>
      </c>
    </row>
    <row r="3" spans="1:1" ht="13.95">
      <c r="A3" s="177" t="s">
        <v>75</v>
      </c>
    </row>
  </sheetData>
  <conditionalFormatting sqref="A95:A1048576">
    <cfRule type="expression" dxfId="29" priority="8">
      <formula>COUNTIF($A:$A,A61)&gt;1</formula>
    </cfRule>
  </conditionalFormatting>
  <conditionalFormatting sqref="A61:A94">
    <cfRule type="expression" dxfId="28" priority="10">
      <formula>COUNTIF($A:$A,#REF!)&gt;1</formula>
    </cfRule>
  </conditionalFormatting>
  <conditionalFormatting sqref="A61">
    <cfRule type="expression" dxfId="27" priority="1">
      <formula>COUNTIF(A:A,A61)&gt;1</formula>
    </cfRule>
  </conditionalFormatting>
  <pageMargins left="0.7" right="0.7" top="0.78740157499999996" bottom="0.78740157499999996" header="0.3" footer="0.3"/>
  <pageSetup paperSize="0" orientation="portrait" r:id="rId1"/>
</worksheet>
</file>

<file path=xl/worksheets/sheet7.xml><?xml version="1.0" encoding="utf-8"?>
<worksheet xmlns="http://schemas.openxmlformats.org/spreadsheetml/2006/main" xmlns:r="http://schemas.openxmlformats.org/officeDocument/2006/relationships">
  <dimension ref="A1:E184"/>
  <sheetViews>
    <sheetView workbookViewId="0">
      <selection sqref="A1:XFD1048576"/>
    </sheetView>
  </sheetViews>
  <sheetFormatPr baseColWidth="10" defaultColWidth="10.73046875" defaultRowHeight="12.85"/>
  <cols>
    <col min="1" max="1" width="32" style="196" customWidth="1"/>
    <col min="2" max="2" width="10.73046875" style="198"/>
    <col min="3" max="3" width="32.265625" style="189" customWidth="1"/>
    <col min="4" max="4" width="10.73046875" style="189"/>
    <col min="5" max="5" width="53.265625" style="196" customWidth="1"/>
    <col min="6" max="16384" width="10.73046875" style="189"/>
  </cols>
  <sheetData>
    <row r="1" spans="1:5" ht="13.2" thickBot="1">
      <c r="A1" s="190"/>
      <c r="B1" s="187"/>
      <c r="C1" s="187"/>
      <c r="D1" s="187"/>
      <c r="E1" s="188"/>
    </row>
    <row r="2" spans="1:5" ht="13.2" thickBot="1">
      <c r="A2" s="190"/>
      <c r="B2" s="187"/>
      <c r="C2" s="187"/>
      <c r="D2" s="187"/>
      <c r="E2" s="188"/>
    </row>
    <row r="3" spans="1:5" ht="13.2" thickBot="1">
      <c r="A3" s="190"/>
      <c r="B3" s="187"/>
      <c r="C3" s="187"/>
      <c r="D3" s="187"/>
      <c r="E3" s="191"/>
    </row>
    <row r="4" spans="1:5" ht="13.2" thickBot="1">
      <c r="A4" s="190"/>
      <c r="B4" s="187"/>
      <c r="C4" s="187"/>
      <c r="D4" s="187"/>
      <c r="E4" s="191"/>
    </row>
    <row r="5" spans="1:5" ht="13.2" thickBot="1">
      <c r="A5" s="190"/>
      <c r="B5" s="187"/>
      <c r="C5" s="187"/>
      <c r="D5" s="187"/>
      <c r="E5" s="188"/>
    </row>
    <row r="6" spans="1:5" ht="13.2" thickBot="1">
      <c r="A6" s="190"/>
      <c r="B6" s="187"/>
      <c r="C6" s="187"/>
      <c r="D6" s="187"/>
      <c r="E6" s="188"/>
    </row>
    <row r="7" spans="1:5" ht="13.2" thickBot="1">
      <c r="A7" s="190"/>
      <c r="B7" s="187"/>
      <c r="C7" s="187"/>
      <c r="D7" s="187"/>
      <c r="E7" s="188"/>
    </row>
    <row r="8" spans="1:5" ht="13.2" thickBot="1">
      <c r="A8" s="192"/>
      <c r="B8" s="197"/>
      <c r="C8" s="193"/>
      <c r="D8" s="193"/>
      <c r="E8" s="194"/>
    </row>
    <row r="9" spans="1:5" ht="13.2" thickBot="1">
      <c r="A9" s="192"/>
      <c r="B9" s="197"/>
      <c r="C9" s="193"/>
      <c r="D9" s="193"/>
      <c r="E9" s="194"/>
    </row>
    <row r="10" spans="1:5" ht="13.2" thickBot="1">
      <c r="A10" s="190"/>
      <c r="B10" s="187"/>
      <c r="C10" s="187"/>
      <c r="D10" s="187"/>
      <c r="E10" s="191"/>
    </row>
    <row r="11" spans="1:5" ht="13.2" thickBot="1">
      <c r="A11" s="190"/>
      <c r="B11" s="187"/>
      <c r="C11" s="187"/>
      <c r="D11" s="187"/>
      <c r="E11" s="191"/>
    </row>
    <row r="12" spans="1:5" ht="13.2" thickBot="1">
      <c r="A12" s="192"/>
      <c r="B12" s="197"/>
      <c r="C12" s="193"/>
      <c r="D12" s="193"/>
      <c r="E12" s="195"/>
    </row>
    <row r="13" spans="1:5" ht="13.2" thickBot="1">
      <c r="A13" s="190"/>
      <c r="B13" s="187"/>
      <c r="C13" s="187"/>
      <c r="D13" s="187"/>
      <c r="E13" s="191"/>
    </row>
    <row r="14" spans="1:5" ht="13.2" thickBot="1">
      <c r="A14" s="190"/>
      <c r="B14" s="187"/>
      <c r="C14" s="187"/>
      <c r="D14" s="187"/>
      <c r="E14" s="191"/>
    </row>
    <row r="15" spans="1:5" ht="13.2" thickBot="1">
      <c r="A15" s="190"/>
      <c r="B15" s="187"/>
      <c r="C15" s="187"/>
      <c r="D15" s="187"/>
      <c r="E15" s="191"/>
    </row>
    <row r="16" spans="1:5" ht="13.2" thickBot="1">
      <c r="A16" s="190"/>
      <c r="B16" s="187"/>
      <c r="C16" s="187"/>
      <c r="D16" s="187"/>
      <c r="E16" s="188"/>
    </row>
    <row r="17" spans="1:5" ht="13.2" thickBot="1">
      <c r="A17" s="190"/>
      <c r="B17" s="187"/>
      <c r="C17" s="187"/>
      <c r="D17" s="187"/>
      <c r="E17" s="188"/>
    </row>
    <row r="18" spans="1:5" ht="13.2" thickBot="1">
      <c r="A18" s="190"/>
      <c r="B18" s="187"/>
      <c r="C18" s="187"/>
      <c r="D18" s="187"/>
      <c r="E18" s="191"/>
    </row>
    <row r="19" spans="1:5" ht="13.2" thickBot="1">
      <c r="A19" s="190"/>
      <c r="B19" s="187"/>
      <c r="C19" s="187"/>
      <c r="D19" s="187"/>
      <c r="E19" s="188"/>
    </row>
    <row r="20" spans="1:5" ht="13.2" thickBot="1">
      <c r="A20" s="190"/>
      <c r="B20" s="187"/>
      <c r="C20" s="187"/>
      <c r="D20" s="187"/>
      <c r="E20" s="191"/>
    </row>
    <row r="21" spans="1:5" ht="13.2" thickBot="1">
      <c r="A21" s="190"/>
      <c r="B21" s="187"/>
      <c r="C21" s="187"/>
      <c r="D21" s="187"/>
      <c r="E21" s="191"/>
    </row>
    <row r="22" spans="1:5" ht="13.2" thickBot="1">
      <c r="A22" s="190"/>
      <c r="B22" s="187"/>
      <c r="C22" s="187"/>
      <c r="D22" s="187"/>
      <c r="E22" s="191"/>
    </row>
    <row r="23" spans="1:5" ht="13.2" thickBot="1">
      <c r="A23" s="190"/>
      <c r="B23" s="187"/>
      <c r="C23" s="187"/>
      <c r="D23" s="187"/>
      <c r="E23" s="191"/>
    </row>
    <row r="24" spans="1:5" ht="13.2" thickBot="1">
      <c r="A24" s="190"/>
      <c r="B24" s="187"/>
      <c r="C24" s="187"/>
      <c r="D24" s="187"/>
      <c r="E24" s="191"/>
    </row>
    <row r="25" spans="1:5" ht="13.2" thickBot="1">
      <c r="A25" s="190"/>
      <c r="B25" s="187"/>
      <c r="C25" s="187"/>
      <c r="D25" s="187"/>
      <c r="E25" s="191"/>
    </row>
    <row r="26" spans="1:5" ht="13.2" thickBot="1">
      <c r="A26" s="190"/>
      <c r="B26" s="187"/>
      <c r="C26" s="187"/>
      <c r="D26" s="187"/>
      <c r="E26" s="191"/>
    </row>
    <row r="27" spans="1:5" ht="13.2" thickBot="1">
      <c r="A27" s="190"/>
      <c r="B27" s="187"/>
      <c r="C27" s="187"/>
      <c r="D27" s="187"/>
      <c r="E27" s="191"/>
    </row>
    <row r="28" spans="1:5" ht="13.2" thickBot="1">
      <c r="A28" s="190"/>
      <c r="B28" s="187"/>
      <c r="C28" s="187"/>
      <c r="D28" s="187"/>
      <c r="E28" s="191"/>
    </row>
    <row r="29" spans="1:5" ht="13.2" thickBot="1">
      <c r="A29" s="190"/>
      <c r="B29" s="187"/>
      <c r="C29" s="187"/>
      <c r="D29" s="187"/>
      <c r="E29" s="191"/>
    </row>
    <row r="30" spans="1:5" ht="13.2" thickBot="1">
      <c r="A30" s="190"/>
      <c r="B30" s="187"/>
      <c r="C30" s="187"/>
      <c r="D30" s="187"/>
      <c r="E30" s="191"/>
    </row>
    <row r="31" spans="1:5" ht="13.2" thickBot="1">
      <c r="A31" s="190"/>
      <c r="B31" s="187"/>
      <c r="C31" s="187"/>
      <c r="D31" s="187"/>
      <c r="E31" s="191"/>
    </row>
    <row r="32" spans="1:5" ht="13.2" thickBot="1">
      <c r="A32" s="190"/>
      <c r="B32" s="187"/>
      <c r="C32" s="187"/>
      <c r="D32" s="187"/>
      <c r="E32" s="191"/>
    </row>
    <row r="33" spans="1:5" ht="13.2" thickBot="1">
      <c r="A33" s="190"/>
      <c r="B33" s="187"/>
      <c r="C33" s="187"/>
      <c r="D33" s="187"/>
      <c r="E33" s="191"/>
    </row>
    <row r="34" spans="1:5" ht="13.2" thickBot="1">
      <c r="A34" s="190"/>
      <c r="B34" s="187"/>
      <c r="C34" s="187"/>
      <c r="D34" s="187"/>
      <c r="E34" s="191"/>
    </row>
    <row r="35" spans="1:5" ht="13.2" thickBot="1">
      <c r="A35" s="190"/>
      <c r="B35" s="187"/>
      <c r="C35" s="187"/>
      <c r="D35" s="187"/>
      <c r="E35" s="191"/>
    </row>
    <row r="36" spans="1:5" ht="13.2" thickBot="1">
      <c r="A36" s="190"/>
      <c r="B36" s="187"/>
      <c r="C36" s="187"/>
      <c r="D36" s="187"/>
      <c r="E36" s="191"/>
    </row>
    <row r="37" spans="1:5" ht="13.2" thickBot="1">
      <c r="A37" s="190"/>
      <c r="B37" s="187"/>
      <c r="C37" s="187"/>
      <c r="D37" s="187"/>
      <c r="E37" s="191"/>
    </row>
    <row r="38" spans="1:5" ht="13.2" thickBot="1">
      <c r="A38" s="190"/>
      <c r="B38" s="187"/>
      <c r="C38" s="187"/>
      <c r="D38" s="187"/>
      <c r="E38" s="191"/>
    </row>
    <row r="39" spans="1:5" ht="13.2" thickBot="1">
      <c r="A39" s="190"/>
      <c r="B39" s="187"/>
      <c r="C39" s="187"/>
      <c r="D39" s="187"/>
      <c r="E39" s="191"/>
    </row>
    <row r="40" spans="1:5" ht="13.2" thickBot="1">
      <c r="A40" s="190"/>
      <c r="B40" s="187"/>
      <c r="C40" s="187"/>
      <c r="D40" s="187"/>
      <c r="E40" s="191"/>
    </row>
    <row r="41" spans="1:5" ht="13.2" thickBot="1">
      <c r="A41" s="190"/>
      <c r="B41" s="187"/>
      <c r="C41" s="187"/>
      <c r="D41" s="187"/>
      <c r="E41" s="191"/>
    </row>
    <row r="42" spans="1:5" ht="13.2" thickBot="1">
      <c r="A42" s="190"/>
      <c r="B42" s="187"/>
      <c r="C42" s="187"/>
      <c r="D42" s="187"/>
      <c r="E42" s="191"/>
    </row>
    <row r="43" spans="1:5" ht="13.2" thickBot="1">
      <c r="A43" s="190"/>
      <c r="B43" s="187"/>
      <c r="C43" s="187"/>
      <c r="D43" s="187"/>
      <c r="E43" s="191"/>
    </row>
    <row r="44" spans="1:5" ht="13.2" thickBot="1">
      <c r="A44" s="190"/>
      <c r="B44" s="187"/>
      <c r="C44" s="187"/>
      <c r="D44" s="187"/>
      <c r="E44" s="188"/>
    </row>
    <row r="45" spans="1:5" ht="13.2" thickBot="1">
      <c r="A45" s="190"/>
      <c r="B45" s="187"/>
      <c r="C45" s="187"/>
      <c r="D45" s="187"/>
      <c r="E45" s="191"/>
    </row>
    <row r="46" spans="1:5" ht="13.2" thickBot="1">
      <c r="A46" s="190"/>
      <c r="B46" s="187"/>
      <c r="C46" s="187"/>
      <c r="D46" s="187"/>
      <c r="E46" s="188"/>
    </row>
    <row r="47" spans="1:5" ht="13.2" thickBot="1">
      <c r="A47" s="190"/>
      <c r="B47" s="187"/>
      <c r="C47" s="187"/>
      <c r="D47" s="187"/>
      <c r="E47" s="191"/>
    </row>
    <row r="48" spans="1:5" ht="13.2" thickBot="1">
      <c r="A48" s="190"/>
      <c r="B48" s="187"/>
      <c r="C48" s="187"/>
      <c r="D48" s="187"/>
      <c r="E48" s="191"/>
    </row>
    <row r="49" spans="1:5" ht="13.2" thickBot="1">
      <c r="A49" s="190"/>
      <c r="B49" s="187"/>
      <c r="C49" s="187"/>
      <c r="D49" s="187"/>
      <c r="E49" s="191"/>
    </row>
    <row r="50" spans="1:5" ht="13.2" thickBot="1">
      <c r="A50" s="190"/>
      <c r="B50" s="187"/>
      <c r="C50" s="187"/>
      <c r="D50" s="187"/>
      <c r="E50" s="191"/>
    </row>
    <row r="51" spans="1:5" ht="13.2" thickBot="1">
      <c r="A51" s="190"/>
      <c r="B51" s="187"/>
      <c r="C51" s="187"/>
      <c r="D51" s="187"/>
      <c r="E51" s="191"/>
    </row>
    <row r="52" spans="1:5" ht="13.2" thickBot="1">
      <c r="A52" s="190"/>
      <c r="B52" s="187"/>
      <c r="C52" s="187"/>
      <c r="D52" s="187"/>
      <c r="E52" s="191"/>
    </row>
    <row r="53" spans="1:5" ht="13.2" thickBot="1">
      <c r="A53" s="190"/>
      <c r="B53" s="187"/>
      <c r="C53" s="187"/>
      <c r="D53" s="187"/>
      <c r="E53" s="191"/>
    </row>
    <row r="54" spans="1:5" ht="13.2" thickBot="1">
      <c r="A54" s="190"/>
      <c r="B54" s="187"/>
      <c r="C54" s="187"/>
      <c r="D54" s="187"/>
      <c r="E54" s="191"/>
    </row>
    <row r="55" spans="1:5" ht="13.2" thickBot="1">
      <c r="A55" s="190"/>
      <c r="B55" s="187"/>
      <c r="C55" s="187"/>
      <c r="D55" s="187"/>
      <c r="E55" s="191"/>
    </row>
    <row r="56" spans="1:5" ht="13.2" thickBot="1">
      <c r="A56" s="190"/>
      <c r="B56" s="187"/>
      <c r="C56" s="187"/>
      <c r="D56" s="187"/>
      <c r="E56" s="191"/>
    </row>
    <row r="57" spans="1:5" ht="13.2" thickBot="1">
      <c r="A57" s="190"/>
      <c r="B57" s="187"/>
      <c r="C57" s="187"/>
      <c r="D57" s="187"/>
      <c r="E57" s="191"/>
    </row>
    <row r="58" spans="1:5" ht="13.2" thickBot="1">
      <c r="A58" s="190"/>
      <c r="B58" s="187"/>
      <c r="C58" s="187"/>
      <c r="D58" s="187"/>
      <c r="E58" s="191"/>
    </row>
    <row r="59" spans="1:5" ht="13.2" thickBot="1">
      <c r="A59" s="190"/>
      <c r="B59" s="187"/>
      <c r="C59" s="187"/>
      <c r="D59" s="187"/>
      <c r="E59" s="191"/>
    </row>
    <row r="60" spans="1:5" ht="13.2" thickBot="1">
      <c r="A60" s="190"/>
      <c r="B60" s="187"/>
      <c r="C60" s="187"/>
      <c r="D60" s="187"/>
      <c r="E60" s="191"/>
    </row>
    <row r="61" spans="1:5" ht="13.2" thickBot="1">
      <c r="A61" s="190"/>
      <c r="B61" s="187"/>
      <c r="C61" s="187"/>
      <c r="D61" s="187"/>
      <c r="E61" s="191"/>
    </row>
    <row r="62" spans="1:5" ht="13.2" thickBot="1">
      <c r="A62" s="190"/>
      <c r="B62" s="187"/>
      <c r="C62" s="187"/>
      <c r="D62" s="187"/>
      <c r="E62" s="191"/>
    </row>
    <row r="63" spans="1:5" ht="13.2" thickBot="1">
      <c r="A63" s="190"/>
      <c r="B63" s="187"/>
      <c r="C63" s="187"/>
      <c r="D63" s="187"/>
      <c r="E63" s="191"/>
    </row>
    <row r="64" spans="1:5" ht="13.2" thickBot="1">
      <c r="A64" s="190"/>
      <c r="B64" s="187"/>
      <c r="C64" s="187"/>
      <c r="D64" s="187"/>
      <c r="E64" s="191"/>
    </row>
    <row r="65" spans="1:5" ht="13.2" thickBot="1">
      <c r="A65" s="190"/>
      <c r="B65" s="187"/>
      <c r="C65" s="187"/>
      <c r="D65" s="187"/>
      <c r="E65" s="191"/>
    </row>
    <row r="66" spans="1:5" ht="13.2" thickBot="1">
      <c r="A66" s="190"/>
      <c r="B66" s="187"/>
      <c r="C66" s="187"/>
      <c r="D66" s="187"/>
      <c r="E66" s="191"/>
    </row>
    <row r="67" spans="1:5" ht="13.2" thickBot="1">
      <c r="A67" s="190"/>
      <c r="B67" s="187"/>
      <c r="C67" s="187"/>
      <c r="D67" s="187"/>
      <c r="E67" s="191"/>
    </row>
    <row r="68" spans="1:5" ht="13.2" thickBot="1">
      <c r="A68" s="190"/>
      <c r="B68" s="187"/>
      <c r="C68" s="187"/>
      <c r="D68" s="187"/>
      <c r="E68" s="191"/>
    </row>
    <row r="69" spans="1:5" ht="13.2" thickBot="1">
      <c r="A69" s="190"/>
      <c r="B69" s="187"/>
      <c r="C69" s="187"/>
      <c r="D69" s="187"/>
      <c r="E69" s="191"/>
    </row>
    <row r="70" spans="1:5" ht="13.2" thickBot="1">
      <c r="A70" s="190"/>
      <c r="B70" s="187"/>
      <c r="C70" s="187"/>
      <c r="D70" s="187"/>
      <c r="E70" s="191"/>
    </row>
    <row r="71" spans="1:5" ht="13.2" thickBot="1">
      <c r="A71" s="190"/>
      <c r="B71" s="187"/>
      <c r="C71" s="187"/>
      <c r="D71" s="187"/>
      <c r="E71" s="191"/>
    </row>
    <row r="72" spans="1:5" ht="13.2" thickBot="1">
      <c r="A72" s="190"/>
      <c r="B72" s="187"/>
      <c r="C72" s="187"/>
      <c r="D72" s="187"/>
      <c r="E72" s="191"/>
    </row>
    <row r="73" spans="1:5" ht="13.2" thickBot="1">
      <c r="A73" s="190"/>
      <c r="B73" s="187"/>
      <c r="C73" s="187"/>
      <c r="D73" s="187"/>
      <c r="E73" s="191"/>
    </row>
    <row r="74" spans="1:5" ht="13.2" thickBot="1">
      <c r="A74" s="190"/>
      <c r="B74" s="187"/>
      <c r="C74" s="187"/>
      <c r="D74" s="187"/>
      <c r="E74" s="191"/>
    </row>
    <row r="75" spans="1:5" ht="13.2" thickBot="1">
      <c r="A75" s="190"/>
      <c r="B75" s="187"/>
      <c r="C75" s="187"/>
      <c r="D75" s="187"/>
      <c r="E75" s="191"/>
    </row>
    <row r="76" spans="1:5" ht="13.2" thickBot="1">
      <c r="A76" s="190"/>
      <c r="B76" s="187"/>
      <c r="C76" s="187"/>
      <c r="D76" s="187"/>
      <c r="E76" s="188"/>
    </row>
    <row r="77" spans="1:5" ht="13.2" thickBot="1">
      <c r="A77" s="190"/>
      <c r="B77" s="187"/>
      <c r="C77" s="187"/>
      <c r="D77" s="187"/>
      <c r="E77" s="191"/>
    </row>
    <row r="78" spans="1:5" ht="13.2" thickBot="1">
      <c r="A78" s="190"/>
      <c r="B78" s="187"/>
      <c r="C78" s="187"/>
      <c r="D78" s="187"/>
      <c r="E78" s="191"/>
    </row>
    <row r="79" spans="1:5" ht="13.2" thickBot="1">
      <c r="A79" s="190"/>
      <c r="B79" s="187"/>
      <c r="C79" s="187"/>
      <c r="D79" s="187"/>
      <c r="E79" s="191"/>
    </row>
    <row r="80" spans="1:5" ht="13.2" thickBot="1">
      <c r="A80" s="190"/>
      <c r="B80" s="187"/>
      <c r="C80" s="187"/>
      <c r="D80" s="187"/>
      <c r="E80" s="191"/>
    </row>
    <row r="81" spans="1:5" ht="13.2" thickBot="1">
      <c r="A81" s="190"/>
      <c r="B81" s="187"/>
      <c r="C81" s="187"/>
      <c r="D81" s="187"/>
      <c r="E81" s="191"/>
    </row>
    <row r="82" spans="1:5" ht="13.2" thickBot="1">
      <c r="A82" s="190"/>
      <c r="B82" s="187"/>
      <c r="C82" s="187"/>
      <c r="D82" s="187"/>
      <c r="E82" s="191"/>
    </row>
    <row r="83" spans="1:5" ht="13.2" thickBot="1">
      <c r="A83" s="190"/>
      <c r="B83" s="187"/>
      <c r="C83" s="187"/>
      <c r="D83" s="187"/>
      <c r="E83" s="191"/>
    </row>
    <row r="84" spans="1:5" ht="13.2" thickBot="1">
      <c r="A84" s="190"/>
      <c r="B84" s="187"/>
      <c r="C84" s="187"/>
      <c r="D84" s="187"/>
      <c r="E84" s="191"/>
    </row>
    <row r="85" spans="1:5" ht="13.2" thickBot="1">
      <c r="A85" s="190"/>
      <c r="B85" s="187"/>
      <c r="C85" s="187"/>
      <c r="D85" s="187"/>
      <c r="E85" s="191"/>
    </row>
    <row r="86" spans="1:5" ht="13.2" thickBot="1">
      <c r="A86" s="190"/>
      <c r="B86" s="187"/>
      <c r="C86" s="187"/>
      <c r="D86" s="187"/>
      <c r="E86" s="188"/>
    </row>
    <row r="87" spans="1:5" ht="13.2" thickBot="1">
      <c r="A87" s="190"/>
      <c r="B87" s="187"/>
      <c r="C87" s="187"/>
      <c r="D87" s="187"/>
      <c r="E87" s="191"/>
    </row>
    <row r="88" spans="1:5" ht="13.2" thickBot="1">
      <c r="A88" s="190"/>
      <c r="B88" s="187"/>
      <c r="C88" s="187"/>
      <c r="D88" s="187"/>
      <c r="E88" s="191"/>
    </row>
    <row r="89" spans="1:5" ht="13.2" thickBot="1">
      <c r="A89" s="190"/>
      <c r="B89" s="187"/>
      <c r="C89" s="187"/>
      <c r="D89" s="187"/>
      <c r="E89" s="191"/>
    </row>
    <row r="90" spans="1:5" ht="13.2" thickBot="1">
      <c r="A90" s="190"/>
      <c r="B90" s="187"/>
      <c r="C90" s="187"/>
      <c r="D90" s="187"/>
      <c r="E90" s="191"/>
    </row>
    <row r="91" spans="1:5" ht="13.2" thickBot="1">
      <c r="A91" s="190"/>
      <c r="B91" s="187"/>
      <c r="C91" s="187"/>
      <c r="D91" s="187"/>
      <c r="E91" s="191"/>
    </row>
    <row r="92" spans="1:5" ht="13.2" thickBot="1">
      <c r="A92" s="190"/>
      <c r="B92" s="187"/>
      <c r="C92" s="187"/>
      <c r="D92" s="187"/>
      <c r="E92" s="188"/>
    </row>
    <row r="93" spans="1:5" ht="13.2" thickBot="1">
      <c r="A93" s="190"/>
      <c r="B93" s="187"/>
      <c r="C93" s="187"/>
      <c r="D93" s="187"/>
      <c r="E93" s="191"/>
    </row>
    <row r="94" spans="1:5" ht="13.2" thickBot="1">
      <c r="A94" s="190"/>
      <c r="B94" s="187"/>
      <c r="C94" s="187"/>
      <c r="D94" s="187"/>
      <c r="E94" s="191"/>
    </row>
    <row r="95" spans="1:5" ht="13.2" thickBot="1">
      <c r="A95" s="190"/>
      <c r="B95" s="187"/>
      <c r="C95" s="187"/>
      <c r="D95" s="187"/>
      <c r="E95" s="191"/>
    </row>
    <row r="96" spans="1:5" ht="13.2" thickBot="1">
      <c r="A96" s="190"/>
      <c r="B96" s="187"/>
      <c r="C96" s="187"/>
      <c r="D96" s="187"/>
      <c r="E96" s="191"/>
    </row>
    <row r="97" spans="1:5" ht="13.2" thickBot="1">
      <c r="A97" s="190"/>
      <c r="B97" s="187"/>
      <c r="C97" s="187"/>
      <c r="D97" s="187"/>
      <c r="E97" s="191"/>
    </row>
    <row r="98" spans="1:5" ht="13.2" thickBot="1">
      <c r="A98" s="190"/>
      <c r="B98" s="187"/>
      <c r="C98" s="187"/>
      <c r="D98" s="187"/>
      <c r="E98" s="191"/>
    </row>
    <row r="99" spans="1:5" ht="13.2" thickBot="1">
      <c r="A99" s="190"/>
      <c r="B99" s="187"/>
      <c r="C99" s="187"/>
      <c r="D99" s="187"/>
      <c r="E99" s="191"/>
    </row>
    <row r="100" spans="1:5" ht="13.2" thickBot="1">
      <c r="A100" s="190"/>
      <c r="B100" s="187"/>
      <c r="C100" s="187"/>
      <c r="D100" s="187"/>
      <c r="E100" s="191"/>
    </row>
    <row r="101" spans="1:5" ht="13.2" thickBot="1">
      <c r="A101" s="190"/>
      <c r="B101" s="187"/>
      <c r="C101" s="187"/>
      <c r="D101" s="187"/>
      <c r="E101" s="191"/>
    </row>
    <row r="102" spans="1:5" ht="13.2" thickBot="1">
      <c r="A102" s="190"/>
      <c r="B102" s="187"/>
      <c r="C102" s="187"/>
      <c r="D102" s="187"/>
      <c r="E102" s="191"/>
    </row>
    <row r="103" spans="1:5" ht="13.2" thickBot="1">
      <c r="A103" s="190"/>
      <c r="B103" s="187"/>
      <c r="C103" s="187"/>
      <c r="D103" s="187"/>
      <c r="E103" s="191"/>
    </row>
    <row r="104" spans="1:5" ht="13.2" thickBot="1">
      <c r="A104" s="190"/>
      <c r="B104" s="187"/>
      <c r="C104" s="187"/>
      <c r="D104" s="187"/>
      <c r="E104" s="191"/>
    </row>
    <row r="105" spans="1:5" ht="13.2" thickBot="1">
      <c r="A105" s="190"/>
      <c r="B105" s="187"/>
      <c r="C105" s="187"/>
      <c r="D105" s="187"/>
      <c r="E105" s="191"/>
    </row>
    <row r="106" spans="1:5" ht="13.2" thickBot="1">
      <c r="A106" s="190"/>
      <c r="B106" s="187"/>
      <c r="C106" s="187"/>
      <c r="D106" s="187"/>
      <c r="E106" s="191"/>
    </row>
    <row r="107" spans="1:5" ht="13.2" thickBot="1">
      <c r="A107" s="190"/>
      <c r="B107" s="187"/>
      <c r="C107" s="187"/>
      <c r="D107" s="187"/>
      <c r="E107" s="191"/>
    </row>
    <row r="108" spans="1:5" ht="13.2" thickBot="1">
      <c r="A108" s="190"/>
      <c r="B108" s="187"/>
      <c r="C108" s="187"/>
      <c r="D108" s="187"/>
      <c r="E108" s="191"/>
    </row>
    <row r="109" spans="1:5" ht="13.2" thickBot="1">
      <c r="A109" s="190"/>
      <c r="B109" s="187"/>
      <c r="C109" s="187"/>
      <c r="D109" s="187"/>
      <c r="E109" s="191"/>
    </row>
    <row r="110" spans="1:5" ht="13.2" thickBot="1">
      <c r="A110" s="190"/>
      <c r="B110" s="187"/>
      <c r="C110" s="187"/>
      <c r="D110" s="187"/>
      <c r="E110" s="191"/>
    </row>
    <row r="111" spans="1:5" ht="13.2" thickBot="1">
      <c r="A111" s="190"/>
      <c r="B111" s="187"/>
      <c r="C111" s="187"/>
      <c r="D111" s="187"/>
      <c r="E111" s="191"/>
    </row>
    <row r="112" spans="1:5" ht="13.2" thickBot="1">
      <c r="A112" s="190"/>
      <c r="B112" s="187"/>
      <c r="C112" s="187"/>
      <c r="D112" s="187"/>
      <c r="E112" s="191"/>
    </row>
    <row r="113" spans="1:5" ht="13.2" thickBot="1">
      <c r="A113" s="190"/>
      <c r="B113" s="187"/>
      <c r="C113" s="187"/>
      <c r="D113" s="187"/>
      <c r="E113" s="191"/>
    </row>
    <row r="114" spans="1:5" ht="13.2" thickBot="1">
      <c r="A114" s="190"/>
      <c r="B114" s="187"/>
      <c r="C114" s="187"/>
      <c r="D114" s="187"/>
      <c r="E114" s="191"/>
    </row>
    <row r="115" spans="1:5" ht="13.2" thickBot="1">
      <c r="A115" s="190"/>
      <c r="B115" s="187"/>
      <c r="C115" s="187"/>
      <c r="D115" s="187"/>
      <c r="E115" s="191"/>
    </row>
    <row r="116" spans="1:5" ht="13.2" thickBot="1">
      <c r="A116" s="190"/>
      <c r="B116" s="187"/>
      <c r="C116" s="187"/>
      <c r="D116" s="187"/>
      <c r="E116" s="191"/>
    </row>
    <row r="117" spans="1:5" ht="13.2" thickBot="1">
      <c r="A117" s="190"/>
      <c r="B117" s="187"/>
      <c r="C117" s="187"/>
      <c r="D117" s="187"/>
      <c r="E117" s="191"/>
    </row>
    <row r="118" spans="1:5" ht="13.2" thickBot="1">
      <c r="A118" s="190"/>
      <c r="B118" s="187"/>
      <c r="C118" s="187"/>
      <c r="D118" s="187"/>
      <c r="E118" s="191"/>
    </row>
    <row r="119" spans="1:5" ht="13.2" thickBot="1">
      <c r="A119" s="190"/>
      <c r="B119" s="187"/>
      <c r="C119" s="187"/>
      <c r="D119" s="187"/>
      <c r="E119" s="191"/>
    </row>
    <row r="120" spans="1:5" ht="13.2" thickBot="1">
      <c r="A120" s="190"/>
      <c r="B120" s="187"/>
      <c r="C120" s="187"/>
      <c r="D120" s="187"/>
      <c r="E120" s="191"/>
    </row>
    <row r="121" spans="1:5" ht="13.2" thickBot="1">
      <c r="A121" s="190"/>
      <c r="B121" s="187"/>
      <c r="C121" s="187"/>
      <c r="D121" s="187"/>
      <c r="E121" s="191"/>
    </row>
    <row r="122" spans="1:5" ht="13.2" thickBot="1">
      <c r="A122" s="190"/>
      <c r="B122" s="187"/>
      <c r="C122" s="187"/>
      <c r="D122" s="187"/>
      <c r="E122" s="191"/>
    </row>
    <row r="123" spans="1:5" ht="13.2" thickBot="1">
      <c r="A123" s="190"/>
      <c r="B123" s="187"/>
      <c r="C123" s="187"/>
      <c r="D123" s="187"/>
      <c r="E123" s="191"/>
    </row>
    <row r="124" spans="1:5" ht="13.2" thickBot="1">
      <c r="A124" s="190"/>
      <c r="B124" s="187"/>
      <c r="C124" s="187"/>
      <c r="D124" s="187"/>
      <c r="E124" s="191"/>
    </row>
    <row r="125" spans="1:5" ht="13.2" thickBot="1">
      <c r="A125" s="190"/>
      <c r="B125" s="187"/>
      <c r="C125" s="187"/>
      <c r="D125" s="187"/>
      <c r="E125" s="191"/>
    </row>
    <row r="126" spans="1:5" ht="13.2" thickBot="1">
      <c r="A126" s="190"/>
      <c r="B126" s="187"/>
      <c r="C126" s="187"/>
      <c r="D126" s="187"/>
      <c r="E126" s="191"/>
    </row>
    <row r="127" spans="1:5" ht="13.2" thickBot="1">
      <c r="A127" s="190"/>
      <c r="B127" s="187"/>
      <c r="C127" s="187"/>
      <c r="D127" s="187"/>
      <c r="E127" s="191"/>
    </row>
    <row r="128" spans="1:5" ht="13.2" thickBot="1">
      <c r="A128" s="190"/>
      <c r="B128" s="187"/>
      <c r="C128" s="187"/>
      <c r="D128" s="187"/>
      <c r="E128" s="191"/>
    </row>
    <row r="129" spans="1:5" ht="13.2" thickBot="1">
      <c r="A129" s="190"/>
      <c r="B129" s="187"/>
      <c r="C129" s="187"/>
      <c r="D129" s="187"/>
      <c r="E129" s="191"/>
    </row>
    <row r="130" spans="1:5" ht="13.2" thickBot="1">
      <c r="A130" s="190"/>
      <c r="B130" s="187"/>
      <c r="C130" s="187"/>
      <c r="D130" s="187"/>
      <c r="E130" s="191"/>
    </row>
    <row r="131" spans="1:5" ht="13.2" thickBot="1">
      <c r="A131" s="190"/>
      <c r="B131" s="187"/>
      <c r="C131" s="187"/>
      <c r="D131" s="187"/>
      <c r="E131" s="191"/>
    </row>
    <row r="132" spans="1:5" ht="13.2" thickBot="1">
      <c r="A132" s="190"/>
      <c r="B132" s="187"/>
      <c r="C132" s="187"/>
      <c r="D132" s="187"/>
      <c r="E132" s="191"/>
    </row>
    <row r="133" spans="1:5" ht="13.2" thickBot="1">
      <c r="A133" s="190"/>
      <c r="B133" s="187"/>
      <c r="C133" s="187"/>
      <c r="D133" s="187"/>
      <c r="E133" s="191"/>
    </row>
    <row r="134" spans="1:5" ht="13.2" thickBot="1">
      <c r="A134" s="190"/>
      <c r="B134" s="187"/>
      <c r="C134" s="187"/>
      <c r="D134" s="187"/>
      <c r="E134" s="191"/>
    </row>
    <row r="135" spans="1:5" ht="13.2" thickBot="1">
      <c r="A135" s="190"/>
      <c r="B135" s="187"/>
      <c r="C135" s="187"/>
      <c r="D135" s="187"/>
      <c r="E135" s="191"/>
    </row>
    <row r="136" spans="1:5" ht="13.2" thickBot="1">
      <c r="A136" s="190"/>
      <c r="B136" s="187"/>
      <c r="C136" s="187"/>
      <c r="D136" s="187"/>
      <c r="E136" s="191"/>
    </row>
    <row r="137" spans="1:5" ht="13.2" thickBot="1">
      <c r="A137" s="190"/>
      <c r="B137" s="187"/>
      <c r="C137" s="187"/>
      <c r="D137" s="187"/>
      <c r="E137" s="191"/>
    </row>
    <row r="138" spans="1:5" ht="13.2" thickBot="1">
      <c r="A138" s="190"/>
      <c r="B138" s="187"/>
      <c r="C138" s="187"/>
      <c r="D138" s="187"/>
      <c r="E138" s="191"/>
    </row>
    <row r="139" spans="1:5" ht="13.2" thickBot="1">
      <c r="A139" s="190"/>
      <c r="B139" s="187"/>
      <c r="C139" s="187"/>
      <c r="D139" s="187"/>
      <c r="E139" s="191"/>
    </row>
    <row r="140" spans="1:5" ht="13.2" thickBot="1">
      <c r="A140" s="190"/>
      <c r="B140" s="187"/>
      <c r="C140" s="187"/>
      <c r="D140" s="187"/>
      <c r="E140" s="191"/>
    </row>
    <row r="141" spans="1:5" ht="13.2" thickBot="1">
      <c r="A141" s="190"/>
      <c r="B141" s="187"/>
      <c r="C141" s="187"/>
      <c r="D141" s="187"/>
      <c r="E141" s="191"/>
    </row>
    <row r="142" spans="1:5" ht="13.2" thickBot="1">
      <c r="A142" s="190"/>
      <c r="B142" s="187"/>
      <c r="C142" s="187"/>
      <c r="D142" s="187"/>
      <c r="E142" s="191"/>
    </row>
    <row r="143" spans="1:5" ht="13.2" thickBot="1">
      <c r="A143" s="190"/>
      <c r="B143" s="187"/>
      <c r="C143" s="187"/>
      <c r="D143" s="187"/>
      <c r="E143" s="191"/>
    </row>
    <row r="144" spans="1:5" ht="13.2" thickBot="1">
      <c r="A144" s="190"/>
      <c r="B144" s="187"/>
      <c r="C144" s="187"/>
      <c r="D144" s="187"/>
      <c r="E144" s="191"/>
    </row>
    <row r="145" spans="1:5" ht="13.2" thickBot="1">
      <c r="A145" s="190"/>
      <c r="B145" s="187"/>
      <c r="C145" s="187"/>
      <c r="D145" s="187"/>
      <c r="E145" s="191"/>
    </row>
    <row r="146" spans="1:5" ht="13.2" thickBot="1">
      <c r="A146" s="190"/>
      <c r="B146" s="187"/>
      <c r="C146" s="187"/>
      <c r="D146" s="187"/>
      <c r="E146" s="191"/>
    </row>
    <row r="147" spans="1:5" ht="13.2" thickBot="1">
      <c r="A147" s="190"/>
      <c r="B147" s="187"/>
      <c r="C147" s="187"/>
      <c r="D147" s="187"/>
      <c r="E147" s="191"/>
    </row>
    <row r="148" spans="1:5" ht="13.2" thickBot="1">
      <c r="A148" s="190"/>
      <c r="B148" s="187"/>
      <c r="C148" s="187"/>
      <c r="D148" s="187"/>
      <c r="E148" s="191"/>
    </row>
    <row r="149" spans="1:5" ht="13.2" thickBot="1">
      <c r="A149" s="190"/>
      <c r="B149" s="187"/>
      <c r="C149" s="187"/>
      <c r="D149" s="187"/>
      <c r="E149" s="191"/>
    </row>
    <row r="150" spans="1:5" ht="13.2" thickBot="1">
      <c r="A150" s="190"/>
      <c r="B150" s="187"/>
      <c r="C150" s="187"/>
      <c r="D150" s="187"/>
      <c r="E150" s="191"/>
    </row>
    <row r="151" spans="1:5" ht="13.2" thickBot="1">
      <c r="A151" s="190"/>
      <c r="B151" s="187"/>
      <c r="C151" s="187"/>
      <c r="D151" s="187"/>
      <c r="E151" s="188"/>
    </row>
    <row r="152" spans="1:5" ht="13.2" thickBot="1">
      <c r="A152" s="190"/>
      <c r="B152" s="187"/>
      <c r="C152" s="187"/>
      <c r="D152" s="187"/>
      <c r="E152" s="191"/>
    </row>
    <row r="153" spans="1:5" ht="13.2" thickBot="1">
      <c r="A153" s="190"/>
      <c r="B153" s="187"/>
      <c r="C153" s="187"/>
      <c r="D153" s="187"/>
      <c r="E153" s="191"/>
    </row>
    <row r="154" spans="1:5" ht="13.2" thickBot="1">
      <c r="A154" s="190"/>
      <c r="B154" s="187"/>
      <c r="C154" s="187"/>
      <c r="D154" s="187"/>
      <c r="E154" s="191"/>
    </row>
    <row r="155" spans="1:5" ht="13.2" thickBot="1">
      <c r="A155" s="190"/>
      <c r="B155" s="187"/>
      <c r="C155" s="187"/>
      <c r="D155" s="187"/>
      <c r="E155" s="191"/>
    </row>
    <row r="156" spans="1:5" ht="13.2" thickBot="1">
      <c r="A156" s="190"/>
      <c r="B156" s="187"/>
      <c r="C156" s="187"/>
      <c r="D156" s="187"/>
      <c r="E156" s="191"/>
    </row>
    <row r="157" spans="1:5" ht="13.2" thickBot="1">
      <c r="A157" s="190"/>
      <c r="B157" s="187"/>
      <c r="C157" s="187"/>
      <c r="D157" s="187"/>
      <c r="E157" s="191"/>
    </row>
    <row r="158" spans="1:5" ht="13.2" thickBot="1">
      <c r="A158" s="190"/>
      <c r="B158" s="187"/>
      <c r="C158" s="187"/>
      <c r="D158" s="187"/>
      <c r="E158" s="191"/>
    </row>
    <row r="159" spans="1:5" ht="13.2" thickBot="1">
      <c r="A159" s="190"/>
      <c r="B159" s="187"/>
      <c r="C159" s="187"/>
      <c r="D159" s="187"/>
      <c r="E159" s="191"/>
    </row>
    <row r="160" spans="1:5" ht="13.2" thickBot="1">
      <c r="A160" s="190"/>
      <c r="B160" s="187"/>
      <c r="C160" s="187"/>
      <c r="D160" s="187"/>
      <c r="E160" s="191"/>
    </row>
    <row r="161" spans="1:5" ht="13.2" thickBot="1">
      <c r="A161" s="190"/>
      <c r="B161" s="187"/>
      <c r="C161" s="187"/>
      <c r="D161" s="187"/>
      <c r="E161" s="191"/>
    </row>
    <row r="162" spans="1:5" ht="13.2" thickBot="1">
      <c r="A162" s="190"/>
      <c r="B162" s="187"/>
      <c r="C162" s="187"/>
      <c r="D162" s="187"/>
      <c r="E162" s="191"/>
    </row>
    <row r="163" spans="1:5" ht="13.2" thickBot="1">
      <c r="A163" s="190"/>
      <c r="B163" s="187"/>
      <c r="C163" s="187"/>
      <c r="D163" s="187"/>
      <c r="E163" s="191"/>
    </row>
    <row r="164" spans="1:5" ht="13.2" thickBot="1">
      <c r="A164" s="190"/>
      <c r="B164" s="187"/>
      <c r="C164" s="187"/>
      <c r="D164" s="187"/>
      <c r="E164" s="191"/>
    </row>
    <row r="165" spans="1:5" ht="13.2" thickBot="1">
      <c r="A165" s="190"/>
      <c r="B165" s="187"/>
      <c r="C165" s="187"/>
      <c r="D165" s="187"/>
      <c r="E165" s="191"/>
    </row>
    <row r="166" spans="1:5" ht="13.2" thickBot="1">
      <c r="A166" s="190"/>
      <c r="B166" s="187"/>
      <c r="C166" s="187"/>
      <c r="D166" s="187"/>
      <c r="E166" s="191"/>
    </row>
    <row r="167" spans="1:5" ht="13.2" thickBot="1">
      <c r="A167" s="190"/>
      <c r="B167" s="187"/>
      <c r="C167" s="187"/>
      <c r="D167" s="187"/>
      <c r="E167" s="191"/>
    </row>
    <row r="168" spans="1:5" ht="13.2" thickBot="1">
      <c r="A168" s="190"/>
      <c r="B168" s="187"/>
      <c r="C168" s="187"/>
      <c r="D168" s="187"/>
      <c r="E168" s="191"/>
    </row>
    <row r="169" spans="1:5" ht="13.2" thickBot="1">
      <c r="A169" s="190"/>
      <c r="B169" s="187"/>
      <c r="C169" s="187"/>
      <c r="D169" s="187"/>
      <c r="E169" s="191"/>
    </row>
    <row r="170" spans="1:5" ht="13.2" thickBot="1">
      <c r="A170" s="190"/>
      <c r="B170" s="187"/>
      <c r="C170" s="187"/>
      <c r="D170" s="187"/>
      <c r="E170" s="191"/>
    </row>
    <row r="171" spans="1:5" ht="13.2" thickBot="1">
      <c r="A171" s="190"/>
      <c r="B171" s="187"/>
      <c r="C171" s="187"/>
      <c r="D171" s="187"/>
      <c r="E171" s="191"/>
    </row>
    <row r="172" spans="1:5" ht="13.2" thickBot="1">
      <c r="A172" s="190"/>
      <c r="B172" s="187"/>
      <c r="C172" s="187"/>
      <c r="D172" s="187"/>
      <c r="E172" s="191"/>
    </row>
    <row r="173" spans="1:5" ht="13.2" thickBot="1">
      <c r="A173" s="190"/>
      <c r="B173" s="187"/>
      <c r="C173" s="187"/>
      <c r="D173" s="187"/>
      <c r="E173" s="191"/>
    </row>
    <row r="174" spans="1:5" ht="13.2" thickBot="1">
      <c r="A174" s="190"/>
      <c r="B174" s="187"/>
      <c r="C174" s="187"/>
      <c r="D174" s="187"/>
      <c r="E174" s="191"/>
    </row>
    <row r="175" spans="1:5" ht="13.2" thickBot="1">
      <c r="A175" s="190"/>
      <c r="B175" s="187"/>
      <c r="C175" s="187"/>
      <c r="D175" s="187"/>
      <c r="E175" s="191"/>
    </row>
    <row r="176" spans="1:5" ht="13.2" thickBot="1">
      <c r="A176" s="190"/>
      <c r="B176" s="187"/>
      <c r="C176" s="187"/>
      <c r="D176" s="187"/>
      <c r="E176" s="191"/>
    </row>
    <row r="177" spans="1:5" ht="13.2" thickBot="1">
      <c r="A177" s="190"/>
      <c r="B177" s="187"/>
      <c r="C177" s="187"/>
      <c r="D177" s="187"/>
      <c r="E177" s="191"/>
    </row>
    <row r="178" spans="1:5" ht="13.2" thickBot="1">
      <c r="A178" s="190"/>
      <c r="B178" s="187"/>
      <c r="C178" s="187"/>
      <c r="D178" s="187"/>
      <c r="E178" s="191"/>
    </row>
    <row r="179" spans="1:5" ht="13.2" thickBot="1">
      <c r="A179" s="190"/>
      <c r="B179" s="187"/>
      <c r="C179" s="187"/>
      <c r="D179" s="187"/>
      <c r="E179" s="191"/>
    </row>
    <row r="180" spans="1:5" ht="13.2" thickBot="1">
      <c r="A180" s="190"/>
      <c r="B180" s="187"/>
      <c r="C180" s="187"/>
      <c r="D180" s="187"/>
      <c r="E180" s="191"/>
    </row>
    <row r="181" spans="1:5" ht="13.2" thickBot="1">
      <c r="A181" s="190"/>
      <c r="B181" s="187"/>
      <c r="C181" s="187"/>
      <c r="D181" s="187"/>
      <c r="E181" s="191"/>
    </row>
    <row r="182" spans="1:5" ht="13.2" thickBot="1">
      <c r="A182" s="190"/>
      <c r="B182" s="187"/>
      <c r="C182" s="187"/>
      <c r="D182" s="187"/>
      <c r="E182" s="191"/>
    </row>
    <row r="183" spans="1:5" ht="13.2" thickBot="1">
      <c r="A183" s="190"/>
      <c r="B183" s="187"/>
      <c r="C183" s="187"/>
      <c r="D183" s="187"/>
      <c r="E183" s="191"/>
    </row>
    <row r="184" spans="1:5" ht="13.2" thickBot="1">
      <c r="A184" s="190"/>
      <c r="B184" s="187"/>
      <c r="C184" s="187"/>
      <c r="D184" s="187"/>
      <c r="E184" s="191"/>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37</vt:i4>
      </vt:variant>
    </vt:vector>
  </HeadingPairs>
  <TitlesOfParts>
    <vt:vector size="44" baseType="lpstr">
      <vt:lpstr>List</vt:lpstr>
      <vt:lpstr>List interface</vt:lpstr>
      <vt:lpstr>wrong spellings</vt:lpstr>
      <vt:lpstr>Allgemeine Fragen</vt:lpstr>
      <vt:lpstr>Log</vt:lpstr>
      <vt:lpstr>Tabelle1</vt:lpstr>
      <vt:lpstr>Tabelle2</vt:lpstr>
      <vt:lpstr>BookID</vt:lpstr>
      <vt:lpstr>ColLang</vt:lpstr>
      <vt:lpstr>ColQues</vt:lpstr>
      <vt:lpstr>ColSour</vt:lpstr>
      <vt:lpstr>ColStat</vt:lpstr>
      <vt:lpstr>ColSubT</vt:lpstr>
      <vt:lpstr>ColTran</vt:lpstr>
      <vt:lpstr>deBookCountMatch</vt:lpstr>
      <vt:lpstr>deBookIDmatch</vt:lpstr>
      <vt:lpstr>deFlagged</vt:lpstr>
      <vt:lpstr>deLocalFeedback</vt:lpstr>
      <vt:lpstr>deXLSfeedback</vt:lpstr>
      <vt:lpstr>enBookCountMatch</vt:lpstr>
      <vt:lpstr>enBookIDmatch</vt:lpstr>
      <vt:lpstr>enFlagged</vt:lpstr>
      <vt:lpstr>enLocalFeedback</vt:lpstr>
      <vt:lpstr>enXLSfeedback</vt:lpstr>
      <vt:lpstr>'wrong spellings'!FLE_SearchString</vt:lpstr>
      <vt:lpstr>LastRow</vt:lpstr>
      <vt:lpstr>ListOfTerms</vt:lpstr>
      <vt:lpstr>ListStructure</vt:lpstr>
      <vt:lpstr>LocalFeedback</vt:lpstr>
      <vt:lpstr>LocalInstruction</vt:lpstr>
      <vt:lpstr>LocalTermCount</vt:lpstr>
      <vt:lpstr>Names</vt:lpstr>
      <vt:lpstr>OperateInRow</vt:lpstr>
      <vt:lpstr>ScriptAction</vt:lpstr>
      <vt:lpstr>StandardSaysSubst</vt:lpstr>
      <vt:lpstr>SubstHit</vt:lpstr>
      <vt:lpstr>SubstHitPlus</vt:lpstr>
      <vt:lpstr>Substitute</vt:lpstr>
      <vt:lpstr>SubstToTrans</vt:lpstr>
      <vt:lpstr>Term</vt:lpstr>
      <vt:lpstr>TextLanguage</vt:lpstr>
      <vt:lpstr>TransHit</vt:lpstr>
      <vt:lpstr>TransHitPlus</vt:lpstr>
      <vt:lpstr>UserLanguage</vt:lpstr>
    </vt:vector>
  </TitlesOfParts>
  <Company>private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Marcel</dc:creator>
  <cp:lastModifiedBy>Marcel</cp:lastModifiedBy>
  <dcterms:created xsi:type="dcterms:W3CDTF">2011-03-11T21:45:52Z</dcterms:created>
  <dcterms:modified xsi:type="dcterms:W3CDTF">2014-06-28T20:07:52Z</dcterms:modified>
</cp:coreProperties>
</file>